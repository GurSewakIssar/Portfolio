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0188B2DB-0748-4214-A47C-5744D0FB60C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Questions" sheetId="1" r:id="rId1"/>
    <sheet name="Q1" sheetId="4" r:id="rId2"/>
    <sheet name="Q2" sheetId="2" r:id="rId3"/>
    <sheet name="Q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2" i="2"/>
  <c r="H4" i="4" a="1"/>
  <c r="H4" i="4"/>
  <c r="C23" i="4" a="1"/>
  <c r="C23" i="4" s="1"/>
  <c r="J3" i="2" a="1"/>
  <c r="J3" i="2" s="1"/>
  <c r="J4" i="2" a="1"/>
  <c r="J4" i="2" s="1"/>
  <c r="J5" i="2" a="1"/>
  <c r="J5" i="2" s="1"/>
  <c r="J6" i="2" a="1"/>
  <c r="J6" i="2" s="1"/>
  <c r="J7" i="2" a="1"/>
  <c r="J7" i="2" s="1"/>
  <c r="J8" i="2" a="1"/>
  <c r="J8" i="2" s="1"/>
  <c r="J9" i="2" a="1"/>
  <c r="J9" i="2" s="1"/>
  <c r="J2" i="2" a="1"/>
  <c r="J2" i="2" s="1"/>
  <c r="H2" i="2" a="1"/>
  <c r="H2" i="2" s="1"/>
  <c r="C18" i="4" a="1"/>
  <c r="C18" i="4" s="1"/>
  <c r="A18" i="4" a="1"/>
  <c r="A18" i="4"/>
  <c r="C16" i="4" a="1"/>
  <c r="C16" i="4" s="1"/>
  <c r="A16" i="4" a="1"/>
  <c r="A16" i="4" s="1"/>
  <c r="H3" i="2" a="1"/>
  <c r="H3" i="2" s="1"/>
  <c r="H4" i="2" a="1"/>
  <c r="H4" i="2" s="1"/>
  <c r="H5" i="2" a="1"/>
  <c r="H5" i="2" s="1"/>
  <c r="H6" i="2" a="1"/>
  <c r="H6" i="2" s="1"/>
  <c r="H7" i="2" a="1"/>
  <c r="H7" i="2" s="1"/>
  <c r="H8" i="2" a="1"/>
  <c r="H8" i="2" s="1"/>
  <c r="H9" i="2" a="1"/>
  <c r="H9" i="2" s="1"/>
  <c r="A6" i="3"/>
  <c r="D13" i="3" s="1"/>
  <c r="E3" i="2" a="1"/>
  <c r="E3" i="2" s="1"/>
  <c r="E4" i="2" a="1"/>
  <c r="E4" i="2" s="1"/>
  <c r="E5" i="2" a="1"/>
  <c r="E5" i="2" s="1"/>
  <c r="E6" i="2" a="1"/>
  <c r="E6" i="2"/>
  <c r="E7" i="2" a="1"/>
  <c r="E7" i="2"/>
  <c r="E8" i="2" a="1"/>
  <c r="E8" i="2"/>
  <c r="E9" i="2" a="1"/>
  <c r="E9" i="2" s="1"/>
  <c r="E2" i="2" a="1"/>
  <c r="E2" i="2" s="1"/>
  <c r="D32" i="2"/>
  <c r="A14" i="4" a="1"/>
  <c r="A14" i="4" s="1"/>
  <c r="E6" i="4" a="1"/>
  <c r="E6" i="4" s="1"/>
  <c r="E4" i="4" a="1"/>
  <c r="E4" i="4" s="1"/>
  <c r="C14" i="4" a="1"/>
  <c r="C14" i="4" s="1"/>
  <c r="A10" i="3" l="1" a="1"/>
  <c r="A10" i="3" s="1"/>
  <c r="A13" i="3" a="1"/>
  <c r="A13" i="3" s="1"/>
  <c r="A12" i="3"/>
  <c r="A8" i="3"/>
  <c r="C3" i="2"/>
  <c r="C4" i="2"/>
  <c r="C5" i="2"/>
  <c r="C6" i="2"/>
  <c r="C7" i="2"/>
  <c r="C8" i="2"/>
  <c r="C9" i="2"/>
  <c r="C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<sst xmlns="http://schemas.openxmlformats.org/spreadsheetml/2006/main" count="64" uniqueCount="59">
  <si>
    <t>How to create a lists so that users cannot enter unwanted data?</t>
  </si>
  <si>
    <t>We can create a drop-down list to limit data entry using ‘Data Validation’. </t>
  </si>
  <si>
    <t>How do you prepare an MIS report in Excel?</t>
  </si>
  <si>
    <t>Collect raw data from a different department</t>
  </si>
  <si>
    <t>Combine data in excel</t>
  </si>
  <si>
    <t>Link your data to your MIS template by using formulas like Vlookup, Hlookup, Sumifs, Sumif, INDEX &amp; MATCH, Charts, etc. based on the needs</t>
  </si>
  <si>
    <t>How to format an open MIS Report (.csv to .xlsx)Excel?</t>
  </si>
  <si>
    <t>download and install the ISO-NE MIS Viewer add-in </t>
  </si>
  <si>
    <t>Open the MIS Report file (.csv) in Excel (2016)</t>
  </si>
  <si>
    <t>Select the ISO-NE MIS Viewer tab in Microsoft Excel</t>
  </si>
  <si>
    <t>Select Format Report</t>
  </si>
  <si>
    <t>Explain 2 advanced Pivot Table techniques on Excel. </t>
  </si>
  <si>
    <t>Slicer is a helpful tool in linking multiple pivot tables</t>
  </si>
  <si>
    <t>it will help in filtering data for all the pivot tables</t>
  </si>
  <si>
    <t>Another good time-saving technique is to create a calculated field.</t>
  </si>
  <si>
    <t>In Excel, a condition determines the expression of the values stating either it is true or false</t>
  </si>
  <si>
    <t>What is a condition in excel?Name and syntax?</t>
  </si>
  <si>
    <t>=IF(logical_test, [value_if_true], [value_if_false])</t>
  </si>
  <si>
    <t>=OR(logical1, [logical2], …)</t>
  </si>
  <si>
    <t>Name</t>
  </si>
  <si>
    <t>Time for PushUps</t>
  </si>
  <si>
    <t>Score</t>
  </si>
  <si>
    <t>PUSH-UPS</t>
  </si>
  <si>
    <t>TIME</t>
  </si>
  <si>
    <t>SCORE</t>
  </si>
  <si>
    <t>Amit</t>
  </si>
  <si>
    <t>Sumona</t>
  </si>
  <si>
    <t>Karan</t>
  </si>
  <si>
    <t>Manmeet</t>
  </si>
  <si>
    <t>Rubina</t>
  </si>
  <si>
    <t>Arman</t>
  </si>
  <si>
    <t>Bhashkar</t>
  </si>
  <si>
    <t>Ankita</t>
  </si>
  <si>
    <t>SUNDAY</t>
  </si>
  <si>
    <t>MONDAY</t>
  </si>
  <si>
    <t>ENTER THE DATE</t>
  </si>
  <si>
    <t>TUESDAY</t>
  </si>
  <si>
    <t>WEDNESDAY</t>
  </si>
  <si>
    <t>RESULT</t>
  </si>
  <si>
    <t>THURSDAY</t>
  </si>
  <si>
    <t>FRIDAY</t>
  </si>
  <si>
    <t>SATURDAY</t>
  </si>
  <si>
    <t>Find out the Day of the entered date without using Text Function</t>
  </si>
  <si>
    <t>Data</t>
  </si>
  <si>
    <t>43</t>
  </si>
  <si>
    <t>33</t>
  </si>
  <si>
    <t>64</t>
  </si>
  <si>
    <t>754</t>
  </si>
  <si>
    <t>865</t>
  </si>
  <si>
    <t>854</t>
  </si>
  <si>
    <t>73</t>
  </si>
  <si>
    <t>19</t>
  </si>
  <si>
    <t>30</t>
  </si>
  <si>
    <t>12_23</t>
  </si>
  <si>
    <t>111_2</t>
  </si>
  <si>
    <t>234_2</t>
  </si>
  <si>
    <t>1_333</t>
  </si>
  <si>
    <t>431_34</t>
  </si>
  <si>
    <t>Add below mentioned number without converting it into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</si>
</sst>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21" fontId="0" fillId="0" borderId="1" xfId="0" applyNumberFormat="1" applyBorder="1"/>
    <xf numFmtId="0" fontId="0" fillId="3" borderId="1" xfId="0" applyFill="1" applyBorder="1"/>
    <xf numFmtId="0" fontId="2" fillId="4" borderId="2" xfId="0" applyFont="1" applyFill="1" applyBorder="1" applyAlignment="1">
      <alignment horizontal="centerContinuous" wrapText="1"/>
    </xf>
    <xf numFmtId="0" fontId="2" fillId="4" borderId="3" xfId="0" applyFont="1" applyFill="1" applyBorder="1" applyAlignment="1">
      <alignment horizontal="centerContinuous" wrapText="1"/>
    </xf>
    <xf numFmtId="21" fontId="0" fillId="5" borderId="1" xfId="0" applyNumberFormat="1" applyFill="1" applyBorder="1"/>
    <xf numFmtId="0" fontId="0" fillId="5" borderId="1" xfId="0" applyFill="1" applyBorder="1"/>
    <xf numFmtId="0" fontId="3" fillId="0" borderId="1" xfId="0" applyFont="1" applyBorder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/>
    <xf numFmtId="0" fontId="0" fillId="0" borderId="0" xfId="0" quotePrefix="1"/>
    <xf numFmtId="21" fontId="0" fillId="0" borderId="0" xfId="0" applyNumberFormat="1"/>
    <xf numFmtId="0" fontId="4" fillId="6" borderId="0" xfId="0" applyFont="1" applyFill="1"/>
    <xf numFmtId="0" fontId="4" fillId="4" borderId="0" xfId="0" applyFont="1" applyFill="1"/>
  </cellXfs>
  <cellStyles count="1">
    <cellStyle name="Normal" xfId="0" builtinId="0"/>
  </cellStyles>
  <dxfs count="1">
    <dxf>
      <font>
        <color theme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>
      <selection activeCell="A4" sqref="A4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s="1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s="1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s="1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s="1" t="s">
        <v>16</v>
      </c>
    </row>
    <row r="17" spans="1:1" x14ac:dyDescent="0.3">
      <c r="A17" t="s">
        <v>15</v>
      </c>
    </row>
    <row r="18" spans="1:1" x14ac:dyDescent="0.3">
      <c r="A18" t="s">
        <v>17</v>
      </c>
    </row>
    <row r="19" spans="1:1" x14ac:dyDescent="0.3">
      <c r="A19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2887-064E-43C8-B980-0DD368881AE7}">
  <dimension ref="A1:H23"/>
  <sheetViews>
    <sheetView workbookViewId="0">
      <selection activeCell="C16" sqref="C16"/>
    </sheetView>
  </sheetViews>
  <sheetFormatPr defaultRowHeight="14.4" x14ac:dyDescent="0.3"/>
  <sheetData>
    <row r="1" spans="1:8" x14ac:dyDescent="0.3">
      <c r="A1" s="1" t="s">
        <v>58</v>
      </c>
    </row>
    <row r="3" spans="1:8" x14ac:dyDescent="0.3">
      <c r="A3" t="s">
        <v>43</v>
      </c>
      <c r="C3" t="s">
        <v>43</v>
      </c>
    </row>
    <row r="4" spans="1:8" x14ac:dyDescent="0.3">
      <c r="A4" s="14" t="s">
        <v>44</v>
      </c>
      <c r="C4" t="s">
        <v>53</v>
      </c>
      <c r="E4" cm="1">
        <f t="array" ref="E4">SUM(SUBSTITUTE(C4:C12,"_","")*1)</f>
        <v>55154</v>
      </c>
      <c r="H4" cm="1">
        <f t="array" ref="H4">SUM(_xlfn.LET(_xlpm.a, FIND("_",C4:C12), (LEFT(C4:C12,_xlpm.a-1)+0)+(MID(C4:C12,_xlpm.a+1,LEN(C4:C12)-_xlpm.a)+0)))</f>
        <v>1901</v>
      </c>
    </row>
    <row r="5" spans="1:8" x14ac:dyDescent="0.3">
      <c r="A5" s="14" t="s">
        <v>45</v>
      </c>
      <c r="C5" t="s">
        <v>54</v>
      </c>
    </row>
    <row r="6" spans="1:8" x14ac:dyDescent="0.3">
      <c r="A6" s="14" t="s">
        <v>46</v>
      </c>
      <c r="C6" t="s">
        <v>55</v>
      </c>
      <c r="E6" cm="1">
        <f t="array" ref="E6">SUM(A4:A12*1)</f>
        <v>2735</v>
      </c>
    </row>
    <row r="7" spans="1:8" x14ac:dyDescent="0.3">
      <c r="A7" s="14" t="s">
        <v>47</v>
      </c>
      <c r="C7" t="s">
        <v>56</v>
      </c>
    </row>
    <row r="8" spans="1:8" x14ac:dyDescent="0.3">
      <c r="A8" s="14" t="s">
        <v>48</v>
      </c>
      <c r="C8" t="s">
        <v>57</v>
      </c>
    </row>
    <row r="9" spans="1:8" x14ac:dyDescent="0.3">
      <c r="A9" s="14" t="s">
        <v>49</v>
      </c>
      <c r="C9" t="s">
        <v>53</v>
      </c>
    </row>
    <row r="10" spans="1:8" x14ac:dyDescent="0.3">
      <c r="A10" s="14" t="s">
        <v>50</v>
      </c>
      <c r="C10" t="s">
        <v>54</v>
      </c>
    </row>
    <row r="11" spans="1:8" x14ac:dyDescent="0.3">
      <c r="A11" s="14" t="s">
        <v>51</v>
      </c>
      <c r="C11" t="s">
        <v>55</v>
      </c>
    </row>
    <row r="12" spans="1:8" x14ac:dyDescent="0.3">
      <c r="A12" s="14" t="s">
        <v>52</v>
      </c>
      <c r="C12" t="s">
        <v>56</v>
      </c>
    </row>
    <row r="14" spans="1:8" x14ac:dyDescent="0.3">
      <c r="A14" cm="1">
        <f t="array" ref="A14">SUM(VALUE(A4:A12))</f>
        <v>2735</v>
      </c>
      <c r="C14">
        <f t="array" ref="C14">SUM(_xlfn.NUMBERVALUE(C4:C12,".","_"))</f>
        <v>55154</v>
      </c>
    </row>
    <row r="16" spans="1:8" x14ac:dyDescent="0.3">
      <c r="A16" s="17" cm="1">
        <f t="array" ref="A16">SUM(VALUE(A4:A12))</f>
        <v>2735</v>
      </c>
      <c r="C16" s="17" cm="1">
        <f t="array" ref="C16">SUM(VALUE(SUBSTITUTE(C4:C12,"_","")))</f>
        <v>55154</v>
      </c>
    </row>
    <row r="18" spans="1:3" x14ac:dyDescent="0.3">
      <c r="A18" s="17" cm="1">
        <f t="array" ref="A18">SUM(A4:A12*1)</f>
        <v>2735</v>
      </c>
      <c r="C18" s="17" cm="1">
        <f t="array" ref="C18">SUM(SUBSTITUTE(C4:C12,"_","")*1)</f>
        <v>55154</v>
      </c>
    </row>
    <row r="23" spans="1:3" x14ac:dyDescent="0.3">
      <c r="C23" cm="1">
        <f t="array" ref="C23">SUM(SUBSTITUTE(C4:C12, "_", "")+0)</f>
        <v>55154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1E1E-F607-484D-9052-922FBBE66AD1}">
  <dimension ref="A1:L74"/>
  <sheetViews>
    <sheetView workbookViewId="0">
      <selection activeCell="L2" sqref="L2:L8"/>
    </sheetView>
  </sheetViews>
  <sheetFormatPr defaultRowHeight="14.4" x14ac:dyDescent="0.3"/>
  <cols>
    <col min="2" max="2" width="16.5546875" bestFit="1" customWidth="1"/>
  </cols>
  <sheetData>
    <row r="1" spans="1:12" x14ac:dyDescent="0.3">
      <c r="A1" s="2" t="s">
        <v>19</v>
      </c>
      <c r="B1" s="2" t="s">
        <v>20</v>
      </c>
      <c r="C1" s="2" t="s">
        <v>21</v>
      </c>
    </row>
    <row r="2" spans="1:12" x14ac:dyDescent="0.3">
      <c r="A2" s="3" t="s">
        <v>25</v>
      </c>
      <c r="B2" s="4">
        <v>4.2824074074074075E-4</v>
      </c>
      <c r="C2" s="5">
        <f>IF(OR(ISTEXT(B2),ISBLANK(B2)),"",VLOOKUP(B2,$A$14:$B$74,2))</f>
        <v>711</v>
      </c>
      <c r="E2" cm="1">
        <f t="array" ref="E2">VLOOKUP(ROUND(B2,5),ROUND($A$14:$B$74,5),2,0)</f>
        <v>694</v>
      </c>
      <c r="F2" s="15"/>
      <c r="H2" s="16" cm="1">
        <f t="array" ref="H2">IFERROR(VLOOKUP(TEXT(B2,"HH:MM:ss"),CHOOSE({1,2},TEXT($A$14:$A$74,"HH:MM:SS"),$B$14:$B$74),2,0),"")</f>
        <v>694</v>
      </c>
      <c r="J2" s="17" t="str" cm="1">
        <f t="array" ref="J2">IFERROR(VLOOKUP(TRIM(B2),TRIM($A$14:$B$74),2,0),"")</f>
        <v>694</v>
      </c>
      <c r="L2">
        <f>VLOOKUP(B2,$A$14:$B$74,2,1)</f>
        <v>711</v>
      </c>
    </row>
    <row r="3" spans="1:12" x14ac:dyDescent="0.3">
      <c r="A3" s="3" t="s">
        <v>26</v>
      </c>
      <c r="B3" s="4">
        <v>1.1574074074074073E-5</v>
      </c>
      <c r="C3" s="5">
        <f t="shared" ref="C3:C9" si="0">IF(OR(ISTEXT(B3),ISBLANK(B3)),"",VLOOKUP(B3,$A$14:$B$74,2))</f>
        <v>1000</v>
      </c>
      <c r="E3" cm="1">
        <f t="array" ref="E3">VLOOKUP(ROUND(B3,5),ROUND($A$14:$B$74,5),2,0)</f>
        <v>1000</v>
      </c>
      <c r="H3" s="16" cm="1">
        <f t="array" ref="H3">IFERROR(VLOOKUP(TEXT(B3,"HH:MM:ss"),CHOOSE({1,2},TEXT($A$14:$A$74,"HH:MM:SS"),$B$14:$B$74),2,0),"")</f>
        <v>1000</v>
      </c>
      <c r="J3" s="17" t="str" cm="1">
        <f t="array" ref="J3">IFERROR(VLOOKUP(TRIM(B3),TRIM($A$14:$B$74),2,0),"")</f>
        <v>1000</v>
      </c>
      <c r="L3">
        <f t="shared" ref="L3:L8" si="1">VLOOKUP(B3,$A$14:$B$74,2,1)</f>
        <v>1000</v>
      </c>
    </row>
    <row r="4" spans="1:12" x14ac:dyDescent="0.3">
      <c r="A4" s="3" t="s">
        <v>27</v>
      </c>
      <c r="B4" s="4">
        <v>2.2858796296296296E-4</v>
      </c>
      <c r="C4" s="5">
        <f t="shared" si="0"/>
        <v>847</v>
      </c>
      <c r="E4" t="e" cm="1">
        <f t="array" ref="E4">VLOOKUP(ROUND(B4,5),ROUND($A$14:$B$74,5),2,0)</f>
        <v>#N/A</v>
      </c>
      <c r="H4" s="16" t="str" cm="1">
        <f t="array" ref="H4">IFERROR(VLOOKUP(TEXT(B4,"HH:MM:ss"),CHOOSE({1,2},TEXT($A$14:$A$74,"HH:MM:SS"),$B$14:$B$74),2,0),"")</f>
        <v/>
      </c>
      <c r="J4" s="17" t="str" cm="1">
        <f t="array" ref="J4">IFERROR(VLOOKUP(TRIM(B4),TRIM($A$14:$B$74),2,0),"")</f>
        <v/>
      </c>
      <c r="L4">
        <f t="shared" si="1"/>
        <v>847</v>
      </c>
    </row>
    <row r="5" spans="1:12" x14ac:dyDescent="0.3">
      <c r="A5" s="3" t="s">
        <v>28</v>
      </c>
      <c r="B5" s="4">
        <v>2.8935185185185189E-4</v>
      </c>
      <c r="C5" s="5">
        <f t="shared" si="0"/>
        <v>813</v>
      </c>
      <c r="E5" cm="1">
        <f t="array" ref="E5">VLOOKUP(ROUND(B5,5),ROUND($A$14:$B$74,5),2,0)</f>
        <v>796</v>
      </c>
      <c r="H5" s="16" cm="1">
        <f t="array" ref="H5">IFERROR(VLOOKUP(TEXT(B5,"HH:MM:ss"),CHOOSE({1,2},TEXT($A$14:$A$74,"HH:MM:SS"),$B$14:$B$74),2,0),"")</f>
        <v>796</v>
      </c>
      <c r="J5" s="17" t="str" cm="1">
        <f t="array" ref="J5">IFERROR(VLOOKUP(TRIM(B5),TRIM($A$14:$B$74),2,0),"")</f>
        <v>796</v>
      </c>
      <c r="L5">
        <f t="shared" si="1"/>
        <v>813</v>
      </c>
    </row>
    <row r="6" spans="1:12" x14ac:dyDescent="0.3">
      <c r="A6" s="3" t="s">
        <v>29</v>
      </c>
      <c r="B6" s="4">
        <v>2.199074074074074E-4</v>
      </c>
      <c r="C6" s="5">
        <f t="shared" si="0"/>
        <v>847</v>
      </c>
      <c r="E6" cm="1">
        <f t="array" ref="E6">VLOOKUP(ROUND(B6,5),ROUND($A$14:$B$74,5),2,0)</f>
        <v>847</v>
      </c>
      <c r="H6" s="16" cm="1">
        <f t="array" ref="H6">IFERROR(VLOOKUP(TEXT(B6,"HH:MM:ss"),CHOOSE({1,2},TEXT($A$14:$A$74,"HH:MM:SS"),$B$14:$B$74),2,0),"")</f>
        <v>847</v>
      </c>
      <c r="J6" s="17" t="str" cm="1">
        <f t="array" ref="J6">IFERROR(VLOOKUP(TRIM(B6),TRIM($A$14:$B$74),2,0),"")</f>
        <v>847</v>
      </c>
      <c r="L6">
        <f t="shared" si="1"/>
        <v>847</v>
      </c>
    </row>
    <row r="7" spans="1:12" x14ac:dyDescent="0.3">
      <c r="A7" s="3" t="s">
        <v>30</v>
      </c>
      <c r="B7" s="4"/>
      <c r="C7" s="5" t="str">
        <f t="shared" si="0"/>
        <v/>
      </c>
      <c r="E7" t="e" cm="1">
        <f t="array" ref="E7">VLOOKUP(ROUND(B7,5),ROUND($A$14:$B$74,5),2,0)</f>
        <v>#N/A</v>
      </c>
      <c r="H7" s="16" t="str" cm="1">
        <f t="array" ref="H7">IFERROR(VLOOKUP(TEXT(B7,"HH:MM:ss"),CHOOSE({1,2},TEXT($A$14:$A$74,"HH:MM:SS"),$B$14:$B$74),2,0),"")</f>
        <v/>
      </c>
      <c r="J7" s="17" t="str" cm="1">
        <f t="array" ref="J7">IFERROR(VLOOKUP(TRIM(B7),TRIM($A$14:$B$74),2,0),"")</f>
        <v/>
      </c>
      <c r="L7" t="e">
        <f t="shared" si="1"/>
        <v>#N/A</v>
      </c>
    </row>
    <row r="8" spans="1:12" x14ac:dyDescent="0.3">
      <c r="A8" s="3" t="s">
        <v>31</v>
      </c>
      <c r="B8" s="4">
        <v>5.7685185185185194E-4</v>
      </c>
      <c r="C8" s="5">
        <f t="shared" si="0"/>
        <v>592</v>
      </c>
      <c r="E8" t="e" cm="1">
        <f t="array" ref="E8">VLOOKUP(ROUND(B8,5),ROUND($A$14:$B$74,5),2,0)</f>
        <v>#N/A</v>
      </c>
      <c r="H8" s="16" t="str" cm="1">
        <f t="array" ref="H8">IFERROR(VLOOKUP(TEXT(B8,"HH:MM:ss"),CHOOSE({1,2},TEXT($A$14:$A$74,"HH:MM:SS"),$B$14:$B$74),2,0),"")</f>
        <v/>
      </c>
      <c r="J8" s="17" t="str" cm="1">
        <f t="array" ref="J8">IFERROR(VLOOKUP(TRIM(B8),TRIM($A$14:$B$74),2,0),"")</f>
        <v/>
      </c>
      <c r="L8">
        <f t="shared" si="1"/>
        <v>592</v>
      </c>
    </row>
    <row r="9" spans="1:12" x14ac:dyDescent="0.3">
      <c r="A9" s="3" t="s">
        <v>32</v>
      </c>
      <c r="B9" s="4">
        <v>2.8356481481481478E-4</v>
      </c>
      <c r="C9" s="5">
        <f t="shared" si="0"/>
        <v>813</v>
      </c>
      <c r="E9" t="e" cm="1">
        <f t="array" ref="E9">VLOOKUP(ROUND(B9,5),ROUND($A$14:$B$74,5),2,0)</f>
        <v>#N/A</v>
      </c>
      <c r="H9" s="16" t="str" cm="1">
        <f t="array" ref="H9">IFERROR(VLOOKUP(TEXT(B9,"HH:MM:ss"),CHOOSE({1,2},TEXT($A$14:$A$74,"HH:MM:SS"),$B$14:$B$74),2,0),"")</f>
        <v/>
      </c>
      <c r="J9" s="17" t="str" cm="1">
        <f t="array" ref="J9">IFERROR(VLOOKUP(TRIM(B9),TRIM($A$14:$B$74),2,0),"")</f>
        <v/>
      </c>
    </row>
    <row r="12" spans="1:12" x14ac:dyDescent="0.3">
      <c r="A12" s="6" t="s">
        <v>22</v>
      </c>
      <c r="B12" s="7"/>
    </row>
    <row r="13" spans="1:12" x14ac:dyDescent="0.3">
      <c r="A13" s="2" t="s">
        <v>23</v>
      </c>
      <c r="B13" s="2" t="s">
        <v>24</v>
      </c>
    </row>
    <row r="14" spans="1:12" x14ac:dyDescent="0.3">
      <c r="A14" s="8">
        <v>1.1574074074074073E-5</v>
      </c>
      <c r="B14" s="9">
        <v>1000</v>
      </c>
    </row>
    <row r="15" spans="1:12" x14ac:dyDescent="0.3">
      <c r="A15" s="8">
        <v>3.4722222222222222E-5</v>
      </c>
      <c r="B15" s="9">
        <v>983</v>
      </c>
    </row>
    <row r="16" spans="1:12" x14ac:dyDescent="0.3">
      <c r="A16" s="8">
        <v>5.78703703703704E-5</v>
      </c>
      <c r="B16" s="9">
        <v>966</v>
      </c>
    </row>
    <row r="17" spans="1:4" x14ac:dyDescent="0.3">
      <c r="A17" s="8">
        <v>8.1018518518518598E-5</v>
      </c>
      <c r="B17" s="9">
        <v>949</v>
      </c>
    </row>
    <row r="18" spans="1:4" x14ac:dyDescent="0.3">
      <c r="A18" s="8">
        <v>1.04166666666667E-4</v>
      </c>
      <c r="B18" s="9">
        <v>932</v>
      </c>
    </row>
    <row r="19" spans="1:4" x14ac:dyDescent="0.3">
      <c r="A19" s="8">
        <v>1.2731481481481499E-4</v>
      </c>
      <c r="B19" s="9">
        <v>915</v>
      </c>
    </row>
    <row r="20" spans="1:4" x14ac:dyDescent="0.3">
      <c r="A20" s="8">
        <v>1.50462962962963E-4</v>
      </c>
      <c r="B20" s="9">
        <v>898</v>
      </c>
    </row>
    <row r="21" spans="1:4" x14ac:dyDescent="0.3">
      <c r="A21" s="8">
        <v>1.7361111111111101E-4</v>
      </c>
      <c r="B21" s="9">
        <v>881</v>
      </c>
    </row>
    <row r="22" spans="1:4" x14ac:dyDescent="0.3">
      <c r="A22" s="8">
        <v>1.9675925925925899E-4</v>
      </c>
      <c r="B22" s="9">
        <v>864</v>
      </c>
    </row>
    <row r="23" spans="1:4" x14ac:dyDescent="0.3">
      <c r="A23" s="8">
        <v>2.199074074074074E-4</v>
      </c>
      <c r="B23" s="9">
        <v>847</v>
      </c>
    </row>
    <row r="24" spans="1:4" x14ac:dyDescent="0.3">
      <c r="A24" s="8">
        <v>2.4305555555555501E-4</v>
      </c>
      <c r="B24" s="9">
        <v>830</v>
      </c>
    </row>
    <row r="25" spans="1:4" x14ac:dyDescent="0.3">
      <c r="A25" s="8">
        <v>2.6620370370370399E-4</v>
      </c>
      <c r="B25" s="9">
        <v>813</v>
      </c>
    </row>
    <row r="26" spans="1:4" x14ac:dyDescent="0.3">
      <c r="A26" s="8">
        <v>2.89351851851852E-4</v>
      </c>
      <c r="B26" s="9">
        <v>796</v>
      </c>
    </row>
    <row r="27" spans="1:4" x14ac:dyDescent="0.3">
      <c r="A27" s="8">
        <v>3.1250000000000001E-4</v>
      </c>
      <c r="B27" s="9">
        <v>779</v>
      </c>
    </row>
    <row r="28" spans="1:4" x14ac:dyDescent="0.3">
      <c r="A28" s="8">
        <v>3.3564814814814801E-4</v>
      </c>
      <c r="B28" s="9">
        <v>762</v>
      </c>
    </row>
    <row r="29" spans="1:4" x14ac:dyDescent="0.3">
      <c r="A29" s="8">
        <v>3.5879629629629602E-4</v>
      </c>
      <c r="B29" s="9">
        <v>745</v>
      </c>
    </row>
    <row r="30" spans="1:4" x14ac:dyDescent="0.3">
      <c r="A30" s="8">
        <v>3.8194444444444398E-4</v>
      </c>
      <c r="B30" s="9">
        <v>728</v>
      </c>
    </row>
    <row r="31" spans="1:4" x14ac:dyDescent="0.3">
      <c r="A31" s="8">
        <v>4.0509259259259301E-4</v>
      </c>
      <c r="B31" s="9">
        <v>711</v>
      </c>
    </row>
    <row r="32" spans="1:4" x14ac:dyDescent="0.3">
      <c r="A32" s="8">
        <v>4.2824074074074102E-4</v>
      </c>
      <c r="B32" s="9">
        <v>694</v>
      </c>
      <c r="D32" s="15">
        <f>ROUND(A32,6)</f>
        <v>4.28E-4</v>
      </c>
    </row>
    <row r="33" spans="1:2" x14ac:dyDescent="0.3">
      <c r="A33" s="8">
        <v>4.5138888888888898E-4</v>
      </c>
      <c r="B33" s="9">
        <v>677</v>
      </c>
    </row>
    <row r="34" spans="1:2" x14ac:dyDescent="0.3">
      <c r="A34" s="8">
        <v>4.7453703703703698E-4</v>
      </c>
      <c r="B34" s="9">
        <v>660</v>
      </c>
    </row>
    <row r="35" spans="1:2" x14ac:dyDescent="0.3">
      <c r="A35" s="8">
        <v>4.9768518518518499E-4</v>
      </c>
      <c r="B35" s="9">
        <v>643</v>
      </c>
    </row>
    <row r="36" spans="1:2" x14ac:dyDescent="0.3">
      <c r="A36" s="8">
        <v>5.20833333333333E-4</v>
      </c>
      <c r="B36" s="9">
        <v>626</v>
      </c>
    </row>
    <row r="37" spans="1:2" x14ac:dyDescent="0.3">
      <c r="A37" s="8">
        <v>5.4398148148148101E-4</v>
      </c>
      <c r="B37" s="9">
        <v>609</v>
      </c>
    </row>
    <row r="38" spans="1:2" x14ac:dyDescent="0.3">
      <c r="A38" s="8">
        <v>5.6712962962962999E-4</v>
      </c>
      <c r="B38" s="9">
        <v>592</v>
      </c>
    </row>
    <row r="39" spans="1:2" x14ac:dyDescent="0.3">
      <c r="A39" s="8">
        <v>5.90277777777778E-4</v>
      </c>
      <c r="B39" s="9">
        <v>575</v>
      </c>
    </row>
    <row r="40" spans="1:2" x14ac:dyDescent="0.3">
      <c r="A40" s="8">
        <v>6.1342592592592601E-4</v>
      </c>
      <c r="B40" s="9">
        <v>558</v>
      </c>
    </row>
    <row r="41" spans="1:2" x14ac:dyDescent="0.3">
      <c r="A41" s="8">
        <v>6.3657407407407402E-4</v>
      </c>
      <c r="B41" s="9">
        <v>541</v>
      </c>
    </row>
    <row r="42" spans="1:2" x14ac:dyDescent="0.3">
      <c r="A42" s="8">
        <v>6.5972222222222203E-4</v>
      </c>
      <c r="B42" s="9">
        <v>524</v>
      </c>
    </row>
    <row r="43" spans="1:2" x14ac:dyDescent="0.3">
      <c r="A43" s="8">
        <v>6.8287037037037003E-4</v>
      </c>
      <c r="B43" s="9">
        <v>507</v>
      </c>
    </row>
    <row r="44" spans="1:2" x14ac:dyDescent="0.3">
      <c r="A44" s="8">
        <v>7.0601851851851804E-4</v>
      </c>
      <c r="B44" s="9">
        <v>490</v>
      </c>
    </row>
    <row r="45" spans="1:2" x14ac:dyDescent="0.3">
      <c r="A45" s="8">
        <v>7.2916666666666703E-4</v>
      </c>
      <c r="B45" s="9">
        <v>473</v>
      </c>
    </row>
    <row r="46" spans="1:2" x14ac:dyDescent="0.3">
      <c r="A46" s="8">
        <v>7.5231481481481503E-4</v>
      </c>
      <c r="B46" s="9">
        <v>456</v>
      </c>
    </row>
    <row r="47" spans="1:2" x14ac:dyDescent="0.3">
      <c r="A47" s="8">
        <v>7.7546296296296304E-4</v>
      </c>
      <c r="B47" s="9">
        <v>439</v>
      </c>
    </row>
    <row r="48" spans="1:2" x14ac:dyDescent="0.3">
      <c r="A48" s="8">
        <v>7.9861111111111105E-4</v>
      </c>
      <c r="B48" s="9">
        <v>422</v>
      </c>
    </row>
    <row r="49" spans="1:2" x14ac:dyDescent="0.3">
      <c r="A49" s="8">
        <v>8.2175925925925895E-4</v>
      </c>
      <c r="B49" s="9">
        <v>405</v>
      </c>
    </row>
    <row r="50" spans="1:2" x14ac:dyDescent="0.3">
      <c r="A50" s="8">
        <v>8.4490740740740696E-4</v>
      </c>
      <c r="B50" s="9">
        <v>388</v>
      </c>
    </row>
    <row r="51" spans="1:2" x14ac:dyDescent="0.3">
      <c r="A51" s="8">
        <v>8.6805555555555605E-4</v>
      </c>
      <c r="B51" s="9">
        <v>371</v>
      </c>
    </row>
    <row r="52" spans="1:2" x14ac:dyDescent="0.3">
      <c r="A52" s="8">
        <v>8.9120370370370395E-4</v>
      </c>
      <c r="B52" s="9">
        <v>354</v>
      </c>
    </row>
    <row r="53" spans="1:2" x14ac:dyDescent="0.3">
      <c r="A53" s="8">
        <v>9.1435185185185196E-4</v>
      </c>
      <c r="B53" s="9">
        <v>337</v>
      </c>
    </row>
    <row r="54" spans="1:2" x14ac:dyDescent="0.3">
      <c r="A54" s="8">
        <v>9.3749999999999997E-4</v>
      </c>
      <c r="B54" s="9">
        <v>320</v>
      </c>
    </row>
    <row r="55" spans="1:2" x14ac:dyDescent="0.3">
      <c r="A55" s="8">
        <v>9.6064814814814797E-4</v>
      </c>
      <c r="B55" s="9">
        <v>303</v>
      </c>
    </row>
    <row r="56" spans="1:2" x14ac:dyDescent="0.3">
      <c r="A56" s="8">
        <v>9.8379629629629598E-4</v>
      </c>
      <c r="B56" s="9">
        <v>286</v>
      </c>
    </row>
    <row r="57" spans="1:2" x14ac:dyDescent="0.3">
      <c r="A57" s="8">
        <v>1.0069444444444401E-3</v>
      </c>
      <c r="B57" s="9">
        <v>269</v>
      </c>
    </row>
    <row r="58" spans="1:2" x14ac:dyDescent="0.3">
      <c r="A58" s="8">
        <v>1.03009259259259E-3</v>
      </c>
      <c r="B58" s="9">
        <v>252</v>
      </c>
    </row>
    <row r="59" spans="1:2" x14ac:dyDescent="0.3">
      <c r="A59" s="8">
        <v>1.05324074074074E-3</v>
      </c>
      <c r="B59" s="9">
        <v>235</v>
      </c>
    </row>
    <row r="60" spans="1:2" x14ac:dyDescent="0.3">
      <c r="A60" s="8">
        <v>1.07638888888888E-3</v>
      </c>
      <c r="B60" s="9">
        <v>218</v>
      </c>
    </row>
    <row r="61" spans="1:2" x14ac:dyDescent="0.3">
      <c r="A61" s="8">
        <v>1.09953703703703E-3</v>
      </c>
      <c r="B61" s="9">
        <v>201</v>
      </c>
    </row>
    <row r="62" spans="1:2" x14ac:dyDescent="0.3">
      <c r="A62" s="8">
        <v>1.1226851851851799E-3</v>
      </c>
      <c r="B62" s="9">
        <v>184</v>
      </c>
    </row>
    <row r="63" spans="1:2" x14ac:dyDescent="0.3">
      <c r="A63" s="8">
        <v>1.1458333333333301E-3</v>
      </c>
      <c r="B63" s="9">
        <v>167</v>
      </c>
    </row>
    <row r="64" spans="1:2" x14ac:dyDescent="0.3">
      <c r="A64" s="8">
        <v>1.16898148148148E-3</v>
      </c>
      <c r="B64" s="9">
        <v>150</v>
      </c>
    </row>
    <row r="65" spans="1:2" x14ac:dyDescent="0.3">
      <c r="A65" s="8">
        <v>1.19212962962963E-3</v>
      </c>
      <c r="B65" s="9">
        <v>133</v>
      </c>
    </row>
    <row r="66" spans="1:2" x14ac:dyDescent="0.3">
      <c r="A66" s="8">
        <v>1.21527777777777E-3</v>
      </c>
      <c r="B66" s="9">
        <v>116</v>
      </c>
    </row>
    <row r="67" spans="1:2" x14ac:dyDescent="0.3">
      <c r="A67" s="8">
        <v>1.23842592592592E-3</v>
      </c>
      <c r="B67" s="9">
        <v>99</v>
      </c>
    </row>
    <row r="68" spans="1:2" x14ac:dyDescent="0.3">
      <c r="A68" s="8">
        <v>1.2615740740740699E-3</v>
      </c>
      <c r="B68" s="9">
        <v>82</v>
      </c>
    </row>
    <row r="69" spans="1:2" x14ac:dyDescent="0.3">
      <c r="A69" s="8">
        <v>1.2847222222222201E-3</v>
      </c>
      <c r="B69" s="9">
        <v>65</v>
      </c>
    </row>
    <row r="70" spans="1:2" x14ac:dyDescent="0.3">
      <c r="A70" s="8">
        <v>1.30787037037037E-3</v>
      </c>
      <c r="B70" s="9">
        <v>48</v>
      </c>
    </row>
    <row r="71" spans="1:2" x14ac:dyDescent="0.3">
      <c r="A71" s="8">
        <v>1.33101851851851E-3</v>
      </c>
      <c r="B71" s="9">
        <v>31</v>
      </c>
    </row>
    <row r="72" spans="1:2" x14ac:dyDescent="0.3">
      <c r="A72" s="8">
        <v>1.35416666666666E-3</v>
      </c>
      <c r="B72" s="9">
        <v>14</v>
      </c>
    </row>
    <row r="73" spans="1:2" x14ac:dyDescent="0.3">
      <c r="A73" s="8">
        <v>1.37731481481481E-3</v>
      </c>
      <c r="B73" s="9">
        <v>8</v>
      </c>
    </row>
    <row r="74" spans="1:2" x14ac:dyDescent="0.3">
      <c r="A74" s="8">
        <v>1.3888888888888889E-3</v>
      </c>
      <c r="B74" s="9">
        <v>1</v>
      </c>
    </row>
  </sheetData>
  <conditionalFormatting sqref="A14:B74">
    <cfRule type="expression" dxfId="0" priority="1">
      <formula>MOD(ROW(),2)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C4F5-C65F-4BD9-AF1A-28A4A2F52157}">
  <dimension ref="A2:E13"/>
  <sheetViews>
    <sheetView tabSelected="1" workbookViewId="0">
      <selection activeCell="D14" sqref="D14"/>
    </sheetView>
  </sheetViews>
  <sheetFormatPr defaultRowHeight="14.4" x14ac:dyDescent="0.3"/>
  <cols>
    <col min="1" max="1" width="22" bestFit="1" customWidth="1"/>
    <col min="5" max="5" width="12.109375" bestFit="1" customWidth="1"/>
  </cols>
  <sheetData>
    <row r="2" spans="1:5" x14ac:dyDescent="0.3">
      <c r="A2" s="1" t="s">
        <v>42</v>
      </c>
    </row>
    <row r="3" spans="1:5" x14ac:dyDescent="0.3">
      <c r="A3" s="13"/>
      <c r="D3" s="3">
        <v>1</v>
      </c>
      <c r="E3" s="3" t="s">
        <v>33</v>
      </c>
    </row>
    <row r="4" spans="1:5" x14ac:dyDescent="0.3">
      <c r="D4" s="3">
        <v>2</v>
      </c>
      <c r="E4" s="3" t="s">
        <v>34</v>
      </c>
    </row>
    <row r="5" spans="1:5" x14ac:dyDescent="0.3">
      <c r="A5" s="10" t="s">
        <v>35</v>
      </c>
      <c r="D5" s="3">
        <v>3</v>
      </c>
      <c r="E5" s="3" t="s">
        <v>36</v>
      </c>
    </row>
    <row r="6" spans="1:5" x14ac:dyDescent="0.3">
      <c r="A6" s="11">
        <f ca="1">TODAY()</f>
        <v>46051</v>
      </c>
      <c r="D6" s="3">
        <v>4</v>
      </c>
      <c r="E6" s="3" t="s">
        <v>37</v>
      </c>
    </row>
    <row r="7" spans="1:5" x14ac:dyDescent="0.3">
      <c r="A7" s="10" t="s">
        <v>38</v>
      </c>
      <c r="D7" s="3">
        <v>5</v>
      </c>
      <c r="E7" s="3" t="s">
        <v>39</v>
      </c>
    </row>
    <row r="8" spans="1:5" x14ac:dyDescent="0.3">
      <c r="A8" s="12" t="str">
        <f ca="1">VLOOKUP(WEEKDAY(A6,1),$D$3:$E$9,2,0)</f>
        <v>THURSDAY</v>
      </c>
      <c r="D8" s="3">
        <v>6</v>
      </c>
      <c r="E8" s="3" t="s">
        <v>40</v>
      </c>
    </row>
    <row r="9" spans="1:5" x14ac:dyDescent="0.3">
      <c r="D9" s="3">
        <v>7</v>
      </c>
      <c r="E9" s="3" t="s">
        <v>41</v>
      </c>
    </row>
    <row r="10" spans="1:5" x14ac:dyDescent="0.3">
      <c r="A10" t="str" cm="1">
        <f t="array" aca="1" ref="A10" ca="1">_xlfn.SWITCH(WEEKDAY(A6),1,"Sunday",2,"Monday",3,"Tuesday",4,"Wednesday",5,"Thursday",6,"Friday",7,"Saturday")</f>
        <v>Thursday</v>
      </c>
    </row>
    <row r="12" spans="1:5" x14ac:dyDescent="0.3">
      <c r="A12" s="17" t="str">
        <f ca="1">VLOOKUP(WEEKDAY(A6),D3:E9,2,0)</f>
        <v>THURSDAY</v>
      </c>
    </row>
    <row r="13" spans="1:5" x14ac:dyDescent="0.3">
      <c r="A13" s="17" t="str" cm="1">
        <f t="array" aca="1" ref="A13" ca="1">_xlfn.SWITCH(WEEKDAY(A6),1,"Sunday",2,"Monday",3,"Tuesday",4,"Wednesday",5,"Thursday",6,"Friday",7,"Saturday")</f>
        <v>Thursday</v>
      </c>
      <c r="D13" t="str">
        <f ca="1">VLOOKUP(WEEKDAY(A6),D3:E9,2)</f>
        <v>THURSDAY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Questions</vt:lpstr>
      <vt:lpstr>Q1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Gursewak Singh</cp:lastModifiedBy>
  <dcterms:created xsi:type="dcterms:W3CDTF">2015-06-05T18:17:20Z</dcterms:created>
  <dcterms:modified xsi:type="dcterms:W3CDTF">2026-01-29T15:57:40Z</dcterms:modified>
</cp:coreProperties>
</file>