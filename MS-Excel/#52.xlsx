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9FAA460F-207B-4E96-AF8E-18306C9238A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6" r:id="rId2"/>
    <sheet name="Q3" sheetId="3" r:id="rId3"/>
    <sheet name="Q4" sheetId="4" r:id="rId4"/>
    <sheet name="Q5" sheetId="5" r:id="rId5"/>
  </sheets>
  <definedNames>
    <definedName name="_xlnm._FilterDatabase" localSheetId="2" hidden="1">'Q3'!$A$4:$E$143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5" l="1"/>
  <c r="B7" i="5"/>
  <c r="L17" i="4" a="1"/>
  <c r="L17" i="4"/>
  <c r="L18" i="4" a="1"/>
  <c r="L18" i="4"/>
  <c r="L16" i="4" a="1"/>
  <c r="L16" i="4" s="1"/>
  <c r="P5" i="6" a="1"/>
  <c r="P5" i="6"/>
  <c r="P6" i="6" a="1"/>
  <c r="P6" i="6"/>
  <c r="P7" i="6" a="1"/>
  <c r="P7" i="6"/>
  <c r="P8" i="6" a="1"/>
  <c r="P8" i="6"/>
  <c r="P4" i="6" a="1"/>
  <c r="P4" i="6" s="1"/>
  <c r="B5" i="1" a="1"/>
  <c r="B5" i="1" s="1"/>
  <c r="K6" i="1" a="1"/>
  <c r="K6" i="1"/>
  <c r="K7" i="1" a="1"/>
  <c r="K7" i="1"/>
  <c r="K5" i="1" a="1"/>
  <c r="K5" i="1" s="1"/>
  <c r="B4" i="5"/>
  <c r="P4" i="4" a="1"/>
  <c r="P4" i="4"/>
  <c r="P5" i="4" a="1"/>
  <c r="P5" i="4"/>
  <c r="P3" i="4" a="1"/>
  <c r="P3" i="4" s="1"/>
  <c r="N5" i="6" a="1"/>
  <c r="N5" i="6"/>
  <c r="N6" i="6" a="1"/>
  <c r="N6" i="6"/>
  <c r="N7" i="6" a="1"/>
  <c r="N7" i="6" s="1"/>
  <c r="N8" i="6" a="1"/>
  <c r="N8" i="6"/>
  <c r="N4" i="6" a="1"/>
  <c r="N4" i="6" s="1"/>
  <c r="H6" i="1" a="1"/>
  <c r="H6" i="1" s="1"/>
  <c r="H7" i="1" a="1"/>
  <c r="H7" i="1" s="1"/>
  <c r="H5" i="1" a="1"/>
  <c r="H5" i="1" s="1"/>
  <c r="C4" i="5"/>
  <c r="L11" i="4" a="1"/>
  <c r="L11" i="4"/>
  <c r="L12" i="4" a="1"/>
  <c r="L12" i="4"/>
  <c r="L10" i="4" a="1"/>
  <c r="L10" i="4"/>
  <c r="L5" i="6" a="1"/>
  <c r="L5" i="6" s="1"/>
  <c r="L6" i="6" a="1"/>
  <c r="L6" i="6" s="1"/>
  <c r="L7" i="6" a="1"/>
  <c r="L7" i="6" s="1"/>
  <c r="L8" i="6" a="1"/>
  <c r="L8" i="6" s="1"/>
  <c r="L4" i="6" a="1"/>
  <c r="L4" i="6" s="1"/>
  <c r="E6" i="1" a="1"/>
  <c r="E6" i="1" s="1"/>
  <c r="E7" i="1" a="1"/>
  <c r="E7" i="1" s="1"/>
  <c r="E5" i="1" a="1"/>
  <c r="E5" i="1" s="1"/>
  <c r="C2" i="5"/>
  <c r="N4" i="4" a="1"/>
  <c r="N4" i="4" s="1"/>
  <c r="N5" i="4" a="1"/>
  <c r="N5" i="4"/>
  <c r="N3" i="4" a="1"/>
  <c r="N3" i="4" s="1"/>
  <c r="J7" i="6" a="1"/>
  <c r="J7" i="6" s="1"/>
  <c r="J5" i="6" a="1"/>
  <c r="J5" i="6"/>
  <c r="J6" i="6" a="1"/>
  <c r="J6" i="6"/>
  <c r="J8" i="6" a="1"/>
  <c r="J8" i="6"/>
  <c r="J4" i="6" a="1"/>
  <c r="J4" i="6" s="1"/>
  <c r="H5" i="6" a="1"/>
  <c r="H5" i="6"/>
  <c r="H6" i="6" a="1"/>
  <c r="H6" i="6"/>
  <c r="H7" i="6" a="1"/>
  <c r="H7" i="6"/>
  <c r="H8" i="6" a="1"/>
  <c r="H8" i="6"/>
  <c r="H4" i="6" a="1"/>
  <c r="H4" i="6" s="1"/>
  <c r="C5" i="1" a="1"/>
  <c r="C5" i="1" s="1"/>
  <c r="C6" i="1" a="1"/>
  <c r="C6" i="1" s="1"/>
  <c r="C7" i="1" a="1"/>
  <c r="C7" i="1" s="1"/>
  <c r="F8" i="6" a="1"/>
  <c r="F8" i="6" s="1"/>
  <c r="F7" i="6" a="1"/>
  <c r="F7" i="6" s="1"/>
  <c r="F6" i="6" a="1"/>
  <c r="F6" i="6" s="1"/>
  <c r="F5" i="6" a="1"/>
  <c r="F5" i="6" s="1"/>
  <c r="F4" i="6" a="1"/>
  <c r="F4" i="6" s="1"/>
  <c r="B2" i="5"/>
  <c r="L5" i="4" a="1"/>
  <c r="L5" i="4" s="1"/>
  <c r="J5" i="4"/>
  <c r="I5" i="4"/>
  <c r="H5" i="4"/>
  <c r="L4" i="4" a="1"/>
  <c r="L4" i="4" s="1"/>
  <c r="J4" i="4"/>
  <c r="I4" i="4"/>
  <c r="H4" i="4"/>
  <c r="L3" i="4" a="1"/>
  <c r="L3" i="4" s="1"/>
  <c r="J3" i="4"/>
  <c r="I3" i="4"/>
  <c r="H3" i="4"/>
  <c r="K3" i="4" l="1"/>
  <c r="K4" i="4"/>
  <c r="K5" i="4"/>
  <c r="D143" i="3" a="1"/>
  <c r="D143" i="3" s="1"/>
  <c r="D142" i="3" a="1"/>
  <c r="D142" i="3" s="1"/>
  <c r="D141" i="3" a="1"/>
  <c r="D141" i="3" s="1"/>
  <c r="D140" i="3" a="1"/>
  <c r="D140" i="3" s="1"/>
  <c r="D139" i="3" a="1"/>
  <c r="D139" i="3" s="1"/>
  <c r="D138" i="3" a="1"/>
  <c r="D138" i="3" s="1"/>
  <c r="D137" i="3" a="1"/>
  <c r="D137" i="3" s="1"/>
  <c r="D136" i="3" a="1"/>
  <c r="D136" i="3" s="1"/>
  <c r="D135" i="3" a="1"/>
  <c r="D135" i="3" s="1"/>
  <c r="D134" i="3" a="1"/>
  <c r="D134" i="3" s="1"/>
  <c r="D133" i="3" a="1"/>
  <c r="D133" i="3" s="1"/>
  <c r="D132" i="3" a="1"/>
  <c r="D132" i="3" s="1"/>
  <c r="D131" i="3" a="1"/>
  <c r="D131" i="3" s="1"/>
  <c r="D130" i="3" a="1"/>
  <c r="D130" i="3" s="1"/>
  <c r="D129" i="3" a="1"/>
  <c r="D129" i="3" s="1"/>
  <c r="D128" i="3" a="1"/>
  <c r="D128" i="3" s="1"/>
  <c r="D127" i="3" a="1"/>
  <c r="D127" i="3" s="1"/>
  <c r="D126" i="3" a="1"/>
  <c r="D126" i="3" s="1"/>
  <c r="D125" i="3" a="1"/>
  <c r="D125" i="3" s="1"/>
  <c r="D124" i="3" a="1"/>
  <c r="D124" i="3" s="1"/>
  <c r="D123" i="3" a="1"/>
  <c r="D123" i="3" s="1"/>
  <c r="D122" i="3" a="1"/>
  <c r="D122" i="3" s="1"/>
  <c r="D121" i="3" a="1"/>
  <c r="D121" i="3" s="1"/>
  <c r="D120" i="3" a="1"/>
  <c r="D120" i="3" s="1"/>
  <c r="D119" i="3" a="1"/>
  <c r="D119" i="3" s="1"/>
  <c r="D118" i="3" a="1"/>
  <c r="D118" i="3" s="1"/>
  <c r="D117" i="3" a="1"/>
  <c r="D117" i="3" s="1"/>
  <c r="D116" i="3" a="1"/>
  <c r="D116" i="3" s="1"/>
  <c r="D115" i="3" a="1"/>
  <c r="D115" i="3" s="1"/>
  <c r="D114" i="3" a="1"/>
  <c r="D114" i="3" s="1"/>
  <c r="D113" i="3" a="1"/>
  <c r="D113" i="3" s="1"/>
  <c r="D112" i="3" a="1"/>
  <c r="D112" i="3" s="1"/>
  <c r="D111" i="3" a="1"/>
  <c r="D111" i="3" s="1"/>
  <c r="D110" i="3" a="1"/>
  <c r="D110" i="3" s="1"/>
  <c r="D109" i="3" a="1"/>
  <c r="D109" i="3" s="1"/>
  <c r="D108" i="3" a="1"/>
  <c r="D108" i="3" s="1"/>
  <c r="D107" i="3" a="1"/>
  <c r="D107" i="3" s="1"/>
  <c r="D106" i="3" a="1"/>
  <c r="D106" i="3" s="1"/>
  <c r="D105" i="3" a="1"/>
  <c r="D105" i="3" s="1"/>
  <c r="D104" i="3" a="1"/>
  <c r="D104" i="3" s="1"/>
  <c r="D103" i="3" a="1"/>
  <c r="D103" i="3" s="1"/>
  <c r="D102" i="3" a="1"/>
  <c r="D102" i="3" s="1"/>
  <c r="D101" i="3" a="1"/>
  <c r="D101" i="3" s="1"/>
  <c r="D100" i="3" a="1"/>
  <c r="D100" i="3" s="1"/>
  <c r="D99" i="3" a="1"/>
  <c r="D99" i="3" s="1"/>
  <c r="D98" i="3" a="1"/>
  <c r="D98" i="3" s="1"/>
  <c r="D97" i="3" a="1"/>
  <c r="D97" i="3" s="1"/>
  <c r="D96" i="3" a="1"/>
  <c r="D96" i="3" s="1"/>
  <c r="D95" i="3" a="1"/>
  <c r="D95" i="3" s="1"/>
  <c r="D94" i="3" a="1"/>
  <c r="D94" i="3" s="1"/>
  <c r="D93" i="3" a="1"/>
  <c r="D93" i="3" s="1"/>
  <c r="D92" i="3" a="1"/>
  <c r="D92" i="3" s="1"/>
  <c r="D91" i="3" a="1"/>
  <c r="D91" i="3" s="1"/>
  <c r="D90" i="3" a="1"/>
  <c r="D90" i="3" s="1"/>
  <c r="D89" i="3" a="1"/>
  <c r="D89" i="3" s="1"/>
  <c r="E89" i="3" s="1"/>
  <c r="D88" i="3" a="1"/>
  <c r="D88" i="3" s="1"/>
  <c r="E88" i="3" s="1"/>
  <c r="D87" i="3" a="1"/>
  <c r="D87" i="3" s="1"/>
  <c r="E87" i="3" s="1"/>
  <c r="D86" i="3" a="1"/>
  <c r="D86" i="3" s="1"/>
  <c r="D85" i="3" a="1"/>
  <c r="D85" i="3" s="1"/>
  <c r="D84" i="3" a="1"/>
  <c r="D84" i="3" s="1"/>
  <c r="D83" i="3" a="1"/>
  <c r="D83" i="3" s="1"/>
  <c r="E83" i="3" s="1"/>
  <c r="D82" i="3" a="1"/>
  <c r="D82" i="3" s="1"/>
  <c r="E82" i="3" s="1"/>
  <c r="D81" i="3" a="1"/>
  <c r="D81" i="3" s="1"/>
  <c r="D80" i="3" a="1"/>
  <c r="D80" i="3" s="1"/>
  <c r="D79" i="3" a="1"/>
  <c r="D79" i="3" s="1"/>
  <c r="E79" i="3" s="1"/>
  <c r="D78" i="3" a="1"/>
  <c r="D78" i="3" s="1"/>
  <c r="D77" i="3" a="1"/>
  <c r="D77" i="3" s="1"/>
  <c r="D76" i="3" a="1"/>
  <c r="D76" i="3" s="1"/>
  <c r="D75" i="3" a="1"/>
  <c r="D75" i="3" s="1"/>
  <c r="D74" i="3" a="1"/>
  <c r="D74" i="3" s="1"/>
  <c r="D73" i="3" a="1"/>
  <c r="D73" i="3" s="1"/>
  <c r="D72" i="3" a="1"/>
  <c r="D72" i="3" s="1"/>
  <c r="D71" i="3" a="1"/>
  <c r="D71" i="3" s="1"/>
  <c r="D70" i="3" a="1"/>
  <c r="D70" i="3" s="1"/>
  <c r="E70" i="3" s="1"/>
  <c r="D69" i="3" a="1"/>
  <c r="D69" i="3" s="1"/>
  <c r="D68" i="3" a="1"/>
  <c r="D68" i="3" s="1"/>
  <c r="E68" i="3" s="1"/>
  <c r="D67" i="3" a="1"/>
  <c r="D67" i="3" s="1"/>
  <c r="D66" i="3" a="1"/>
  <c r="D66" i="3" s="1"/>
  <c r="D65" i="3" a="1"/>
  <c r="D65" i="3" s="1"/>
  <c r="D64" i="3" a="1"/>
  <c r="D64" i="3" s="1"/>
  <c r="D63" i="3" a="1"/>
  <c r="D63" i="3" s="1"/>
  <c r="D62" i="3" a="1"/>
  <c r="D62" i="3" s="1"/>
  <c r="E62" i="3" s="1"/>
  <c r="D61" i="3" a="1"/>
  <c r="D61" i="3" s="1"/>
  <c r="E61" i="3" s="1"/>
  <c r="D60" i="3" a="1"/>
  <c r="D60" i="3" s="1"/>
  <c r="E60" i="3" s="1"/>
  <c r="D59" i="3" a="1"/>
  <c r="D59" i="3" s="1"/>
  <c r="E59" i="3" s="1"/>
  <c r="D58" i="3" a="1"/>
  <c r="D58" i="3" s="1"/>
  <c r="D57" i="3" a="1"/>
  <c r="D57" i="3" s="1"/>
  <c r="D56" i="3" a="1"/>
  <c r="D56" i="3" s="1"/>
  <c r="E56" i="3" s="1"/>
  <c r="D55" i="3" a="1"/>
  <c r="D55" i="3" s="1"/>
  <c r="D54" i="3" a="1"/>
  <c r="D54" i="3" s="1"/>
  <c r="D53" i="3" a="1"/>
  <c r="D53" i="3" s="1"/>
  <c r="E53" i="3" s="1"/>
  <c r="D52" i="3" a="1"/>
  <c r="D52" i="3" s="1"/>
  <c r="D51" i="3" a="1"/>
  <c r="D51" i="3" s="1"/>
  <c r="D50" i="3" a="1"/>
  <c r="D50" i="3" s="1"/>
  <c r="D49" i="3" a="1"/>
  <c r="D49" i="3" s="1"/>
  <c r="D48" i="3" a="1"/>
  <c r="D48" i="3" s="1"/>
  <c r="D47" i="3" a="1"/>
  <c r="D47" i="3" s="1"/>
  <c r="D46" i="3" a="1"/>
  <c r="D46" i="3" s="1"/>
  <c r="D45" i="3" a="1"/>
  <c r="D45" i="3" s="1"/>
  <c r="D44" i="3" a="1"/>
  <c r="D44" i="3" s="1"/>
  <c r="D43" i="3" a="1"/>
  <c r="D43" i="3" s="1"/>
  <c r="D42" i="3" a="1"/>
  <c r="D42" i="3" s="1"/>
  <c r="D41" i="3" a="1"/>
  <c r="D41" i="3" s="1"/>
  <c r="D40" i="3" a="1"/>
  <c r="D40" i="3" s="1"/>
  <c r="D39" i="3" a="1"/>
  <c r="D39" i="3" s="1"/>
  <c r="D38" i="3" a="1"/>
  <c r="D38" i="3" s="1"/>
  <c r="D37" i="3" a="1"/>
  <c r="D37" i="3" s="1"/>
  <c r="D36" i="3" a="1"/>
  <c r="D36" i="3" s="1"/>
  <c r="D35" i="3" a="1"/>
  <c r="D35" i="3" s="1"/>
  <c r="D34" i="3" a="1"/>
  <c r="D34" i="3" s="1"/>
  <c r="D33" i="3" a="1"/>
  <c r="D33" i="3" s="1"/>
  <c r="D32" i="3" a="1"/>
  <c r="D32" i="3" s="1"/>
  <c r="D31" i="3" a="1"/>
  <c r="D31" i="3" s="1"/>
  <c r="D30" i="3" a="1"/>
  <c r="D30" i="3" s="1"/>
  <c r="D29" i="3" a="1"/>
  <c r="D29" i="3" s="1"/>
  <c r="D28" i="3" a="1"/>
  <c r="D28" i="3" s="1"/>
  <c r="D27" i="3" a="1"/>
  <c r="D27" i="3" s="1"/>
  <c r="D26" i="3" a="1"/>
  <c r="D26" i="3" s="1"/>
  <c r="D25" i="3" a="1"/>
  <c r="D25" i="3" s="1"/>
  <c r="D24" i="3" a="1"/>
  <c r="D24" i="3" s="1"/>
  <c r="D23" i="3" a="1"/>
  <c r="D23" i="3" s="1"/>
  <c r="D22" i="3" a="1"/>
  <c r="D22" i="3" s="1"/>
  <c r="D21" i="3" a="1"/>
  <c r="D21" i="3" s="1"/>
  <c r="D20" i="3" a="1"/>
  <c r="D20" i="3" s="1"/>
  <c r="D19" i="3" a="1"/>
  <c r="D19" i="3" s="1"/>
  <c r="D18" i="3" a="1"/>
  <c r="D18" i="3" s="1"/>
  <c r="D17" i="3" a="1"/>
  <c r="D17" i="3" s="1"/>
  <c r="D16" i="3" a="1"/>
  <c r="D16" i="3" s="1"/>
  <c r="D15" i="3" a="1"/>
  <c r="D15" i="3" s="1"/>
  <c r="D14" i="3" a="1"/>
  <c r="D14" i="3" s="1"/>
  <c r="D13" i="3" a="1"/>
  <c r="D13" i="3" s="1"/>
  <c r="D12" i="3" a="1"/>
  <c r="D12" i="3" s="1"/>
  <c r="D11" i="3" a="1"/>
  <c r="D11" i="3" s="1"/>
  <c r="D10" i="3" a="1"/>
  <c r="D10" i="3" s="1"/>
  <c r="D9" i="3" a="1"/>
  <c r="D9" i="3" s="1"/>
  <c r="D8" i="3" a="1"/>
  <c r="D8" i="3" s="1"/>
  <c r="D7" i="3" a="1"/>
  <c r="D7" i="3" s="1"/>
  <c r="D6" i="3" a="1"/>
  <c r="D6" i="3" s="1"/>
  <c r="D5" i="3" a="1"/>
  <c r="D5" i="3" s="1"/>
  <c r="E49" i="3" l="1"/>
  <c r="E57" i="3"/>
  <c r="E63" i="3"/>
  <c r="E67" i="3"/>
  <c r="E69" i="3"/>
  <c r="E71" i="3"/>
  <c r="E73" i="3"/>
  <c r="E77" i="3"/>
  <c r="E81" i="3"/>
  <c r="E91" i="3"/>
  <c r="E93" i="3"/>
  <c r="E97" i="3"/>
  <c r="E12" i="3"/>
  <c r="E26" i="3"/>
  <c r="E28" i="3"/>
  <c r="E36" i="3"/>
  <c r="E40" i="3"/>
  <c r="E48" i="3"/>
  <c r="E11" i="3"/>
  <c r="E76" i="3"/>
  <c r="E84" i="3"/>
  <c r="E5" i="3"/>
  <c r="E6" i="3"/>
  <c r="E10" i="3"/>
  <c r="E13" i="3"/>
  <c r="E19" i="3"/>
  <c r="E23" i="3"/>
  <c r="E29" i="3"/>
  <c r="E31" i="3"/>
  <c r="E39" i="3"/>
  <c r="E47" i="3"/>
  <c r="E102" i="3"/>
  <c r="E104" i="3"/>
  <c r="E114" i="3"/>
  <c r="E118" i="3"/>
  <c r="E120" i="3"/>
  <c r="E122" i="3"/>
  <c r="E124" i="3"/>
  <c r="E126" i="3"/>
  <c r="E130" i="3"/>
  <c r="E132" i="3"/>
  <c r="E140" i="3"/>
  <c r="E142" i="3"/>
  <c r="E18" i="3"/>
  <c r="E101" i="3"/>
  <c r="E103" i="3"/>
  <c r="E109" i="3"/>
  <c r="E113" i="3"/>
  <c r="E115" i="3"/>
  <c r="E117" i="3"/>
  <c r="E119" i="3"/>
  <c r="E121" i="3"/>
  <c r="E123" i="3"/>
  <c r="E125" i="3"/>
  <c r="E127" i="3"/>
  <c r="E131" i="3"/>
  <c r="E135" i="3"/>
  <c r="E139" i="3"/>
  <c r="E141" i="3"/>
  <c r="E143" i="3"/>
  <c r="E25" i="3"/>
  <c r="E45" i="3"/>
  <c r="E86" i="3"/>
  <c r="E22" i="3"/>
  <c r="E24" i="3"/>
  <c r="E54" i="3"/>
  <c r="E65" i="3"/>
  <c r="E85" i="3"/>
  <c r="E99" i="3"/>
  <c r="E34" i="3"/>
  <c r="E37" i="3"/>
  <c r="E116" i="3"/>
  <c r="E14" i="3"/>
  <c r="E41" i="3"/>
  <c r="E95" i="3"/>
  <c r="E105" i="3"/>
  <c r="E107" i="3"/>
  <c r="E111" i="3"/>
  <c r="E129" i="3"/>
  <c r="E7" i="3"/>
  <c r="E38" i="3"/>
  <c r="E42" i="3"/>
  <c r="E46" i="3"/>
  <c r="E30" i="3"/>
  <c r="E8" i="3"/>
  <c r="E16" i="3"/>
  <c r="E32" i="3"/>
  <c r="E55" i="3"/>
  <c r="E64" i="3"/>
  <c r="E66" i="3"/>
  <c r="E72" i="3"/>
  <c r="E74" i="3"/>
  <c r="E78" i="3"/>
  <c r="E80" i="3"/>
  <c r="E90" i="3"/>
  <c r="E92" i="3"/>
  <c r="E94" i="3"/>
  <c r="E96" i="3"/>
  <c r="E98" i="3"/>
  <c r="E100" i="3"/>
  <c r="E106" i="3"/>
  <c r="E108" i="3"/>
  <c r="E110" i="3"/>
  <c r="E112" i="3"/>
  <c r="E128" i="3"/>
  <c r="E136" i="3"/>
  <c r="E50" i="3"/>
  <c r="E58" i="3"/>
  <c r="E9" i="3"/>
  <c r="E17" i="3"/>
  <c r="E134" i="3"/>
  <c r="E20" i="3"/>
  <c r="E21" i="3"/>
  <c r="E33" i="3"/>
  <c r="E44" i="3"/>
  <c r="E52" i="3"/>
  <c r="E15" i="3"/>
  <c r="E27" i="3"/>
  <c r="E35" i="3"/>
  <c r="E43" i="3"/>
  <c r="E51" i="3"/>
  <c r="E75" i="3"/>
  <c r="E133" i="3"/>
  <c r="E137" i="3"/>
  <c r="E138" i="3"/>
  <c r="B6" i="1" l="1" a="1"/>
  <c r="B6" i="1" s="1"/>
  <c r="B7" i="1" a="1"/>
  <c r="B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<sst xmlns="http://schemas.openxmlformats.org/spreadsheetml/2006/main" count="365" uniqueCount="223">
  <si>
    <t>Value</t>
  </si>
  <si>
    <t>Output</t>
  </si>
  <si>
    <t>How to retrieve Top 3 Max value if it’s that value repeating 2 times or more in excel column.</t>
  </si>
  <si>
    <t>Function must return max value only &amp; not blank.</t>
  </si>
  <si>
    <t xml:space="preserve">Name </t>
  </si>
  <si>
    <t>E Code</t>
  </si>
  <si>
    <t>Amount</t>
  </si>
  <si>
    <t>Ranks</t>
  </si>
  <si>
    <t>RankSum</t>
  </si>
  <si>
    <t>00403</t>
  </si>
  <si>
    <t>00592</t>
  </si>
  <si>
    <t>00011</t>
  </si>
  <si>
    <t>00012</t>
  </si>
  <si>
    <t>00013</t>
  </si>
  <si>
    <t>00014</t>
  </si>
  <si>
    <t>00018</t>
  </si>
  <si>
    <t>00023</t>
  </si>
  <si>
    <t>00024</t>
  </si>
  <si>
    <t>00027</t>
  </si>
  <si>
    <t>00028</t>
  </si>
  <si>
    <t>00030</t>
  </si>
  <si>
    <t>00031</t>
  </si>
  <si>
    <t>00034</t>
  </si>
  <si>
    <t>00039</t>
  </si>
  <si>
    <t>00041</t>
  </si>
  <si>
    <t>00042</t>
  </si>
  <si>
    <t>00046</t>
  </si>
  <si>
    <t>00049</t>
  </si>
  <si>
    <t>00050</t>
  </si>
  <si>
    <t>00051</t>
  </si>
  <si>
    <t>00052</t>
  </si>
  <si>
    <t>00054</t>
  </si>
  <si>
    <t>00061</t>
  </si>
  <si>
    <t>00064</t>
  </si>
  <si>
    <t>00067</t>
  </si>
  <si>
    <t>00071</t>
  </si>
  <si>
    <t>00074</t>
  </si>
  <si>
    <t>00077</t>
  </si>
  <si>
    <t>00078</t>
  </si>
  <si>
    <t>00084</t>
  </si>
  <si>
    <t>00090</t>
  </si>
  <si>
    <t>00092</t>
  </si>
  <si>
    <t>00095</t>
  </si>
  <si>
    <t>00105</t>
  </si>
  <si>
    <t>00106</t>
  </si>
  <si>
    <t>00107</t>
  </si>
  <si>
    <t>00108</t>
  </si>
  <si>
    <t>00119</t>
  </si>
  <si>
    <t>00121</t>
  </si>
  <si>
    <t>00125</t>
  </si>
  <si>
    <t>00129</t>
  </si>
  <si>
    <t>00130</t>
  </si>
  <si>
    <t>00134</t>
  </si>
  <si>
    <t>00136</t>
  </si>
  <si>
    <t>00139</t>
  </si>
  <si>
    <t>00148</t>
  </si>
  <si>
    <t>00149</t>
  </si>
  <si>
    <t>00150</t>
  </si>
  <si>
    <t>00151</t>
  </si>
  <si>
    <t>00155</t>
  </si>
  <si>
    <t>00161</t>
  </si>
  <si>
    <t>00162</t>
  </si>
  <si>
    <t>00173</t>
  </si>
  <si>
    <t>00177</t>
  </si>
  <si>
    <t>00178</t>
  </si>
  <si>
    <t>00182</t>
  </si>
  <si>
    <t>00185</t>
  </si>
  <si>
    <t>00186</t>
  </si>
  <si>
    <t>00195</t>
  </si>
  <si>
    <t>00196</t>
  </si>
  <si>
    <t>00197</t>
  </si>
  <si>
    <t>00206</t>
  </si>
  <si>
    <t>00218</t>
  </si>
  <si>
    <t>00220</t>
  </si>
  <si>
    <t>00228</t>
  </si>
  <si>
    <t>00233</t>
  </si>
  <si>
    <t>00235</t>
  </si>
  <si>
    <t>00236</t>
  </si>
  <si>
    <t>00240</t>
  </si>
  <si>
    <t>00242</t>
  </si>
  <si>
    <t>00245</t>
  </si>
  <si>
    <t>00260</t>
  </si>
  <si>
    <t>00262</t>
  </si>
  <si>
    <t>00280</t>
  </si>
  <si>
    <t>00286</t>
  </si>
  <si>
    <t>00288</t>
  </si>
  <si>
    <t>00297</t>
  </si>
  <si>
    <t>00327</t>
  </si>
  <si>
    <t>00340</t>
  </si>
  <si>
    <t>00383</t>
  </si>
  <si>
    <t>00422</t>
  </si>
  <si>
    <t>00424</t>
  </si>
  <si>
    <t>00425</t>
  </si>
  <si>
    <t>00534</t>
  </si>
  <si>
    <t>00537</t>
  </si>
  <si>
    <t>00552</t>
  </si>
  <si>
    <t>00553</t>
  </si>
  <si>
    <t>00573</t>
  </si>
  <si>
    <t>00458</t>
  </si>
  <si>
    <t>00189</t>
  </si>
  <si>
    <t>00094</t>
  </si>
  <si>
    <t>00184</t>
  </si>
  <si>
    <t>00267</t>
  </si>
  <si>
    <t>00279</t>
  </si>
  <si>
    <t>00229</t>
  </si>
  <si>
    <t>00171</t>
  </si>
  <si>
    <t>Q-1</t>
  </si>
  <si>
    <t>Q-2</t>
  </si>
  <si>
    <t>Q-3</t>
  </si>
  <si>
    <t>Roll No.</t>
  </si>
  <si>
    <t>Name</t>
  </si>
  <si>
    <t>RAM</t>
  </si>
  <si>
    <t>Organic</t>
  </si>
  <si>
    <t>Q-1 Marks</t>
  </si>
  <si>
    <t>Q-2 Marks</t>
  </si>
  <si>
    <t>Q-3 Marks</t>
  </si>
  <si>
    <t>Solution 1</t>
  </si>
  <si>
    <t>Optimized Solution</t>
  </si>
  <si>
    <t>a</t>
  </si>
  <si>
    <t>b</t>
  </si>
  <si>
    <t>c</t>
  </si>
  <si>
    <t>ROM</t>
  </si>
  <si>
    <t>I have an excel sheet with students data like roll number, name and the answers they have given in quiz. Sample file: A2 to E5. c2, d2 and e2 are correct answers of Q1, 2 and 3.</t>
  </si>
  <si>
    <t>I want to calculate total marks obtained by each student.Is there any single formula with which this calculation can be done directly without creating extra table?</t>
  </si>
  <si>
    <t>I need to extract the email address only from a certain strings of words</t>
  </si>
  <si>
    <t>if column A range contains apples and pears then count column c that contains cancelled or pending</t>
  </si>
  <si>
    <t>Column1</t>
  </si>
  <si>
    <t>Column2</t>
  </si>
  <si>
    <t>Column3</t>
  </si>
  <si>
    <t>Result</t>
  </si>
  <si>
    <t>Count</t>
  </si>
  <si>
    <t>Oranges</t>
  </si>
  <si>
    <t>Clint</t>
  </si>
  <si>
    <t>Done</t>
  </si>
  <si>
    <t xml:space="preserve">Clint </t>
  </si>
  <si>
    <t>Pending</t>
  </si>
  <si>
    <t>Sandra</t>
  </si>
  <si>
    <t>Apples</t>
  </si>
  <si>
    <t>Cancelled</t>
  </si>
  <si>
    <t>Rambo</t>
  </si>
  <si>
    <t>Pums</t>
  </si>
  <si>
    <t>Chandoo</t>
  </si>
  <si>
    <t>Doris</t>
  </si>
  <si>
    <t>Pears</t>
  </si>
  <si>
    <t xml:space="preserve">We have list of employees Lic Deductions in salary. we need to deduct their lic in salary as per their salary earnings. </t>
  </si>
  <si>
    <t>someone is getting salary lower than his total lic Deduction then we have to follow policy wise. please need a formula to get that sum value from lowest value highest value</t>
  </si>
  <si>
    <t>Sujata Mohanty</t>
  </si>
  <si>
    <t>Suraj Rajput</t>
  </si>
  <si>
    <t>Pramod Bhavsar</t>
  </si>
  <si>
    <t>Satsh Ojha</t>
  </si>
  <si>
    <t>Sintu Kumar</t>
  </si>
  <si>
    <t>Krutika Shelar</t>
  </si>
  <si>
    <t>Arjun Shaw</t>
  </si>
  <si>
    <t>Shrikant Badge</t>
  </si>
  <si>
    <t>Jitender Kumar</t>
  </si>
  <si>
    <t>Dharmendar Rana</t>
  </si>
  <si>
    <t>Adnan Soukat</t>
  </si>
  <si>
    <t>Sheetal Nishad</t>
  </si>
  <si>
    <t>Monika Pawar</t>
  </si>
  <si>
    <t>Meena Mourya</t>
  </si>
  <si>
    <t>Ashu Sharma</t>
  </si>
  <si>
    <t>Harivansh Gautam</t>
  </si>
  <si>
    <t>Vini Saini</t>
  </si>
  <si>
    <t>Anand Singh Rajput</t>
  </si>
  <si>
    <t>Jaishri Saxena</t>
  </si>
  <si>
    <t>Virender Sroha</t>
  </si>
  <si>
    <t>Sourav Maity</t>
  </si>
  <si>
    <t>Abir Sarkar</t>
  </si>
  <si>
    <t>Sandeep Aswal</t>
  </si>
  <si>
    <t>Karan Kapoor</t>
  </si>
  <si>
    <t>Kishor Panara</t>
  </si>
  <si>
    <t>Ubaidillah Muhammad</t>
  </si>
  <si>
    <t>Aakanksha Srivastava</t>
  </si>
  <si>
    <t>Sudhakar Arya</t>
  </si>
  <si>
    <t>Tejpal Sain</t>
  </si>
  <si>
    <t>Shagor Ahmed</t>
  </si>
  <si>
    <t>Manpreet Kaur</t>
  </si>
  <si>
    <t>Meenav Shah</t>
  </si>
  <si>
    <t>Ajinkya Shinde</t>
  </si>
  <si>
    <t>Sanjay Chaurasia</t>
  </si>
  <si>
    <t>Vicky Singh</t>
  </si>
  <si>
    <t>Feroz Khilji</t>
  </si>
  <si>
    <t>Naeem Khan</t>
  </si>
  <si>
    <t>Ram Singh</t>
  </si>
  <si>
    <t>Rav Kumar</t>
  </si>
  <si>
    <t>Asihwarya Ambasta</t>
  </si>
  <si>
    <t>Ajay Singh</t>
  </si>
  <si>
    <t>Aftab Alam</t>
  </si>
  <si>
    <t>Raj Kumar</t>
  </si>
  <si>
    <t>Jyoti Chaudhary</t>
  </si>
  <si>
    <t>Arban Khan</t>
  </si>
  <si>
    <t>Bhoopendra Raghav</t>
  </si>
  <si>
    <t>Ekanshika Kalra</t>
  </si>
  <si>
    <t>Rakesh Singh</t>
  </si>
  <si>
    <t>Harish Tote</t>
  </si>
  <si>
    <t>Rakesh Ky</t>
  </si>
  <si>
    <t>Rajnikant Kamble</t>
  </si>
  <si>
    <t>Kanika Mathur</t>
  </si>
  <si>
    <t>Lokesh Singh Bisht</t>
  </si>
  <si>
    <t>Vikram Kumar</t>
  </si>
  <si>
    <t>Archana Kumari</t>
  </si>
  <si>
    <t>Banda Satyanarayana</t>
  </si>
  <si>
    <t>Vandan Dave</t>
  </si>
  <si>
    <t>Anil Hoge</t>
  </si>
  <si>
    <t>Paramjeet Singh</t>
  </si>
  <si>
    <t>Tarjit Malka</t>
  </si>
  <si>
    <t>Heman Gusain</t>
  </si>
  <si>
    <t>Nadeem Ahmed</t>
  </si>
  <si>
    <t>Shivam Daksh</t>
  </si>
  <si>
    <t>Prashant Pnajabi</t>
  </si>
  <si>
    <t>Narayan Lohar</t>
  </si>
  <si>
    <t>Kiran Dodke</t>
  </si>
  <si>
    <t>Dheeraj Attri</t>
  </si>
  <si>
    <t>Deeksha Agrawal</t>
  </si>
  <si>
    <t>Ayushi Patel</t>
  </si>
  <si>
    <t>Sunil Kumar</t>
  </si>
  <si>
    <t>Puran Singh</t>
  </si>
  <si>
    <t>Pavan Kumar</t>
  </si>
  <si>
    <t>Mahboob Hossain</t>
  </si>
  <si>
    <t>Anmol Singh</t>
  </si>
  <si>
    <t>Shiv Kumar</t>
  </si>
  <si>
    <t>Sameena Rafiq &lt;rafiq.sameena@innozant.coms&gt;</t>
  </si>
  <si>
    <t>12345&gt;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</si>
</sst>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141414"/>
      <name val="Segoe U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41414"/>
      <name val="Segoe UI"/>
      <family val="2"/>
    </font>
    <font>
      <b/>
      <sz val="11"/>
      <color rgb="FF141414"/>
      <name val="Segoe UI"/>
      <family val="2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Times New Roman"/>
      <family val="1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EFEF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gradientFill type="path" left="0.5" right="0.5" top="0.5" bottom="0.5">
        <stop position="0">
          <color theme="7" tint="-0.25098422193060094"/>
        </stop>
        <stop position="1">
          <color rgb="FF002060"/>
        </stop>
      </gradient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10" fillId="6" borderId="3" applyBorder="0">
      <alignment horizontal="center" vertical="center"/>
    </xf>
  </cellStyleXfs>
  <cellXfs count="16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0" borderId="0" xfId="0" applyFont="1"/>
    <xf numFmtId="0" fontId="2" fillId="0" borderId="0" xfId="1"/>
    <xf numFmtId="0" fontId="2" fillId="4" borderId="0" xfId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4" borderId="2" xfId="0" applyFill="1" applyBorder="1"/>
    <xf numFmtId="0" fontId="1" fillId="5" borderId="2" xfId="0" applyFont="1" applyFill="1" applyBorder="1"/>
    <xf numFmtId="0" fontId="4" fillId="0" borderId="0" xfId="2"/>
    <xf numFmtId="0" fontId="5" fillId="0" borderId="0" xfId="0" applyFont="1"/>
    <xf numFmtId="0" fontId="6" fillId="0" borderId="0" xfId="0" applyFont="1"/>
    <xf numFmtId="0" fontId="7" fillId="0" borderId="0" xfId="1" applyFont="1"/>
    <xf numFmtId="0" fontId="11" fillId="7" borderId="0" xfId="0" applyFont="1" applyFill="1"/>
  </cellXfs>
  <cellStyles count="6">
    <cellStyle name="Accent5 2" xfId="3" xr:uid="{1B01C087-4E0B-4AD6-83C4-A2AF91CDB4A1}"/>
    <cellStyle name="Hyperlink" xfId="2" builtinId="8"/>
    <cellStyle name="Normal" xfId="0" builtinId="0"/>
    <cellStyle name="Normal 2" xfId="1" xr:uid="{438C58C7-BB9A-428F-A580-3E50E46B70E5}"/>
    <cellStyle name="Normal 3" xfId="4" xr:uid="{D2543679-1604-46F5-900E-36F14BDEAD7E}"/>
    <cellStyle name="Style 1" xfId="5" xr:uid="{E16FFDD1-859F-4496-98CC-8153CD4D0418}"/>
  </cellStyles>
  <dxfs count="3"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9CC31-916E-41E5-B678-37D1896A6070}" name="T_1" displayName="T_1" ref="A3:C16" totalsRowShown="0" headerRowDxfId="2">
  <autoFilter ref="A3:C16" xr:uid="{BAB70FA6-E7A4-4942-AAB2-F065E5722FFA}"/>
  <tableColumns count="3">
    <tableColumn id="1" xr3:uid="{CE8FC2E5-2C4B-4819-B321-DF0E7F00EDDD}" name="Column1"/>
    <tableColumn id="2" xr3:uid="{C974B8D9-929B-49A4-856F-AA08EE58C9FA}" name="Column2"/>
    <tableColumn id="3" xr3:uid="{9809D4F5-335D-4D2F-A5A9-741D2542E614}" name="Column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C0D0C-F2D8-4F25-9005-0893EB920466}" name="T_2" displayName="T_2" ref="E3:F8" totalsRowShown="0" headerRowDxfId="1">
  <autoFilter ref="E3:F8" xr:uid="{E4F30978-592D-4567-B388-2848573B72B3}"/>
  <tableColumns count="2">
    <tableColumn id="1" xr3:uid="{3C21AD21-3873-4721-B7E7-93DED4D27983}" name="Result"/>
    <tableColumn id="3" xr3:uid="{B465D99F-3800-4568-9B21-0C62DF94F4C0}" name="Count" dataDxfId="0">
      <calculatedColumnFormula array="1">SUM(COUNTIFS(A:A,{"apples","pears"},C:C,{"cancelled";"pending"},B:B,T_2[[#This Row],[Result]]))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ronaldo.alvarez@xx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K6" sqref="K6"/>
    </sheetView>
  </sheetViews>
  <sheetFormatPr defaultRowHeight="14.4" x14ac:dyDescent="0.3"/>
  <sheetData>
    <row r="1" spans="1:11" ht="16.8" x14ac:dyDescent="0.4">
      <c r="A1" s="2" t="s">
        <v>2</v>
      </c>
    </row>
    <row r="2" spans="1:11" ht="16.8" x14ac:dyDescent="0.4">
      <c r="A2" s="2" t="s">
        <v>3</v>
      </c>
    </row>
    <row r="4" spans="1:11" ht="15" thickBot="1" x14ac:dyDescent="0.35">
      <c r="A4" t="s">
        <v>0</v>
      </c>
      <c r="B4" t="s">
        <v>1</v>
      </c>
    </row>
    <row r="5" spans="1:11" ht="17.399999999999999" thickBot="1" x14ac:dyDescent="0.45">
      <c r="A5" s="1">
        <v>0</v>
      </c>
      <c r="B5" s="2" cm="1">
        <f t="array" ref="B5">LARGE(IF(FREQUENCY($A$5:$A$17,$A$5:$A$17)&gt;1,$A$5:$A$17),ROWS(C$5:C5))</f>
        <v>7</v>
      </c>
      <c r="C5" cm="1">
        <f t="array" ref="C5">LARGE(_xlfn.UNIQUE(IF(COUNTIF(A5:A16,A5:A16)&gt;1,A5:A16,"")),ROWS($C$5:C5))</f>
        <v>7</v>
      </c>
      <c r="E5" s="15" cm="1">
        <f t="array" ref="E5">LARGE(_xlfn.UNIQUE(IF(COUNTIF($A$5:$A$16,$A$5:$A$16)&gt;1,$A$5:$A$16,"")), ROWS($F$5:F5))</f>
        <v>7</v>
      </c>
      <c r="H5" cm="1">
        <f t="array" ref="H5">LARGE(_xlfn.UNIQUE(IF(COUNTIF($A$5:$A$16,$A$5:$A$16)&gt;1,$A$5:$A$16,"")), ROWS($G$5:G5))</f>
        <v>7</v>
      </c>
      <c r="K5" cm="1">
        <f t="array" ref="K5">LARGE(_xlfn.UNIQUE(IF(COUNTIF($A$5:$A$16,$A$5:$A$16)&gt;1,$A$5:$A$16,"")),ROWS($J$5:J5))</f>
        <v>7</v>
      </c>
    </row>
    <row r="6" spans="1:11" ht="17.399999999999999" thickBot="1" x14ac:dyDescent="0.45">
      <c r="A6" s="1">
        <v>50</v>
      </c>
      <c r="B6" s="2" cm="1">
        <f t="array" ref="B6">LARGE(IF(FREQUENCY($A$5:$A$17,$A$5:$A$17)&gt;1,$A$5:$A$17),ROWS(C$5:C6))</f>
        <v>5</v>
      </c>
      <c r="C6" cm="1">
        <f t="array" ref="C6">LARGE(_xlfn.UNIQUE(IF(COUNTIF(A6:A17,A6:A17)&gt;1,A6:A17,"")),ROWS($C$5:C6))</f>
        <v>5</v>
      </c>
      <c r="E6" s="15" cm="1">
        <f t="array" ref="E6">LARGE(_xlfn.UNIQUE(IF(COUNTIF($A$5:$A$16,$A$5:$A$16)&gt;1,$A$5:$A$16,"")), ROWS($F$5:F6))</f>
        <v>5</v>
      </c>
      <c r="H6" cm="1">
        <f t="array" ref="H6">LARGE(_xlfn.UNIQUE(IF(COUNTIF($A$5:$A$16,$A$5:$A$16)&gt;1,$A$5:$A$16,"")), ROWS($G$5:G6))</f>
        <v>5</v>
      </c>
      <c r="K6" cm="1">
        <f t="array" ref="K6">LARGE(_xlfn.UNIQUE(IF(COUNTIF($A$5:$A$16,$A$5:$A$16)&gt;1,$A$5:$A$16,"")),ROWS($J$5:J6))</f>
        <v>5</v>
      </c>
    </row>
    <row r="7" spans="1:11" ht="17.399999999999999" thickBot="1" x14ac:dyDescent="0.45">
      <c r="A7" s="1">
        <v>2</v>
      </c>
      <c r="B7" s="2" cm="1">
        <f t="array" ref="B7">LARGE(IF(FREQUENCY($A$5:$A$17,$A$5:$A$17)&gt;1,$A$5:$A$17),ROWS(C$5:C7))</f>
        <v>2</v>
      </c>
      <c r="C7" cm="1">
        <f t="array" ref="C7">LARGE(_xlfn.UNIQUE(IF(COUNTIF(A7:A18,A7:A18)&gt;1,A7:A18,"")),ROWS($C$5:C7))</f>
        <v>2</v>
      </c>
      <c r="E7" s="15" cm="1">
        <f t="array" ref="E7">LARGE(_xlfn.UNIQUE(IF(COUNTIF($A$5:$A$16,$A$5:$A$16)&gt;1,$A$5:$A$16,"")), ROWS($F$5:F7))</f>
        <v>2</v>
      </c>
      <c r="H7" cm="1">
        <f t="array" ref="H7">LARGE(_xlfn.UNIQUE(IF(COUNTIF($A$5:$A$16,$A$5:$A$16)&gt;1,$A$5:$A$16,"")), ROWS($G$5:G7))</f>
        <v>2</v>
      </c>
      <c r="K7" cm="1">
        <f t="array" ref="K7">LARGE(_xlfn.UNIQUE(IF(COUNTIF($A$5:$A$16,$A$5:$A$16)&gt;1,$A$5:$A$16,"")),ROWS($J$5:J7))</f>
        <v>2</v>
      </c>
    </row>
    <row r="8" spans="1:11" ht="17.399999999999999" thickBot="1" x14ac:dyDescent="0.45">
      <c r="A8" s="1">
        <v>8</v>
      </c>
      <c r="B8" s="2"/>
    </row>
    <row r="9" spans="1:11" ht="17.399999999999999" thickBot="1" x14ac:dyDescent="0.45">
      <c r="A9" s="1">
        <v>2</v>
      </c>
      <c r="B9" s="2"/>
    </row>
    <row r="10" spans="1:11" ht="17.399999999999999" thickBot="1" x14ac:dyDescent="0.45">
      <c r="A10" s="1">
        <v>5</v>
      </c>
      <c r="B10" s="2"/>
    </row>
    <row r="11" spans="1:11" ht="17.399999999999999" thickBot="1" x14ac:dyDescent="0.45">
      <c r="A11" s="1">
        <v>4</v>
      </c>
      <c r="B11" s="2"/>
    </row>
    <row r="12" spans="1:11" ht="17.399999999999999" thickBot="1" x14ac:dyDescent="0.45">
      <c r="A12" s="1">
        <v>7</v>
      </c>
      <c r="B12" s="2"/>
    </row>
    <row r="13" spans="1:11" ht="17.399999999999999" thickBot="1" x14ac:dyDescent="0.45">
      <c r="A13" s="1">
        <v>7</v>
      </c>
      <c r="B13" s="2"/>
    </row>
    <row r="14" spans="1:11" ht="17.399999999999999" thickBot="1" x14ac:dyDescent="0.45">
      <c r="A14" s="1">
        <v>5</v>
      </c>
      <c r="B14" s="2"/>
    </row>
    <row r="15" spans="1:11" ht="17.399999999999999" thickBot="1" x14ac:dyDescent="0.45">
      <c r="A15" s="1">
        <v>7</v>
      </c>
      <c r="B15" s="2"/>
    </row>
    <row r="16" spans="1:11" ht="17.399999999999999" thickBot="1" x14ac:dyDescent="0.45">
      <c r="A16" s="1">
        <v>150</v>
      </c>
      <c r="B1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5303-A1CB-469A-9DA9-F2B89684BF65}">
  <dimension ref="A1:P16"/>
  <sheetViews>
    <sheetView workbookViewId="0">
      <selection activeCell="P4" sqref="P4:P8"/>
    </sheetView>
  </sheetViews>
  <sheetFormatPr defaultRowHeight="14.4" x14ac:dyDescent="0.3"/>
  <cols>
    <col min="1" max="3" width="12.6640625" customWidth="1"/>
    <col min="4" max="4" width="2.6640625" customWidth="1"/>
  </cols>
  <sheetData>
    <row r="1" spans="1:16" ht="16.8" x14ac:dyDescent="0.4">
      <c r="A1" s="13" t="s">
        <v>125</v>
      </c>
    </row>
    <row r="2" spans="1:16" ht="16.8" x14ac:dyDescent="0.4">
      <c r="A2" s="13"/>
    </row>
    <row r="3" spans="1:16" x14ac:dyDescent="0.3">
      <c r="A3" t="s">
        <v>126</v>
      </c>
      <c r="B3" t="s">
        <v>127</v>
      </c>
      <c r="C3" t="s">
        <v>128</v>
      </c>
      <c r="E3" t="s">
        <v>129</v>
      </c>
      <c r="F3" t="s">
        <v>130</v>
      </c>
    </row>
    <row r="4" spans="1:16" x14ac:dyDescent="0.3">
      <c r="A4" t="s">
        <v>131</v>
      </c>
      <c r="B4" t="s">
        <v>132</v>
      </c>
      <c r="C4" t="s">
        <v>133</v>
      </c>
      <c r="E4" t="s">
        <v>132</v>
      </c>
      <c r="F4" cm="1">
        <f t="array" ref="F4">SUM(COUNTIFS(A:A,{"apples","pears"},C:C,{"cancelled";"pending"},B:B,T_2[[#This Row],[Result]]))</f>
        <v>1</v>
      </c>
      <c r="H4" cm="1">
        <f t="array" ref="H4">SUMPRODUCT(((T_1[Column1]="Apples")+(T_1[Column1]="Pears"))*((T_1[Column3]="Cancelled")+(T_1[Column3]="Pending"))*(T_1[Column2]=T_2[[#This Row],[Result]]))</f>
        <v>1</v>
      </c>
      <c r="J4" cm="1">
        <f t="array" ref="J4">SUM(COUNTIFS(T_1[Column1],{"apples","Pears"},T_1[Column3],{"cancelled";"pending"},T_1[Column2],T_2[[#This Row],[Result]]))</f>
        <v>1</v>
      </c>
      <c r="L4" s="15" cm="1">
        <f t="array" ref="L4">SUM(COUNTIFS(T_1[Column1],{"pears";"apples"},T_1[Column3],{"cancelled","pending"},T_1[Column2],T_2[[#This Row],[Result]]))</f>
        <v>1</v>
      </c>
      <c r="N4" cm="1">
        <f t="array" ref="N4">SUM(COUNTIFS(T_1[Column1], {"apples","pears"}, T_1[Column2],T_2[[#This Row],[Result]],T_1[Column3], {"cancelled";"pending"}))</f>
        <v>1</v>
      </c>
      <c r="P4" cm="1">
        <f t="array" ref="P4">SUM(COUNTIFS(T_1[Column2],T_2[[#This Row],[Result]],T_1[Column3],{"cancelled","Pending"},T_1[Column1],{"Apples";"Pears"}))</f>
        <v>1</v>
      </c>
    </row>
    <row r="5" spans="1:16" x14ac:dyDescent="0.3">
      <c r="A5" t="s">
        <v>131</v>
      </c>
      <c r="B5" t="s">
        <v>134</v>
      </c>
      <c r="C5" t="s">
        <v>135</v>
      </c>
      <c r="E5" t="s">
        <v>136</v>
      </c>
      <c r="F5" cm="1">
        <f t="array" ref="F5">SUM(COUNTIFS(A:A,{"apples","pears"},C:C,{"cancelled";"pending"},B:B,T_2[[#This Row],[Result]]))</f>
        <v>1</v>
      </c>
      <c r="H5" cm="1">
        <f t="array" ref="H5">SUMPRODUCT(((T_1[Column1]="Apples")+(T_1[Column1]="Pears"))*((T_1[Column3]="Cancelled")+(T_1[Column3]="Pending"))*(T_1[Column2]=T_2[[#This Row],[Result]]))</f>
        <v>1</v>
      </c>
      <c r="J5" cm="1">
        <f t="array" ref="J5">SUM(COUNTIFS(T_1[Column1],{"apples","Pears"},T_1[Column3],{"cancelled";"pending"},T_1[Column2],T_2[[#This Row],[Result]]))</f>
        <v>1</v>
      </c>
      <c r="L5" s="15" cm="1">
        <f t="array" ref="L5">SUM(COUNTIFS(T_1[Column1],{"pears";"apples"},T_1[Column3],{"cancelled","pending"},T_1[Column2],T_2[[#This Row],[Result]]))</f>
        <v>1</v>
      </c>
      <c r="N5" cm="1">
        <f t="array" ref="N5">SUM(COUNTIFS(T_1[Column1], {"apples","pears"}, T_1[Column2],T_2[[#This Row],[Result]],T_1[Column3], {"cancelled";"pending"}))</f>
        <v>1</v>
      </c>
      <c r="P5" cm="1">
        <f t="array" ref="P5">SUM(COUNTIFS(T_1[Column2],T_2[[#This Row],[Result]],T_1[Column3],{"cancelled","Pending"},T_1[Column1],{"Apples";"Pears"}))</f>
        <v>1</v>
      </c>
    </row>
    <row r="6" spans="1:16" x14ac:dyDescent="0.3">
      <c r="A6" t="s">
        <v>137</v>
      </c>
      <c r="B6" t="s">
        <v>136</v>
      </c>
      <c r="C6" t="s">
        <v>138</v>
      </c>
      <c r="E6" t="s">
        <v>139</v>
      </c>
      <c r="F6" cm="1">
        <f t="array" ref="F6">SUM(COUNTIFS(A:A,{"apples","pears"},C:C,{"cancelled";"pending"},B:B,T_2[[#This Row],[Result]]))</f>
        <v>0</v>
      </c>
      <c r="H6" cm="1">
        <f t="array" ref="H6">SUMPRODUCT(((T_1[Column1]="Apples")+(T_1[Column1]="Pears"))*((T_1[Column3]="Cancelled")+(T_1[Column3]="Pending"))*(T_1[Column2]=T_2[[#This Row],[Result]]))</f>
        <v>0</v>
      </c>
      <c r="J6" cm="1">
        <f t="array" ref="J6">SUM(COUNTIFS(T_1[Column1],{"apples","Pears"},T_1[Column3],{"cancelled";"pending"},T_1[Column2],T_2[[#This Row],[Result]]))</f>
        <v>0</v>
      </c>
      <c r="L6" s="15" cm="1">
        <f t="array" ref="L6">SUM(COUNTIFS(T_1[Column1],{"pears";"apples"},T_1[Column3],{"cancelled","pending"},T_1[Column2],T_2[[#This Row],[Result]]))</f>
        <v>0</v>
      </c>
      <c r="N6" cm="1">
        <f t="array" ref="N6">SUM(COUNTIFS(T_1[Column1], {"apples","pears"}, T_1[Column2],T_2[[#This Row],[Result]],T_1[Column3], {"cancelled";"pending"}))</f>
        <v>0</v>
      </c>
      <c r="P6" cm="1">
        <f t="array" ref="P6">SUM(COUNTIFS(T_1[Column2],T_2[[#This Row],[Result]],T_1[Column3],{"cancelled","Pending"},T_1[Column1],{"Apples";"Pears"}))</f>
        <v>0</v>
      </c>
    </row>
    <row r="7" spans="1:16" x14ac:dyDescent="0.3">
      <c r="A7" t="s">
        <v>140</v>
      </c>
      <c r="B7" t="s">
        <v>139</v>
      </c>
      <c r="C7" t="s">
        <v>138</v>
      </c>
      <c r="E7" t="s">
        <v>141</v>
      </c>
      <c r="F7" cm="1">
        <f t="array" ref="F7">SUM(COUNTIFS(A:A,{"apples","pears"},C:C,{"cancelled";"pending"},B:B,T_2[[#This Row],[Result]]))</f>
        <v>2</v>
      </c>
      <c r="H7" cm="1">
        <f t="array" ref="H7">SUMPRODUCT(((T_1[Column1]="Apples")+(T_1[Column1]="Pears"))*((T_1[Column3]="Cancelled")+(T_1[Column3]="Pending"))*(T_1[Column2]=T_2[[#This Row],[Result]]))</f>
        <v>2</v>
      </c>
      <c r="J7" cm="1">
        <f t="array" ref="J7">SUM(COUNTIFS(T_1[Column1],{"apples","Pears"},T_1[Column3],{"cancelled";"pending"},T_1[Column2],T_2[[#This Row],[Result]]))</f>
        <v>2</v>
      </c>
      <c r="L7" s="15" cm="1">
        <f t="array" ref="L7">SUM(COUNTIFS(T_1[Column1],{"pears";"apples"},T_1[Column3],{"cancelled","pending"},T_1[Column2],T_2[[#This Row],[Result]]))</f>
        <v>2</v>
      </c>
      <c r="N7" cm="1">
        <f t="array" ref="N7">SUM(COUNTIFS(T_1[Column1], {"apples","pears"}, T_1[Column2],T_2[[#This Row],[Result]],T_1[Column3], {"cancelled";"pending"}))</f>
        <v>2</v>
      </c>
      <c r="P7" cm="1">
        <f t="array" ref="P7">SUM(COUNTIFS(T_1[Column2],T_2[[#This Row],[Result]],T_1[Column3],{"cancelled","Pending"},T_1[Column1],{"Apples";"Pears"}))</f>
        <v>2</v>
      </c>
    </row>
    <row r="8" spans="1:16" x14ac:dyDescent="0.3">
      <c r="A8" t="s">
        <v>140</v>
      </c>
      <c r="B8" t="s">
        <v>141</v>
      </c>
      <c r="C8" t="s">
        <v>135</v>
      </c>
      <c r="E8" t="s">
        <v>142</v>
      </c>
      <c r="F8" cm="1">
        <f t="array" ref="F8">SUM(COUNTIFS(A:A,{"apples","pears"},C:C,{"cancelled";"pending"},B:B,T_2[[#This Row],[Result]]))</f>
        <v>0</v>
      </c>
      <c r="H8" cm="1">
        <f t="array" ref="H8">SUMPRODUCT(((T_1[Column1]="Apples")+(T_1[Column1]="Pears"))*((T_1[Column3]="Cancelled")+(T_1[Column3]="Pending"))*(T_1[Column2]=T_2[[#This Row],[Result]]))</f>
        <v>0</v>
      </c>
      <c r="J8" cm="1">
        <f t="array" ref="J8">SUM(COUNTIFS(T_1[Column1],{"apples","Pears"},T_1[Column3],{"cancelled";"pending"},T_1[Column2],T_2[[#This Row],[Result]]))</f>
        <v>0</v>
      </c>
      <c r="L8" s="15" cm="1">
        <f t="array" ref="L8">SUM(COUNTIFS(T_1[Column1],{"pears";"apples"},T_1[Column3],{"cancelled","pending"},T_1[Column2],T_2[[#This Row],[Result]]))</f>
        <v>0</v>
      </c>
      <c r="N8" cm="1">
        <f t="array" ref="N8">SUM(COUNTIFS(T_1[Column1], {"apples","pears"}, T_1[Column2],T_2[[#This Row],[Result]],T_1[Column3], {"cancelled";"pending"}))</f>
        <v>0</v>
      </c>
      <c r="P8" cm="1">
        <f t="array" ref="P8">SUM(COUNTIFS(T_1[Column2],T_2[[#This Row],[Result]],T_1[Column3],{"cancelled","Pending"},T_1[Column1],{"Apples";"Pears"}))</f>
        <v>0</v>
      </c>
    </row>
    <row r="9" spans="1:16" x14ac:dyDescent="0.3">
      <c r="A9" t="s">
        <v>131</v>
      </c>
      <c r="B9" t="s">
        <v>139</v>
      </c>
      <c r="C9" t="s">
        <v>138</v>
      </c>
    </row>
    <row r="10" spans="1:16" x14ac:dyDescent="0.3">
      <c r="A10" t="s">
        <v>137</v>
      </c>
      <c r="B10" t="s">
        <v>141</v>
      </c>
      <c r="C10" t="s">
        <v>138</v>
      </c>
    </row>
    <row r="11" spans="1:16" x14ac:dyDescent="0.3">
      <c r="A11" t="s">
        <v>137</v>
      </c>
      <c r="B11" t="s">
        <v>132</v>
      </c>
      <c r="C11" t="s">
        <v>138</v>
      </c>
    </row>
    <row r="12" spans="1:16" x14ac:dyDescent="0.3">
      <c r="A12" t="s">
        <v>137</v>
      </c>
      <c r="B12" t="s">
        <v>136</v>
      </c>
      <c r="C12" t="s">
        <v>133</v>
      </c>
    </row>
    <row r="13" spans="1:16" x14ac:dyDescent="0.3">
      <c r="A13" t="s">
        <v>131</v>
      </c>
      <c r="B13" t="s">
        <v>136</v>
      </c>
      <c r="C13" t="s">
        <v>133</v>
      </c>
    </row>
    <row r="14" spans="1:16" x14ac:dyDescent="0.3">
      <c r="A14" t="s">
        <v>137</v>
      </c>
      <c r="B14" t="s">
        <v>142</v>
      </c>
      <c r="C14" t="s">
        <v>133</v>
      </c>
    </row>
    <row r="15" spans="1:16" x14ac:dyDescent="0.3">
      <c r="A15" t="s">
        <v>131</v>
      </c>
      <c r="B15" t="s">
        <v>139</v>
      </c>
      <c r="C15" t="s">
        <v>135</v>
      </c>
    </row>
    <row r="16" spans="1:16" x14ac:dyDescent="0.3">
      <c r="A16" t="s">
        <v>143</v>
      </c>
      <c r="B16" t="s">
        <v>141</v>
      </c>
      <c r="C16" t="s">
        <v>138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F616-9866-43B2-AB76-460E97E74E6A}">
  <dimension ref="A1:E143"/>
  <sheetViews>
    <sheetView workbookViewId="0">
      <selection activeCell="C6" sqref="C6"/>
    </sheetView>
  </sheetViews>
  <sheetFormatPr defaultColWidth="9.109375" defaultRowHeight="13.8" x14ac:dyDescent="0.3"/>
  <cols>
    <col min="1" max="1" width="30.88671875" style="3" bestFit="1" customWidth="1"/>
    <col min="2" max="3" width="9.109375" style="3"/>
    <col min="4" max="4" width="8" style="3" bestFit="1" customWidth="1"/>
    <col min="5" max="5" width="10.44140625" style="3" bestFit="1" customWidth="1"/>
    <col min="6" max="16384" width="9.109375" style="3"/>
  </cols>
  <sheetData>
    <row r="1" spans="1:5" x14ac:dyDescent="0.3">
      <c r="A1" s="14" t="s">
        <v>144</v>
      </c>
    </row>
    <row r="2" spans="1:5" x14ac:dyDescent="0.3">
      <c r="A2" s="14" t="s">
        <v>145</v>
      </c>
    </row>
    <row r="4" spans="1:5" x14ac:dyDescent="0.3">
      <c r="A4" s="3" t="s">
        <v>4</v>
      </c>
      <c r="B4" s="3" t="s">
        <v>5</v>
      </c>
      <c r="C4" s="3" t="s">
        <v>6</v>
      </c>
      <c r="D4" s="4" t="s">
        <v>7</v>
      </c>
      <c r="E4" s="4" t="s">
        <v>8</v>
      </c>
    </row>
    <row r="5" spans="1:5" x14ac:dyDescent="0.3">
      <c r="A5" s="3" t="s">
        <v>146</v>
      </c>
      <c r="B5" s="3" t="s">
        <v>9</v>
      </c>
      <c r="C5" s="3">
        <v>0</v>
      </c>
      <c r="D5" s="3" cm="1">
        <f t="array" ref="D5">SUMPRODUCT((--(A5=$A$5:$A$143)),(--(C5&gt;$C$5:$C$143)))</f>
        <v>0</v>
      </c>
      <c r="E5" s="3">
        <f t="shared" ref="E5:E36" si="0">SUMIFS($C$5:$C$143,$A$5:$A$143,A5,$D$5:$D$143,"&lt;="&amp;D5)</f>
        <v>0</v>
      </c>
    </row>
    <row r="6" spans="1:5" x14ac:dyDescent="0.3">
      <c r="A6" s="3" t="s">
        <v>148</v>
      </c>
      <c r="B6" s="3" t="s">
        <v>10</v>
      </c>
      <c r="C6" s="3">
        <v>988</v>
      </c>
      <c r="D6" s="3" cm="1">
        <f t="array" ref="D6">SUMPRODUCT((--(A6=$A$5:$A$143)),(--(C6&gt;$C$5:$C$143)))</f>
        <v>2</v>
      </c>
      <c r="E6" s="3">
        <f t="shared" si="0"/>
        <v>2261</v>
      </c>
    </row>
    <row r="7" spans="1:5" x14ac:dyDescent="0.3">
      <c r="A7" s="3" t="s">
        <v>149</v>
      </c>
      <c r="B7" s="3" t="s">
        <v>11</v>
      </c>
      <c r="C7" s="3">
        <v>830</v>
      </c>
      <c r="D7" s="3" cm="1">
        <f t="array" ref="D7">SUMPRODUCT((--(A7=$A$5:$A$143)),(--(C7&gt;$C$5:$C$143)))</f>
        <v>2</v>
      </c>
      <c r="E7" s="3">
        <f t="shared" si="0"/>
        <v>1518</v>
      </c>
    </row>
    <row r="8" spans="1:5" x14ac:dyDescent="0.3">
      <c r="A8" s="3" t="s">
        <v>150</v>
      </c>
      <c r="B8" s="3" t="s">
        <v>11</v>
      </c>
      <c r="C8" s="3">
        <v>231</v>
      </c>
      <c r="D8" s="3" cm="1">
        <f t="array" ref="D8">SUMPRODUCT((--(A8=$A$5:$A$143)),(--(C8&gt;$C$5:$C$143)))</f>
        <v>0</v>
      </c>
      <c r="E8" s="3">
        <f t="shared" si="0"/>
        <v>231</v>
      </c>
    </row>
    <row r="9" spans="1:5" x14ac:dyDescent="0.3">
      <c r="A9" s="3" t="s">
        <v>151</v>
      </c>
      <c r="B9" s="3" t="s">
        <v>11</v>
      </c>
      <c r="C9" s="3">
        <v>546</v>
      </c>
      <c r="D9" s="3" cm="1">
        <f t="array" ref="D9">SUMPRODUCT((--(A9=$A$5:$A$143)),(--(C9&gt;$C$5:$C$143)))</f>
        <v>0</v>
      </c>
      <c r="E9" s="3">
        <f t="shared" si="0"/>
        <v>546</v>
      </c>
    </row>
    <row r="10" spans="1:5" x14ac:dyDescent="0.3">
      <c r="A10" s="3" t="s">
        <v>152</v>
      </c>
      <c r="B10" s="3" t="s">
        <v>12</v>
      </c>
      <c r="C10" s="3">
        <v>4549</v>
      </c>
      <c r="D10" s="3" cm="1">
        <f t="array" ref="D10">SUMPRODUCT((--(A10=$A$5:$A$143)),(--(C10&gt;$C$5:$C$143)))</f>
        <v>3</v>
      </c>
      <c r="E10" s="3">
        <f t="shared" si="0"/>
        <v>13061</v>
      </c>
    </row>
    <row r="11" spans="1:5" x14ac:dyDescent="0.3">
      <c r="A11" s="3" t="s">
        <v>153</v>
      </c>
      <c r="B11" s="3" t="s">
        <v>13</v>
      </c>
      <c r="C11" s="3">
        <v>196</v>
      </c>
      <c r="D11" s="3" cm="1">
        <f t="array" ref="D11">SUMPRODUCT((--(A11=$A$5:$A$143)),(--(C11&gt;$C$5:$C$143)))</f>
        <v>0</v>
      </c>
      <c r="E11" s="3">
        <f t="shared" si="0"/>
        <v>196</v>
      </c>
    </row>
    <row r="12" spans="1:5" x14ac:dyDescent="0.3">
      <c r="A12" s="3" t="s">
        <v>154</v>
      </c>
      <c r="B12" s="3" t="s">
        <v>14</v>
      </c>
      <c r="C12" s="3">
        <v>295</v>
      </c>
      <c r="D12" s="3" cm="1">
        <f t="array" ref="D12">SUMPRODUCT((--(A12=$A$5:$A$143)),(--(C12&gt;$C$5:$C$143)))</f>
        <v>0</v>
      </c>
      <c r="E12" s="3">
        <f t="shared" si="0"/>
        <v>295</v>
      </c>
    </row>
    <row r="13" spans="1:5" x14ac:dyDescent="0.3">
      <c r="A13" s="3" t="s">
        <v>155</v>
      </c>
      <c r="B13" s="3" t="s">
        <v>15</v>
      </c>
      <c r="C13" s="3">
        <v>250</v>
      </c>
      <c r="D13" s="3" cm="1">
        <f t="array" ref="D13">SUMPRODUCT((--(A13=$A$5:$A$143)),(--(C13&gt;$C$5:$C$143)))</f>
        <v>0</v>
      </c>
      <c r="E13" s="3">
        <f t="shared" si="0"/>
        <v>250</v>
      </c>
    </row>
    <row r="14" spans="1:5" x14ac:dyDescent="0.3">
      <c r="A14" s="3" t="s">
        <v>156</v>
      </c>
      <c r="B14" s="3" t="s">
        <v>16</v>
      </c>
      <c r="C14" s="3">
        <v>774</v>
      </c>
      <c r="D14" s="3" cm="1">
        <f t="array" ref="D14">SUMPRODUCT((--(A14=$A$5:$A$143)),(--(C14&gt;$C$5:$C$143)))</f>
        <v>1</v>
      </c>
      <c r="E14" s="3">
        <f t="shared" si="0"/>
        <v>1340</v>
      </c>
    </row>
    <row r="15" spans="1:5" x14ac:dyDescent="0.3">
      <c r="A15" s="3" t="s">
        <v>157</v>
      </c>
      <c r="B15" s="3" t="s">
        <v>16</v>
      </c>
      <c r="C15" s="3">
        <v>592</v>
      </c>
      <c r="D15" s="3" cm="1">
        <f t="array" ref="D15">SUMPRODUCT((--(A15=$A$5:$A$143)),(--(C15&gt;$C$5:$C$143)))</f>
        <v>1</v>
      </c>
      <c r="E15" s="3">
        <f t="shared" si="0"/>
        <v>1163</v>
      </c>
    </row>
    <row r="16" spans="1:5" x14ac:dyDescent="0.3">
      <c r="A16" s="3" t="s">
        <v>158</v>
      </c>
      <c r="B16" s="3" t="s">
        <v>17</v>
      </c>
      <c r="C16" s="3">
        <v>304</v>
      </c>
      <c r="D16" s="3" cm="1">
        <f t="array" ref="D16">SUMPRODUCT((--(A16=$A$5:$A$143)),(--(C16&gt;$C$5:$C$143)))</f>
        <v>0</v>
      </c>
      <c r="E16" s="3">
        <f t="shared" si="0"/>
        <v>304</v>
      </c>
    </row>
    <row r="17" spans="1:5" x14ac:dyDescent="0.3">
      <c r="A17" s="3" t="s">
        <v>159</v>
      </c>
      <c r="B17" s="3" t="s">
        <v>17</v>
      </c>
      <c r="C17" s="3">
        <v>370</v>
      </c>
      <c r="D17" s="3" cm="1">
        <f t="array" ref="D17">SUMPRODUCT((--(A17=$A$5:$A$143)),(--(C17&gt;$C$5:$C$143)))</f>
        <v>2</v>
      </c>
      <c r="E17" s="3">
        <f t="shared" si="0"/>
        <v>973</v>
      </c>
    </row>
    <row r="18" spans="1:5" x14ac:dyDescent="0.3">
      <c r="A18" s="3" t="s">
        <v>160</v>
      </c>
      <c r="B18" s="3" t="s">
        <v>18</v>
      </c>
      <c r="C18" s="3">
        <v>156</v>
      </c>
      <c r="D18" s="3" cm="1">
        <f t="array" ref="D18">SUMPRODUCT((--(A18=$A$5:$A$143)),(--(C18&gt;$C$5:$C$143)))</f>
        <v>0</v>
      </c>
      <c r="E18" s="3">
        <f t="shared" si="0"/>
        <v>156</v>
      </c>
    </row>
    <row r="19" spans="1:5" x14ac:dyDescent="0.3">
      <c r="A19" s="3" t="s">
        <v>161</v>
      </c>
      <c r="B19" s="3" t="s">
        <v>19</v>
      </c>
      <c r="C19" s="3">
        <v>1584</v>
      </c>
      <c r="D19" s="3" cm="1">
        <f t="array" ref="D19">SUMPRODUCT((--(A19=$A$5:$A$143)),(--(C19&gt;$C$5:$C$143)))</f>
        <v>3</v>
      </c>
      <c r="E19" s="3">
        <f t="shared" si="0"/>
        <v>3593</v>
      </c>
    </row>
    <row r="20" spans="1:5" x14ac:dyDescent="0.3">
      <c r="A20" s="3" t="s">
        <v>162</v>
      </c>
      <c r="B20" s="3" t="s">
        <v>20</v>
      </c>
      <c r="C20" s="3">
        <v>2997</v>
      </c>
      <c r="D20" s="3" cm="1">
        <f t="array" ref="D20">SUMPRODUCT((--(A20=$A$5:$A$143)),(--(C20&gt;$C$5:$C$143)))</f>
        <v>2</v>
      </c>
      <c r="E20" s="3">
        <f t="shared" si="0"/>
        <v>3864</v>
      </c>
    </row>
    <row r="21" spans="1:5" x14ac:dyDescent="0.3">
      <c r="A21" s="3" t="s">
        <v>163</v>
      </c>
      <c r="B21" s="3" t="s">
        <v>20</v>
      </c>
      <c r="C21" s="3">
        <v>1595</v>
      </c>
      <c r="D21" s="3" cm="1">
        <f t="array" ref="D21">SUMPRODUCT((--(A21=$A$5:$A$143)),(--(C21&gt;$C$5:$C$143)))</f>
        <v>2</v>
      </c>
      <c r="E21" s="3">
        <f t="shared" si="0"/>
        <v>2384</v>
      </c>
    </row>
    <row r="22" spans="1:5" x14ac:dyDescent="0.3">
      <c r="A22" s="3" t="s">
        <v>164</v>
      </c>
      <c r="B22" s="3" t="s">
        <v>21</v>
      </c>
      <c r="C22" s="3">
        <v>5770</v>
      </c>
      <c r="D22" s="3" cm="1">
        <f t="array" ref="D22">SUMPRODUCT((--(A22=$A$5:$A$143)),(--(C22&gt;$C$5:$C$143)))</f>
        <v>2</v>
      </c>
      <c r="E22" s="3">
        <f t="shared" si="0"/>
        <v>7018</v>
      </c>
    </row>
    <row r="23" spans="1:5" x14ac:dyDescent="0.3">
      <c r="A23" s="3" t="s">
        <v>165</v>
      </c>
      <c r="B23" s="3" t="s">
        <v>22</v>
      </c>
      <c r="C23" s="3">
        <v>2347</v>
      </c>
      <c r="D23" s="3" cm="1">
        <f t="array" ref="D23">SUMPRODUCT((--(A23=$A$5:$A$143)),(--(C23&gt;$C$5:$C$143)))</f>
        <v>2</v>
      </c>
      <c r="E23" s="3">
        <f t="shared" si="0"/>
        <v>3219</v>
      </c>
    </row>
    <row r="24" spans="1:5" x14ac:dyDescent="0.3">
      <c r="A24" s="3" t="s">
        <v>153</v>
      </c>
      <c r="B24" s="3" t="s">
        <v>23</v>
      </c>
      <c r="C24" s="3">
        <v>634</v>
      </c>
      <c r="D24" s="3" cm="1">
        <f t="array" ref="D24">SUMPRODUCT((--(A24=$A$5:$A$143)),(--(C24&gt;$C$5:$C$143)))</f>
        <v>2</v>
      </c>
      <c r="E24" s="3">
        <f t="shared" si="0"/>
        <v>1183</v>
      </c>
    </row>
    <row r="25" spans="1:5" x14ac:dyDescent="0.3">
      <c r="A25" s="3" t="s">
        <v>161</v>
      </c>
      <c r="B25" s="3" t="s">
        <v>24</v>
      </c>
      <c r="C25" s="3">
        <v>763</v>
      </c>
      <c r="D25" s="3" cm="1">
        <f t="array" ref="D25">SUMPRODUCT((--(A25=$A$5:$A$143)),(--(C25&gt;$C$5:$C$143)))</f>
        <v>2</v>
      </c>
      <c r="E25" s="3">
        <f t="shared" si="0"/>
        <v>2009</v>
      </c>
    </row>
    <row r="26" spans="1:5" x14ac:dyDescent="0.3">
      <c r="A26" s="3" t="s">
        <v>166</v>
      </c>
      <c r="B26" s="3" t="s">
        <v>25</v>
      </c>
      <c r="C26" s="3">
        <v>468</v>
      </c>
      <c r="D26" s="3" cm="1">
        <f t="array" ref="D26">SUMPRODUCT((--(A26=$A$5:$A$143)),(--(C26&gt;$C$5:$C$143)))</f>
        <v>1</v>
      </c>
      <c r="E26" s="3">
        <f t="shared" si="0"/>
        <v>468</v>
      </c>
    </row>
    <row r="27" spans="1:5" x14ac:dyDescent="0.3">
      <c r="A27" s="3" t="s">
        <v>167</v>
      </c>
      <c r="B27" s="3" t="s">
        <v>25</v>
      </c>
      <c r="C27" s="3">
        <v>1307</v>
      </c>
      <c r="D27" s="3" cm="1">
        <f t="array" ref="D27">SUMPRODUCT((--(A27=$A$5:$A$143)),(--(C27&gt;$C$5:$C$143)))</f>
        <v>1</v>
      </c>
      <c r="E27" s="3">
        <f t="shared" si="0"/>
        <v>1809</v>
      </c>
    </row>
    <row r="28" spans="1:5" x14ac:dyDescent="0.3">
      <c r="A28" s="3" t="s">
        <v>168</v>
      </c>
      <c r="B28" s="3" t="s">
        <v>26</v>
      </c>
      <c r="C28" s="3">
        <v>221</v>
      </c>
      <c r="D28" s="3" cm="1">
        <f t="array" ref="D28">SUMPRODUCT((--(A28=$A$5:$A$143)),(--(C28&gt;$C$5:$C$143)))</f>
        <v>0</v>
      </c>
      <c r="E28" s="3">
        <f t="shared" si="0"/>
        <v>221</v>
      </c>
    </row>
    <row r="29" spans="1:5" x14ac:dyDescent="0.3">
      <c r="A29" s="3" t="s">
        <v>169</v>
      </c>
      <c r="B29" s="3" t="s">
        <v>27</v>
      </c>
      <c r="C29" s="3">
        <v>238</v>
      </c>
      <c r="D29" s="3" cm="1">
        <f t="array" ref="D29">SUMPRODUCT((--(A29=$A$5:$A$143)),(--(C29&gt;$C$5:$C$143)))</f>
        <v>1</v>
      </c>
      <c r="E29" s="3">
        <f t="shared" si="0"/>
        <v>238</v>
      </c>
    </row>
    <row r="30" spans="1:5" x14ac:dyDescent="0.3">
      <c r="A30" s="3" t="s">
        <v>170</v>
      </c>
      <c r="B30" s="3" t="s">
        <v>27</v>
      </c>
      <c r="C30" s="3">
        <v>182</v>
      </c>
      <c r="D30" s="3" cm="1">
        <f t="array" ref="D30">SUMPRODUCT((--(A30=$A$5:$A$143)),(--(C30&gt;$C$5:$C$143)))</f>
        <v>0</v>
      </c>
      <c r="E30" s="3">
        <f t="shared" si="0"/>
        <v>182</v>
      </c>
    </row>
    <row r="31" spans="1:5" x14ac:dyDescent="0.3">
      <c r="A31" s="3" t="s">
        <v>171</v>
      </c>
      <c r="B31" s="3" t="s">
        <v>28</v>
      </c>
      <c r="C31" s="3">
        <v>320</v>
      </c>
      <c r="D31" s="3" cm="1">
        <f t="array" ref="D31">SUMPRODUCT((--(A31=$A$5:$A$143)),(--(C31&gt;$C$5:$C$143)))</f>
        <v>0</v>
      </c>
      <c r="E31" s="3">
        <f t="shared" si="0"/>
        <v>320</v>
      </c>
    </row>
    <row r="32" spans="1:5" x14ac:dyDescent="0.3">
      <c r="A32" s="3" t="s">
        <v>172</v>
      </c>
      <c r="B32" s="3" t="s">
        <v>29</v>
      </c>
      <c r="C32" s="3">
        <v>179</v>
      </c>
      <c r="D32" s="3" cm="1">
        <f t="array" ref="D32">SUMPRODUCT((--(A32=$A$5:$A$143)),(--(C32&gt;$C$5:$C$143)))</f>
        <v>0</v>
      </c>
      <c r="E32" s="3">
        <f t="shared" si="0"/>
        <v>179</v>
      </c>
    </row>
    <row r="33" spans="1:5" x14ac:dyDescent="0.3">
      <c r="A33" s="3" t="s">
        <v>173</v>
      </c>
      <c r="B33" s="3" t="s">
        <v>29</v>
      </c>
      <c r="C33" s="3">
        <v>722</v>
      </c>
      <c r="D33" s="3" cm="1">
        <f t="array" ref="D33">SUMPRODUCT((--(A33=$A$5:$A$143)),(--(C33&gt;$C$5:$C$143)))</f>
        <v>0</v>
      </c>
      <c r="E33" s="3">
        <f t="shared" si="0"/>
        <v>722</v>
      </c>
    </row>
    <row r="34" spans="1:5" x14ac:dyDescent="0.3">
      <c r="A34" s="3" t="s">
        <v>152</v>
      </c>
      <c r="B34" s="3" t="s">
        <v>30</v>
      </c>
      <c r="C34" s="3">
        <v>3876</v>
      </c>
      <c r="D34" s="3" cm="1">
        <f t="array" ref="D34">SUMPRODUCT((--(A34=$A$5:$A$143)),(--(C34&gt;$C$5:$C$143)))</f>
        <v>1</v>
      </c>
      <c r="E34" s="3">
        <f t="shared" si="0"/>
        <v>4418</v>
      </c>
    </row>
    <row r="35" spans="1:5" x14ac:dyDescent="0.3">
      <c r="A35" s="3" t="s">
        <v>160</v>
      </c>
      <c r="B35" s="3" t="s">
        <v>30</v>
      </c>
      <c r="C35" s="3">
        <v>2919</v>
      </c>
      <c r="D35" s="3" cm="1">
        <f t="array" ref="D35">SUMPRODUCT((--(A35=$A$5:$A$143)),(--(C35&gt;$C$5:$C$143)))</f>
        <v>3</v>
      </c>
      <c r="E35" s="3">
        <f t="shared" si="0"/>
        <v>5244</v>
      </c>
    </row>
    <row r="36" spans="1:5" x14ac:dyDescent="0.3">
      <c r="A36" s="3" t="s">
        <v>174</v>
      </c>
      <c r="B36" s="3" t="s">
        <v>31</v>
      </c>
      <c r="C36" s="3">
        <v>219</v>
      </c>
      <c r="D36" s="3" cm="1">
        <f t="array" ref="D36">SUMPRODUCT((--(A36=$A$5:$A$143)),(--(C36&gt;$C$5:$C$143)))</f>
        <v>0</v>
      </c>
      <c r="E36" s="3">
        <f t="shared" si="0"/>
        <v>219</v>
      </c>
    </row>
    <row r="37" spans="1:5" x14ac:dyDescent="0.3">
      <c r="A37" s="3" t="s">
        <v>175</v>
      </c>
      <c r="B37" s="3" t="s">
        <v>32</v>
      </c>
      <c r="C37" s="3">
        <v>196</v>
      </c>
      <c r="D37" s="3" cm="1">
        <f t="array" ref="D37">SUMPRODUCT((--(A37=$A$5:$A$143)),(--(C37&gt;$C$5:$C$143)))</f>
        <v>1</v>
      </c>
      <c r="E37" s="3">
        <f t="shared" ref="E37:E68" si="1">SUMIFS($C$5:$C$143,$A$5:$A$143,A37,$D$5:$D$143,"&lt;="&amp;D37)</f>
        <v>196</v>
      </c>
    </row>
    <row r="38" spans="1:5" x14ac:dyDescent="0.3">
      <c r="A38" s="3" t="s">
        <v>176</v>
      </c>
      <c r="B38" s="3" t="s">
        <v>32</v>
      </c>
      <c r="C38" s="3">
        <v>565</v>
      </c>
      <c r="D38" s="3" cm="1">
        <f t="array" ref="D38">SUMPRODUCT((--(A38=$A$5:$A$143)),(--(C38&gt;$C$5:$C$143)))</f>
        <v>1</v>
      </c>
      <c r="E38" s="3">
        <f t="shared" si="1"/>
        <v>740</v>
      </c>
    </row>
    <row r="39" spans="1:5" x14ac:dyDescent="0.3">
      <c r="A39" s="3" t="s">
        <v>177</v>
      </c>
      <c r="B39" s="3" t="s">
        <v>33</v>
      </c>
      <c r="C39" s="3">
        <v>782</v>
      </c>
      <c r="D39" s="3" cm="1">
        <f t="array" ref="D39">SUMPRODUCT((--(A39=$A$5:$A$143)),(--(C39&gt;$C$5:$C$143)))</f>
        <v>0</v>
      </c>
      <c r="E39" s="3">
        <f t="shared" si="1"/>
        <v>782</v>
      </c>
    </row>
    <row r="40" spans="1:5" x14ac:dyDescent="0.3">
      <c r="A40" s="3" t="s">
        <v>178</v>
      </c>
      <c r="B40" s="3" t="s">
        <v>34</v>
      </c>
      <c r="C40" s="3">
        <v>2250</v>
      </c>
      <c r="D40" s="3" cm="1">
        <f t="array" ref="D40">SUMPRODUCT((--(A40=$A$5:$A$143)),(--(C40&gt;$C$5:$C$143)))</f>
        <v>1</v>
      </c>
      <c r="E40" s="3">
        <f t="shared" si="1"/>
        <v>2819</v>
      </c>
    </row>
    <row r="41" spans="1:5" x14ac:dyDescent="0.3">
      <c r="A41" s="3" t="s">
        <v>179</v>
      </c>
      <c r="B41" s="3" t="s">
        <v>35</v>
      </c>
      <c r="C41" s="3">
        <v>277</v>
      </c>
      <c r="D41" s="3" cm="1">
        <f t="array" ref="D41">SUMPRODUCT((--(A41=$A$5:$A$143)),(--(C41&gt;$C$5:$C$143)))</f>
        <v>0</v>
      </c>
      <c r="E41" s="3">
        <f t="shared" si="1"/>
        <v>277</v>
      </c>
    </row>
    <row r="42" spans="1:5" x14ac:dyDescent="0.3">
      <c r="A42" s="3" t="s">
        <v>180</v>
      </c>
      <c r="B42" s="3" t="s">
        <v>35</v>
      </c>
      <c r="C42" s="3">
        <v>253</v>
      </c>
      <c r="D42" s="3" cm="1">
        <f t="array" ref="D42">SUMPRODUCT((--(A42=$A$5:$A$143)),(--(C42&gt;$C$5:$C$143)))</f>
        <v>0</v>
      </c>
      <c r="E42" s="3">
        <f t="shared" si="1"/>
        <v>253</v>
      </c>
    </row>
    <row r="43" spans="1:5" x14ac:dyDescent="0.3">
      <c r="A43" s="3" t="s">
        <v>181</v>
      </c>
      <c r="B43" s="3" t="s">
        <v>35</v>
      </c>
      <c r="C43" s="3">
        <v>690</v>
      </c>
      <c r="D43" s="3" cm="1">
        <f t="array" ref="D43">SUMPRODUCT((--(A43=$A$5:$A$143)),(--(C43&gt;$C$5:$C$143)))</f>
        <v>1</v>
      </c>
      <c r="E43" s="3">
        <f t="shared" si="1"/>
        <v>1266</v>
      </c>
    </row>
    <row r="44" spans="1:5" x14ac:dyDescent="0.3">
      <c r="A44" s="3" t="s">
        <v>151</v>
      </c>
      <c r="B44" s="3" t="s">
        <v>35</v>
      </c>
      <c r="C44" s="3">
        <v>1563</v>
      </c>
      <c r="D44" s="3" cm="1">
        <f t="array" ref="D44">SUMPRODUCT((--(A44=$A$5:$A$143)),(--(C44&gt;$C$5:$C$143)))</f>
        <v>3</v>
      </c>
      <c r="E44" s="3">
        <f t="shared" si="1"/>
        <v>3356</v>
      </c>
    </row>
    <row r="45" spans="1:5" x14ac:dyDescent="0.3">
      <c r="A45" s="3" t="s">
        <v>159</v>
      </c>
      <c r="B45" s="3" t="s">
        <v>36</v>
      </c>
      <c r="C45" s="3">
        <v>304</v>
      </c>
      <c r="D45" s="3" cm="1">
        <f t="array" ref="D45">SUMPRODUCT((--(A45=$A$5:$A$143)),(--(C45&gt;$C$5:$C$143)))</f>
        <v>1</v>
      </c>
      <c r="E45" s="3">
        <f t="shared" si="1"/>
        <v>603</v>
      </c>
    </row>
    <row r="46" spans="1:5" x14ac:dyDescent="0.3">
      <c r="A46" s="3" t="s">
        <v>182</v>
      </c>
      <c r="B46" s="3" t="s">
        <v>36</v>
      </c>
      <c r="C46" s="3">
        <v>576</v>
      </c>
      <c r="D46" s="3" cm="1">
        <f t="array" ref="D46">SUMPRODUCT((--(A46=$A$5:$A$143)),(--(C46&gt;$C$5:$C$143)))</f>
        <v>1</v>
      </c>
      <c r="E46" s="3">
        <f t="shared" si="1"/>
        <v>1149</v>
      </c>
    </row>
    <row r="47" spans="1:5" x14ac:dyDescent="0.3">
      <c r="A47" s="3" t="s">
        <v>183</v>
      </c>
      <c r="B47" s="3" t="s">
        <v>37</v>
      </c>
      <c r="C47" s="3">
        <v>2373</v>
      </c>
      <c r="D47" s="3" cm="1">
        <f t="array" ref="D47">SUMPRODUCT((--(A47=$A$5:$A$143)),(--(C47&gt;$C$5:$C$143)))</f>
        <v>1</v>
      </c>
      <c r="E47" s="3">
        <f t="shared" si="1"/>
        <v>2944</v>
      </c>
    </row>
    <row r="48" spans="1:5" x14ac:dyDescent="0.3">
      <c r="A48" s="3" t="s">
        <v>184</v>
      </c>
      <c r="B48" s="3" t="s">
        <v>38</v>
      </c>
      <c r="C48" s="3">
        <v>884</v>
      </c>
      <c r="D48" s="3" cm="1">
        <f t="array" ref="D48">SUMPRODUCT((--(A48=$A$5:$A$143)),(--(C48&gt;$C$5:$C$143)))</f>
        <v>1</v>
      </c>
      <c r="E48" s="3">
        <f t="shared" si="1"/>
        <v>1119</v>
      </c>
    </row>
    <row r="49" spans="1:5" x14ac:dyDescent="0.3">
      <c r="A49" s="3" t="s">
        <v>185</v>
      </c>
      <c r="B49" s="3" t="s">
        <v>39</v>
      </c>
      <c r="C49" s="3">
        <v>426</v>
      </c>
      <c r="D49" s="3" cm="1">
        <f t="array" ref="D49">SUMPRODUCT((--(A49=$A$5:$A$143)),(--(C49&gt;$C$5:$C$143)))</f>
        <v>0</v>
      </c>
      <c r="E49" s="3">
        <f t="shared" si="1"/>
        <v>426</v>
      </c>
    </row>
    <row r="50" spans="1:5" x14ac:dyDescent="0.3">
      <c r="A50" s="3" t="s">
        <v>186</v>
      </c>
      <c r="B50" s="3" t="s">
        <v>39</v>
      </c>
      <c r="C50" s="3">
        <v>210</v>
      </c>
      <c r="D50" s="3" cm="1">
        <f t="array" ref="D50">SUMPRODUCT((--(A50=$A$5:$A$143)),(--(C50&gt;$C$5:$C$143)))</f>
        <v>0</v>
      </c>
      <c r="E50" s="3">
        <f t="shared" si="1"/>
        <v>210</v>
      </c>
    </row>
    <row r="51" spans="1:5" x14ac:dyDescent="0.3">
      <c r="A51" s="3" t="s">
        <v>187</v>
      </c>
      <c r="B51" s="3" t="s">
        <v>39</v>
      </c>
      <c r="C51" s="3">
        <v>340</v>
      </c>
      <c r="D51" s="3" cm="1">
        <f t="array" ref="D51">SUMPRODUCT((--(A51=$A$5:$A$143)),(--(C51&gt;$C$5:$C$143)))</f>
        <v>0</v>
      </c>
      <c r="E51" s="3">
        <f t="shared" si="1"/>
        <v>340</v>
      </c>
    </row>
    <row r="52" spans="1:5" x14ac:dyDescent="0.3">
      <c r="A52" s="3" t="s">
        <v>188</v>
      </c>
      <c r="B52" s="3" t="s">
        <v>39</v>
      </c>
      <c r="C52" s="3">
        <v>1065</v>
      </c>
      <c r="D52" s="3" cm="1">
        <f t="array" ref="D52">SUMPRODUCT((--(A52=$A$5:$A$143)),(--(C52&gt;$C$5:$C$143)))</f>
        <v>0</v>
      </c>
      <c r="E52" s="3">
        <f t="shared" si="1"/>
        <v>1065</v>
      </c>
    </row>
    <row r="53" spans="1:5" x14ac:dyDescent="0.3">
      <c r="A53" s="3" t="s">
        <v>189</v>
      </c>
      <c r="B53" s="3" t="s">
        <v>40</v>
      </c>
      <c r="C53" s="3">
        <v>490</v>
      </c>
      <c r="D53" s="3" cm="1">
        <f t="array" ref="D53">SUMPRODUCT((--(A53=$A$5:$A$143)),(--(C53&gt;$C$5:$C$143)))</f>
        <v>0</v>
      </c>
      <c r="E53" s="3">
        <f t="shared" si="1"/>
        <v>490</v>
      </c>
    </row>
    <row r="54" spans="1:5" x14ac:dyDescent="0.3">
      <c r="A54" s="3" t="s">
        <v>150</v>
      </c>
      <c r="B54" s="3" t="s">
        <v>41</v>
      </c>
      <c r="C54" s="3">
        <v>679</v>
      </c>
      <c r="D54" s="3" cm="1">
        <f t="array" ref="D54">SUMPRODUCT((--(A54=$A$5:$A$143)),(--(C54&gt;$C$5:$C$143)))</f>
        <v>2</v>
      </c>
      <c r="E54" s="3">
        <f t="shared" si="1"/>
        <v>1455</v>
      </c>
    </row>
    <row r="55" spans="1:5" x14ac:dyDescent="0.3">
      <c r="A55" s="3" t="s">
        <v>158</v>
      </c>
      <c r="B55" s="3" t="s">
        <v>42</v>
      </c>
      <c r="C55" s="3">
        <v>699</v>
      </c>
      <c r="D55" s="3" cm="1">
        <f t="array" ref="D55">SUMPRODUCT((--(A55=$A$5:$A$143)),(--(C55&gt;$C$5:$C$143)))</f>
        <v>2</v>
      </c>
      <c r="E55" s="3">
        <f t="shared" si="1"/>
        <v>1335</v>
      </c>
    </row>
    <row r="56" spans="1:5" x14ac:dyDescent="0.3">
      <c r="A56" s="3" t="s">
        <v>190</v>
      </c>
      <c r="B56" s="3" t="s">
        <v>42</v>
      </c>
      <c r="C56" s="3">
        <v>569</v>
      </c>
      <c r="D56" s="3" cm="1">
        <f t="array" ref="D56">SUMPRODUCT((--(A56=$A$5:$A$143)),(--(C56&gt;$C$5:$C$143)))</f>
        <v>0</v>
      </c>
      <c r="E56" s="3">
        <f t="shared" si="1"/>
        <v>569</v>
      </c>
    </row>
    <row r="57" spans="1:5" x14ac:dyDescent="0.3">
      <c r="A57" s="3" t="s">
        <v>191</v>
      </c>
      <c r="B57" s="3" t="s">
        <v>43</v>
      </c>
      <c r="C57" s="3">
        <v>1021</v>
      </c>
      <c r="D57" s="3" cm="1">
        <f t="array" ref="D57">SUMPRODUCT((--(A57=$A$5:$A$143)),(--(C57&gt;$C$5:$C$143)))</f>
        <v>0</v>
      </c>
      <c r="E57" s="3">
        <f t="shared" si="1"/>
        <v>1021</v>
      </c>
    </row>
    <row r="58" spans="1:5" x14ac:dyDescent="0.3">
      <c r="A58" s="3" t="s">
        <v>192</v>
      </c>
      <c r="B58" s="3" t="s">
        <v>43</v>
      </c>
      <c r="C58" s="3">
        <v>3579</v>
      </c>
      <c r="D58" s="3" cm="1">
        <f t="array" ref="D58">SUMPRODUCT((--(A58=$A$5:$A$143)),(--(C58&gt;$C$5:$C$143)))</f>
        <v>0</v>
      </c>
      <c r="E58" s="3">
        <f t="shared" si="1"/>
        <v>3579</v>
      </c>
    </row>
    <row r="59" spans="1:5" x14ac:dyDescent="0.3">
      <c r="A59" s="3" t="s">
        <v>193</v>
      </c>
      <c r="B59" s="3" t="s">
        <v>44</v>
      </c>
      <c r="C59" s="3">
        <v>1021</v>
      </c>
      <c r="D59" s="3" cm="1">
        <f t="array" ref="D59">SUMPRODUCT((--(A59=$A$5:$A$143)),(--(C59&gt;$C$5:$C$143)))</f>
        <v>0</v>
      </c>
      <c r="E59" s="3">
        <f t="shared" si="1"/>
        <v>1021</v>
      </c>
    </row>
    <row r="60" spans="1:5" x14ac:dyDescent="0.3">
      <c r="A60" s="3" t="s">
        <v>194</v>
      </c>
      <c r="B60" s="3" t="s">
        <v>45</v>
      </c>
      <c r="C60" s="3">
        <v>3415</v>
      </c>
      <c r="D60" s="3" cm="1">
        <f t="array" ref="D60">SUMPRODUCT((--(A60=$A$5:$A$143)),(--(C60&gt;$C$5:$C$143)))</f>
        <v>0</v>
      </c>
      <c r="E60" s="3">
        <f t="shared" si="1"/>
        <v>3415</v>
      </c>
    </row>
    <row r="61" spans="1:5" x14ac:dyDescent="0.3">
      <c r="A61" s="3" t="s">
        <v>195</v>
      </c>
      <c r="B61" s="3" t="s">
        <v>46</v>
      </c>
      <c r="C61" s="3">
        <v>567</v>
      </c>
      <c r="D61" s="3" cm="1">
        <f t="array" ref="D61">SUMPRODUCT((--(A61=$A$5:$A$143)),(--(C61&gt;$C$5:$C$143)))</f>
        <v>0</v>
      </c>
      <c r="E61" s="3">
        <f t="shared" si="1"/>
        <v>567</v>
      </c>
    </row>
    <row r="62" spans="1:5" x14ac:dyDescent="0.3">
      <c r="A62" s="3" t="s">
        <v>196</v>
      </c>
      <c r="B62" s="3" t="s">
        <v>47</v>
      </c>
      <c r="C62" s="3">
        <v>576</v>
      </c>
      <c r="D62" s="3" cm="1">
        <f t="array" ref="D62">SUMPRODUCT((--(A62=$A$5:$A$143)),(--(C62&gt;$C$5:$C$143)))</f>
        <v>0</v>
      </c>
      <c r="E62" s="3">
        <f t="shared" si="1"/>
        <v>576</v>
      </c>
    </row>
    <row r="63" spans="1:5" x14ac:dyDescent="0.3">
      <c r="A63" s="3" t="s">
        <v>197</v>
      </c>
      <c r="B63" s="3" t="s">
        <v>48</v>
      </c>
      <c r="C63" s="3">
        <v>715</v>
      </c>
      <c r="D63" s="3" cm="1">
        <f t="array" ref="D63">SUMPRODUCT((--(A63=$A$5:$A$143)),(--(C63&gt;$C$5:$C$143)))</f>
        <v>0</v>
      </c>
      <c r="E63" s="3">
        <f t="shared" si="1"/>
        <v>715</v>
      </c>
    </row>
    <row r="64" spans="1:5" x14ac:dyDescent="0.3">
      <c r="A64" s="3" t="s">
        <v>149</v>
      </c>
      <c r="B64" s="3" t="s">
        <v>48</v>
      </c>
      <c r="C64" s="3">
        <v>688</v>
      </c>
      <c r="D64" s="3" cm="1">
        <f t="array" ref="D64">SUMPRODUCT((--(A64=$A$5:$A$143)),(--(C64&gt;$C$5:$C$143)))</f>
        <v>1</v>
      </c>
      <c r="E64" s="3">
        <f t="shared" si="1"/>
        <v>688</v>
      </c>
    </row>
    <row r="65" spans="1:5" x14ac:dyDescent="0.3">
      <c r="A65" s="3" t="s">
        <v>157</v>
      </c>
      <c r="B65" s="3" t="s">
        <v>49</v>
      </c>
      <c r="C65" s="3">
        <v>571</v>
      </c>
      <c r="D65" s="3" cm="1">
        <f t="array" ref="D65">SUMPRODUCT((--(A65=$A$5:$A$143)),(--(C65&gt;$C$5:$C$143)))</f>
        <v>0</v>
      </c>
      <c r="E65" s="3">
        <f t="shared" si="1"/>
        <v>571</v>
      </c>
    </row>
    <row r="66" spans="1:5" x14ac:dyDescent="0.3">
      <c r="A66" s="3" t="s">
        <v>165</v>
      </c>
      <c r="B66" s="3" t="s">
        <v>50</v>
      </c>
      <c r="C66" s="3">
        <v>309</v>
      </c>
      <c r="D66" s="3" cm="1">
        <f t="array" ref="D66">SUMPRODUCT((--(A66=$A$5:$A$143)),(--(C66&gt;$C$5:$C$143)))</f>
        <v>0</v>
      </c>
      <c r="E66" s="3">
        <f t="shared" si="1"/>
        <v>309</v>
      </c>
    </row>
    <row r="67" spans="1:5" x14ac:dyDescent="0.3">
      <c r="A67" s="3" t="s">
        <v>198</v>
      </c>
      <c r="B67" s="3" t="s">
        <v>50</v>
      </c>
      <c r="C67" s="3">
        <v>703</v>
      </c>
      <c r="D67" s="3" cm="1">
        <f t="array" ref="D67">SUMPRODUCT((--(A67=$A$5:$A$143)),(--(C67&gt;$C$5:$C$143)))</f>
        <v>0</v>
      </c>
      <c r="E67" s="3">
        <f t="shared" si="1"/>
        <v>703</v>
      </c>
    </row>
    <row r="68" spans="1:5" x14ac:dyDescent="0.3">
      <c r="A68" s="3" t="s">
        <v>199</v>
      </c>
      <c r="B68" s="3" t="s">
        <v>51</v>
      </c>
      <c r="C68" s="3">
        <v>585</v>
      </c>
      <c r="D68" s="3" cm="1">
        <f t="array" ref="D68">SUMPRODUCT((--(A68=$A$5:$A$143)),(--(C68&gt;$C$5:$C$143)))</f>
        <v>0</v>
      </c>
      <c r="E68" s="3">
        <f t="shared" si="1"/>
        <v>585</v>
      </c>
    </row>
    <row r="69" spans="1:5" x14ac:dyDescent="0.3">
      <c r="A69" s="3" t="s">
        <v>200</v>
      </c>
      <c r="B69" s="3" t="s">
        <v>52</v>
      </c>
      <c r="C69" s="3">
        <v>573</v>
      </c>
      <c r="D69" s="3" cm="1">
        <f t="array" ref="D69">SUMPRODUCT((--(A69=$A$5:$A$143)),(--(C69&gt;$C$5:$C$143)))</f>
        <v>0</v>
      </c>
      <c r="E69" s="3">
        <f t="shared" ref="E69:E100" si="2">SUMIFS($C$5:$C$143,$A$5:$A$143,A69,$D$5:$D$143,"&lt;="&amp;D69)</f>
        <v>573</v>
      </c>
    </row>
    <row r="70" spans="1:5" x14ac:dyDescent="0.3">
      <c r="A70" s="3" t="s">
        <v>201</v>
      </c>
      <c r="B70" s="3" t="s">
        <v>53</v>
      </c>
      <c r="C70" s="3">
        <v>218</v>
      </c>
      <c r="D70" s="3" cm="1">
        <f t="array" ref="D70">SUMPRODUCT((--(A70=$A$5:$A$143)),(--(C70&gt;$C$5:$C$143)))</f>
        <v>0</v>
      </c>
      <c r="E70" s="3">
        <f t="shared" si="2"/>
        <v>218</v>
      </c>
    </row>
    <row r="71" spans="1:5" x14ac:dyDescent="0.3">
      <c r="A71" s="3" t="s">
        <v>202</v>
      </c>
      <c r="B71" s="3" t="s">
        <v>54</v>
      </c>
      <c r="C71" s="3">
        <v>545</v>
      </c>
      <c r="D71" s="3" cm="1">
        <f t="array" ref="D71">SUMPRODUCT((--(A71=$A$5:$A$143)),(--(C71&gt;$C$5:$C$143)))</f>
        <v>0</v>
      </c>
      <c r="E71" s="3">
        <f t="shared" si="2"/>
        <v>545</v>
      </c>
    </row>
    <row r="72" spans="1:5" x14ac:dyDescent="0.3">
      <c r="A72" s="3" t="s">
        <v>203</v>
      </c>
      <c r="B72" s="3" t="s">
        <v>54</v>
      </c>
      <c r="C72" s="3">
        <v>1076</v>
      </c>
      <c r="D72" s="3" cm="1">
        <f t="array" ref="D72">SUMPRODUCT((--(A72=$A$5:$A$143)),(--(C72&gt;$C$5:$C$143)))</f>
        <v>0</v>
      </c>
      <c r="E72" s="3">
        <f t="shared" si="2"/>
        <v>1076</v>
      </c>
    </row>
    <row r="73" spans="1:5" x14ac:dyDescent="0.3">
      <c r="A73" s="3" t="s">
        <v>204</v>
      </c>
      <c r="B73" s="3" t="s">
        <v>55</v>
      </c>
      <c r="C73" s="3">
        <v>567</v>
      </c>
      <c r="D73" s="3" cm="1">
        <f t="array" ref="D73">SUMPRODUCT((--(A73=$A$5:$A$143)),(--(C73&gt;$C$5:$C$143)))</f>
        <v>0</v>
      </c>
      <c r="E73" s="3">
        <f t="shared" si="2"/>
        <v>567</v>
      </c>
    </row>
    <row r="74" spans="1:5" x14ac:dyDescent="0.3">
      <c r="A74" s="3" t="s">
        <v>148</v>
      </c>
      <c r="B74" s="3" t="s">
        <v>55</v>
      </c>
      <c r="C74" s="3">
        <v>595</v>
      </c>
      <c r="D74" s="3" cm="1">
        <f t="array" ref="D74">SUMPRODUCT((--(A74=$A$5:$A$143)),(--(C74&gt;$C$5:$C$143)))</f>
        <v>0</v>
      </c>
      <c r="E74" s="3">
        <f t="shared" si="2"/>
        <v>595</v>
      </c>
    </row>
    <row r="75" spans="1:5" x14ac:dyDescent="0.3">
      <c r="A75" s="3" t="s">
        <v>156</v>
      </c>
      <c r="B75" s="3" t="s">
        <v>55</v>
      </c>
      <c r="C75" s="3">
        <v>917</v>
      </c>
      <c r="D75" s="3" cm="1">
        <f t="array" ref="D75">SUMPRODUCT((--(A75=$A$5:$A$143)),(--(C75&gt;$C$5:$C$143)))</f>
        <v>2</v>
      </c>
      <c r="E75" s="3">
        <f t="shared" si="2"/>
        <v>2257</v>
      </c>
    </row>
    <row r="76" spans="1:5" x14ac:dyDescent="0.3">
      <c r="A76" s="3" t="s">
        <v>164</v>
      </c>
      <c r="B76" s="3" t="s">
        <v>56</v>
      </c>
      <c r="C76" s="3">
        <v>682</v>
      </c>
      <c r="D76" s="3" cm="1">
        <f t="array" ref="D76">SUMPRODUCT((--(A76=$A$5:$A$143)),(--(C76&gt;$C$5:$C$143)))</f>
        <v>1</v>
      </c>
      <c r="E76" s="3">
        <f t="shared" si="2"/>
        <v>1248</v>
      </c>
    </row>
    <row r="77" spans="1:5" x14ac:dyDescent="0.3">
      <c r="A77" s="3" t="s">
        <v>205</v>
      </c>
      <c r="B77" s="3" t="s">
        <v>57</v>
      </c>
      <c r="C77" s="3">
        <v>679</v>
      </c>
      <c r="D77" s="3" cm="1">
        <f t="array" ref="D77">SUMPRODUCT((--(A77=$A$5:$A$143)),(--(C77&gt;$C$5:$C$143)))</f>
        <v>0</v>
      </c>
      <c r="E77" s="3">
        <f t="shared" si="2"/>
        <v>679</v>
      </c>
    </row>
    <row r="78" spans="1:5" x14ac:dyDescent="0.3">
      <c r="A78" s="3" t="s">
        <v>206</v>
      </c>
      <c r="B78" s="3" t="s">
        <v>57</v>
      </c>
      <c r="C78" s="3">
        <v>286</v>
      </c>
      <c r="D78" s="3" cm="1">
        <f t="array" ref="D78">SUMPRODUCT((--(A78=$A$5:$A$143)),(--(C78&gt;$C$5:$C$143)))</f>
        <v>0</v>
      </c>
      <c r="E78" s="3">
        <f t="shared" si="2"/>
        <v>286</v>
      </c>
    </row>
    <row r="79" spans="1:5" x14ac:dyDescent="0.3">
      <c r="A79" s="3" t="s">
        <v>207</v>
      </c>
      <c r="B79" s="3" t="s">
        <v>58</v>
      </c>
      <c r="C79" s="3">
        <v>511</v>
      </c>
      <c r="D79" s="3" cm="1">
        <f t="array" ref="D79">SUMPRODUCT((--(A79=$A$5:$A$143)),(--(C79&gt;$C$5:$C$143)))</f>
        <v>0</v>
      </c>
      <c r="E79" s="3">
        <f t="shared" si="2"/>
        <v>511</v>
      </c>
    </row>
    <row r="80" spans="1:5" x14ac:dyDescent="0.3">
      <c r="A80" s="3" t="s">
        <v>208</v>
      </c>
      <c r="B80" s="3" t="s">
        <v>59</v>
      </c>
      <c r="C80" s="3">
        <v>435</v>
      </c>
      <c r="D80" s="3" cm="1">
        <f t="array" ref="D80">SUMPRODUCT((--(A80=$A$5:$A$143)),(--(C80&gt;$C$5:$C$143)))</f>
        <v>0</v>
      </c>
      <c r="E80" s="3">
        <f t="shared" si="2"/>
        <v>435</v>
      </c>
    </row>
    <row r="81" spans="1:5" x14ac:dyDescent="0.3">
      <c r="A81" s="3" t="s">
        <v>209</v>
      </c>
      <c r="B81" s="3" t="s">
        <v>59</v>
      </c>
      <c r="C81" s="3">
        <v>1067</v>
      </c>
      <c r="D81" s="3" cm="1">
        <f t="array" ref="D81">SUMPRODUCT((--(A81=$A$5:$A$143)),(--(C81&gt;$C$5:$C$143)))</f>
        <v>0</v>
      </c>
      <c r="E81" s="3">
        <f t="shared" si="2"/>
        <v>1067</v>
      </c>
    </row>
    <row r="82" spans="1:5" x14ac:dyDescent="0.3">
      <c r="A82" s="3" t="s">
        <v>210</v>
      </c>
      <c r="B82" s="3" t="s">
        <v>60</v>
      </c>
      <c r="C82" s="3">
        <v>566</v>
      </c>
      <c r="D82" s="3" cm="1">
        <f t="array" ref="D82">SUMPRODUCT((--(A82=$A$5:$A$143)),(--(C82&gt;$C$5:$C$143)))</f>
        <v>0</v>
      </c>
      <c r="E82" s="3">
        <f t="shared" si="2"/>
        <v>566</v>
      </c>
    </row>
    <row r="83" spans="1:5" x14ac:dyDescent="0.3">
      <c r="A83" s="3" t="s">
        <v>211</v>
      </c>
      <c r="B83" s="3" t="s">
        <v>61</v>
      </c>
      <c r="C83" s="3">
        <v>827</v>
      </c>
      <c r="D83" s="3" cm="1">
        <f t="array" ref="D83">SUMPRODUCT((--(A83=$A$5:$A$143)),(--(C83&gt;$C$5:$C$143)))</f>
        <v>0</v>
      </c>
      <c r="E83" s="3">
        <f t="shared" si="2"/>
        <v>827</v>
      </c>
    </row>
    <row r="84" spans="1:5" x14ac:dyDescent="0.3">
      <c r="A84" s="3" t="s">
        <v>147</v>
      </c>
      <c r="B84" s="3" t="s">
        <v>62</v>
      </c>
      <c r="C84" s="3">
        <v>637</v>
      </c>
      <c r="D84" s="3" cm="1">
        <f t="array" ref="D84">SUMPRODUCT((--(A84=$A$5:$A$143)),(--(C84&gt;$C$5:$C$143)))</f>
        <v>1</v>
      </c>
      <c r="E84" s="3">
        <f t="shared" si="2"/>
        <v>1110</v>
      </c>
    </row>
    <row r="85" spans="1:5" x14ac:dyDescent="0.3">
      <c r="A85" s="3" t="s">
        <v>155</v>
      </c>
      <c r="B85" s="3" t="s">
        <v>63</v>
      </c>
      <c r="C85" s="3">
        <v>313</v>
      </c>
      <c r="D85" s="3" cm="1">
        <f t="array" ref="D85">SUMPRODUCT((--(A85=$A$5:$A$143)),(--(C85&gt;$C$5:$C$143)))</f>
        <v>1</v>
      </c>
      <c r="E85" s="3">
        <f t="shared" si="2"/>
        <v>563</v>
      </c>
    </row>
    <row r="86" spans="1:5" x14ac:dyDescent="0.3">
      <c r="A86" s="3" t="s">
        <v>163</v>
      </c>
      <c r="B86" s="3" t="s">
        <v>64</v>
      </c>
      <c r="C86" s="3">
        <v>300</v>
      </c>
      <c r="D86" s="3" cm="1">
        <f t="array" ref="D86">SUMPRODUCT((--(A86=$A$5:$A$143)),(--(C86&gt;$C$5:$C$143)))</f>
        <v>0</v>
      </c>
      <c r="E86" s="3">
        <f t="shared" si="2"/>
        <v>300</v>
      </c>
    </row>
    <row r="87" spans="1:5" x14ac:dyDescent="0.3">
      <c r="A87" s="3" t="s">
        <v>212</v>
      </c>
      <c r="B87" s="3" t="s">
        <v>65</v>
      </c>
      <c r="C87" s="3">
        <v>554</v>
      </c>
      <c r="D87" s="3" cm="1">
        <f t="array" ref="D87">SUMPRODUCT((--(A87=$A$5:$A$143)),(--(C87&gt;$C$5:$C$143)))</f>
        <v>0</v>
      </c>
      <c r="E87" s="3">
        <f t="shared" si="2"/>
        <v>554</v>
      </c>
    </row>
    <row r="88" spans="1:5" x14ac:dyDescent="0.3">
      <c r="A88" s="3" t="s">
        <v>213</v>
      </c>
      <c r="B88" s="3" t="s">
        <v>66</v>
      </c>
      <c r="C88" s="3">
        <v>1458</v>
      </c>
      <c r="D88" s="3" cm="1">
        <f t="array" ref="D88">SUMPRODUCT((--(A88=$A$5:$A$143)),(--(C88&gt;$C$5:$C$143)))</f>
        <v>0</v>
      </c>
      <c r="E88" s="3">
        <f t="shared" si="2"/>
        <v>1458</v>
      </c>
    </row>
    <row r="89" spans="1:5" x14ac:dyDescent="0.3">
      <c r="A89" s="3" t="s">
        <v>214</v>
      </c>
      <c r="B89" s="3" t="s">
        <v>67</v>
      </c>
      <c r="C89" s="3">
        <v>300</v>
      </c>
      <c r="D89" s="3" cm="1">
        <f t="array" ref="D89">SUMPRODUCT((--(A89=$A$5:$A$143)),(--(C89&gt;$C$5:$C$143)))</f>
        <v>0</v>
      </c>
      <c r="E89" s="3">
        <f t="shared" si="2"/>
        <v>300</v>
      </c>
    </row>
    <row r="90" spans="1:5" x14ac:dyDescent="0.3">
      <c r="A90" s="3" t="s">
        <v>215</v>
      </c>
      <c r="B90" s="3" t="s">
        <v>68</v>
      </c>
      <c r="C90" s="3">
        <v>973</v>
      </c>
      <c r="D90" s="3" cm="1">
        <f t="array" ref="D90">SUMPRODUCT((--(A90=$A$5:$A$143)),(--(C90&gt;$C$5:$C$143)))</f>
        <v>0</v>
      </c>
      <c r="E90" s="3">
        <f t="shared" si="2"/>
        <v>973</v>
      </c>
    </row>
    <row r="91" spans="1:5" x14ac:dyDescent="0.3">
      <c r="A91" s="3" t="s">
        <v>216</v>
      </c>
      <c r="B91" s="3" t="s">
        <v>68</v>
      </c>
      <c r="C91" s="3">
        <v>970</v>
      </c>
      <c r="D91" s="3" cm="1">
        <f t="array" ref="D91">SUMPRODUCT((--(A91=$A$5:$A$143)),(--(C91&gt;$C$5:$C$143)))</f>
        <v>0</v>
      </c>
      <c r="E91" s="3">
        <f t="shared" si="2"/>
        <v>970</v>
      </c>
    </row>
    <row r="92" spans="1:5" x14ac:dyDescent="0.3">
      <c r="A92" s="3" t="s">
        <v>217</v>
      </c>
      <c r="B92" s="3" t="s">
        <v>69</v>
      </c>
      <c r="C92" s="3">
        <v>542</v>
      </c>
      <c r="D92" s="3" cm="1">
        <f t="array" ref="D92">SUMPRODUCT((--(A92=$A$5:$A$143)),(--(C92&gt;$C$5:$C$143)))</f>
        <v>0</v>
      </c>
      <c r="E92" s="3">
        <f t="shared" si="2"/>
        <v>542</v>
      </c>
    </row>
    <row r="93" spans="1:5" x14ac:dyDescent="0.3">
      <c r="A93" s="3" t="s">
        <v>218</v>
      </c>
      <c r="B93" s="3" t="s">
        <v>69</v>
      </c>
      <c r="C93" s="3">
        <v>1119</v>
      </c>
      <c r="D93" s="3" cm="1">
        <f t="array" ref="D93">SUMPRODUCT((--(A93=$A$5:$A$143)),(--(C93&gt;$C$5:$C$143)))</f>
        <v>0</v>
      </c>
      <c r="E93" s="3">
        <f t="shared" si="2"/>
        <v>1119</v>
      </c>
    </row>
    <row r="94" spans="1:5" x14ac:dyDescent="0.3">
      <c r="A94" s="3" t="s">
        <v>146</v>
      </c>
      <c r="B94" s="3" t="s">
        <v>70</v>
      </c>
      <c r="C94" s="3">
        <v>2503</v>
      </c>
      <c r="D94" s="3" cm="1">
        <f t="array" ref="D94">SUMPRODUCT((--(A94=$A$5:$A$143)),(--(C94&gt;$C$5:$C$143)))</f>
        <v>2</v>
      </c>
      <c r="E94" s="3">
        <f t="shared" si="2"/>
        <v>2987</v>
      </c>
    </row>
    <row r="95" spans="1:5" x14ac:dyDescent="0.3">
      <c r="A95" s="3" t="s">
        <v>154</v>
      </c>
      <c r="B95" s="3" t="s">
        <v>70</v>
      </c>
      <c r="C95" s="3">
        <v>960</v>
      </c>
      <c r="D95" s="3" cm="1">
        <f t="array" ref="D95">SUMPRODUCT((--(A95=$A$5:$A$143)),(--(C95&gt;$C$5:$C$143)))</f>
        <v>2</v>
      </c>
      <c r="E95" s="3">
        <f t="shared" si="2"/>
        <v>1554</v>
      </c>
    </row>
    <row r="96" spans="1:5" x14ac:dyDescent="0.3">
      <c r="A96" s="3" t="s">
        <v>162</v>
      </c>
      <c r="B96" s="3" t="s">
        <v>70</v>
      </c>
      <c r="C96" s="3">
        <v>306</v>
      </c>
      <c r="D96" s="3" cm="1">
        <f t="array" ref="D96">SUMPRODUCT((--(A96=$A$5:$A$143)),(--(C96&gt;$C$5:$C$143)))</f>
        <v>0</v>
      </c>
      <c r="E96" s="3">
        <f t="shared" si="2"/>
        <v>306</v>
      </c>
    </row>
    <row r="97" spans="1:5" x14ac:dyDescent="0.3">
      <c r="A97" s="3" t="s">
        <v>219</v>
      </c>
      <c r="B97" s="3" t="s">
        <v>71</v>
      </c>
      <c r="C97" s="3">
        <v>0</v>
      </c>
      <c r="D97" s="3" cm="1">
        <f t="array" ref="D97">SUMPRODUCT((--(A97=$A$5:$A$143)),(--(C97&gt;$C$5:$C$143)))</f>
        <v>0</v>
      </c>
      <c r="E97" s="3">
        <f t="shared" si="2"/>
        <v>0</v>
      </c>
    </row>
    <row r="98" spans="1:5" x14ac:dyDescent="0.3">
      <c r="A98" s="3" t="s">
        <v>220</v>
      </c>
      <c r="B98" s="3" t="s">
        <v>71</v>
      </c>
      <c r="C98" s="3">
        <v>0</v>
      </c>
      <c r="D98" s="3" cm="1">
        <f t="array" ref="D98">SUMPRODUCT((--(A98=$A$5:$A$143)),(--(C98&gt;$C$5:$C$143)))</f>
        <v>0</v>
      </c>
      <c r="E98" s="3">
        <f t="shared" si="2"/>
        <v>0</v>
      </c>
    </row>
    <row r="99" spans="1:5" x14ac:dyDescent="0.3">
      <c r="A99" s="3" t="s">
        <v>146</v>
      </c>
      <c r="B99" s="3" t="s">
        <v>72</v>
      </c>
      <c r="C99" s="3">
        <v>484</v>
      </c>
      <c r="D99" s="3" cm="1">
        <f t="array" ref="D99">SUMPRODUCT((--(A99=$A$5:$A$143)),(--(C99&gt;$C$5:$C$143)))</f>
        <v>1</v>
      </c>
      <c r="E99" s="3">
        <f t="shared" si="2"/>
        <v>484</v>
      </c>
    </row>
    <row r="100" spans="1:5" x14ac:dyDescent="0.3">
      <c r="A100" s="3" t="s">
        <v>147</v>
      </c>
      <c r="B100" s="3" t="s">
        <v>72</v>
      </c>
      <c r="C100" s="3">
        <v>473</v>
      </c>
      <c r="D100" s="3" cm="1">
        <f t="array" ref="D100">SUMPRODUCT((--(A100=$A$5:$A$143)),(--(C100&gt;$C$5:$C$143)))</f>
        <v>0</v>
      </c>
      <c r="E100" s="3">
        <f t="shared" si="2"/>
        <v>473</v>
      </c>
    </row>
    <row r="101" spans="1:5" x14ac:dyDescent="0.3">
      <c r="A101" s="3" t="s">
        <v>148</v>
      </c>
      <c r="B101" s="3" t="s">
        <v>73</v>
      </c>
      <c r="C101" s="3">
        <v>678</v>
      </c>
      <c r="D101" s="3" cm="1">
        <f t="array" ref="D101">SUMPRODUCT((--(A101=$A$5:$A$143)),(--(C101&gt;$C$5:$C$143)))</f>
        <v>1</v>
      </c>
      <c r="E101" s="3">
        <f t="shared" ref="E101:E132" si="3">SUMIFS($C$5:$C$143,$A$5:$A$143,A101,$D$5:$D$143,"&lt;="&amp;D101)</f>
        <v>1273</v>
      </c>
    </row>
    <row r="102" spans="1:5" x14ac:dyDescent="0.3">
      <c r="A102" s="3" t="s">
        <v>149</v>
      </c>
      <c r="B102" s="3" t="s">
        <v>74</v>
      </c>
      <c r="C102" s="3">
        <v>0</v>
      </c>
      <c r="D102" s="3" cm="1">
        <f t="array" ref="D102">SUMPRODUCT((--(A102=$A$5:$A$143)),(--(C102&gt;$C$5:$C$143)))</f>
        <v>0</v>
      </c>
      <c r="E102" s="3">
        <f t="shared" si="3"/>
        <v>0</v>
      </c>
    </row>
    <row r="103" spans="1:5" x14ac:dyDescent="0.3">
      <c r="A103" s="3" t="s">
        <v>150</v>
      </c>
      <c r="B103" s="3" t="s">
        <v>75</v>
      </c>
      <c r="C103" s="3">
        <v>545</v>
      </c>
      <c r="D103" s="3" cm="1">
        <f t="array" ref="D103">SUMPRODUCT((--(A103=$A$5:$A$143)),(--(C103&gt;$C$5:$C$143)))</f>
        <v>1</v>
      </c>
      <c r="E103" s="3">
        <f t="shared" si="3"/>
        <v>776</v>
      </c>
    </row>
    <row r="104" spans="1:5" x14ac:dyDescent="0.3">
      <c r="A104" s="3" t="s">
        <v>151</v>
      </c>
      <c r="B104" s="3" t="s">
        <v>76</v>
      </c>
      <c r="C104" s="3">
        <v>675</v>
      </c>
      <c r="D104" s="3" cm="1">
        <f t="array" ref="D104">SUMPRODUCT((--(A104=$A$5:$A$143)),(--(C104&gt;$C$5:$C$143)))</f>
        <v>2</v>
      </c>
      <c r="E104" s="3">
        <f t="shared" si="3"/>
        <v>1793</v>
      </c>
    </row>
    <row r="105" spans="1:5" x14ac:dyDescent="0.3">
      <c r="A105" s="3" t="s">
        <v>152</v>
      </c>
      <c r="B105" s="3" t="s">
        <v>77</v>
      </c>
      <c r="C105" s="3">
        <v>542</v>
      </c>
      <c r="D105" s="3" cm="1">
        <f t="array" ref="D105">SUMPRODUCT((--(A105=$A$5:$A$143)),(--(C105&gt;$C$5:$C$143)))</f>
        <v>0</v>
      </c>
      <c r="E105" s="3">
        <f t="shared" si="3"/>
        <v>542</v>
      </c>
    </row>
    <row r="106" spans="1:5" x14ac:dyDescent="0.3">
      <c r="A106" s="3" t="s">
        <v>153</v>
      </c>
      <c r="B106" s="3" t="s">
        <v>77</v>
      </c>
      <c r="C106" s="3">
        <v>353</v>
      </c>
      <c r="D106" s="3" cm="1">
        <f t="array" ref="D106">SUMPRODUCT((--(A106=$A$5:$A$143)),(--(C106&gt;$C$5:$C$143)))</f>
        <v>1</v>
      </c>
      <c r="E106" s="3">
        <f t="shared" si="3"/>
        <v>549</v>
      </c>
    </row>
    <row r="107" spans="1:5" x14ac:dyDescent="0.3">
      <c r="A107" s="3" t="s">
        <v>154</v>
      </c>
      <c r="B107" s="3" t="s">
        <v>78</v>
      </c>
      <c r="C107" s="3">
        <v>299</v>
      </c>
      <c r="D107" s="3" cm="1">
        <f t="array" ref="D107">SUMPRODUCT((--(A107=$A$5:$A$143)),(--(C107&gt;$C$5:$C$143)))</f>
        <v>1</v>
      </c>
      <c r="E107" s="3">
        <f t="shared" si="3"/>
        <v>594</v>
      </c>
    </row>
    <row r="108" spans="1:5" x14ac:dyDescent="0.3">
      <c r="A108" s="3" t="s">
        <v>155</v>
      </c>
      <c r="B108" s="3" t="s">
        <v>78</v>
      </c>
      <c r="C108" s="3">
        <v>524</v>
      </c>
      <c r="D108" s="3" cm="1">
        <f t="array" ref="D108">SUMPRODUCT((--(A108=$A$5:$A$143)),(--(C108&gt;$C$5:$C$143)))</f>
        <v>2</v>
      </c>
      <c r="E108" s="3">
        <f t="shared" si="3"/>
        <v>1087</v>
      </c>
    </row>
    <row r="109" spans="1:5" x14ac:dyDescent="0.3">
      <c r="A109" s="3" t="s">
        <v>156</v>
      </c>
      <c r="B109" s="3" t="s">
        <v>79</v>
      </c>
      <c r="C109" s="3">
        <v>566</v>
      </c>
      <c r="D109" s="3" cm="1">
        <f t="array" ref="D109">SUMPRODUCT((--(A109=$A$5:$A$143)),(--(C109&gt;$C$5:$C$143)))</f>
        <v>0</v>
      </c>
      <c r="E109" s="3">
        <f t="shared" si="3"/>
        <v>566</v>
      </c>
    </row>
    <row r="110" spans="1:5" x14ac:dyDescent="0.3">
      <c r="A110" s="3" t="s">
        <v>157</v>
      </c>
      <c r="B110" s="3" t="s">
        <v>80</v>
      </c>
      <c r="C110" s="3">
        <v>662</v>
      </c>
      <c r="D110" s="3" cm="1">
        <f t="array" ref="D110">SUMPRODUCT((--(A110=$A$5:$A$143)),(--(C110&gt;$C$5:$C$143)))</f>
        <v>2</v>
      </c>
      <c r="E110" s="3">
        <f t="shared" si="3"/>
        <v>1825</v>
      </c>
    </row>
    <row r="111" spans="1:5" x14ac:dyDescent="0.3">
      <c r="A111" s="3" t="s">
        <v>158</v>
      </c>
      <c r="B111" s="3" t="s">
        <v>80</v>
      </c>
      <c r="C111" s="3">
        <v>332</v>
      </c>
      <c r="D111" s="3" cm="1">
        <f t="array" ref="D111">SUMPRODUCT((--(A111=$A$5:$A$143)),(--(C111&gt;$C$5:$C$143)))</f>
        <v>1</v>
      </c>
      <c r="E111" s="3">
        <f t="shared" si="3"/>
        <v>636</v>
      </c>
    </row>
    <row r="112" spans="1:5" x14ac:dyDescent="0.3">
      <c r="A112" s="3" t="s">
        <v>159</v>
      </c>
      <c r="B112" s="3" t="s">
        <v>80</v>
      </c>
      <c r="C112" s="3">
        <v>690</v>
      </c>
      <c r="D112" s="3" cm="1">
        <f t="array" ref="D112">SUMPRODUCT((--(A112=$A$5:$A$143)),(--(C112&gt;$C$5:$C$143)))</f>
        <v>3</v>
      </c>
      <c r="E112" s="3">
        <f t="shared" si="3"/>
        <v>1663</v>
      </c>
    </row>
    <row r="113" spans="1:5" x14ac:dyDescent="0.3">
      <c r="A113" s="3" t="s">
        <v>160</v>
      </c>
      <c r="B113" s="3" t="s">
        <v>81</v>
      </c>
      <c r="C113" s="3">
        <v>490</v>
      </c>
      <c r="D113" s="3" cm="1">
        <f t="array" ref="D113">SUMPRODUCT((--(A113=$A$5:$A$143)),(--(C113&gt;$C$5:$C$143)))</f>
        <v>1</v>
      </c>
      <c r="E113" s="3">
        <f t="shared" si="3"/>
        <v>646</v>
      </c>
    </row>
    <row r="114" spans="1:5" x14ac:dyDescent="0.3">
      <c r="A114" s="3" t="s">
        <v>161</v>
      </c>
      <c r="B114" s="3" t="s">
        <v>82</v>
      </c>
      <c r="C114" s="3">
        <v>569</v>
      </c>
      <c r="D114" s="3" cm="1">
        <f t="array" ref="D114">SUMPRODUCT((--(A114=$A$5:$A$143)),(--(C114&gt;$C$5:$C$143)))</f>
        <v>0</v>
      </c>
      <c r="E114" s="3">
        <f t="shared" si="3"/>
        <v>569</v>
      </c>
    </row>
    <row r="115" spans="1:5" x14ac:dyDescent="0.3">
      <c r="A115" s="3" t="s">
        <v>162</v>
      </c>
      <c r="B115" s="3" t="s">
        <v>83</v>
      </c>
      <c r="C115" s="3">
        <v>561</v>
      </c>
      <c r="D115" s="3" cm="1">
        <f t="array" ref="D115">SUMPRODUCT((--(A115=$A$5:$A$143)),(--(C115&gt;$C$5:$C$143)))</f>
        <v>1</v>
      </c>
      <c r="E115" s="3">
        <f t="shared" si="3"/>
        <v>867</v>
      </c>
    </row>
    <row r="116" spans="1:5" x14ac:dyDescent="0.3">
      <c r="A116" s="3" t="s">
        <v>163</v>
      </c>
      <c r="B116" s="3" t="s">
        <v>84</v>
      </c>
      <c r="C116" s="3">
        <v>489</v>
      </c>
      <c r="D116" s="3" cm="1">
        <f t="array" ref="D116">SUMPRODUCT((--(A116=$A$5:$A$143)),(--(C116&gt;$C$5:$C$143)))</f>
        <v>1</v>
      </c>
      <c r="E116" s="3">
        <f t="shared" si="3"/>
        <v>789</v>
      </c>
    </row>
    <row r="117" spans="1:5" x14ac:dyDescent="0.3">
      <c r="A117" s="3" t="s">
        <v>164</v>
      </c>
      <c r="B117" s="3" t="s">
        <v>85</v>
      </c>
      <c r="C117" s="3">
        <v>566</v>
      </c>
      <c r="D117" s="3" cm="1">
        <f t="array" ref="D117">SUMPRODUCT((--(A117=$A$5:$A$143)),(--(C117&gt;$C$5:$C$143)))</f>
        <v>0</v>
      </c>
      <c r="E117" s="3">
        <f t="shared" si="3"/>
        <v>566</v>
      </c>
    </row>
    <row r="118" spans="1:5" x14ac:dyDescent="0.3">
      <c r="A118" s="3" t="s">
        <v>165</v>
      </c>
      <c r="B118" s="3" t="s">
        <v>86</v>
      </c>
      <c r="C118" s="3">
        <v>563</v>
      </c>
      <c r="D118" s="3" cm="1">
        <f t="array" ref="D118">SUMPRODUCT((--(A118=$A$5:$A$143)),(--(C118&gt;$C$5:$C$143)))</f>
        <v>1</v>
      </c>
      <c r="E118" s="3">
        <f t="shared" si="3"/>
        <v>872</v>
      </c>
    </row>
    <row r="119" spans="1:5" x14ac:dyDescent="0.3">
      <c r="A119" s="3" t="s">
        <v>153</v>
      </c>
      <c r="B119" s="3" t="s">
        <v>87</v>
      </c>
      <c r="C119" s="3">
        <v>674</v>
      </c>
      <c r="D119" s="3" cm="1">
        <f t="array" ref="D119">SUMPRODUCT((--(A119=$A$5:$A$143)),(--(C119&gt;$C$5:$C$143)))</f>
        <v>3</v>
      </c>
      <c r="E119" s="3">
        <f t="shared" si="3"/>
        <v>1857</v>
      </c>
    </row>
    <row r="120" spans="1:5" x14ac:dyDescent="0.3">
      <c r="A120" s="3" t="s">
        <v>161</v>
      </c>
      <c r="B120" s="3" t="s">
        <v>88</v>
      </c>
      <c r="C120" s="3">
        <v>677</v>
      </c>
      <c r="D120" s="3" cm="1">
        <f t="array" ref="D120">SUMPRODUCT((--(A120=$A$5:$A$143)),(--(C120&gt;$C$5:$C$143)))</f>
        <v>1</v>
      </c>
      <c r="E120" s="3">
        <f t="shared" si="3"/>
        <v>1246</v>
      </c>
    </row>
    <row r="121" spans="1:5" x14ac:dyDescent="0.3">
      <c r="A121" s="3" t="s">
        <v>166</v>
      </c>
      <c r="B121" s="3" t="s">
        <v>89</v>
      </c>
      <c r="C121" s="3">
        <v>0</v>
      </c>
      <c r="D121" s="3" cm="1">
        <f t="array" ref="D121">SUMPRODUCT((--(A121=$A$5:$A$143)),(--(C121&gt;$C$5:$C$143)))</f>
        <v>0</v>
      </c>
      <c r="E121" s="3">
        <f t="shared" si="3"/>
        <v>0</v>
      </c>
    </row>
    <row r="122" spans="1:5" x14ac:dyDescent="0.3">
      <c r="A122" s="3" t="s">
        <v>167</v>
      </c>
      <c r="B122" s="3" t="s">
        <v>90</v>
      </c>
      <c r="C122" s="3">
        <v>502</v>
      </c>
      <c r="D122" s="3" cm="1">
        <f t="array" ref="D122">SUMPRODUCT((--(A122=$A$5:$A$143)),(--(C122&gt;$C$5:$C$143)))</f>
        <v>0</v>
      </c>
      <c r="E122" s="3">
        <f t="shared" si="3"/>
        <v>502</v>
      </c>
    </row>
    <row r="123" spans="1:5" x14ac:dyDescent="0.3">
      <c r="A123" s="3" t="s">
        <v>168</v>
      </c>
      <c r="B123" s="3" t="s">
        <v>91</v>
      </c>
      <c r="C123" s="3">
        <v>682</v>
      </c>
      <c r="D123" s="3" cm="1">
        <f t="array" ref="D123">SUMPRODUCT((--(A123=$A$5:$A$143)),(--(C123&gt;$C$5:$C$143)))</f>
        <v>1</v>
      </c>
      <c r="E123" s="3">
        <f t="shared" si="3"/>
        <v>903</v>
      </c>
    </row>
    <row r="124" spans="1:5" x14ac:dyDescent="0.3">
      <c r="A124" s="3" t="s">
        <v>169</v>
      </c>
      <c r="B124" s="3" t="s">
        <v>92</v>
      </c>
      <c r="C124" s="3">
        <v>0</v>
      </c>
      <c r="D124" s="3" cm="1">
        <f t="array" ref="D124">SUMPRODUCT((--(A124=$A$5:$A$143)),(--(C124&gt;$C$5:$C$143)))</f>
        <v>0</v>
      </c>
      <c r="E124" s="3">
        <f t="shared" si="3"/>
        <v>0</v>
      </c>
    </row>
    <row r="125" spans="1:5" x14ac:dyDescent="0.3">
      <c r="A125" s="3" t="s">
        <v>170</v>
      </c>
      <c r="B125" s="3" t="s">
        <v>93</v>
      </c>
      <c r="C125" s="3">
        <v>971</v>
      </c>
      <c r="D125" s="3" cm="1">
        <f t="array" ref="D125">SUMPRODUCT((--(A125=$A$5:$A$143)),(--(C125&gt;$C$5:$C$143)))</f>
        <v>1</v>
      </c>
      <c r="E125" s="3">
        <f t="shared" si="3"/>
        <v>1153</v>
      </c>
    </row>
    <row r="126" spans="1:5" x14ac:dyDescent="0.3">
      <c r="A126" s="3" t="s">
        <v>171</v>
      </c>
      <c r="B126" s="3" t="s">
        <v>94</v>
      </c>
      <c r="C126" s="3">
        <v>1041</v>
      </c>
      <c r="D126" s="3" cm="1">
        <f t="array" ref="D126">SUMPRODUCT((--(A126=$A$5:$A$143)),(--(C126&gt;$C$5:$C$143)))</f>
        <v>1</v>
      </c>
      <c r="E126" s="3">
        <f t="shared" si="3"/>
        <v>1361</v>
      </c>
    </row>
    <row r="127" spans="1:5" x14ac:dyDescent="0.3">
      <c r="A127" s="3" t="s">
        <v>172</v>
      </c>
      <c r="B127" s="3" t="s">
        <v>95</v>
      </c>
      <c r="C127" s="3">
        <v>5164</v>
      </c>
      <c r="D127" s="3" cm="1">
        <f t="array" ref="D127">SUMPRODUCT((--(A127=$A$5:$A$143)),(--(C127&gt;$C$5:$C$143)))</f>
        <v>1</v>
      </c>
      <c r="E127" s="3">
        <f t="shared" si="3"/>
        <v>5343</v>
      </c>
    </row>
    <row r="128" spans="1:5" x14ac:dyDescent="0.3">
      <c r="A128" s="3" t="s">
        <v>173</v>
      </c>
      <c r="B128" s="3" t="s">
        <v>96</v>
      </c>
      <c r="C128" s="3">
        <v>1053</v>
      </c>
      <c r="D128" s="3" cm="1">
        <f t="array" ref="D128">SUMPRODUCT((--(A128=$A$5:$A$143)),(--(C128&gt;$C$5:$C$143)))</f>
        <v>1</v>
      </c>
      <c r="E128" s="3">
        <f t="shared" si="3"/>
        <v>1775</v>
      </c>
    </row>
    <row r="129" spans="1:5" x14ac:dyDescent="0.3">
      <c r="A129" s="3" t="s">
        <v>152</v>
      </c>
      <c r="B129" s="3" t="s">
        <v>96</v>
      </c>
      <c r="C129" s="3">
        <v>4094</v>
      </c>
      <c r="D129" s="3" cm="1">
        <f t="array" ref="D129">SUMPRODUCT((--(A129=$A$5:$A$143)),(--(C129&gt;$C$5:$C$143)))</f>
        <v>2</v>
      </c>
      <c r="E129" s="3">
        <f t="shared" si="3"/>
        <v>8512</v>
      </c>
    </row>
    <row r="130" spans="1:5" x14ac:dyDescent="0.3">
      <c r="A130" s="3" t="s">
        <v>160</v>
      </c>
      <c r="B130" s="3" t="s">
        <v>97</v>
      </c>
      <c r="C130" s="3">
        <v>1679</v>
      </c>
      <c r="D130" s="3" cm="1">
        <f t="array" ref="D130">SUMPRODUCT((--(A130=$A$5:$A$143)),(--(C130&gt;$C$5:$C$143)))</f>
        <v>2</v>
      </c>
      <c r="E130" s="3">
        <f t="shared" si="3"/>
        <v>2325</v>
      </c>
    </row>
    <row r="131" spans="1:5" x14ac:dyDescent="0.3">
      <c r="A131" s="3" t="s">
        <v>174</v>
      </c>
      <c r="B131" s="3" t="s">
        <v>98</v>
      </c>
      <c r="C131" s="3">
        <v>1234</v>
      </c>
      <c r="D131" s="3" cm="1">
        <f t="array" ref="D131">SUMPRODUCT((--(A131=$A$5:$A$143)),(--(C131&gt;$C$5:$C$143)))</f>
        <v>1</v>
      </c>
      <c r="E131" s="3">
        <f t="shared" si="3"/>
        <v>1453</v>
      </c>
    </row>
    <row r="132" spans="1:5" x14ac:dyDescent="0.3">
      <c r="A132" s="3" t="s">
        <v>175</v>
      </c>
      <c r="B132" s="3" t="s">
        <v>99</v>
      </c>
      <c r="C132" s="3">
        <v>0</v>
      </c>
      <c r="D132" s="3" cm="1">
        <f t="array" ref="D132">SUMPRODUCT((--(A132=$A$5:$A$143)),(--(C132&gt;$C$5:$C$143)))</f>
        <v>0</v>
      </c>
      <c r="E132" s="3">
        <f t="shared" si="3"/>
        <v>0</v>
      </c>
    </row>
    <row r="133" spans="1:5" x14ac:dyDescent="0.3">
      <c r="A133" s="3" t="s">
        <v>176</v>
      </c>
      <c r="B133" s="3" t="s">
        <v>31</v>
      </c>
      <c r="C133" s="3">
        <v>175</v>
      </c>
      <c r="D133" s="3" cm="1">
        <f t="array" ref="D133">SUMPRODUCT((--(A133=$A$5:$A$143)),(--(C133&gt;$C$5:$C$143)))</f>
        <v>0</v>
      </c>
      <c r="E133" s="3">
        <f t="shared" ref="E133:E143" si="4">SUMIFS($C$5:$C$143,$A$5:$A$143,A133,$D$5:$D$143,"&lt;="&amp;D133)</f>
        <v>175</v>
      </c>
    </row>
    <row r="134" spans="1:5" x14ac:dyDescent="0.3">
      <c r="A134" s="3" t="s">
        <v>177</v>
      </c>
      <c r="B134" s="3" t="s">
        <v>20</v>
      </c>
      <c r="C134" s="3">
        <v>4426</v>
      </c>
      <c r="D134" s="3" cm="1">
        <f t="array" ref="D134">SUMPRODUCT((--(A134=$A$5:$A$143)),(--(C134&gt;$C$5:$C$143)))</f>
        <v>1</v>
      </c>
      <c r="E134" s="3">
        <f t="shared" si="4"/>
        <v>5208</v>
      </c>
    </row>
    <row r="135" spans="1:5" x14ac:dyDescent="0.3">
      <c r="A135" s="3" t="s">
        <v>178</v>
      </c>
      <c r="B135" s="3" t="s">
        <v>100</v>
      </c>
      <c r="C135" s="3">
        <v>569</v>
      </c>
      <c r="D135" s="3" cm="1">
        <f t="array" ref="D135">SUMPRODUCT((--(A135=$A$5:$A$143)),(--(C135&gt;$C$5:$C$143)))</f>
        <v>0</v>
      </c>
      <c r="E135" s="3">
        <f t="shared" si="4"/>
        <v>569</v>
      </c>
    </row>
    <row r="136" spans="1:5" x14ac:dyDescent="0.3">
      <c r="A136" s="3" t="s">
        <v>179</v>
      </c>
      <c r="B136" s="3" t="s">
        <v>84</v>
      </c>
      <c r="C136" s="3">
        <v>548</v>
      </c>
      <c r="D136" s="3" cm="1">
        <f t="array" ref="D136">SUMPRODUCT((--(A136=$A$5:$A$143)),(--(C136&gt;$C$5:$C$143)))</f>
        <v>1</v>
      </c>
      <c r="E136" s="3">
        <f t="shared" si="4"/>
        <v>825</v>
      </c>
    </row>
    <row r="137" spans="1:5" x14ac:dyDescent="0.3">
      <c r="A137" s="3" t="s">
        <v>180</v>
      </c>
      <c r="B137" s="3" t="s">
        <v>20</v>
      </c>
      <c r="C137" s="3">
        <v>661</v>
      </c>
      <c r="D137" s="3" cm="1">
        <f t="array" ref="D137">SUMPRODUCT((--(A137=$A$5:$A$143)),(--(C137&gt;$C$5:$C$143)))</f>
        <v>1</v>
      </c>
      <c r="E137" s="3">
        <f t="shared" si="4"/>
        <v>914</v>
      </c>
    </row>
    <row r="138" spans="1:5" x14ac:dyDescent="0.3">
      <c r="A138" s="3" t="s">
        <v>181</v>
      </c>
      <c r="B138" s="3" t="s">
        <v>52</v>
      </c>
      <c r="C138" s="3">
        <v>576</v>
      </c>
      <c r="D138" s="3" cm="1">
        <f t="array" ref="D138">SUMPRODUCT((--(A138=$A$5:$A$143)),(--(C138&gt;$C$5:$C$143)))</f>
        <v>0</v>
      </c>
      <c r="E138" s="3">
        <f t="shared" si="4"/>
        <v>576</v>
      </c>
    </row>
    <row r="139" spans="1:5" x14ac:dyDescent="0.3">
      <c r="A139" s="3" t="s">
        <v>151</v>
      </c>
      <c r="B139" s="3" t="s">
        <v>101</v>
      </c>
      <c r="C139" s="3">
        <v>572</v>
      </c>
      <c r="D139" s="3" cm="1">
        <f t="array" ref="D139">SUMPRODUCT((--(A139=$A$5:$A$143)),(--(C139&gt;$C$5:$C$143)))</f>
        <v>1</v>
      </c>
      <c r="E139" s="3">
        <f t="shared" si="4"/>
        <v>1118</v>
      </c>
    </row>
    <row r="140" spans="1:5" x14ac:dyDescent="0.3">
      <c r="A140" s="3" t="s">
        <v>159</v>
      </c>
      <c r="B140" s="3" t="s">
        <v>102</v>
      </c>
      <c r="C140" s="3">
        <v>299</v>
      </c>
      <c r="D140" s="3" cm="1">
        <f t="array" ref="D140">SUMPRODUCT((--(A140=$A$5:$A$143)),(--(C140&gt;$C$5:$C$143)))</f>
        <v>0</v>
      </c>
      <c r="E140" s="3">
        <f t="shared" si="4"/>
        <v>299</v>
      </c>
    </row>
    <row r="141" spans="1:5" x14ac:dyDescent="0.3">
      <c r="A141" s="3" t="s">
        <v>182</v>
      </c>
      <c r="B141" s="3" t="s">
        <v>103</v>
      </c>
      <c r="C141" s="3">
        <v>573</v>
      </c>
      <c r="D141" s="3" cm="1">
        <f t="array" ref="D141">SUMPRODUCT((--(A141=$A$5:$A$143)),(--(C141&gt;$C$5:$C$143)))</f>
        <v>0</v>
      </c>
      <c r="E141" s="3">
        <f t="shared" si="4"/>
        <v>573</v>
      </c>
    </row>
    <row r="142" spans="1:5" x14ac:dyDescent="0.3">
      <c r="A142" s="3" t="s">
        <v>183</v>
      </c>
      <c r="B142" s="3" t="s">
        <v>104</v>
      </c>
      <c r="C142" s="3">
        <v>571</v>
      </c>
      <c r="D142" s="3" cm="1">
        <f t="array" ref="D142">SUMPRODUCT((--(A142=$A$5:$A$143)),(--(C142&gt;$C$5:$C$143)))</f>
        <v>0</v>
      </c>
      <c r="E142" s="3">
        <f t="shared" si="4"/>
        <v>571</v>
      </c>
    </row>
    <row r="143" spans="1:5" x14ac:dyDescent="0.3">
      <c r="A143" s="3" t="s">
        <v>184</v>
      </c>
      <c r="B143" s="3" t="s">
        <v>105</v>
      </c>
      <c r="C143" s="3">
        <v>235</v>
      </c>
      <c r="D143" s="3" cm="1">
        <f t="array" ref="D143">SUMPRODUCT((--(A143=$A$5:$A$143)),(--(C143&gt;$C$5:$C$143)))</f>
        <v>0</v>
      </c>
      <c r="E143" s="3">
        <f t="shared" si="4"/>
        <v>235</v>
      </c>
    </row>
  </sheetData>
  <autoFilter ref="A4:E143" xr:uid="{988E3364-EC97-4736-AE60-E4156CA7CA5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2D71-5199-47E7-B466-23E6BECB1EEF}">
  <dimension ref="A1:P18"/>
  <sheetViews>
    <sheetView workbookViewId="0">
      <selection activeCell="L16" sqref="L16:L18"/>
    </sheetView>
  </sheetViews>
  <sheetFormatPr defaultRowHeight="14.4" x14ac:dyDescent="0.3"/>
  <cols>
    <col min="3" max="5" width="9.109375" style="5"/>
    <col min="8" max="10" width="9.88671875" bestFit="1" customWidth="1"/>
    <col min="12" max="12" width="18.44140625" bestFit="1" customWidth="1"/>
  </cols>
  <sheetData>
    <row r="1" spans="1:16" x14ac:dyDescent="0.3">
      <c r="C1" s="5" t="s">
        <v>106</v>
      </c>
      <c r="D1" s="5" t="s">
        <v>107</v>
      </c>
      <c r="E1" s="5" t="s">
        <v>108</v>
      </c>
    </row>
    <row r="2" spans="1:16" x14ac:dyDescent="0.3">
      <c r="A2" s="6" t="s">
        <v>109</v>
      </c>
      <c r="B2" s="6" t="s">
        <v>110</v>
      </c>
      <c r="C2" s="6">
        <v>5</v>
      </c>
      <c r="D2" s="6" t="s">
        <v>111</v>
      </c>
      <c r="E2" s="6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</row>
    <row r="3" spans="1:16" ht="16.8" x14ac:dyDescent="0.4">
      <c r="A3" s="7">
        <v>1</v>
      </c>
      <c r="B3" s="7" t="s">
        <v>118</v>
      </c>
      <c r="C3" s="7">
        <v>4</v>
      </c>
      <c r="D3" s="7" t="s">
        <v>111</v>
      </c>
      <c r="E3" s="7" t="s">
        <v>112</v>
      </c>
      <c r="H3" s="8">
        <f>IF(C3=$C$2,1,0)</f>
        <v>0</v>
      </c>
      <c r="I3" s="8">
        <f>IF(D3=$D$2,1,0)</f>
        <v>1</v>
      </c>
      <c r="J3" s="8">
        <f>IF(E3=$E$2,1,0)</f>
        <v>1</v>
      </c>
      <c r="K3" s="9">
        <f>SUM(H3:J3)</f>
        <v>2</v>
      </c>
      <c r="L3" s="10" cm="1">
        <f t="array" ref="L3">SUMPRODUCT(1*($C3:$E3=$C$2:$E$2))</f>
        <v>2</v>
      </c>
      <c r="N3" cm="1">
        <f t="array" ref="N3">SUM(IF(C3:E3=$C$2:$E$2,1,0))</f>
        <v>2</v>
      </c>
      <c r="P3" cm="1">
        <f t="array" ref="P3">SUM(IF(C3:E3=$C$2:$E$2, 1, 0))</f>
        <v>2</v>
      </c>
    </row>
    <row r="4" spans="1:16" ht="16.8" x14ac:dyDescent="0.4">
      <c r="A4" s="7">
        <v>2</v>
      </c>
      <c r="B4" s="7" t="s">
        <v>119</v>
      </c>
      <c r="C4" s="7">
        <v>5</v>
      </c>
      <c r="D4" s="7" t="s">
        <v>111</v>
      </c>
      <c r="E4" s="7" t="s">
        <v>112</v>
      </c>
      <c r="H4" s="8">
        <f t="shared" ref="H4:H5" si="0">IF(C4=$C$2,1,0)</f>
        <v>1</v>
      </c>
      <c r="I4" s="8">
        <f t="shared" ref="I4:I5" si="1">IF(D4=$D$2,1,0)</f>
        <v>1</v>
      </c>
      <c r="J4" s="8">
        <f t="shared" ref="J4:J5" si="2">IF(E4=$E$2,1,0)</f>
        <v>1</v>
      </c>
      <c r="K4" s="9">
        <f t="shared" ref="K4:K5" si="3">SUM(H4:J4)</f>
        <v>3</v>
      </c>
      <c r="L4" s="10" cm="1">
        <f t="array" ref="L4">SUMPRODUCT(1*($C4:$E4=$C$2:$E$2))</f>
        <v>3</v>
      </c>
      <c r="N4" cm="1">
        <f t="array" ref="N4">SUM(IF(C4:E4=$C$2:$E$2,1,0))</f>
        <v>3</v>
      </c>
      <c r="P4" cm="1">
        <f t="array" ref="P4">SUM(IF(C4:E4=$C$2:$E$2, 1, 0))</f>
        <v>3</v>
      </c>
    </row>
    <row r="5" spans="1:16" ht="16.8" x14ac:dyDescent="0.4">
      <c r="A5" s="7">
        <v>3</v>
      </c>
      <c r="B5" s="7" t="s">
        <v>120</v>
      </c>
      <c r="C5" s="7">
        <v>5</v>
      </c>
      <c r="D5" s="7" t="s">
        <v>121</v>
      </c>
      <c r="E5" s="7" t="s">
        <v>112</v>
      </c>
      <c r="H5" s="8">
        <f t="shared" si="0"/>
        <v>1</v>
      </c>
      <c r="I5" s="8">
        <f t="shared" si="1"/>
        <v>0</v>
      </c>
      <c r="J5" s="8">
        <f t="shared" si="2"/>
        <v>1</v>
      </c>
      <c r="K5" s="9">
        <f t="shared" si="3"/>
        <v>2</v>
      </c>
      <c r="L5" s="10" cm="1">
        <f t="array" ref="L5">SUMPRODUCT(1*($C5:$E5=$C$2:$E$2))</f>
        <v>2</v>
      </c>
      <c r="N5" cm="1">
        <f t="array" ref="N5">SUM(IF(C5:E5=$C$2:$E$2,1,0))</f>
        <v>2</v>
      </c>
      <c r="P5" cm="1">
        <f t="array" ref="P5">SUM(IF(C5:E5=$C$2:$E$2, 1, 0))</f>
        <v>2</v>
      </c>
    </row>
    <row r="7" spans="1:16" ht="16.8" x14ac:dyDescent="0.4">
      <c r="A7" s="13" t="s">
        <v>122</v>
      </c>
    </row>
    <row r="8" spans="1:16" ht="16.8" x14ac:dyDescent="0.4">
      <c r="A8" s="13" t="s">
        <v>123</v>
      </c>
    </row>
    <row r="10" spans="1:16" x14ac:dyDescent="0.3">
      <c r="L10" s="15" cm="1">
        <f t="array" ref="L10">SUM(IF(C3:E3=$C$2:$E$2,1,0))</f>
        <v>2</v>
      </c>
    </row>
    <row r="11" spans="1:16" x14ac:dyDescent="0.3">
      <c r="L11" s="15" cm="1">
        <f t="array" ref="L11">SUM(IF(C4:E4=$C$2:$E$2,1,0))</f>
        <v>3</v>
      </c>
    </row>
    <row r="12" spans="1:16" x14ac:dyDescent="0.3">
      <c r="L12" s="15" cm="1">
        <f t="array" ref="L12">SUM(IF(C5:E5=$C$2:$E$2,1,0))</f>
        <v>2</v>
      </c>
    </row>
    <row r="16" spans="1:16" x14ac:dyDescent="0.3">
      <c r="L16" cm="1">
        <f t="array" ref="L16">SUM(IF(C3:E3=$C$2:$E$2,1,0))</f>
        <v>2</v>
      </c>
    </row>
    <row r="17" spans="12:12" x14ac:dyDescent="0.3">
      <c r="L17" cm="1">
        <f t="array" ref="L17">SUM(IF(C4:E4=$C$2:$E$2,1,0))</f>
        <v>3</v>
      </c>
    </row>
    <row r="18" spans="12:12" x14ac:dyDescent="0.3">
      <c r="L18" cm="1">
        <f t="array" ref="L18">SUM(IF(C5:E5=$C$2:$E$2,1,0))</f>
        <v>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FFB9-B665-4285-A3E1-84FF23E16E6A}">
  <dimension ref="A1:C15"/>
  <sheetViews>
    <sheetView tabSelected="1" workbookViewId="0">
      <selection activeCell="B16" sqref="B16"/>
    </sheetView>
  </sheetViews>
  <sheetFormatPr defaultRowHeight="14.4" x14ac:dyDescent="0.3"/>
  <cols>
    <col min="1" max="1" width="69.6640625" bestFit="1" customWidth="1"/>
    <col min="2" max="2" width="41.5546875" customWidth="1"/>
    <col min="3" max="3" width="42.44140625" bestFit="1" customWidth="1"/>
  </cols>
  <sheetData>
    <row r="1" spans="1:3" ht="16.8" x14ac:dyDescent="0.4">
      <c r="A1" s="2" t="s">
        <v>124</v>
      </c>
    </row>
    <row r="2" spans="1:3" ht="16.8" x14ac:dyDescent="0.4">
      <c r="A2" s="11" t="s">
        <v>221</v>
      </c>
      <c r="B2" s="12" t="str">
        <f>MID(A2,FIND("&lt;",A2)+1,LEN(A2)-FIND("&lt;",A2)-1)</f>
        <v>rafiq.sameena@innozant.coms</v>
      </c>
      <c r="C2" s="2" t="str">
        <f>MID(A2,FIND("&lt;",A2)+1,LEN(A2)-(FIND("&lt;",A2))-1)</f>
        <v>rafiq.sameena@innozant.coms</v>
      </c>
    </row>
    <row r="4" spans="1:3" x14ac:dyDescent="0.3">
      <c r="B4" t="str">
        <f>MID(A2, FIND("&lt;", A2) + 1, LEN(A2)- FIND("&lt;", A2)-1)</f>
        <v>rafiq.sameena@innozant.coms</v>
      </c>
      <c r="C4" s="15" t="str">
        <f>MID(A2,SEARCH("&lt;",A2)+1,LEN(A2)-SEARCH("&lt;",A2)-1)</f>
        <v>rafiq.sameena@innozant.coms</v>
      </c>
    </row>
    <row r="7" spans="1:3" x14ac:dyDescent="0.3">
      <c r="A7">
        <v>1</v>
      </c>
      <c r="B7" t="str">
        <f>MID(A2,FIND("&lt;",A2)+1,LEN(A2)-FIND("&lt;",A2)-1)</f>
        <v>rafiq.sameena@innozant.coms</v>
      </c>
    </row>
    <row r="12" spans="1:3" x14ac:dyDescent="0.3">
      <c r="A12" t="s">
        <v>222</v>
      </c>
    </row>
    <row r="14" spans="1:3" x14ac:dyDescent="0.3">
      <c r="A14">
        <v>1</v>
      </c>
    </row>
    <row r="15" spans="1:3" x14ac:dyDescent="0.3">
      <c r="A15">
        <v>10</v>
      </c>
      <c r="B15">
        <f>A15-A14</f>
        <v>9</v>
      </c>
    </row>
  </sheetData>
  <hyperlinks>
    <hyperlink ref="A2" r:id="rId1" display="mailto:ronaldo.alvarez@xxx.com" xr:uid="{B5028532-0A2B-4BDB-865E-A41CECDDC6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2015-06-05T18:17:20Z</dcterms:created>
  <dcterms:modified xsi:type="dcterms:W3CDTF">2026-01-29T17:05:26Z</dcterms:modified>
</cp:coreProperties>
</file>