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45750885-2A55-41AA-938C-67EC7C41C1AD}" xr6:coauthVersionLast="47" xr6:coauthVersionMax="47" xr10:uidLastSave="{00000000-0000-0000-0000-000000000000}"/>
  <bookViews>
    <workbookView xWindow="-108" yWindow="-108" windowWidth="23256" windowHeight="12456" activeTab="4" xr2:uid="{86612257-250E-42AD-97CE-55E622DB10AC}"/>
  </bookViews>
  <sheets>
    <sheet name="Q1" sheetId="4" r:id="rId1"/>
    <sheet name="Q2" sheetId="2" r:id="rId2"/>
    <sheet name="Q3" sheetId="5" r:id="rId3"/>
    <sheet name="Q4" sheetId="3" r:id="rId4"/>
    <sheet name="Q5" sheetId="1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">INDEX([1]Cal_Pics!$B$1:$B$12,MATCH([1]Cal_Pics!$K$2,[1]Cal_Pics!$A$1:$A$12,0))</definedName>
    <definedName name="AcctType">'[2]COUNTIFS-3'!$B$2:$B$725</definedName>
    <definedName name="Agent">'[2]COUNTIFS-3'!$A$2:$A$725</definedName>
    <definedName name="Branch">'[2]COUNTIFS-3'!$D$2:$D$725</definedName>
    <definedName name="date">'[3]QUIZ-2'!$A$2:$A$366</definedName>
    <definedName name="DateTaken">'[2]COUNTiFS-6'!$AS$3:$AS$435</definedName>
    <definedName name="Festival">'[3]Calender-2'!$L$2:$L$16</definedName>
    <definedName name="Grand_Total">#REF!</definedName>
    <definedName name="Name">#REF!</definedName>
    <definedName name="NameRangeforPic">INDEX([4]Cal_Pics!$B$1:$B$12,MATCH([4]Cal_Pics!$K$2,[4]Cal_Pics!$A$1:$A$12,0))</definedName>
    <definedName name="Product">'[2]COUNTIFS-5'!$B$5:$B$18</definedName>
    <definedName name="ProductName">#REF!</definedName>
    <definedName name="Region">'[2]COUNTIFS-9'!$A$2:$A$9428</definedName>
    <definedName name="SalesDate">'[2]COUNTIFS-9'!$D$2:$D$9428</definedName>
    <definedName name="ShipDate">'[2]COUNTIFS-5'!$F$5:$F$18</definedName>
    <definedName name="State">#REF!</definedName>
    <definedName name="stock" localSheetId="3">'[3]QUIZ-2'!$B$2:$B$366</definedName>
    <definedName name="Stock">[5]Stock!$B$5:$D$11</definedName>
    <definedName name="TableForLookup">[6]Task7!$B$14:$D$22</definedName>
    <definedName name="Teroterry">'[2]COUNTiFS-6'!$AD$3:$AD$435</definedName>
  </definedNames>
  <calcPr calcId="191029"/>
  <pivotCaches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I14" i="3"/>
  <c r="I15" i="3"/>
  <c r="I16" i="3"/>
  <c r="I17" i="3"/>
  <c r="I18" i="3"/>
  <c r="I19" i="3"/>
  <c r="I13" i="3"/>
  <c r="E1" i="3"/>
  <c r="H14" i="3"/>
  <c r="H15" i="3"/>
  <c r="H16" i="3"/>
  <c r="H17" i="3"/>
  <c r="H18" i="3"/>
  <c r="H19" i="3"/>
  <c r="H13" i="3"/>
  <c r="G14" i="3"/>
  <c r="G15" i="3"/>
  <c r="G16" i="3"/>
  <c r="G17" i="3"/>
  <c r="G18" i="3"/>
  <c r="G19" i="3"/>
  <c r="G13" i="3"/>
  <c r="D5" i="3"/>
  <c r="D6" i="3"/>
  <c r="D7" i="3"/>
  <c r="D8" i="3"/>
  <c r="D9" i="3"/>
  <c r="D10" i="3"/>
  <c r="D13" i="3" s="1"/>
  <c r="D4" i="3"/>
  <c r="D1" i="3"/>
  <c r="E7" i="2" a="1"/>
  <c r="E7" i="2" s="1"/>
  <c r="F33" i="4"/>
  <c r="G33" i="4"/>
  <c r="H33" i="4"/>
  <c r="I33" i="4"/>
  <c r="J33" i="4"/>
  <c r="F34" i="4"/>
  <c r="G34" i="4"/>
  <c r="H34" i="4"/>
  <c r="I34" i="4"/>
  <c r="J34" i="4"/>
  <c r="F35" i="4"/>
  <c r="G35" i="4"/>
  <c r="H35" i="4"/>
  <c r="I35" i="4"/>
  <c r="J35" i="4"/>
  <c r="F36" i="4"/>
  <c r="G36" i="4"/>
  <c r="H36" i="4"/>
  <c r="I36" i="4"/>
  <c r="J36" i="4"/>
  <c r="F37" i="4"/>
  <c r="G37" i="4"/>
  <c r="H37" i="4"/>
  <c r="I37" i="4"/>
  <c r="J37" i="4"/>
  <c r="F38" i="4"/>
  <c r="G38" i="4"/>
  <c r="H38" i="4"/>
  <c r="I38" i="4"/>
  <c r="J38" i="4"/>
  <c r="F39" i="4"/>
  <c r="G39" i="4"/>
  <c r="H39" i="4"/>
  <c r="I39" i="4"/>
  <c r="J39" i="4"/>
  <c r="F40" i="4"/>
  <c r="G40" i="4"/>
  <c r="H40" i="4"/>
  <c r="I40" i="4"/>
  <c r="J40" i="4"/>
  <c r="F41" i="4"/>
  <c r="G41" i="4"/>
  <c r="H41" i="4"/>
  <c r="I41" i="4"/>
  <c r="J41" i="4"/>
  <c r="F42" i="4"/>
  <c r="G42" i="4"/>
  <c r="H42" i="4"/>
  <c r="I42" i="4"/>
  <c r="J42" i="4"/>
  <c r="F43" i="4"/>
  <c r="G43" i="4"/>
  <c r="H43" i="4"/>
  <c r="I43" i="4"/>
  <c r="J43" i="4"/>
  <c r="F44" i="4"/>
  <c r="G44" i="4"/>
  <c r="H44" i="4"/>
  <c r="I44" i="4"/>
  <c r="J44" i="4"/>
  <c r="F45" i="4"/>
  <c r="G45" i="4"/>
  <c r="H45" i="4"/>
  <c r="I45" i="4"/>
  <c r="J45" i="4"/>
  <c r="F46" i="4"/>
  <c r="G46" i="4"/>
  <c r="H46" i="4"/>
  <c r="I46" i="4"/>
  <c r="J46" i="4"/>
  <c r="F47" i="4"/>
  <c r="G47" i="4"/>
  <c r="H47" i="4"/>
  <c r="I47" i="4"/>
  <c r="J47" i="4"/>
  <c r="F48" i="4"/>
  <c r="G48" i="4"/>
  <c r="H48" i="4"/>
  <c r="I48" i="4"/>
  <c r="J48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33" i="4"/>
  <c r="K10" i="1"/>
  <c r="L10" i="1"/>
  <c r="M10" i="1"/>
  <c r="N10" i="1"/>
  <c r="O10" i="1"/>
  <c r="P10" i="1"/>
  <c r="K11" i="1"/>
  <c r="L11" i="1"/>
  <c r="M11" i="1"/>
  <c r="N11" i="1"/>
  <c r="O11" i="1"/>
  <c r="P11" i="1"/>
  <c r="K12" i="1"/>
  <c r="L12" i="1"/>
  <c r="M12" i="1"/>
  <c r="N12" i="1"/>
  <c r="O12" i="1"/>
  <c r="P12" i="1"/>
  <c r="K13" i="1"/>
  <c r="L13" i="1"/>
  <c r="M13" i="1"/>
  <c r="N13" i="1"/>
  <c r="O13" i="1"/>
  <c r="P13" i="1"/>
  <c r="K14" i="1"/>
  <c r="L14" i="1"/>
  <c r="M14" i="1"/>
  <c r="N14" i="1"/>
  <c r="O14" i="1"/>
  <c r="P14" i="1"/>
  <c r="K15" i="1"/>
  <c r="L15" i="1"/>
  <c r="M15" i="1"/>
  <c r="N15" i="1"/>
  <c r="O15" i="1"/>
  <c r="P15" i="1"/>
  <c r="K16" i="1"/>
  <c r="L16" i="1"/>
  <c r="M16" i="1"/>
  <c r="N16" i="1"/>
  <c r="O16" i="1"/>
  <c r="P16" i="1"/>
  <c r="K17" i="1"/>
  <c r="L17" i="1"/>
  <c r="M17" i="1"/>
  <c r="N17" i="1"/>
  <c r="O17" i="1"/>
  <c r="P17" i="1"/>
  <c r="K18" i="1"/>
  <c r="L18" i="1"/>
  <c r="M18" i="1"/>
  <c r="N18" i="1"/>
  <c r="O18" i="1"/>
  <c r="P18" i="1"/>
  <c r="K19" i="1"/>
  <c r="L19" i="1"/>
  <c r="M19" i="1"/>
  <c r="N19" i="1"/>
  <c r="O19" i="1"/>
  <c r="P19" i="1"/>
  <c r="K20" i="1"/>
  <c r="L20" i="1"/>
  <c r="M20" i="1"/>
  <c r="N20" i="1"/>
  <c r="O20" i="1"/>
  <c r="P20" i="1"/>
  <c r="L9" i="1"/>
  <c r="M9" i="1"/>
  <c r="N9" i="1"/>
  <c r="O9" i="1"/>
  <c r="P9" i="1"/>
  <c r="K9" i="1"/>
  <c r="D5" i="2" a="1"/>
  <c r="D5" i="2" s="1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B12" i="4"/>
  <c r="C12" i="4"/>
  <c r="A12" i="4"/>
  <c r="J28" i="4" a="1"/>
  <c r="J28" i="4" s="1"/>
  <c r="I28" i="4" a="1"/>
  <c r="I28" i="4" s="1"/>
  <c r="H28" i="4" a="1"/>
  <c r="H28" i="4" s="1"/>
  <c r="G28" i="4" a="1"/>
  <c r="G28" i="4" s="1"/>
  <c r="F28" i="4" a="1"/>
  <c r="F28" i="4" s="1"/>
  <c r="J27" i="4" a="1"/>
  <c r="J27" i="4" s="1"/>
  <c r="I27" i="4" a="1"/>
  <c r="I27" i="4" s="1"/>
  <c r="H27" i="4" a="1"/>
  <c r="H27" i="4" s="1"/>
  <c r="G27" i="4" a="1"/>
  <c r="G27" i="4" s="1"/>
  <c r="F27" i="4" a="1"/>
  <c r="F27" i="4" s="1"/>
  <c r="J26" i="4" a="1"/>
  <c r="J26" i="4" s="1"/>
  <c r="I26" i="4" a="1"/>
  <c r="I26" i="4" s="1"/>
  <c r="H26" i="4" a="1"/>
  <c r="H26" i="4" s="1"/>
  <c r="G26" i="4" a="1"/>
  <c r="G26" i="4" s="1"/>
  <c r="F26" i="4" a="1"/>
  <c r="F26" i="4" s="1"/>
  <c r="J25" i="4" a="1"/>
  <c r="J25" i="4" s="1"/>
  <c r="I25" i="4" a="1"/>
  <c r="I25" i="4" s="1"/>
  <c r="H25" i="4" a="1"/>
  <c r="H25" i="4" s="1"/>
  <c r="G25" i="4" a="1"/>
  <c r="G25" i="4" s="1"/>
  <c r="F25" i="4" a="1"/>
  <c r="F25" i="4" s="1"/>
  <c r="J24" i="4" a="1"/>
  <c r="J24" i="4" s="1"/>
  <c r="I24" i="4" a="1"/>
  <c r="I24" i="4" s="1"/>
  <c r="H24" i="4" a="1"/>
  <c r="H24" i="4" s="1"/>
  <c r="G24" i="4" a="1"/>
  <c r="G24" i="4" s="1"/>
  <c r="F24" i="4" a="1"/>
  <c r="F24" i="4" s="1"/>
  <c r="J23" i="4" a="1"/>
  <c r="J23" i="4" s="1"/>
  <c r="I23" i="4" a="1"/>
  <c r="I23" i="4" s="1"/>
  <c r="H23" i="4" a="1"/>
  <c r="H23" i="4" s="1"/>
  <c r="G23" i="4" a="1"/>
  <c r="G23" i="4" s="1"/>
  <c r="F23" i="4" a="1"/>
  <c r="F23" i="4" s="1"/>
  <c r="J22" i="4" a="1"/>
  <c r="J22" i="4" s="1"/>
  <c r="I22" i="4" a="1"/>
  <c r="I22" i="4" s="1"/>
  <c r="H22" i="4" a="1"/>
  <c r="H22" i="4" s="1"/>
  <c r="G22" i="4" a="1"/>
  <c r="G22" i="4" s="1"/>
  <c r="F22" i="4" a="1"/>
  <c r="F22" i="4" s="1"/>
  <c r="J21" i="4" a="1"/>
  <c r="J21" i="4" s="1"/>
  <c r="I21" i="4" a="1"/>
  <c r="I21" i="4" s="1"/>
  <c r="H21" i="4" a="1"/>
  <c r="H21" i="4" s="1"/>
  <c r="G21" i="4" a="1"/>
  <c r="G21" i="4" s="1"/>
  <c r="F21" i="4" a="1"/>
  <c r="F21" i="4" s="1"/>
  <c r="J20" i="4" a="1"/>
  <c r="J20" i="4" s="1"/>
  <c r="I20" i="4" a="1"/>
  <c r="I20" i="4" s="1"/>
  <c r="H20" i="4" a="1"/>
  <c r="H20" i="4" s="1"/>
  <c r="G20" i="4" a="1"/>
  <c r="G20" i="4" s="1"/>
  <c r="F20" i="4" a="1"/>
  <c r="F20" i="4" s="1"/>
  <c r="J19" i="4" a="1"/>
  <c r="J19" i="4" s="1"/>
  <c r="I19" i="4" a="1"/>
  <c r="I19" i="4" s="1"/>
  <c r="H19" i="4" a="1"/>
  <c r="H19" i="4" s="1"/>
  <c r="G19" i="4" a="1"/>
  <c r="G19" i="4" s="1"/>
  <c r="F19" i="4" a="1"/>
  <c r="F19" i="4" s="1"/>
  <c r="J18" i="4" a="1"/>
  <c r="J18" i="4" s="1"/>
  <c r="I18" i="4" a="1"/>
  <c r="I18" i="4" s="1"/>
  <c r="H18" i="4" a="1"/>
  <c r="H18" i="4" s="1"/>
  <c r="G18" i="4" a="1"/>
  <c r="G18" i="4" s="1"/>
  <c r="F18" i="4" a="1"/>
  <c r="F18" i="4" s="1"/>
  <c r="J17" i="4" a="1"/>
  <c r="J17" i="4" s="1"/>
  <c r="I17" i="4" a="1"/>
  <c r="I17" i="4" s="1"/>
  <c r="H17" i="4" a="1"/>
  <c r="H17" i="4" s="1"/>
  <c r="G17" i="4" a="1"/>
  <c r="G17" i="4" s="1"/>
  <c r="F17" i="4" a="1"/>
  <c r="F17" i="4" s="1"/>
  <c r="J16" i="4" a="1"/>
  <c r="J16" i="4" s="1"/>
  <c r="I16" i="4" a="1"/>
  <c r="I16" i="4" s="1"/>
  <c r="H16" i="4" a="1"/>
  <c r="H16" i="4" s="1"/>
  <c r="G16" i="4" a="1"/>
  <c r="G16" i="4" s="1"/>
  <c r="F16" i="4" a="1"/>
  <c r="F16" i="4" s="1"/>
  <c r="J15" i="4" a="1"/>
  <c r="J15" i="4" s="1"/>
  <c r="I15" i="4" a="1"/>
  <c r="I15" i="4" s="1"/>
  <c r="H15" i="4" a="1"/>
  <c r="H15" i="4" s="1"/>
  <c r="G15" i="4" a="1"/>
  <c r="G15" i="4" s="1"/>
  <c r="F15" i="4" a="1"/>
  <c r="F15" i="4" s="1"/>
  <c r="J14" i="4" a="1"/>
  <c r="J14" i="4" s="1"/>
  <c r="I14" i="4" a="1"/>
  <c r="I14" i="4" s="1"/>
  <c r="H14" i="4" a="1"/>
  <c r="H14" i="4" s="1"/>
  <c r="G14" i="4" a="1"/>
  <c r="G14" i="4" s="1"/>
  <c r="F14" i="4" a="1"/>
  <c r="F14" i="4" s="1"/>
  <c r="J13" i="4" a="1"/>
  <c r="J13" i="4" s="1"/>
  <c r="I13" i="4" a="1"/>
  <c r="I13" i="4" s="1"/>
  <c r="H13" i="4" a="1"/>
  <c r="H13" i="4" s="1"/>
  <c r="G13" i="4" a="1"/>
  <c r="G13" i="4" s="1"/>
  <c r="F13" i="4" a="1"/>
  <c r="F13" i="4" s="1"/>
  <c r="E10" i="3" l="1"/>
  <c r="I10" i="3" s="1"/>
  <c r="C10" i="3"/>
  <c r="E9" i="3"/>
  <c r="C9" i="3"/>
  <c r="E8" i="3"/>
  <c r="I8" i="3" s="1"/>
  <c r="C8" i="3"/>
  <c r="E7" i="3"/>
  <c r="C7" i="3"/>
  <c r="E6" i="3"/>
  <c r="I6" i="3" s="1"/>
  <c r="C6" i="3"/>
  <c r="C5" i="3"/>
  <c r="E4" i="3"/>
  <c r="I4" i="3" s="1"/>
  <c r="C4" i="3"/>
  <c r="E5" i="3" l="1"/>
  <c r="G9" i="3"/>
  <c r="I9" i="3"/>
  <c r="H9" i="3"/>
  <c r="G7" i="3"/>
  <c r="I7" i="3"/>
  <c r="H7" i="3"/>
  <c r="G6" i="3"/>
  <c r="G10" i="3"/>
  <c r="H4" i="3"/>
  <c r="H6" i="3"/>
  <c r="H8" i="3"/>
  <c r="H10" i="3"/>
  <c r="G4" i="3"/>
  <c r="G8" i="3"/>
  <c r="H5" i="3" l="1"/>
  <c r="G5" i="3"/>
  <c r="I5" i="3"/>
  <c r="F3" i="2"/>
  <c r="H20" i="1" l="1"/>
  <c r="G20" i="1"/>
  <c r="F20" i="1"/>
  <c r="E20" i="1"/>
  <c r="D20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10" i="1"/>
  <c r="G10" i="1"/>
  <c r="F10" i="1"/>
  <c r="E10" i="1"/>
  <c r="D10" i="1"/>
  <c r="H9" i="1"/>
  <c r="G9" i="1"/>
  <c r="F9" i="1"/>
  <c r="E9" i="1"/>
  <c r="D9" i="1"/>
  <c r="E27" i="4" a="1"/>
  <c r="E27" i="4" s="1"/>
  <c r="E16" i="4" a="1"/>
  <c r="E16" i="4" s="1"/>
  <c r="E18" i="4" a="1"/>
  <c r="E18" i="4" s="1"/>
  <c r="E13" i="4" a="1"/>
  <c r="E13" i="4" s="1"/>
  <c r="E26" i="4" a="1"/>
  <c r="E26" i="4" s="1"/>
  <c r="E28" i="4" a="1"/>
  <c r="E28" i="4" s="1"/>
  <c r="E19" i="4" a="1"/>
  <c r="E19" i="4" s="1"/>
  <c r="E25" i="4" a="1"/>
  <c r="E25" i="4" s="1"/>
  <c r="E15" i="4" a="1"/>
  <c r="E15" i="4" s="1"/>
  <c r="E23" i="4" a="1"/>
  <c r="E23" i="4" s="1"/>
  <c r="E17" i="4" a="1"/>
  <c r="E17" i="4" s="1"/>
  <c r="E21" i="4" a="1"/>
  <c r="E21" i="4" s="1"/>
  <c r="E22" i="4" a="1"/>
  <c r="E22" i="4" s="1"/>
  <c r="E24" i="4" a="1"/>
  <c r="E24" i="4" s="1"/>
  <c r="E20" i="4" a="1"/>
  <c r="E20" i="4" s="1"/>
  <c r="E14" i="4" a="1"/>
  <c r="E14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<sst xmlns="http://schemas.openxmlformats.org/spreadsheetml/2006/main" count="4128" uniqueCount="1246">
  <si>
    <t>Get Random Characters (Upper case A to Z)</t>
  </si>
  <si>
    <t>Item</t>
  </si>
  <si>
    <t>Qty</t>
  </si>
  <si>
    <t>Pen</t>
  </si>
  <si>
    <t>&gt;=10</t>
  </si>
  <si>
    <t>Pencil</t>
  </si>
  <si>
    <t>Binder</t>
  </si>
  <si>
    <t>Red Pen</t>
  </si>
  <si>
    <t>Pen Drive</t>
  </si>
  <si>
    <t>Count all Pen which qty is &gt;=10</t>
  </si>
  <si>
    <t>Black Pen</t>
  </si>
  <si>
    <t>Office Timing</t>
  </si>
  <si>
    <t>9:00 AM to 5:00 PM</t>
  </si>
  <si>
    <t>Date</t>
  </si>
  <si>
    <t>Time</t>
  </si>
  <si>
    <t>In time</t>
  </si>
  <si>
    <t>Out time</t>
  </si>
  <si>
    <t>Total Hrs</t>
  </si>
  <si>
    <t>Required Hrs</t>
  </si>
  <si>
    <t>Total Minute</t>
  </si>
  <si>
    <t>OT Hrs</t>
  </si>
  <si>
    <t>9:00  AM TO 4:00 PM</t>
  </si>
  <si>
    <t>9:30  AM TO 5:00 PM</t>
  </si>
  <si>
    <t>9:00  AM TO 4:45 PM</t>
  </si>
  <si>
    <t>10:00  AM TO 4:00 PM</t>
  </si>
  <si>
    <t>9:00  AM TO 5:00 PM</t>
  </si>
  <si>
    <t>9:00  AM TO 5:30 PM</t>
  </si>
  <si>
    <t>9:00  AM TO 10:00 PM</t>
  </si>
  <si>
    <t>CODE</t>
  </si>
  <si>
    <t>OGM</t>
  </si>
  <si>
    <t>VSM</t>
  </si>
  <si>
    <t>XFJ</t>
  </si>
  <si>
    <t>XWW</t>
  </si>
  <si>
    <t>KBD</t>
  </si>
  <si>
    <t>NWH</t>
  </si>
  <si>
    <t>XSU</t>
  </si>
  <si>
    <t>ZFS</t>
  </si>
  <si>
    <t>QBL</t>
  </si>
  <si>
    <t>WMD</t>
  </si>
  <si>
    <t>XUQ</t>
  </si>
  <si>
    <t>ZFN</t>
  </si>
  <si>
    <t>OGR</t>
  </si>
  <si>
    <t>TYF</t>
  </si>
  <si>
    <t>XOI</t>
  </si>
  <si>
    <t>YFH</t>
  </si>
  <si>
    <t>NXE</t>
  </si>
  <si>
    <t>VXF</t>
  </si>
  <si>
    <t>KAU</t>
  </si>
  <si>
    <t>ICB</t>
  </si>
  <si>
    <t>TJN</t>
  </si>
  <si>
    <t>YRN</t>
  </si>
  <si>
    <t>VXS</t>
  </si>
  <si>
    <t>XRJ</t>
  </si>
  <si>
    <t>XMG</t>
  </si>
  <si>
    <t>XZB</t>
  </si>
  <si>
    <t>XKA</t>
  </si>
  <si>
    <t>XVY</t>
  </si>
  <si>
    <t>WCR</t>
  </si>
  <si>
    <t>NWW</t>
  </si>
  <si>
    <t>XSV</t>
  </si>
  <si>
    <t>XSN</t>
  </si>
  <si>
    <t>WJG</t>
  </si>
  <si>
    <t>VSJ</t>
  </si>
  <si>
    <t>XJX</t>
  </si>
  <si>
    <t>WMQ</t>
  </si>
  <si>
    <t>YWY</t>
  </si>
  <si>
    <t>XMF</t>
  </si>
  <si>
    <t>VAG</t>
  </si>
  <si>
    <t>XJO</t>
  </si>
  <si>
    <t>XSX</t>
  </si>
  <si>
    <t>ZKH</t>
  </si>
  <si>
    <t>SLR</t>
  </si>
  <si>
    <t>XWX</t>
  </si>
  <si>
    <t>PVZ</t>
  </si>
  <si>
    <t>SMW</t>
  </si>
  <si>
    <t>YXS</t>
  </si>
  <si>
    <t>YWW</t>
  </si>
  <si>
    <t>YWP</t>
  </si>
  <si>
    <t>XLP</t>
  </si>
  <si>
    <t>XLV</t>
  </si>
  <si>
    <t>XIB</t>
  </si>
  <si>
    <t>YAZ</t>
  </si>
  <si>
    <t>SMX</t>
  </si>
  <si>
    <t>XUM</t>
  </si>
  <si>
    <t>WXZ</t>
  </si>
  <si>
    <t>WYE</t>
  </si>
  <si>
    <t>XLR</t>
  </si>
  <si>
    <t>XHI</t>
  </si>
  <si>
    <t>YBE</t>
  </si>
  <si>
    <t>WYK</t>
  </si>
  <si>
    <t>WFR</t>
  </si>
  <si>
    <t>ODT</t>
  </si>
  <si>
    <t>XMB</t>
  </si>
  <si>
    <t>VZR</t>
  </si>
  <si>
    <t>YWL</t>
  </si>
  <si>
    <t>RVG</t>
  </si>
  <si>
    <t>VZW</t>
  </si>
  <si>
    <t>WIR</t>
  </si>
  <si>
    <t>XLW</t>
  </si>
  <si>
    <t>YWV</t>
  </si>
  <si>
    <t>YWN</t>
  </si>
  <si>
    <t>PZT</t>
  </si>
  <si>
    <t>YBB</t>
  </si>
  <si>
    <t>WYG</t>
  </si>
  <si>
    <t>KYE</t>
  </si>
  <si>
    <t>WFE</t>
  </si>
  <si>
    <t>XLQ</t>
  </si>
  <si>
    <t>YXB</t>
  </si>
  <si>
    <t>YXC</t>
  </si>
  <si>
    <t>WYC</t>
  </si>
  <si>
    <t>XIA</t>
  </si>
  <si>
    <t>TXQ</t>
  </si>
  <si>
    <t>YWU</t>
  </si>
  <si>
    <t>YXR</t>
  </si>
  <si>
    <t>XIE</t>
  </si>
  <si>
    <t>YXU</t>
  </si>
  <si>
    <t>XLU</t>
  </si>
  <si>
    <t>YWO</t>
  </si>
  <si>
    <t>TRI</t>
  </si>
  <si>
    <t>WIP</t>
  </si>
  <si>
    <t>YWR</t>
  </si>
  <si>
    <t>YWX</t>
  </si>
  <si>
    <t>WNR</t>
  </si>
  <si>
    <t>VZZ</t>
  </si>
  <si>
    <t>ODL</t>
  </si>
  <si>
    <t>XGZ</t>
  </si>
  <si>
    <t>YBD</t>
  </si>
  <si>
    <t>YXT</t>
  </si>
  <si>
    <t>VZX</t>
  </si>
  <si>
    <t>OMY</t>
  </si>
  <si>
    <t>VZU</t>
  </si>
  <si>
    <t>TQV</t>
  </si>
  <si>
    <t>SMC</t>
  </si>
  <si>
    <t>PFQ</t>
  </si>
  <si>
    <t>XFM</t>
  </si>
  <si>
    <t>TXF</t>
  </si>
  <si>
    <t>YWT</t>
  </si>
  <si>
    <t>WWK</t>
  </si>
  <si>
    <t>VWG</t>
  </si>
  <si>
    <t>TYX</t>
  </si>
  <si>
    <t>VVK</t>
  </si>
  <si>
    <t>WQP</t>
  </si>
  <si>
    <t>XWA</t>
  </si>
  <si>
    <t>TKB</t>
  </si>
  <si>
    <t>WOZ</t>
  </si>
  <si>
    <t>WMO</t>
  </si>
  <si>
    <t>SMQ</t>
  </si>
  <si>
    <t>TOB</t>
  </si>
  <si>
    <t>WOT</t>
  </si>
  <si>
    <t>XWY</t>
  </si>
  <si>
    <t>WJY</t>
  </si>
  <si>
    <t>WWN</t>
  </si>
  <si>
    <t>TJR</t>
  </si>
  <si>
    <t>VOK</t>
  </si>
  <si>
    <t>ZRM</t>
  </si>
  <si>
    <t>YFB</t>
  </si>
  <si>
    <t>WPA</t>
  </si>
  <si>
    <t>VXR</t>
  </si>
  <si>
    <t>XUO</t>
  </si>
  <si>
    <t>XVZ</t>
  </si>
  <si>
    <t>YKW</t>
  </si>
  <si>
    <t>YHP</t>
  </si>
  <si>
    <t>XWB</t>
  </si>
  <si>
    <t>SIK</t>
  </si>
  <si>
    <t>WJW</t>
  </si>
  <si>
    <t>WFK</t>
  </si>
  <si>
    <t>SMA</t>
  </si>
  <si>
    <t>PWD</t>
  </si>
  <si>
    <t>TQY</t>
  </si>
  <si>
    <t>OXO</t>
  </si>
  <si>
    <t>TQS</t>
  </si>
  <si>
    <t>WYL</t>
  </si>
  <si>
    <t>PZZ</t>
  </si>
  <si>
    <t>QDP</t>
  </si>
  <si>
    <t>TTU</t>
  </si>
  <si>
    <t>TXA</t>
  </si>
  <si>
    <t>QLT</t>
  </si>
  <si>
    <t>TXC</t>
  </si>
  <si>
    <t>WFG</t>
  </si>
  <si>
    <t>WIN</t>
  </si>
  <si>
    <t>TTB</t>
  </si>
  <si>
    <t>SIG</t>
  </si>
  <si>
    <t>VTS</t>
  </si>
  <si>
    <t>SUN</t>
  </si>
  <si>
    <t>SLW</t>
  </si>
  <si>
    <t>WFH</t>
  </si>
  <si>
    <t>OXH</t>
  </si>
  <si>
    <t>RWL</t>
  </si>
  <si>
    <t>KYC</t>
  </si>
  <si>
    <t>QLE</t>
  </si>
  <si>
    <t>XII</t>
  </si>
  <si>
    <t>TED</t>
  </si>
  <si>
    <t>XIL</t>
  </si>
  <si>
    <t>WFI</t>
  </si>
  <si>
    <t>PVM</t>
  </si>
  <si>
    <t>WFB</t>
  </si>
  <si>
    <t>TXM</t>
  </si>
  <si>
    <t>YPX</t>
  </si>
  <si>
    <t>WYH</t>
  </si>
  <si>
    <t>YAY</t>
  </si>
  <si>
    <t>WAD</t>
  </si>
  <si>
    <t>WFD</t>
  </si>
  <si>
    <t>OHO</t>
  </si>
  <si>
    <t>TTI</t>
  </si>
  <si>
    <t>WIV</t>
  </si>
  <si>
    <t>TYW</t>
  </si>
  <si>
    <t>YBA</t>
  </si>
  <si>
    <t>KEM</t>
  </si>
  <si>
    <t>WNV</t>
  </si>
  <si>
    <t>WUI</t>
  </si>
  <si>
    <t>VOL</t>
  </si>
  <si>
    <t>SEW</t>
  </si>
  <si>
    <t>YWJ</t>
  </si>
  <si>
    <t>YWK</t>
  </si>
  <si>
    <t>ZLW</t>
  </si>
  <si>
    <t>TEJ</t>
  </si>
  <si>
    <t>XJS</t>
  </si>
  <si>
    <t>ZHK</t>
  </si>
  <si>
    <t>ZMW</t>
  </si>
  <si>
    <t>TND</t>
  </si>
  <si>
    <t>TXO</t>
  </si>
  <si>
    <t>JIZ</t>
  </si>
  <si>
    <t>ZIY</t>
  </si>
  <si>
    <t>TUB</t>
  </si>
  <si>
    <t>TLS</t>
  </si>
  <si>
    <t>QMN</t>
  </si>
  <si>
    <t>WLJ</t>
  </si>
  <si>
    <t>YAF</t>
  </si>
  <si>
    <t>YBS</t>
  </si>
  <si>
    <t>PZS</t>
  </si>
  <si>
    <t>TVU</t>
  </si>
  <si>
    <t>ZJB</t>
  </si>
  <si>
    <t>ODN</t>
  </si>
  <si>
    <t>ZKC</t>
  </si>
  <si>
    <t>ZJZ</t>
  </si>
  <si>
    <t>KPG</t>
  </si>
  <si>
    <t>TZC</t>
  </si>
  <si>
    <t>XDF</t>
  </si>
  <si>
    <t>YBR</t>
  </si>
  <si>
    <t>TYZ</t>
  </si>
  <si>
    <t>XHO</t>
  </si>
  <si>
    <t>QQO</t>
  </si>
  <si>
    <t>QRM</t>
  </si>
  <si>
    <t>WJH</t>
  </si>
  <si>
    <t>OXV</t>
  </si>
  <si>
    <t>TZU</t>
  </si>
  <si>
    <t>TLL</t>
  </si>
  <si>
    <t>TRC</t>
  </si>
  <si>
    <t>TZY</t>
  </si>
  <si>
    <t>SII</t>
  </si>
  <si>
    <t>TXX</t>
  </si>
  <si>
    <t>TYV</t>
  </si>
  <si>
    <t>TZR</t>
  </si>
  <si>
    <t>JGK</t>
  </si>
  <si>
    <t>QTS</t>
  </si>
  <si>
    <t>SIC</t>
  </si>
  <si>
    <t>YAC</t>
  </si>
  <si>
    <t>SLT</t>
  </si>
  <si>
    <t>TRD</t>
  </si>
  <si>
    <t>ZIX</t>
  </si>
  <si>
    <t>ZIV</t>
  </si>
  <si>
    <t>WNM</t>
  </si>
  <si>
    <t>TVM</t>
  </si>
  <si>
    <t>TXT</t>
  </si>
  <si>
    <t>TMZ</t>
  </si>
  <si>
    <t>ZJF</t>
  </si>
  <si>
    <t>TQI</t>
  </si>
  <si>
    <t>TRB</t>
  </si>
  <si>
    <t>PRX</t>
  </si>
  <si>
    <t>PRY</t>
  </si>
  <si>
    <t>WPP</t>
  </si>
  <si>
    <t>TRE</t>
  </si>
  <si>
    <t>TYE</t>
  </si>
  <si>
    <t>WPM</t>
  </si>
  <si>
    <t>TGK</t>
  </si>
  <si>
    <t>XAN</t>
  </si>
  <si>
    <t>TXW</t>
  </si>
  <si>
    <t>YAD</t>
  </si>
  <si>
    <t>ZIZ</t>
  </si>
  <si>
    <t>TUV</t>
  </si>
  <si>
    <t>OMU</t>
  </si>
  <si>
    <t>TZK</t>
  </si>
  <si>
    <t>QLO</t>
  </si>
  <si>
    <t>TDM</t>
  </si>
  <si>
    <t>TLJ</t>
  </si>
  <si>
    <t>TZT</t>
  </si>
  <si>
    <t>QMJ</t>
  </si>
  <si>
    <t>ZDI</t>
  </si>
  <si>
    <t>JGF</t>
  </si>
  <si>
    <t>TUK</t>
  </si>
  <si>
    <t>XHB</t>
  </si>
  <si>
    <t>WKG</t>
  </si>
  <si>
    <t>ZRY</t>
  </si>
  <si>
    <t>TLQ</t>
  </si>
  <si>
    <t>TRM</t>
  </si>
  <si>
    <t>SVT</t>
  </si>
  <si>
    <t>WPO</t>
  </si>
  <si>
    <t>TLM</t>
  </si>
  <si>
    <t>ZQS</t>
  </si>
  <si>
    <t>YAK</t>
  </si>
  <si>
    <t>QDR</t>
  </si>
  <si>
    <t>TMV</t>
  </si>
  <si>
    <t>TQK</t>
  </si>
  <si>
    <t>TSC</t>
  </si>
  <si>
    <t>OGI</t>
  </si>
  <si>
    <t>OGJ</t>
  </si>
  <si>
    <t>ZPS</t>
  </si>
  <si>
    <t>KAT</t>
  </si>
  <si>
    <t>QLX</t>
  </si>
  <si>
    <t>XZV</t>
  </si>
  <si>
    <t>SZE</t>
  </si>
  <si>
    <t>XIZ</t>
  </si>
  <si>
    <t>ZPT</t>
  </si>
  <si>
    <t>ODF</t>
  </si>
  <si>
    <t>WZB</t>
  </si>
  <si>
    <t>WNZ</t>
  </si>
  <si>
    <t>WZM</t>
  </si>
  <si>
    <t>YAM</t>
  </si>
  <si>
    <t>THW</t>
  </si>
  <si>
    <t>ZOG</t>
  </si>
  <si>
    <t>WXA</t>
  </si>
  <si>
    <t>WWW</t>
  </si>
  <si>
    <t>INC</t>
  </si>
  <si>
    <t>KAP</t>
  </si>
  <si>
    <t>VAC</t>
  </si>
  <si>
    <t>ZLU</t>
  </si>
  <si>
    <t>ZJA</t>
  </si>
  <si>
    <t>ZLV</t>
  </si>
  <si>
    <t>WRG</t>
  </si>
  <si>
    <t>WWZ</t>
  </si>
  <si>
    <t>SXC</t>
  </si>
  <si>
    <t>VHJ</t>
  </si>
  <si>
    <t>XZR</t>
  </si>
  <si>
    <t>ITN</t>
  </si>
  <si>
    <t>WOM</t>
  </si>
  <si>
    <t>WKW</t>
  </si>
  <si>
    <t>WYO</t>
  </si>
  <si>
    <t>WYQ</t>
  </si>
  <si>
    <t>XIY</t>
  </si>
  <si>
    <t>PYD</t>
  </si>
  <si>
    <t>ODD</t>
  </si>
  <si>
    <t>ZMX</t>
  </si>
  <si>
    <t>WWR</t>
  </si>
  <si>
    <t>ZMP</t>
  </si>
  <si>
    <t>WWT</t>
  </si>
  <si>
    <t>TSB</t>
  </si>
  <si>
    <t>OGO</t>
  </si>
  <si>
    <t>JUO</t>
  </si>
  <si>
    <t>ZMY</t>
  </si>
  <si>
    <t>WZR</t>
  </si>
  <si>
    <t>WNP</t>
  </si>
  <si>
    <t>NLX</t>
  </si>
  <si>
    <t>YPY</t>
  </si>
  <si>
    <t>QML</t>
  </si>
  <si>
    <t>OGN</t>
  </si>
  <si>
    <t>QLZ</t>
  </si>
  <si>
    <t>PMC</t>
  </si>
  <si>
    <t>QGQ</t>
  </si>
  <si>
    <t>XEB</t>
  </si>
  <si>
    <t>ZUR</t>
  </si>
  <si>
    <t>ZUP</t>
  </si>
  <si>
    <t>ZUU</t>
  </si>
  <si>
    <t>ZUQ</t>
  </si>
  <si>
    <t>ZUV</t>
  </si>
  <si>
    <t>XXV</t>
  </si>
  <si>
    <t>XDE</t>
  </si>
  <si>
    <t>XCC</t>
  </si>
  <si>
    <t>YFV</t>
  </si>
  <si>
    <t>VZP</t>
  </si>
  <si>
    <t>ILC</t>
  </si>
  <si>
    <t>IQM</t>
  </si>
  <si>
    <t>QCH</t>
  </si>
  <si>
    <t>KEK</t>
  </si>
  <si>
    <t>JHD</t>
  </si>
  <si>
    <t>RKM</t>
  </si>
  <si>
    <t>JFP</t>
  </si>
  <si>
    <t>INI</t>
  </si>
  <si>
    <t>OOW</t>
  </si>
  <si>
    <t>PZY</t>
  </si>
  <si>
    <t>JFQ</t>
  </si>
  <si>
    <t>JFZ</t>
  </si>
  <si>
    <t>JGW</t>
  </si>
  <si>
    <t>KAS</t>
  </si>
  <si>
    <t>JIF</t>
  </si>
  <si>
    <t>NGH</t>
  </si>
  <si>
    <t>JFV</t>
  </si>
  <si>
    <t>JEF</t>
  </si>
  <si>
    <t>VVT</t>
  </si>
  <si>
    <t>JWN</t>
  </si>
  <si>
    <t>KPS</t>
  </si>
  <si>
    <t>JIR</t>
  </si>
  <si>
    <t>KAJ</t>
  </si>
  <si>
    <t>JGV</t>
  </si>
  <si>
    <t>VTA</t>
  </si>
  <si>
    <t>NBM</t>
  </si>
  <si>
    <t>JGQ</t>
  </si>
  <si>
    <t>SZT</t>
  </si>
  <si>
    <t>TWO</t>
  </si>
  <si>
    <t>JFY</t>
  </si>
  <si>
    <t>SXN</t>
  </si>
  <si>
    <t>KYT</t>
  </si>
  <si>
    <t>JRL</t>
  </si>
  <si>
    <t>OTX</t>
  </si>
  <si>
    <t>OZR</t>
  </si>
  <si>
    <t>JFX</t>
  </si>
  <si>
    <t>JFU</t>
  </si>
  <si>
    <t>JUB</t>
  </si>
  <si>
    <t>JIU</t>
  </si>
  <si>
    <t>KPH</t>
  </si>
  <si>
    <t>TCO</t>
  </si>
  <si>
    <t>XCH</t>
  </si>
  <si>
    <t>XAQ</t>
  </si>
  <si>
    <t>WKT</t>
  </si>
  <si>
    <t>XOE</t>
  </si>
  <si>
    <t>WIM</t>
  </si>
  <si>
    <t>WUM</t>
  </si>
  <si>
    <t>OOR</t>
  </si>
  <si>
    <t>SMS</t>
  </si>
  <si>
    <t>WME</t>
  </si>
  <si>
    <t>WTO</t>
  </si>
  <si>
    <t>WIK</t>
  </si>
  <si>
    <t>XHJ</t>
  </si>
  <si>
    <t>OOQ</t>
  </si>
  <si>
    <t>WCX</t>
  </si>
  <si>
    <t>WMW</t>
  </si>
  <si>
    <t>YVW</t>
  </si>
  <si>
    <t>TTM</t>
  </si>
  <si>
    <t>WZF</t>
  </si>
  <si>
    <t>XEW</t>
  </si>
  <si>
    <t>XZC</t>
  </si>
  <si>
    <t>YYH</t>
  </si>
  <si>
    <t>VGM</t>
  </si>
  <si>
    <t>XRA</t>
  </si>
  <si>
    <t>YYG</t>
  </si>
  <si>
    <t>XIU</t>
  </si>
  <si>
    <t>WMZ</t>
  </si>
  <si>
    <t>WTU</t>
  </si>
  <si>
    <t>WWJ</t>
  </si>
  <si>
    <t>KIS</t>
  </si>
  <si>
    <t>XRK</t>
  </si>
  <si>
    <t>OJB</t>
  </si>
  <si>
    <t>RYC</t>
  </si>
  <si>
    <t>TEG</t>
  </si>
  <si>
    <t>KIU</t>
  </si>
  <si>
    <t>TNU</t>
  </si>
  <si>
    <t>WXC</t>
  </si>
  <si>
    <t>TCT</t>
  </si>
  <si>
    <t>QIO</t>
  </si>
  <si>
    <t>VVD</t>
  </si>
  <si>
    <t>WVC</t>
  </si>
  <si>
    <t>VYR</t>
  </si>
  <si>
    <t>KAR</t>
  </si>
  <si>
    <t>XRI</t>
  </si>
  <si>
    <t>VNF</t>
  </si>
  <si>
    <t>QAX</t>
  </si>
  <si>
    <t>WWD</t>
  </si>
  <si>
    <t>STM</t>
  </si>
  <si>
    <t>VJJ</t>
  </si>
  <si>
    <t>WWE</t>
  </si>
  <si>
    <t>RMP</t>
  </si>
  <si>
    <t>WIB</t>
  </si>
  <si>
    <t>WOK</t>
  </si>
  <si>
    <t>WOL</t>
  </si>
  <si>
    <t>WWL</t>
  </si>
  <si>
    <t>VMB</t>
  </si>
  <si>
    <t>VSS</t>
  </si>
  <si>
    <t>XRD</t>
  </si>
  <si>
    <t>WLQ</t>
  </si>
  <si>
    <t>WEK</t>
  </si>
  <si>
    <t>WWX</t>
  </si>
  <si>
    <t>YNG</t>
  </si>
  <si>
    <t>XUI</t>
  </si>
  <si>
    <t>XQH</t>
  </si>
  <si>
    <t>KOW</t>
  </si>
  <si>
    <t>ZMC</t>
  </si>
  <si>
    <t>YQL</t>
  </si>
  <si>
    <t>ZML</t>
  </si>
  <si>
    <t>XXO</t>
  </si>
  <si>
    <t>ZMM</t>
  </si>
  <si>
    <t>XXZ</t>
  </si>
  <si>
    <t>XBJ</t>
  </si>
  <si>
    <t>YUJ</t>
  </si>
  <si>
    <t>ZMO</t>
  </si>
  <si>
    <t>XRR</t>
  </si>
  <si>
    <t>ZMF</t>
  </si>
  <si>
    <t>XPF</t>
  </si>
  <si>
    <t>XSE</t>
  </si>
  <si>
    <t>ZOM</t>
  </si>
  <si>
    <t>ZOP</t>
  </si>
  <si>
    <t>XSF</t>
  </si>
  <si>
    <t>XXG</t>
  </si>
  <si>
    <t>YBU</t>
  </si>
  <si>
    <t>YBV</t>
  </si>
  <si>
    <t>YQM</t>
  </si>
  <si>
    <t>ZNX</t>
  </si>
  <si>
    <t>ZOA</t>
  </si>
  <si>
    <t>YLU</t>
  </si>
  <si>
    <t>YCB</t>
  </si>
  <si>
    <t>ZOO</t>
  </si>
  <si>
    <t>ZSQ</t>
  </si>
  <si>
    <t>TXZ</t>
  </si>
  <si>
    <t>YAI</t>
  </si>
  <si>
    <t>ZNB</t>
  </si>
  <si>
    <t>YNR</t>
  </si>
  <si>
    <t>ZPB</t>
  </si>
  <si>
    <t>WWV</t>
  </si>
  <si>
    <t>XIH</t>
  </si>
  <si>
    <t>XIO</t>
  </si>
  <si>
    <t>ZMG</t>
  </si>
  <si>
    <t>ZMV</t>
  </si>
  <si>
    <t>ZNW</t>
  </si>
  <si>
    <t>YOA</t>
  </si>
  <si>
    <t>ZOQ</t>
  </si>
  <si>
    <t>ZOW</t>
  </si>
  <si>
    <t>YNH</t>
  </si>
  <si>
    <t>ZNF</t>
  </si>
  <si>
    <t>ZMH</t>
  </si>
  <si>
    <t>YNU</t>
  </si>
  <si>
    <t>ZOB</t>
  </si>
  <si>
    <t>ZRO</t>
  </si>
  <si>
    <t>YNV</t>
  </si>
  <si>
    <t>ZNR</t>
  </si>
  <si>
    <t>ZOZ</t>
  </si>
  <si>
    <t>VLB</t>
  </si>
  <si>
    <t>WMC</t>
  </si>
  <si>
    <t>XKF</t>
  </si>
  <si>
    <t>ZNZ</t>
  </si>
  <si>
    <t>YUK</t>
  </si>
  <si>
    <t>ZNV</t>
  </si>
  <si>
    <t>ZRP</t>
  </si>
  <si>
    <t>XPZ</t>
  </si>
  <si>
    <t>ZNT</t>
  </si>
  <si>
    <t>YNQ</t>
  </si>
  <si>
    <t>ZND</t>
  </si>
  <si>
    <t>ZMK</t>
  </si>
  <si>
    <t>QVE</t>
  </si>
  <si>
    <t>XIS</t>
  </si>
  <si>
    <t>XFZ</t>
  </si>
  <si>
    <t>XKW</t>
  </si>
  <si>
    <t>XYV</t>
  </si>
  <si>
    <t>YCJ</t>
  </si>
  <si>
    <t>XPE</t>
  </si>
  <si>
    <t>ZON</t>
  </si>
  <si>
    <t>WUT</t>
  </si>
  <si>
    <t>ZMJ</t>
  </si>
  <si>
    <t>WWA</t>
  </si>
  <si>
    <t>YRG</t>
  </si>
  <si>
    <t>YRI</t>
  </si>
  <si>
    <t>WNU</t>
  </si>
  <si>
    <t>YDJ</t>
  </si>
  <si>
    <t>WEL</t>
  </si>
  <si>
    <t>YNM</t>
  </si>
  <si>
    <t>YSK</t>
  </si>
  <si>
    <t>YNI</t>
  </si>
  <si>
    <t>XGJ</t>
  </si>
  <si>
    <t>XKQ</t>
  </si>
  <si>
    <t>ZMZ</t>
  </si>
  <si>
    <t>XQI</t>
  </si>
  <si>
    <t>ZNQ</t>
  </si>
  <si>
    <t>ZMN</t>
  </si>
  <si>
    <t>ZNG</t>
  </si>
  <si>
    <t>WVY</t>
  </si>
  <si>
    <t>WOF</t>
  </si>
  <si>
    <t>YBT</t>
  </si>
  <si>
    <t>YCS</t>
  </si>
  <si>
    <t>XPH</t>
  </si>
  <si>
    <t>ZOS</t>
  </si>
  <si>
    <t>XAX</t>
  </si>
  <si>
    <t>YNS</t>
  </si>
  <si>
    <t>YRH</t>
  </si>
  <si>
    <t>WMA</t>
  </si>
  <si>
    <t>YQK</t>
  </si>
  <si>
    <t>YQI</t>
  </si>
  <si>
    <t>YQJ</t>
  </si>
  <si>
    <t>XGB</t>
  </si>
  <si>
    <t>YBY</t>
  </si>
  <si>
    <t>XUT</t>
  </si>
  <si>
    <t>ZNC</t>
  </si>
  <si>
    <t>YNL</t>
  </si>
  <si>
    <t>XKG</t>
  </si>
  <si>
    <t>ZMD</t>
  </si>
  <si>
    <t>XXR</t>
  </si>
  <si>
    <t>WPX</t>
  </si>
  <si>
    <t>YKZ</t>
  </si>
  <si>
    <t>ZMI</t>
  </si>
  <si>
    <t>YBW</t>
  </si>
  <si>
    <t>YBZ</t>
  </si>
  <si>
    <t>YSP</t>
  </si>
  <si>
    <t>ZPA</t>
  </si>
  <si>
    <t>WOJ</t>
  </si>
  <si>
    <t>YNZ</t>
  </si>
  <si>
    <t>XIQ</t>
  </si>
  <si>
    <t>WKQ</t>
  </si>
  <si>
    <t>YMS</t>
  </si>
  <si>
    <t>WWC</t>
  </si>
  <si>
    <t>ZOT</t>
  </si>
  <si>
    <t>XKT</t>
  </si>
  <si>
    <t>XZW</t>
  </si>
  <si>
    <t>XCT</t>
  </si>
  <si>
    <t>YRE</t>
  </si>
  <si>
    <t>WAF</t>
  </si>
  <si>
    <t>XAV</t>
  </si>
  <si>
    <t>WOD</t>
  </si>
  <si>
    <t>XKS</t>
  </si>
  <si>
    <t>XJB</t>
  </si>
  <si>
    <t>XPK</t>
  </si>
  <si>
    <t>XTR</t>
  </si>
  <si>
    <t>XJD</t>
  </si>
  <si>
    <t>XJR</t>
  </si>
  <si>
    <t>XKP</t>
  </si>
  <si>
    <t>XAW</t>
  </si>
  <si>
    <t>XCU</t>
  </si>
  <si>
    <t>YCA</t>
  </si>
  <si>
    <t>ZNA</t>
  </si>
  <si>
    <t>YSL</t>
  </si>
  <si>
    <t>YSM</t>
  </si>
  <si>
    <t>YSS</t>
  </si>
  <si>
    <t>TKA</t>
  </si>
  <si>
    <t>YRJ</t>
  </si>
  <si>
    <t>ZNE</t>
  </si>
  <si>
    <t>WNA</t>
  </si>
  <si>
    <t>XRF</t>
  </si>
  <si>
    <t>XRC</t>
  </si>
  <si>
    <t>XRB</t>
  </si>
  <si>
    <t>tcs</t>
  </si>
  <si>
    <t>EmpName</t>
  </si>
  <si>
    <t xml:space="preserve">PRAMOD KUMAR TIWARI      </t>
  </si>
  <si>
    <t xml:space="preserve">RAJ KR. MISHRA           </t>
  </si>
  <si>
    <t xml:space="preserve">NITESH AGGARWAL          </t>
  </si>
  <si>
    <t xml:space="preserve">RACHIT BUDHIRAJA         </t>
  </si>
  <si>
    <t xml:space="preserve">SONAL VERMA              </t>
  </si>
  <si>
    <t xml:space="preserve">VIPIN DHOOT              </t>
  </si>
  <si>
    <t xml:space="preserve">VINOD KUMAR TIWARI       </t>
  </si>
  <si>
    <t xml:space="preserve">RAJU KR. SINGH           </t>
  </si>
  <si>
    <t xml:space="preserve">ACHIN RASTOGI            </t>
  </si>
  <si>
    <t xml:space="preserve">NAVEEN SHARMA            </t>
  </si>
  <si>
    <t xml:space="preserve">PUNEET GOUR              </t>
  </si>
  <si>
    <t xml:space="preserve">SHIV AHLUWALIA           </t>
  </si>
  <si>
    <t xml:space="preserve">INDERPREET SINGH         </t>
  </si>
  <si>
    <t xml:space="preserve">AKHILESH DEVALIA         </t>
  </si>
  <si>
    <t xml:space="preserve">ARPIT AGARWAL            </t>
  </si>
  <si>
    <t xml:space="preserve">ARGHA MUKHERJEE          </t>
  </si>
  <si>
    <t xml:space="preserve">MIITOSIE                 </t>
  </si>
  <si>
    <t xml:space="preserve">PRIYANKA SHARMA          </t>
  </si>
  <si>
    <t xml:space="preserve">ASHUTOSH TIWARI          </t>
  </si>
  <si>
    <t xml:space="preserve">SHIV NATH                </t>
  </si>
  <si>
    <t xml:space="preserve">VINEET JAIN              </t>
  </si>
  <si>
    <t xml:space="preserve">SHALEEN MANGLA           </t>
  </si>
  <si>
    <t xml:space="preserve">RAJEEV BAJPAI            </t>
  </si>
  <si>
    <t xml:space="preserve">ABHAY BANSAL             </t>
  </si>
  <si>
    <t xml:space="preserve">LALIT TAYA               </t>
  </si>
  <si>
    <t xml:space="preserve">BARUN CHAKRAVARTY        </t>
  </si>
  <si>
    <t xml:space="preserve">KAPIL KUMAR              </t>
  </si>
  <si>
    <t xml:space="preserve">SABA REHMAN KHAN         </t>
  </si>
  <si>
    <t xml:space="preserve">ABHINAV BIYANI           </t>
  </si>
  <si>
    <t xml:space="preserve">SARTHAK TANEJA           </t>
  </si>
  <si>
    <t xml:space="preserve">VIKAS MAHAJAN            </t>
  </si>
  <si>
    <t xml:space="preserve">AARADHYA JOSHI           </t>
  </si>
  <si>
    <t xml:space="preserve">ABHINAV TEWARI           </t>
  </si>
  <si>
    <t xml:space="preserve">DEVENDRA KR. CHHOKAR     </t>
  </si>
  <si>
    <t xml:space="preserve">SUNIL KUMAR              </t>
  </si>
  <si>
    <t xml:space="preserve">VIKAS KAMBOJ             </t>
  </si>
  <si>
    <t xml:space="preserve">DEEPAK RANJAN MOHANTY    </t>
  </si>
  <si>
    <t xml:space="preserve">AVINASH SANGAI           </t>
  </si>
  <si>
    <t xml:space="preserve">ABHISHEK JAIN            </t>
  </si>
  <si>
    <t xml:space="preserve">MOHD IMRAN               </t>
  </si>
  <si>
    <t xml:space="preserve">PUSHPANDER SINGH         </t>
  </si>
  <si>
    <t xml:space="preserve">RAKESH RAJPUT            </t>
  </si>
  <si>
    <t xml:space="preserve">SANDEEP CHAUHAN          </t>
  </si>
  <si>
    <t xml:space="preserve">SANJAY KUMAR AGARWAL     </t>
  </si>
  <si>
    <t xml:space="preserve">DHRUV RAJ                </t>
  </si>
  <si>
    <t xml:space="preserve">SANGHAMITRA GHOSH        </t>
  </si>
  <si>
    <t xml:space="preserve">JITENDRA AGRAWAL         </t>
  </si>
  <si>
    <t xml:space="preserve">ABHISHEK KR. MISHRA      </t>
  </si>
  <si>
    <t xml:space="preserve">LUIS MUNDRA              </t>
  </si>
  <si>
    <t xml:space="preserve">ANISH AGRAWAL            </t>
  </si>
  <si>
    <t xml:space="preserve">ANKIT MANDIRATTA         </t>
  </si>
  <si>
    <t xml:space="preserve">RAVI GUPTA               </t>
  </si>
  <si>
    <t xml:space="preserve">VARUN JAIN               </t>
  </si>
  <si>
    <t xml:space="preserve">DIWAKAR PRABHAT          </t>
  </si>
  <si>
    <t xml:space="preserve">MANISH KUMAR             </t>
  </si>
  <si>
    <t xml:space="preserve">PARSHANT                 </t>
  </si>
  <si>
    <t xml:space="preserve">NIKESH RONTA             </t>
  </si>
  <si>
    <t xml:space="preserve">DEEPAK OBEROI            </t>
  </si>
  <si>
    <t xml:space="preserve">GANESH UPADHYAY          </t>
  </si>
  <si>
    <t xml:space="preserve">ROHIT PATHAK             </t>
  </si>
  <si>
    <t xml:space="preserve">ANKUR AGRAWAL            </t>
  </si>
  <si>
    <t xml:space="preserve">SONIA RANA               </t>
  </si>
  <si>
    <t xml:space="preserve">DILIP KR. TIWARI         </t>
  </si>
  <si>
    <t xml:space="preserve">PRASHANT SINGH           </t>
  </si>
  <si>
    <t xml:space="preserve">ANOOP BHAT               </t>
  </si>
  <si>
    <t xml:space="preserve">NEERAJ KUMAR             </t>
  </si>
  <si>
    <t xml:space="preserve">NEERAJ SHARMA            </t>
  </si>
  <si>
    <t xml:space="preserve">DEEPAK GUPTA             </t>
  </si>
  <si>
    <t xml:space="preserve">ANAND KR. AGRAWAL        </t>
  </si>
  <si>
    <t xml:space="preserve">PRAMOD SINGH             </t>
  </si>
  <si>
    <t xml:space="preserve">TARUN KUMAR              </t>
  </si>
  <si>
    <t xml:space="preserve">SABYASACHI PRADHAN       </t>
  </si>
  <si>
    <t xml:space="preserve">ANJALI SHAIV             </t>
  </si>
  <si>
    <t xml:space="preserve">AMRIT KAUR SEEHRA        </t>
  </si>
  <si>
    <t xml:space="preserve">SHARAF ABBAS             </t>
  </si>
  <si>
    <t xml:space="preserve">SONU LOHAT               </t>
  </si>
  <si>
    <t xml:space="preserve">VIRENDRA KR. VISHWAKAR   </t>
  </si>
  <si>
    <t xml:space="preserve">RAHUL KR. SHARMA         </t>
  </si>
  <si>
    <t xml:space="preserve">MARGHBUL HAQUE JAUWAD    </t>
  </si>
  <si>
    <t xml:space="preserve">RAGHAV GAUR              </t>
  </si>
  <si>
    <t xml:space="preserve">PRIYANKA SINGH           </t>
  </si>
  <si>
    <t xml:space="preserve">BIMAL KR. SINHA          </t>
  </si>
  <si>
    <t xml:space="preserve">ANKUSH MANDAL            </t>
  </si>
  <si>
    <t xml:space="preserve">NISHA GUPTA              </t>
  </si>
  <si>
    <t xml:space="preserve">JASMEET SINGH            </t>
  </si>
  <si>
    <t xml:space="preserve">RAGHVENDRA SINGH         </t>
  </si>
  <si>
    <t xml:space="preserve">DEEPAK JUNEJA            </t>
  </si>
  <si>
    <t xml:space="preserve">ANEET CHAWLA             </t>
  </si>
  <si>
    <t xml:space="preserve">SAVITA .                 </t>
  </si>
  <si>
    <t xml:space="preserve">ANIMESH KUMAR            </t>
  </si>
  <si>
    <t xml:space="preserve">ABHINAB BARTHAKUR        </t>
  </si>
  <si>
    <t xml:space="preserve">ANSHITA CHATURVEDI       </t>
  </si>
  <si>
    <t xml:space="preserve">SHIVANGI TEWARI          </t>
  </si>
  <si>
    <t xml:space="preserve">ABHISHEK SAXENA          </t>
  </si>
  <si>
    <t xml:space="preserve">CHANDAN PANDEY           </t>
  </si>
  <si>
    <t>Shift</t>
  </si>
  <si>
    <t xml:space="preserve">N  </t>
  </si>
  <si>
    <t xml:space="preserve">E  </t>
  </si>
  <si>
    <t xml:space="preserve">M  </t>
  </si>
  <si>
    <t xml:space="preserve">G  </t>
  </si>
  <si>
    <t>Start_Time</t>
  </si>
  <si>
    <t>In_time</t>
  </si>
  <si>
    <t>Out_Time</t>
  </si>
  <si>
    <t>HrsWorks</t>
  </si>
  <si>
    <t>In_Time</t>
  </si>
  <si>
    <t>Product</t>
  </si>
  <si>
    <t>Manufacturer</t>
  </si>
  <si>
    <t>Customer</t>
  </si>
  <si>
    <t>Revenue</t>
  </si>
  <si>
    <t>Lyf</t>
  </si>
  <si>
    <t>BCL LTD</t>
  </si>
  <si>
    <t>SS inc</t>
  </si>
  <si>
    <t>Nokia</t>
  </si>
  <si>
    <t>Sl comm</t>
  </si>
  <si>
    <t>Sony</t>
  </si>
  <si>
    <t>Pinacle Sol</t>
  </si>
  <si>
    <t>Sd Communication</t>
  </si>
  <si>
    <t>Rcom</t>
  </si>
  <si>
    <t>Oppo</t>
  </si>
  <si>
    <t>Cds ltd</t>
  </si>
  <si>
    <t>Lava</t>
  </si>
  <si>
    <t>micromax</t>
  </si>
  <si>
    <t>Q. Create a Report to show Monthwise Revenue , Grand Total (%tage) and % of year</t>
  </si>
  <si>
    <t>VIKASH KUMAR</t>
  </si>
  <si>
    <t>CHANDAN KUMAR</t>
  </si>
  <si>
    <t>VIPIN KUMAR</t>
  </si>
  <si>
    <t>ABHINAV KUMAR</t>
  </si>
  <si>
    <t>KAUSHAL RAJ SINGH</t>
  </si>
  <si>
    <t>PRATISH MISHRA</t>
  </si>
  <si>
    <t>AKASH VERMA</t>
  </si>
  <si>
    <t>SATYAM CHOUDHARY</t>
  </si>
  <si>
    <t>AMIT KUMAR</t>
  </si>
  <si>
    <t>SAURABH KUMAR</t>
  </si>
  <si>
    <t>ANUPAM KUMAR</t>
  </si>
  <si>
    <t>VIVEK SHARMA</t>
  </si>
  <si>
    <t>GAUR KISHORE</t>
  </si>
  <si>
    <t>PRITHVI RAJ</t>
  </si>
  <si>
    <t>RITU MISHRA</t>
  </si>
  <si>
    <t>SOURAV SINGH</t>
  </si>
  <si>
    <t>SUMIT SUMAN</t>
  </si>
  <si>
    <t>DEEPAK CHAUDHRY</t>
  </si>
  <si>
    <t>SURESH KUMAR</t>
  </si>
  <si>
    <t>AKSHAY BAT JHA</t>
  </si>
  <si>
    <t>DEEPIKA RAWAT</t>
  </si>
  <si>
    <t>KHUSHBOO KHAN</t>
  </si>
  <si>
    <t>JYOTI BARTHWAL</t>
  </si>
  <si>
    <t>KAPIL KUMAR</t>
  </si>
  <si>
    <t>MONIKA SINGH</t>
  </si>
  <si>
    <t>AMIT KUMAR ROY</t>
  </si>
  <si>
    <t>ANOOP KUMAR SINGH</t>
  </si>
  <si>
    <t>MANISH KUMAR</t>
  </si>
  <si>
    <t>HEMLATA RAWAT</t>
  </si>
  <si>
    <t>PRIYANKA TIWARI</t>
  </si>
  <si>
    <t>NIRAJ KUMAR</t>
  </si>
  <si>
    <t>MD. KHURSHEED</t>
  </si>
  <si>
    <t>POONAM SINGH</t>
  </si>
  <si>
    <t>LAKHAN KUMAR</t>
  </si>
  <si>
    <t>PRIYA SINGH</t>
  </si>
  <si>
    <t>PRATIBHA KASHYAP</t>
  </si>
  <si>
    <t>PRABHA KASHYAP</t>
  </si>
  <si>
    <t>ANJALI NIMESH</t>
  </si>
  <si>
    <t>NIDHI RAJ</t>
  </si>
  <si>
    <t>SONU KUMAR</t>
  </si>
  <si>
    <t>VANSHIKA</t>
  </si>
  <si>
    <t>SANJEEV GUPTA</t>
  </si>
  <si>
    <t>SHILPI CHAUDHARY</t>
  </si>
  <si>
    <t>PRIYANKA RAWAT</t>
  </si>
  <si>
    <t>AJAY PANDEY</t>
  </si>
  <si>
    <t>AVANISH RAJ</t>
  </si>
  <si>
    <t>AMIT SHARMA</t>
  </si>
  <si>
    <t>SHASHANK SINGH</t>
  </si>
  <si>
    <t>SUSAN JOSEPH</t>
  </si>
  <si>
    <t>AMRIT RAJ</t>
  </si>
  <si>
    <t>SAURAV KUMAR</t>
  </si>
  <si>
    <t>TIARA JOSEPH</t>
  </si>
  <si>
    <t>RANJEET KUMAR</t>
  </si>
  <si>
    <t>PANKAJ KUMAR</t>
  </si>
  <si>
    <t>VARSHA RANI</t>
  </si>
  <si>
    <t>SIMRAN GOYAL</t>
  </si>
  <si>
    <t>ANJALI GOYAL</t>
  </si>
  <si>
    <t>ASHISH KR SHRIVASTAVA</t>
  </si>
  <si>
    <t>SHILPI PANDEY</t>
  </si>
  <si>
    <t>REHAAN FAREEDI</t>
  </si>
  <si>
    <t>AYESHA CHAUDHARY</t>
  </si>
  <si>
    <t>RAJNI</t>
  </si>
  <si>
    <t>KAMNA</t>
  </si>
  <si>
    <t>JUHI KUMARI</t>
  </si>
  <si>
    <t>DR . RAJ ENDRA</t>
  </si>
  <si>
    <t>POONAM</t>
  </si>
  <si>
    <t>CHANCHAL KUMAR</t>
  </si>
  <si>
    <t>VISHAKHA SINGH</t>
  </si>
  <si>
    <t>ANSHU MISHRA</t>
  </si>
  <si>
    <t>SHIV KUMAR</t>
  </si>
  <si>
    <t>PREETI SHAKYAWAR</t>
  </si>
  <si>
    <t>SANDEEP KUMAR</t>
  </si>
  <si>
    <t>ROHIT GUPTA</t>
  </si>
  <si>
    <t>AJAY KUMAR</t>
  </si>
  <si>
    <t>ROSHAN KUMAR JHA</t>
  </si>
  <si>
    <t>PRADEEP KUMAR BHARTI</t>
  </si>
  <si>
    <t>SUDEEP ANAND</t>
  </si>
  <si>
    <t>ANUJ KUMAR</t>
  </si>
  <si>
    <t>ARVIND PRASAD</t>
  </si>
  <si>
    <t>ROHIT KUKRETI</t>
  </si>
  <si>
    <t>SHIVAM RAJPUT</t>
  </si>
  <si>
    <t>MOHD. SHARIQ SIDDIQUE</t>
  </si>
  <si>
    <t>ANKUSH SHARMA</t>
  </si>
  <si>
    <t>RAJAT KUMAR PANDEY</t>
  </si>
  <si>
    <t>DHIRAJ KUMAR</t>
  </si>
  <si>
    <t>NEHA KUMARI</t>
  </si>
  <si>
    <t>RAMESH SINGH RANA</t>
  </si>
  <si>
    <t>MANOJ KUMAR PATHAK</t>
  </si>
  <si>
    <t>VIDYANAND MISHRA</t>
  </si>
  <si>
    <t>VINAY KUMAR SINGH</t>
  </si>
  <si>
    <t>ISLAMUDDIN ALI</t>
  </si>
  <si>
    <t>PRAKASH CHAND JOSHI</t>
  </si>
  <si>
    <t>RAGHUNATH SINGH</t>
  </si>
  <si>
    <t>NIHARIKA</t>
  </si>
  <si>
    <t>SONIKA</t>
  </si>
  <si>
    <t>MONIKA PRASAD</t>
  </si>
  <si>
    <t>SANDEEP YADAV</t>
  </si>
  <si>
    <t>RECHAL SINGH</t>
  </si>
  <si>
    <t>KEDAR PRADHAN</t>
  </si>
  <si>
    <t>AKASH SAGAR</t>
  </si>
  <si>
    <t>SHIVANSHU TIWARI</t>
  </si>
  <si>
    <t>NEELESH KUMAR</t>
  </si>
  <si>
    <t>VISHAL</t>
  </si>
  <si>
    <t>POONAM GUPTA</t>
  </si>
  <si>
    <t>ANJALI</t>
  </si>
  <si>
    <t>WAQUAR YOUNUS</t>
  </si>
  <si>
    <t>PRIYANKA RAO</t>
  </si>
  <si>
    <t>GAURAV SINGH</t>
  </si>
  <si>
    <t>JAY OM MISHRA</t>
  </si>
  <si>
    <t>AKASH KUMAR</t>
  </si>
  <si>
    <t>SATYAM SINGH</t>
  </si>
  <si>
    <t>AASHANK KUMAR</t>
  </si>
  <si>
    <t>ADARSH SINGH</t>
  </si>
  <si>
    <t>SHREYA PANWAR</t>
  </si>
  <si>
    <t>NEHA</t>
  </si>
  <si>
    <t>TARA SINGH DHAMI</t>
  </si>
  <si>
    <t>ANANT TRIPATHI</t>
  </si>
  <si>
    <t>HEMANT KUMAR</t>
  </si>
  <si>
    <t>PRAKASH KUMAR DAS</t>
  </si>
  <si>
    <t>NEHA TIWARI</t>
  </si>
  <si>
    <t>PUJA KUMARI</t>
  </si>
  <si>
    <t>SURYAKANT</t>
  </si>
  <si>
    <t>RAMAN KUMAR</t>
  </si>
  <si>
    <t>MONU KAUSHIK</t>
  </si>
  <si>
    <t>JITENDRA</t>
  </si>
  <si>
    <t>GITANJALI KUMARI</t>
  </si>
  <si>
    <t>ADITYA NATH TIWARI</t>
  </si>
  <si>
    <t>PRASHANT SINGH</t>
  </si>
  <si>
    <t>RAJU SINGH</t>
  </si>
  <si>
    <t>NEERAJ SHARMA</t>
  </si>
  <si>
    <t>NEELAM MAURYA</t>
  </si>
  <si>
    <t>ADITYA JAIN</t>
  </si>
  <si>
    <t>VISHAL SINGH</t>
  </si>
  <si>
    <t>LOVKUSH KUMAR</t>
  </si>
  <si>
    <t>SONIA</t>
  </si>
  <si>
    <t>PRIYANKA CHAUDHARY</t>
  </si>
  <si>
    <t>HARSHVEER SINGH</t>
  </si>
  <si>
    <t>DINESH KUMAR</t>
  </si>
  <si>
    <t>RAJ KISHORE</t>
  </si>
  <si>
    <t>PREETI SINGH</t>
  </si>
  <si>
    <t>HARSHIT SINGH</t>
  </si>
  <si>
    <t>TARUN LAKHOTIA</t>
  </si>
  <si>
    <t>RAVI SHANKAR SINGH</t>
  </si>
  <si>
    <t>KARISHMA RAWAT</t>
  </si>
  <si>
    <t>ANJALI CHAURASIA</t>
  </si>
  <si>
    <t>ANURAG UPADHYAY</t>
  </si>
  <si>
    <t>MOHD.RAEES</t>
  </si>
  <si>
    <t>ABHISHEK NEGI</t>
  </si>
  <si>
    <t>SANJAY JOSHI</t>
  </si>
  <si>
    <t>YOGESH KUMAR</t>
  </si>
  <si>
    <t>SHARAD JOSHI</t>
  </si>
  <si>
    <t>VINEET ARYA/TANYA ARYA</t>
  </si>
  <si>
    <t>PUJA JAGGI</t>
  </si>
  <si>
    <t>VIKAS PANDEY</t>
  </si>
  <si>
    <t>VIKAS RAI</t>
  </si>
  <si>
    <t>ROHIT KUMAR</t>
  </si>
  <si>
    <t>MANINDER KUMAR</t>
  </si>
  <si>
    <t>JYOTI GUPTA</t>
  </si>
  <si>
    <t>SUDHIR KUMAR GUPTA</t>
  </si>
  <si>
    <t>VIVEK GUPTA</t>
  </si>
  <si>
    <t>DHEERAJ SINGH</t>
  </si>
  <si>
    <t>RIYA DULELA</t>
  </si>
  <si>
    <t>SAMARPANA SINGH</t>
  </si>
  <si>
    <t>ADITYA SADOTRA</t>
  </si>
  <si>
    <t>SHALU SINGH</t>
  </si>
  <si>
    <t>DIKSHA MANDAL</t>
  </si>
  <si>
    <t>KAUSHAL SINHA</t>
  </si>
  <si>
    <t>ABHISHEK</t>
  </si>
  <si>
    <t>UJJWAL AGRAHARI</t>
  </si>
  <si>
    <t>HARI SHANKAR</t>
  </si>
  <si>
    <t>ALOK KUMAR SINGH</t>
  </si>
  <si>
    <t>RHYTHEM</t>
  </si>
  <si>
    <t>ANKIT ANAND</t>
  </si>
  <si>
    <t>PUSHPRAJ BHARADWAJ</t>
  </si>
  <si>
    <t>KAUSHIK SINHA</t>
  </si>
  <si>
    <t>KANHAIYA KUMAR</t>
  </si>
  <si>
    <t>AMIT BHATI</t>
  </si>
  <si>
    <t>RAJEEV JAISWAL</t>
  </si>
  <si>
    <t>ASEEM ANAND</t>
  </si>
  <si>
    <t>AMAN BHARDWAJ</t>
  </si>
  <si>
    <t>SHYAM SUNDAR SINGH</t>
  </si>
  <si>
    <t>MAHESHWAR THAKUR</t>
  </si>
  <si>
    <t>RADHA KRISHNA GUPTA</t>
  </si>
  <si>
    <t>ARCHANA SINHA</t>
  </si>
  <si>
    <t>PRAMOD KUMAR</t>
  </si>
  <si>
    <t>SUDEEP KUMAR</t>
  </si>
  <si>
    <t>RAJNI SINGH</t>
  </si>
  <si>
    <t>VIVEK KUMAR</t>
  </si>
  <si>
    <t>AVINASH KUMAR</t>
  </si>
  <si>
    <t>ROSHAN KUMAR</t>
  </si>
  <si>
    <t>ANKUR VARMA</t>
  </si>
  <si>
    <t>RAVIANSH KUMAR</t>
  </si>
  <si>
    <t>MOHD JAVED</t>
  </si>
  <si>
    <t>MD. KASIF</t>
  </si>
  <si>
    <t>MD AHMAD KHAN</t>
  </si>
  <si>
    <t>RITESH</t>
  </si>
  <si>
    <t>KAVITA RATNU</t>
  </si>
  <si>
    <t>TARJIT SINGH</t>
  </si>
  <si>
    <t>SHAHBAZ ANWAR</t>
  </si>
  <si>
    <t>RITESH KUMAR</t>
  </si>
  <si>
    <t>SHAHBAZ AHMED</t>
  </si>
  <si>
    <t>PRIYANKA ANAND</t>
  </si>
  <si>
    <t>AMIT KUMAR JHA</t>
  </si>
  <si>
    <t>RAJAN KUMAR SINGH</t>
  </si>
  <si>
    <t>MANOHAR MISHRA</t>
  </si>
  <si>
    <t>CHANDER PRAKASH</t>
  </si>
  <si>
    <t>AKASH AGGARWAL</t>
  </si>
  <si>
    <t>ANJALI JHA</t>
  </si>
  <si>
    <t>SAMEER SUMAN</t>
  </si>
  <si>
    <t>SANDEEP ARYA</t>
  </si>
  <si>
    <t>SHIVAM KUMAR JHA</t>
  </si>
  <si>
    <t>ADITYA PARIHAR</t>
  </si>
  <si>
    <t>JITENDRA KUMAR</t>
  </si>
  <si>
    <t>ABHISHEK KUMAR</t>
  </si>
  <si>
    <t>SHREYA PACHAURI</t>
  </si>
  <si>
    <t>MD. SAJJAD HUSSAIN</t>
  </si>
  <si>
    <t>TEENA SONI</t>
  </si>
  <si>
    <t>SHIVAM DAKSH</t>
  </si>
  <si>
    <t>SUMIT KUMAR</t>
  </si>
  <si>
    <t>NEELAM</t>
  </si>
  <si>
    <t>KHUSHBOO SHARMA</t>
  </si>
  <si>
    <t>ASHISH KUMAR SAHU</t>
  </si>
  <si>
    <t>KHUSHBOO</t>
  </si>
  <si>
    <t>RAHUL KUMAR SHARMA</t>
  </si>
  <si>
    <t>RAVI KUMAR</t>
  </si>
  <si>
    <t>SHIVAM SINGH</t>
  </si>
  <si>
    <t>ARTI AWASTHI</t>
  </si>
  <si>
    <t>VICKY RAJ</t>
  </si>
  <si>
    <t>SUKHVENDRA SINGH</t>
  </si>
  <si>
    <t>ANURADHA KARN</t>
  </si>
  <si>
    <t>SONU KANOJIA</t>
  </si>
  <si>
    <t>KOMAL JATOLIA</t>
  </si>
  <si>
    <t>ROHIT SHARMA</t>
  </si>
  <si>
    <t>ASHUTOSH KUMAR MISHRA</t>
  </si>
  <si>
    <t>GAGAN TOMAR</t>
  </si>
  <si>
    <t>DHIRAJ RAJBHAR</t>
  </si>
  <si>
    <t>RAVI KUMAR SHRIVASTAVA</t>
  </si>
  <si>
    <t>ATULYA PRAKASH</t>
  </si>
  <si>
    <t>DESH RAJ</t>
  </si>
  <si>
    <t>KUMAR KRISHANU</t>
  </si>
  <si>
    <t>JEEVENDRA KUMAR</t>
  </si>
  <si>
    <t>SARVESH KUMAR</t>
  </si>
  <si>
    <t>BRAJESH KUMAR</t>
  </si>
  <si>
    <t>MANU CHAUDHARY</t>
  </si>
  <si>
    <t>SHIVAM PORWAL</t>
  </si>
  <si>
    <t>MS ASHU</t>
  </si>
  <si>
    <t>JAVED KHAN</t>
  </si>
  <si>
    <t>JOGENDRA KUMAR</t>
  </si>
  <si>
    <t>KANCHAN KUMAR</t>
  </si>
  <si>
    <t>RAHUL KUMAR JHA</t>
  </si>
  <si>
    <t>SURAJ</t>
  </si>
  <si>
    <t>VAGISH YADAV</t>
  </si>
  <si>
    <t>DEVENDRA KUMAR CHAURASIA</t>
  </si>
  <si>
    <t>ARVIND SINGH RAWAT</t>
  </si>
  <si>
    <t>MOHIT KHATRI</t>
  </si>
  <si>
    <t>AJAY KUMAR SAHANI</t>
  </si>
  <si>
    <t>ASHAV RAJ</t>
  </si>
  <si>
    <t>SACHIN KUMAR SINGH</t>
  </si>
  <si>
    <t>JAY KUMAR</t>
  </si>
  <si>
    <t>KAMLESH PRAJAPATI</t>
  </si>
  <si>
    <t>AMIT KUMAR GUPTA</t>
  </si>
  <si>
    <t>PRIYANKA GUPTA</t>
  </si>
  <si>
    <t>AJEET SINGH PANWAR</t>
  </si>
  <si>
    <t>ASHWANI KUMAR</t>
  </si>
  <si>
    <t>SHIVAM VISHNOI</t>
  </si>
  <si>
    <t>BINNI PAL</t>
  </si>
  <si>
    <t>AASHISH RANJAN JHA</t>
  </si>
  <si>
    <t>AISHWARYA</t>
  </si>
  <si>
    <t>JYOTI CHAUDHARY</t>
  </si>
  <si>
    <t>DEEPAK GOYAL</t>
  </si>
  <si>
    <t>SHRISHTI GUPTA</t>
  </si>
  <si>
    <t>EKANSHIKA KALRA</t>
  </si>
  <si>
    <t>ARYAVEER SINGH</t>
  </si>
  <si>
    <t>ASHUTOSH SHARMA</t>
  </si>
  <si>
    <t>LAKHAN DAHIYA</t>
  </si>
  <si>
    <t>IRA GUPTA</t>
  </si>
  <si>
    <t>NANDITA PARIHAR</t>
  </si>
  <si>
    <t>DEEPAK KUMAR</t>
  </si>
  <si>
    <t>AMIT JHA</t>
  </si>
  <si>
    <t>HIMANSHU BARTHWAL</t>
  </si>
  <si>
    <t>NISHANT SINGH</t>
  </si>
  <si>
    <t>MOHAMMAD YASIR</t>
  </si>
  <si>
    <t>YOGESH SAHANI</t>
  </si>
  <si>
    <t>AASHI TYAGI</t>
  </si>
  <si>
    <t>VASUDHA SHARMA</t>
  </si>
  <si>
    <t>SUSHMITA MANDAL</t>
  </si>
  <si>
    <t>SHRIKANT BADGE</t>
  </si>
  <si>
    <t>HARIVANSH GAUTAM</t>
  </si>
  <si>
    <t>SOURAV MAITY</t>
  </si>
  <si>
    <t>ABIR SARKAR</t>
  </si>
  <si>
    <t>SANDEEP ASWAL</t>
  </si>
  <si>
    <t>KARAN KAPOOR</t>
  </si>
  <si>
    <t>KISHOR PANARA</t>
  </si>
  <si>
    <t>UBAIDILLAH MUHAMMAD</t>
  </si>
  <si>
    <t>AAKANKSHA SRIVASTAVA</t>
  </si>
  <si>
    <t>SUDHAKAR ARYA</t>
  </si>
  <si>
    <t>ARJUN SHAW</t>
  </si>
  <si>
    <t>ASHU SHARMA</t>
  </si>
  <si>
    <t>TEJPAL SAIN</t>
  </si>
  <si>
    <t>SHAGOR AHMED</t>
  </si>
  <si>
    <t>MANPREET KAUR</t>
  </si>
  <si>
    <t>MEENAV SHAH</t>
  </si>
  <si>
    <t>AJINKYA SHINDE</t>
  </si>
  <si>
    <t>SANJAY CHAURASIA</t>
  </si>
  <si>
    <t>VICKY SINGH</t>
  </si>
  <si>
    <t>FEROZ KHILJI</t>
  </si>
  <si>
    <t>KRUTIKA SHELAR</t>
  </si>
  <si>
    <t>MEENA MOURYA</t>
  </si>
  <si>
    <t>NAEEM KHAN</t>
  </si>
  <si>
    <t>RAM SINGH</t>
  </si>
  <si>
    <t>RAV KUMAR</t>
  </si>
  <si>
    <t>ASIHWARYA AMBASTA</t>
  </si>
  <si>
    <t>AJAY SINGH</t>
  </si>
  <si>
    <t>AFTAB ALAM</t>
  </si>
  <si>
    <t>RAJ KUMAR</t>
  </si>
  <si>
    <t>SINTU KUMAR</t>
  </si>
  <si>
    <t>MONIKA PAWAR</t>
  </si>
  <si>
    <t>ARBAN KHAN</t>
  </si>
  <si>
    <t>BHOOPENDRA RAGHAV</t>
  </si>
  <si>
    <t>RAKESH SINGH</t>
  </si>
  <si>
    <t>HARISH TOTE</t>
  </si>
  <si>
    <t>RAKESH KY</t>
  </si>
  <si>
    <t>RAJNIKANT KAMBLE</t>
  </si>
  <si>
    <t>KANIKA MATHUR</t>
  </si>
  <si>
    <t>SATSH OJHA</t>
  </si>
  <si>
    <t>SHEETAL NISHAD</t>
  </si>
  <si>
    <t>VIRENDER SROHA</t>
  </si>
  <si>
    <t>LOKESH SINGH BISHT</t>
  </si>
  <si>
    <t>VIKRAM KUMAR</t>
  </si>
  <si>
    <t>ARCHANA KUMARI</t>
  </si>
  <si>
    <t>BANDA SATYANARAYANA</t>
  </si>
  <si>
    <t>VANDAN DAVE</t>
  </si>
  <si>
    <t>ANIL HOGE</t>
  </si>
  <si>
    <t>PARAMJEET SINGH</t>
  </si>
  <si>
    <t>PRAMOD BHAVSAR</t>
  </si>
  <si>
    <t>ADNAN SOUKAT</t>
  </si>
  <si>
    <t>JAISHRI SAXENA</t>
  </si>
  <si>
    <t>TARJIT MALKA</t>
  </si>
  <si>
    <t>HEMAN GUSAIN</t>
  </si>
  <si>
    <t>NADEEM AHMED</t>
  </si>
  <si>
    <t>PRASHANT PNAJABI</t>
  </si>
  <si>
    <t>NARAYAN LOHAR</t>
  </si>
  <si>
    <t>KIRAN DODKE</t>
  </si>
  <si>
    <t>SURAJ RAJPUT</t>
  </si>
  <si>
    <t>DHARMENDAR RANA</t>
  </si>
  <si>
    <t>ANAND SINGH RAJPUT</t>
  </si>
  <si>
    <t>DHEERAJ ATTRI</t>
  </si>
  <si>
    <t>DEEKSHA AGRAWAL</t>
  </si>
  <si>
    <t>AYUSHI PATEL</t>
  </si>
  <si>
    <t>SUNIL KUMAR</t>
  </si>
  <si>
    <t>PURAN SINGH</t>
  </si>
  <si>
    <t>PAVAN KUMAR</t>
  </si>
  <si>
    <t>MAHBOOB HOSSAIN</t>
  </si>
  <si>
    <t>SUJATA MOHANTY</t>
  </si>
  <si>
    <t>JITENDER KUMAR</t>
  </si>
  <si>
    <t>VINI SAINI</t>
  </si>
  <si>
    <t>ANMOL SINGH</t>
  </si>
  <si>
    <t>KANIKA VATS</t>
  </si>
  <si>
    <t>AROHI SHARMA</t>
  </si>
  <si>
    <t>ALIYA NAYAN</t>
  </si>
  <si>
    <t>KARUNESH PANT</t>
  </si>
  <si>
    <t>MITALI RAJ</t>
  </si>
  <si>
    <t>ARUSHI SAXENA</t>
  </si>
  <si>
    <t>NOOR MOHAMMAD</t>
  </si>
  <si>
    <t>SOMESH VATS</t>
  </si>
  <si>
    <t>NIMISHA PANT</t>
  </si>
  <si>
    <t>NIL MOHAN</t>
  </si>
  <si>
    <t>BHAWNA SHARMA</t>
  </si>
  <si>
    <t>BHUVAN MALIK</t>
  </si>
  <si>
    <t>ARADHYA JHA</t>
  </si>
  <si>
    <t>APOORVA KUMAR</t>
  </si>
  <si>
    <t>AMRESH JHA</t>
  </si>
  <si>
    <t>NUTAN VATS</t>
  </si>
  <si>
    <t>HARISH PANT</t>
  </si>
  <si>
    <t>RAJ SHARMA</t>
  </si>
  <si>
    <t>RUPAK KUMAR</t>
  </si>
  <si>
    <t>RATNESH KUMAR</t>
  </si>
  <si>
    <t>NIKHIL RANA</t>
  </si>
  <si>
    <t>RUPESH BHARDWAJ</t>
  </si>
  <si>
    <t>LOVELY SINGH</t>
  </si>
  <si>
    <t>ARVIND GUPTA</t>
  </si>
  <si>
    <t>AAAKANKSHA SHARAM</t>
  </si>
  <si>
    <t>NAYAN SHARMA</t>
  </si>
  <si>
    <t>KARTIKA VATS</t>
  </si>
  <si>
    <t>KRITIKA TOMAR</t>
  </si>
  <si>
    <t>BHAWNA JHA</t>
  </si>
  <si>
    <t>NIMIT SAXENA</t>
  </si>
  <si>
    <t>ROSHAN JHA</t>
  </si>
  <si>
    <t>AISHWARYA AMBASTA</t>
  </si>
  <si>
    <t>SACHIN SINGH</t>
  </si>
  <si>
    <t>KARTIK NAYAN</t>
  </si>
  <si>
    <t>NUTAN RAWAT</t>
  </si>
  <si>
    <t>ARPANA MISHRA</t>
  </si>
  <si>
    <t>GAGAN SINGH</t>
  </si>
  <si>
    <t>MANOJ SHARMA</t>
  </si>
  <si>
    <t>RONIT ROY</t>
  </si>
  <si>
    <t>MINALI RAJPUT</t>
  </si>
  <si>
    <t>ANKITA SHARMA</t>
  </si>
  <si>
    <t>ANIKA SHARMA</t>
  </si>
  <si>
    <t>VIDIKA BHAN</t>
  </si>
  <si>
    <t>NIVEDITA PAL</t>
  </si>
  <si>
    <t>ANUPAMA MISHRA</t>
  </si>
  <si>
    <t>ANAND KUMAR JHA</t>
  </si>
  <si>
    <t>ARTI CHAURASIA</t>
  </si>
  <si>
    <t>SMRUTI SAH</t>
  </si>
  <si>
    <t>JYOTI SHAH</t>
  </si>
  <si>
    <t>RICHA YADAV</t>
  </si>
  <si>
    <t>SWATI JHA</t>
  </si>
  <si>
    <t>SWASTIK SHARMA</t>
  </si>
  <si>
    <t>MANAV DHAR</t>
  </si>
  <si>
    <t>DEEPAK JHA</t>
  </si>
  <si>
    <t>HARIVANSH MISHRA</t>
  </si>
  <si>
    <t>DEEPAK RANA</t>
  </si>
  <si>
    <t>SHRUTIKA VATAS</t>
  </si>
  <si>
    <t>SASHIKANT SHARAMA</t>
  </si>
  <si>
    <t>GAURAV JHA</t>
  </si>
  <si>
    <t>DHARAM SINGH</t>
  </si>
  <si>
    <t>SARTHAK VATS</t>
  </si>
  <si>
    <t>SANTOSH SHARMA</t>
  </si>
  <si>
    <t>JAI SINGH</t>
  </si>
  <si>
    <t>RAKESH MISHRA</t>
  </si>
  <si>
    <t>DEEPA KAMAL</t>
  </si>
  <si>
    <t>PRAPTI MISHRA</t>
  </si>
  <si>
    <t>ASHOK SINGHAL</t>
  </si>
  <si>
    <t>SUSHIL SHARMA</t>
  </si>
  <si>
    <t>INDU RANA</t>
  </si>
  <si>
    <t>HEMANT GUSAIN VATS</t>
  </si>
  <si>
    <t>RAVINDER SINGH</t>
  </si>
  <si>
    <t>SITA RAM</t>
  </si>
  <si>
    <t>RUPESH SHARMA</t>
  </si>
  <si>
    <t>RANI KUMARI</t>
  </si>
  <si>
    <t>NIBHA JHA</t>
  </si>
  <si>
    <t>RANJEETA SHARMA</t>
  </si>
  <si>
    <t>SANJAY SINGH</t>
  </si>
  <si>
    <t>MANOJ PURI</t>
  </si>
  <si>
    <t>PANKAJ SHARMA</t>
  </si>
  <si>
    <t>AJEET KUMAR</t>
  </si>
  <si>
    <t>AMRENDRA JHA</t>
  </si>
  <si>
    <t>YOGESH SARKAR</t>
  </si>
  <si>
    <t>HAREDRA SHARMA</t>
  </si>
  <si>
    <t>MD. SAHIL</t>
  </si>
  <si>
    <t>NEERU SINGH</t>
  </si>
  <si>
    <t>DIGVIJYA OJHA</t>
  </si>
  <si>
    <t>BHUPESH SHAMRA</t>
  </si>
  <si>
    <t>MUKESH BHATT</t>
  </si>
  <si>
    <t>AJAYA SINGH</t>
  </si>
  <si>
    <t>KANIKA KURMI</t>
  </si>
  <si>
    <t>HARSHITA SHARMA</t>
  </si>
  <si>
    <t>RAJ VATS</t>
  </si>
  <si>
    <t>RAJNISH PANT</t>
  </si>
  <si>
    <t>DEEN DAYAL</t>
  </si>
  <si>
    <t>RUPAM KUMARI</t>
  </si>
  <si>
    <t>ANUMEET KAUR</t>
  </si>
  <si>
    <t>MANPREET SINGH</t>
  </si>
  <si>
    <t>MANMEET KARAN</t>
  </si>
  <si>
    <t>RAKHI SINGH</t>
  </si>
  <si>
    <t>RADHYA JHA</t>
  </si>
  <si>
    <t>RENU SHARMA</t>
  </si>
  <si>
    <t>MD. ABBAS</t>
  </si>
  <si>
    <t>KANAHIYA KARAN</t>
  </si>
  <si>
    <t>PUNEET SHYAM</t>
  </si>
  <si>
    <t>VIJA KUMAR</t>
  </si>
  <si>
    <t>MANOJ VTAS</t>
  </si>
  <si>
    <t>SAVIITA JHA</t>
  </si>
  <si>
    <t>S MAYUR</t>
  </si>
  <si>
    <t>AJITA SINGH</t>
  </si>
  <si>
    <t>MONU KUMAR</t>
  </si>
  <si>
    <t>ARJUN VTAS</t>
  </si>
  <si>
    <t>MANISH CHANDRA PANDEY</t>
  </si>
  <si>
    <t>Grand Total</t>
  </si>
  <si>
    <t>2016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</si>
  <si>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</si>
  <si>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</si>
  <si>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</si>
  <si>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</si>
  <si>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</si>
  <si>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</si>
  <si>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</si>
  <si>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</si>
  <si>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</si>
  <si>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</si>
  <si>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</si>
  <si>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</si>
  <si>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2017</t>
  </si>
  <si>
    <t>Sum of Revenue</t>
  </si>
  <si>
    <t>Years</t>
  </si>
  <si>
    <t>2016 Total</t>
  </si>
  <si>
    <t>2017 Total</t>
  </si>
  <si>
    <t>Values</t>
  </si>
  <si>
    <t>% Grand Total</t>
  </si>
  <si>
    <t>%tage Year</t>
  </si>
  <si>
    <t>Row Labels</t>
  </si>
  <si>
    <t>Count of Years</t>
  </si>
  <si>
    <t>Count of Years2</t>
  </si>
  <si>
    <t>Sum of Revenue2</t>
  </si>
  <si>
    <t>Sum of Revenue3</t>
  </si>
  <si>
    <t>This is wrong, count is used instead of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</si>
</sst>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h:mm\ AM/PM;@"/>
    <numFmt numFmtId="165" formatCode="h:mm;@"/>
    <numFmt numFmtId="166" formatCode="[h]:mm:ss;@"/>
    <numFmt numFmtId="167" formatCode="&quot;$&quot;#,##0.00"/>
    <numFmt numFmtId="170" formatCode="[$-10409]hh:mm:ss\ AM/PM;@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 Narrow"/>
      <family val="2"/>
    </font>
    <font>
      <b/>
      <sz val="12"/>
      <color indexed="12"/>
      <name val="Arial"/>
      <family val="2"/>
    </font>
    <font>
      <sz val="11"/>
      <color theme="1"/>
      <name val="Calibri Light"/>
      <family val="2"/>
      <scheme val="major"/>
    </font>
    <font>
      <sz val="12"/>
      <name val="Arial"/>
      <family val="2"/>
    </font>
    <font>
      <sz val="11"/>
      <color theme="0"/>
      <name val="Calibri Light"/>
      <family val="2"/>
      <scheme val="maj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color theme="1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7" fillId="0" borderId="0"/>
    <xf numFmtId="0" fontId="9" fillId="2" borderId="0" applyNumberFormat="0" applyBorder="0" applyAlignment="0" applyProtection="0"/>
    <xf numFmtId="0" fontId="7" fillId="0" borderId="0"/>
  </cellStyleXfs>
  <cellXfs count="57">
    <xf numFmtId="0" fontId="0" fillId="0" borderId="0" xfId="0"/>
    <xf numFmtId="0" fontId="4" fillId="0" borderId="0" xfId="0" applyFont="1"/>
    <xf numFmtId="0" fontId="4" fillId="0" borderId="4" xfId="0" applyFont="1" applyBorder="1"/>
    <xf numFmtId="0" fontId="6" fillId="0" borderId="0" xfId="1" applyFont="1" applyAlignment="1">
      <alignment horizontal="center"/>
    </xf>
    <xf numFmtId="0" fontId="6" fillId="0" borderId="0" xfId="1" applyFont="1"/>
    <xf numFmtId="0" fontId="7" fillId="0" borderId="0" xfId="2"/>
    <xf numFmtId="0" fontId="8" fillId="0" borderId="4" xfId="1" applyFont="1" applyBorder="1" applyAlignment="1">
      <alignment horizontal="left" indent="1"/>
    </xf>
    <xf numFmtId="0" fontId="8" fillId="0" borderId="4" xfId="1" applyFont="1" applyBorder="1"/>
    <xf numFmtId="0" fontId="8" fillId="0" borderId="4" xfId="1" applyFont="1" applyBorder="1" applyAlignment="1">
      <alignment horizontal="center"/>
    </xf>
    <xf numFmtId="18" fontId="0" fillId="0" borderId="0" xfId="0" applyNumberFormat="1"/>
    <xf numFmtId="18" fontId="0" fillId="4" borderId="0" xfId="0" applyNumberFormat="1" applyFill="1"/>
    <xf numFmtId="0" fontId="0" fillId="5" borderId="4" xfId="0" applyFill="1" applyBorder="1"/>
    <xf numFmtId="0" fontId="0" fillId="6" borderId="4" xfId="0" applyFill="1" applyBorder="1"/>
    <xf numFmtId="14" fontId="0" fillId="0" borderId="4" xfId="0" applyNumberFormat="1" applyBorder="1"/>
    <xf numFmtId="0" fontId="0" fillId="0" borderId="4" xfId="0" applyBorder="1"/>
    <xf numFmtId="164" fontId="0" fillId="0" borderId="4" xfId="0" applyNumberFormat="1" applyBorder="1"/>
    <xf numFmtId="165" fontId="0" fillId="0" borderId="4" xfId="0" applyNumberFormat="1" applyBorder="1"/>
    <xf numFmtId="18" fontId="0" fillId="0" borderId="4" xfId="0" applyNumberFormat="1" applyBorder="1"/>
    <xf numFmtId="0" fontId="0" fillId="0" borderId="4" xfId="0" applyBorder="1" applyAlignment="1">
      <alignment horizontal="center" vertical="center"/>
    </xf>
    <xf numFmtId="166" fontId="0" fillId="0" borderId="4" xfId="0" applyNumberFormat="1" applyBorder="1" applyAlignment="1">
      <alignment horizontal="center"/>
    </xf>
    <xf numFmtId="0" fontId="1" fillId="2" borderId="4" xfId="3" applyFont="1" applyBorder="1" applyAlignment="1">
      <alignment horizontal="left"/>
    </xf>
    <xf numFmtId="0" fontId="10" fillId="0" borderId="4" xfId="4" applyFont="1" applyBorder="1" applyAlignment="1">
      <alignment horizontal="center"/>
    </xf>
    <xf numFmtId="20" fontId="10" fillId="0" borderId="4" xfId="4" applyNumberFormat="1" applyFont="1" applyBorder="1" applyAlignment="1">
      <alignment horizontal="center"/>
    </xf>
    <xf numFmtId="0" fontId="1" fillId="2" borderId="4" xfId="3" applyFont="1" applyBorder="1" applyAlignment="1">
      <alignment horizontal="center"/>
    </xf>
    <xf numFmtId="0" fontId="2" fillId="7" borderId="4" xfId="0" applyFont="1" applyFill="1" applyBorder="1"/>
    <xf numFmtId="167" fontId="0" fillId="0" borderId="4" xfId="0" applyNumberFormat="1" applyBorder="1"/>
    <xf numFmtId="0" fontId="11" fillId="0" borderId="0" xfId="0" applyFont="1"/>
    <xf numFmtId="0" fontId="10" fillId="0" borderId="4" xfId="4" applyFont="1" applyBorder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2" fillId="8" borderId="0" xfId="0" applyFont="1" applyFill="1" applyAlignment="1">
      <alignment wrapText="1"/>
    </xf>
    <xf numFmtId="0" fontId="13" fillId="8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0" fillId="0" borderId="0" xfId="4" applyFont="1"/>
    <xf numFmtId="0" fontId="12" fillId="0" borderId="4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17" fillId="0" borderId="4" xfId="0" applyFont="1" applyBorder="1" applyAlignment="1">
      <alignment wrapText="1"/>
    </xf>
    <xf numFmtId="0" fontId="18" fillId="0" borderId="0" xfId="2" applyFont="1"/>
    <xf numFmtId="0" fontId="0" fillId="0" borderId="0" xfId="0" pivotButton="1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167" fontId="0" fillId="0" borderId="0" xfId="0" applyNumberFormat="1"/>
    <xf numFmtId="14" fontId="0" fillId="0" borderId="0" xfId="0" applyNumberFormat="1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70" fontId="0" fillId="0" borderId="0" xfId="0" applyNumberFormat="1"/>
    <xf numFmtId="2" fontId="0" fillId="0" borderId="0" xfId="0" applyNumberFormat="1"/>
  </cellXfs>
  <cellStyles count="5">
    <cellStyle name="Accent1 2" xfId="3" xr:uid="{B9F38928-727B-4F7E-AAAC-E7D4864AA90F}"/>
    <cellStyle name="Normal" xfId="0" builtinId="0"/>
    <cellStyle name="Normal 2" xfId="2" xr:uid="{467EE86B-BA1B-4EDD-9C78-A7E5690909FD}"/>
    <cellStyle name="Normal 3" xfId="4" xr:uid="{A630B495-EBEC-4DAA-99F7-8B430F0F5C15}"/>
    <cellStyle name="Normal 4" xfId="1" xr:uid="{85710611-44C4-42D8-BFF1-8FBB0733F4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Mai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1</xdr:row>
      <xdr:rowOff>114300</xdr:rowOff>
    </xdr:from>
    <xdr:to>
      <xdr:col>9</xdr:col>
      <xdr:colOff>200025</xdr:colOff>
      <xdr:row>3</xdr:row>
      <xdr:rowOff>38100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353DA6-4749-4CA2-89B5-6A5D99B469CF}"/>
            </a:ext>
          </a:extLst>
        </xdr:cNvPr>
        <xdr:cNvSpPr/>
      </xdr:nvSpPr>
      <xdr:spPr>
        <a:xfrm>
          <a:off x="4895850" y="304800"/>
          <a:ext cx="1009650" cy="304800"/>
        </a:xfrm>
        <a:prstGeom prst="rect">
          <a:avLst/>
        </a:prstGeom>
        <a:solidFill>
          <a:schemeClr val="accent1">
            <a:lumMod val="75000"/>
          </a:schemeClr>
        </a:solidFill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&lt;&lt;Back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266700</xdr:colOff>
      <xdr:row>3</xdr:row>
      <xdr:rowOff>4020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205823-9B93-4C2B-B360-A9CF73696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24175" cy="5755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MPORTANT%20LINK%20&amp;%20INTERVIEW%20QUESTION\Concepts\02%20Interview%20Questions-Excel%20Formulas\Excelytics%20Calenda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CLASS%20LECTURE\MIS%20ADVANCE%20EXCEL%20DAYWISE%20CLASS\ADVANCE%20INTERVIEW%20TRICKS\COUNT_KING\COUNTIFS_EXAMPLE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CLASS%20LECTURE\MIS%20ADVANCE%20EXCEL%20DAYWISE%20CLASS\ADVANCE%20INTERVIEW%20TRICKS\DATE%20_%20TIME%20KING\Date-Time%20Function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kananthapalli\Downloads\Excel%20Tests\Functions%20Tests\Excelytics%20Calenda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vnulu\Downloads\Inventory%20Formul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kananthapalli\Downloads\Excel%20Tests\Functions%20Tests\Final%20Tasks\Difficult%20Tas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Calendar"/>
      <sheetName val="Cal_Pics"/>
    </sheetNames>
    <sheetDataSet>
      <sheetData sheetId="0" refreshError="1"/>
      <sheetData sheetId="1" refreshError="1"/>
      <sheetData sheetId="2">
        <row r="1">
          <cell r="A1">
            <v>1</v>
          </cell>
        </row>
        <row r="2">
          <cell r="A2">
            <v>2</v>
          </cell>
          <cell r="K2">
            <v>1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Sheet"/>
      <sheetName val="COUNTIFS-1"/>
      <sheetName val="Reference TYpe"/>
      <sheetName val="COUNTIFS-2"/>
      <sheetName val="COUNTIFS-3"/>
      <sheetName val="COUNTiFS-4"/>
      <sheetName val="COUNTIFS-5"/>
      <sheetName val="COUNTiFS-6"/>
      <sheetName val="COUNTIFS-7"/>
      <sheetName val="COUNTIFS-8"/>
      <sheetName val="COUNTIFS-9"/>
      <sheetName val="COUNT+IF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Praveen Kumar</v>
          </cell>
          <cell r="B2" t="str">
            <v>IRA</v>
          </cell>
          <cell r="D2" t="str">
            <v>Central</v>
          </cell>
        </row>
        <row r="3">
          <cell r="A3" t="str">
            <v>Abhishek Kumar</v>
          </cell>
          <cell r="B3" t="str">
            <v>CD</v>
          </cell>
          <cell r="D3" t="str">
            <v>Central</v>
          </cell>
        </row>
        <row r="4">
          <cell r="A4" t="str">
            <v>Pramod Kumar</v>
          </cell>
          <cell r="B4" t="str">
            <v>Checking</v>
          </cell>
          <cell r="D4" t="str">
            <v>Central</v>
          </cell>
        </row>
        <row r="5">
          <cell r="A5" t="str">
            <v>Ashok Kumar</v>
          </cell>
          <cell r="B5" t="str">
            <v>CD</v>
          </cell>
          <cell r="D5" t="str">
            <v>Central</v>
          </cell>
        </row>
        <row r="6">
          <cell r="A6" t="str">
            <v>Praveen Kumar</v>
          </cell>
          <cell r="B6" t="str">
            <v>Savings</v>
          </cell>
          <cell r="D6" t="str">
            <v>North County</v>
          </cell>
        </row>
        <row r="7">
          <cell r="A7" t="str">
            <v>Ashok Kumar</v>
          </cell>
          <cell r="B7" t="str">
            <v>Savings</v>
          </cell>
          <cell r="D7" t="str">
            <v>Westside</v>
          </cell>
        </row>
        <row r="8">
          <cell r="A8" t="str">
            <v>Rahul Kumar</v>
          </cell>
          <cell r="B8" t="str">
            <v>Savings</v>
          </cell>
          <cell r="D8" t="str">
            <v>North County</v>
          </cell>
        </row>
        <row r="9">
          <cell r="A9" t="str">
            <v>Ashok Kumar</v>
          </cell>
          <cell r="B9" t="str">
            <v>Savings</v>
          </cell>
          <cell r="D9" t="str">
            <v>Westside</v>
          </cell>
        </row>
        <row r="10">
          <cell r="A10" t="str">
            <v>Abhishek Kumar</v>
          </cell>
          <cell r="B10" t="str">
            <v>CD</v>
          </cell>
          <cell r="D10" t="str">
            <v>Westside</v>
          </cell>
        </row>
        <row r="11">
          <cell r="A11" t="str">
            <v>Praveen Kumar</v>
          </cell>
          <cell r="B11" t="str">
            <v>CD</v>
          </cell>
          <cell r="D11" t="str">
            <v>Westside</v>
          </cell>
        </row>
        <row r="12">
          <cell r="A12" t="str">
            <v>Rahul Kumar</v>
          </cell>
          <cell r="B12" t="str">
            <v>Savings</v>
          </cell>
          <cell r="D12" t="str">
            <v>North County</v>
          </cell>
        </row>
        <row r="13">
          <cell r="A13" t="str">
            <v>Pramod Kumar</v>
          </cell>
          <cell r="B13" t="str">
            <v>Savings</v>
          </cell>
          <cell r="D13" t="str">
            <v>Westside</v>
          </cell>
        </row>
        <row r="14">
          <cell r="A14" t="str">
            <v>Varun Kumar</v>
          </cell>
          <cell r="B14" t="str">
            <v>Checking</v>
          </cell>
          <cell r="D14" t="str">
            <v>Westside</v>
          </cell>
        </row>
        <row r="15">
          <cell r="A15" t="str">
            <v>Abhishek Kumar</v>
          </cell>
          <cell r="B15" t="str">
            <v>Savings</v>
          </cell>
          <cell r="D15" t="str">
            <v>Central</v>
          </cell>
        </row>
        <row r="16">
          <cell r="A16" t="str">
            <v>Ashok Kumar</v>
          </cell>
          <cell r="B16" t="str">
            <v>Checking</v>
          </cell>
          <cell r="D16" t="str">
            <v>North County</v>
          </cell>
        </row>
        <row r="17">
          <cell r="A17" t="str">
            <v>Praveen Kumar</v>
          </cell>
          <cell r="B17" t="str">
            <v>Checking</v>
          </cell>
          <cell r="D17" t="str">
            <v>Central</v>
          </cell>
        </row>
        <row r="18">
          <cell r="A18" t="str">
            <v>Abhishek Kumar</v>
          </cell>
          <cell r="B18" t="str">
            <v>Checking</v>
          </cell>
          <cell r="D18" t="str">
            <v>North County</v>
          </cell>
        </row>
        <row r="19">
          <cell r="A19" t="str">
            <v>Abhishek Kumar</v>
          </cell>
          <cell r="B19" t="str">
            <v>Savings</v>
          </cell>
          <cell r="D19" t="str">
            <v>North County</v>
          </cell>
        </row>
        <row r="20">
          <cell r="A20" t="str">
            <v>Ashok Kumar</v>
          </cell>
          <cell r="B20" t="str">
            <v>Checking</v>
          </cell>
          <cell r="D20" t="str">
            <v>Central</v>
          </cell>
        </row>
        <row r="21">
          <cell r="A21" t="str">
            <v>Ashok Kumar</v>
          </cell>
          <cell r="B21" t="str">
            <v>CD</v>
          </cell>
          <cell r="D21" t="str">
            <v>North County</v>
          </cell>
        </row>
        <row r="22">
          <cell r="A22" t="str">
            <v>Varun Kumar</v>
          </cell>
          <cell r="B22" t="str">
            <v>CD</v>
          </cell>
          <cell r="D22" t="str">
            <v>Central</v>
          </cell>
        </row>
        <row r="23">
          <cell r="A23" t="str">
            <v>Abhishek Kumar</v>
          </cell>
          <cell r="B23" t="str">
            <v>Checking</v>
          </cell>
          <cell r="D23" t="str">
            <v>Central</v>
          </cell>
        </row>
        <row r="24">
          <cell r="A24" t="str">
            <v>Ashok Kumar</v>
          </cell>
          <cell r="B24" t="str">
            <v>Savings</v>
          </cell>
          <cell r="D24" t="str">
            <v>Central</v>
          </cell>
        </row>
        <row r="25">
          <cell r="A25" t="str">
            <v>Ashok Kumar</v>
          </cell>
          <cell r="B25" t="str">
            <v>CD</v>
          </cell>
          <cell r="D25" t="str">
            <v>North County</v>
          </cell>
        </row>
        <row r="26">
          <cell r="A26" t="str">
            <v>Praveen Kumar</v>
          </cell>
          <cell r="B26" t="str">
            <v>Checking</v>
          </cell>
          <cell r="D26" t="str">
            <v>North County</v>
          </cell>
        </row>
        <row r="27">
          <cell r="A27" t="str">
            <v>Abhishek Kumar</v>
          </cell>
          <cell r="B27" t="str">
            <v>Checking</v>
          </cell>
          <cell r="D27" t="str">
            <v>North County</v>
          </cell>
        </row>
        <row r="28">
          <cell r="A28" t="str">
            <v>Rahul Kumar</v>
          </cell>
          <cell r="B28" t="str">
            <v>Checking</v>
          </cell>
          <cell r="D28" t="str">
            <v>Central</v>
          </cell>
        </row>
        <row r="29">
          <cell r="A29" t="str">
            <v>Rahul Kumar</v>
          </cell>
          <cell r="B29" t="str">
            <v>Checking</v>
          </cell>
          <cell r="D29" t="str">
            <v>Central</v>
          </cell>
        </row>
        <row r="30">
          <cell r="A30" t="str">
            <v>Ashok Kumar</v>
          </cell>
          <cell r="B30" t="str">
            <v>Checking</v>
          </cell>
          <cell r="D30" t="str">
            <v>Central</v>
          </cell>
        </row>
        <row r="31">
          <cell r="A31" t="str">
            <v>Varun Kumar</v>
          </cell>
          <cell r="B31" t="str">
            <v>CD</v>
          </cell>
          <cell r="D31" t="str">
            <v>North County</v>
          </cell>
        </row>
        <row r="32">
          <cell r="A32" t="str">
            <v>Varun Kumar</v>
          </cell>
          <cell r="B32" t="str">
            <v>Checking</v>
          </cell>
          <cell r="D32" t="str">
            <v>North County</v>
          </cell>
        </row>
        <row r="33">
          <cell r="A33" t="str">
            <v>Varun Kumar</v>
          </cell>
          <cell r="B33" t="str">
            <v>Checking</v>
          </cell>
          <cell r="D33" t="str">
            <v>Central</v>
          </cell>
        </row>
        <row r="34">
          <cell r="A34" t="str">
            <v>Ashok Kumar</v>
          </cell>
          <cell r="B34" t="str">
            <v>CD</v>
          </cell>
          <cell r="D34" t="str">
            <v>Central</v>
          </cell>
        </row>
        <row r="35">
          <cell r="A35" t="str">
            <v>Rahul Kumar</v>
          </cell>
          <cell r="B35" t="str">
            <v>Checking</v>
          </cell>
          <cell r="D35" t="str">
            <v>Central</v>
          </cell>
        </row>
        <row r="36">
          <cell r="A36" t="str">
            <v>Rahul Kumar</v>
          </cell>
          <cell r="B36" t="str">
            <v>Savings</v>
          </cell>
          <cell r="D36" t="str">
            <v>Central</v>
          </cell>
        </row>
        <row r="37">
          <cell r="A37" t="str">
            <v>Ashok Kumar</v>
          </cell>
          <cell r="B37" t="str">
            <v>Savings</v>
          </cell>
          <cell r="D37" t="str">
            <v>Central</v>
          </cell>
        </row>
        <row r="38">
          <cell r="A38" t="str">
            <v>Ashok Kumar</v>
          </cell>
          <cell r="B38" t="str">
            <v>Checking</v>
          </cell>
          <cell r="D38" t="str">
            <v>Central</v>
          </cell>
        </row>
        <row r="39">
          <cell r="A39" t="str">
            <v>Ashok Kumar</v>
          </cell>
          <cell r="B39" t="str">
            <v>Checking</v>
          </cell>
          <cell r="D39" t="str">
            <v>Central</v>
          </cell>
        </row>
        <row r="40">
          <cell r="A40" t="str">
            <v>Abhishek Kumar</v>
          </cell>
          <cell r="B40" t="str">
            <v>Savings</v>
          </cell>
          <cell r="D40" t="str">
            <v>North County</v>
          </cell>
        </row>
        <row r="41">
          <cell r="A41" t="str">
            <v>Rahul Kumar</v>
          </cell>
          <cell r="B41" t="str">
            <v>Savings</v>
          </cell>
          <cell r="D41" t="str">
            <v>Central</v>
          </cell>
        </row>
        <row r="42">
          <cell r="A42" t="str">
            <v>Rahul Kumar</v>
          </cell>
          <cell r="B42" t="str">
            <v>Checking</v>
          </cell>
          <cell r="D42" t="str">
            <v>Westside</v>
          </cell>
        </row>
        <row r="43">
          <cell r="A43" t="str">
            <v>Rahul Kumar</v>
          </cell>
          <cell r="B43" t="str">
            <v>Checking</v>
          </cell>
          <cell r="D43" t="str">
            <v>North County</v>
          </cell>
        </row>
        <row r="44">
          <cell r="A44" t="str">
            <v>Varun Kumar</v>
          </cell>
          <cell r="B44" t="str">
            <v>Checking</v>
          </cell>
          <cell r="D44" t="str">
            <v>Central</v>
          </cell>
        </row>
        <row r="45">
          <cell r="A45" t="str">
            <v>Varun Kumar</v>
          </cell>
          <cell r="B45" t="str">
            <v>Savings</v>
          </cell>
          <cell r="D45" t="str">
            <v>North County</v>
          </cell>
        </row>
        <row r="46">
          <cell r="A46" t="str">
            <v>Varun Kumar</v>
          </cell>
          <cell r="B46" t="str">
            <v>Checking</v>
          </cell>
          <cell r="D46" t="str">
            <v>Central</v>
          </cell>
        </row>
        <row r="47">
          <cell r="A47" t="str">
            <v>Rahul Kumar</v>
          </cell>
          <cell r="B47" t="str">
            <v>CD</v>
          </cell>
          <cell r="D47" t="str">
            <v>North County</v>
          </cell>
        </row>
        <row r="48">
          <cell r="A48" t="str">
            <v>Rahul Kumar</v>
          </cell>
          <cell r="B48" t="str">
            <v>Checking</v>
          </cell>
          <cell r="D48" t="str">
            <v>North County</v>
          </cell>
        </row>
        <row r="49">
          <cell r="A49" t="str">
            <v>Ashok Kumar</v>
          </cell>
          <cell r="B49" t="str">
            <v>CD</v>
          </cell>
          <cell r="D49" t="str">
            <v>North County</v>
          </cell>
        </row>
        <row r="50">
          <cell r="A50" t="str">
            <v>Ashok Kumar</v>
          </cell>
          <cell r="B50" t="str">
            <v>Checking</v>
          </cell>
          <cell r="D50" t="str">
            <v>Westside</v>
          </cell>
        </row>
        <row r="51">
          <cell r="A51" t="str">
            <v>Ashok Kumar</v>
          </cell>
          <cell r="B51" t="str">
            <v>CD</v>
          </cell>
          <cell r="D51" t="str">
            <v>Westside</v>
          </cell>
        </row>
        <row r="52">
          <cell r="A52" t="str">
            <v>Ashok Kumar</v>
          </cell>
          <cell r="B52" t="str">
            <v>Savings</v>
          </cell>
          <cell r="D52" t="str">
            <v>Central</v>
          </cell>
        </row>
        <row r="53">
          <cell r="A53" t="str">
            <v>Ashok Kumar</v>
          </cell>
          <cell r="B53" t="str">
            <v>Savings</v>
          </cell>
          <cell r="D53" t="str">
            <v>Central</v>
          </cell>
        </row>
        <row r="54">
          <cell r="A54" t="str">
            <v>Ashok Kumar</v>
          </cell>
          <cell r="B54" t="str">
            <v>Savings</v>
          </cell>
          <cell r="D54" t="str">
            <v>North County</v>
          </cell>
        </row>
        <row r="55">
          <cell r="A55" t="str">
            <v>Abhishek Kumar</v>
          </cell>
          <cell r="B55" t="str">
            <v>Savings</v>
          </cell>
          <cell r="D55" t="str">
            <v>Central</v>
          </cell>
        </row>
        <row r="56">
          <cell r="A56" t="str">
            <v>Varun Kumar</v>
          </cell>
          <cell r="B56" t="str">
            <v>Savings</v>
          </cell>
          <cell r="D56" t="str">
            <v>North County</v>
          </cell>
        </row>
        <row r="57">
          <cell r="A57" t="str">
            <v>Varun Kumar</v>
          </cell>
          <cell r="B57" t="str">
            <v>CD</v>
          </cell>
          <cell r="D57" t="str">
            <v>North County</v>
          </cell>
        </row>
        <row r="58">
          <cell r="A58" t="str">
            <v>Varun Kumar</v>
          </cell>
          <cell r="B58" t="str">
            <v>CD</v>
          </cell>
          <cell r="D58" t="str">
            <v>Westside</v>
          </cell>
        </row>
        <row r="59">
          <cell r="A59" t="str">
            <v>Varun Kumar</v>
          </cell>
          <cell r="B59" t="str">
            <v>CD</v>
          </cell>
          <cell r="D59" t="str">
            <v>Westside</v>
          </cell>
        </row>
        <row r="60">
          <cell r="A60" t="str">
            <v>Ashok Kumar</v>
          </cell>
          <cell r="B60" t="str">
            <v>Checking</v>
          </cell>
          <cell r="D60" t="str">
            <v>North County</v>
          </cell>
        </row>
        <row r="61">
          <cell r="A61" t="str">
            <v>Ashok Kumar</v>
          </cell>
          <cell r="B61" t="str">
            <v>Checking</v>
          </cell>
          <cell r="D61" t="str">
            <v>Central</v>
          </cell>
        </row>
        <row r="62">
          <cell r="A62" t="str">
            <v>Ashok Kumar</v>
          </cell>
          <cell r="B62" t="str">
            <v>IRA</v>
          </cell>
          <cell r="D62" t="str">
            <v>Central</v>
          </cell>
        </row>
        <row r="63">
          <cell r="A63" t="str">
            <v>Ashok Kumar</v>
          </cell>
          <cell r="B63" t="str">
            <v>Checking</v>
          </cell>
          <cell r="D63" t="str">
            <v>Central</v>
          </cell>
        </row>
        <row r="64">
          <cell r="A64" t="str">
            <v>Varun Kumar</v>
          </cell>
          <cell r="B64" t="str">
            <v>Checking</v>
          </cell>
          <cell r="D64" t="str">
            <v>Westside</v>
          </cell>
        </row>
        <row r="65">
          <cell r="A65" t="str">
            <v>Varun Kumar</v>
          </cell>
          <cell r="B65" t="str">
            <v>Savings</v>
          </cell>
          <cell r="D65" t="str">
            <v>Central</v>
          </cell>
        </row>
        <row r="66">
          <cell r="A66" t="str">
            <v>Ashok Kumar</v>
          </cell>
          <cell r="B66" t="str">
            <v>CD</v>
          </cell>
          <cell r="D66" t="str">
            <v>Westside</v>
          </cell>
        </row>
        <row r="67">
          <cell r="A67" t="str">
            <v>Abhishek Kumar</v>
          </cell>
          <cell r="B67" t="str">
            <v>Checking</v>
          </cell>
          <cell r="D67" t="str">
            <v>Central</v>
          </cell>
        </row>
        <row r="68">
          <cell r="A68" t="str">
            <v>Abhishek Kumar</v>
          </cell>
          <cell r="B68" t="str">
            <v>Checking</v>
          </cell>
          <cell r="D68" t="str">
            <v>North County</v>
          </cell>
        </row>
        <row r="69">
          <cell r="A69" t="str">
            <v>Ashok Kumar</v>
          </cell>
          <cell r="B69" t="str">
            <v>IRA</v>
          </cell>
          <cell r="D69" t="str">
            <v>Westside</v>
          </cell>
        </row>
        <row r="70">
          <cell r="A70" t="str">
            <v>Abhishek Kumar</v>
          </cell>
          <cell r="B70" t="str">
            <v>CD</v>
          </cell>
          <cell r="D70" t="str">
            <v>North County</v>
          </cell>
        </row>
        <row r="71">
          <cell r="A71" t="str">
            <v>Abhishek Kumar</v>
          </cell>
          <cell r="B71" t="str">
            <v>Savings</v>
          </cell>
          <cell r="D71" t="str">
            <v>Westside</v>
          </cell>
        </row>
        <row r="72">
          <cell r="A72" t="str">
            <v>Ashok Kumar</v>
          </cell>
          <cell r="B72" t="str">
            <v>Savings</v>
          </cell>
          <cell r="D72" t="str">
            <v>North County</v>
          </cell>
        </row>
        <row r="73">
          <cell r="A73" t="str">
            <v>Ashok Kumar</v>
          </cell>
          <cell r="B73" t="str">
            <v>Checking</v>
          </cell>
          <cell r="D73" t="str">
            <v>North County</v>
          </cell>
        </row>
        <row r="74">
          <cell r="A74" t="str">
            <v>Ashok Kumar</v>
          </cell>
          <cell r="B74" t="str">
            <v>CD</v>
          </cell>
          <cell r="D74" t="str">
            <v>North County</v>
          </cell>
        </row>
        <row r="75">
          <cell r="A75" t="str">
            <v>Ashok Kumar</v>
          </cell>
          <cell r="B75" t="str">
            <v>Savings</v>
          </cell>
          <cell r="D75" t="str">
            <v>Central</v>
          </cell>
        </row>
        <row r="76">
          <cell r="A76" t="str">
            <v>Abhishek Kumar</v>
          </cell>
          <cell r="B76" t="str">
            <v>Checking</v>
          </cell>
          <cell r="D76" t="str">
            <v>North County</v>
          </cell>
        </row>
        <row r="77">
          <cell r="A77" t="str">
            <v>Abhishek Kumar</v>
          </cell>
          <cell r="B77" t="str">
            <v>CD</v>
          </cell>
          <cell r="D77" t="str">
            <v>Central</v>
          </cell>
        </row>
        <row r="78">
          <cell r="A78" t="str">
            <v>Ashok Kumar</v>
          </cell>
          <cell r="B78" t="str">
            <v>CD</v>
          </cell>
          <cell r="D78" t="str">
            <v>Central</v>
          </cell>
        </row>
        <row r="79">
          <cell r="A79" t="str">
            <v>Rahul Kumar</v>
          </cell>
          <cell r="B79" t="str">
            <v>CD</v>
          </cell>
          <cell r="D79" t="str">
            <v>Central</v>
          </cell>
        </row>
        <row r="80">
          <cell r="A80" t="str">
            <v>Rahul Kumar</v>
          </cell>
          <cell r="B80" t="str">
            <v>Checking</v>
          </cell>
          <cell r="D80" t="str">
            <v>Central</v>
          </cell>
        </row>
        <row r="81">
          <cell r="A81" t="str">
            <v>Abhishek Kumar</v>
          </cell>
          <cell r="B81" t="str">
            <v>CD</v>
          </cell>
          <cell r="D81" t="str">
            <v>Central</v>
          </cell>
        </row>
        <row r="82">
          <cell r="A82" t="str">
            <v>Abhishek Kumar</v>
          </cell>
          <cell r="B82" t="str">
            <v>Savings</v>
          </cell>
          <cell r="D82" t="str">
            <v>North County</v>
          </cell>
        </row>
        <row r="83">
          <cell r="A83" t="str">
            <v>Ashok Kumar</v>
          </cell>
          <cell r="B83" t="str">
            <v>CD</v>
          </cell>
          <cell r="D83" t="str">
            <v>Central</v>
          </cell>
        </row>
        <row r="84">
          <cell r="A84" t="str">
            <v>Varun Kumar</v>
          </cell>
          <cell r="B84" t="str">
            <v>Checking</v>
          </cell>
          <cell r="D84" t="str">
            <v>Central</v>
          </cell>
        </row>
        <row r="85">
          <cell r="A85" t="str">
            <v>Rahul Kumar</v>
          </cell>
          <cell r="B85" t="str">
            <v>CD</v>
          </cell>
          <cell r="D85" t="str">
            <v>North County</v>
          </cell>
        </row>
        <row r="86">
          <cell r="A86" t="str">
            <v>Praveen Kumar</v>
          </cell>
          <cell r="B86" t="str">
            <v>CD</v>
          </cell>
          <cell r="D86" t="str">
            <v>Central</v>
          </cell>
        </row>
        <row r="87">
          <cell r="A87" t="str">
            <v>Ashok Kumar</v>
          </cell>
          <cell r="B87" t="str">
            <v>CD</v>
          </cell>
          <cell r="D87" t="str">
            <v>North County</v>
          </cell>
        </row>
        <row r="88">
          <cell r="A88" t="str">
            <v>Varun Kumar</v>
          </cell>
          <cell r="B88" t="str">
            <v>CD</v>
          </cell>
          <cell r="D88" t="str">
            <v>Westside</v>
          </cell>
        </row>
        <row r="89">
          <cell r="A89" t="str">
            <v>Pramod Kumar</v>
          </cell>
          <cell r="B89" t="str">
            <v>CD</v>
          </cell>
          <cell r="D89" t="str">
            <v>Central</v>
          </cell>
        </row>
        <row r="90">
          <cell r="A90" t="str">
            <v>Rahul Kumar</v>
          </cell>
          <cell r="B90" t="str">
            <v>CD</v>
          </cell>
          <cell r="D90" t="str">
            <v>Central</v>
          </cell>
        </row>
        <row r="91">
          <cell r="A91" t="str">
            <v>Praveen Kumar</v>
          </cell>
          <cell r="B91" t="str">
            <v>Checking</v>
          </cell>
          <cell r="D91" t="str">
            <v>Central</v>
          </cell>
        </row>
        <row r="92">
          <cell r="A92" t="str">
            <v>Praveen Kumar</v>
          </cell>
          <cell r="B92" t="str">
            <v>Checking</v>
          </cell>
          <cell r="D92" t="str">
            <v>Central</v>
          </cell>
        </row>
        <row r="93">
          <cell r="A93" t="str">
            <v>Praveen Kumar</v>
          </cell>
          <cell r="B93" t="str">
            <v>Checking</v>
          </cell>
          <cell r="D93" t="str">
            <v>Central</v>
          </cell>
        </row>
        <row r="94">
          <cell r="A94" t="str">
            <v>Ashok Kumar</v>
          </cell>
          <cell r="B94" t="str">
            <v>CD</v>
          </cell>
          <cell r="D94" t="str">
            <v>North County</v>
          </cell>
        </row>
        <row r="95">
          <cell r="A95" t="str">
            <v>Ashok Kumar</v>
          </cell>
          <cell r="B95" t="str">
            <v>CD</v>
          </cell>
          <cell r="D95" t="str">
            <v>Central</v>
          </cell>
        </row>
        <row r="96">
          <cell r="A96" t="str">
            <v>Rahul Kumar</v>
          </cell>
          <cell r="B96" t="str">
            <v>CD</v>
          </cell>
          <cell r="D96" t="str">
            <v>Central</v>
          </cell>
        </row>
        <row r="97">
          <cell r="A97" t="str">
            <v>Rahul Kumar</v>
          </cell>
          <cell r="B97" t="str">
            <v>Checking</v>
          </cell>
          <cell r="D97" t="str">
            <v>North County</v>
          </cell>
        </row>
        <row r="98">
          <cell r="A98" t="str">
            <v>Rahul Kumar</v>
          </cell>
          <cell r="B98" t="str">
            <v>CD</v>
          </cell>
          <cell r="D98" t="str">
            <v>Westside</v>
          </cell>
        </row>
        <row r="99">
          <cell r="A99" t="str">
            <v>Praveen Kumar</v>
          </cell>
          <cell r="B99" t="str">
            <v>Checking</v>
          </cell>
          <cell r="D99" t="str">
            <v>North County</v>
          </cell>
        </row>
        <row r="100">
          <cell r="A100" t="str">
            <v>Abhishek Kumar</v>
          </cell>
          <cell r="B100" t="str">
            <v>Savings</v>
          </cell>
          <cell r="D100" t="str">
            <v>Westside</v>
          </cell>
        </row>
        <row r="101">
          <cell r="A101" t="str">
            <v>Varun Kumar</v>
          </cell>
          <cell r="B101" t="str">
            <v>Checking</v>
          </cell>
          <cell r="D101" t="str">
            <v>Central</v>
          </cell>
        </row>
        <row r="102">
          <cell r="A102" t="str">
            <v>Praveen Kumar</v>
          </cell>
          <cell r="B102" t="str">
            <v>Checking</v>
          </cell>
          <cell r="D102" t="str">
            <v>Central</v>
          </cell>
        </row>
        <row r="103">
          <cell r="A103" t="str">
            <v>Abhishek Kumar</v>
          </cell>
          <cell r="B103" t="str">
            <v>Checking</v>
          </cell>
          <cell r="D103" t="str">
            <v>Central</v>
          </cell>
        </row>
        <row r="104">
          <cell r="A104" t="str">
            <v>Pramod Kumar</v>
          </cell>
          <cell r="B104" t="str">
            <v>Checking</v>
          </cell>
          <cell r="D104" t="str">
            <v>Central</v>
          </cell>
        </row>
        <row r="105">
          <cell r="A105" t="str">
            <v>Ashok Kumar</v>
          </cell>
          <cell r="B105" t="str">
            <v>Savings</v>
          </cell>
          <cell r="D105" t="str">
            <v>Central</v>
          </cell>
        </row>
        <row r="106">
          <cell r="A106" t="str">
            <v>Praveen Kumar</v>
          </cell>
          <cell r="B106" t="str">
            <v>Savings</v>
          </cell>
          <cell r="D106" t="str">
            <v>Central</v>
          </cell>
        </row>
        <row r="107">
          <cell r="A107" t="str">
            <v>Praveen Kumar</v>
          </cell>
          <cell r="B107" t="str">
            <v>Checking</v>
          </cell>
          <cell r="D107" t="str">
            <v>North County</v>
          </cell>
        </row>
        <row r="108">
          <cell r="A108" t="str">
            <v>Ashok Kumar</v>
          </cell>
          <cell r="B108" t="str">
            <v>Checking</v>
          </cell>
          <cell r="D108" t="str">
            <v>North County</v>
          </cell>
        </row>
        <row r="109">
          <cell r="A109" t="str">
            <v>Ashok Kumar</v>
          </cell>
          <cell r="B109" t="str">
            <v>CD</v>
          </cell>
          <cell r="D109" t="str">
            <v>Central</v>
          </cell>
        </row>
        <row r="110">
          <cell r="A110" t="str">
            <v>Varun Kumar</v>
          </cell>
          <cell r="B110" t="str">
            <v>CD</v>
          </cell>
          <cell r="D110" t="str">
            <v>Westside</v>
          </cell>
        </row>
        <row r="111">
          <cell r="A111" t="str">
            <v>Ashok Kumar</v>
          </cell>
          <cell r="B111" t="str">
            <v>Savings</v>
          </cell>
          <cell r="D111" t="str">
            <v>North County</v>
          </cell>
        </row>
        <row r="112">
          <cell r="A112" t="str">
            <v>Rahul Kumar</v>
          </cell>
          <cell r="B112" t="str">
            <v>Checking</v>
          </cell>
          <cell r="D112" t="str">
            <v>Westside</v>
          </cell>
        </row>
        <row r="113">
          <cell r="A113" t="str">
            <v>Praveen Kumar</v>
          </cell>
          <cell r="B113" t="str">
            <v>Checking</v>
          </cell>
          <cell r="D113" t="str">
            <v>North County</v>
          </cell>
        </row>
        <row r="114">
          <cell r="A114" t="str">
            <v>Ashok Kumar</v>
          </cell>
          <cell r="B114" t="str">
            <v>Savings</v>
          </cell>
          <cell r="D114" t="str">
            <v>Central</v>
          </cell>
        </row>
        <row r="115">
          <cell r="A115" t="str">
            <v>Varun Kumar</v>
          </cell>
          <cell r="B115" t="str">
            <v>IRA</v>
          </cell>
          <cell r="D115" t="str">
            <v>North County</v>
          </cell>
        </row>
        <row r="116">
          <cell r="A116" t="str">
            <v>Ashok Kumar</v>
          </cell>
          <cell r="B116" t="str">
            <v>CD</v>
          </cell>
          <cell r="D116" t="str">
            <v>North County</v>
          </cell>
        </row>
        <row r="117">
          <cell r="A117" t="str">
            <v>Varun Kumar</v>
          </cell>
          <cell r="B117" t="str">
            <v>CD</v>
          </cell>
          <cell r="D117" t="str">
            <v>Westside</v>
          </cell>
        </row>
        <row r="118">
          <cell r="A118" t="str">
            <v>Rahul Kumar</v>
          </cell>
          <cell r="B118" t="str">
            <v>CD</v>
          </cell>
          <cell r="D118" t="str">
            <v>Central</v>
          </cell>
        </row>
        <row r="119">
          <cell r="A119" t="str">
            <v>Rahul Kumar</v>
          </cell>
          <cell r="B119" t="str">
            <v>Savings</v>
          </cell>
          <cell r="D119" t="str">
            <v>North County</v>
          </cell>
        </row>
        <row r="120">
          <cell r="A120" t="str">
            <v>Abhishek Kumar</v>
          </cell>
          <cell r="B120" t="str">
            <v>Checking</v>
          </cell>
          <cell r="D120" t="str">
            <v>Westside</v>
          </cell>
        </row>
        <row r="121">
          <cell r="A121" t="str">
            <v>Abhishek Kumar</v>
          </cell>
          <cell r="B121" t="str">
            <v>Checking</v>
          </cell>
          <cell r="D121" t="str">
            <v>Central</v>
          </cell>
        </row>
        <row r="122">
          <cell r="A122" t="str">
            <v>Ashok Kumar</v>
          </cell>
          <cell r="B122" t="str">
            <v>Checking</v>
          </cell>
          <cell r="D122" t="str">
            <v>Westside</v>
          </cell>
        </row>
        <row r="123">
          <cell r="A123" t="str">
            <v>Rahul Kumar</v>
          </cell>
          <cell r="B123" t="str">
            <v>Savings</v>
          </cell>
          <cell r="D123" t="str">
            <v>Central</v>
          </cell>
        </row>
        <row r="124">
          <cell r="A124" t="str">
            <v>Praveen Kumar</v>
          </cell>
          <cell r="B124" t="str">
            <v>Checking</v>
          </cell>
          <cell r="D124" t="str">
            <v>Westside</v>
          </cell>
        </row>
        <row r="125">
          <cell r="A125" t="str">
            <v>Pramod Kumar</v>
          </cell>
          <cell r="B125" t="str">
            <v>Savings</v>
          </cell>
          <cell r="D125" t="str">
            <v>Westside</v>
          </cell>
        </row>
        <row r="126">
          <cell r="A126" t="str">
            <v>Varun Kumar</v>
          </cell>
          <cell r="B126" t="str">
            <v>CD</v>
          </cell>
          <cell r="D126" t="str">
            <v>North County</v>
          </cell>
        </row>
        <row r="127">
          <cell r="A127" t="str">
            <v>Pramod Kumar</v>
          </cell>
          <cell r="B127" t="str">
            <v>CD</v>
          </cell>
          <cell r="D127" t="str">
            <v>North County</v>
          </cell>
        </row>
        <row r="128">
          <cell r="A128" t="str">
            <v>Abhishek Kumar</v>
          </cell>
          <cell r="B128" t="str">
            <v>Checking</v>
          </cell>
          <cell r="D128" t="str">
            <v>Central</v>
          </cell>
        </row>
        <row r="129">
          <cell r="A129" t="str">
            <v>Rahul Kumar</v>
          </cell>
          <cell r="B129" t="str">
            <v>CD</v>
          </cell>
          <cell r="D129" t="str">
            <v>Central</v>
          </cell>
        </row>
        <row r="130">
          <cell r="A130" t="str">
            <v>Praveen Kumar</v>
          </cell>
          <cell r="B130" t="str">
            <v>CD</v>
          </cell>
          <cell r="D130" t="str">
            <v>Central</v>
          </cell>
        </row>
        <row r="131">
          <cell r="A131" t="str">
            <v>Pramod Kumar</v>
          </cell>
          <cell r="B131" t="str">
            <v>CD</v>
          </cell>
          <cell r="D131" t="str">
            <v>Westside</v>
          </cell>
        </row>
        <row r="132">
          <cell r="A132" t="str">
            <v>Rahul Kumar</v>
          </cell>
          <cell r="B132" t="str">
            <v>Checking</v>
          </cell>
          <cell r="D132" t="str">
            <v>North County</v>
          </cell>
        </row>
        <row r="133">
          <cell r="A133" t="str">
            <v>Ashok Kumar</v>
          </cell>
          <cell r="B133" t="str">
            <v>Checking</v>
          </cell>
          <cell r="D133" t="str">
            <v>Central</v>
          </cell>
        </row>
        <row r="134">
          <cell r="A134" t="str">
            <v>Varun Kumar</v>
          </cell>
          <cell r="B134" t="str">
            <v>IRA</v>
          </cell>
          <cell r="D134" t="str">
            <v>North County</v>
          </cell>
        </row>
        <row r="135">
          <cell r="A135" t="str">
            <v>Abhishek Kumar</v>
          </cell>
          <cell r="B135" t="str">
            <v>CD</v>
          </cell>
          <cell r="D135" t="str">
            <v>Central</v>
          </cell>
        </row>
        <row r="136">
          <cell r="A136" t="str">
            <v>Praveen Kumar</v>
          </cell>
          <cell r="B136" t="str">
            <v>Checking</v>
          </cell>
          <cell r="D136" t="str">
            <v>Westside</v>
          </cell>
        </row>
        <row r="137">
          <cell r="A137" t="str">
            <v>Abhishek Kumar</v>
          </cell>
          <cell r="B137" t="str">
            <v>Savings</v>
          </cell>
          <cell r="D137" t="str">
            <v>Central</v>
          </cell>
        </row>
        <row r="138">
          <cell r="A138" t="str">
            <v>Ashok Kumar</v>
          </cell>
          <cell r="B138" t="str">
            <v>Savings</v>
          </cell>
          <cell r="D138" t="str">
            <v>North County</v>
          </cell>
        </row>
        <row r="139">
          <cell r="A139" t="str">
            <v>Ashok Kumar</v>
          </cell>
          <cell r="B139" t="str">
            <v>Savings</v>
          </cell>
          <cell r="D139" t="str">
            <v>Central</v>
          </cell>
        </row>
        <row r="140">
          <cell r="A140" t="str">
            <v>Varun Kumar</v>
          </cell>
          <cell r="B140" t="str">
            <v>IRA</v>
          </cell>
          <cell r="D140" t="str">
            <v>North County</v>
          </cell>
        </row>
        <row r="141">
          <cell r="A141" t="str">
            <v>Rahul Kumar</v>
          </cell>
          <cell r="B141" t="str">
            <v>CD</v>
          </cell>
          <cell r="D141" t="str">
            <v>Central</v>
          </cell>
        </row>
        <row r="142">
          <cell r="A142" t="str">
            <v>Pramod Kumar</v>
          </cell>
          <cell r="B142" t="str">
            <v>Savings</v>
          </cell>
          <cell r="D142" t="str">
            <v>Central</v>
          </cell>
        </row>
        <row r="143">
          <cell r="A143" t="str">
            <v>Ashok Kumar</v>
          </cell>
          <cell r="B143" t="str">
            <v>Checking</v>
          </cell>
          <cell r="D143" t="str">
            <v>Central</v>
          </cell>
        </row>
        <row r="144">
          <cell r="A144" t="str">
            <v>Rahul Kumar</v>
          </cell>
          <cell r="B144" t="str">
            <v>CD</v>
          </cell>
          <cell r="D144" t="str">
            <v>North County</v>
          </cell>
        </row>
        <row r="145">
          <cell r="A145" t="str">
            <v>Ashok Kumar</v>
          </cell>
          <cell r="B145" t="str">
            <v>Checking</v>
          </cell>
          <cell r="D145" t="str">
            <v>Westside</v>
          </cell>
        </row>
        <row r="146">
          <cell r="A146" t="str">
            <v>Ashok Kumar</v>
          </cell>
          <cell r="B146" t="str">
            <v>CD</v>
          </cell>
          <cell r="D146" t="str">
            <v>North County</v>
          </cell>
        </row>
        <row r="147">
          <cell r="A147" t="str">
            <v>Ashok Kumar</v>
          </cell>
          <cell r="B147" t="str">
            <v>Checking</v>
          </cell>
          <cell r="D147" t="str">
            <v>North County</v>
          </cell>
        </row>
        <row r="148">
          <cell r="A148" t="str">
            <v>Ashok Kumar</v>
          </cell>
          <cell r="B148" t="str">
            <v>Checking</v>
          </cell>
          <cell r="D148" t="str">
            <v>Central</v>
          </cell>
        </row>
        <row r="149">
          <cell r="A149" t="str">
            <v>Arun Kumar</v>
          </cell>
          <cell r="B149" t="str">
            <v>Checking</v>
          </cell>
          <cell r="D149" t="str">
            <v>Westside</v>
          </cell>
        </row>
        <row r="150">
          <cell r="A150" t="str">
            <v>Arun Kumar</v>
          </cell>
          <cell r="B150" t="str">
            <v>Savings</v>
          </cell>
          <cell r="D150" t="str">
            <v>North County</v>
          </cell>
        </row>
        <row r="151">
          <cell r="A151" t="str">
            <v>Ashok Kumar</v>
          </cell>
          <cell r="B151" t="str">
            <v>Checking</v>
          </cell>
          <cell r="D151" t="str">
            <v>Central</v>
          </cell>
        </row>
        <row r="152">
          <cell r="A152" t="str">
            <v>Praveen Kumar</v>
          </cell>
          <cell r="B152" t="str">
            <v>CD</v>
          </cell>
          <cell r="D152" t="str">
            <v>Central</v>
          </cell>
        </row>
        <row r="153">
          <cell r="A153" t="str">
            <v>Rahul Kumar</v>
          </cell>
          <cell r="B153" t="str">
            <v>CD</v>
          </cell>
          <cell r="D153" t="str">
            <v>Westside</v>
          </cell>
        </row>
        <row r="154">
          <cell r="A154" t="str">
            <v>Rahul Kumar</v>
          </cell>
          <cell r="B154" t="str">
            <v>CD</v>
          </cell>
          <cell r="D154" t="str">
            <v>Central</v>
          </cell>
        </row>
        <row r="155">
          <cell r="A155" t="str">
            <v>Rahul Kumar</v>
          </cell>
          <cell r="B155" t="str">
            <v>Savings</v>
          </cell>
          <cell r="D155" t="str">
            <v>Westside</v>
          </cell>
        </row>
        <row r="156">
          <cell r="A156" t="str">
            <v>Varun Kumar</v>
          </cell>
          <cell r="B156" t="str">
            <v>CD</v>
          </cell>
          <cell r="D156" t="str">
            <v>Westside</v>
          </cell>
        </row>
        <row r="157">
          <cell r="A157" t="str">
            <v>Varun Kumar</v>
          </cell>
          <cell r="B157" t="str">
            <v>CD</v>
          </cell>
          <cell r="D157" t="str">
            <v>Westside</v>
          </cell>
        </row>
        <row r="158">
          <cell r="A158" t="str">
            <v>Rahul Kumar</v>
          </cell>
          <cell r="B158" t="str">
            <v>Savings</v>
          </cell>
          <cell r="D158" t="str">
            <v>North County</v>
          </cell>
        </row>
        <row r="159">
          <cell r="A159" t="str">
            <v>Varun Kumar</v>
          </cell>
          <cell r="B159" t="str">
            <v>Savings</v>
          </cell>
          <cell r="D159" t="str">
            <v>North County</v>
          </cell>
        </row>
        <row r="160">
          <cell r="A160" t="str">
            <v>Arun Kumar</v>
          </cell>
          <cell r="B160" t="str">
            <v>Checking</v>
          </cell>
          <cell r="D160" t="str">
            <v>Westside</v>
          </cell>
        </row>
        <row r="161">
          <cell r="A161" t="str">
            <v>Ashok Kumar</v>
          </cell>
          <cell r="B161" t="str">
            <v>Checking</v>
          </cell>
          <cell r="D161" t="str">
            <v>North County</v>
          </cell>
        </row>
        <row r="162">
          <cell r="A162" t="str">
            <v>Rahul Kumar</v>
          </cell>
          <cell r="B162" t="str">
            <v>CD</v>
          </cell>
          <cell r="D162" t="str">
            <v>North County</v>
          </cell>
        </row>
        <row r="163">
          <cell r="A163" t="str">
            <v>Praveen Kumar</v>
          </cell>
          <cell r="B163" t="str">
            <v>IRA</v>
          </cell>
          <cell r="D163" t="str">
            <v>North County</v>
          </cell>
        </row>
        <row r="164">
          <cell r="A164" t="str">
            <v>Praveen Kumar</v>
          </cell>
          <cell r="B164" t="str">
            <v>CD</v>
          </cell>
          <cell r="D164" t="str">
            <v>Central</v>
          </cell>
        </row>
        <row r="165">
          <cell r="A165" t="str">
            <v>Praveen Kumar</v>
          </cell>
          <cell r="B165" t="str">
            <v>Checking</v>
          </cell>
          <cell r="D165" t="str">
            <v>Central</v>
          </cell>
        </row>
        <row r="166">
          <cell r="A166" t="str">
            <v>Praveen Kumar</v>
          </cell>
          <cell r="B166" t="str">
            <v>Checking</v>
          </cell>
          <cell r="D166" t="str">
            <v>Central</v>
          </cell>
        </row>
        <row r="167">
          <cell r="A167" t="str">
            <v xml:space="preserve">Sweta </v>
          </cell>
          <cell r="B167" t="str">
            <v>Checking</v>
          </cell>
          <cell r="D167" t="str">
            <v>Central</v>
          </cell>
        </row>
        <row r="168">
          <cell r="A168" t="str">
            <v xml:space="preserve">Sweta </v>
          </cell>
          <cell r="B168" t="str">
            <v>Checking</v>
          </cell>
          <cell r="D168" t="str">
            <v>North County</v>
          </cell>
        </row>
        <row r="169">
          <cell r="A169" t="str">
            <v xml:space="preserve">Sweta </v>
          </cell>
          <cell r="B169" t="str">
            <v>Savings</v>
          </cell>
          <cell r="D169" t="str">
            <v>Central</v>
          </cell>
        </row>
        <row r="170">
          <cell r="A170" t="str">
            <v xml:space="preserve">Sweta </v>
          </cell>
          <cell r="B170" t="str">
            <v>Savings</v>
          </cell>
          <cell r="D170" t="str">
            <v>Westside</v>
          </cell>
        </row>
        <row r="171">
          <cell r="A171" t="str">
            <v xml:space="preserve">Sweta </v>
          </cell>
          <cell r="B171" t="str">
            <v>Checking</v>
          </cell>
          <cell r="D171" t="str">
            <v>Westside</v>
          </cell>
        </row>
        <row r="172">
          <cell r="A172" t="str">
            <v xml:space="preserve">Sweta </v>
          </cell>
          <cell r="B172" t="str">
            <v>Savings</v>
          </cell>
          <cell r="D172" t="str">
            <v>Central</v>
          </cell>
        </row>
        <row r="173">
          <cell r="A173" t="str">
            <v>Ashok Kumar</v>
          </cell>
          <cell r="B173" t="str">
            <v>CD</v>
          </cell>
          <cell r="D173" t="str">
            <v>Central</v>
          </cell>
        </row>
        <row r="174">
          <cell r="A174" t="str">
            <v>Arun Kumar</v>
          </cell>
          <cell r="B174" t="str">
            <v>Savings</v>
          </cell>
          <cell r="D174" t="str">
            <v>Central</v>
          </cell>
        </row>
        <row r="175">
          <cell r="A175" t="str">
            <v>Ashok Kumar</v>
          </cell>
          <cell r="B175" t="str">
            <v>CD</v>
          </cell>
          <cell r="D175" t="str">
            <v>Central</v>
          </cell>
        </row>
        <row r="176">
          <cell r="A176" t="str">
            <v>Rahul Kumar</v>
          </cell>
          <cell r="B176" t="str">
            <v>CD</v>
          </cell>
          <cell r="D176" t="str">
            <v>Central</v>
          </cell>
        </row>
        <row r="177">
          <cell r="A177" t="str">
            <v>Rahul Kumar</v>
          </cell>
          <cell r="B177" t="str">
            <v>Savings</v>
          </cell>
          <cell r="D177" t="str">
            <v>North County</v>
          </cell>
        </row>
        <row r="178">
          <cell r="A178" t="str">
            <v>Praveen Kumar</v>
          </cell>
          <cell r="B178" t="str">
            <v>Checking</v>
          </cell>
          <cell r="D178" t="str">
            <v>Westside</v>
          </cell>
        </row>
        <row r="179">
          <cell r="A179" t="str">
            <v>Arun Kumar</v>
          </cell>
          <cell r="B179" t="str">
            <v>Savings</v>
          </cell>
          <cell r="D179" t="str">
            <v>Central</v>
          </cell>
        </row>
        <row r="180">
          <cell r="A180" t="str">
            <v>Arun Kumar</v>
          </cell>
          <cell r="B180" t="str">
            <v>Checking</v>
          </cell>
          <cell r="D180" t="str">
            <v>Central</v>
          </cell>
        </row>
        <row r="181">
          <cell r="A181" t="str">
            <v>Arun Kumar</v>
          </cell>
          <cell r="B181" t="str">
            <v>Checking</v>
          </cell>
          <cell r="D181" t="str">
            <v>North County</v>
          </cell>
        </row>
        <row r="182">
          <cell r="A182" t="str">
            <v>Arun Kumar</v>
          </cell>
          <cell r="B182" t="str">
            <v>Checking</v>
          </cell>
          <cell r="D182" t="str">
            <v>Central</v>
          </cell>
        </row>
        <row r="183">
          <cell r="A183" t="str">
            <v>Arun Kumar</v>
          </cell>
          <cell r="B183" t="str">
            <v>CD</v>
          </cell>
          <cell r="D183" t="str">
            <v>Central</v>
          </cell>
        </row>
        <row r="184">
          <cell r="A184" t="str">
            <v>Arun Kumar</v>
          </cell>
          <cell r="B184" t="str">
            <v>CD</v>
          </cell>
          <cell r="D184" t="str">
            <v>Central</v>
          </cell>
        </row>
        <row r="185">
          <cell r="A185" t="str">
            <v>Praveen Kumar</v>
          </cell>
          <cell r="B185" t="str">
            <v>Savings</v>
          </cell>
          <cell r="D185" t="str">
            <v>Central</v>
          </cell>
        </row>
        <row r="186">
          <cell r="A186" t="str">
            <v>Praveen Kumar</v>
          </cell>
          <cell r="B186" t="str">
            <v>Checking</v>
          </cell>
          <cell r="D186" t="str">
            <v>Westside</v>
          </cell>
        </row>
        <row r="187">
          <cell r="A187" t="str">
            <v>Rahul Kumar</v>
          </cell>
          <cell r="B187" t="str">
            <v>Checking</v>
          </cell>
          <cell r="D187" t="str">
            <v>Central</v>
          </cell>
        </row>
        <row r="188">
          <cell r="A188" t="str">
            <v>Pramod Kumar</v>
          </cell>
          <cell r="B188" t="str">
            <v>CD</v>
          </cell>
          <cell r="D188" t="str">
            <v>North County</v>
          </cell>
        </row>
        <row r="189">
          <cell r="A189" t="str">
            <v>Ashok Kumar</v>
          </cell>
          <cell r="B189" t="str">
            <v>Checking</v>
          </cell>
          <cell r="D189" t="str">
            <v>North County</v>
          </cell>
        </row>
        <row r="190">
          <cell r="A190" t="str">
            <v>Rahul Kumar</v>
          </cell>
          <cell r="B190" t="str">
            <v>Checking</v>
          </cell>
          <cell r="D190" t="str">
            <v>North County</v>
          </cell>
        </row>
        <row r="191">
          <cell r="A191" t="str">
            <v>Varun Kumar</v>
          </cell>
          <cell r="B191" t="str">
            <v>Checking</v>
          </cell>
          <cell r="D191" t="str">
            <v>Central</v>
          </cell>
        </row>
        <row r="192">
          <cell r="A192" t="str">
            <v>Varun Kumar</v>
          </cell>
          <cell r="B192" t="str">
            <v>Checking</v>
          </cell>
          <cell r="D192" t="str">
            <v>Central</v>
          </cell>
        </row>
        <row r="193">
          <cell r="A193" t="str">
            <v>Rahul Kumar</v>
          </cell>
          <cell r="B193" t="str">
            <v>CD</v>
          </cell>
          <cell r="D193" t="str">
            <v>Central</v>
          </cell>
        </row>
        <row r="194">
          <cell r="A194" t="str">
            <v>Varun Kumar</v>
          </cell>
          <cell r="B194" t="str">
            <v>Savings</v>
          </cell>
          <cell r="D194" t="str">
            <v>Central</v>
          </cell>
        </row>
        <row r="195">
          <cell r="A195" t="str">
            <v>Arun Kumar</v>
          </cell>
          <cell r="B195" t="str">
            <v>CD</v>
          </cell>
          <cell r="D195" t="str">
            <v>Central</v>
          </cell>
        </row>
        <row r="196">
          <cell r="A196" t="str">
            <v>Ashok Kumar</v>
          </cell>
          <cell r="B196" t="str">
            <v>CD</v>
          </cell>
          <cell r="D196" t="str">
            <v>North County</v>
          </cell>
        </row>
        <row r="197">
          <cell r="A197" t="str">
            <v>Rahul Kumar</v>
          </cell>
          <cell r="B197" t="str">
            <v>CD</v>
          </cell>
          <cell r="D197" t="str">
            <v>Central</v>
          </cell>
        </row>
        <row r="198">
          <cell r="A198" t="str">
            <v>Praveen Kumar</v>
          </cell>
          <cell r="B198" t="str">
            <v>IRA</v>
          </cell>
          <cell r="D198" t="str">
            <v>Westside</v>
          </cell>
        </row>
        <row r="199">
          <cell r="A199" t="str">
            <v>Praveen Kumar</v>
          </cell>
          <cell r="B199" t="str">
            <v>Checking</v>
          </cell>
          <cell r="D199" t="str">
            <v>Central</v>
          </cell>
        </row>
        <row r="200">
          <cell r="A200" t="str">
            <v>Praveen Kumar</v>
          </cell>
          <cell r="B200" t="str">
            <v>Checking</v>
          </cell>
          <cell r="D200" t="str">
            <v>Central</v>
          </cell>
        </row>
        <row r="201">
          <cell r="A201" t="str">
            <v>Praveen Kumar</v>
          </cell>
          <cell r="B201" t="str">
            <v>Savings</v>
          </cell>
          <cell r="D201" t="str">
            <v>Central</v>
          </cell>
        </row>
        <row r="202">
          <cell r="A202" t="str">
            <v>Ashok Kumar</v>
          </cell>
          <cell r="B202" t="str">
            <v>Savings</v>
          </cell>
          <cell r="D202" t="str">
            <v>North County</v>
          </cell>
        </row>
        <row r="203">
          <cell r="A203" t="str">
            <v>Rahul Kumar</v>
          </cell>
          <cell r="B203" t="str">
            <v>CD</v>
          </cell>
          <cell r="D203" t="str">
            <v>North County</v>
          </cell>
        </row>
        <row r="204">
          <cell r="A204" t="str">
            <v>Rahul Kumar</v>
          </cell>
          <cell r="B204" t="str">
            <v>Checking</v>
          </cell>
          <cell r="D204" t="str">
            <v>North County</v>
          </cell>
        </row>
        <row r="205">
          <cell r="A205" t="str">
            <v>Praveen Kumar</v>
          </cell>
          <cell r="B205" t="str">
            <v>CD</v>
          </cell>
          <cell r="D205" t="str">
            <v>North County</v>
          </cell>
        </row>
        <row r="206">
          <cell r="A206" t="str">
            <v>Arun Kumar</v>
          </cell>
          <cell r="B206" t="str">
            <v>CD</v>
          </cell>
          <cell r="D206" t="str">
            <v>Central</v>
          </cell>
        </row>
        <row r="207">
          <cell r="A207" t="str">
            <v>Arun Kumar</v>
          </cell>
          <cell r="B207" t="str">
            <v>Checking</v>
          </cell>
          <cell r="D207" t="str">
            <v>Westside</v>
          </cell>
        </row>
        <row r="208">
          <cell r="A208" t="str">
            <v>Arun Kumar</v>
          </cell>
          <cell r="B208" t="str">
            <v>IRA</v>
          </cell>
          <cell r="D208" t="str">
            <v>Central</v>
          </cell>
        </row>
        <row r="209">
          <cell r="A209" t="str">
            <v>Arun Kumar</v>
          </cell>
          <cell r="B209" t="str">
            <v>Checking</v>
          </cell>
          <cell r="D209" t="str">
            <v>North County</v>
          </cell>
        </row>
        <row r="210">
          <cell r="A210" t="str">
            <v>Arun Kumar</v>
          </cell>
          <cell r="B210" t="str">
            <v>CD</v>
          </cell>
          <cell r="D210" t="str">
            <v>Westside</v>
          </cell>
        </row>
        <row r="211">
          <cell r="A211" t="str">
            <v>Abhishek Kumar</v>
          </cell>
          <cell r="B211" t="str">
            <v>Savings</v>
          </cell>
          <cell r="D211" t="str">
            <v>Central</v>
          </cell>
        </row>
        <row r="212">
          <cell r="A212" t="str">
            <v>Varun Kumar</v>
          </cell>
          <cell r="B212" t="str">
            <v>Checking</v>
          </cell>
          <cell r="D212" t="str">
            <v>Westside</v>
          </cell>
        </row>
        <row r="213">
          <cell r="A213" t="str">
            <v>Praveen Kumar</v>
          </cell>
          <cell r="B213" t="str">
            <v>Savings</v>
          </cell>
          <cell r="D213" t="str">
            <v>Central</v>
          </cell>
        </row>
        <row r="214">
          <cell r="A214" t="str">
            <v>Abhishek Kumar</v>
          </cell>
          <cell r="B214" t="str">
            <v>Checking</v>
          </cell>
          <cell r="D214" t="str">
            <v>Central</v>
          </cell>
        </row>
        <row r="215">
          <cell r="A215" t="str">
            <v>Pramod Kumar</v>
          </cell>
          <cell r="B215" t="str">
            <v>Checking</v>
          </cell>
          <cell r="D215" t="str">
            <v>Central</v>
          </cell>
        </row>
        <row r="216">
          <cell r="A216" t="str">
            <v>Ashok Kumar</v>
          </cell>
          <cell r="B216" t="str">
            <v>Savings</v>
          </cell>
          <cell r="D216" t="str">
            <v>Westside</v>
          </cell>
        </row>
        <row r="217">
          <cell r="A217" t="str">
            <v>Praveen Kumar</v>
          </cell>
          <cell r="B217" t="str">
            <v>Checking</v>
          </cell>
          <cell r="D217" t="str">
            <v>North County</v>
          </cell>
        </row>
        <row r="218">
          <cell r="A218" t="str">
            <v>Praveen Kumar</v>
          </cell>
          <cell r="B218" t="str">
            <v>Savings</v>
          </cell>
          <cell r="D218" t="str">
            <v>Westside</v>
          </cell>
        </row>
        <row r="219">
          <cell r="A219" t="str">
            <v>Ashok Kumar</v>
          </cell>
          <cell r="B219" t="str">
            <v>Savings</v>
          </cell>
          <cell r="D219" t="str">
            <v>Central</v>
          </cell>
        </row>
        <row r="220">
          <cell r="A220" t="str">
            <v>Ashok Kumar</v>
          </cell>
          <cell r="B220" t="str">
            <v>CD</v>
          </cell>
          <cell r="D220" t="str">
            <v>Westside</v>
          </cell>
        </row>
        <row r="221">
          <cell r="A221" t="str">
            <v>Varun Kumar</v>
          </cell>
          <cell r="B221" t="str">
            <v>Checking</v>
          </cell>
          <cell r="D221" t="str">
            <v>Central</v>
          </cell>
        </row>
        <row r="222">
          <cell r="A222" t="str">
            <v>Ashok Kumar</v>
          </cell>
          <cell r="B222" t="str">
            <v>Checking</v>
          </cell>
          <cell r="D222" t="str">
            <v>North County</v>
          </cell>
        </row>
        <row r="223">
          <cell r="A223" t="str">
            <v>Rahul Kumar</v>
          </cell>
          <cell r="B223" t="str">
            <v>Checking</v>
          </cell>
          <cell r="D223" t="str">
            <v>Westside</v>
          </cell>
        </row>
        <row r="224">
          <cell r="A224" t="str">
            <v>Praveen Kumar</v>
          </cell>
          <cell r="B224" t="str">
            <v>Savings</v>
          </cell>
          <cell r="D224" t="str">
            <v>Central</v>
          </cell>
        </row>
        <row r="225">
          <cell r="A225" t="str">
            <v>Ashok Kumar</v>
          </cell>
          <cell r="B225" t="str">
            <v>CD</v>
          </cell>
          <cell r="D225" t="str">
            <v>Westside</v>
          </cell>
        </row>
        <row r="226">
          <cell r="A226" t="str">
            <v>Varun Kumar</v>
          </cell>
          <cell r="B226" t="str">
            <v>CD</v>
          </cell>
          <cell r="D226" t="str">
            <v>Westside</v>
          </cell>
        </row>
        <row r="227">
          <cell r="A227" t="str">
            <v>Ashok Kumar</v>
          </cell>
          <cell r="B227" t="str">
            <v>Checking</v>
          </cell>
          <cell r="D227" t="str">
            <v>Central</v>
          </cell>
        </row>
        <row r="228">
          <cell r="A228" t="str">
            <v>Varun Kumar</v>
          </cell>
          <cell r="B228" t="str">
            <v>Checking</v>
          </cell>
          <cell r="D228" t="str">
            <v>Central</v>
          </cell>
        </row>
        <row r="229">
          <cell r="A229" t="str">
            <v>Rahul Kumar</v>
          </cell>
          <cell r="B229" t="str">
            <v>Savings</v>
          </cell>
          <cell r="D229" t="str">
            <v>North County</v>
          </cell>
        </row>
        <row r="230">
          <cell r="A230" t="str">
            <v>Rahul Kumar</v>
          </cell>
          <cell r="B230" t="str">
            <v>Checking</v>
          </cell>
          <cell r="D230" t="str">
            <v>Central</v>
          </cell>
        </row>
        <row r="231">
          <cell r="A231" t="str">
            <v>Abhishek Kumar</v>
          </cell>
          <cell r="B231" t="str">
            <v>CD</v>
          </cell>
          <cell r="D231" t="str">
            <v>Central</v>
          </cell>
        </row>
        <row r="232">
          <cell r="A232" t="str">
            <v>Abhishek Kumar</v>
          </cell>
          <cell r="B232" t="str">
            <v>Savings</v>
          </cell>
          <cell r="D232" t="str">
            <v>Central</v>
          </cell>
        </row>
        <row r="233">
          <cell r="A233" t="str">
            <v>Ashok Kumar</v>
          </cell>
          <cell r="B233" t="str">
            <v>Checking</v>
          </cell>
          <cell r="D233" t="str">
            <v>North County</v>
          </cell>
        </row>
        <row r="234">
          <cell r="A234" t="str">
            <v>Rahul Kumar</v>
          </cell>
          <cell r="B234" t="str">
            <v>Savings</v>
          </cell>
          <cell r="D234" t="str">
            <v>North County</v>
          </cell>
        </row>
        <row r="235">
          <cell r="A235" t="str">
            <v>Praveen Kumar</v>
          </cell>
          <cell r="B235" t="str">
            <v>Checking</v>
          </cell>
          <cell r="D235" t="str">
            <v>North County</v>
          </cell>
        </row>
        <row r="236">
          <cell r="A236" t="str">
            <v>Abhishek Kumar</v>
          </cell>
          <cell r="B236" t="str">
            <v>CD</v>
          </cell>
          <cell r="D236" t="str">
            <v>North County</v>
          </cell>
        </row>
        <row r="237">
          <cell r="A237" t="str">
            <v>Varun Kumar</v>
          </cell>
          <cell r="B237" t="str">
            <v>CD</v>
          </cell>
          <cell r="D237" t="str">
            <v>Westside</v>
          </cell>
        </row>
        <row r="238">
          <cell r="A238" t="str">
            <v>Praveen Kumar</v>
          </cell>
          <cell r="B238" t="str">
            <v>CD</v>
          </cell>
          <cell r="D238" t="str">
            <v>Westside</v>
          </cell>
        </row>
        <row r="239">
          <cell r="A239" t="str">
            <v>Abhishek Kumar</v>
          </cell>
          <cell r="B239" t="str">
            <v>CD</v>
          </cell>
          <cell r="D239" t="str">
            <v>North County</v>
          </cell>
        </row>
        <row r="240">
          <cell r="A240" t="str">
            <v>Pramod Kumar</v>
          </cell>
          <cell r="B240" t="str">
            <v>CD</v>
          </cell>
          <cell r="D240" t="str">
            <v>Westside</v>
          </cell>
        </row>
        <row r="241">
          <cell r="A241" t="str">
            <v>Ashok Kumar</v>
          </cell>
          <cell r="B241" t="str">
            <v>CD</v>
          </cell>
          <cell r="D241" t="str">
            <v>Westside</v>
          </cell>
        </row>
        <row r="242">
          <cell r="A242" t="str">
            <v>Praveen Kumar</v>
          </cell>
          <cell r="B242" t="str">
            <v>CD</v>
          </cell>
          <cell r="D242" t="str">
            <v>North County</v>
          </cell>
        </row>
        <row r="243">
          <cell r="A243" t="str">
            <v>Praveen Kumar</v>
          </cell>
          <cell r="B243" t="str">
            <v>CD</v>
          </cell>
          <cell r="D243" t="str">
            <v>Westside</v>
          </cell>
        </row>
        <row r="244">
          <cell r="A244" t="str">
            <v>Ashok Kumar</v>
          </cell>
          <cell r="B244" t="str">
            <v>Checking</v>
          </cell>
          <cell r="D244" t="str">
            <v>Central</v>
          </cell>
        </row>
        <row r="245">
          <cell r="A245" t="str">
            <v>Ashok Kumar</v>
          </cell>
          <cell r="B245" t="str">
            <v>CD</v>
          </cell>
          <cell r="D245" t="str">
            <v>Central</v>
          </cell>
        </row>
        <row r="246">
          <cell r="A246" t="str">
            <v>Varun Kumar</v>
          </cell>
          <cell r="B246" t="str">
            <v>Checking</v>
          </cell>
          <cell r="D246" t="str">
            <v>Central</v>
          </cell>
        </row>
        <row r="247">
          <cell r="A247" t="str">
            <v>Ashok Kumar</v>
          </cell>
          <cell r="B247" t="str">
            <v>Savings</v>
          </cell>
          <cell r="D247" t="str">
            <v>Central</v>
          </cell>
        </row>
        <row r="248">
          <cell r="A248" t="str">
            <v>Rahul Kumar</v>
          </cell>
          <cell r="B248" t="str">
            <v>Checking</v>
          </cell>
          <cell r="D248" t="str">
            <v>Central</v>
          </cell>
        </row>
        <row r="249">
          <cell r="A249" t="str">
            <v>Praveen Kumar</v>
          </cell>
          <cell r="B249" t="str">
            <v>Savings</v>
          </cell>
          <cell r="D249" t="str">
            <v>Central</v>
          </cell>
        </row>
        <row r="250">
          <cell r="A250" t="str">
            <v>Ashok Kumar</v>
          </cell>
          <cell r="B250" t="str">
            <v>Checking</v>
          </cell>
          <cell r="D250" t="str">
            <v>Central</v>
          </cell>
        </row>
        <row r="251">
          <cell r="A251" t="str">
            <v>Varun Kumar</v>
          </cell>
          <cell r="B251" t="str">
            <v>CD</v>
          </cell>
          <cell r="D251" t="str">
            <v>North County</v>
          </cell>
        </row>
        <row r="252">
          <cell r="A252" t="str">
            <v>Ashok Kumar</v>
          </cell>
          <cell r="B252" t="str">
            <v>Checking</v>
          </cell>
          <cell r="D252" t="str">
            <v>Central</v>
          </cell>
        </row>
        <row r="253">
          <cell r="A253" t="str">
            <v>Varun Kumar</v>
          </cell>
          <cell r="B253" t="str">
            <v>CD</v>
          </cell>
          <cell r="D253" t="str">
            <v>Central</v>
          </cell>
        </row>
        <row r="254">
          <cell r="A254" t="str">
            <v>Rahul Kumar</v>
          </cell>
          <cell r="B254" t="str">
            <v>Savings</v>
          </cell>
          <cell r="D254" t="str">
            <v>Central</v>
          </cell>
        </row>
        <row r="255">
          <cell r="A255" t="str">
            <v>Rahul Kumar</v>
          </cell>
          <cell r="B255" t="str">
            <v>Savings</v>
          </cell>
          <cell r="D255" t="str">
            <v>Central</v>
          </cell>
        </row>
        <row r="256">
          <cell r="A256" t="str">
            <v>Abhishek Kumar</v>
          </cell>
          <cell r="B256" t="str">
            <v>Savings</v>
          </cell>
          <cell r="D256" t="str">
            <v>Central</v>
          </cell>
        </row>
        <row r="257">
          <cell r="A257" t="str">
            <v>Abhishek Kumar</v>
          </cell>
          <cell r="B257" t="str">
            <v>Checking</v>
          </cell>
          <cell r="D257" t="str">
            <v>Central</v>
          </cell>
        </row>
        <row r="258">
          <cell r="A258" t="str">
            <v>Ashok Kumar</v>
          </cell>
          <cell r="B258" t="str">
            <v>Checking</v>
          </cell>
          <cell r="D258" t="str">
            <v>North County</v>
          </cell>
        </row>
        <row r="259">
          <cell r="A259" t="str">
            <v>Rahul Kumar</v>
          </cell>
          <cell r="B259" t="str">
            <v>Checking</v>
          </cell>
          <cell r="D259" t="str">
            <v>Central</v>
          </cell>
        </row>
        <row r="260">
          <cell r="A260" t="str">
            <v>Praveen Kumar</v>
          </cell>
          <cell r="B260" t="str">
            <v>Checking</v>
          </cell>
          <cell r="D260" t="str">
            <v>Central</v>
          </cell>
        </row>
        <row r="261">
          <cell r="A261" t="str">
            <v>Ashok Kumar</v>
          </cell>
          <cell r="B261" t="str">
            <v>Savings</v>
          </cell>
          <cell r="D261" t="str">
            <v>Westside</v>
          </cell>
        </row>
        <row r="262">
          <cell r="A262" t="str">
            <v>Rahul Kumar</v>
          </cell>
          <cell r="B262" t="str">
            <v>CD</v>
          </cell>
          <cell r="D262" t="str">
            <v>Central</v>
          </cell>
        </row>
        <row r="263">
          <cell r="A263" t="str">
            <v>Rahul Kumar</v>
          </cell>
          <cell r="B263" t="str">
            <v>Checking</v>
          </cell>
          <cell r="D263" t="str">
            <v>Westside</v>
          </cell>
        </row>
        <row r="264">
          <cell r="A264" t="str">
            <v>Praveen Kumar</v>
          </cell>
          <cell r="B264" t="str">
            <v>Savings</v>
          </cell>
          <cell r="D264" t="str">
            <v>Westside</v>
          </cell>
        </row>
        <row r="265">
          <cell r="A265" t="str">
            <v>Arun Kumar</v>
          </cell>
          <cell r="B265" t="str">
            <v>CD</v>
          </cell>
          <cell r="D265" t="str">
            <v>Central</v>
          </cell>
        </row>
        <row r="266">
          <cell r="A266" t="str">
            <v>Arun Kumar</v>
          </cell>
          <cell r="B266" t="str">
            <v>Checking</v>
          </cell>
          <cell r="D266" t="str">
            <v>Central</v>
          </cell>
        </row>
        <row r="267">
          <cell r="A267" t="str">
            <v>Arun Kumar</v>
          </cell>
          <cell r="B267" t="str">
            <v>Checking</v>
          </cell>
          <cell r="D267" t="str">
            <v>Westside</v>
          </cell>
        </row>
        <row r="268">
          <cell r="A268" t="str">
            <v>Arun Kumar</v>
          </cell>
          <cell r="B268" t="str">
            <v>CD</v>
          </cell>
          <cell r="D268" t="str">
            <v>Central</v>
          </cell>
        </row>
        <row r="269">
          <cell r="A269" t="str">
            <v>Arun Kumar</v>
          </cell>
          <cell r="B269" t="str">
            <v>Checking</v>
          </cell>
          <cell r="D269" t="str">
            <v>Central</v>
          </cell>
        </row>
        <row r="270">
          <cell r="A270" t="str">
            <v>Abhishek Kumar</v>
          </cell>
          <cell r="B270" t="str">
            <v>CD</v>
          </cell>
          <cell r="D270" t="str">
            <v>Central</v>
          </cell>
        </row>
        <row r="271">
          <cell r="A271" t="str">
            <v>Varun Kumar</v>
          </cell>
          <cell r="B271" t="str">
            <v>Savings</v>
          </cell>
          <cell r="D271" t="str">
            <v>Central</v>
          </cell>
        </row>
        <row r="272">
          <cell r="A272" t="str">
            <v>Praveen Kumar</v>
          </cell>
          <cell r="B272" t="str">
            <v>Checking</v>
          </cell>
          <cell r="D272" t="str">
            <v>Central</v>
          </cell>
        </row>
        <row r="273">
          <cell r="A273" t="str">
            <v>Abhishek Kumar</v>
          </cell>
          <cell r="B273" t="str">
            <v>Checking</v>
          </cell>
          <cell r="D273" t="str">
            <v>Westside</v>
          </cell>
        </row>
        <row r="274">
          <cell r="A274" t="str">
            <v>Pramod Kumar</v>
          </cell>
          <cell r="B274" t="str">
            <v>Checking</v>
          </cell>
          <cell r="D274" t="str">
            <v>North County</v>
          </cell>
        </row>
        <row r="275">
          <cell r="A275" t="str">
            <v>Ashok Kumar</v>
          </cell>
          <cell r="B275" t="str">
            <v>Savings</v>
          </cell>
          <cell r="D275" t="str">
            <v>Central</v>
          </cell>
        </row>
        <row r="276">
          <cell r="A276" t="str">
            <v>Praveen Kumar</v>
          </cell>
          <cell r="B276" t="str">
            <v>Savings</v>
          </cell>
          <cell r="D276" t="str">
            <v>North County</v>
          </cell>
        </row>
        <row r="277">
          <cell r="A277" t="str">
            <v>Praveen Kumar</v>
          </cell>
          <cell r="B277" t="str">
            <v>IRA</v>
          </cell>
          <cell r="D277" t="str">
            <v>Central</v>
          </cell>
        </row>
        <row r="278">
          <cell r="A278" t="str">
            <v>Ashok Kumar</v>
          </cell>
          <cell r="B278" t="str">
            <v>CD</v>
          </cell>
          <cell r="D278" t="str">
            <v>Central</v>
          </cell>
        </row>
        <row r="279">
          <cell r="A279" t="str">
            <v>Ashok Kumar</v>
          </cell>
          <cell r="B279" t="str">
            <v>Checking</v>
          </cell>
          <cell r="D279" t="str">
            <v>North County</v>
          </cell>
        </row>
        <row r="280">
          <cell r="A280" t="str">
            <v>Varun Kumar</v>
          </cell>
          <cell r="B280" t="str">
            <v>Savings</v>
          </cell>
          <cell r="D280" t="str">
            <v>Central</v>
          </cell>
        </row>
        <row r="281">
          <cell r="A281" t="str">
            <v>Ashok Kumar</v>
          </cell>
          <cell r="B281" t="str">
            <v>Checking</v>
          </cell>
          <cell r="D281" t="str">
            <v>Central</v>
          </cell>
        </row>
        <row r="282">
          <cell r="A282" t="str">
            <v>Rahul Kumar</v>
          </cell>
          <cell r="B282" t="str">
            <v>CD</v>
          </cell>
          <cell r="D282" t="str">
            <v>North County</v>
          </cell>
        </row>
        <row r="283">
          <cell r="A283" t="str">
            <v>Praveen Kumar</v>
          </cell>
          <cell r="B283" t="str">
            <v>Checking</v>
          </cell>
          <cell r="D283" t="str">
            <v>Central</v>
          </cell>
        </row>
        <row r="284">
          <cell r="A284" t="str">
            <v>Ashok Kumar</v>
          </cell>
          <cell r="B284" t="str">
            <v>CD</v>
          </cell>
          <cell r="D284" t="str">
            <v>Central</v>
          </cell>
        </row>
        <row r="285">
          <cell r="A285" t="str">
            <v>Varun Kumar</v>
          </cell>
          <cell r="B285" t="str">
            <v>Checking</v>
          </cell>
          <cell r="D285" t="str">
            <v>North County</v>
          </cell>
        </row>
        <row r="286">
          <cell r="A286" t="str">
            <v>Ashok Kumar</v>
          </cell>
          <cell r="B286" t="str">
            <v>CD</v>
          </cell>
          <cell r="D286" t="str">
            <v>Central</v>
          </cell>
        </row>
        <row r="287">
          <cell r="A287" t="str">
            <v>Varun Kumar</v>
          </cell>
          <cell r="B287" t="str">
            <v>Checking</v>
          </cell>
          <cell r="D287" t="str">
            <v>Central</v>
          </cell>
        </row>
        <row r="288">
          <cell r="A288" t="str">
            <v>Rahul Kumar</v>
          </cell>
          <cell r="B288" t="str">
            <v>CD</v>
          </cell>
          <cell r="D288" t="str">
            <v>North County</v>
          </cell>
        </row>
        <row r="289">
          <cell r="A289" t="str">
            <v>Rahul Kumar</v>
          </cell>
          <cell r="B289" t="str">
            <v>Checking</v>
          </cell>
          <cell r="D289" t="str">
            <v>Central</v>
          </cell>
        </row>
        <row r="290">
          <cell r="A290" t="str">
            <v>Abhishek Kumar</v>
          </cell>
          <cell r="B290" t="str">
            <v>Savings</v>
          </cell>
          <cell r="D290" t="str">
            <v>Central</v>
          </cell>
        </row>
        <row r="291">
          <cell r="A291" t="str">
            <v>Abhishek Kumar</v>
          </cell>
          <cell r="B291" t="str">
            <v>CD</v>
          </cell>
          <cell r="D291" t="str">
            <v>Westside</v>
          </cell>
        </row>
        <row r="292">
          <cell r="A292" t="str">
            <v>Ashok Kumar</v>
          </cell>
          <cell r="B292" t="str">
            <v>Checking</v>
          </cell>
          <cell r="D292" t="str">
            <v>Central</v>
          </cell>
        </row>
        <row r="293">
          <cell r="A293" t="str">
            <v>Rahul Kumar</v>
          </cell>
          <cell r="B293" t="str">
            <v>Checking</v>
          </cell>
          <cell r="D293" t="str">
            <v>Central</v>
          </cell>
        </row>
        <row r="294">
          <cell r="A294" t="str">
            <v>Praveen Kumar</v>
          </cell>
          <cell r="B294" t="str">
            <v>Checking</v>
          </cell>
          <cell r="D294" t="str">
            <v>Westside</v>
          </cell>
        </row>
        <row r="295">
          <cell r="A295" t="str">
            <v>Abhishek Kumar</v>
          </cell>
          <cell r="B295" t="str">
            <v>CD</v>
          </cell>
          <cell r="D295" t="str">
            <v>Central</v>
          </cell>
        </row>
        <row r="296">
          <cell r="A296" t="str">
            <v>Varun Kumar</v>
          </cell>
          <cell r="B296" t="str">
            <v>CD</v>
          </cell>
          <cell r="D296" t="str">
            <v>Westside</v>
          </cell>
        </row>
        <row r="297">
          <cell r="A297" t="str">
            <v>Praveen Kumar</v>
          </cell>
          <cell r="B297" t="str">
            <v>Savings</v>
          </cell>
          <cell r="D297" t="str">
            <v>North County</v>
          </cell>
        </row>
        <row r="298">
          <cell r="A298" t="str">
            <v>Abhishek Kumar</v>
          </cell>
          <cell r="B298" t="str">
            <v>CD</v>
          </cell>
          <cell r="D298" t="str">
            <v>Central</v>
          </cell>
        </row>
        <row r="299">
          <cell r="A299" t="str">
            <v>Pramod Kumar</v>
          </cell>
          <cell r="B299" t="str">
            <v>Checking</v>
          </cell>
          <cell r="D299" t="str">
            <v>Central</v>
          </cell>
        </row>
        <row r="300">
          <cell r="A300" t="str">
            <v>Ashok Kumar</v>
          </cell>
          <cell r="B300" t="str">
            <v>Checking</v>
          </cell>
          <cell r="D300" t="str">
            <v>Central</v>
          </cell>
        </row>
        <row r="301">
          <cell r="A301" t="str">
            <v>Praveen Kumar</v>
          </cell>
          <cell r="B301" t="str">
            <v>Checking</v>
          </cell>
          <cell r="D301" t="str">
            <v>North County</v>
          </cell>
        </row>
        <row r="302">
          <cell r="A302" t="str">
            <v>Praveen Kumar</v>
          </cell>
          <cell r="B302" t="str">
            <v>Savings</v>
          </cell>
          <cell r="D302" t="str">
            <v>North County</v>
          </cell>
        </row>
        <row r="303">
          <cell r="A303" t="str">
            <v>Ashok Kumar</v>
          </cell>
          <cell r="B303" t="str">
            <v>CD</v>
          </cell>
          <cell r="D303" t="str">
            <v>Westside</v>
          </cell>
        </row>
        <row r="304">
          <cell r="A304" t="str">
            <v>Ashok Kumar</v>
          </cell>
          <cell r="B304" t="str">
            <v>CD</v>
          </cell>
          <cell r="D304" t="str">
            <v>North County</v>
          </cell>
        </row>
        <row r="305">
          <cell r="A305" t="str">
            <v>Varun Kumar</v>
          </cell>
          <cell r="B305" t="str">
            <v>Checking</v>
          </cell>
          <cell r="D305" t="str">
            <v>Central</v>
          </cell>
        </row>
        <row r="306">
          <cell r="A306" t="str">
            <v>Ashok Kumar</v>
          </cell>
          <cell r="B306" t="str">
            <v>Savings</v>
          </cell>
          <cell r="D306" t="str">
            <v>Central</v>
          </cell>
        </row>
        <row r="307">
          <cell r="A307" t="str">
            <v>Rahul Kumar</v>
          </cell>
          <cell r="B307" t="str">
            <v>CD</v>
          </cell>
          <cell r="D307" t="str">
            <v>North County</v>
          </cell>
        </row>
        <row r="308">
          <cell r="A308" t="str">
            <v>Praveen Kumar</v>
          </cell>
          <cell r="B308" t="str">
            <v>IRA</v>
          </cell>
          <cell r="D308" t="str">
            <v>Central</v>
          </cell>
        </row>
        <row r="309">
          <cell r="A309" t="str">
            <v>Ashok Kumar</v>
          </cell>
          <cell r="B309" t="str">
            <v>Savings</v>
          </cell>
          <cell r="D309" t="str">
            <v>Westside</v>
          </cell>
        </row>
        <row r="310">
          <cell r="A310" t="str">
            <v>Varun Kumar</v>
          </cell>
          <cell r="B310" t="str">
            <v>CD</v>
          </cell>
          <cell r="D310" t="str">
            <v>North County</v>
          </cell>
        </row>
        <row r="311">
          <cell r="A311" t="str">
            <v>Ashok Kumar</v>
          </cell>
          <cell r="B311" t="str">
            <v>CD</v>
          </cell>
          <cell r="D311" t="str">
            <v>North County</v>
          </cell>
        </row>
        <row r="312">
          <cell r="A312" t="str">
            <v>Varun Kumar</v>
          </cell>
          <cell r="B312" t="str">
            <v>Checking</v>
          </cell>
          <cell r="D312" t="str">
            <v>Central</v>
          </cell>
        </row>
        <row r="313">
          <cell r="A313" t="str">
            <v>Rahul Kumar</v>
          </cell>
          <cell r="B313" t="str">
            <v>CD</v>
          </cell>
          <cell r="D313" t="str">
            <v>North County</v>
          </cell>
        </row>
        <row r="314">
          <cell r="A314" t="str">
            <v>Rahul Kumar</v>
          </cell>
          <cell r="B314" t="str">
            <v>Savings</v>
          </cell>
          <cell r="D314" t="str">
            <v>Westside</v>
          </cell>
        </row>
        <row r="315">
          <cell r="A315" t="str">
            <v>Abhishek Kumar</v>
          </cell>
          <cell r="B315" t="str">
            <v>Checking</v>
          </cell>
          <cell r="D315" t="str">
            <v>Westside</v>
          </cell>
        </row>
        <row r="316">
          <cell r="A316" t="str">
            <v>Abhishek Kumar</v>
          </cell>
          <cell r="B316" t="str">
            <v>Savings</v>
          </cell>
          <cell r="D316" t="str">
            <v>Central</v>
          </cell>
        </row>
        <row r="317">
          <cell r="A317" t="str">
            <v>Ashok Kumar</v>
          </cell>
          <cell r="B317" t="str">
            <v>CD</v>
          </cell>
          <cell r="D317" t="str">
            <v>North County</v>
          </cell>
        </row>
        <row r="318">
          <cell r="A318" t="str">
            <v>Rahul Kumar</v>
          </cell>
          <cell r="B318" t="str">
            <v>CD</v>
          </cell>
          <cell r="D318" t="str">
            <v>Central</v>
          </cell>
        </row>
        <row r="319">
          <cell r="A319" t="str">
            <v>Praveen Kumar</v>
          </cell>
          <cell r="B319" t="str">
            <v>CD</v>
          </cell>
          <cell r="D319" t="str">
            <v>Central</v>
          </cell>
        </row>
        <row r="320">
          <cell r="A320" t="str">
            <v>Ashok Kumar</v>
          </cell>
          <cell r="B320" t="str">
            <v>Savings</v>
          </cell>
          <cell r="D320" t="str">
            <v>Central</v>
          </cell>
        </row>
        <row r="321">
          <cell r="A321" t="str">
            <v>Rahul Kumar</v>
          </cell>
          <cell r="B321" t="str">
            <v>CD</v>
          </cell>
          <cell r="D321" t="str">
            <v>Central</v>
          </cell>
        </row>
        <row r="322">
          <cell r="A322" t="str">
            <v>Rahul Kumar</v>
          </cell>
          <cell r="B322" t="str">
            <v>Checking</v>
          </cell>
          <cell r="D322" t="str">
            <v>Central</v>
          </cell>
        </row>
        <row r="323">
          <cell r="A323" t="str">
            <v>Praveen Kumar</v>
          </cell>
          <cell r="B323" t="str">
            <v>Checking</v>
          </cell>
          <cell r="D323" t="str">
            <v>Westside</v>
          </cell>
        </row>
        <row r="324">
          <cell r="A324" t="str">
            <v>Arun Kumar</v>
          </cell>
          <cell r="B324" t="str">
            <v>Checking</v>
          </cell>
          <cell r="D324" t="str">
            <v>Central</v>
          </cell>
        </row>
        <row r="325">
          <cell r="A325" t="str">
            <v>Arun Kumar</v>
          </cell>
          <cell r="B325" t="str">
            <v>Checking</v>
          </cell>
          <cell r="D325" t="str">
            <v>Central</v>
          </cell>
        </row>
        <row r="326">
          <cell r="A326" t="str">
            <v>Arun Kumar</v>
          </cell>
          <cell r="B326" t="str">
            <v>Savings</v>
          </cell>
          <cell r="D326" t="str">
            <v>Westside</v>
          </cell>
        </row>
        <row r="327">
          <cell r="A327" t="str">
            <v>Arun Kumar</v>
          </cell>
          <cell r="B327" t="str">
            <v>Savings</v>
          </cell>
          <cell r="D327" t="str">
            <v>Central</v>
          </cell>
        </row>
        <row r="328">
          <cell r="A328" t="str">
            <v>Arun Kumar</v>
          </cell>
          <cell r="B328" t="str">
            <v>Checking</v>
          </cell>
          <cell r="D328" t="str">
            <v>North County</v>
          </cell>
        </row>
        <row r="329">
          <cell r="A329" t="str">
            <v>Abhishek Kumar</v>
          </cell>
          <cell r="B329" t="str">
            <v>Savings</v>
          </cell>
          <cell r="D329" t="str">
            <v>Central</v>
          </cell>
        </row>
        <row r="330">
          <cell r="A330" t="str">
            <v>Varun Kumar</v>
          </cell>
          <cell r="B330" t="str">
            <v>IRA</v>
          </cell>
          <cell r="D330" t="str">
            <v>North County</v>
          </cell>
        </row>
        <row r="331">
          <cell r="A331" t="str">
            <v>Praveen Kumar</v>
          </cell>
          <cell r="B331" t="str">
            <v>CD</v>
          </cell>
          <cell r="D331" t="str">
            <v>Westside</v>
          </cell>
        </row>
        <row r="332">
          <cell r="A332" t="str">
            <v>Abhishek Kumar</v>
          </cell>
          <cell r="B332" t="str">
            <v>Savings</v>
          </cell>
          <cell r="D332" t="str">
            <v>Central</v>
          </cell>
        </row>
        <row r="333">
          <cell r="A333" t="str">
            <v>Pramod Kumar</v>
          </cell>
          <cell r="B333" t="str">
            <v>Savings</v>
          </cell>
          <cell r="D333" t="str">
            <v>North County</v>
          </cell>
        </row>
        <row r="334">
          <cell r="A334" t="str">
            <v>Ashok Kumar</v>
          </cell>
          <cell r="B334" t="str">
            <v>Checking</v>
          </cell>
          <cell r="D334" t="str">
            <v>North County</v>
          </cell>
        </row>
        <row r="335">
          <cell r="A335" t="str">
            <v>Praveen Kumar</v>
          </cell>
          <cell r="B335" t="str">
            <v>Savings</v>
          </cell>
          <cell r="D335" t="str">
            <v>North County</v>
          </cell>
        </row>
        <row r="336">
          <cell r="A336" t="str">
            <v>Praveen Kumar</v>
          </cell>
          <cell r="B336" t="str">
            <v>Savings</v>
          </cell>
          <cell r="D336" t="str">
            <v>Central</v>
          </cell>
        </row>
        <row r="337">
          <cell r="A337" t="str">
            <v>Ashok Kumar</v>
          </cell>
          <cell r="B337" t="str">
            <v>Checking</v>
          </cell>
          <cell r="D337" t="str">
            <v>North County</v>
          </cell>
        </row>
        <row r="338">
          <cell r="A338" t="str">
            <v>Ashok Kumar</v>
          </cell>
          <cell r="B338" t="str">
            <v>IRA</v>
          </cell>
          <cell r="D338" t="str">
            <v>Central</v>
          </cell>
        </row>
        <row r="339">
          <cell r="A339" t="str">
            <v>Varun Kumar</v>
          </cell>
          <cell r="B339" t="str">
            <v>Checking</v>
          </cell>
          <cell r="D339" t="str">
            <v>Central</v>
          </cell>
        </row>
        <row r="340">
          <cell r="A340" t="str">
            <v>Ashok Kumar</v>
          </cell>
          <cell r="B340" t="str">
            <v>Savings</v>
          </cell>
          <cell r="D340" t="str">
            <v>Central</v>
          </cell>
        </row>
        <row r="341">
          <cell r="A341" t="str">
            <v>Rahul Kumar</v>
          </cell>
          <cell r="B341" t="str">
            <v>CD</v>
          </cell>
          <cell r="D341" t="str">
            <v>North County</v>
          </cell>
        </row>
        <row r="342">
          <cell r="A342" t="str">
            <v>Praveen Kumar</v>
          </cell>
          <cell r="B342" t="str">
            <v>Savings</v>
          </cell>
          <cell r="D342" t="str">
            <v>North County</v>
          </cell>
        </row>
        <row r="343">
          <cell r="A343" t="str">
            <v>Ashok Kumar</v>
          </cell>
          <cell r="B343" t="str">
            <v>CD</v>
          </cell>
          <cell r="D343" t="str">
            <v>North County</v>
          </cell>
        </row>
        <row r="344">
          <cell r="A344" t="str">
            <v>Varun Kumar</v>
          </cell>
          <cell r="B344" t="str">
            <v>IRA</v>
          </cell>
          <cell r="D344" t="str">
            <v>North County</v>
          </cell>
        </row>
        <row r="345">
          <cell r="A345" t="str">
            <v>Ashok Kumar</v>
          </cell>
          <cell r="B345" t="str">
            <v>Savings</v>
          </cell>
          <cell r="D345" t="str">
            <v>North County</v>
          </cell>
        </row>
        <row r="346">
          <cell r="A346" t="str">
            <v>Varun Kumar</v>
          </cell>
          <cell r="B346" t="str">
            <v>Savings</v>
          </cell>
          <cell r="D346" t="str">
            <v>Westside</v>
          </cell>
        </row>
        <row r="347">
          <cell r="A347" t="str">
            <v>Rahul Kumar</v>
          </cell>
          <cell r="B347" t="str">
            <v>Checking</v>
          </cell>
          <cell r="D347" t="str">
            <v>Central</v>
          </cell>
        </row>
        <row r="348">
          <cell r="A348" t="str">
            <v>Rahul Kumar</v>
          </cell>
          <cell r="B348" t="str">
            <v>Checking</v>
          </cell>
          <cell r="D348" t="str">
            <v>Central</v>
          </cell>
        </row>
        <row r="349">
          <cell r="A349" t="str">
            <v>Abhishek Kumar</v>
          </cell>
          <cell r="B349" t="str">
            <v>CD</v>
          </cell>
          <cell r="D349" t="str">
            <v>Central</v>
          </cell>
        </row>
        <row r="350">
          <cell r="A350" t="str">
            <v>Abhishek Kumar</v>
          </cell>
          <cell r="B350" t="str">
            <v>Checking</v>
          </cell>
          <cell r="D350" t="str">
            <v>Central</v>
          </cell>
        </row>
        <row r="351">
          <cell r="A351" t="str">
            <v>Ashok Kumar</v>
          </cell>
          <cell r="B351" t="str">
            <v>Checking</v>
          </cell>
          <cell r="D351" t="str">
            <v>Westside</v>
          </cell>
        </row>
        <row r="352">
          <cell r="A352" t="str">
            <v>Rahul Kumar</v>
          </cell>
          <cell r="B352" t="str">
            <v>Savings</v>
          </cell>
          <cell r="D352" t="str">
            <v>Westside</v>
          </cell>
        </row>
        <row r="353">
          <cell r="A353" t="str">
            <v>Praveen Kumar</v>
          </cell>
          <cell r="B353" t="str">
            <v>Savings</v>
          </cell>
          <cell r="D353" t="str">
            <v>Central</v>
          </cell>
        </row>
        <row r="354">
          <cell r="A354" t="str">
            <v>Abhishek Kumar</v>
          </cell>
          <cell r="B354" t="str">
            <v>Checking</v>
          </cell>
          <cell r="D354" t="str">
            <v>Central</v>
          </cell>
        </row>
        <row r="355">
          <cell r="A355" t="str">
            <v>Varun Kumar</v>
          </cell>
          <cell r="B355" t="str">
            <v>Savings</v>
          </cell>
          <cell r="D355" t="str">
            <v>North County</v>
          </cell>
        </row>
        <row r="356">
          <cell r="A356" t="str">
            <v>Praveen Kumar</v>
          </cell>
          <cell r="B356" t="str">
            <v>Checking</v>
          </cell>
          <cell r="D356" t="str">
            <v>North County</v>
          </cell>
        </row>
        <row r="357">
          <cell r="A357" t="str">
            <v>Abhishek Kumar</v>
          </cell>
          <cell r="B357" t="str">
            <v>Checking</v>
          </cell>
          <cell r="D357" t="str">
            <v>Westside</v>
          </cell>
        </row>
        <row r="358">
          <cell r="A358" t="str">
            <v>Pramod Kumar</v>
          </cell>
          <cell r="B358" t="str">
            <v>CD</v>
          </cell>
          <cell r="D358" t="str">
            <v>Central</v>
          </cell>
        </row>
        <row r="359">
          <cell r="A359" t="str">
            <v>Ashok Kumar</v>
          </cell>
          <cell r="B359" t="str">
            <v>Savings</v>
          </cell>
          <cell r="D359" t="str">
            <v>Central</v>
          </cell>
        </row>
        <row r="360">
          <cell r="A360" t="str">
            <v>Praveen Kumar</v>
          </cell>
          <cell r="B360" t="str">
            <v>Savings</v>
          </cell>
          <cell r="D360" t="str">
            <v>Central</v>
          </cell>
        </row>
        <row r="361">
          <cell r="A361" t="str">
            <v>Praveen Kumar</v>
          </cell>
          <cell r="B361" t="str">
            <v>CD</v>
          </cell>
          <cell r="D361" t="str">
            <v>Westside</v>
          </cell>
        </row>
        <row r="362">
          <cell r="A362" t="str">
            <v>Ashok Kumar</v>
          </cell>
          <cell r="B362" t="str">
            <v>Savings</v>
          </cell>
          <cell r="D362" t="str">
            <v>Central</v>
          </cell>
        </row>
        <row r="363">
          <cell r="A363" t="str">
            <v>Ashok Kumar</v>
          </cell>
          <cell r="B363" t="str">
            <v>Savings</v>
          </cell>
          <cell r="D363" t="str">
            <v>Central</v>
          </cell>
        </row>
        <row r="364">
          <cell r="A364" t="str">
            <v>Varun Kumar</v>
          </cell>
          <cell r="B364" t="str">
            <v>Checking</v>
          </cell>
          <cell r="D364" t="str">
            <v>North County</v>
          </cell>
        </row>
        <row r="365">
          <cell r="A365" t="str">
            <v>Ashok Kumar</v>
          </cell>
          <cell r="B365" t="str">
            <v>IRA</v>
          </cell>
          <cell r="D365" t="str">
            <v>North County</v>
          </cell>
        </row>
        <row r="366">
          <cell r="A366" t="str">
            <v>Rahul Kumar</v>
          </cell>
          <cell r="B366" t="str">
            <v>Savings</v>
          </cell>
          <cell r="D366" t="str">
            <v>Central</v>
          </cell>
        </row>
        <row r="367">
          <cell r="A367" t="str">
            <v>Praveen Kumar</v>
          </cell>
          <cell r="B367" t="str">
            <v>CD</v>
          </cell>
          <cell r="D367" t="str">
            <v>Central</v>
          </cell>
        </row>
        <row r="368">
          <cell r="A368" t="str">
            <v>Ashok Kumar</v>
          </cell>
          <cell r="B368" t="str">
            <v>Savings</v>
          </cell>
          <cell r="D368" t="str">
            <v>Central</v>
          </cell>
        </row>
        <row r="369">
          <cell r="A369" t="str">
            <v>Varun Kumar</v>
          </cell>
          <cell r="B369" t="str">
            <v>Checking</v>
          </cell>
          <cell r="D369" t="str">
            <v>Westside</v>
          </cell>
        </row>
        <row r="370">
          <cell r="A370" t="str">
            <v>Ashok Kumar</v>
          </cell>
          <cell r="B370" t="str">
            <v>Checking</v>
          </cell>
          <cell r="D370" t="str">
            <v>Central</v>
          </cell>
        </row>
        <row r="371">
          <cell r="A371" t="str">
            <v>Varun Kumar</v>
          </cell>
          <cell r="B371" t="str">
            <v>Savings</v>
          </cell>
          <cell r="D371" t="str">
            <v>Westside</v>
          </cell>
        </row>
        <row r="372">
          <cell r="A372" t="str">
            <v>Rahul Kumar</v>
          </cell>
          <cell r="B372" t="str">
            <v>Savings</v>
          </cell>
          <cell r="D372" t="str">
            <v>Central</v>
          </cell>
        </row>
        <row r="373">
          <cell r="A373" t="str">
            <v>Rahul Kumar</v>
          </cell>
          <cell r="B373" t="str">
            <v>CD</v>
          </cell>
          <cell r="D373" t="str">
            <v>Westside</v>
          </cell>
        </row>
        <row r="374">
          <cell r="A374" t="str">
            <v>Abhishek Kumar</v>
          </cell>
          <cell r="B374" t="str">
            <v>Checking</v>
          </cell>
          <cell r="D374" t="str">
            <v>Central</v>
          </cell>
        </row>
        <row r="375">
          <cell r="A375" t="str">
            <v>Abhishek Kumar</v>
          </cell>
          <cell r="B375" t="str">
            <v>CD</v>
          </cell>
          <cell r="D375" t="str">
            <v>North County</v>
          </cell>
        </row>
        <row r="376">
          <cell r="A376" t="str">
            <v>Ashok Kumar</v>
          </cell>
          <cell r="B376" t="str">
            <v>Checking</v>
          </cell>
          <cell r="D376" t="str">
            <v>Westside</v>
          </cell>
        </row>
        <row r="377">
          <cell r="A377" t="str">
            <v>Rahul Kumar</v>
          </cell>
          <cell r="B377" t="str">
            <v>IRA</v>
          </cell>
          <cell r="D377" t="str">
            <v>Westside</v>
          </cell>
        </row>
        <row r="378">
          <cell r="A378" t="str">
            <v>Praveen Kumar</v>
          </cell>
          <cell r="B378" t="str">
            <v>Checking</v>
          </cell>
          <cell r="D378" t="str">
            <v>Central</v>
          </cell>
        </row>
        <row r="379">
          <cell r="A379" t="str">
            <v>Ashok Kumar</v>
          </cell>
          <cell r="B379" t="str">
            <v>Checking</v>
          </cell>
          <cell r="D379" t="str">
            <v>Westside</v>
          </cell>
        </row>
        <row r="380">
          <cell r="A380" t="str">
            <v>Rahul Kumar</v>
          </cell>
          <cell r="B380" t="str">
            <v>Checking</v>
          </cell>
          <cell r="D380" t="str">
            <v>Central</v>
          </cell>
        </row>
        <row r="381">
          <cell r="A381" t="str">
            <v>Rahul Kumar</v>
          </cell>
          <cell r="B381" t="str">
            <v>Checking</v>
          </cell>
          <cell r="D381" t="str">
            <v>Central</v>
          </cell>
        </row>
        <row r="382">
          <cell r="A382" t="str">
            <v>Praveen Kumar</v>
          </cell>
          <cell r="B382" t="str">
            <v>Savings</v>
          </cell>
          <cell r="D382" t="str">
            <v>North County</v>
          </cell>
        </row>
        <row r="383">
          <cell r="A383" t="str">
            <v>Arun Kumar</v>
          </cell>
          <cell r="B383" t="str">
            <v>CD</v>
          </cell>
          <cell r="D383" t="str">
            <v>Westside</v>
          </cell>
        </row>
        <row r="384">
          <cell r="A384" t="str">
            <v>Arun Kumar</v>
          </cell>
          <cell r="B384" t="str">
            <v>Savings</v>
          </cell>
          <cell r="D384" t="str">
            <v>North County</v>
          </cell>
        </row>
        <row r="385">
          <cell r="A385" t="str">
            <v>Arun Kumar</v>
          </cell>
          <cell r="B385" t="str">
            <v>Savings</v>
          </cell>
          <cell r="D385" t="str">
            <v>North County</v>
          </cell>
        </row>
        <row r="386">
          <cell r="A386" t="str">
            <v>Arun Kumar</v>
          </cell>
          <cell r="B386" t="str">
            <v>CD</v>
          </cell>
          <cell r="D386" t="str">
            <v>North County</v>
          </cell>
        </row>
        <row r="387">
          <cell r="A387" t="str">
            <v>Arun Kumar</v>
          </cell>
          <cell r="B387" t="str">
            <v>Checking</v>
          </cell>
          <cell r="D387" t="str">
            <v>Central</v>
          </cell>
        </row>
        <row r="388">
          <cell r="A388" t="str">
            <v>Abhishek Kumar</v>
          </cell>
          <cell r="B388" t="str">
            <v>Checking</v>
          </cell>
          <cell r="D388" t="str">
            <v>Central</v>
          </cell>
        </row>
        <row r="389">
          <cell r="A389" t="str">
            <v>Varun Kumar</v>
          </cell>
          <cell r="B389" t="str">
            <v>CD</v>
          </cell>
          <cell r="D389" t="str">
            <v>North County</v>
          </cell>
        </row>
        <row r="390">
          <cell r="A390" t="str">
            <v>Praveen Kumar</v>
          </cell>
          <cell r="B390" t="str">
            <v>Checking</v>
          </cell>
          <cell r="D390" t="str">
            <v>Westside</v>
          </cell>
        </row>
        <row r="391">
          <cell r="A391" t="str">
            <v>Abhishek Kumar</v>
          </cell>
          <cell r="B391" t="str">
            <v>Savings</v>
          </cell>
          <cell r="D391" t="str">
            <v>Westside</v>
          </cell>
        </row>
        <row r="392">
          <cell r="A392" t="str">
            <v>Pramod Kumar</v>
          </cell>
          <cell r="B392" t="str">
            <v>Savings</v>
          </cell>
          <cell r="D392" t="str">
            <v>Central</v>
          </cell>
        </row>
        <row r="393">
          <cell r="A393" t="str">
            <v>Ashok Kumar</v>
          </cell>
          <cell r="B393" t="str">
            <v>Checking</v>
          </cell>
          <cell r="D393" t="str">
            <v>Central</v>
          </cell>
        </row>
        <row r="394">
          <cell r="A394" t="str">
            <v>Praveen Kumar</v>
          </cell>
          <cell r="B394" t="str">
            <v>Checking</v>
          </cell>
          <cell r="D394" t="str">
            <v>Central</v>
          </cell>
        </row>
        <row r="395">
          <cell r="A395" t="str">
            <v>Praveen Kumar</v>
          </cell>
          <cell r="B395" t="str">
            <v>Checking</v>
          </cell>
          <cell r="D395" t="str">
            <v>North County</v>
          </cell>
        </row>
        <row r="396">
          <cell r="A396" t="str">
            <v>Ashok Kumar</v>
          </cell>
          <cell r="B396" t="str">
            <v>Savings</v>
          </cell>
          <cell r="D396" t="str">
            <v>Central</v>
          </cell>
        </row>
        <row r="397">
          <cell r="A397" t="str">
            <v>Ashok Kumar</v>
          </cell>
          <cell r="B397" t="str">
            <v>Checking</v>
          </cell>
          <cell r="D397" t="str">
            <v>Central</v>
          </cell>
        </row>
        <row r="398">
          <cell r="A398" t="str">
            <v>Varun Kumar</v>
          </cell>
          <cell r="B398" t="str">
            <v>Checking</v>
          </cell>
          <cell r="D398" t="str">
            <v>Central</v>
          </cell>
        </row>
        <row r="399">
          <cell r="A399" t="str">
            <v>Ashok Kumar</v>
          </cell>
          <cell r="B399" t="str">
            <v>Checking</v>
          </cell>
          <cell r="D399" t="str">
            <v>North County</v>
          </cell>
        </row>
        <row r="400">
          <cell r="A400" t="str">
            <v>Rahul Kumar</v>
          </cell>
          <cell r="B400" t="str">
            <v>CD</v>
          </cell>
          <cell r="D400" t="str">
            <v>Central</v>
          </cell>
        </row>
        <row r="401">
          <cell r="A401" t="str">
            <v>Praveen Kumar</v>
          </cell>
          <cell r="B401" t="str">
            <v>CD</v>
          </cell>
          <cell r="D401" t="str">
            <v>Central</v>
          </cell>
        </row>
        <row r="402">
          <cell r="A402" t="str">
            <v>Ashok Kumar</v>
          </cell>
          <cell r="B402" t="str">
            <v>Checking</v>
          </cell>
          <cell r="D402" t="str">
            <v>Central</v>
          </cell>
        </row>
        <row r="403">
          <cell r="A403" t="str">
            <v>Varun Kumar</v>
          </cell>
          <cell r="B403" t="str">
            <v>CD</v>
          </cell>
          <cell r="D403" t="str">
            <v>Westside</v>
          </cell>
        </row>
        <row r="404">
          <cell r="A404" t="str">
            <v>Ashok Kumar</v>
          </cell>
          <cell r="B404" t="str">
            <v>Checking</v>
          </cell>
          <cell r="D404" t="str">
            <v>Central</v>
          </cell>
        </row>
        <row r="405">
          <cell r="A405" t="str">
            <v>Varun Kumar</v>
          </cell>
          <cell r="B405" t="str">
            <v>Checking</v>
          </cell>
          <cell r="D405" t="str">
            <v>Central</v>
          </cell>
        </row>
        <row r="406">
          <cell r="A406" t="str">
            <v>Rahul Kumar</v>
          </cell>
          <cell r="B406" t="str">
            <v>CD</v>
          </cell>
          <cell r="D406" t="str">
            <v>Central</v>
          </cell>
        </row>
        <row r="407">
          <cell r="A407" t="str">
            <v>Rahul Kumar</v>
          </cell>
          <cell r="B407" t="str">
            <v>CD</v>
          </cell>
          <cell r="D407" t="str">
            <v>Central</v>
          </cell>
        </row>
        <row r="408">
          <cell r="A408" t="str">
            <v>Abhishek Kumar</v>
          </cell>
          <cell r="B408" t="str">
            <v>Savings</v>
          </cell>
          <cell r="D408" t="str">
            <v>Central</v>
          </cell>
        </row>
        <row r="409">
          <cell r="A409" t="str">
            <v>Abhishek Kumar</v>
          </cell>
          <cell r="B409" t="str">
            <v>Checking</v>
          </cell>
          <cell r="D409" t="str">
            <v>North County</v>
          </cell>
        </row>
        <row r="410">
          <cell r="A410" t="str">
            <v>Ashok Kumar</v>
          </cell>
          <cell r="B410" t="str">
            <v>Savings</v>
          </cell>
          <cell r="D410" t="str">
            <v>Westside</v>
          </cell>
        </row>
        <row r="411">
          <cell r="A411" t="str">
            <v>Rahul Kumar</v>
          </cell>
          <cell r="B411" t="str">
            <v>CD</v>
          </cell>
          <cell r="D411" t="str">
            <v>North County</v>
          </cell>
        </row>
        <row r="412">
          <cell r="A412" t="str">
            <v>Praveen Kumar</v>
          </cell>
          <cell r="B412" t="str">
            <v>Savings</v>
          </cell>
          <cell r="D412" t="str">
            <v>Central</v>
          </cell>
        </row>
        <row r="413">
          <cell r="A413" t="str">
            <v>Abhishek Kumar</v>
          </cell>
          <cell r="B413" t="str">
            <v>Savings</v>
          </cell>
          <cell r="D413" t="str">
            <v>North County</v>
          </cell>
        </row>
        <row r="414">
          <cell r="A414" t="str">
            <v>Varun Kumar</v>
          </cell>
          <cell r="B414" t="str">
            <v>CD</v>
          </cell>
          <cell r="D414" t="str">
            <v>Central</v>
          </cell>
        </row>
        <row r="415">
          <cell r="A415" t="str">
            <v>Praveen Kumar</v>
          </cell>
          <cell r="B415" t="str">
            <v>CD</v>
          </cell>
          <cell r="D415" t="str">
            <v>Central</v>
          </cell>
        </row>
        <row r="416">
          <cell r="A416" t="str">
            <v>Abhishek Kumar</v>
          </cell>
          <cell r="B416" t="str">
            <v>Checking</v>
          </cell>
          <cell r="D416" t="str">
            <v>North County</v>
          </cell>
        </row>
        <row r="417">
          <cell r="A417" t="str">
            <v>Pramod Kumar</v>
          </cell>
          <cell r="B417" t="str">
            <v>CD</v>
          </cell>
          <cell r="D417" t="str">
            <v>Central</v>
          </cell>
        </row>
        <row r="418">
          <cell r="A418" t="str">
            <v>Ashok Kumar</v>
          </cell>
          <cell r="B418" t="str">
            <v>CD</v>
          </cell>
          <cell r="D418" t="str">
            <v>Westside</v>
          </cell>
        </row>
        <row r="419">
          <cell r="A419" t="str">
            <v>Praveen Kumar</v>
          </cell>
          <cell r="B419" t="str">
            <v>Savings</v>
          </cell>
          <cell r="D419" t="str">
            <v>Westside</v>
          </cell>
        </row>
        <row r="420">
          <cell r="A420" t="str">
            <v>Praveen Kumar</v>
          </cell>
          <cell r="B420" t="str">
            <v>Checking</v>
          </cell>
          <cell r="D420" t="str">
            <v>Westside</v>
          </cell>
        </row>
        <row r="421">
          <cell r="A421" t="str">
            <v>Ashok Kumar</v>
          </cell>
          <cell r="B421" t="str">
            <v>CD</v>
          </cell>
          <cell r="D421" t="str">
            <v>Central</v>
          </cell>
        </row>
        <row r="422">
          <cell r="A422" t="str">
            <v>Ashok Kumar</v>
          </cell>
          <cell r="B422" t="str">
            <v>Savings</v>
          </cell>
          <cell r="D422" t="str">
            <v>Central</v>
          </cell>
        </row>
        <row r="423">
          <cell r="A423" t="str">
            <v>Varun Kumar</v>
          </cell>
          <cell r="B423" t="str">
            <v>Savings</v>
          </cell>
          <cell r="D423" t="str">
            <v>North County</v>
          </cell>
        </row>
        <row r="424">
          <cell r="A424" t="str">
            <v>Ashok Kumar</v>
          </cell>
          <cell r="B424" t="str">
            <v>Checking</v>
          </cell>
          <cell r="D424" t="str">
            <v>Central</v>
          </cell>
        </row>
        <row r="425">
          <cell r="A425" t="str">
            <v>Rahul Kumar</v>
          </cell>
          <cell r="B425" t="str">
            <v>Savings</v>
          </cell>
          <cell r="D425" t="str">
            <v>Westside</v>
          </cell>
        </row>
        <row r="426">
          <cell r="A426" t="str">
            <v>Praveen Kumar</v>
          </cell>
          <cell r="B426" t="str">
            <v>Savings</v>
          </cell>
          <cell r="D426" t="str">
            <v>Central</v>
          </cell>
        </row>
        <row r="427">
          <cell r="A427" t="str">
            <v>Ashok Kumar</v>
          </cell>
          <cell r="B427" t="str">
            <v>CD</v>
          </cell>
          <cell r="D427" t="str">
            <v>North County</v>
          </cell>
        </row>
        <row r="428">
          <cell r="A428" t="str">
            <v>Varun Kumar</v>
          </cell>
          <cell r="B428" t="str">
            <v>Checking</v>
          </cell>
          <cell r="D428" t="str">
            <v>North County</v>
          </cell>
        </row>
        <row r="429">
          <cell r="A429" t="str">
            <v>Ashok Kumar</v>
          </cell>
          <cell r="B429" t="str">
            <v>Checking</v>
          </cell>
          <cell r="D429" t="str">
            <v>North County</v>
          </cell>
        </row>
        <row r="430">
          <cell r="A430" t="str">
            <v>Varun Kumar</v>
          </cell>
          <cell r="B430" t="str">
            <v>Checking</v>
          </cell>
          <cell r="D430" t="str">
            <v>Central</v>
          </cell>
        </row>
        <row r="431">
          <cell r="A431" t="str">
            <v>Rahul Kumar</v>
          </cell>
          <cell r="B431" t="str">
            <v>CD</v>
          </cell>
          <cell r="D431" t="str">
            <v>Westside</v>
          </cell>
        </row>
        <row r="432">
          <cell r="A432" t="str">
            <v>Rahul Kumar</v>
          </cell>
          <cell r="B432" t="str">
            <v>CD</v>
          </cell>
          <cell r="D432" t="str">
            <v>Westside</v>
          </cell>
        </row>
        <row r="433">
          <cell r="A433" t="str">
            <v>Abhishek Kumar</v>
          </cell>
          <cell r="B433" t="str">
            <v>Checking</v>
          </cell>
          <cell r="D433" t="str">
            <v>Central</v>
          </cell>
        </row>
        <row r="434">
          <cell r="A434" t="str">
            <v>Abhishek Kumar</v>
          </cell>
          <cell r="B434" t="str">
            <v>CD</v>
          </cell>
          <cell r="D434" t="str">
            <v>North County</v>
          </cell>
        </row>
        <row r="435">
          <cell r="A435" t="str">
            <v>Ashok Kumar</v>
          </cell>
          <cell r="B435" t="str">
            <v>Savings</v>
          </cell>
          <cell r="D435" t="str">
            <v>North County</v>
          </cell>
        </row>
        <row r="436">
          <cell r="A436" t="str">
            <v>Rahul Kumar</v>
          </cell>
          <cell r="B436" t="str">
            <v>Savings</v>
          </cell>
          <cell r="D436" t="str">
            <v>Central</v>
          </cell>
        </row>
        <row r="437">
          <cell r="A437" t="str">
            <v>Praveen Kumar</v>
          </cell>
          <cell r="B437" t="str">
            <v>IRA</v>
          </cell>
          <cell r="D437" t="str">
            <v>Central</v>
          </cell>
        </row>
        <row r="438">
          <cell r="A438" t="str">
            <v>Praveen Kumar</v>
          </cell>
          <cell r="B438" t="str">
            <v>CD</v>
          </cell>
          <cell r="D438" t="str">
            <v>North County</v>
          </cell>
        </row>
        <row r="439">
          <cell r="A439" t="str">
            <v>Abhishek Kumar</v>
          </cell>
          <cell r="B439" t="str">
            <v>Savings</v>
          </cell>
          <cell r="D439" t="str">
            <v>Westside</v>
          </cell>
        </row>
        <row r="440">
          <cell r="A440" t="str">
            <v>Pramod Kumar</v>
          </cell>
          <cell r="B440" t="str">
            <v>Savings</v>
          </cell>
          <cell r="D440" t="str">
            <v>Central</v>
          </cell>
        </row>
        <row r="441">
          <cell r="A441" t="str">
            <v>Ashok Kumar</v>
          </cell>
          <cell r="B441" t="str">
            <v>CD</v>
          </cell>
          <cell r="D441" t="str">
            <v>North County</v>
          </cell>
        </row>
        <row r="442">
          <cell r="A442" t="str">
            <v>Praveen Kumar</v>
          </cell>
          <cell r="B442" t="str">
            <v>Checking</v>
          </cell>
          <cell r="D442" t="str">
            <v>Central</v>
          </cell>
        </row>
        <row r="443">
          <cell r="A443" t="str">
            <v>Ashok Kumar</v>
          </cell>
          <cell r="B443" t="str">
            <v>CD</v>
          </cell>
          <cell r="D443" t="str">
            <v>Central</v>
          </cell>
        </row>
        <row r="444">
          <cell r="A444" t="str">
            <v>Rahul Kumar</v>
          </cell>
          <cell r="B444" t="str">
            <v>Checking</v>
          </cell>
          <cell r="D444" t="str">
            <v>North County</v>
          </cell>
        </row>
        <row r="445">
          <cell r="A445" t="str">
            <v>Ashok Kumar</v>
          </cell>
          <cell r="B445" t="str">
            <v>CD</v>
          </cell>
          <cell r="D445" t="str">
            <v>Central</v>
          </cell>
        </row>
        <row r="446">
          <cell r="A446" t="str">
            <v>Abhishek Kumar</v>
          </cell>
          <cell r="B446" t="str">
            <v>Savings</v>
          </cell>
          <cell r="D446" t="str">
            <v>Central</v>
          </cell>
        </row>
        <row r="447">
          <cell r="A447" t="str">
            <v>Praveen Kumar</v>
          </cell>
          <cell r="B447" t="str">
            <v>Savings</v>
          </cell>
          <cell r="D447" t="str">
            <v>Central</v>
          </cell>
        </row>
        <row r="448">
          <cell r="A448" t="str">
            <v>Rahul Kumar</v>
          </cell>
          <cell r="B448" t="str">
            <v>Checking</v>
          </cell>
          <cell r="D448" t="str">
            <v>North County</v>
          </cell>
        </row>
        <row r="449">
          <cell r="A449" t="str">
            <v>Pramod Kumar</v>
          </cell>
          <cell r="B449" t="str">
            <v>Checking</v>
          </cell>
          <cell r="D449" t="str">
            <v>Westside</v>
          </cell>
        </row>
        <row r="450">
          <cell r="A450" t="str">
            <v>Varun Kumar</v>
          </cell>
          <cell r="B450" t="str">
            <v>IRA</v>
          </cell>
          <cell r="D450" t="str">
            <v>North County</v>
          </cell>
        </row>
        <row r="451">
          <cell r="A451" t="str">
            <v>Abhishek Kumar</v>
          </cell>
          <cell r="B451" t="str">
            <v>Savings</v>
          </cell>
          <cell r="D451" t="str">
            <v>North County</v>
          </cell>
        </row>
        <row r="452">
          <cell r="A452" t="str">
            <v>Ashok Kumar</v>
          </cell>
          <cell r="B452" t="str">
            <v>CD</v>
          </cell>
          <cell r="D452" t="str">
            <v>North County</v>
          </cell>
        </row>
        <row r="453">
          <cell r="A453" t="str">
            <v>Praveen Kumar</v>
          </cell>
          <cell r="B453" t="str">
            <v>Savings</v>
          </cell>
          <cell r="D453" t="str">
            <v>Central</v>
          </cell>
        </row>
        <row r="454">
          <cell r="A454" t="str">
            <v>Abhishek Kumar</v>
          </cell>
          <cell r="B454" t="str">
            <v>Savings</v>
          </cell>
          <cell r="D454" t="str">
            <v>Central</v>
          </cell>
        </row>
        <row r="455">
          <cell r="A455" t="str">
            <v>Abhishek Kumar</v>
          </cell>
          <cell r="B455" t="str">
            <v>CD</v>
          </cell>
          <cell r="D455" t="str">
            <v>Westside</v>
          </cell>
        </row>
        <row r="456">
          <cell r="A456" t="str">
            <v>Ashok Kumar</v>
          </cell>
          <cell r="B456" t="str">
            <v>CD</v>
          </cell>
          <cell r="D456" t="str">
            <v>Central</v>
          </cell>
        </row>
        <row r="457">
          <cell r="A457" t="str">
            <v>Ashok Kumar</v>
          </cell>
          <cell r="B457" t="str">
            <v>Checking</v>
          </cell>
          <cell r="D457" t="str">
            <v>Westside</v>
          </cell>
        </row>
        <row r="458">
          <cell r="A458" t="str">
            <v>Varun Kumar</v>
          </cell>
          <cell r="B458" t="str">
            <v>CD</v>
          </cell>
          <cell r="D458" t="str">
            <v>Central</v>
          </cell>
        </row>
        <row r="459">
          <cell r="A459" t="str">
            <v>Abhishek Kumar</v>
          </cell>
          <cell r="B459" t="str">
            <v>Checking</v>
          </cell>
          <cell r="D459" t="str">
            <v>North County</v>
          </cell>
        </row>
        <row r="460">
          <cell r="A460" t="str">
            <v>Ashok Kumar</v>
          </cell>
          <cell r="B460" t="str">
            <v>Checking</v>
          </cell>
          <cell r="D460" t="str">
            <v>Westside</v>
          </cell>
        </row>
        <row r="461">
          <cell r="A461" t="str">
            <v>Ashok Kumar</v>
          </cell>
          <cell r="B461" t="str">
            <v>Checking</v>
          </cell>
          <cell r="D461" t="str">
            <v>Central</v>
          </cell>
        </row>
        <row r="462">
          <cell r="A462" t="str">
            <v>Praveen Kumar</v>
          </cell>
          <cell r="B462" t="str">
            <v>CD</v>
          </cell>
          <cell r="D462" t="str">
            <v>Westside</v>
          </cell>
        </row>
        <row r="463">
          <cell r="A463" t="str">
            <v>Abhishek Kumar</v>
          </cell>
          <cell r="B463" t="str">
            <v>CD</v>
          </cell>
          <cell r="D463" t="str">
            <v>Central</v>
          </cell>
        </row>
        <row r="464">
          <cell r="A464" t="str">
            <v>Rahul Kumar</v>
          </cell>
          <cell r="B464" t="str">
            <v>Checking</v>
          </cell>
          <cell r="D464" t="str">
            <v>Central</v>
          </cell>
        </row>
        <row r="465">
          <cell r="A465" t="str">
            <v>Rahul Kumar</v>
          </cell>
          <cell r="B465" t="str">
            <v>CD</v>
          </cell>
          <cell r="D465" t="str">
            <v>North County</v>
          </cell>
        </row>
        <row r="466">
          <cell r="A466" t="str">
            <v>Ashok Kumar</v>
          </cell>
          <cell r="B466" t="str">
            <v>Checking</v>
          </cell>
          <cell r="D466" t="str">
            <v>North County</v>
          </cell>
        </row>
        <row r="467">
          <cell r="A467" t="str">
            <v>Varun Kumar</v>
          </cell>
          <cell r="B467" t="str">
            <v>Checking</v>
          </cell>
          <cell r="D467" t="str">
            <v>Central</v>
          </cell>
        </row>
        <row r="468">
          <cell r="A468" t="str">
            <v>Varun Kumar</v>
          </cell>
          <cell r="B468" t="str">
            <v>Checking</v>
          </cell>
          <cell r="D468" t="str">
            <v>Central</v>
          </cell>
        </row>
        <row r="469">
          <cell r="A469" t="str">
            <v>Varun Kumar</v>
          </cell>
          <cell r="B469" t="str">
            <v>Checking</v>
          </cell>
          <cell r="D469" t="str">
            <v>Central</v>
          </cell>
        </row>
        <row r="470">
          <cell r="A470" t="str">
            <v>Ashok Kumar</v>
          </cell>
          <cell r="B470" t="str">
            <v>Savings</v>
          </cell>
          <cell r="D470" t="str">
            <v>Central</v>
          </cell>
        </row>
        <row r="471">
          <cell r="A471" t="str">
            <v>Rahul Kumar</v>
          </cell>
          <cell r="B471" t="str">
            <v>CD</v>
          </cell>
          <cell r="D471" t="str">
            <v>Central</v>
          </cell>
        </row>
        <row r="472">
          <cell r="A472" t="str">
            <v>Rahul Kumar</v>
          </cell>
          <cell r="B472" t="str">
            <v>CD</v>
          </cell>
          <cell r="D472" t="str">
            <v>North County</v>
          </cell>
        </row>
        <row r="473">
          <cell r="A473" t="str">
            <v>Ashok Kumar</v>
          </cell>
          <cell r="B473" t="str">
            <v>CD</v>
          </cell>
          <cell r="D473" t="str">
            <v>North County</v>
          </cell>
        </row>
        <row r="474">
          <cell r="A474" t="str">
            <v>Ashok Kumar</v>
          </cell>
          <cell r="B474" t="str">
            <v>Savings</v>
          </cell>
          <cell r="D474" t="str">
            <v>North County</v>
          </cell>
        </row>
        <row r="475">
          <cell r="A475" t="str">
            <v>Ashok Kumar</v>
          </cell>
          <cell r="B475" t="str">
            <v>Checking</v>
          </cell>
          <cell r="D475" t="str">
            <v>North County</v>
          </cell>
        </row>
        <row r="476">
          <cell r="A476" t="str">
            <v>Abhishek Kumar</v>
          </cell>
          <cell r="B476" t="str">
            <v>Checking</v>
          </cell>
          <cell r="D476" t="str">
            <v>Central</v>
          </cell>
        </row>
        <row r="477">
          <cell r="A477" t="str">
            <v>Rahul Kumar</v>
          </cell>
          <cell r="B477" t="str">
            <v>Savings</v>
          </cell>
          <cell r="D477" t="str">
            <v>Westside</v>
          </cell>
        </row>
        <row r="478">
          <cell r="A478" t="str">
            <v>Rahul Kumar</v>
          </cell>
          <cell r="B478" t="str">
            <v>Savings</v>
          </cell>
          <cell r="D478" t="str">
            <v>Central</v>
          </cell>
        </row>
        <row r="479">
          <cell r="A479" t="str">
            <v>Rahul Kumar</v>
          </cell>
          <cell r="B479" t="str">
            <v>Savings</v>
          </cell>
          <cell r="D479" t="str">
            <v>Central</v>
          </cell>
        </row>
        <row r="480">
          <cell r="A480" t="str">
            <v>Varun Kumar</v>
          </cell>
          <cell r="B480" t="str">
            <v>Savings</v>
          </cell>
          <cell r="D480" t="str">
            <v>Westside</v>
          </cell>
        </row>
        <row r="481">
          <cell r="A481" t="str">
            <v>Varun Kumar</v>
          </cell>
          <cell r="B481" t="str">
            <v>Checking</v>
          </cell>
          <cell r="D481" t="str">
            <v>Central</v>
          </cell>
        </row>
        <row r="482">
          <cell r="A482" t="str">
            <v>Varun Kumar</v>
          </cell>
          <cell r="B482" t="str">
            <v>Checking</v>
          </cell>
          <cell r="D482" t="str">
            <v>Central</v>
          </cell>
        </row>
        <row r="483">
          <cell r="A483" t="str">
            <v>Rahul Kumar</v>
          </cell>
          <cell r="B483" t="str">
            <v>Savings</v>
          </cell>
          <cell r="D483" t="str">
            <v>North County</v>
          </cell>
        </row>
        <row r="484">
          <cell r="A484" t="str">
            <v>Rahul Kumar</v>
          </cell>
          <cell r="B484" t="str">
            <v>Checking</v>
          </cell>
          <cell r="D484" t="str">
            <v>Westside</v>
          </cell>
        </row>
        <row r="485">
          <cell r="A485" t="str">
            <v>Ashok Kumar</v>
          </cell>
          <cell r="B485" t="str">
            <v>Savings</v>
          </cell>
          <cell r="D485" t="str">
            <v>Central</v>
          </cell>
        </row>
        <row r="486">
          <cell r="A486" t="str">
            <v>Ashok Kumar</v>
          </cell>
          <cell r="B486" t="str">
            <v>Savings</v>
          </cell>
          <cell r="D486" t="str">
            <v>North County</v>
          </cell>
        </row>
        <row r="487">
          <cell r="A487" t="str">
            <v>Ashok Kumar</v>
          </cell>
          <cell r="B487" t="str">
            <v>Checking</v>
          </cell>
          <cell r="D487" t="str">
            <v>Westside</v>
          </cell>
        </row>
        <row r="488">
          <cell r="A488" t="str">
            <v>Abhishek Kumar</v>
          </cell>
          <cell r="B488" t="str">
            <v>Savings</v>
          </cell>
          <cell r="D488" t="str">
            <v>Central</v>
          </cell>
        </row>
        <row r="489">
          <cell r="A489" t="str">
            <v>Abhishek Kumar</v>
          </cell>
          <cell r="B489" t="str">
            <v>Checking</v>
          </cell>
          <cell r="D489" t="str">
            <v>Westside</v>
          </cell>
        </row>
        <row r="490">
          <cell r="A490" t="str">
            <v>Abhishek Kumar</v>
          </cell>
          <cell r="B490" t="str">
            <v>Savings</v>
          </cell>
          <cell r="D490" t="str">
            <v>North County</v>
          </cell>
        </row>
        <row r="491">
          <cell r="A491" t="str">
            <v>Abhishek Kumar</v>
          </cell>
          <cell r="B491" t="str">
            <v>Checking</v>
          </cell>
          <cell r="D491" t="str">
            <v>Westside</v>
          </cell>
        </row>
        <row r="492">
          <cell r="A492" t="str">
            <v>Varun Kumar</v>
          </cell>
          <cell r="B492" t="str">
            <v>Checking</v>
          </cell>
          <cell r="D492" t="str">
            <v>Central</v>
          </cell>
        </row>
        <row r="493">
          <cell r="A493" t="str">
            <v>Varun Kumar</v>
          </cell>
          <cell r="B493" t="str">
            <v>IRA</v>
          </cell>
          <cell r="D493" t="str">
            <v>North County</v>
          </cell>
        </row>
        <row r="494">
          <cell r="A494" t="str">
            <v>Varun Kumar</v>
          </cell>
          <cell r="B494" t="str">
            <v>Savings</v>
          </cell>
          <cell r="D494" t="str">
            <v>Westside</v>
          </cell>
        </row>
        <row r="495">
          <cell r="A495" t="str">
            <v>Varun Kumar</v>
          </cell>
          <cell r="B495" t="str">
            <v>Checking</v>
          </cell>
          <cell r="D495" t="str">
            <v>Westside</v>
          </cell>
        </row>
        <row r="496">
          <cell r="A496" t="str">
            <v>Ashok Kumar</v>
          </cell>
          <cell r="B496" t="str">
            <v>IRA</v>
          </cell>
          <cell r="D496" t="str">
            <v>North County</v>
          </cell>
        </row>
        <row r="497">
          <cell r="A497" t="str">
            <v>Ashok Kumar</v>
          </cell>
          <cell r="B497" t="str">
            <v>CD</v>
          </cell>
          <cell r="D497" t="str">
            <v>Central</v>
          </cell>
        </row>
        <row r="498">
          <cell r="A498" t="str">
            <v>Ashok Kumar</v>
          </cell>
          <cell r="B498" t="str">
            <v>Checking</v>
          </cell>
          <cell r="D498" t="str">
            <v>Central</v>
          </cell>
        </row>
        <row r="499">
          <cell r="A499" t="str">
            <v>Ashok Kumar</v>
          </cell>
          <cell r="B499" t="str">
            <v>CD</v>
          </cell>
          <cell r="D499" t="str">
            <v>North County</v>
          </cell>
        </row>
        <row r="500">
          <cell r="A500" t="str">
            <v>Varun Kumar</v>
          </cell>
          <cell r="B500" t="str">
            <v>CD</v>
          </cell>
          <cell r="D500" t="str">
            <v>Central</v>
          </cell>
        </row>
        <row r="501">
          <cell r="A501" t="str">
            <v>Varun Kumar</v>
          </cell>
          <cell r="B501" t="str">
            <v>Savings</v>
          </cell>
          <cell r="D501" t="str">
            <v>North County</v>
          </cell>
        </row>
        <row r="502">
          <cell r="A502" t="str">
            <v>Ashok Kumar</v>
          </cell>
          <cell r="B502" t="str">
            <v>Savings</v>
          </cell>
          <cell r="D502" t="str">
            <v>Westside</v>
          </cell>
        </row>
        <row r="503">
          <cell r="A503" t="str">
            <v>Abhishek Kumar</v>
          </cell>
          <cell r="B503" t="str">
            <v>Savings</v>
          </cell>
          <cell r="D503" t="str">
            <v>Central</v>
          </cell>
        </row>
        <row r="504">
          <cell r="A504" t="str">
            <v>Abhishek Kumar</v>
          </cell>
          <cell r="B504" t="str">
            <v>Savings</v>
          </cell>
          <cell r="D504" t="str">
            <v>North County</v>
          </cell>
        </row>
        <row r="505">
          <cell r="A505" t="str">
            <v>Ashok Kumar</v>
          </cell>
          <cell r="B505" t="str">
            <v>Savings</v>
          </cell>
          <cell r="D505" t="str">
            <v>Central</v>
          </cell>
        </row>
        <row r="506">
          <cell r="A506" t="str">
            <v>Abhishek Kumar</v>
          </cell>
          <cell r="B506" t="str">
            <v>Checking</v>
          </cell>
          <cell r="D506" t="str">
            <v>Central</v>
          </cell>
        </row>
        <row r="507">
          <cell r="A507" t="str">
            <v>Abhishek Kumar</v>
          </cell>
          <cell r="B507" t="str">
            <v>CD</v>
          </cell>
          <cell r="D507" t="str">
            <v>Westside</v>
          </cell>
        </row>
        <row r="508">
          <cell r="A508" t="str">
            <v>Praveen Kumar</v>
          </cell>
          <cell r="B508" t="str">
            <v>CD</v>
          </cell>
          <cell r="D508" t="str">
            <v>Central</v>
          </cell>
        </row>
        <row r="509">
          <cell r="A509" t="str">
            <v>Abhishek Kumar</v>
          </cell>
          <cell r="B509" t="str">
            <v>Checking</v>
          </cell>
          <cell r="D509" t="str">
            <v>Central</v>
          </cell>
        </row>
        <row r="510">
          <cell r="A510" t="str">
            <v>Pramod Kumar</v>
          </cell>
          <cell r="B510" t="str">
            <v>Savings</v>
          </cell>
          <cell r="D510" t="str">
            <v>Central</v>
          </cell>
        </row>
        <row r="511">
          <cell r="A511" t="str">
            <v>Ashok Kumar</v>
          </cell>
          <cell r="B511" t="str">
            <v>Checking</v>
          </cell>
          <cell r="D511" t="str">
            <v>Central</v>
          </cell>
        </row>
        <row r="512">
          <cell r="A512" t="str">
            <v>Praveen Kumar</v>
          </cell>
          <cell r="B512" t="str">
            <v>CD</v>
          </cell>
          <cell r="D512" t="str">
            <v>Westside</v>
          </cell>
        </row>
        <row r="513">
          <cell r="A513" t="str">
            <v>Ashok Kumar</v>
          </cell>
          <cell r="B513" t="str">
            <v>Savings</v>
          </cell>
          <cell r="D513" t="str">
            <v>North County</v>
          </cell>
        </row>
        <row r="514">
          <cell r="A514" t="str">
            <v>Rahul Kumar</v>
          </cell>
          <cell r="B514" t="str">
            <v>Savings</v>
          </cell>
          <cell r="D514" t="str">
            <v>Central</v>
          </cell>
        </row>
        <row r="515">
          <cell r="A515" t="str">
            <v>Ashok Kumar</v>
          </cell>
          <cell r="B515" t="str">
            <v>Savings</v>
          </cell>
          <cell r="D515" t="str">
            <v>North County</v>
          </cell>
        </row>
        <row r="516">
          <cell r="A516" t="str">
            <v>Abhishek Kumar</v>
          </cell>
          <cell r="B516" t="str">
            <v>Checking</v>
          </cell>
          <cell r="D516" t="str">
            <v>Central</v>
          </cell>
        </row>
        <row r="517">
          <cell r="A517" t="str">
            <v>Praveen Kumar</v>
          </cell>
          <cell r="B517" t="str">
            <v>Checking</v>
          </cell>
          <cell r="D517" t="str">
            <v>North County</v>
          </cell>
        </row>
        <row r="518">
          <cell r="A518" t="str">
            <v>Rahul Kumar</v>
          </cell>
          <cell r="B518" t="str">
            <v>Checking</v>
          </cell>
          <cell r="D518" t="str">
            <v>Central</v>
          </cell>
        </row>
        <row r="519">
          <cell r="A519" t="str">
            <v>Pramod Kumar</v>
          </cell>
          <cell r="B519" t="str">
            <v>Checking</v>
          </cell>
          <cell r="D519" t="str">
            <v>Central</v>
          </cell>
        </row>
        <row r="520">
          <cell r="A520" t="str">
            <v>Varun Kumar</v>
          </cell>
          <cell r="B520" t="str">
            <v>Checking</v>
          </cell>
          <cell r="D520" t="str">
            <v>North County</v>
          </cell>
        </row>
        <row r="521">
          <cell r="A521" t="str">
            <v>Abhishek Kumar</v>
          </cell>
          <cell r="B521" t="str">
            <v>Checking</v>
          </cell>
          <cell r="D521" t="str">
            <v>Central</v>
          </cell>
        </row>
        <row r="522">
          <cell r="A522" t="str">
            <v>Ashok Kumar</v>
          </cell>
          <cell r="B522" t="str">
            <v>Savings</v>
          </cell>
          <cell r="D522" t="str">
            <v>Central</v>
          </cell>
        </row>
        <row r="523">
          <cell r="A523" t="str">
            <v>Praveen Kumar</v>
          </cell>
          <cell r="B523" t="str">
            <v>CD</v>
          </cell>
          <cell r="D523" t="str">
            <v>Central</v>
          </cell>
        </row>
        <row r="524">
          <cell r="A524" t="str">
            <v>Abhishek Kumar</v>
          </cell>
          <cell r="B524" t="str">
            <v>Savings</v>
          </cell>
          <cell r="D524" t="str">
            <v>Central</v>
          </cell>
        </row>
        <row r="525">
          <cell r="A525" t="str">
            <v>Abhishek Kumar</v>
          </cell>
          <cell r="B525" t="str">
            <v>CD</v>
          </cell>
          <cell r="D525" t="str">
            <v>Central</v>
          </cell>
        </row>
        <row r="526">
          <cell r="A526" t="str">
            <v>Ashok Kumar</v>
          </cell>
          <cell r="B526" t="str">
            <v>Checking</v>
          </cell>
          <cell r="D526" t="str">
            <v>Westside</v>
          </cell>
        </row>
        <row r="527">
          <cell r="A527" t="str">
            <v>Ashok Kumar</v>
          </cell>
          <cell r="B527" t="str">
            <v>Checking</v>
          </cell>
          <cell r="D527" t="str">
            <v>Central</v>
          </cell>
        </row>
        <row r="528">
          <cell r="A528" t="str">
            <v>Varun Kumar</v>
          </cell>
          <cell r="B528" t="str">
            <v>Savings</v>
          </cell>
          <cell r="D528" t="str">
            <v>North County</v>
          </cell>
        </row>
        <row r="529">
          <cell r="A529" t="str">
            <v>Abhishek Kumar</v>
          </cell>
          <cell r="B529" t="str">
            <v>CD</v>
          </cell>
          <cell r="D529" t="str">
            <v>Central</v>
          </cell>
        </row>
        <row r="530">
          <cell r="A530" t="str">
            <v>Ashok Kumar</v>
          </cell>
          <cell r="B530" t="str">
            <v>IRA</v>
          </cell>
          <cell r="D530" t="str">
            <v>Central</v>
          </cell>
        </row>
        <row r="531">
          <cell r="A531" t="str">
            <v>Ashok Kumar</v>
          </cell>
          <cell r="B531" t="str">
            <v>Savings</v>
          </cell>
          <cell r="D531" t="str">
            <v>North County</v>
          </cell>
        </row>
        <row r="532">
          <cell r="A532" t="str">
            <v>Praveen Kumar</v>
          </cell>
          <cell r="B532" t="str">
            <v>Checking</v>
          </cell>
          <cell r="D532" t="str">
            <v>North County</v>
          </cell>
        </row>
        <row r="533">
          <cell r="A533" t="str">
            <v>Abhishek Kumar</v>
          </cell>
          <cell r="B533" t="str">
            <v>Checking</v>
          </cell>
          <cell r="D533" t="str">
            <v>Westside</v>
          </cell>
        </row>
        <row r="534">
          <cell r="A534" t="str">
            <v>Rahul Kumar</v>
          </cell>
          <cell r="B534" t="str">
            <v>Checking</v>
          </cell>
          <cell r="D534" t="str">
            <v>Westside</v>
          </cell>
        </row>
        <row r="535">
          <cell r="A535" t="str">
            <v>Rahul Kumar</v>
          </cell>
          <cell r="B535" t="str">
            <v>Checking</v>
          </cell>
          <cell r="D535" t="str">
            <v>Central</v>
          </cell>
        </row>
        <row r="536">
          <cell r="A536" t="str">
            <v>Ashok Kumar</v>
          </cell>
          <cell r="B536" t="str">
            <v>CD</v>
          </cell>
          <cell r="D536" t="str">
            <v>North County</v>
          </cell>
        </row>
        <row r="537">
          <cell r="A537" t="str">
            <v>Varun Kumar</v>
          </cell>
          <cell r="B537" t="str">
            <v>CD</v>
          </cell>
          <cell r="D537" t="str">
            <v>Westside</v>
          </cell>
        </row>
        <row r="538">
          <cell r="A538" t="str">
            <v>Varun Kumar</v>
          </cell>
          <cell r="B538" t="str">
            <v>Savings</v>
          </cell>
          <cell r="D538" t="str">
            <v>Central</v>
          </cell>
        </row>
        <row r="539">
          <cell r="A539" t="str">
            <v>Varun Kumar</v>
          </cell>
          <cell r="B539" t="str">
            <v>CD</v>
          </cell>
          <cell r="D539" t="str">
            <v>North County</v>
          </cell>
        </row>
        <row r="540">
          <cell r="A540" t="str">
            <v>Ashok Kumar</v>
          </cell>
          <cell r="B540" t="str">
            <v>Checking</v>
          </cell>
          <cell r="D540" t="str">
            <v>North County</v>
          </cell>
        </row>
        <row r="541">
          <cell r="A541" t="str">
            <v>Rahul Kumar</v>
          </cell>
          <cell r="B541" t="str">
            <v>Checking</v>
          </cell>
          <cell r="D541" t="str">
            <v>Westside</v>
          </cell>
        </row>
        <row r="542">
          <cell r="A542" t="str">
            <v>Rahul Kumar</v>
          </cell>
          <cell r="B542" t="str">
            <v>CD</v>
          </cell>
          <cell r="D542" t="str">
            <v>Central</v>
          </cell>
        </row>
        <row r="543">
          <cell r="A543" t="str">
            <v>Ashok Kumar</v>
          </cell>
          <cell r="B543" t="str">
            <v>Savings</v>
          </cell>
          <cell r="D543" t="str">
            <v>North County</v>
          </cell>
        </row>
        <row r="544">
          <cell r="A544" t="str">
            <v>Ashok Kumar</v>
          </cell>
          <cell r="B544" t="str">
            <v>Savings</v>
          </cell>
          <cell r="D544" t="str">
            <v>Central</v>
          </cell>
        </row>
        <row r="545">
          <cell r="A545" t="str">
            <v>Ashok Kumar</v>
          </cell>
          <cell r="B545" t="str">
            <v>CD</v>
          </cell>
          <cell r="D545" t="str">
            <v>Westside</v>
          </cell>
        </row>
        <row r="546">
          <cell r="A546" t="str">
            <v>Abhishek Kumar</v>
          </cell>
          <cell r="B546" t="str">
            <v>Savings</v>
          </cell>
          <cell r="D546" t="str">
            <v>Central</v>
          </cell>
        </row>
        <row r="547">
          <cell r="A547" t="str">
            <v>Rahul Kumar</v>
          </cell>
          <cell r="B547" t="str">
            <v>Checking</v>
          </cell>
          <cell r="D547" t="str">
            <v>Central</v>
          </cell>
        </row>
        <row r="548">
          <cell r="A548" t="str">
            <v>Rahul Kumar</v>
          </cell>
          <cell r="B548" t="str">
            <v>Checking</v>
          </cell>
          <cell r="D548" t="str">
            <v>Westside</v>
          </cell>
        </row>
        <row r="549">
          <cell r="A549" t="str">
            <v>Rahul Kumar</v>
          </cell>
          <cell r="B549" t="str">
            <v>Savings</v>
          </cell>
          <cell r="D549" t="str">
            <v>Central</v>
          </cell>
        </row>
        <row r="550">
          <cell r="A550" t="str">
            <v>Varun Kumar</v>
          </cell>
          <cell r="B550" t="str">
            <v>Savings</v>
          </cell>
          <cell r="D550" t="str">
            <v>Westside</v>
          </cell>
        </row>
        <row r="551">
          <cell r="A551" t="str">
            <v>Varun Kumar</v>
          </cell>
          <cell r="B551" t="str">
            <v>CD</v>
          </cell>
          <cell r="D551" t="str">
            <v>North County</v>
          </cell>
        </row>
        <row r="552">
          <cell r="A552" t="str">
            <v>Varun Kumar</v>
          </cell>
          <cell r="B552" t="str">
            <v>Checking</v>
          </cell>
          <cell r="D552" t="str">
            <v>Central</v>
          </cell>
        </row>
        <row r="553">
          <cell r="A553" t="str">
            <v>Rahul Kumar</v>
          </cell>
          <cell r="B553" t="str">
            <v>CD</v>
          </cell>
          <cell r="D553" t="str">
            <v>Westside</v>
          </cell>
        </row>
        <row r="554">
          <cell r="A554" t="str">
            <v>Rahul Kumar</v>
          </cell>
          <cell r="B554" t="str">
            <v>CD</v>
          </cell>
          <cell r="D554" t="str">
            <v>Central</v>
          </cell>
        </row>
        <row r="555">
          <cell r="A555" t="str">
            <v>Ashok Kumar</v>
          </cell>
          <cell r="B555" t="str">
            <v>Savings</v>
          </cell>
          <cell r="D555" t="str">
            <v>North County</v>
          </cell>
        </row>
        <row r="556">
          <cell r="A556" t="str">
            <v>Ashok Kumar</v>
          </cell>
          <cell r="B556" t="str">
            <v>Savings</v>
          </cell>
          <cell r="D556" t="str">
            <v>Westside</v>
          </cell>
        </row>
        <row r="557">
          <cell r="A557" t="str">
            <v>Ashok Kumar</v>
          </cell>
          <cell r="B557" t="str">
            <v>Savings</v>
          </cell>
          <cell r="D557" t="str">
            <v>Central</v>
          </cell>
        </row>
        <row r="558">
          <cell r="A558" t="str">
            <v>Abhishek Kumar</v>
          </cell>
          <cell r="B558" t="str">
            <v>CD</v>
          </cell>
          <cell r="D558" t="str">
            <v>Central</v>
          </cell>
        </row>
        <row r="559">
          <cell r="A559" t="str">
            <v>Abhishek Kumar</v>
          </cell>
          <cell r="B559" t="str">
            <v>Checking</v>
          </cell>
          <cell r="D559" t="str">
            <v>Central</v>
          </cell>
        </row>
        <row r="560">
          <cell r="A560" t="str">
            <v>Abhishek Kumar</v>
          </cell>
          <cell r="B560" t="str">
            <v>Checking</v>
          </cell>
          <cell r="D560" t="str">
            <v>Central</v>
          </cell>
        </row>
        <row r="561">
          <cell r="A561" t="str">
            <v>Abhishek Kumar</v>
          </cell>
          <cell r="B561" t="str">
            <v>CD</v>
          </cell>
          <cell r="D561" t="str">
            <v>North County</v>
          </cell>
        </row>
        <row r="562">
          <cell r="A562" t="str">
            <v>Varun Kumar</v>
          </cell>
          <cell r="B562" t="str">
            <v>CD</v>
          </cell>
          <cell r="D562" t="str">
            <v>Central</v>
          </cell>
        </row>
        <row r="563">
          <cell r="A563" t="str">
            <v>Varun Kumar</v>
          </cell>
          <cell r="B563" t="str">
            <v>CD</v>
          </cell>
          <cell r="D563" t="str">
            <v>North County</v>
          </cell>
        </row>
        <row r="564">
          <cell r="A564" t="str">
            <v>Varun Kumar</v>
          </cell>
          <cell r="B564" t="str">
            <v>CD</v>
          </cell>
          <cell r="D564" t="str">
            <v>North County</v>
          </cell>
        </row>
        <row r="565">
          <cell r="A565" t="str">
            <v>Varun Kumar</v>
          </cell>
          <cell r="B565" t="str">
            <v>IRA</v>
          </cell>
          <cell r="D565" t="str">
            <v>North County</v>
          </cell>
        </row>
        <row r="566">
          <cell r="A566" t="str">
            <v>Ashok Kumar</v>
          </cell>
          <cell r="B566" t="str">
            <v>Checking</v>
          </cell>
          <cell r="D566" t="str">
            <v>Westside</v>
          </cell>
        </row>
        <row r="567">
          <cell r="A567" t="str">
            <v>Ashok Kumar</v>
          </cell>
          <cell r="B567" t="str">
            <v>CD</v>
          </cell>
          <cell r="D567" t="str">
            <v>Central</v>
          </cell>
        </row>
        <row r="568">
          <cell r="A568" t="str">
            <v>Ashok Kumar</v>
          </cell>
          <cell r="B568" t="str">
            <v>Checking</v>
          </cell>
          <cell r="D568" t="str">
            <v>Central</v>
          </cell>
        </row>
        <row r="569">
          <cell r="A569" t="str">
            <v>Ashok Kumar</v>
          </cell>
          <cell r="B569" t="str">
            <v>Savings</v>
          </cell>
          <cell r="D569" t="str">
            <v>Westside</v>
          </cell>
        </row>
        <row r="570">
          <cell r="A570" t="str">
            <v>Varun Kumar</v>
          </cell>
          <cell r="B570" t="str">
            <v>CD</v>
          </cell>
          <cell r="D570" t="str">
            <v>Westside</v>
          </cell>
        </row>
        <row r="571">
          <cell r="A571" t="str">
            <v>Varun Kumar</v>
          </cell>
          <cell r="B571" t="str">
            <v>Savings</v>
          </cell>
          <cell r="D571" t="str">
            <v>Central</v>
          </cell>
        </row>
        <row r="572">
          <cell r="A572" t="str">
            <v>Ashok Kumar</v>
          </cell>
          <cell r="B572" t="str">
            <v>Checking</v>
          </cell>
          <cell r="D572" t="str">
            <v>Central</v>
          </cell>
        </row>
        <row r="573">
          <cell r="A573" t="str">
            <v>Abhishek Kumar</v>
          </cell>
          <cell r="B573" t="str">
            <v>Checking</v>
          </cell>
          <cell r="D573" t="str">
            <v>North County</v>
          </cell>
        </row>
        <row r="574">
          <cell r="A574" t="str">
            <v>Abhishek Kumar</v>
          </cell>
          <cell r="B574" t="str">
            <v>CD</v>
          </cell>
          <cell r="D574" t="str">
            <v>North County</v>
          </cell>
        </row>
        <row r="575">
          <cell r="A575" t="str">
            <v>Ashok Kumar</v>
          </cell>
          <cell r="B575" t="str">
            <v>Checking</v>
          </cell>
          <cell r="D575" t="str">
            <v>Central</v>
          </cell>
        </row>
        <row r="576">
          <cell r="A576" t="str">
            <v>Abhishek Kumar</v>
          </cell>
          <cell r="B576" t="str">
            <v>Checking</v>
          </cell>
          <cell r="D576" t="str">
            <v>Central</v>
          </cell>
        </row>
        <row r="577">
          <cell r="A577" t="str">
            <v>Abhishek Kumar</v>
          </cell>
          <cell r="B577" t="str">
            <v>CD</v>
          </cell>
          <cell r="D577" t="str">
            <v>Central</v>
          </cell>
        </row>
        <row r="578">
          <cell r="A578" t="str">
            <v>Praveen Kumar</v>
          </cell>
          <cell r="B578" t="str">
            <v>CD</v>
          </cell>
          <cell r="D578" t="str">
            <v>Central</v>
          </cell>
        </row>
        <row r="579">
          <cell r="A579" t="str">
            <v>Abhishek Kumar</v>
          </cell>
          <cell r="B579" t="str">
            <v>CD</v>
          </cell>
          <cell r="D579" t="str">
            <v>Westside</v>
          </cell>
        </row>
        <row r="580">
          <cell r="A580" t="str">
            <v>Pramod Kumar</v>
          </cell>
          <cell r="B580" t="str">
            <v>Checking</v>
          </cell>
          <cell r="D580" t="str">
            <v>Central</v>
          </cell>
        </row>
        <row r="581">
          <cell r="A581" t="str">
            <v>Ashok Kumar</v>
          </cell>
          <cell r="B581" t="str">
            <v>Checking</v>
          </cell>
          <cell r="D581" t="str">
            <v>Central</v>
          </cell>
        </row>
        <row r="582">
          <cell r="A582" t="str">
            <v>Praveen Kumar</v>
          </cell>
          <cell r="B582" t="str">
            <v>Checking</v>
          </cell>
          <cell r="D582" t="str">
            <v>Central</v>
          </cell>
        </row>
        <row r="583">
          <cell r="A583" t="str">
            <v>Ashok Kumar</v>
          </cell>
          <cell r="B583" t="str">
            <v>CD</v>
          </cell>
          <cell r="D583" t="str">
            <v>Central</v>
          </cell>
        </row>
        <row r="584">
          <cell r="A584" t="str">
            <v>Rahul Kumar</v>
          </cell>
          <cell r="B584" t="str">
            <v>Checking</v>
          </cell>
          <cell r="D584" t="str">
            <v>Central</v>
          </cell>
        </row>
        <row r="585">
          <cell r="A585" t="str">
            <v>Ashok Kumar</v>
          </cell>
          <cell r="B585" t="str">
            <v>Savings</v>
          </cell>
          <cell r="D585" t="str">
            <v>North County</v>
          </cell>
        </row>
        <row r="586">
          <cell r="A586" t="str">
            <v>Abhishek Kumar</v>
          </cell>
          <cell r="B586" t="str">
            <v>Savings</v>
          </cell>
          <cell r="D586" t="str">
            <v>North County</v>
          </cell>
        </row>
        <row r="587">
          <cell r="A587" t="str">
            <v>Praveen Kumar</v>
          </cell>
          <cell r="B587" t="str">
            <v>Savings</v>
          </cell>
          <cell r="D587" t="str">
            <v>Central</v>
          </cell>
        </row>
        <row r="588">
          <cell r="A588" t="str">
            <v>Rahul Kumar</v>
          </cell>
          <cell r="B588" t="str">
            <v>Savings</v>
          </cell>
          <cell r="D588" t="str">
            <v>Central</v>
          </cell>
        </row>
        <row r="589">
          <cell r="A589" t="str">
            <v>Pramod Kumar</v>
          </cell>
          <cell r="B589" t="str">
            <v>Checking</v>
          </cell>
          <cell r="D589" t="str">
            <v>Westside</v>
          </cell>
        </row>
        <row r="590">
          <cell r="A590" t="str">
            <v>Varun Kumar</v>
          </cell>
          <cell r="B590" t="str">
            <v>CD</v>
          </cell>
          <cell r="D590" t="str">
            <v>Westside</v>
          </cell>
        </row>
        <row r="591">
          <cell r="A591" t="str">
            <v>Abhishek Kumar</v>
          </cell>
          <cell r="B591" t="str">
            <v>Checking</v>
          </cell>
          <cell r="D591" t="str">
            <v>Central</v>
          </cell>
        </row>
        <row r="592">
          <cell r="A592" t="str">
            <v>Ashok Kumar</v>
          </cell>
          <cell r="B592" t="str">
            <v>Checking</v>
          </cell>
          <cell r="D592" t="str">
            <v>Westside</v>
          </cell>
        </row>
        <row r="593">
          <cell r="A593" t="str">
            <v>Praveen Kumar</v>
          </cell>
          <cell r="B593" t="str">
            <v>Checking</v>
          </cell>
          <cell r="D593" t="str">
            <v>Central</v>
          </cell>
        </row>
        <row r="594">
          <cell r="A594" t="str">
            <v>Abhishek Kumar</v>
          </cell>
          <cell r="B594" t="str">
            <v>Savings</v>
          </cell>
          <cell r="D594" t="str">
            <v>North County</v>
          </cell>
        </row>
        <row r="595">
          <cell r="A595" t="str">
            <v>Abhishek Kumar</v>
          </cell>
          <cell r="B595" t="str">
            <v>CD</v>
          </cell>
          <cell r="D595" t="str">
            <v>Central</v>
          </cell>
        </row>
        <row r="596">
          <cell r="A596" t="str">
            <v>Ashok Kumar</v>
          </cell>
          <cell r="B596" t="str">
            <v>Checking</v>
          </cell>
          <cell r="D596" t="str">
            <v>Westside</v>
          </cell>
        </row>
        <row r="597">
          <cell r="A597" t="str">
            <v>Ashok Kumar</v>
          </cell>
          <cell r="B597" t="str">
            <v>CD</v>
          </cell>
          <cell r="D597" t="str">
            <v>Central</v>
          </cell>
        </row>
        <row r="598">
          <cell r="A598" t="str">
            <v>Varun Kumar</v>
          </cell>
          <cell r="B598" t="str">
            <v>Savings</v>
          </cell>
          <cell r="D598" t="str">
            <v>Central</v>
          </cell>
        </row>
        <row r="599">
          <cell r="A599" t="str">
            <v>Abhishek Kumar</v>
          </cell>
          <cell r="B599" t="str">
            <v>CD</v>
          </cell>
          <cell r="D599" t="str">
            <v>Central</v>
          </cell>
        </row>
        <row r="600">
          <cell r="A600" t="str">
            <v>Ashok Kumar</v>
          </cell>
          <cell r="B600" t="str">
            <v>Checking</v>
          </cell>
          <cell r="D600" t="str">
            <v>Central</v>
          </cell>
        </row>
        <row r="601">
          <cell r="A601" t="str">
            <v>Ashok Kumar</v>
          </cell>
          <cell r="B601" t="str">
            <v>CD</v>
          </cell>
          <cell r="D601" t="str">
            <v>Westside</v>
          </cell>
        </row>
        <row r="602">
          <cell r="A602" t="str">
            <v>Praveen Kumar</v>
          </cell>
          <cell r="B602" t="str">
            <v>CD</v>
          </cell>
          <cell r="D602" t="str">
            <v>North County</v>
          </cell>
        </row>
        <row r="603">
          <cell r="A603" t="str">
            <v>Abhishek Kumar</v>
          </cell>
          <cell r="B603" t="str">
            <v>Savings</v>
          </cell>
          <cell r="D603" t="str">
            <v>Central</v>
          </cell>
        </row>
        <row r="604">
          <cell r="A604" t="str">
            <v>Rahul Kumar</v>
          </cell>
          <cell r="B604" t="str">
            <v>IRA</v>
          </cell>
          <cell r="D604" t="str">
            <v>North County</v>
          </cell>
        </row>
        <row r="605">
          <cell r="A605" t="str">
            <v>Rahul Kumar</v>
          </cell>
          <cell r="B605" t="str">
            <v>Savings</v>
          </cell>
          <cell r="D605" t="str">
            <v>Westside</v>
          </cell>
        </row>
        <row r="606">
          <cell r="A606" t="str">
            <v>Ashok Kumar</v>
          </cell>
          <cell r="B606" t="str">
            <v>Checking</v>
          </cell>
          <cell r="D606" t="str">
            <v>North County</v>
          </cell>
        </row>
        <row r="607">
          <cell r="A607" t="str">
            <v>Varun Kumar</v>
          </cell>
          <cell r="B607" t="str">
            <v>Checking</v>
          </cell>
          <cell r="D607" t="str">
            <v>Central</v>
          </cell>
        </row>
        <row r="608">
          <cell r="A608" t="str">
            <v>Varun Kumar</v>
          </cell>
          <cell r="B608" t="str">
            <v>CD</v>
          </cell>
          <cell r="D608" t="str">
            <v>Central</v>
          </cell>
        </row>
        <row r="609">
          <cell r="A609" t="str">
            <v>Varun Kumar</v>
          </cell>
          <cell r="B609" t="str">
            <v>Checking</v>
          </cell>
          <cell r="D609" t="str">
            <v>Central</v>
          </cell>
        </row>
        <row r="610">
          <cell r="A610" t="str">
            <v>Ashok Kumar</v>
          </cell>
          <cell r="B610" t="str">
            <v>Checking</v>
          </cell>
          <cell r="D610" t="str">
            <v>Westside</v>
          </cell>
        </row>
        <row r="611">
          <cell r="A611" t="str">
            <v>Rahul Kumar</v>
          </cell>
          <cell r="B611" t="str">
            <v>Checking</v>
          </cell>
          <cell r="D611" t="str">
            <v>Central</v>
          </cell>
        </row>
        <row r="612">
          <cell r="A612" t="str">
            <v>Rahul Kumar</v>
          </cell>
          <cell r="B612" t="str">
            <v>CD</v>
          </cell>
          <cell r="D612" t="str">
            <v>Westside</v>
          </cell>
        </row>
        <row r="613">
          <cell r="A613" t="str">
            <v>Ashok Kumar</v>
          </cell>
          <cell r="B613" t="str">
            <v>Checking</v>
          </cell>
          <cell r="D613" t="str">
            <v>Central</v>
          </cell>
        </row>
        <row r="614">
          <cell r="A614" t="str">
            <v>Ashok Kumar</v>
          </cell>
          <cell r="B614" t="str">
            <v>CD</v>
          </cell>
          <cell r="D614" t="str">
            <v>North County</v>
          </cell>
        </row>
        <row r="615">
          <cell r="A615" t="str">
            <v>Ashok Kumar</v>
          </cell>
          <cell r="B615" t="str">
            <v>IRA</v>
          </cell>
          <cell r="D615" t="str">
            <v>North County</v>
          </cell>
        </row>
        <row r="616">
          <cell r="A616" t="str">
            <v>Abhishek Kumar</v>
          </cell>
          <cell r="B616" t="str">
            <v>Checking</v>
          </cell>
          <cell r="D616" t="str">
            <v>Central</v>
          </cell>
        </row>
        <row r="617">
          <cell r="A617" t="str">
            <v>Rahul Kumar</v>
          </cell>
          <cell r="B617" t="str">
            <v>Savings</v>
          </cell>
          <cell r="D617" t="str">
            <v>Central</v>
          </cell>
        </row>
        <row r="618">
          <cell r="A618" t="str">
            <v>Rahul Kumar</v>
          </cell>
          <cell r="B618" t="str">
            <v>Checking</v>
          </cell>
          <cell r="D618" t="str">
            <v>Central</v>
          </cell>
        </row>
        <row r="619">
          <cell r="A619" t="str">
            <v>Rahul Kumar</v>
          </cell>
          <cell r="B619" t="str">
            <v>Savings</v>
          </cell>
          <cell r="D619" t="str">
            <v>Central</v>
          </cell>
        </row>
        <row r="620">
          <cell r="A620" t="str">
            <v>Varun Kumar</v>
          </cell>
          <cell r="B620" t="str">
            <v>Savings</v>
          </cell>
          <cell r="D620" t="str">
            <v>Central</v>
          </cell>
        </row>
        <row r="621">
          <cell r="A621" t="str">
            <v>Varun Kumar</v>
          </cell>
          <cell r="B621" t="str">
            <v>CD</v>
          </cell>
          <cell r="D621" t="str">
            <v>North County</v>
          </cell>
        </row>
        <row r="622">
          <cell r="A622" t="str">
            <v>Varun Kumar</v>
          </cell>
          <cell r="B622" t="str">
            <v>CD</v>
          </cell>
          <cell r="D622" t="str">
            <v>Westside</v>
          </cell>
        </row>
        <row r="623">
          <cell r="A623" t="str">
            <v>Rahul Kumar</v>
          </cell>
          <cell r="B623" t="str">
            <v>Checking</v>
          </cell>
          <cell r="D623" t="str">
            <v>Central</v>
          </cell>
        </row>
        <row r="624">
          <cell r="A624" t="str">
            <v>Rahul Kumar</v>
          </cell>
          <cell r="B624" t="str">
            <v>CD</v>
          </cell>
          <cell r="D624" t="str">
            <v>Westside</v>
          </cell>
        </row>
        <row r="625">
          <cell r="A625" t="str">
            <v>Ashok Kumar</v>
          </cell>
          <cell r="B625" t="str">
            <v>Checking</v>
          </cell>
          <cell r="D625" t="str">
            <v>Central</v>
          </cell>
        </row>
        <row r="626">
          <cell r="A626" t="str">
            <v>Ashok Kumar</v>
          </cell>
          <cell r="B626" t="str">
            <v>Savings</v>
          </cell>
          <cell r="D626" t="str">
            <v>North County</v>
          </cell>
        </row>
        <row r="627">
          <cell r="A627" t="str">
            <v>Ashok Kumar</v>
          </cell>
          <cell r="B627" t="str">
            <v>CD</v>
          </cell>
          <cell r="D627" t="str">
            <v>Central</v>
          </cell>
        </row>
        <row r="628">
          <cell r="A628" t="str">
            <v>Abhishek Kumar</v>
          </cell>
          <cell r="B628" t="str">
            <v>CD</v>
          </cell>
          <cell r="D628" t="str">
            <v>Central</v>
          </cell>
        </row>
        <row r="629">
          <cell r="A629" t="str">
            <v>Abhishek Kumar</v>
          </cell>
          <cell r="B629" t="str">
            <v>Checking</v>
          </cell>
          <cell r="D629" t="str">
            <v>Westside</v>
          </cell>
        </row>
        <row r="630">
          <cell r="A630" t="str">
            <v>Abhishek Kumar</v>
          </cell>
          <cell r="B630" t="str">
            <v>CD</v>
          </cell>
          <cell r="D630" t="str">
            <v>Westside</v>
          </cell>
        </row>
        <row r="631">
          <cell r="A631" t="str">
            <v>Abhishek Kumar</v>
          </cell>
          <cell r="B631" t="str">
            <v>CD</v>
          </cell>
          <cell r="D631" t="str">
            <v>Westside</v>
          </cell>
        </row>
        <row r="632">
          <cell r="A632" t="str">
            <v>Varun Kumar</v>
          </cell>
          <cell r="B632" t="str">
            <v>Checking</v>
          </cell>
          <cell r="D632" t="str">
            <v>Westside</v>
          </cell>
        </row>
        <row r="633">
          <cell r="A633" t="str">
            <v>Varun Kumar</v>
          </cell>
          <cell r="B633" t="str">
            <v>Checking</v>
          </cell>
          <cell r="D633" t="str">
            <v>Westside</v>
          </cell>
        </row>
        <row r="634">
          <cell r="A634" t="str">
            <v>Varun Kumar</v>
          </cell>
          <cell r="B634" t="str">
            <v>Checking</v>
          </cell>
          <cell r="D634" t="str">
            <v>Westside</v>
          </cell>
        </row>
        <row r="635">
          <cell r="A635" t="str">
            <v>Varun Kumar</v>
          </cell>
          <cell r="B635" t="str">
            <v>Savings</v>
          </cell>
          <cell r="D635" t="str">
            <v>North County</v>
          </cell>
        </row>
        <row r="636">
          <cell r="A636" t="str">
            <v>Ashok Kumar</v>
          </cell>
          <cell r="B636" t="str">
            <v>Savings</v>
          </cell>
          <cell r="D636" t="str">
            <v>North County</v>
          </cell>
        </row>
        <row r="637">
          <cell r="A637" t="str">
            <v>Ashok Kumar</v>
          </cell>
          <cell r="B637" t="str">
            <v>Checking</v>
          </cell>
          <cell r="D637" t="str">
            <v>Central</v>
          </cell>
        </row>
        <row r="638">
          <cell r="A638" t="str">
            <v>Ashok Kumar</v>
          </cell>
          <cell r="B638" t="str">
            <v>IRA</v>
          </cell>
          <cell r="D638" t="str">
            <v>Westside</v>
          </cell>
        </row>
        <row r="639">
          <cell r="A639" t="str">
            <v>Ashok Kumar</v>
          </cell>
          <cell r="B639" t="str">
            <v>Checking</v>
          </cell>
          <cell r="D639" t="str">
            <v>Central</v>
          </cell>
        </row>
        <row r="640">
          <cell r="A640" t="str">
            <v>Varun Kumar</v>
          </cell>
          <cell r="B640" t="str">
            <v>Savings</v>
          </cell>
          <cell r="D640" t="str">
            <v>Central</v>
          </cell>
        </row>
        <row r="641">
          <cell r="A641" t="str">
            <v>Varun Kumar</v>
          </cell>
          <cell r="B641" t="str">
            <v>Savings</v>
          </cell>
          <cell r="D641" t="str">
            <v>Central</v>
          </cell>
        </row>
        <row r="642">
          <cell r="A642" t="str">
            <v>Ashok Kumar</v>
          </cell>
          <cell r="B642" t="str">
            <v>Savings</v>
          </cell>
          <cell r="D642" t="str">
            <v>North County</v>
          </cell>
        </row>
        <row r="643">
          <cell r="A643" t="str">
            <v>Abhishek Kumar</v>
          </cell>
          <cell r="B643" t="str">
            <v>Checking</v>
          </cell>
          <cell r="D643" t="str">
            <v>Central</v>
          </cell>
        </row>
        <row r="644">
          <cell r="A644" t="str">
            <v>Praveen Kumar</v>
          </cell>
          <cell r="B644" t="str">
            <v>Savings</v>
          </cell>
          <cell r="D644" t="str">
            <v>North County</v>
          </cell>
        </row>
        <row r="645">
          <cell r="A645" t="str">
            <v>Abhishek Kumar</v>
          </cell>
          <cell r="B645" t="str">
            <v>Checking</v>
          </cell>
          <cell r="D645" t="str">
            <v>Central</v>
          </cell>
        </row>
        <row r="646">
          <cell r="A646" t="str">
            <v>Pramod Kumar</v>
          </cell>
          <cell r="B646" t="str">
            <v>Checking</v>
          </cell>
          <cell r="D646" t="str">
            <v>Central</v>
          </cell>
        </row>
        <row r="647">
          <cell r="A647" t="str">
            <v>Ashok Kumar</v>
          </cell>
          <cell r="B647" t="str">
            <v>Savings</v>
          </cell>
          <cell r="D647" t="str">
            <v>Central</v>
          </cell>
        </row>
        <row r="648">
          <cell r="A648" t="str">
            <v>Praveen Kumar</v>
          </cell>
          <cell r="B648" t="str">
            <v>Savings</v>
          </cell>
          <cell r="D648" t="str">
            <v>Westside</v>
          </cell>
        </row>
        <row r="649">
          <cell r="A649" t="str">
            <v>Ashok Kumar</v>
          </cell>
          <cell r="B649" t="str">
            <v>CD</v>
          </cell>
          <cell r="D649" t="str">
            <v>Central</v>
          </cell>
        </row>
        <row r="650">
          <cell r="A650" t="str">
            <v>Rahul Kumar</v>
          </cell>
          <cell r="B650" t="str">
            <v>Savings</v>
          </cell>
          <cell r="D650" t="str">
            <v>North County</v>
          </cell>
        </row>
        <row r="651">
          <cell r="A651" t="str">
            <v>Ashok Kumar</v>
          </cell>
          <cell r="B651" t="str">
            <v>CD</v>
          </cell>
          <cell r="D651" t="str">
            <v>Central</v>
          </cell>
        </row>
        <row r="652">
          <cell r="A652" t="str">
            <v>Abhishek Kumar</v>
          </cell>
          <cell r="B652" t="str">
            <v>Checking</v>
          </cell>
          <cell r="D652" t="str">
            <v>North County</v>
          </cell>
        </row>
        <row r="653">
          <cell r="A653" t="str">
            <v>Praveen Kumar</v>
          </cell>
          <cell r="B653" t="str">
            <v>CD</v>
          </cell>
          <cell r="D653" t="str">
            <v>Westside</v>
          </cell>
        </row>
        <row r="654">
          <cell r="A654" t="str">
            <v>Rahul Kumar</v>
          </cell>
          <cell r="B654" t="str">
            <v>IRA</v>
          </cell>
          <cell r="D654" t="str">
            <v>North County</v>
          </cell>
        </row>
        <row r="655">
          <cell r="A655" t="str">
            <v>Pramod Kumar</v>
          </cell>
          <cell r="B655" t="str">
            <v>Checking</v>
          </cell>
          <cell r="D655" t="str">
            <v>Central</v>
          </cell>
        </row>
        <row r="656">
          <cell r="A656" t="str">
            <v>Varun Kumar</v>
          </cell>
          <cell r="B656" t="str">
            <v>Checking</v>
          </cell>
          <cell r="D656" t="str">
            <v>Central</v>
          </cell>
        </row>
        <row r="657">
          <cell r="A657" t="str">
            <v>Abhishek Kumar</v>
          </cell>
          <cell r="B657" t="str">
            <v>Checking</v>
          </cell>
          <cell r="D657" t="str">
            <v>Central</v>
          </cell>
        </row>
        <row r="658">
          <cell r="A658" t="str">
            <v>Ashok Kumar</v>
          </cell>
          <cell r="B658" t="str">
            <v>Checking</v>
          </cell>
          <cell r="D658" t="str">
            <v>Central</v>
          </cell>
        </row>
        <row r="659">
          <cell r="A659" t="str">
            <v>Praveen Kumar</v>
          </cell>
          <cell r="B659" t="str">
            <v>Savings</v>
          </cell>
          <cell r="D659" t="str">
            <v>Westside</v>
          </cell>
        </row>
        <row r="660">
          <cell r="A660" t="str">
            <v>Abhishek Kumar</v>
          </cell>
          <cell r="B660" t="str">
            <v>Checking</v>
          </cell>
          <cell r="D660" t="str">
            <v>Westside</v>
          </cell>
        </row>
        <row r="661">
          <cell r="A661" t="str">
            <v>Abhishek Kumar</v>
          </cell>
          <cell r="B661" t="str">
            <v>Savings</v>
          </cell>
          <cell r="D661" t="str">
            <v>North County</v>
          </cell>
        </row>
        <row r="662">
          <cell r="A662" t="str">
            <v>Ashok Kumar</v>
          </cell>
          <cell r="B662" t="str">
            <v>CD</v>
          </cell>
          <cell r="D662" t="str">
            <v>Central</v>
          </cell>
        </row>
        <row r="663">
          <cell r="A663" t="str">
            <v>Ashok Kumar</v>
          </cell>
          <cell r="B663" t="str">
            <v>Checking</v>
          </cell>
          <cell r="D663" t="str">
            <v>Westside</v>
          </cell>
        </row>
        <row r="664">
          <cell r="A664" t="str">
            <v>Varun Kumar</v>
          </cell>
          <cell r="B664" t="str">
            <v>CD</v>
          </cell>
          <cell r="D664" t="str">
            <v>Westside</v>
          </cell>
        </row>
        <row r="665">
          <cell r="A665" t="str">
            <v>Abhishek Kumar</v>
          </cell>
          <cell r="B665" t="str">
            <v>Savings</v>
          </cell>
          <cell r="D665" t="str">
            <v>North County</v>
          </cell>
        </row>
        <row r="666">
          <cell r="A666" t="str">
            <v>Ashok Kumar</v>
          </cell>
          <cell r="B666" t="str">
            <v>Checking</v>
          </cell>
          <cell r="D666" t="str">
            <v>North County</v>
          </cell>
        </row>
        <row r="667">
          <cell r="A667" t="str">
            <v>Ashok Kumar</v>
          </cell>
          <cell r="B667" t="str">
            <v>CD</v>
          </cell>
          <cell r="D667" t="str">
            <v>Westside</v>
          </cell>
        </row>
        <row r="668">
          <cell r="A668" t="str">
            <v>Praveen Kumar</v>
          </cell>
          <cell r="B668" t="str">
            <v>CD</v>
          </cell>
          <cell r="D668" t="str">
            <v>Central</v>
          </cell>
        </row>
        <row r="669">
          <cell r="A669" t="str">
            <v>Abhishek Kumar</v>
          </cell>
          <cell r="B669" t="str">
            <v>Savings</v>
          </cell>
          <cell r="D669" t="str">
            <v>North County</v>
          </cell>
        </row>
        <row r="670">
          <cell r="A670" t="str">
            <v>Rahul Kumar</v>
          </cell>
          <cell r="B670" t="str">
            <v>Savings</v>
          </cell>
          <cell r="D670" t="str">
            <v>Central</v>
          </cell>
        </row>
        <row r="671">
          <cell r="A671" t="str">
            <v>Rahul Kumar</v>
          </cell>
          <cell r="B671" t="str">
            <v>Checking</v>
          </cell>
          <cell r="D671" t="str">
            <v>Westside</v>
          </cell>
        </row>
        <row r="672">
          <cell r="A672" t="str">
            <v>Ashok Kumar</v>
          </cell>
          <cell r="B672" t="str">
            <v>Savings</v>
          </cell>
          <cell r="D672" t="str">
            <v>Central</v>
          </cell>
        </row>
        <row r="673">
          <cell r="A673" t="str">
            <v>Varun Kumar</v>
          </cell>
          <cell r="B673" t="str">
            <v>Savings</v>
          </cell>
          <cell r="D673" t="str">
            <v>North County</v>
          </cell>
        </row>
        <row r="674">
          <cell r="A674" t="str">
            <v>Varun Kumar</v>
          </cell>
          <cell r="B674" t="str">
            <v>Checking</v>
          </cell>
          <cell r="D674" t="str">
            <v>Central</v>
          </cell>
        </row>
        <row r="675">
          <cell r="A675" t="str">
            <v>Varun Kumar</v>
          </cell>
          <cell r="B675" t="str">
            <v>IRA</v>
          </cell>
          <cell r="D675" t="str">
            <v>Westside</v>
          </cell>
        </row>
        <row r="676">
          <cell r="A676" t="str">
            <v>Ashok Kumar</v>
          </cell>
          <cell r="B676" t="str">
            <v>Savings</v>
          </cell>
          <cell r="D676" t="str">
            <v>Central</v>
          </cell>
        </row>
        <row r="677">
          <cell r="A677" t="str">
            <v>Rahul Kumar</v>
          </cell>
          <cell r="B677" t="str">
            <v>CD</v>
          </cell>
          <cell r="D677" t="str">
            <v>North County</v>
          </cell>
        </row>
        <row r="678">
          <cell r="A678" t="str">
            <v>Rahul Kumar</v>
          </cell>
          <cell r="B678" t="str">
            <v>Checking</v>
          </cell>
          <cell r="D678" t="str">
            <v>Central</v>
          </cell>
        </row>
        <row r="679">
          <cell r="A679" t="str">
            <v>Ashok Kumar</v>
          </cell>
          <cell r="B679" t="str">
            <v>Savings</v>
          </cell>
          <cell r="D679" t="str">
            <v>Central</v>
          </cell>
        </row>
        <row r="680">
          <cell r="A680" t="str">
            <v>Ashok Kumar</v>
          </cell>
          <cell r="B680" t="str">
            <v>CD</v>
          </cell>
          <cell r="D680" t="str">
            <v>Central</v>
          </cell>
        </row>
        <row r="681">
          <cell r="A681" t="str">
            <v>Ashok Kumar</v>
          </cell>
          <cell r="B681" t="str">
            <v>CD</v>
          </cell>
          <cell r="D681" t="str">
            <v>Central</v>
          </cell>
        </row>
        <row r="682">
          <cell r="A682" t="str">
            <v>Abhishek Kumar</v>
          </cell>
          <cell r="B682" t="str">
            <v>Checking</v>
          </cell>
          <cell r="D682" t="str">
            <v>Westside</v>
          </cell>
        </row>
        <row r="683">
          <cell r="A683" t="str">
            <v>Rahul Kumar</v>
          </cell>
          <cell r="B683" t="str">
            <v>Savings</v>
          </cell>
          <cell r="D683" t="str">
            <v>North County</v>
          </cell>
        </row>
        <row r="684">
          <cell r="A684" t="str">
            <v>Rahul Kumar</v>
          </cell>
          <cell r="B684" t="str">
            <v>Checking</v>
          </cell>
          <cell r="D684" t="str">
            <v>Westside</v>
          </cell>
        </row>
        <row r="685">
          <cell r="A685" t="str">
            <v>Rahul Kumar</v>
          </cell>
          <cell r="B685" t="str">
            <v>Savings</v>
          </cell>
          <cell r="D685" t="str">
            <v>Central</v>
          </cell>
        </row>
        <row r="686">
          <cell r="A686" t="str">
            <v>Varun Kumar</v>
          </cell>
          <cell r="B686" t="str">
            <v>Checking</v>
          </cell>
          <cell r="D686" t="str">
            <v>Central</v>
          </cell>
        </row>
        <row r="687">
          <cell r="A687" t="str">
            <v>Varun Kumar</v>
          </cell>
          <cell r="B687" t="str">
            <v>Checking</v>
          </cell>
          <cell r="D687" t="str">
            <v>Central</v>
          </cell>
        </row>
        <row r="688">
          <cell r="A688" t="str">
            <v>Varun Kumar</v>
          </cell>
          <cell r="B688" t="str">
            <v>Checking</v>
          </cell>
          <cell r="D688" t="str">
            <v>Central</v>
          </cell>
        </row>
        <row r="689">
          <cell r="A689" t="str">
            <v>Rahul Kumar</v>
          </cell>
          <cell r="B689" t="str">
            <v>Savings</v>
          </cell>
          <cell r="D689" t="str">
            <v>Central</v>
          </cell>
        </row>
        <row r="690">
          <cell r="A690" t="str">
            <v>Rahul Kumar</v>
          </cell>
          <cell r="B690" t="str">
            <v>CD</v>
          </cell>
          <cell r="D690" t="str">
            <v>Central</v>
          </cell>
        </row>
        <row r="691">
          <cell r="A691" t="str">
            <v>Ashok Kumar</v>
          </cell>
          <cell r="B691" t="str">
            <v>CD</v>
          </cell>
          <cell r="D691" t="str">
            <v>Central</v>
          </cell>
        </row>
        <row r="692">
          <cell r="A692" t="str">
            <v>Ashok Kumar</v>
          </cell>
          <cell r="B692" t="str">
            <v>CD</v>
          </cell>
          <cell r="D692" t="str">
            <v>Central</v>
          </cell>
        </row>
        <row r="693">
          <cell r="A693" t="str">
            <v>Ashok Kumar</v>
          </cell>
          <cell r="B693" t="str">
            <v>CD</v>
          </cell>
          <cell r="D693" t="str">
            <v>North County</v>
          </cell>
        </row>
        <row r="694">
          <cell r="A694" t="str">
            <v>Abhishek Kumar</v>
          </cell>
          <cell r="B694" t="str">
            <v>CD</v>
          </cell>
          <cell r="D694" t="str">
            <v>Central</v>
          </cell>
        </row>
        <row r="695">
          <cell r="A695" t="str">
            <v>Abhishek Kumar</v>
          </cell>
          <cell r="B695" t="str">
            <v>Checking</v>
          </cell>
          <cell r="D695" t="str">
            <v>North County</v>
          </cell>
        </row>
        <row r="696">
          <cell r="A696" t="str">
            <v>Abhishek Kumar</v>
          </cell>
          <cell r="B696" t="str">
            <v>Checking</v>
          </cell>
          <cell r="D696" t="str">
            <v>Central</v>
          </cell>
        </row>
        <row r="697">
          <cell r="A697" t="str">
            <v>Abhishek Kumar</v>
          </cell>
          <cell r="B697" t="str">
            <v>CD</v>
          </cell>
          <cell r="D697" t="str">
            <v>Central</v>
          </cell>
        </row>
        <row r="698">
          <cell r="A698" t="str">
            <v>Varun Kumar</v>
          </cell>
          <cell r="B698" t="str">
            <v>CD</v>
          </cell>
          <cell r="D698" t="str">
            <v>Westside</v>
          </cell>
        </row>
        <row r="699">
          <cell r="A699" t="str">
            <v>Varun Kumar</v>
          </cell>
          <cell r="B699" t="str">
            <v>Checking</v>
          </cell>
          <cell r="D699" t="str">
            <v>Central</v>
          </cell>
        </row>
        <row r="700">
          <cell r="A700" t="str">
            <v>Varun Kumar</v>
          </cell>
          <cell r="B700" t="str">
            <v>CD</v>
          </cell>
          <cell r="D700" t="str">
            <v>Central</v>
          </cell>
        </row>
        <row r="701">
          <cell r="A701" t="str">
            <v>Varun Kumar</v>
          </cell>
          <cell r="B701" t="str">
            <v>Checking</v>
          </cell>
          <cell r="D701" t="str">
            <v>Central</v>
          </cell>
        </row>
        <row r="702">
          <cell r="A702" t="str">
            <v>Ashok Kumar</v>
          </cell>
          <cell r="B702" t="str">
            <v>Checking</v>
          </cell>
          <cell r="D702" t="str">
            <v>Central</v>
          </cell>
        </row>
        <row r="703">
          <cell r="A703" t="str">
            <v>Ashok Kumar</v>
          </cell>
          <cell r="B703" t="str">
            <v>Checking</v>
          </cell>
          <cell r="D703" t="str">
            <v>North County</v>
          </cell>
        </row>
        <row r="704">
          <cell r="A704" t="str">
            <v>Ashok Kumar</v>
          </cell>
          <cell r="B704" t="str">
            <v>Savings</v>
          </cell>
          <cell r="D704" t="str">
            <v>Westside</v>
          </cell>
        </row>
        <row r="705">
          <cell r="A705" t="str">
            <v>Ashok Kumar</v>
          </cell>
          <cell r="B705" t="str">
            <v>Checking</v>
          </cell>
          <cell r="D705" t="str">
            <v>Central</v>
          </cell>
        </row>
        <row r="706">
          <cell r="A706" t="str">
            <v>Varun Kumar</v>
          </cell>
          <cell r="B706" t="str">
            <v>Checking</v>
          </cell>
          <cell r="D706" t="str">
            <v>Central</v>
          </cell>
        </row>
        <row r="707">
          <cell r="A707" t="str">
            <v>Varun Kumar</v>
          </cell>
          <cell r="B707" t="str">
            <v>Checking</v>
          </cell>
          <cell r="D707" t="str">
            <v>Central</v>
          </cell>
        </row>
        <row r="708">
          <cell r="A708" t="str">
            <v>Ashok Kumar</v>
          </cell>
          <cell r="B708" t="str">
            <v>CD</v>
          </cell>
          <cell r="D708" t="str">
            <v>Central</v>
          </cell>
        </row>
        <row r="709">
          <cell r="A709" t="str">
            <v>Abhishek Kumar</v>
          </cell>
          <cell r="B709" t="str">
            <v>IRA</v>
          </cell>
          <cell r="D709" t="str">
            <v>North County</v>
          </cell>
        </row>
        <row r="710">
          <cell r="A710" t="str">
            <v>Abhishek Kumar</v>
          </cell>
          <cell r="B710" t="str">
            <v>Savings</v>
          </cell>
          <cell r="D710" t="str">
            <v>Westside</v>
          </cell>
        </row>
        <row r="711">
          <cell r="A711" t="str">
            <v>Ashok Kumar</v>
          </cell>
          <cell r="B711" t="str">
            <v>Checking</v>
          </cell>
          <cell r="D711" t="str">
            <v>Central</v>
          </cell>
        </row>
        <row r="712">
          <cell r="A712" t="str">
            <v>Abhishek Kumar</v>
          </cell>
          <cell r="B712" t="str">
            <v>Checking</v>
          </cell>
          <cell r="D712" t="str">
            <v>Westside</v>
          </cell>
        </row>
        <row r="713">
          <cell r="A713" t="str">
            <v>Abhishek Kumar</v>
          </cell>
          <cell r="B713" t="str">
            <v>Checking</v>
          </cell>
          <cell r="D713" t="str">
            <v>North County</v>
          </cell>
        </row>
        <row r="714">
          <cell r="A714" t="str">
            <v>Ashok Kumar</v>
          </cell>
          <cell r="B714" t="str">
            <v>Checking</v>
          </cell>
          <cell r="D714" t="str">
            <v>Central</v>
          </cell>
        </row>
        <row r="715">
          <cell r="A715" t="str">
            <v>Abhishek Kumar</v>
          </cell>
          <cell r="B715" t="str">
            <v>Checking</v>
          </cell>
          <cell r="D715" t="str">
            <v>Westside</v>
          </cell>
        </row>
        <row r="716">
          <cell r="A716" t="str">
            <v>Abhishek Kumar</v>
          </cell>
          <cell r="B716" t="str">
            <v>Checking</v>
          </cell>
          <cell r="D716" t="str">
            <v>North County</v>
          </cell>
        </row>
        <row r="717">
          <cell r="A717" t="str">
            <v>Ashok Kumar</v>
          </cell>
          <cell r="B717" t="str">
            <v>Checking</v>
          </cell>
          <cell r="D717" t="str">
            <v>Central</v>
          </cell>
        </row>
        <row r="718">
          <cell r="A718" t="str">
            <v>Abhishek Kumar</v>
          </cell>
          <cell r="B718" t="str">
            <v>Checking</v>
          </cell>
          <cell r="D718" t="str">
            <v>Westside</v>
          </cell>
        </row>
        <row r="719">
          <cell r="A719" t="str">
            <v>Abhishek Kumar</v>
          </cell>
          <cell r="B719" t="str">
            <v>Checking</v>
          </cell>
          <cell r="D719" t="str">
            <v>North County</v>
          </cell>
        </row>
        <row r="720">
          <cell r="A720" t="str">
            <v>Ashok Kumar</v>
          </cell>
          <cell r="B720" t="str">
            <v>Checking</v>
          </cell>
          <cell r="D720" t="str">
            <v>Central</v>
          </cell>
        </row>
        <row r="721">
          <cell r="A721" t="str">
            <v>Abhishek Kumar</v>
          </cell>
          <cell r="B721" t="str">
            <v>Checking</v>
          </cell>
          <cell r="D721" t="str">
            <v>Westside</v>
          </cell>
        </row>
        <row r="722">
          <cell r="A722" t="str">
            <v>Abhishek Kumar</v>
          </cell>
          <cell r="B722" t="str">
            <v>Checking</v>
          </cell>
          <cell r="D722" t="str">
            <v>North County</v>
          </cell>
        </row>
        <row r="723">
          <cell r="A723" t="str">
            <v>Ashok Kumar</v>
          </cell>
          <cell r="B723" t="str">
            <v>Checking</v>
          </cell>
          <cell r="D723" t="str">
            <v>Central</v>
          </cell>
        </row>
        <row r="724">
          <cell r="A724" t="str">
            <v>Abhishek Kumar</v>
          </cell>
          <cell r="B724" t="str">
            <v>Checking</v>
          </cell>
          <cell r="D724" t="str">
            <v>Westside</v>
          </cell>
        </row>
        <row r="725">
          <cell r="A725" t="str">
            <v>Abhishek Kumar</v>
          </cell>
          <cell r="B725" t="str">
            <v>Checking</v>
          </cell>
          <cell r="D725" t="str">
            <v>North County</v>
          </cell>
        </row>
      </sheetData>
      <sheetData sheetId="5" refreshError="1"/>
      <sheetData sheetId="6">
        <row r="5">
          <cell r="B5" t="str">
            <v>Pen</v>
          </cell>
          <cell r="F5">
            <v>41499</v>
          </cell>
        </row>
        <row r="6">
          <cell r="B6" t="str">
            <v>Binder</v>
          </cell>
          <cell r="F6">
            <v>41499</v>
          </cell>
        </row>
        <row r="7">
          <cell r="B7" t="str">
            <v>Pen</v>
          </cell>
          <cell r="F7">
            <v>41506</v>
          </cell>
        </row>
        <row r="8">
          <cell r="B8" t="str">
            <v>Pen</v>
          </cell>
          <cell r="F8">
            <v>41521</v>
          </cell>
        </row>
        <row r="9">
          <cell r="B9" t="str">
            <v>Binder</v>
          </cell>
          <cell r="F9">
            <v>41528</v>
          </cell>
        </row>
        <row r="10">
          <cell r="B10" t="str">
            <v>Pencil</v>
          </cell>
          <cell r="F10">
            <v>41533</v>
          </cell>
        </row>
        <row r="11">
          <cell r="B11" t="str">
            <v>Binder</v>
          </cell>
          <cell r="F11">
            <v>41543</v>
          </cell>
        </row>
        <row r="12">
          <cell r="B12" t="str">
            <v>Binder</v>
          </cell>
          <cell r="F12">
            <v>41541</v>
          </cell>
        </row>
        <row r="13">
          <cell r="B13" t="str">
            <v>Pen</v>
          </cell>
          <cell r="F13">
            <v>41548</v>
          </cell>
        </row>
        <row r="14">
          <cell r="B14" t="str">
            <v>Pen</v>
          </cell>
          <cell r="F14">
            <v>41547</v>
          </cell>
        </row>
        <row r="15">
          <cell r="B15" t="str">
            <v>Binder</v>
          </cell>
          <cell r="F15">
            <v>41557</v>
          </cell>
        </row>
        <row r="16">
          <cell r="B16" t="str">
            <v>Pencil</v>
          </cell>
          <cell r="F16">
            <v>41568</v>
          </cell>
        </row>
        <row r="17">
          <cell r="B17" t="str">
            <v>Pencil</v>
          </cell>
          <cell r="F17">
            <v>41567</v>
          </cell>
        </row>
        <row r="18">
          <cell r="B18" t="str">
            <v>Pen</v>
          </cell>
          <cell r="F18">
            <v>41567</v>
          </cell>
        </row>
      </sheetData>
      <sheetData sheetId="7">
        <row r="3">
          <cell r="AD3" t="str">
            <v>Ambala</v>
          </cell>
          <cell r="AS3" t="str">
            <v>--</v>
          </cell>
        </row>
        <row r="4">
          <cell r="AD4" t="str">
            <v>Ambala</v>
          </cell>
          <cell r="AS4" t="str">
            <v>Apr-2011</v>
          </cell>
        </row>
        <row r="5">
          <cell r="AD5" t="str">
            <v>Ambala</v>
          </cell>
          <cell r="AS5" t="str">
            <v>--</v>
          </cell>
        </row>
        <row r="6">
          <cell r="AD6" t="str">
            <v>Ambala</v>
          </cell>
          <cell r="AS6" t="str">
            <v>Nov-2011</v>
          </cell>
        </row>
        <row r="7">
          <cell r="AD7" t="str">
            <v>Ambala</v>
          </cell>
          <cell r="AS7" t="str">
            <v>Dec-2010</v>
          </cell>
        </row>
        <row r="8">
          <cell r="AD8" t="str">
            <v>Ambala</v>
          </cell>
          <cell r="AS8" t="str">
            <v>May-2011</v>
          </cell>
        </row>
        <row r="9">
          <cell r="AD9" t="str">
            <v>Ambala</v>
          </cell>
          <cell r="AS9" t="str">
            <v>Mar-2011</v>
          </cell>
        </row>
        <row r="10">
          <cell r="AD10" t="str">
            <v>Ambala</v>
          </cell>
          <cell r="AS10" t="str">
            <v>May-2011</v>
          </cell>
        </row>
        <row r="11">
          <cell r="AD11" t="str">
            <v>Ambala</v>
          </cell>
          <cell r="AS11" t="str">
            <v>Jul-2011</v>
          </cell>
        </row>
        <row r="12">
          <cell r="AD12" t="str">
            <v>Ambala</v>
          </cell>
          <cell r="AS12" t="str">
            <v>Sep-2011</v>
          </cell>
        </row>
        <row r="13">
          <cell r="AD13" t="str">
            <v>Ambala</v>
          </cell>
          <cell r="AS13" t="str">
            <v>Oct-2011</v>
          </cell>
        </row>
        <row r="14">
          <cell r="AD14" t="str">
            <v>Ambala</v>
          </cell>
          <cell r="AS14" t="str">
            <v>Jul-2012</v>
          </cell>
        </row>
        <row r="15">
          <cell r="AD15" t="str">
            <v>Ambala</v>
          </cell>
          <cell r="AS15" t="str">
            <v>Aug-2012</v>
          </cell>
        </row>
        <row r="16">
          <cell r="AD16" t="str">
            <v>Ambala</v>
          </cell>
          <cell r="AS16" t="str">
            <v>Aug-2012</v>
          </cell>
        </row>
        <row r="17">
          <cell r="AD17" t="str">
            <v>Ambala</v>
          </cell>
          <cell r="AS17" t="str">
            <v>Apr-2010</v>
          </cell>
        </row>
        <row r="18">
          <cell r="AD18" t="str">
            <v>Ambala</v>
          </cell>
          <cell r="AS18" t="str">
            <v>--</v>
          </cell>
        </row>
        <row r="19">
          <cell r="AD19" t="str">
            <v>Ambala</v>
          </cell>
          <cell r="AS19" t="str">
            <v>May-2011</v>
          </cell>
        </row>
        <row r="20">
          <cell r="AD20" t="str">
            <v>Ambala</v>
          </cell>
          <cell r="AS20" t="str">
            <v>Jun-2011</v>
          </cell>
        </row>
        <row r="21">
          <cell r="AD21" t="str">
            <v>Ambala</v>
          </cell>
          <cell r="AS21" t="str">
            <v>Jun-2011</v>
          </cell>
        </row>
        <row r="22">
          <cell r="AD22" t="str">
            <v>Ambala</v>
          </cell>
          <cell r="AS22" t="str">
            <v>--</v>
          </cell>
        </row>
        <row r="23">
          <cell r="AD23" t="str">
            <v>Ambala</v>
          </cell>
          <cell r="AS23" t="str">
            <v>--</v>
          </cell>
        </row>
        <row r="24">
          <cell r="AD24" t="str">
            <v>Hissar</v>
          </cell>
          <cell r="AS24" t="str">
            <v>Aug-2010</v>
          </cell>
        </row>
        <row r="25">
          <cell r="AD25" t="str">
            <v>Hissar</v>
          </cell>
          <cell r="AS25" t="str">
            <v>Jul-2011</v>
          </cell>
        </row>
        <row r="26">
          <cell r="AD26" t="str">
            <v>Hissar</v>
          </cell>
          <cell r="AS26" t="str">
            <v>Aug-2011</v>
          </cell>
        </row>
        <row r="27">
          <cell r="AD27" t="str">
            <v>Hissar</v>
          </cell>
          <cell r="AS27" t="str">
            <v>Jun-2011</v>
          </cell>
        </row>
        <row r="28">
          <cell r="AD28" t="str">
            <v>Hissar</v>
          </cell>
          <cell r="AS28" t="str">
            <v>Dec-2011</v>
          </cell>
        </row>
        <row r="29">
          <cell r="AD29" t="str">
            <v>Hissar</v>
          </cell>
          <cell r="AS29" t="str">
            <v>Mar-2010</v>
          </cell>
        </row>
        <row r="30">
          <cell r="AD30" t="str">
            <v>Hissar</v>
          </cell>
          <cell r="AS30" t="str">
            <v>Apr-2011</v>
          </cell>
        </row>
        <row r="31">
          <cell r="AD31" t="str">
            <v>Hissar</v>
          </cell>
          <cell r="AS31" t="str">
            <v>Apr-2010</v>
          </cell>
        </row>
        <row r="32">
          <cell r="AD32" t="str">
            <v>Hissar</v>
          </cell>
          <cell r="AS32" t="str">
            <v>Jun-2010</v>
          </cell>
        </row>
        <row r="33">
          <cell r="AD33" t="str">
            <v>Hissar</v>
          </cell>
          <cell r="AS33" t="str">
            <v>Jul-2012</v>
          </cell>
        </row>
        <row r="34">
          <cell r="AD34" t="str">
            <v>Hissar</v>
          </cell>
          <cell r="AS34" t="str">
            <v>--</v>
          </cell>
        </row>
        <row r="35">
          <cell r="AD35" t="str">
            <v>Hissar</v>
          </cell>
          <cell r="AS35" t="str">
            <v>Jul-2010</v>
          </cell>
        </row>
        <row r="36">
          <cell r="AD36" t="str">
            <v>Hissar</v>
          </cell>
          <cell r="AS36" t="str">
            <v>Oct-2011</v>
          </cell>
        </row>
        <row r="37">
          <cell r="AD37" t="str">
            <v>Hissar</v>
          </cell>
          <cell r="AS37" t="str">
            <v>May-2012</v>
          </cell>
        </row>
        <row r="38">
          <cell r="AD38" t="str">
            <v>Hissar</v>
          </cell>
          <cell r="AS38" t="str">
            <v>Dec-2009</v>
          </cell>
        </row>
        <row r="39">
          <cell r="AD39" t="str">
            <v>Hissar</v>
          </cell>
          <cell r="AS39" t="str">
            <v>Jul-2012</v>
          </cell>
        </row>
        <row r="40">
          <cell r="AD40" t="str">
            <v>Hissar</v>
          </cell>
          <cell r="AS40" t="str">
            <v>Sep-2012</v>
          </cell>
        </row>
        <row r="41">
          <cell r="AD41" t="str">
            <v>Hissar</v>
          </cell>
          <cell r="AS41" t="str">
            <v>--</v>
          </cell>
        </row>
        <row r="42">
          <cell r="AD42" t="str">
            <v>Hissar</v>
          </cell>
          <cell r="AS42" t="str">
            <v>Jul-2012</v>
          </cell>
        </row>
        <row r="43">
          <cell r="AD43" t="str">
            <v>Hissar</v>
          </cell>
          <cell r="AS43" t="str">
            <v>--</v>
          </cell>
        </row>
        <row r="44">
          <cell r="AD44" t="str">
            <v>Hissar</v>
          </cell>
          <cell r="AS44" t="str">
            <v>--</v>
          </cell>
        </row>
        <row r="45">
          <cell r="AD45" t="str">
            <v>Hissar</v>
          </cell>
          <cell r="AS45" t="str">
            <v>--</v>
          </cell>
        </row>
        <row r="46">
          <cell r="AD46" t="str">
            <v>Kanpur</v>
          </cell>
          <cell r="AS46" t="str">
            <v>May-2010</v>
          </cell>
        </row>
        <row r="47">
          <cell r="AD47" t="str">
            <v>Kanpur</v>
          </cell>
          <cell r="AS47" t="str">
            <v>May-2011</v>
          </cell>
        </row>
        <row r="48">
          <cell r="AD48" t="str">
            <v>Kanpur</v>
          </cell>
          <cell r="AS48" t="str">
            <v>May-2011</v>
          </cell>
        </row>
        <row r="49">
          <cell r="AD49" t="str">
            <v>Kanpur</v>
          </cell>
          <cell r="AS49" t="str">
            <v>May-2011</v>
          </cell>
        </row>
        <row r="50">
          <cell r="AD50" t="str">
            <v>Kanpur</v>
          </cell>
          <cell r="AS50" t="str">
            <v>Oct-2011</v>
          </cell>
        </row>
        <row r="51">
          <cell r="AD51" t="str">
            <v>Kanpur</v>
          </cell>
          <cell r="AS51" t="str">
            <v>Oct-2011</v>
          </cell>
        </row>
        <row r="52">
          <cell r="AD52" t="str">
            <v>Kanpur</v>
          </cell>
          <cell r="AS52" t="str">
            <v>Jan-2012</v>
          </cell>
        </row>
        <row r="53">
          <cell r="AD53" t="str">
            <v>Kanpur</v>
          </cell>
          <cell r="AS53" t="str">
            <v>Jan-2012</v>
          </cell>
        </row>
        <row r="54">
          <cell r="AD54" t="str">
            <v>Kanpur</v>
          </cell>
          <cell r="AS54" t="str">
            <v>May-2012</v>
          </cell>
        </row>
        <row r="55">
          <cell r="AD55" t="str">
            <v>Kanpur</v>
          </cell>
          <cell r="AS55" t="str">
            <v>Jun-2012</v>
          </cell>
        </row>
        <row r="56">
          <cell r="AD56" t="str">
            <v xml:space="preserve">Jalandhar </v>
          </cell>
          <cell r="AS56" t="str">
            <v>Jan-2011</v>
          </cell>
        </row>
        <row r="57">
          <cell r="AD57" t="str">
            <v xml:space="preserve">Jalandhar </v>
          </cell>
          <cell r="AS57" t="str">
            <v>--</v>
          </cell>
        </row>
        <row r="58">
          <cell r="AD58" t="str">
            <v xml:space="preserve">Jalandhar </v>
          </cell>
          <cell r="AS58" t="str">
            <v>Apr-2010</v>
          </cell>
        </row>
        <row r="59">
          <cell r="AD59" t="str">
            <v xml:space="preserve">Jalandhar </v>
          </cell>
          <cell r="AS59" t="str">
            <v>Jun-2011</v>
          </cell>
        </row>
        <row r="60">
          <cell r="AD60" t="str">
            <v xml:space="preserve">Jalandhar </v>
          </cell>
          <cell r="AS60" t="str">
            <v>Mar-2011</v>
          </cell>
        </row>
        <row r="61">
          <cell r="AD61" t="str">
            <v xml:space="preserve">Jalandhar </v>
          </cell>
          <cell r="AS61" t="str">
            <v>--</v>
          </cell>
        </row>
        <row r="62">
          <cell r="AD62" t="str">
            <v xml:space="preserve">Jalandhar </v>
          </cell>
          <cell r="AS62" t="str">
            <v>Mar-2011</v>
          </cell>
        </row>
        <row r="63">
          <cell r="AD63" t="str">
            <v xml:space="preserve">Jalandhar </v>
          </cell>
          <cell r="AS63" t="str">
            <v>Mar-2011</v>
          </cell>
        </row>
        <row r="64">
          <cell r="AD64" t="str">
            <v xml:space="preserve">Jalandhar </v>
          </cell>
          <cell r="AS64" t="str">
            <v>May-2010</v>
          </cell>
        </row>
        <row r="65">
          <cell r="AD65" t="str">
            <v xml:space="preserve">Jalandhar </v>
          </cell>
          <cell r="AS65" t="str">
            <v>May-2010</v>
          </cell>
        </row>
        <row r="66">
          <cell r="AD66" t="str">
            <v xml:space="preserve">Jalandhar </v>
          </cell>
          <cell r="AS66" t="str">
            <v>Sep-2009</v>
          </cell>
        </row>
        <row r="67">
          <cell r="AD67" t="str">
            <v xml:space="preserve">Jalandhar </v>
          </cell>
          <cell r="AS67" t="str">
            <v>Jan-2007</v>
          </cell>
        </row>
        <row r="68">
          <cell r="AD68" t="str">
            <v xml:space="preserve">Jalandhar </v>
          </cell>
          <cell r="AS68" t="str">
            <v>Jun-2005</v>
          </cell>
        </row>
        <row r="69">
          <cell r="AD69" t="str">
            <v xml:space="preserve">Jalandhar </v>
          </cell>
          <cell r="AS69" t="str">
            <v>Jun-2005</v>
          </cell>
        </row>
        <row r="70">
          <cell r="AD70" t="str">
            <v xml:space="preserve">Jalandhar </v>
          </cell>
          <cell r="AS70" t="str">
            <v>Jun-1905</v>
          </cell>
        </row>
        <row r="71">
          <cell r="AD71" t="str">
            <v xml:space="preserve">Jalandhar </v>
          </cell>
          <cell r="AS71" t="str">
            <v>Jun-2012</v>
          </cell>
        </row>
        <row r="72">
          <cell r="AD72" t="str">
            <v xml:space="preserve">Jalandhar </v>
          </cell>
          <cell r="AS72" t="str">
            <v>Jul-2012</v>
          </cell>
        </row>
        <row r="73">
          <cell r="AD73" t="str">
            <v xml:space="preserve">Jalandhar </v>
          </cell>
          <cell r="AS73" t="str">
            <v>Aug-2012</v>
          </cell>
        </row>
        <row r="74">
          <cell r="AD74" t="str">
            <v xml:space="preserve">Sangrur </v>
          </cell>
          <cell r="AS74" t="str">
            <v>Jul-2010</v>
          </cell>
        </row>
        <row r="75">
          <cell r="AD75" t="str">
            <v xml:space="preserve">Sangrur </v>
          </cell>
          <cell r="AS75" t="str">
            <v>Nov-2010</v>
          </cell>
        </row>
        <row r="76">
          <cell r="AD76" t="str">
            <v xml:space="preserve">Sangrur </v>
          </cell>
          <cell r="AS76" t="str">
            <v>Nov-2011</v>
          </cell>
        </row>
        <row r="77">
          <cell r="AD77" t="str">
            <v xml:space="preserve">Sangrur </v>
          </cell>
          <cell r="AS77" t="str">
            <v>Sep-2010</v>
          </cell>
        </row>
        <row r="78">
          <cell r="AD78" t="str">
            <v xml:space="preserve">Sangrur </v>
          </cell>
          <cell r="AS78" t="str">
            <v>Jul-2011</v>
          </cell>
        </row>
        <row r="79">
          <cell r="AD79" t="str">
            <v xml:space="preserve">Sangrur </v>
          </cell>
          <cell r="AS79" t="str">
            <v>Oct-2010</v>
          </cell>
        </row>
        <row r="80">
          <cell r="AD80" t="str">
            <v xml:space="preserve">Sangrur </v>
          </cell>
          <cell r="AS80" t="str">
            <v>Jun-2010</v>
          </cell>
        </row>
        <row r="81">
          <cell r="AD81" t="str">
            <v xml:space="preserve">Sangrur </v>
          </cell>
          <cell r="AS81" t="str">
            <v>Dec-2005</v>
          </cell>
        </row>
        <row r="82">
          <cell r="AD82" t="str">
            <v xml:space="preserve">Sangrur </v>
          </cell>
          <cell r="AS82" t="str">
            <v>Jun-2012</v>
          </cell>
        </row>
        <row r="83">
          <cell r="AD83" t="str">
            <v xml:space="preserve">Sangrur </v>
          </cell>
          <cell r="AS83" t="str">
            <v>Jul-2012</v>
          </cell>
        </row>
        <row r="84">
          <cell r="AD84" t="str">
            <v>Bareilly</v>
          </cell>
          <cell r="AS84" t="str">
            <v>Apr-2011</v>
          </cell>
        </row>
        <row r="85">
          <cell r="AD85" t="str">
            <v>Bareilly</v>
          </cell>
          <cell r="AS85" t="str">
            <v>Feb-2007</v>
          </cell>
        </row>
        <row r="86">
          <cell r="AD86" t="str">
            <v>Bareilly</v>
          </cell>
          <cell r="AS86" t="str">
            <v>Nov-2007</v>
          </cell>
        </row>
        <row r="87">
          <cell r="AD87" t="str">
            <v>Bareilly</v>
          </cell>
          <cell r="AS87" t="str">
            <v>Oct-2007</v>
          </cell>
        </row>
        <row r="88">
          <cell r="AD88" t="str">
            <v>Bareilly</v>
          </cell>
          <cell r="AS88" t="str">
            <v>Dec-2009</v>
          </cell>
        </row>
        <row r="89">
          <cell r="AD89" t="str">
            <v>Bareilly</v>
          </cell>
          <cell r="AS89" t="str">
            <v>Jun-2011</v>
          </cell>
        </row>
        <row r="90">
          <cell r="AD90" t="str">
            <v>Bareilly</v>
          </cell>
          <cell r="AS90" t="str">
            <v>Dec-2010</v>
          </cell>
        </row>
        <row r="91">
          <cell r="AD91" t="str">
            <v>Bareilly</v>
          </cell>
          <cell r="AS91" t="str">
            <v>Dec-2010</v>
          </cell>
        </row>
        <row r="92">
          <cell r="AD92" t="str">
            <v>Bareilly</v>
          </cell>
          <cell r="AS92" t="str">
            <v>Aug-2011</v>
          </cell>
        </row>
        <row r="93">
          <cell r="AD93" t="str">
            <v>Bareilly</v>
          </cell>
          <cell r="AS93" t="str">
            <v>Nov-2010</v>
          </cell>
        </row>
        <row r="94">
          <cell r="AD94" t="str">
            <v>Bareilly</v>
          </cell>
          <cell r="AS94" t="str">
            <v>Nov-2011</v>
          </cell>
        </row>
        <row r="95">
          <cell r="AD95" t="str">
            <v>Bareilly</v>
          </cell>
          <cell r="AS95" t="str">
            <v>Dec-2010</v>
          </cell>
        </row>
        <row r="96">
          <cell r="AD96" t="str">
            <v>Bareilly</v>
          </cell>
          <cell r="AS96" t="str">
            <v>--</v>
          </cell>
        </row>
        <row r="97">
          <cell r="AD97" t="str">
            <v>Bareilly</v>
          </cell>
          <cell r="AS97" t="str">
            <v>Dec-2011</v>
          </cell>
        </row>
        <row r="98">
          <cell r="AD98" t="str">
            <v>Bareilly</v>
          </cell>
          <cell r="AS98" t="str">
            <v>Jan-2012</v>
          </cell>
        </row>
        <row r="99">
          <cell r="AD99" t="str">
            <v>Bareilly</v>
          </cell>
          <cell r="AS99" t="str">
            <v>Dec-2011</v>
          </cell>
        </row>
        <row r="100">
          <cell r="AD100" t="str">
            <v>Bareilly</v>
          </cell>
          <cell r="AS100" t="str">
            <v>Mar-2011</v>
          </cell>
        </row>
        <row r="101">
          <cell r="AD101" t="str">
            <v>Bareilly</v>
          </cell>
          <cell r="AS101" t="str">
            <v>Dec-2011</v>
          </cell>
        </row>
        <row r="102">
          <cell r="AD102" t="str">
            <v>Bareilly</v>
          </cell>
          <cell r="AS102" t="str">
            <v>Dec-2011</v>
          </cell>
        </row>
        <row r="103">
          <cell r="AD103" t="str">
            <v>Bareilly</v>
          </cell>
          <cell r="AS103" t="str">
            <v>Dec-2011</v>
          </cell>
        </row>
        <row r="104">
          <cell r="AD104" t="str">
            <v>Bareilly</v>
          </cell>
          <cell r="AS104" t="str">
            <v>Jan-2012</v>
          </cell>
        </row>
        <row r="105">
          <cell r="AD105" t="str">
            <v>Bareilly</v>
          </cell>
          <cell r="AS105" t="str">
            <v>Aug-2012</v>
          </cell>
        </row>
        <row r="106">
          <cell r="AD106" t="str">
            <v>Bareilly</v>
          </cell>
          <cell r="AS106" t="str">
            <v>Aug-2012</v>
          </cell>
        </row>
        <row r="107">
          <cell r="AD107" t="str">
            <v>Bareilly</v>
          </cell>
          <cell r="AS107" t="str">
            <v>--</v>
          </cell>
        </row>
        <row r="108">
          <cell r="AD108" t="str">
            <v>Bareilly</v>
          </cell>
          <cell r="AS108" t="str">
            <v>--</v>
          </cell>
        </row>
        <row r="109">
          <cell r="AD109" t="str">
            <v>Gorakhpur</v>
          </cell>
          <cell r="AS109" t="str">
            <v>--</v>
          </cell>
        </row>
        <row r="110">
          <cell r="AD110" t="str">
            <v>Gorakhpur</v>
          </cell>
          <cell r="AS110" t="str">
            <v>Dec-2011</v>
          </cell>
        </row>
        <row r="111">
          <cell r="AD111" t="str">
            <v>Gorakhpur</v>
          </cell>
          <cell r="AS111" t="str">
            <v>--</v>
          </cell>
        </row>
        <row r="112">
          <cell r="AD112" t="str">
            <v>Gorakhpur</v>
          </cell>
          <cell r="AS112" t="str">
            <v>--</v>
          </cell>
        </row>
        <row r="113">
          <cell r="AD113" t="str">
            <v>Gorakhpur</v>
          </cell>
          <cell r="AS113" t="str">
            <v>--</v>
          </cell>
        </row>
        <row r="114">
          <cell r="AD114" t="str">
            <v>Gorakhpur</v>
          </cell>
          <cell r="AS114" t="str">
            <v>Feb-2012</v>
          </cell>
        </row>
        <row r="115">
          <cell r="AD115" t="str">
            <v>Gorakhpur</v>
          </cell>
          <cell r="AS115" t="str">
            <v>Dec-2011</v>
          </cell>
        </row>
        <row r="116">
          <cell r="AD116" t="str">
            <v>Gorakhpur</v>
          </cell>
          <cell r="AS116" t="str">
            <v>--</v>
          </cell>
        </row>
        <row r="117">
          <cell r="AD117" t="str">
            <v>Gorakhpur</v>
          </cell>
          <cell r="AS117" t="str">
            <v>--</v>
          </cell>
        </row>
        <row r="118">
          <cell r="AD118" t="str">
            <v>Gorakhpur</v>
          </cell>
          <cell r="AS118" t="str">
            <v>--</v>
          </cell>
        </row>
        <row r="119">
          <cell r="AD119" t="str">
            <v>Gorakhpur</v>
          </cell>
          <cell r="AS119" t="str">
            <v>Aug-2012</v>
          </cell>
        </row>
        <row r="120">
          <cell r="AD120" t="str">
            <v>Gorakhpur</v>
          </cell>
          <cell r="AS120" t="str">
            <v>--</v>
          </cell>
        </row>
        <row r="121">
          <cell r="AD121" t="str">
            <v>Gorakhpur</v>
          </cell>
          <cell r="AS121" t="str">
            <v>Sep-2012</v>
          </cell>
        </row>
        <row r="122">
          <cell r="AD122" t="str">
            <v>Gorakhpur</v>
          </cell>
          <cell r="AS122" t="str">
            <v>--</v>
          </cell>
        </row>
        <row r="123">
          <cell r="AD123" t="str">
            <v>Gorakhpur</v>
          </cell>
          <cell r="AS123" t="str">
            <v>--</v>
          </cell>
        </row>
        <row r="124">
          <cell r="AD124" t="str">
            <v>Gorakhpur</v>
          </cell>
          <cell r="AS124" t="str">
            <v>--</v>
          </cell>
        </row>
        <row r="125">
          <cell r="AD125" t="str">
            <v>Gorakhpur</v>
          </cell>
          <cell r="AS125" t="str">
            <v>--</v>
          </cell>
        </row>
        <row r="126">
          <cell r="AD126" t="str">
            <v>Jaipur</v>
          </cell>
          <cell r="AS126" t="str">
            <v>Apr-2005</v>
          </cell>
        </row>
        <row r="127">
          <cell r="AD127" t="str">
            <v>Jaipur</v>
          </cell>
          <cell r="AS127" t="str">
            <v>Dec-2011</v>
          </cell>
        </row>
        <row r="128">
          <cell r="AD128" t="str">
            <v>Jaipur</v>
          </cell>
          <cell r="AS128" t="str">
            <v>--</v>
          </cell>
        </row>
        <row r="129">
          <cell r="AD129" t="str">
            <v>Jaipur</v>
          </cell>
          <cell r="AS129" t="str">
            <v>--</v>
          </cell>
        </row>
        <row r="130">
          <cell r="AD130" t="str">
            <v>Jaipur</v>
          </cell>
          <cell r="AS130" t="str">
            <v>Dec-2011</v>
          </cell>
        </row>
        <row r="131">
          <cell r="AD131" t="str">
            <v>Jaipur</v>
          </cell>
          <cell r="AS131" t="str">
            <v>Jan-2011</v>
          </cell>
        </row>
        <row r="132">
          <cell r="AD132" t="str">
            <v>Jaipur</v>
          </cell>
          <cell r="AS132" t="str">
            <v>Dec-2011</v>
          </cell>
        </row>
        <row r="133">
          <cell r="AD133" t="str">
            <v>Jaipur</v>
          </cell>
          <cell r="AS133" t="str">
            <v>--</v>
          </cell>
        </row>
        <row r="134">
          <cell r="AD134" t="str">
            <v>Jaipur</v>
          </cell>
          <cell r="AS134" t="str">
            <v>Jun-2012</v>
          </cell>
        </row>
        <row r="135">
          <cell r="AD135" t="str">
            <v>Jaipur</v>
          </cell>
          <cell r="AS135" t="str">
            <v>Nov-2011</v>
          </cell>
        </row>
        <row r="136">
          <cell r="AD136" t="str">
            <v>Jaipur</v>
          </cell>
          <cell r="AS136" t="str">
            <v>--</v>
          </cell>
        </row>
        <row r="137">
          <cell r="AD137" t="str">
            <v>Jaipur</v>
          </cell>
          <cell r="AS137" t="str">
            <v>Jun-2012</v>
          </cell>
        </row>
        <row r="138">
          <cell r="AD138" t="str">
            <v>Jaipur</v>
          </cell>
          <cell r="AS138" t="str">
            <v>--</v>
          </cell>
        </row>
        <row r="139">
          <cell r="AD139" t="str">
            <v>Jaipur</v>
          </cell>
          <cell r="AS139" t="str">
            <v>Dec-2011</v>
          </cell>
        </row>
        <row r="140">
          <cell r="AD140" t="str">
            <v>Jaipur</v>
          </cell>
          <cell r="AS140" t="str">
            <v>Jun-2012</v>
          </cell>
        </row>
        <row r="141">
          <cell r="AD141" t="str">
            <v>Jaipur</v>
          </cell>
          <cell r="AS141" t="str">
            <v>Mar-2012</v>
          </cell>
        </row>
        <row r="142">
          <cell r="AD142" t="str">
            <v>Jaipur</v>
          </cell>
          <cell r="AS142" t="str">
            <v>Mar-2012</v>
          </cell>
        </row>
        <row r="143">
          <cell r="AD143" t="str">
            <v>Jaipur</v>
          </cell>
          <cell r="AS143" t="str">
            <v>--</v>
          </cell>
        </row>
        <row r="144">
          <cell r="AD144" t="str">
            <v>Jaipur</v>
          </cell>
          <cell r="AS144" t="str">
            <v>Mar-2012</v>
          </cell>
        </row>
        <row r="145">
          <cell r="AD145" t="str">
            <v>Jaipur</v>
          </cell>
          <cell r="AS145" t="str">
            <v>Jan-2011</v>
          </cell>
        </row>
        <row r="146">
          <cell r="AD146" t="str">
            <v>Jaipur</v>
          </cell>
          <cell r="AS146" t="str">
            <v>Jun-2012</v>
          </cell>
        </row>
        <row r="147">
          <cell r="AD147" t="str">
            <v>Jaipur</v>
          </cell>
          <cell r="AS147" t="str">
            <v>Oct-2010</v>
          </cell>
        </row>
        <row r="148">
          <cell r="AD148" t="str">
            <v>Jaipur</v>
          </cell>
          <cell r="AS148" t="str">
            <v>Apr-2006</v>
          </cell>
        </row>
        <row r="149">
          <cell r="AD149" t="str">
            <v>Jaipur</v>
          </cell>
          <cell r="AS149" t="str">
            <v>Mar-2012</v>
          </cell>
        </row>
        <row r="150">
          <cell r="AD150" t="str">
            <v>Jaipur</v>
          </cell>
          <cell r="AS150" t="str">
            <v>--</v>
          </cell>
        </row>
        <row r="151">
          <cell r="AD151" t="str">
            <v>Jaipur</v>
          </cell>
          <cell r="AS151" t="str">
            <v>Jul-2005</v>
          </cell>
        </row>
        <row r="152">
          <cell r="AD152" t="str">
            <v>Jaipur</v>
          </cell>
          <cell r="AS152" t="str">
            <v>--</v>
          </cell>
        </row>
        <row r="153">
          <cell r="AD153" t="str">
            <v>Jaipur</v>
          </cell>
          <cell r="AS153" t="str">
            <v>--</v>
          </cell>
        </row>
        <row r="154">
          <cell r="AD154" t="str">
            <v>Jaipur</v>
          </cell>
          <cell r="AS154" t="str">
            <v>--</v>
          </cell>
        </row>
        <row r="155">
          <cell r="AD155" t="str">
            <v>Jaipur</v>
          </cell>
          <cell r="AS155" t="str">
            <v>--</v>
          </cell>
        </row>
        <row r="156">
          <cell r="AD156" t="str">
            <v>Jaipur</v>
          </cell>
          <cell r="AS156" t="str">
            <v>Jan-2008</v>
          </cell>
        </row>
        <row r="157">
          <cell r="AD157" t="str">
            <v>Jaipur</v>
          </cell>
          <cell r="AS157" t="str">
            <v>Mar-2005</v>
          </cell>
        </row>
        <row r="158">
          <cell r="AD158" t="str">
            <v>Jaipur</v>
          </cell>
          <cell r="AS158" t="str">
            <v>Nov-2005</v>
          </cell>
        </row>
        <row r="159">
          <cell r="AD159" t="str">
            <v>Jaipur</v>
          </cell>
          <cell r="AS159" t="str">
            <v>--</v>
          </cell>
        </row>
        <row r="160">
          <cell r="AD160" t="str">
            <v>Jaipur</v>
          </cell>
          <cell r="AS160" t="str">
            <v>Nov-2005</v>
          </cell>
        </row>
        <row r="161">
          <cell r="AD161" t="str">
            <v>Jaipur</v>
          </cell>
          <cell r="AS161" t="str">
            <v>Jan-2006</v>
          </cell>
        </row>
        <row r="162">
          <cell r="AD162" t="str">
            <v>Jaipur</v>
          </cell>
          <cell r="AS162" t="str">
            <v>May-2005</v>
          </cell>
        </row>
        <row r="163">
          <cell r="AD163" t="str">
            <v>Jaipur</v>
          </cell>
          <cell r="AS163" t="str">
            <v>--</v>
          </cell>
        </row>
        <row r="164">
          <cell r="AD164" t="str">
            <v>Jaipur</v>
          </cell>
          <cell r="AS164" t="str">
            <v>--</v>
          </cell>
        </row>
        <row r="165">
          <cell r="AD165" t="str">
            <v>Jaipur</v>
          </cell>
          <cell r="AS165" t="str">
            <v>--</v>
          </cell>
        </row>
        <row r="166">
          <cell r="AD166" t="str">
            <v>Jaipur</v>
          </cell>
          <cell r="AS166" t="str">
            <v>--</v>
          </cell>
        </row>
        <row r="167">
          <cell r="AD167" t="str">
            <v>Jaipur</v>
          </cell>
          <cell r="AS167" t="str">
            <v>--</v>
          </cell>
        </row>
        <row r="168">
          <cell r="AD168" t="str">
            <v>Jaipur</v>
          </cell>
          <cell r="AS168" t="str">
            <v>--</v>
          </cell>
        </row>
        <row r="169">
          <cell r="AD169" t="str">
            <v>Jaipur</v>
          </cell>
          <cell r="AS169" t="str">
            <v>Jul-2010</v>
          </cell>
        </row>
        <row r="170">
          <cell r="AD170" t="str">
            <v>Jaipur</v>
          </cell>
          <cell r="AS170" t="str">
            <v>--</v>
          </cell>
        </row>
        <row r="171">
          <cell r="AD171" t="str">
            <v>Jaipur</v>
          </cell>
          <cell r="AS171" t="str">
            <v>--</v>
          </cell>
        </row>
        <row r="172">
          <cell r="AD172" t="str">
            <v>Jaipur</v>
          </cell>
          <cell r="AS172" t="str">
            <v>--</v>
          </cell>
        </row>
        <row r="173">
          <cell r="AD173" t="str">
            <v>Jaipur</v>
          </cell>
          <cell r="AS173" t="str">
            <v>--</v>
          </cell>
        </row>
        <row r="174">
          <cell r="AD174" t="str">
            <v>Jaipur</v>
          </cell>
          <cell r="AS174" t="str">
            <v>--</v>
          </cell>
        </row>
        <row r="175">
          <cell r="AD175" t="str">
            <v>Jaipur</v>
          </cell>
          <cell r="AS175" t="str">
            <v>--</v>
          </cell>
        </row>
        <row r="176">
          <cell r="AD176" t="str">
            <v>Jaipur</v>
          </cell>
          <cell r="AS176" t="str">
            <v>--</v>
          </cell>
        </row>
        <row r="177">
          <cell r="AD177" t="str">
            <v>Jaipur</v>
          </cell>
          <cell r="AS177" t="str">
            <v>May-2012</v>
          </cell>
        </row>
        <row r="178">
          <cell r="AD178" t="str">
            <v>Jaipur</v>
          </cell>
          <cell r="AS178" t="str">
            <v>May-2012</v>
          </cell>
        </row>
        <row r="179">
          <cell r="AD179" t="str">
            <v>Jaipur</v>
          </cell>
          <cell r="AS179" t="str">
            <v>--</v>
          </cell>
        </row>
        <row r="180">
          <cell r="AD180" t="str">
            <v>Jaipur</v>
          </cell>
          <cell r="AS180" t="str">
            <v>--</v>
          </cell>
        </row>
        <row r="181">
          <cell r="AD181" t="str">
            <v>JAIPUR</v>
          </cell>
          <cell r="AS181" t="str">
            <v>--</v>
          </cell>
        </row>
        <row r="182">
          <cell r="AD182" t="str">
            <v>JAIPUR</v>
          </cell>
          <cell r="AS182" t="str">
            <v>--</v>
          </cell>
        </row>
        <row r="183">
          <cell r="AD183" t="str">
            <v>Varanasi</v>
          </cell>
          <cell r="AS183" t="str">
            <v>Dec-2010</v>
          </cell>
        </row>
        <row r="184">
          <cell r="AD184" t="str">
            <v>Varanasi</v>
          </cell>
          <cell r="AS184" t="str">
            <v>Jan-2011</v>
          </cell>
        </row>
        <row r="185">
          <cell r="AD185" t="str">
            <v>Varanasi</v>
          </cell>
          <cell r="AS185" t="str">
            <v>--</v>
          </cell>
        </row>
        <row r="186">
          <cell r="AD186" t="str">
            <v>Varanasi</v>
          </cell>
          <cell r="AS186" t="str">
            <v>Dec-2010</v>
          </cell>
        </row>
        <row r="187">
          <cell r="AD187" t="str">
            <v>Varanasi</v>
          </cell>
          <cell r="AS187" t="str">
            <v>--</v>
          </cell>
        </row>
        <row r="188">
          <cell r="AD188" t="str">
            <v>Varanasi</v>
          </cell>
          <cell r="AS188" t="str">
            <v>Jan-2011</v>
          </cell>
        </row>
        <row r="189">
          <cell r="AD189" t="str">
            <v>Varanasi</v>
          </cell>
          <cell r="AS189" t="str">
            <v>Dec-2010</v>
          </cell>
        </row>
        <row r="190">
          <cell r="AD190" t="str">
            <v>Varanasi</v>
          </cell>
          <cell r="AS190" t="str">
            <v>Sep-2012</v>
          </cell>
        </row>
        <row r="191">
          <cell r="AD191" t="str">
            <v>Varanasi</v>
          </cell>
          <cell r="AS191" t="str">
            <v>May-2011</v>
          </cell>
        </row>
        <row r="192">
          <cell r="AD192" t="str">
            <v>Varanasi</v>
          </cell>
          <cell r="AS192" t="str">
            <v>May-2011</v>
          </cell>
        </row>
        <row r="193">
          <cell r="AD193" t="str">
            <v>Varanasi</v>
          </cell>
          <cell r="AS193" t="str">
            <v>Jun-2011</v>
          </cell>
        </row>
        <row r="194">
          <cell r="AD194" t="str">
            <v>Varanasi</v>
          </cell>
          <cell r="AS194" t="str">
            <v>--</v>
          </cell>
        </row>
        <row r="195">
          <cell r="AD195" t="str">
            <v>Varanasi</v>
          </cell>
          <cell r="AS195" t="str">
            <v>Jun-2011</v>
          </cell>
        </row>
        <row r="196">
          <cell r="AD196" t="str">
            <v>Varanasi</v>
          </cell>
          <cell r="AS196" t="str">
            <v>--</v>
          </cell>
        </row>
        <row r="197">
          <cell r="AD197" t="str">
            <v>Varanasi</v>
          </cell>
          <cell r="AS197" t="str">
            <v>--</v>
          </cell>
        </row>
        <row r="198">
          <cell r="AD198" t="str">
            <v>Varanasi</v>
          </cell>
          <cell r="AS198">
            <v>40848</v>
          </cell>
        </row>
        <row r="199">
          <cell r="AD199" t="str">
            <v>Varanasi</v>
          </cell>
          <cell r="AS199" t="str">
            <v>Sep-2011</v>
          </cell>
        </row>
        <row r="200">
          <cell r="AD200" t="str">
            <v>Varanasi</v>
          </cell>
          <cell r="AS200" t="str">
            <v>--</v>
          </cell>
        </row>
        <row r="201">
          <cell r="AD201" t="str">
            <v>Varanasi</v>
          </cell>
          <cell r="AS201" t="str">
            <v>--</v>
          </cell>
        </row>
        <row r="202">
          <cell r="AD202" t="str">
            <v>Varanasi</v>
          </cell>
          <cell r="AS202" t="str">
            <v>--</v>
          </cell>
        </row>
        <row r="203">
          <cell r="AD203" t="str">
            <v>Varanasi</v>
          </cell>
          <cell r="AS203" t="str">
            <v>Dec-2011</v>
          </cell>
        </row>
        <row r="204">
          <cell r="AD204" t="str">
            <v>Varanasi</v>
          </cell>
          <cell r="AS204" t="str">
            <v>Sep-2012</v>
          </cell>
        </row>
        <row r="205">
          <cell r="AD205" t="str">
            <v>Varanasi</v>
          </cell>
          <cell r="AS205" t="str">
            <v>Aug-2012</v>
          </cell>
        </row>
        <row r="206">
          <cell r="AD206" t="str">
            <v>Varanasi</v>
          </cell>
          <cell r="AS206" t="str">
            <v>Aug-2012</v>
          </cell>
        </row>
        <row r="207">
          <cell r="AD207" t="str">
            <v>Varanasi</v>
          </cell>
          <cell r="AS207" t="str">
            <v>Sep-2012</v>
          </cell>
        </row>
        <row r="208">
          <cell r="AD208" t="str">
            <v>Varanasi</v>
          </cell>
          <cell r="AS208" t="str">
            <v>Aug-2012</v>
          </cell>
        </row>
        <row r="209">
          <cell r="AD209" t="str">
            <v>Varanasi</v>
          </cell>
          <cell r="AS209" t="str">
            <v>Sep-2012</v>
          </cell>
        </row>
        <row r="210">
          <cell r="AD210" t="str">
            <v>Varanasi</v>
          </cell>
          <cell r="AS210" t="str">
            <v>Sep-2012</v>
          </cell>
        </row>
        <row r="211">
          <cell r="AD211" t="str">
            <v>Varanasi</v>
          </cell>
          <cell r="AS211" t="str">
            <v>--</v>
          </cell>
        </row>
        <row r="212">
          <cell r="AD212" t="str">
            <v>Varanasi</v>
          </cell>
          <cell r="AS212" t="str">
            <v>--</v>
          </cell>
        </row>
        <row r="213">
          <cell r="AD213" t="str">
            <v>Varanasi</v>
          </cell>
          <cell r="AS213" t="str">
            <v>Sep-2012</v>
          </cell>
        </row>
        <row r="214">
          <cell r="AD214" t="str">
            <v>Varanasi</v>
          </cell>
          <cell r="AS214" t="str">
            <v>--</v>
          </cell>
        </row>
        <row r="215">
          <cell r="AD215" t="str">
            <v>Varanasi</v>
          </cell>
          <cell r="AS215" t="str">
            <v>Oct-2012</v>
          </cell>
        </row>
        <row r="216">
          <cell r="AD216" t="str">
            <v>Varanasi</v>
          </cell>
          <cell r="AS216" t="str">
            <v>Sep-2012</v>
          </cell>
        </row>
        <row r="217">
          <cell r="AD217" t="str">
            <v>Jammu</v>
          </cell>
          <cell r="AS217" t="str">
            <v>Jul-2010</v>
          </cell>
        </row>
        <row r="218">
          <cell r="AD218" t="str">
            <v>Jammu</v>
          </cell>
          <cell r="AS218" t="str">
            <v>Dec-2011</v>
          </cell>
        </row>
        <row r="219">
          <cell r="AD219" t="str">
            <v>Jammu</v>
          </cell>
          <cell r="AS219" t="str">
            <v>Aug-2011</v>
          </cell>
        </row>
        <row r="220">
          <cell r="AD220" t="str">
            <v>Jammu</v>
          </cell>
          <cell r="AS220" t="str">
            <v>Jul-2008</v>
          </cell>
        </row>
        <row r="221">
          <cell r="AD221" t="str">
            <v>Jammu</v>
          </cell>
          <cell r="AS221" t="str">
            <v>--</v>
          </cell>
        </row>
        <row r="222">
          <cell r="AD222" t="str">
            <v>Jammu</v>
          </cell>
          <cell r="AS222" t="str">
            <v>Feb-2012</v>
          </cell>
        </row>
        <row r="223">
          <cell r="AD223" t="str">
            <v>Jammu</v>
          </cell>
          <cell r="AS223" t="str">
            <v>Feb-2008</v>
          </cell>
        </row>
        <row r="224">
          <cell r="AD224" t="str">
            <v>Jammu</v>
          </cell>
          <cell r="AS224" t="str">
            <v>May-2012</v>
          </cell>
        </row>
        <row r="225">
          <cell r="AD225" t="str">
            <v>Jammu</v>
          </cell>
          <cell r="AS225" t="str">
            <v>May-2012</v>
          </cell>
        </row>
        <row r="226">
          <cell r="AD226" t="str">
            <v>Jammu</v>
          </cell>
          <cell r="AS226" t="str">
            <v>Jun-2012</v>
          </cell>
        </row>
        <row r="227">
          <cell r="AD227" t="str">
            <v>Jammu</v>
          </cell>
          <cell r="AS227" t="str">
            <v>Jun-2012</v>
          </cell>
        </row>
        <row r="228">
          <cell r="AD228" t="str">
            <v>Jammu</v>
          </cell>
          <cell r="AS228" t="str">
            <v>Jun-2012</v>
          </cell>
        </row>
        <row r="229">
          <cell r="AD229" t="str">
            <v>Jammu</v>
          </cell>
          <cell r="AS229" t="str">
            <v>--</v>
          </cell>
        </row>
        <row r="230">
          <cell r="AD230" t="str">
            <v>Jammu</v>
          </cell>
          <cell r="AS230" t="str">
            <v>--</v>
          </cell>
        </row>
        <row r="231">
          <cell r="AD231" t="str">
            <v>Jammu</v>
          </cell>
          <cell r="AS231" t="str">
            <v>--</v>
          </cell>
        </row>
        <row r="232">
          <cell r="AD232" t="str">
            <v>Jammu</v>
          </cell>
          <cell r="AS232" t="str">
            <v>Jun-2012</v>
          </cell>
        </row>
        <row r="233">
          <cell r="AD233" t="str">
            <v>Jammu</v>
          </cell>
          <cell r="AS233" t="str">
            <v>Jun-2012</v>
          </cell>
        </row>
        <row r="234">
          <cell r="AD234" t="str">
            <v>Jammu</v>
          </cell>
          <cell r="AS234" t="str">
            <v>--</v>
          </cell>
        </row>
        <row r="235">
          <cell r="AD235" t="str">
            <v>Jammu</v>
          </cell>
          <cell r="AS235" t="str">
            <v>Jun-2012</v>
          </cell>
        </row>
        <row r="236">
          <cell r="AD236" t="str">
            <v>Jammu</v>
          </cell>
          <cell r="AS236" t="str">
            <v>Jun-2012</v>
          </cell>
        </row>
        <row r="237">
          <cell r="AD237" t="str">
            <v>Jammu</v>
          </cell>
          <cell r="AS237" t="str">
            <v>Jun-2012</v>
          </cell>
        </row>
        <row r="238">
          <cell r="AD238" t="str">
            <v>Rewari</v>
          </cell>
          <cell r="AS238" t="str">
            <v>--</v>
          </cell>
        </row>
        <row r="239">
          <cell r="AD239" t="str">
            <v>Rewari</v>
          </cell>
          <cell r="AS239" t="str">
            <v>--</v>
          </cell>
        </row>
        <row r="240">
          <cell r="AD240" t="str">
            <v>Rewari</v>
          </cell>
          <cell r="AS240" t="str">
            <v>--</v>
          </cell>
        </row>
        <row r="241">
          <cell r="AD241" t="str">
            <v>Rewari</v>
          </cell>
          <cell r="AS241" t="str">
            <v>--</v>
          </cell>
        </row>
        <row r="242">
          <cell r="AD242" t="str">
            <v>Rewari</v>
          </cell>
          <cell r="AS242" t="str">
            <v>--</v>
          </cell>
        </row>
        <row r="243">
          <cell r="AD243" t="str">
            <v>Rewari</v>
          </cell>
          <cell r="AS243" t="str">
            <v>--</v>
          </cell>
        </row>
        <row r="244">
          <cell r="AD244" t="str">
            <v>Rewari</v>
          </cell>
          <cell r="AS244" t="str">
            <v>--</v>
          </cell>
        </row>
        <row r="245">
          <cell r="AD245" t="str">
            <v>Rewari</v>
          </cell>
          <cell r="AS245" t="str">
            <v>May-2012</v>
          </cell>
        </row>
        <row r="246">
          <cell r="AD246" t="str">
            <v>Rewari</v>
          </cell>
          <cell r="AS246" t="str">
            <v>--</v>
          </cell>
        </row>
        <row r="247">
          <cell r="AD247" t="str">
            <v>Rewari</v>
          </cell>
          <cell r="AS247" t="str">
            <v>--</v>
          </cell>
        </row>
        <row r="248">
          <cell r="AD248" t="str">
            <v>Rewari</v>
          </cell>
          <cell r="AS248" t="str">
            <v>--</v>
          </cell>
        </row>
        <row r="249">
          <cell r="AD249" t="str">
            <v>Rewari</v>
          </cell>
          <cell r="AS249" t="str">
            <v>--</v>
          </cell>
        </row>
        <row r="250">
          <cell r="AD250" t="str">
            <v>Rewari</v>
          </cell>
          <cell r="AS250" t="str">
            <v>--</v>
          </cell>
        </row>
        <row r="251">
          <cell r="AD251" t="str">
            <v>Rewari</v>
          </cell>
          <cell r="AS251" t="str">
            <v>Jan-2012</v>
          </cell>
        </row>
        <row r="252">
          <cell r="AD252" t="str">
            <v>Rewari</v>
          </cell>
          <cell r="AS252" t="str">
            <v>Apr-2012</v>
          </cell>
        </row>
        <row r="253">
          <cell r="AD253" t="str">
            <v>Rewari</v>
          </cell>
          <cell r="AS253" t="str">
            <v>Dec-2010</v>
          </cell>
        </row>
        <row r="254">
          <cell r="AD254" t="str">
            <v>Rewari</v>
          </cell>
          <cell r="AS254" t="str">
            <v>--</v>
          </cell>
        </row>
        <row r="255">
          <cell r="AD255" t="str">
            <v>Rewari</v>
          </cell>
          <cell r="AS255" t="str">
            <v>Oct-2011</v>
          </cell>
        </row>
        <row r="256">
          <cell r="AD256" t="str">
            <v>Rewari</v>
          </cell>
          <cell r="AS256" t="str">
            <v>Jun-2011</v>
          </cell>
        </row>
        <row r="257">
          <cell r="AD257" t="str">
            <v>Rewari</v>
          </cell>
          <cell r="AS257" t="str">
            <v>Jun-2011</v>
          </cell>
        </row>
        <row r="258">
          <cell r="AD258" t="str">
            <v>Rewari</v>
          </cell>
          <cell r="AS258" t="str">
            <v>--</v>
          </cell>
        </row>
        <row r="259">
          <cell r="AD259" t="str">
            <v>Rewari</v>
          </cell>
          <cell r="AS259" t="str">
            <v>--</v>
          </cell>
        </row>
        <row r="260">
          <cell r="AD260" t="str">
            <v>Rewari</v>
          </cell>
          <cell r="AS260" t="str">
            <v>--</v>
          </cell>
        </row>
        <row r="261">
          <cell r="AD261" t="str">
            <v>Rewari</v>
          </cell>
          <cell r="AS261" t="str">
            <v>--</v>
          </cell>
        </row>
        <row r="262">
          <cell r="AD262" t="str">
            <v>Rewari</v>
          </cell>
          <cell r="AS262" t="str">
            <v>--</v>
          </cell>
        </row>
        <row r="263">
          <cell r="AD263" t="str">
            <v>Rewari</v>
          </cell>
          <cell r="AS263" t="str">
            <v>Aug-2011</v>
          </cell>
        </row>
        <row r="264">
          <cell r="AD264" t="str">
            <v>Rewari</v>
          </cell>
          <cell r="AS264" t="str">
            <v>Nov-2011</v>
          </cell>
        </row>
        <row r="265">
          <cell r="AD265" t="str">
            <v>Rewari</v>
          </cell>
          <cell r="AS265" t="str">
            <v>Sep-2011</v>
          </cell>
        </row>
        <row r="266">
          <cell r="AD266" t="str">
            <v>Rewari</v>
          </cell>
          <cell r="AS266" t="str">
            <v>--</v>
          </cell>
        </row>
        <row r="267">
          <cell r="AD267" t="str">
            <v>Rewari</v>
          </cell>
          <cell r="AS267" t="str">
            <v>Nov-2011</v>
          </cell>
        </row>
        <row r="268">
          <cell r="AD268" t="str">
            <v>Rewari</v>
          </cell>
          <cell r="AS268" t="str">
            <v>May-2012</v>
          </cell>
        </row>
        <row r="269">
          <cell r="AD269" t="str">
            <v>Rewari</v>
          </cell>
          <cell r="AS269" t="str">
            <v>--</v>
          </cell>
        </row>
        <row r="270">
          <cell r="AD270" t="str">
            <v>Rewari</v>
          </cell>
          <cell r="AS270" t="str">
            <v>Apr-2012</v>
          </cell>
        </row>
        <row r="271">
          <cell r="AD271" t="str">
            <v>Rewari</v>
          </cell>
          <cell r="AS271" t="str">
            <v>Apr-2012</v>
          </cell>
        </row>
        <row r="272">
          <cell r="AD272" t="str">
            <v>Rewari</v>
          </cell>
          <cell r="AS272" t="str">
            <v>May-2012</v>
          </cell>
        </row>
        <row r="273">
          <cell r="AD273" t="str">
            <v>Rewari</v>
          </cell>
          <cell r="AS273" t="str">
            <v>May-2012</v>
          </cell>
        </row>
        <row r="274">
          <cell r="AD274" t="str">
            <v>Rewari</v>
          </cell>
          <cell r="AS274" t="str">
            <v>Jun-2012</v>
          </cell>
        </row>
        <row r="275">
          <cell r="AD275" t="str">
            <v>Rewari</v>
          </cell>
          <cell r="AS275" t="str">
            <v>May-2012</v>
          </cell>
        </row>
        <row r="276">
          <cell r="AD276" t="str">
            <v>Rewari</v>
          </cell>
          <cell r="AS276" t="str">
            <v>Jul-2012</v>
          </cell>
        </row>
        <row r="277">
          <cell r="AD277" t="str">
            <v>Rewari</v>
          </cell>
          <cell r="AS277" t="str">
            <v>Jun-2012</v>
          </cell>
        </row>
        <row r="278">
          <cell r="AD278" t="str">
            <v>Rewari</v>
          </cell>
          <cell r="AS278" t="str">
            <v>Jul-2012</v>
          </cell>
        </row>
        <row r="279">
          <cell r="AD279" t="str">
            <v>Rewari</v>
          </cell>
          <cell r="AS279" t="str">
            <v>Jun-2012</v>
          </cell>
        </row>
        <row r="280">
          <cell r="AD280" t="str">
            <v>Rewari</v>
          </cell>
          <cell r="AS280" t="str">
            <v>Jul-2012</v>
          </cell>
        </row>
        <row r="281">
          <cell r="AD281" t="str">
            <v>Rewari</v>
          </cell>
          <cell r="AS281" t="str">
            <v>--</v>
          </cell>
        </row>
        <row r="282">
          <cell r="AD282" t="str">
            <v>Rewari</v>
          </cell>
          <cell r="AS282" t="str">
            <v>Aug-2012</v>
          </cell>
        </row>
        <row r="283">
          <cell r="AD283" t="str">
            <v>Rewari</v>
          </cell>
          <cell r="AS283" t="str">
            <v>Jul-2012</v>
          </cell>
        </row>
        <row r="284">
          <cell r="AD284" t="str">
            <v>Rewari</v>
          </cell>
          <cell r="AS284" t="str">
            <v>Aug-2012</v>
          </cell>
        </row>
        <row r="285">
          <cell r="AD285" t="str">
            <v>Rewari</v>
          </cell>
          <cell r="AS285" t="str">
            <v>Sep-2012</v>
          </cell>
        </row>
        <row r="286">
          <cell r="AD286" t="str">
            <v>Rewari</v>
          </cell>
          <cell r="AS286" t="str">
            <v>Aug-2012</v>
          </cell>
        </row>
        <row r="287">
          <cell r="AD287" t="str">
            <v>Rewari</v>
          </cell>
          <cell r="AS287" t="str">
            <v>Aug-2012</v>
          </cell>
        </row>
        <row r="288">
          <cell r="AD288" t="str">
            <v>Rewari</v>
          </cell>
          <cell r="AS288" t="str">
            <v>Aug-2012</v>
          </cell>
        </row>
        <row r="289">
          <cell r="AD289" t="str">
            <v>Rewari</v>
          </cell>
          <cell r="AS289" t="str">
            <v>--</v>
          </cell>
        </row>
        <row r="290">
          <cell r="AD290" t="str">
            <v>Rewari</v>
          </cell>
          <cell r="AS290" t="str">
            <v>Sep-2012</v>
          </cell>
        </row>
        <row r="291">
          <cell r="AD291" t="str">
            <v>Rewari</v>
          </cell>
          <cell r="AS291" t="str">
            <v>--</v>
          </cell>
        </row>
        <row r="292">
          <cell r="AD292" t="str">
            <v>Rewari</v>
          </cell>
          <cell r="AS292" t="str">
            <v>--</v>
          </cell>
        </row>
        <row r="293">
          <cell r="AD293" t="str">
            <v>Rewari</v>
          </cell>
          <cell r="AS293" t="str">
            <v>--</v>
          </cell>
        </row>
        <row r="294">
          <cell r="AD294" t="str">
            <v>Rewari</v>
          </cell>
          <cell r="AS294" t="str">
            <v>--</v>
          </cell>
        </row>
        <row r="295">
          <cell r="AD295" t="str">
            <v>Rewari</v>
          </cell>
          <cell r="AS295" t="str">
            <v>--</v>
          </cell>
        </row>
        <row r="296">
          <cell r="AD296" t="str">
            <v>Rewari</v>
          </cell>
          <cell r="AS296" t="str">
            <v>--</v>
          </cell>
        </row>
        <row r="297">
          <cell r="AD297" t="str">
            <v>Rewari</v>
          </cell>
          <cell r="AS297" t="str">
            <v>--</v>
          </cell>
        </row>
        <row r="298">
          <cell r="AD298" t="str">
            <v>Rewari</v>
          </cell>
          <cell r="AS298" t="str">
            <v>--</v>
          </cell>
        </row>
        <row r="299">
          <cell r="AD299" t="str">
            <v>MATHURA</v>
          </cell>
          <cell r="AS299" t="str">
            <v>--</v>
          </cell>
        </row>
        <row r="300">
          <cell r="AD300" t="str">
            <v>MATHURA</v>
          </cell>
          <cell r="AS300" t="str">
            <v>--</v>
          </cell>
        </row>
        <row r="301">
          <cell r="AD301" t="str">
            <v>MATHURA</v>
          </cell>
          <cell r="AS301" t="str">
            <v>Apr-2012</v>
          </cell>
        </row>
        <row r="302">
          <cell r="AD302" t="str">
            <v>MATHURA</v>
          </cell>
          <cell r="AS302" t="str">
            <v>--</v>
          </cell>
        </row>
        <row r="303">
          <cell r="AD303" t="str">
            <v>MATHURA</v>
          </cell>
          <cell r="AS303" t="str">
            <v>--</v>
          </cell>
        </row>
        <row r="304">
          <cell r="AD304" t="str">
            <v>MATHURA</v>
          </cell>
          <cell r="AS304" t="str">
            <v>Aug-2012</v>
          </cell>
        </row>
        <row r="305">
          <cell r="AD305" t="str">
            <v>MATHURA</v>
          </cell>
          <cell r="AS305" t="str">
            <v>--</v>
          </cell>
        </row>
        <row r="306">
          <cell r="AD306" t="str">
            <v>MATHURA</v>
          </cell>
          <cell r="AS306" t="str">
            <v>Sep-2012</v>
          </cell>
        </row>
        <row r="307">
          <cell r="AD307" t="str">
            <v>MATHURA</v>
          </cell>
          <cell r="AS307" t="str">
            <v>Sep-2012</v>
          </cell>
        </row>
        <row r="308">
          <cell r="AD308" t="str">
            <v>MATHURA</v>
          </cell>
          <cell r="AS308" t="str">
            <v>Aug-2012</v>
          </cell>
        </row>
        <row r="309">
          <cell r="AD309" t="str">
            <v>MATHURA</v>
          </cell>
          <cell r="AS309" t="str">
            <v>--</v>
          </cell>
        </row>
        <row r="310">
          <cell r="AD310" t="str">
            <v>MATHURA</v>
          </cell>
          <cell r="AS310" t="str">
            <v>Jul-2012</v>
          </cell>
        </row>
        <row r="311">
          <cell r="AD311" t="str">
            <v>MATHURA</v>
          </cell>
          <cell r="AS311" t="str">
            <v>--</v>
          </cell>
        </row>
        <row r="312">
          <cell r="AD312" t="str">
            <v>MATHURA</v>
          </cell>
          <cell r="AS312" t="str">
            <v>Jul-2012</v>
          </cell>
        </row>
        <row r="313">
          <cell r="AD313" t="str">
            <v>MATHURA</v>
          </cell>
          <cell r="AS313" t="str">
            <v>Oct-2012</v>
          </cell>
        </row>
        <row r="314">
          <cell r="AD314" t="str">
            <v>MATHURA</v>
          </cell>
          <cell r="AS314" t="str">
            <v>--</v>
          </cell>
        </row>
        <row r="315">
          <cell r="AD315" t="str">
            <v>MATHURA</v>
          </cell>
          <cell r="AS315" t="str">
            <v>--</v>
          </cell>
        </row>
        <row r="316">
          <cell r="AD316" t="str">
            <v>MATHURA</v>
          </cell>
          <cell r="AS316" t="str">
            <v>--</v>
          </cell>
        </row>
        <row r="317">
          <cell r="AD317" t="str">
            <v>MATHURA</v>
          </cell>
          <cell r="AS317" t="str">
            <v>Oct-2012</v>
          </cell>
        </row>
        <row r="318">
          <cell r="AD318" t="str">
            <v>MATHURA</v>
          </cell>
          <cell r="AS318" t="str">
            <v>--</v>
          </cell>
        </row>
        <row r="319">
          <cell r="AD319" t="str">
            <v>MATHURA</v>
          </cell>
          <cell r="AS319" t="str">
            <v>--</v>
          </cell>
        </row>
        <row r="320">
          <cell r="AD320" t="str">
            <v>Jodhpur</v>
          </cell>
          <cell r="AS320" t="str">
            <v>Nov-2010</v>
          </cell>
        </row>
        <row r="321">
          <cell r="AD321" t="str">
            <v>Jodhpur</v>
          </cell>
          <cell r="AS321" t="str">
            <v>Mar-2012</v>
          </cell>
        </row>
        <row r="322">
          <cell r="AD322" t="str">
            <v>Jodhpur</v>
          </cell>
          <cell r="AS322" t="str">
            <v>--</v>
          </cell>
        </row>
        <row r="323">
          <cell r="AD323" t="str">
            <v>Jodhpur</v>
          </cell>
          <cell r="AS323" t="str">
            <v>Sep-2010</v>
          </cell>
        </row>
        <row r="324">
          <cell r="AD324" t="str">
            <v>Jodhpur</v>
          </cell>
          <cell r="AS324" t="str">
            <v>--</v>
          </cell>
        </row>
        <row r="325">
          <cell r="AD325" t="str">
            <v>Jodhpur</v>
          </cell>
          <cell r="AS325" t="str">
            <v>Sep-2010</v>
          </cell>
        </row>
        <row r="326">
          <cell r="AD326" t="str">
            <v xml:space="preserve">Jodhpur </v>
          </cell>
          <cell r="AS326" t="str">
            <v>Mar-2012</v>
          </cell>
        </row>
        <row r="327">
          <cell r="AD327" t="str">
            <v xml:space="preserve">Jodhpur </v>
          </cell>
          <cell r="AS327" t="str">
            <v>Jan-2012</v>
          </cell>
        </row>
        <row r="328">
          <cell r="AD328" t="str">
            <v xml:space="preserve">Jodhpur </v>
          </cell>
          <cell r="AS328" t="str">
            <v>Mar-2012</v>
          </cell>
        </row>
        <row r="329">
          <cell r="AD329" t="str">
            <v xml:space="preserve">Jodhpur </v>
          </cell>
          <cell r="AS329" t="str">
            <v>Apr-2012</v>
          </cell>
        </row>
        <row r="330">
          <cell r="AD330" t="str">
            <v xml:space="preserve">Jodhpur </v>
          </cell>
          <cell r="AS330" t="str">
            <v>Mar-2012</v>
          </cell>
        </row>
        <row r="331">
          <cell r="AD331" t="str">
            <v>Jodhpur</v>
          </cell>
          <cell r="AS331" t="str">
            <v>Apr-2012</v>
          </cell>
        </row>
        <row r="332">
          <cell r="AD332" t="str">
            <v xml:space="preserve">Jodhpur </v>
          </cell>
          <cell r="AS332" t="str">
            <v>Jul-2012</v>
          </cell>
        </row>
        <row r="333">
          <cell r="AD333" t="str">
            <v>Jodhpur</v>
          </cell>
          <cell r="AS333" t="str">
            <v>Jun-2012</v>
          </cell>
        </row>
        <row r="334">
          <cell r="AD334" t="str">
            <v>Jodhpur</v>
          </cell>
          <cell r="AS334" t="str">
            <v>May-2012</v>
          </cell>
        </row>
        <row r="335">
          <cell r="AD335" t="str">
            <v>Jodhpur</v>
          </cell>
          <cell r="AS335" t="str">
            <v>--</v>
          </cell>
        </row>
        <row r="336">
          <cell r="AD336" t="str">
            <v>Jodhpur</v>
          </cell>
          <cell r="AS336" t="str">
            <v>May-2012</v>
          </cell>
        </row>
        <row r="337">
          <cell r="AD337" t="str">
            <v>Jodhpur</v>
          </cell>
          <cell r="AS337" t="str">
            <v>May-2012</v>
          </cell>
        </row>
        <row r="338">
          <cell r="AD338" t="str">
            <v>Jodhpur</v>
          </cell>
          <cell r="AS338" t="str">
            <v>Jun-2012</v>
          </cell>
        </row>
        <row r="339">
          <cell r="AD339" t="str">
            <v>Jodhpur</v>
          </cell>
          <cell r="AS339" t="str">
            <v>May-12</v>
          </cell>
        </row>
        <row r="340">
          <cell r="AD340" t="str">
            <v>Jodhpur</v>
          </cell>
          <cell r="AS340" t="str">
            <v>May-2012</v>
          </cell>
        </row>
        <row r="341">
          <cell r="AD341" t="str">
            <v>Jodhpur</v>
          </cell>
          <cell r="AS341" t="str">
            <v>Sep-2012</v>
          </cell>
        </row>
        <row r="342">
          <cell r="AD342" t="str">
            <v>Jodhpur</v>
          </cell>
          <cell r="AS342" t="str">
            <v>Aug-2012</v>
          </cell>
        </row>
        <row r="343">
          <cell r="AD343" t="str">
            <v>Jodhpur</v>
          </cell>
          <cell r="AS343" t="str">
            <v>Sep-2012</v>
          </cell>
        </row>
        <row r="344">
          <cell r="AD344" t="str">
            <v>Jodhpur</v>
          </cell>
          <cell r="AS344" t="str">
            <v>Aug-2012</v>
          </cell>
        </row>
        <row r="345">
          <cell r="AD345" t="str">
            <v>Jodhpur</v>
          </cell>
          <cell r="AS345" t="str">
            <v>Sep-2012</v>
          </cell>
        </row>
        <row r="346">
          <cell r="AD346" t="str">
            <v>Meerut</v>
          </cell>
          <cell r="AS346" t="str">
            <v>Jul-2006</v>
          </cell>
        </row>
        <row r="347">
          <cell r="AD347" t="str">
            <v>Meerut</v>
          </cell>
          <cell r="AS347" t="str">
            <v>--</v>
          </cell>
        </row>
        <row r="348">
          <cell r="AD348" t="str">
            <v>Meerut</v>
          </cell>
          <cell r="AS348" t="str">
            <v>Apr-2011</v>
          </cell>
        </row>
        <row r="349">
          <cell r="AD349" t="str">
            <v>Meerut</v>
          </cell>
          <cell r="AS349" t="str">
            <v>--</v>
          </cell>
        </row>
        <row r="350">
          <cell r="AD350" t="str">
            <v>Meerut</v>
          </cell>
          <cell r="AS350" t="str">
            <v>Jun-2011</v>
          </cell>
        </row>
        <row r="351">
          <cell r="AD351" t="str">
            <v>Meerut</v>
          </cell>
          <cell r="AS351" t="str">
            <v>Dec-2011</v>
          </cell>
        </row>
        <row r="352">
          <cell r="AD352" t="str">
            <v>Meerut</v>
          </cell>
          <cell r="AS352" t="str">
            <v>Aug-2011</v>
          </cell>
        </row>
        <row r="353">
          <cell r="AD353" t="str">
            <v>Meerut</v>
          </cell>
          <cell r="AS353" t="str">
            <v>Jul-2011</v>
          </cell>
        </row>
        <row r="354">
          <cell r="AD354" t="str">
            <v>Meerut</v>
          </cell>
          <cell r="AS354" t="str">
            <v>Oct-2011</v>
          </cell>
        </row>
        <row r="355">
          <cell r="AD355" t="str">
            <v>Meerut</v>
          </cell>
          <cell r="AS355" t="str">
            <v>Nov-2011</v>
          </cell>
        </row>
        <row r="356">
          <cell r="AD356" t="str">
            <v>Meerut</v>
          </cell>
          <cell r="AS356" t="str">
            <v>Oct-2011</v>
          </cell>
        </row>
        <row r="357">
          <cell r="AD357" t="str">
            <v>Meerut</v>
          </cell>
          <cell r="AS357" t="str">
            <v>Oct-2011</v>
          </cell>
        </row>
        <row r="358">
          <cell r="AD358" t="str">
            <v>Meerut</v>
          </cell>
          <cell r="AS358" t="str">
            <v>Oct-2011</v>
          </cell>
        </row>
        <row r="359">
          <cell r="AD359" t="str">
            <v>Meerut</v>
          </cell>
          <cell r="AS359" t="str">
            <v>Jan-2012</v>
          </cell>
        </row>
        <row r="360">
          <cell r="AD360" t="str">
            <v>Meerut</v>
          </cell>
          <cell r="AS360" t="str">
            <v>Jan-2012</v>
          </cell>
        </row>
        <row r="361">
          <cell r="AD361" t="str">
            <v>Meerut</v>
          </cell>
          <cell r="AS361" t="str">
            <v>--</v>
          </cell>
        </row>
        <row r="362">
          <cell r="AD362" t="str">
            <v>Meerut</v>
          </cell>
          <cell r="AS362" t="str">
            <v>Dec-2011</v>
          </cell>
        </row>
        <row r="363">
          <cell r="AD363" t="str">
            <v>Meerut</v>
          </cell>
          <cell r="AS363" t="str">
            <v>Oct-2011</v>
          </cell>
        </row>
        <row r="364">
          <cell r="AD364" t="str">
            <v>Meerut</v>
          </cell>
          <cell r="AS364" t="str">
            <v>Jan-2012</v>
          </cell>
        </row>
        <row r="365">
          <cell r="AD365" t="str">
            <v>Meerut</v>
          </cell>
          <cell r="AS365" t="str">
            <v>May-2012</v>
          </cell>
        </row>
        <row r="366">
          <cell r="AD366" t="str">
            <v>Meerut</v>
          </cell>
          <cell r="AS366" t="str">
            <v>Jun-2012</v>
          </cell>
        </row>
        <row r="367">
          <cell r="AD367" t="str">
            <v>Meerut</v>
          </cell>
          <cell r="AS367" t="str">
            <v>--</v>
          </cell>
        </row>
        <row r="368">
          <cell r="AD368" t="str">
            <v>MEERUT</v>
          </cell>
          <cell r="AS368" t="str">
            <v>--</v>
          </cell>
        </row>
        <row r="369">
          <cell r="AD369" t="str">
            <v>MEERUT</v>
          </cell>
          <cell r="AS369" t="str">
            <v>Jul-2012</v>
          </cell>
        </row>
        <row r="370">
          <cell r="AD370" t="str">
            <v>MEERUT</v>
          </cell>
          <cell r="AS370" t="str">
            <v>Jun-2012</v>
          </cell>
        </row>
        <row r="371">
          <cell r="AD371" t="str">
            <v>MEERUT</v>
          </cell>
          <cell r="AS371" t="str">
            <v>Jul-2012</v>
          </cell>
        </row>
        <row r="372">
          <cell r="AD372" t="str">
            <v>MEERUT</v>
          </cell>
          <cell r="AS372" t="str">
            <v>--</v>
          </cell>
        </row>
        <row r="373">
          <cell r="AD373" t="str">
            <v>MEERUT</v>
          </cell>
          <cell r="AS373" t="str">
            <v>--</v>
          </cell>
        </row>
        <row r="374">
          <cell r="AD374" t="str">
            <v>MEERUT</v>
          </cell>
          <cell r="AS374" t="str">
            <v>Jul-2012</v>
          </cell>
        </row>
        <row r="375">
          <cell r="AD375" t="str">
            <v>MEERUT</v>
          </cell>
          <cell r="AS375" t="str">
            <v>Aug-2012</v>
          </cell>
        </row>
        <row r="376">
          <cell r="AD376" t="str">
            <v>MEERUT</v>
          </cell>
          <cell r="AS376" t="str">
            <v>Aug-2012</v>
          </cell>
        </row>
        <row r="377">
          <cell r="AD377" t="str">
            <v>MEERUT</v>
          </cell>
          <cell r="AS377" t="str">
            <v>Oct-2012</v>
          </cell>
        </row>
        <row r="378">
          <cell r="AD378" t="str">
            <v>MEERUT</v>
          </cell>
          <cell r="AS378" t="str">
            <v>Sep-2012</v>
          </cell>
        </row>
        <row r="379">
          <cell r="AD379" t="str">
            <v>Udaipur</v>
          </cell>
          <cell r="AS379" t="str">
            <v>--</v>
          </cell>
        </row>
        <row r="380">
          <cell r="AD380" t="str">
            <v>Udaipur</v>
          </cell>
          <cell r="AS380" t="str">
            <v>--</v>
          </cell>
        </row>
        <row r="381">
          <cell r="AD381" t="str">
            <v>Udaipur</v>
          </cell>
          <cell r="AS381" t="str">
            <v>--</v>
          </cell>
        </row>
        <row r="382">
          <cell r="AD382" t="str">
            <v>Udaipur</v>
          </cell>
          <cell r="AS382" t="str">
            <v>--</v>
          </cell>
        </row>
        <row r="383">
          <cell r="AD383" t="str">
            <v>Udaipur</v>
          </cell>
          <cell r="AS383" t="str">
            <v>--</v>
          </cell>
        </row>
        <row r="384">
          <cell r="AD384" t="str">
            <v>Udaipur</v>
          </cell>
          <cell r="AS384" t="str">
            <v>--</v>
          </cell>
        </row>
        <row r="385">
          <cell r="AD385" t="str">
            <v>Udaipur</v>
          </cell>
          <cell r="AS385" t="str">
            <v>--</v>
          </cell>
        </row>
        <row r="386">
          <cell r="AD386" t="str">
            <v>Udaipur</v>
          </cell>
          <cell r="AS386" t="str">
            <v>--</v>
          </cell>
        </row>
        <row r="387">
          <cell r="AD387" t="str">
            <v>Udaipur</v>
          </cell>
          <cell r="AS387" t="str">
            <v>--</v>
          </cell>
        </row>
        <row r="388">
          <cell r="AD388" t="str">
            <v>Udaipur</v>
          </cell>
          <cell r="AS388" t="str">
            <v>--</v>
          </cell>
        </row>
        <row r="389">
          <cell r="AD389" t="str">
            <v>Udaipur</v>
          </cell>
          <cell r="AS389" t="str">
            <v>Apr-2012</v>
          </cell>
        </row>
        <row r="390">
          <cell r="AD390" t="str">
            <v>Udaipur</v>
          </cell>
          <cell r="AS390" t="str">
            <v>--</v>
          </cell>
        </row>
        <row r="391">
          <cell r="AD391" t="str">
            <v>Udaipur</v>
          </cell>
          <cell r="AS391" t="str">
            <v>--</v>
          </cell>
        </row>
        <row r="392">
          <cell r="AD392" t="str">
            <v>Udaipur</v>
          </cell>
          <cell r="AS392" t="str">
            <v>--</v>
          </cell>
        </row>
        <row r="393">
          <cell r="AD393" t="str">
            <v>Udaipur</v>
          </cell>
          <cell r="AS393" t="str">
            <v>Apr-2012</v>
          </cell>
        </row>
        <row r="394">
          <cell r="AD394" t="str">
            <v>Udaipur</v>
          </cell>
          <cell r="AS394" t="str">
            <v>Mar-2012</v>
          </cell>
        </row>
        <row r="395">
          <cell r="AD395" t="str">
            <v>Udaipur</v>
          </cell>
          <cell r="AS395" t="str">
            <v>Aug-2012</v>
          </cell>
        </row>
        <row r="396">
          <cell r="AD396" t="str">
            <v>Udaipur</v>
          </cell>
          <cell r="AS396" t="str">
            <v>Jun-2012</v>
          </cell>
        </row>
        <row r="397">
          <cell r="AD397" t="str">
            <v>Udaipur</v>
          </cell>
          <cell r="AS397" t="str">
            <v>--</v>
          </cell>
        </row>
        <row r="398">
          <cell r="AD398" t="str">
            <v>Udaipur</v>
          </cell>
          <cell r="AS398" t="str">
            <v>--</v>
          </cell>
        </row>
        <row r="399">
          <cell r="AD399" t="str">
            <v>Udaipur</v>
          </cell>
          <cell r="AS399" t="str">
            <v>--</v>
          </cell>
        </row>
        <row r="400">
          <cell r="AD400" t="str">
            <v>Udaipur</v>
          </cell>
          <cell r="AS400" t="str">
            <v>--</v>
          </cell>
        </row>
        <row r="401">
          <cell r="AD401" t="str">
            <v>Udaipur</v>
          </cell>
          <cell r="AS401" t="str">
            <v>--</v>
          </cell>
        </row>
        <row r="402">
          <cell r="AD402" t="str">
            <v>Udaipur</v>
          </cell>
          <cell r="AS402" t="str">
            <v>--</v>
          </cell>
        </row>
        <row r="403">
          <cell r="AD403" t="str">
            <v>Udaipur</v>
          </cell>
          <cell r="AS403" t="str">
            <v>--</v>
          </cell>
        </row>
        <row r="404">
          <cell r="AD404" t="str">
            <v>Udaipur</v>
          </cell>
          <cell r="AS404" t="str">
            <v>--</v>
          </cell>
        </row>
        <row r="405">
          <cell r="AD405" t="str">
            <v>Udaipur</v>
          </cell>
          <cell r="AS405" t="str">
            <v>--</v>
          </cell>
        </row>
        <row r="406">
          <cell r="AD406" t="str">
            <v>Udaipur</v>
          </cell>
          <cell r="AS406" t="str">
            <v>--</v>
          </cell>
        </row>
        <row r="407">
          <cell r="AD407" t="str">
            <v>Udaipur</v>
          </cell>
          <cell r="AS407" t="str">
            <v>--</v>
          </cell>
        </row>
        <row r="408">
          <cell r="AD408" t="str">
            <v>Udaipur</v>
          </cell>
          <cell r="AS408" t="str">
            <v>Sep-2012</v>
          </cell>
        </row>
        <row r="409">
          <cell r="AD409" t="str">
            <v>Udaipur</v>
          </cell>
          <cell r="AS409" t="str">
            <v>--</v>
          </cell>
        </row>
        <row r="410">
          <cell r="AD410" t="str">
            <v>Kota</v>
          </cell>
          <cell r="AS410" t="str">
            <v>--</v>
          </cell>
        </row>
        <row r="411">
          <cell r="AD411" t="str">
            <v>Kota</v>
          </cell>
          <cell r="AS411" t="str">
            <v>Jan-12</v>
          </cell>
        </row>
        <row r="412">
          <cell r="AD412" t="str">
            <v>Kota</v>
          </cell>
          <cell r="AS412" t="str">
            <v>Jan-12</v>
          </cell>
        </row>
        <row r="413">
          <cell r="AD413" t="str">
            <v>Kota</v>
          </cell>
          <cell r="AS413" t="str">
            <v>Jan-12</v>
          </cell>
        </row>
        <row r="414">
          <cell r="AD414" t="str">
            <v>Kota</v>
          </cell>
          <cell r="AS414" t="str">
            <v>Jul-12</v>
          </cell>
        </row>
        <row r="415">
          <cell r="AD415" t="str">
            <v>Kota</v>
          </cell>
          <cell r="AS415" t="str">
            <v>Jan-12</v>
          </cell>
        </row>
        <row r="416">
          <cell r="AD416" t="str">
            <v>Kota</v>
          </cell>
          <cell r="AS416" t="str">
            <v>Jan-12</v>
          </cell>
        </row>
        <row r="417">
          <cell r="AD417" t="str">
            <v>Kota</v>
          </cell>
          <cell r="AS417" t="str">
            <v>--</v>
          </cell>
        </row>
        <row r="418">
          <cell r="AD418" t="str">
            <v>Kota</v>
          </cell>
          <cell r="AS418" t="str">
            <v>Jan-12</v>
          </cell>
        </row>
        <row r="419">
          <cell r="AD419" t="str">
            <v>Kota</v>
          </cell>
          <cell r="AS419" t="str">
            <v>Jan-12</v>
          </cell>
        </row>
        <row r="420">
          <cell r="AD420" t="str">
            <v>Kota</v>
          </cell>
          <cell r="AS420" t="str">
            <v>Jan-11</v>
          </cell>
        </row>
        <row r="421">
          <cell r="AD421" t="str">
            <v>Kota</v>
          </cell>
          <cell r="AS421" t="str">
            <v>Jan-11</v>
          </cell>
        </row>
        <row r="422">
          <cell r="AD422" t="str">
            <v>Kota</v>
          </cell>
          <cell r="AS422" t="str">
            <v>Jan-10</v>
          </cell>
        </row>
        <row r="423">
          <cell r="AD423" t="str">
            <v>Kota</v>
          </cell>
          <cell r="AS423" t="str">
            <v>Jan-11</v>
          </cell>
        </row>
        <row r="424">
          <cell r="AD424" t="str">
            <v>Kota</v>
          </cell>
          <cell r="AS424" t="str">
            <v>Jan-11</v>
          </cell>
        </row>
        <row r="425">
          <cell r="AD425" t="str">
            <v>Kota</v>
          </cell>
          <cell r="AS425" t="str">
            <v>--</v>
          </cell>
        </row>
        <row r="426">
          <cell r="AD426" t="str">
            <v>Kota</v>
          </cell>
          <cell r="AS426" t="str">
            <v>--</v>
          </cell>
        </row>
        <row r="427">
          <cell r="AD427" t="str">
            <v>Kota</v>
          </cell>
          <cell r="AS427" t="str">
            <v>Jul-12</v>
          </cell>
        </row>
        <row r="428">
          <cell r="AD428" t="str">
            <v>Kota</v>
          </cell>
          <cell r="AS428" t="str">
            <v>Jul-12</v>
          </cell>
        </row>
        <row r="429">
          <cell r="AD429" t="str">
            <v>Kota</v>
          </cell>
          <cell r="AS429" t="str">
            <v>Jun-12</v>
          </cell>
        </row>
        <row r="430">
          <cell r="AD430" t="str">
            <v>Kota</v>
          </cell>
          <cell r="AS430" t="str">
            <v>Jun-12</v>
          </cell>
        </row>
        <row r="431">
          <cell r="AD431" t="str">
            <v>Kota</v>
          </cell>
          <cell r="AS431" t="str">
            <v>--</v>
          </cell>
        </row>
        <row r="432">
          <cell r="AD432" t="str">
            <v>Kota</v>
          </cell>
          <cell r="AS432" t="str">
            <v>May-12</v>
          </cell>
        </row>
        <row r="433">
          <cell r="AD433" t="str">
            <v>Kota</v>
          </cell>
          <cell r="AS433" t="str">
            <v>May-12</v>
          </cell>
        </row>
        <row r="434">
          <cell r="AD434" t="str">
            <v>Kota</v>
          </cell>
          <cell r="AS434" t="str">
            <v>Jun-12</v>
          </cell>
        </row>
        <row r="435">
          <cell r="AD435" t="str">
            <v>Kota</v>
          </cell>
          <cell r="AS435" t="str">
            <v>Sep-12</v>
          </cell>
        </row>
      </sheetData>
      <sheetData sheetId="8" refreshError="1"/>
      <sheetData sheetId="9" refreshError="1"/>
      <sheetData sheetId="10">
        <row r="2">
          <cell r="A2" t="str">
            <v>GC</v>
          </cell>
          <cell r="D2">
            <v>43445</v>
          </cell>
        </row>
        <row r="3">
          <cell r="A3" t="str">
            <v>IN</v>
          </cell>
          <cell r="D3">
            <v>43157</v>
          </cell>
        </row>
        <row r="4">
          <cell r="A4" t="str">
            <v>ANZ</v>
          </cell>
          <cell r="D4">
            <v>43457</v>
          </cell>
        </row>
        <row r="5">
          <cell r="A5" t="str">
            <v>GC</v>
          </cell>
          <cell r="D5">
            <v>43317</v>
          </cell>
        </row>
        <row r="6">
          <cell r="A6" t="str">
            <v>IN</v>
          </cell>
          <cell r="D6">
            <v>43415</v>
          </cell>
        </row>
        <row r="7">
          <cell r="A7" t="str">
            <v>GC</v>
          </cell>
          <cell r="D7">
            <v>43201</v>
          </cell>
        </row>
        <row r="8">
          <cell r="A8" t="str">
            <v>IN</v>
          </cell>
          <cell r="D8">
            <v>43123</v>
          </cell>
        </row>
        <row r="9">
          <cell r="A9" t="str">
            <v>IN</v>
          </cell>
          <cell r="D9">
            <v>43262</v>
          </cell>
        </row>
        <row r="10">
          <cell r="A10" t="str">
            <v>IN</v>
          </cell>
          <cell r="D10">
            <v>43157</v>
          </cell>
        </row>
        <row r="11">
          <cell r="A11" t="str">
            <v>GC</v>
          </cell>
          <cell r="D11">
            <v>43335</v>
          </cell>
        </row>
        <row r="12">
          <cell r="A12" t="str">
            <v>KR</v>
          </cell>
          <cell r="D12">
            <v>43218</v>
          </cell>
        </row>
        <row r="13">
          <cell r="A13" t="str">
            <v>KR</v>
          </cell>
          <cell r="D13">
            <v>43127</v>
          </cell>
        </row>
        <row r="14">
          <cell r="A14" t="str">
            <v>GC</v>
          </cell>
          <cell r="D14">
            <v>43399</v>
          </cell>
        </row>
        <row r="15">
          <cell r="A15" t="str">
            <v>KR</v>
          </cell>
          <cell r="D15">
            <v>43262</v>
          </cell>
        </row>
        <row r="16">
          <cell r="A16" t="str">
            <v>KR</v>
          </cell>
          <cell r="D16">
            <v>43443</v>
          </cell>
        </row>
        <row r="17">
          <cell r="A17" t="str">
            <v>GC</v>
          </cell>
          <cell r="D17">
            <v>43155</v>
          </cell>
        </row>
        <row r="18">
          <cell r="A18" t="str">
            <v>KR</v>
          </cell>
          <cell r="D18">
            <v>43103</v>
          </cell>
        </row>
        <row r="19">
          <cell r="A19" t="str">
            <v>KR</v>
          </cell>
          <cell r="D19">
            <v>43209</v>
          </cell>
        </row>
        <row r="20">
          <cell r="A20" t="str">
            <v>KR</v>
          </cell>
          <cell r="D20">
            <v>43148</v>
          </cell>
        </row>
        <row r="21">
          <cell r="A21" t="str">
            <v>KR</v>
          </cell>
          <cell r="D21">
            <v>43227</v>
          </cell>
        </row>
        <row r="22">
          <cell r="A22" t="str">
            <v>GC</v>
          </cell>
          <cell r="D22">
            <v>43107</v>
          </cell>
        </row>
        <row r="23">
          <cell r="A23" t="str">
            <v>GC</v>
          </cell>
          <cell r="D23">
            <v>43130</v>
          </cell>
        </row>
        <row r="24">
          <cell r="A24" t="str">
            <v>ASEAN</v>
          </cell>
          <cell r="D24">
            <v>43335</v>
          </cell>
        </row>
        <row r="25">
          <cell r="A25" t="str">
            <v>IN</v>
          </cell>
          <cell r="D25">
            <v>43234</v>
          </cell>
        </row>
        <row r="26">
          <cell r="A26" t="str">
            <v>IN</v>
          </cell>
          <cell r="D26">
            <v>43258</v>
          </cell>
        </row>
        <row r="27">
          <cell r="A27" t="str">
            <v>IN</v>
          </cell>
          <cell r="D27">
            <v>43423</v>
          </cell>
        </row>
        <row r="28">
          <cell r="A28" t="str">
            <v>ANZ</v>
          </cell>
          <cell r="D28">
            <v>43208</v>
          </cell>
        </row>
        <row r="29">
          <cell r="A29" t="str">
            <v>ANZ</v>
          </cell>
          <cell r="D29">
            <v>43129</v>
          </cell>
        </row>
        <row r="30">
          <cell r="A30" t="str">
            <v>ANZ</v>
          </cell>
          <cell r="D30">
            <v>43281</v>
          </cell>
        </row>
        <row r="31">
          <cell r="A31" t="str">
            <v>IN</v>
          </cell>
          <cell r="D31">
            <v>43386</v>
          </cell>
        </row>
        <row r="32">
          <cell r="A32" t="str">
            <v>ANZ</v>
          </cell>
          <cell r="D32">
            <v>43414</v>
          </cell>
        </row>
        <row r="33">
          <cell r="A33" t="str">
            <v>GC</v>
          </cell>
          <cell r="D33">
            <v>43394</v>
          </cell>
        </row>
        <row r="34">
          <cell r="A34" t="str">
            <v>IN</v>
          </cell>
          <cell r="D34">
            <v>43146</v>
          </cell>
        </row>
        <row r="35">
          <cell r="A35" t="str">
            <v>IN</v>
          </cell>
          <cell r="D35">
            <v>43168</v>
          </cell>
        </row>
        <row r="36">
          <cell r="A36" t="str">
            <v>IN</v>
          </cell>
          <cell r="D36">
            <v>43159</v>
          </cell>
        </row>
        <row r="37">
          <cell r="A37" t="str">
            <v>IN</v>
          </cell>
          <cell r="D37">
            <v>43438</v>
          </cell>
        </row>
        <row r="38">
          <cell r="A38" t="str">
            <v>ASEAN</v>
          </cell>
          <cell r="D38">
            <v>43304</v>
          </cell>
        </row>
        <row r="39">
          <cell r="A39" t="str">
            <v>IN</v>
          </cell>
          <cell r="D39">
            <v>43435</v>
          </cell>
        </row>
        <row r="40">
          <cell r="A40" t="str">
            <v>ANZ</v>
          </cell>
          <cell r="D40">
            <v>43392</v>
          </cell>
        </row>
        <row r="41">
          <cell r="A41" t="str">
            <v>IN</v>
          </cell>
          <cell r="D41">
            <v>43436</v>
          </cell>
        </row>
        <row r="42">
          <cell r="A42" t="str">
            <v>IN</v>
          </cell>
          <cell r="D42">
            <v>43198</v>
          </cell>
        </row>
        <row r="43">
          <cell r="A43" t="str">
            <v>IN</v>
          </cell>
          <cell r="D43">
            <v>43124</v>
          </cell>
        </row>
        <row r="44">
          <cell r="A44" t="str">
            <v>IN</v>
          </cell>
          <cell r="D44">
            <v>43307</v>
          </cell>
        </row>
        <row r="45">
          <cell r="A45" t="str">
            <v>ASEAN</v>
          </cell>
          <cell r="D45">
            <v>43153</v>
          </cell>
        </row>
        <row r="46">
          <cell r="A46" t="str">
            <v>IN</v>
          </cell>
          <cell r="D46">
            <v>43349</v>
          </cell>
        </row>
        <row r="47">
          <cell r="A47" t="str">
            <v>ASEAN</v>
          </cell>
          <cell r="D47">
            <v>43138</v>
          </cell>
        </row>
        <row r="48">
          <cell r="A48" t="str">
            <v>IN</v>
          </cell>
          <cell r="D48">
            <v>43439</v>
          </cell>
        </row>
        <row r="49">
          <cell r="A49" t="str">
            <v>IN</v>
          </cell>
          <cell r="D49">
            <v>43428</v>
          </cell>
        </row>
        <row r="50">
          <cell r="A50" t="str">
            <v>ANZ</v>
          </cell>
          <cell r="D50">
            <v>43278</v>
          </cell>
        </row>
        <row r="51">
          <cell r="A51" t="str">
            <v>ANZ</v>
          </cell>
          <cell r="D51">
            <v>43446</v>
          </cell>
        </row>
        <row r="52">
          <cell r="A52" t="str">
            <v>KR</v>
          </cell>
          <cell r="D52">
            <v>43322</v>
          </cell>
        </row>
        <row r="53">
          <cell r="A53" t="str">
            <v>KR</v>
          </cell>
          <cell r="D53">
            <v>43335</v>
          </cell>
        </row>
        <row r="54">
          <cell r="A54" t="str">
            <v>KR</v>
          </cell>
          <cell r="D54">
            <v>43435</v>
          </cell>
        </row>
        <row r="55">
          <cell r="A55" t="str">
            <v>KR</v>
          </cell>
          <cell r="D55">
            <v>43287</v>
          </cell>
        </row>
        <row r="56">
          <cell r="A56" t="str">
            <v>KR</v>
          </cell>
          <cell r="D56">
            <v>43143</v>
          </cell>
        </row>
        <row r="57">
          <cell r="A57" t="str">
            <v>IN</v>
          </cell>
          <cell r="D57">
            <v>43141</v>
          </cell>
        </row>
        <row r="58">
          <cell r="A58" t="str">
            <v>IN</v>
          </cell>
          <cell r="D58">
            <v>43315</v>
          </cell>
        </row>
        <row r="59">
          <cell r="A59" t="str">
            <v>ASEAN</v>
          </cell>
          <cell r="D59">
            <v>43204</v>
          </cell>
        </row>
        <row r="60">
          <cell r="A60" t="str">
            <v>IN</v>
          </cell>
          <cell r="D60">
            <v>43231</v>
          </cell>
        </row>
        <row r="61">
          <cell r="A61" t="str">
            <v>IN</v>
          </cell>
          <cell r="D61">
            <v>43246</v>
          </cell>
        </row>
        <row r="62">
          <cell r="A62" t="str">
            <v>IN</v>
          </cell>
          <cell r="D62">
            <v>43228</v>
          </cell>
        </row>
        <row r="63">
          <cell r="A63" t="str">
            <v>IN</v>
          </cell>
          <cell r="D63">
            <v>43396</v>
          </cell>
        </row>
        <row r="64">
          <cell r="A64" t="str">
            <v>GC</v>
          </cell>
          <cell r="D64">
            <v>43285</v>
          </cell>
        </row>
        <row r="65">
          <cell r="A65" t="str">
            <v>ASEAN</v>
          </cell>
          <cell r="D65">
            <v>43327</v>
          </cell>
        </row>
        <row r="66">
          <cell r="A66" t="str">
            <v>IN</v>
          </cell>
          <cell r="D66">
            <v>43198</v>
          </cell>
        </row>
        <row r="67">
          <cell r="A67" t="str">
            <v>IN</v>
          </cell>
          <cell r="D67">
            <v>43157</v>
          </cell>
        </row>
        <row r="68">
          <cell r="A68" t="str">
            <v>IN</v>
          </cell>
          <cell r="D68">
            <v>43197</v>
          </cell>
        </row>
        <row r="69">
          <cell r="A69" t="str">
            <v>IN</v>
          </cell>
          <cell r="D69">
            <v>43337</v>
          </cell>
        </row>
        <row r="70">
          <cell r="A70" t="str">
            <v>IN</v>
          </cell>
          <cell r="D70">
            <v>43261</v>
          </cell>
        </row>
        <row r="71">
          <cell r="A71" t="str">
            <v>IN</v>
          </cell>
          <cell r="D71">
            <v>43157</v>
          </cell>
        </row>
        <row r="72">
          <cell r="A72" t="str">
            <v>IN</v>
          </cell>
          <cell r="D72">
            <v>43117</v>
          </cell>
        </row>
        <row r="73">
          <cell r="A73" t="str">
            <v>IN</v>
          </cell>
          <cell r="D73">
            <v>43350</v>
          </cell>
        </row>
        <row r="74">
          <cell r="A74" t="str">
            <v>IN</v>
          </cell>
          <cell r="D74">
            <v>43201</v>
          </cell>
        </row>
        <row r="75">
          <cell r="A75" t="str">
            <v>IN</v>
          </cell>
          <cell r="D75">
            <v>43174</v>
          </cell>
        </row>
        <row r="76">
          <cell r="A76" t="str">
            <v>GC</v>
          </cell>
          <cell r="D76">
            <v>43435</v>
          </cell>
        </row>
        <row r="77">
          <cell r="A77" t="str">
            <v>GC</v>
          </cell>
          <cell r="D77">
            <v>43177</v>
          </cell>
        </row>
        <row r="78">
          <cell r="A78" t="str">
            <v>GC</v>
          </cell>
          <cell r="D78">
            <v>43177</v>
          </cell>
        </row>
        <row r="79">
          <cell r="A79" t="str">
            <v>KR</v>
          </cell>
          <cell r="D79">
            <v>43313</v>
          </cell>
        </row>
        <row r="80">
          <cell r="A80" t="str">
            <v>KR</v>
          </cell>
          <cell r="D80">
            <v>43422</v>
          </cell>
        </row>
        <row r="81">
          <cell r="A81" t="str">
            <v>KR</v>
          </cell>
          <cell r="D81">
            <v>43381</v>
          </cell>
        </row>
        <row r="82">
          <cell r="A82" t="str">
            <v>KR</v>
          </cell>
          <cell r="D82">
            <v>43152</v>
          </cell>
        </row>
        <row r="83">
          <cell r="A83" t="str">
            <v>KR</v>
          </cell>
          <cell r="D83">
            <v>43179</v>
          </cell>
        </row>
        <row r="84">
          <cell r="A84" t="str">
            <v>GC</v>
          </cell>
          <cell r="D84">
            <v>43131</v>
          </cell>
        </row>
        <row r="85">
          <cell r="A85" t="str">
            <v>GC</v>
          </cell>
          <cell r="D85">
            <v>43404</v>
          </cell>
        </row>
        <row r="86">
          <cell r="A86" t="str">
            <v>KR</v>
          </cell>
          <cell r="D86">
            <v>43248</v>
          </cell>
        </row>
        <row r="87">
          <cell r="A87" t="str">
            <v>KR</v>
          </cell>
          <cell r="D87">
            <v>43418</v>
          </cell>
        </row>
        <row r="88">
          <cell r="A88" t="str">
            <v>KR</v>
          </cell>
          <cell r="D88">
            <v>43112</v>
          </cell>
        </row>
        <row r="89">
          <cell r="A89" t="str">
            <v>KR</v>
          </cell>
          <cell r="D89">
            <v>43288</v>
          </cell>
        </row>
        <row r="90">
          <cell r="A90" t="str">
            <v>KR</v>
          </cell>
          <cell r="D90">
            <v>43325</v>
          </cell>
        </row>
        <row r="91">
          <cell r="A91" t="str">
            <v>KR</v>
          </cell>
          <cell r="D91">
            <v>43105</v>
          </cell>
        </row>
        <row r="92">
          <cell r="A92" t="str">
            <v>KR</v>
          </cell>
          <cell r="D92">
            <v>43186</v>
          </cell>
        </row>
        <row r="93">
          <cell r="A93" t="str">
            <v>KR</v>
          </cell>
          <cell r="D93">
            <v>43354</v>
          </cell>
        </row>
        <row r="94">
          <cell r="A94" t="str">
            <v>KR</v>
          </cell>
          <cell r="D94">
            <v>43442</v>
          </cell>
        </row>
        <row r="95">
          <cell r="A95" t="str">
            <v>GC</v>
          </cell>
          <cell r="D95">
            <v>43402</v>
          </cell>
        </row>
        <row r="96">
          <cell r="A96" t="str">
            <v>GC</v>
          </cell>
          <cell r="D96">
            <v>43176</v>
          </cell>
        </row>
        <row r="97">
          <cell r="A97" t="str">
            <v>GC</v>
          </cell>
          <cell r="D97">
            <v>43159</v>
          </cell>
        </row>
        <row r="98">
          <cell r="A98" t="str">
            <v>GC</v>
          </cell>
          <cell r="D98">
            <v>43282</v>
          </cell>
        </row>
        <row r="99">
          <cell r="A99" t="str">
            <v>ASEAN</v>
          </cell>
          <cell r="D99">
            <v>43231</v>
          </cell>
        </row>
        <row r="100">
          <cell r="A100" t="str">
            <v>IN</v>
          </cell>
          <cell r="D100">
            <v>43143</v>
          </cell>
        </row>
        <row r="101">
          <cell r="A101" t="str">
            <v>ASEAN</v>
          </cell>
          <cell r="D101">
            <v>43199</v>
          </cell>
        </row>
        <row r="102">
          <cell r="A102" t="str">
            <v>ANZ</v>
          </cell>
          <cell r="D102">
            <v>43453</v>
          </cell>
        </row>
        <row r="103">
          <cell r="A103" t="str">
            <v>ASEAN</v>
          </cell>
          <cell r="D103">
            <v>43420</v>
          </cell>
        </row>
        <row r="104">
          <cell r="A104" t="str">
            <v>IN</v>
          </cell>
          <cell r="D104">
            <v>43459</v>
          </cell>
        </row>
        <row r="105">
          <cell r="A105" t="str">
            <v>IN</v>
          </cell>
          <cell r="D105">
            <v>43363</v>
          </cell>
        </row>
        <row r="106">
          <cell r="A106" t="str">
            <v>IN</v>
          </cell>
          <cell r="D106">
            <v>43292</v>
          </cell>
        </row>
        <row r="107">
          <cell r="A107" t="str">
            <v>ANZ</v>
          </cell>
          <cell r="D107">
            <v>43459</v>
          </cell>
        </row>
        <row r="108">
          <cell r="A108" t="str">
            <v>GC</v>
          </cell>
          <cell r="D108">
            <v>43301</v>
          </cell>
        </row>
        <row r="109">
          <cell r="A109" t="str">
            <v>ANZ</v>
          </cell>
          <cell r="D109">
            <v>43152</v>
          </cell>
        </row>
        <row r="110">
          <cell r="A110" t="str">
            <v>IN</v>
          </cell>
          <cell r="D110">
            <v>43331</v>
          </cell>
        </row>
        <row r="111">
          <cell r="A111" t="str">
            <v>IN</v>
          </cell>
          <cell r="D111">
            <v>43215</v>
          </cell>
        </row>
        <row r="112">
          <cell r="A112" t="str">
            <v>IN</v>
          </cell>
          <cell r="D112">
            <v>43246</v>
          </cell>
        </row>
        <row r="113">
          <cell r="A113" t="str">
            <v>IN</v>
          </cell>
          <cell r="D113">
            <v>43204</v>
          </cell>
        </row>
        <row r="114">
          <cell r="A114" t="str">
            <v>IN</v>
          </cell>
          <cell r="D114">
            <v>43149</v>
          </cell>
        </row>
        <row r="115">
          <cell r="A115" t="str">
            <v>IN</v>
          </cell>
          <cell r="D115">
            <v>43232</v>
          </cell>
        </row>
        <row r="116">
          <cell r="A116" t="str">
            <v>IN</v>
          </cell>
          <cell r="D116">
            <v>43332</v>
          </cell>
        </row>
        <row r="117">
          <cell r="A117" t="str">
            <v>IN</v>
          </cell>
          <cell r="D117">
            <v>43146</v>
          </cell>
        </row>
        <row r="118">
          <cell r="A118" t="str">
            <v>ASEAN</v>
          </cell>
          <cell r="D118">
            <v>43458</v>
          </cell>
        </row>
        <row r="119">
          <cell r="A119" t="str">
            <v>ANZ</v>
          </cell>
          <cell r="D119">
            <v>43295</v>
          </cell>
        </row>
        <row r="120">
          <cell r="A120" t="str">
            <v>ANZ</v>
          </cell>
          <cell r="D120">
            <v>43346</v>
          </cell>
        </row>
        <row r="121">
          <cell r="A121" t="str">
            <v>ANZ</v>
          </cell>
          <cell r="D121">
            <v>43160</v>
          </cell>
        </row>
        <row r="122">
          <cell r="A122" t="str">
            <v>ASEAN</v>
          </cell>
          <cell r="D122">
            <v>43186</v>
          </cell>
        </row>
        <row r="123">
          <cell r="A123" t="str">
            <v>ASEAN</v>
          </cell>
          <cell r="D123">
            <v>43290</v>
          </cell>
        </row>
        <row r="124">
          <cell r="A124" t="str">
            <v>IN</v>
          </cell>
          <cell r="D124">
            <v>43340</v>
          </cell>
        </row>
        <row r="125">
          <cell r="A125" t="str">
            <v>IN</v>
          </cell>
          <cell r="D125">
            <v>43156</v>
          </cell>
        </row>
        <row r="126">
          <cell r="A126" t="str">
            <v>IN</v>
          </cell>
          <cell r="D126">
            <v>43194</v>
          </cell>
        </row>
        <row r="127">
          <cell r="A127" t="str">
            <v>IN</v>
          </cell>
          <cell r="D127">
            <v>43357</v>
          </cell>
        </row>
        <row r="128">
          <cell r="A128" t="str">
            <v>IN</v>
          </cell>
          <cell r="D128">
            <v>43365</v>
          </cell>
        </row>
        <row r="129">
          <cell r="A129" t="str">
            <v>IN</v>
          </cell>
          <cell r="D129">
            <v>43237</v>
          </cell>
        </row>
        <row r="130">
          <cell r="A130" t="str">
            <v>IN</v>
          </cell>
          <cell r="D130">
            <v>43319</v>
          </cell>
        </row>
        <row r="131">
          <cell r="A131" t="str">
            <v>IN</v>
          </cell>
          <cell r="D131">
            <v>43106</v>
          </cell>
        </row>
        <row r="132">
          <cell r="A132" t="str">
            <v>GC</v>
          </cell>
          <cell r="D132">
            <v>43368</v>
          </cell>
        </row>
        <row r="133">
          <cell r="A133" t="str">
            <v>IN</v>
          </cell>
          <cell r="D133">
            <v>43136</v>
          </cell>
        </row>
        <row r="134">
          <cell r="A134" t="str">
            <v>ASEAN</v>
          </cell>
          <cell r="D134">
            <v>43391</v>
          </cell>
        </row>
        <row r="135">
          <cell r="A135" t="str">
            <v>IN</v>
          </cell>
          <cell r="D135">
            <v>43121</v>
          </cell>
        </row>
        <row r="136">
          <cell r="A136" t="str">
            <v>KR</v>
          </cell>
          <cell r="D136">
            <v>43377</v>
          </cell>
        </row>
        <row r="137">
          <cell r="A137" t="str">
            <v>IN</v>
          </cell>
          <cell r="D137">
            <v>43269</v>
          </cell>
        </row>
        <row r="138">
          <cell r="A138" t="str">
            <v>IN</v>
          </cell>
          <cell r="D138">
            <v>43417</v>
          </cell>
        </row>
        <row r="139">
          <cell r="A139" t="str">
            <v>IN</v>
          </cell>
          <cell r="D139">
            <v>43215</v>
          </cell>
        </row>
        <row r="140">
          <cell r="A140" t="str">
            <v>IN</v>
          </cell>
          <cell r="D140">
            <v>43437</v>
          </cell>
        </row>
        <row r="141">
          <cell r="A141" t="str">
            <v>IN</v>
          </cell>
          <cell r="D141">
            <v>43386</v>
          </cell>
        </row>
        <row r="142">
          <cell r="A142" t="str">
            <v>GC</v>
          </cell>
          <cell r="D142">
            <v>43107</v>
          </cell>
        </row>
        <row r="143">
          <cell r="A143" t="str">
            <v>GC</v>
          </cell>
          <cell r="D143">
            <v>43286</v>
          </cell>
        </row>
        <row r="144">
          <cell r="A144" t="str">
            <v>GC</v>
          </cell>
          <cell r="D144">
            <v>43207</v>
          </cell>
        </row>
        <row r="145">
          <cell r="A145" t="str">
            <v>IN</v>
          </cell>
          <cell r="D145">
            <v>43263</v>
          </cell>
        </row>
        <row r="146">
          <cell r="A146" t="str">
            <v>IN</v>
          </cell>
          <cell r="D146">
            <v>43156</v>
          </cell>
        </row>
        <row r="147">
          <cell r="A147" t="str">
            <v>IN</v>
          </cell>
          <cell r="D147">
            <v>43123</v>
          </cell>
        </row>
        <row r="148">
          <cell r="A148" t="str">
            <v>IN</v>
          </cell>
          <cell r="D148">
            <v>43160</v>
          </cell>
        </row>
        <row r="149">
          <cell r="A149" t="str">
            <v>ASEAN</v>
          </cell>
          <cell r="D149">
            <v>43461</v>
          </cell>
        </row>
        <row r="150">
          <cell r="A150" t="str">
            <v>IN</v>
          </cell>
          <cell r="D150">
            <v>43122</v>
          </cell>
        </row>
        <row r="151">
          <cell r="A151" t="str">
            <v>ASEAN</v>
          </cell>
          <cell r="D151">
            <v>43177</v>
          </cell>
        </row>
        <row r="152">
          <cell r="A152" t="str">
            <v>IN</v>
          </cell>
          <cell r="D152">
            <v>43366</v>
          </cell>
        </row>
        <row r="153">
          <cell r="A153" t="str">
            <v>GC</v>
          </cell>
          <cell r="D153">
            <v>43214</v>
          </cell>
        </row>
        <row r="154">
          <cell r="A154" t="str">
            <v>KR</v>
          </cell>
          <cell r="D154">
            <v>43330</v>
          </cell>
        </row>
        <row r="155">
          <cell r="A155" t="str">
            <v>KR</v>
          </cell>
          <cell r="D155">
            <v>43409</v>
          </cell>
        </row>
        <row r="156">
          <cell r="A156" t="str">
            <v>KR</v>
          </cell>
          <cell r="D156">
            <v>43349</v>
          </cell>
        </row>
        <row r="157">
          <cell r="A157" t="str">
            <v>GC</v>
          </cell>
          <cell r="D157">
            <v>43455</v>
          </cell>
        </row>
        <row r="158">
          <cell r="A158" t="str">
            <v>GC</v>
          </cell>
          <cell r="D158">
            <v>43235</v>
          </cell>
        </row>
        <row r="159">
          <cell r="A159" t="str">
            <v>IN</v>
          </cell>
          <cell r="D159">
            <v>43270</v>
          </cell>
        </row>
        <row r="160">
          <cell r="A160" t="str">
            <v>ASEAN</v>
          </cell>
          <cell r="D160">
            <v>43186</v>
          </cell>
        </row>
        <row r="161">
          <cell r="A161" t="str">
            <v>ASEAN</v>
          </cell>
          <cell r="D161">
            <v>43359</v>
          </cell>
        </row>
        <row r="162">
          <cell r="A162" t="str">
            <v>ASEAN</v>
          </cell>
          <cell r="D162">
            <v>43145</v>
          </cell>
        </row>
        <row r="163">
          <cell r="A163" t="str">
            <v>ASEAN</v>
          </cell>
          <cell r="D163">
            <v>43327</v>
          </cell>
        </row>
        <row r="164">
          <cell r="A164" t="str">
            <v>ANZ</v>
          </cell>
          <cell r="D164">
            <v>43139</v>
          </cell>
        </row>
        <row r="165">
          <cell r="A165" t="str">
            <v>ASEAN</v>
          </cell>
          <cell r="D165">
            <v>43339</v>
          </cell>
        </row>
        <row r="166">
          <cell r="A166" t="str">
            <v>IN</v>
          </cell>
          <cell r="D166">
            <v>43262</v>
          </cell>
        </row>
        <row r="167">
          <cell r="A167" t="str">
            <v>IN</v>
          </cell>
          <cell r="D167">
            <v>43220</v>
          </cell>
        </row>
        <row r="168">
          <cell r="A168" t="str">
            <v>IN</v>
          </cell>
          <cell r="D168">
            <v>43166</v>
          </cell>
        </row>
        <row r="169">
          <cell r="A169" t="str">
            <v>ANZ</v>
          </cell>
          <cell r="D169">
            <v>43431</v>
          </cell>
        </row>
        <row r="170">
          <cell r="A170" t="str">
            <v>ASEAN</v>
          </cell>
          <cell r="D170">
            <v>43398</v>
          </cell>
        </row>
        <row r="171">
          <cell r="A171" t="str">
            <v>ASEAN</v>
          </cell>
          <cell r="D171">
            <v>43311</v>
          </cell>
        </row>
        <row r="172">
          <cell r="A172" t="str">
            <v>IN</v>
          </cell>
          <cell r="D172">
            <v>43137</v>
          </cell>
        </row>
        <row r="173">
          <cell r="A173" t="str">
            <v>ASEAN</v>
          </cell>
          <cell r="D173">
            <v>43166</v>
          </cell>
        </row>
        <row r="174">
          <cell r="A174" t="str">
            <v>ASEAN</v>
          </cell>
          <cell r="D174">
            <v>43366</v>
          </cell>
        </row>
        <row r="175">
          <cell r="A175" t="str">
            <v>IN</v>
          </cell>
          <cell r="D175">
            <v>43431</v>
          </cell>
        </row>
        <row r="176">
          <cell r="A176" t="str">
            <v>IN</v>
          </cell>
          <cell r="D176">
            <v>43378</v>
          </cell>
        </row>
        <row r="177">
          <cell r="A177" t="str">
            <v>ASEAN</v>
          </cell>
          <cell r="D177">
            <v>43105</v>
          </cell>
        </row>
        <row r="178">
          <cell r="A178" t="str">
            <v>IN</v>
          </cell>
          <cell r="D178">
            <v>43177</v>
          </cell>
        </row>
        <row r="179">
          <cell r="A179" t="str">
            <v>IN</v>
          </cell>
          <cell r="D179">
            <v>43184</v>
          </cell>
        </row>
        <row r="180">
          <cell r="A180" t="str">
            <v>IN</v>
          </cell>
          <cell r="D180">
            <v>43202</v>
          </cell>
        </row>
        <row r="181">
          <cell r="A181" t="str">
            <v>IN</v>
          </cell>
          <cell r="D181">
            <v>43169</v>
          </cell>
        </row>
        <row r="182">
          <cell r="A182" t="str">
            <v>ANZ</v>
          </cell>
          <cell r="D182">
            <v>43434</v>
          </cell>
        </row>
        <row r="183">
          <cell r="A183" t="str">
            <v>ASEAN</v>
          </cell>
          <cell r="D183">
            <v>43223</v>
          </cell>
        </row>
        <row r="184">
          <cell r="A184" t="str">
            <v>IN</v>
          </cell>
          <cell r="D184">
            <v>43325</v>
          </cell>
        </row>
        <row r="185">
          <cell r="A185" t="str">
            <v>GC</v>
          </cell>
          <cell r="D185">
            <v>43303</v>
          </cell>
        </row>
        <row r="186">
          <cell r="A186" t="str">
            <v>IN</v>
          </cell>
          <cell r="D186">
            <v>43191</v>
          </cell>
        </row>
        <row r="187">
          <cell r="A187" t="str">
            <v>IN</v>
          </cell>
          <cell r="D187">
            <v>43148</v>
          </cell>
        </row>
        <row r="188">
          <cell r="A188" t="str">
            <v>IN</v>
          </cell>
          <cell r="D188">
            <v>43245</v>
          </cell>
        </row>
        <row r="189">
          <cell r="A189" t="str">
            <v>GC</v>
          </cell>
          <cell r="D189">
            <v>43276</v>
          </cell>
        </row>
        <row r="190">
          <cell r="A190" t="str">
            <v>IN</v>
          </cell>
          <cell r="D190">
            <v>43395</v>
          </cell>
        </row>
        <row r="191">
          <cell r="A191" t="str">
            <v>IN</v>
          </cell>
          <cell r="D191">
            <v>43363</v>
          </cell>
        </row>
        <row r="192">
          <cell r="A192" t="str">
            <v>IN</v>
          </cell>
          <cell r="D192">
            <v>43288</v>
          </cell>
        </row>
        <row r="193">
          <cell r="A193" t="str">
            <v>ASEAN</v>
          </cell>
          <cell r="D193">
            <v>43394</v>
          </cell>
        </row>
        <row r="194">
          <cell r="A194" t="str">
            <v>IN</v>
          </cell>
          <cell r="D194">
            <v>43240</v>
          </cell>
        </row>
        <row r="195">
          <cell r="A195" t="str">
            <v>IN</v>
          </cell>
          <cell r="D195">
            <v>43462</v>
          </cell>
        </row>
        <row r="196">
          <cell r="A196" t="str">
            <v>GC</v>
          </cell>
          <cell r="D196">
            <v>43273</v>
          </cell>
        </row>
        <row r="197">
          <cell r="A197" t="str">
            <v>IN</v>
          </cell>
          <cell r="D197">
            <v>43169</v>
          </cell>
        </row>
        <row r="198">
          <cell r="A198" t="str">
            <v>IN</v>
          </cell>
          <cell r="D198">
            <v>43382</v>
          </cell>
        </row>
        <row r="199">
          <cell r="A199" t="str">
            <v>ASEAN</v>
          </cell>
          <cell r="D199">
            <v>43413</v>
          </cell>
        </row>
        <row r="200">
          <cell r="A200" t="str">
            <v>ANZ</v>
          </cell>
          <cell r="D200">
            <v>43144</v>
          </cell>
        </row>
        <row r="201">
          <cell r="A201" t="str">
            <v>ASEAN</v>
          </cell>
          <cell r="D201">
            <v>43465</v>
          </cell>
        </row>
        <row r="202">
          <cell r="A202" t="str">
            <v>IN</v>
          </cell>
          <cell r="D202">
            <v>43237</v>
          </cell>
        </row>
        <row r="203">
          <cell r="A203" t="str">
            <v>IN</v>
          </cell>
          <cell r="D203">
            <v>43259</v>
          </cell>
        </row>
        <row r="204">
          <cell r="A204" t="str">
            <v>GC</v>
          </cell>
          <cell r="D204">
            <v>43429</v>
          </cell>
        </row>
        <row r="205">
          <cell r="A205" t="str">
            <v>GC</v>
          </cell>
          <cell r="D205">
            <v>43308</v>
          </cell>
        </row>
        <row r="206">
          <cell r="A206" t="str">
            <v>KR</v>
          </cell>
          <cell r="D206">
            <v>43442</v>
          </cell>
        </row>
        <row r="207">
          <cell r="A207" t="str">
            <v>KR</v>
          </cell>
          <cell r="D207">
            <v>43434</v>
          </cell>
        </row>
        <row r="208">
          <cell r="A208" t="str">
            <v>KR</v>
          </cell>
          <cell r="D208">
            <v>43145</v>
          </cell>
        </row>
        <row r="209">
          <cell r="A209" t="str">
            <v>KR</v>
          </cell>
          <cell r="D209">
            <v>43211</v>
          </cell>
        </row>
        <row r="210">
          <cell r="A210" t="str">
            <v>ANZ</v>
          </cell>
          <cell r="D210">
            <v>43287</v>
          </cell>
        </row>
        <row r="211">
          <cell r="A211" t="str">
            <v>ANZ</v>
          </cell>
          <cell r="D211">
            <v>43191</v>
          </cell>
        </row>
        <row r="212">
          <cell r="A212" t="str">
            <v>KR</v>
          </cell>
          <cell r="D212">
            <v>43176</v>
          </cell>
        </row>
        <row r="213">
          <cell r="A213" t="str">
            <v>KR</v>
          </cell>
          <cell r="D213">
            <v>43354</v>
          </cell>
        </row>
        <row r="214">
          <cell r="A214" t="str">
            <v>KR</v>
          </cell>
          <cell r="D214">
            <v>43113</v>
          </cell>
        </row>
        <row r="215">
          <cell r="A215" t="str">
            <v>KR</v>
          </cell>
          <cell r="D215">
            <v>43184</v>
          </cell>
        </row>
        <row r="216">
          <cell r="A216" t="str">
            <v>KR</v>
          </cell>
          <cell r="D216">
            <v>43364</v>
          </cell>
        </row>
        <row r="217">
          <cell r="A217" t="str">
            <v>KR</v>
          </cell>
          <cell r="D217">
            <v>43380</v>
          </cell>
        </row>
        <row r="218">
          <cell r="A218" t="str">
            <v>KR</v>
          </cell>
          <cell r="D218">
            <v>43121</v>
          </cell>
        </row>
        <row r="219">
          <cell r="A219" t="str">
            <v>ASEAN</v>
          </cell>
          <cell r="D219">
            <v>43296</v>
          </cell>
        </row>
        <row r="220">
          <cell r="A220" t="str">
            <v>GC</v>
          </cell>
          <cell r="D220">
            <v>43404</v>
          </cell>
        </row>
        <row r="221">
          <cell r="A221" t="str">
            <v>GC</v>
          </cell>
          <cell r="D221">
            <v>43131</v>
          </cell>
        </row>
        <row r="222">
          <cell r="A222" t="str">
            <v>GC</v>
          </cell>
          <cell r="D222">
            <v>43446</v>
          </cell>
        </row>
        <row r="223">
          <cell r="A223" t="str">
            <v>ASEAN</v>
          </cell>
          <cell r="D223">
            <v>43439</v>
          </cell>
        </row>
        <row r="224">
          <cell r="A224" t="str">
            <v>ASEAN</v>
          </cell>
          <cell r="D224">
            <v>43364</v>
          </cell>
        </row>
        <row r="225">
          <cell r="A225" t="str">
            <v>IN</v>
          </cell>
          <cell r="D225">
            <v>43296</v>
          </cell>
        </row>
        <row r="226">
          <cell r="A226" t="str">
            <v>IN</v>
          </cell>
          <cell r="D226">
            <v>43161</v>
          </cell>
        </row>
        <row r="227">
          <cell r="A227" t="str">
            <v>IN</v>
          </cell>
          <cell r="D227">
            <v>43166</v>
          </cell>
        </row>
        <row r="228">
          <cell r="A228" t="str">
            <v>IN</v>
          </cell>
          <cell r="D228">
            <v>43386</v>
          </cell>
        </row>
        <row r="229">
          <cell r="A229" t="str">
            <v>IN</v>
          </cell>
          <cell r="D229">
            <v>43177</v>
          </cell>
        </row>
        <row r="230">
          <cell r="A230" t="str">
            <v>IN</v>
          </cell>
          <cell r="D230">
            <v>43406</v>
          </cell>
        </row>
        <row r="231">
          <cell r="A231" t="str">
            <v>ANZ</v>
          </cell>
          <cell r="D231">
            <v>43386</v>
          </cell>
        </row>
        <row r="232">
          <cell r="A232" t="str">
            <v>ANZ</v>
          </cell>
          <cell r="D232">
            <v>43374</v>
          </cell>
        </row>
        <row r="233">
          <cell r="A233" t="str">
            <v>ANZ</v>
          </cell>
          <cell r="D233">
            <v>43307</v>
          </cell>
        </row>
        <row r="234">
          <cell r="A234" t="str">
            <v>IN</v>
          </cell>
          <cell r="D234">
            <v>43439</v>
          </cell>
        </row>
        <row r="235">
          <cell r="A235" t="str">
            <v>ASEAN</v>
          </cell>
          <cell r="D235">
            <v>43414</v>
          </cell>
        </row>
        <row r="236">
          <cell r="A236" t="str">
            <v>IN</v>
          </cell>
          <cell r="D236">
            <v>43182</v>
          </cell>
        </row>
        <row r="237">
          <cell r="A237" t="str">
            <v>IN</v>
          </cell>
          <cell r="D237">
            <v>43344</v>
          </cell>
        </row>
        <row r="238">
          <cell r="A238" t="str">
            <v>GC</v>
          </cell>
          <cell r="D238">
            <v>43203</v>
          </cell>
        </row>
        <row r="239">
          <cell r="A239" t="str">
            <v>IN</v>
          </cell>
          <cell r="D239">
            <v>43386</v>
          </cell>
        </row>
        <row r="240">
          <cell r="A240" t="str">
            <v>IN</v>
          </cell>
          <cell r="D240">
            <v>43223</v>
          </cell>
        </row>
        <row r="241">
          <cell r="A241" t="str">
            <v>IN</v>
          </cell>
          <cell r="D241">
            <v>43442</v>
          </cell>
        </row>
        <row r="242">
          <cell r="A242" t="str">
            <v>IN</v>
          </cell>
          <cell r="D242">
            <v>43298</v>
          </cell>
        </row>
        <row r="243">
          <cell r="A243" t="str">
            <v>IN</v>
          </cell>
          <cell r="D243">
            <v>43433</v>
          </cell>
        </row>
        <row r="244">
          <cell r="A244" t="str">
            <v>ANZ</v>
          </cell>
          <cell r="D244">
            <v>43378</v>
          </cell>
        </row>
        <row r="245">
          <cell r="A245" t="str">
            <v>IN</v>
          </cell>
          <cell r="D245">
            <v>43205</v>
          </cell>
        </row>
        <row r="246">
          <cell r="A246" t="str">
            <v>IN</v>
          </cell>
          <cell r="D246">
            <v>43344</v>
          </cell>
        </row>
        <row r="247">
          <cell r="A247" t="str">
            <v>IN</v>
          </cell>
          <cell r="D247">
            <v>43399</v>
          </cell>
        </row>
        <row r="248">
          <cell r="A248" t="str">
            <v>IN</v>
          </cell>
          <cell r="D248">
            <v>43234</v>
          </cell>
        </row>
        <row r="249">
          <cell r="A249" t="str">
            <v>IN</v>
          </cell>
          <cell r="D249">
            <v>43421</v>
          </cell>
        </row>
        <row r="250">
          <cell r="A250" t="str">
            <v>ASEAN</v>
          </cell>
          <cell r="D250">
            <v>43313</v>
          </cell>
        </row>
        <row r="251">
          <cell r="A251" t="str">
            <v>IN</v>
          </cell>
          <cell r="D251">
            <v>43341</v>
          </cell>
        </row>
        <row r="252">
          <cell r="A252" t="str">
            <v>IN</v>
          </cell>
          <cell r="D252">
            <v>43331</v>
          </cell>
        </row>
        <row r="253">
          <cell r="A253" t="str">
            <v>IN</v>
          </cell>
          <cell r="D253">
            <v>43167</v>
          </cell>
        </row>
        <row r="254">
          <cell r="A254" t="str">
            <v>GC</v>
          </cell>
          <cell r="D254">
            <v>43245</v>
          </cell>
        </row>
        <row r="255">
          <cell r="A255" t="str">
            <v>GC</v>
          </cell>
          <cell r="D255">
            <v>43163</v>
          </cell>
        </row>
        <row r="256">
          <cell r="A256" t="str">
            <v>GC</v>
          </cell>
          <cell r="D256">
            <v>43444</v>
          </cell>
        </row>
        <row r="257">
          <cell r="A257" t="str">
            <v>IN</v>
          </cell>
          <cell r="D257">
            <v>43107</v>
          </cell>
        </row>
        <row r="258">
          <cell r="A258" t="str">
            <v>IN</v>
          </cell>
          <cell r="D258">
            <v>43145</v>
          </cell>
        </row>
        <row r="259">
          <cell r="A259" t="str">
            <v>IN</v>
          </cell>
          <cell r="D259">
            <v>43351</v>
          </cell>
        </row>
        <row r="260">
          <cell r="A260" t="str">
            <v>ASEAN</v>
          </cell>
          <cell r="D260">
            <v>43148</v>
          </cell>
        </row>
        <row r="261">
          <cell r="A261" t="str">
            <v>GC</v>
          </cell>
          <cell r="D261">
            <v>43122</v>
          </cell>
        </row>
        <row r="262">
          <cell r="A262" t="str">
            <v>IN</v>
          </cell>
          <cell r="D262">
            <v>43119</v>
          </cell>
        </row>
        <row r="263">
          <cell r="A263" t="str">
            <v>IN</v>
          </cell>
          <cell r="D263">
            <v>43393</v>
          </cell>
        </row>
        <row r="264">
          <cell r="A264" t="str">
            <v>GC</v>
          </cell>
          <cell r="D264">
            <v>43121</v>
          </cell>
        </row>
        <row r="265">
          <cell r="A265" t="str">
            <v>GC</v>
          </cell>
          <cell r="D265">
            <v>43332</v>
          </cell>
        </row>
        <row r="266">
          <cell r="A266" t="str">
            <v>ASEAN</v>
          </cell>
          <cell r="D266">
            <v>43125</v>
          </cell>
        </row>
        <row r="267">
          <cell r="A267" t="str">
            <v>IN</v>
          </cell>
          <cell r="D267">
            <v>43402</v>
          </cell>
        </row>
        <row r="268">
          <cell r="A268" t="str">
            <v>ASEAN</v>
          </cell>
          <cell r="D268">
            <v>43262</v>
          </cell>
        </row>
        <row r="269">
          <cell r="A269" t="str">
            <v>IN</v>
          </cell>
          <cell r="D269">
            <v>43311</v>
          </cell>
        </row>
        <row r="270">
          <cell r="A270" t="str">
            <v>IN</v>
          </cell>
          <cell r="D270">
            <v>43281</v>
          </cell>
        </row>
        <row r="271">
          <cell r="A271" t="str">
            <v>IN</v>
          </cell>
          <cell r="D271">
            <v>43371</v>
          </cell>
        </row>
        <row r="272">
          <cell r="A272" t="str">
            <v>IN</v>
          </cell>
          <cell r="D272">
            <v>43346</v>
          </cell>
        </row>
        <row r="273">
          <cell r="A273" t="str">
            <v>IN</v>
          </cell>
          <cell r="D273">
            <v>43172</v>
          </cell>
        </row>
        <row r="274">
          <cell r="A274" t="str">
            <v>IN</v>
          </cell>
          <cell r="D274">
            <v>43234</v>
          </cell>
        </row>
        <row r="275">
          <cell r="A275" t="str">
            <v>ANZ</v>
          </cell>
          <cell r="D275">
            <v>43362</v>
          </cell>
        </row>
        <row r="276">
          <cell r="A276" t="str">
            <v>ANZ</v>
          </cell>
          <cell r="D276">
            <v>43140</v>
          </cell>
        </row>
        <row r="277">
          <cell r="A277" t="str">
            <v>ANZ</v>
          </cell>
          <cell r="D277">
            <v>43203</v>
          </cell>
        </row>
        <row r="278">
          <cell r="A278" t="str">
            <v>ANZ</v>
          </cell>
          <cell r="D278">
            <v>43383</v>
          </cell>
        </row>
        <row r="279">
          <cell r="A279" t="str">
            <v>IN</v>
          </cell>
          <cell r="D279">
            <v>43141</v>
          </cell>
        </row>
        <row r="280">
          <cell r="A280" t="str">
            <v>IN</v>
          </cell>
          <cell r="D280">
            <v>43152</v>
          </cell>
        </row>
        <row r="281">
          <cell r="A281" t="str">
            <v>IN</v>
          </cell>
          <cell r="D281">
            <v>43194</v>
          </cell>
        </row>
        <row r="282">
          <cell r="A282" t="str">
            <v>IN</v>
          </cell>
          <cell r="D282">
            <v>43353</v>
          </cell>
        </row>
        <row r="283">
          <cell r="A283" t="str">
            <v>GC</v>
          </cell>
          <cell r="D283">
            <v>43316</v>
          </cell>
        </row>
        <row r="284">
          <cell r="A284" t="str">
            <v>KR</v>
          </cell>
          <cell r="D284">
            <v>43235</v>
          </cell>
        </row>
        <row r="285">
          <cell r="A285" t="str">
            <v>ANZ</v>
          </cell>
          <cell r="D285">
            <v>43258</v>
          </cell>
        </row>
        <row r="286">
          <cell r="A286" t="str">
            <v>GC</v>
          </cell>
          <cell r="D286">
            <v>43144</v>
          </cell>
        </row>
        <row r="287">
          <cell r="A287" t="str">
            <v>IN</v>
          </cell>
          <cell r="D287">
            <v>43208</v>
          </cell>
        </row>
        <row r="288">
          <cell r="A288" t="str">
            <v>IN</v>
          </cell>
          <cell r="D288">
            <v>43281</v>
          </cell>
        </row>
        <row r="289">
          <cell r="A289" t="str">
            <v>GC</v>
          </cell>
          <cell r="D289">
            <v>43456</v>
          </cell>
        </row>
        <row r="290">
          <cell r="A290" t="str">
            <v>ASEAN</v>
          </cell>
          <cell r="D290">
            <v>43187</v>
          </cell>
        </row>
        <row r="291">
          <cell r="A291" t="str">
            <v>GC</v>
          </cell>
          <cell r="D291">
            <v>43233</v>
          </cell>
        </row>
        <row r="292">
          <cell r="A292" t="str">
            <v>ASEAN</v>
          </cell>
          <cell r="D292">
            <v>43445</v>
          </cell>
        </row>
        <row r="293">
          <cell r="A293" t="str">
            <v>GC</v>
          </cell>
          <cell r="D293">
            <v>43202</v>
          </cell>
        </row>
        <row r="294">
          <cell r="A294" t="str">
            <v>IN</v>
          </cell>
          <cell r="D294">
            <v>43230</v>
          </cell>
        </row>
        <row r="295">
          <cell r="A295" t="str">
            <v>ANZ</v>
          </cell>
          <cell r="D295">
            <v>43127</v>
          </cell>
        </row>
        <row r="296">
          <cell r="A296" t="str">
            <v>ANZ</v>
          </cell>
          <cell r="D296">
            <v>43391</v>
          </cell>
        </row>
        <row r="297">
          <cell r="A297" t="str">
            <v>ASEAN</v>
          </cell>
          <cell r="D297">
            <v>43227</v>
          </cell>
        </row>
        <row r="298">
          <cell r="A298" t="str">
            <v>GC</v>
          </cell>
          <cell r="D298">
            <v>43174</v>
          </cell>
        </row>
        <row r="299">
          <cell r="A299" t="str">
            <v>GC</v>
          </cell>
          <cell r="D299">
            <v>43200</v>
          </cell>
        </row>
        <row r="300">
          <cell r="A300" t="str">
            <v>ANZ</v>
          </cell>
          <cell r="D300">
            <v>43139</v>
          </cell>
        </row>
        <row r="301">
          <cell r="A301" t="str">
            <v>GC</v>
          </cell>
          <cell r="D301">
            <v>43237</v>
          </cell>
        </row>
        <row r="302">
          <cell r="A302" t="str">
            <v>GC</v>
          </cell>
          <cell r="D302">
            <v>43253</v>
          </cell>
        </row>
        <row r="303">
          <cell r="A303" t="str">
            <v>GC</v>
          </cell>
          <cell r="D303">
            <v>43264</v>
          </cell>
        </row>
        <row r="304">
          <cell r="A304" t="str">
            <v>GC</v>
          </cell>
          <cell r="D304">
            <v>43440</v>
          </cell>
        </row>
        <row r="305">
          <cell r="A305" t="str">
            <v>GC</v>
          </cell>
          <cell r="D305">
            <v>43456</v>
          </cell>
        </row>
        <row r="306">
          <cell r="A306" t="str">
            <v>GC</v>
          </cell>
          <cell r="D306">
            <v>43243</v>
          </cell>
        </row>
        <row r="307">
          <cell r="A307" t="str">
            <v>GC</v>
          </cell>
          <cell r="D307">
            <v>43111</v>
          </cell>
        </row>
        <row r="308">
          <cell r="A308" t="str">
            <v>ASEAN</v>
          </cell>
          <cell r="D308">
            <v>43197</v>
          </cell>
        </row>
        <row r="309">
          <cell r="A309" t="str">
            <v>ANZ</v>
          </cell>
          <cell r="D309">
            <v>43428</v>
          </cell>
        </row>
        <row r="310">
          <cell r="A310" t="str">
            <v>GC</v>
          </cell>
          <cell r="D310">
            <v>43196</v>
          </cell>
        </row>
        <row r="311">
          <cell r="A311" t="str">
            <v>GC</v>
          </cell>
          <cell r="D311">
            <v>43166</v>
          </cell>
        </row>
        <row r="312">
          <cell r="A312" t="str">
            <v>KR</v>
          </cell>
          <cell r="D312">
            <v>43269</v>
          </cell>
        </row>
        <row r="313">
          <cell r="A313" t="str">
            <v>KR</v>
          </cell>
          <cell r="D313">
            <v>43298</v>
          </cell>
        </row>
        <row r="314">
          <cell r="A314" t="str">
            <v>GC</v>
          </cell>
          <cell r="D314">
            <v>43202</v>
          </cell>
        </row>
        <row r="315">
          <cell r="A315" t="str">
            <v>GC</v>
          </cell>
          <cell r="D315">
            <v>43394</v>
          </cell>
        </row>
        <row r="316">
          <cell r="A316" t="str">
            <v>GC</v>
          </cell>
          <cell r="D316">
            <v>43315</v>
          </cell>
        </row>
        <row r="317">
          <cell r="A317" t="str">
            <v>GC</v>
          </cell>
          <cell r="D317">
            <v>43269</v>
          </cell>
        </row>
        <row r="318">
          <cell r="A318" t="str">
            <v>GC</v>
          </cell>
          <cell r="D318">
            <v>43375</v>
          </cell>
        </row>
        <row r="319">
          <cell r="A319" t="str">
            <v>ANZ</v>
          </cell>
          <cell r="D319">
            <v>43330</v>
          </cell>
        </row>
        <row r="320">
          <cell r="A320" t="str">
            <v>GC</v>
          </cell>
          <cell r="D320">
            <v>43285</v>
          </cell>
        </row>
        <row r="321">
          <cell r="A321" t="str">
            <v>GC</v>
          </cell>
          <cell r="D321">
            <v>43114</v>
          </cell>
        </row>
        <row r="322">
          <cell r="A322" t="str">
            <v>GC</v>
          </cell>
          <cell r="D322">
            <v>43269</v>
          </cell>
        </row>
        <row r="323">
          <cell r="A323" t="str">
            <v>GC</v>
          </cell>
          <cell r="D323">
            <v>43195</v>
          </cell>
        </row>
        <row r="324">
          <cell r="A324" t="str">
            <v>IN</v>
          </cell>
          <cell r="D324">
            <v>43265</v>
          </cell>
        </row>
        <row r="325">
          <cell r="A325" t="str">
            <v>IN</v>
          </cell>
          <cell r="D325">
            <v>43236</v>
          </cell>
        </row>
        <row r="326">
          <cell r="A326" t="str">
            <v>KR</v>
          </cell>
          <cell r="D326">
            <v>43103</v>
          </cell>
        </row>
        <row r="327">
          <cell r="A327" t="str">
            <v>KR</v>
          </cell>
          <cell r="D327">
            <v>43202</v>
          </cell>
        </row>
        <row r="328">
          <cell r="A328" t="str">
            <v>GC</v>
          </cell>
          <cell r="D328">
            <v>43126</v>
          </cell>
        </row>
        <row r="329">
          <cell r="A329" t="str">
            <v>GC</v>
          </cell>
          <cell r="D329">
            <v>43194</v>
          </cell>
        </row>
        <row r="330">
          <cell r="A330" t="str">
            <v>GC</v>
          </cell>
          <cell r="D330">
            <v>43264</v>
          </cell>
        </row>
        <row r="331">
          <cell r="A331" t="str">
            <v>IN</v>
          </cell>
          <cell r="D331">
            <v>43182</v>
          </cell>
        </row>
        <row r="332">
          <cell r="A332" t="str">
            <v>IN</v>
          </cell>
          <cell r="D332">
            <v>43285</v>
          </cell>
        </row>
        <row r="333">
          <cell r="A333" t="str">
            <v>IN</v>
          </cell>
          <cell r="D333">
            <v>43456</v>
          </cell>
        </row>
        <row r="334">
          <cell r="A334" t="str">
            <v>ASEAN</v>
          </cell>
          <cell r="D334">
            <v>43200</v>
          </cell>
        </row>
        <row r="335">
          <cell r="A335" t="str">
            <v>ANZ</v>
          </cell>
          <cell r="D335">
            <v>43336</v>
          </cell>
        </row>
        <row r="336">
          <cell r="A336" t="str">
            <v>ANZ</v>
          </cell>
          <cell r="D336">
            <v>43225</v>
          </cell>
        </row>
        <row r="337">
          <cell r="A337" t="str">
            <v>ANZ</v>
          </cell>
          <cell r="D337">
            <v>43166</v>
          </cell>
        </row>
        <row r="338">
          <cell r="A338" t="str">
            <v>IN</v>
          </cell>
          <cell r="D338">
            <v>43351</v>
          </cell>
        </row>
        <row r="339">
          <cell r="A339" t="str">
            <v>ANZ</v>
          </cell>
          <cell r="D339">
            <v>43208</v>
          </cell>
        </row>
        <row r="340">
          <cell r="A340" t="str">
            <v>KR</v>
          </cell>
          <cell r="D340">
            <v>43335</v>
          </cell>
        </row>
        <row r="341">
          <cell r="A341" t="str">
            <v>KR</v>
          </cell>
          <cell r="D341">
            <v>43434</v>
          </cell>
        </row>
        <row r="342">
          <cell r="A342" t="str">
            <v>ANZ</v>
          </cell>
          <cell r="D342">
            <v>43127</v>
          </cell>
        </row>
        <row r="343">
          <cell r="A343" t="str">
            <v>ANZ</v>
          </cell>
          <cell r="D343">
            <v>43119</v>
          </cell>
        </row>
        <row r="344">
          <cell r="A344" t="str">
            <v>GC</v>
          </cell>
          <cell r="D344">
            <v>43356</v>
          </cell>
        </row>
        <row r="345">
          <cell r="A345" t="str">
            <v>ASEAN</v>
          </cell>
          <cell r="D345">
            <v>43227</v>
          </cell>
        </row>
        <row r="346">
          <cell r="A346" t="str">
            <v>ANZ</v>
          </cell>
          <cell r="D346">
            <v>43351</v>
          </cell>
        </row>
        <row r="347">
          <cell r="A347" t="str">
            <v>ANZ</v>
          </cell>
          <cell r="D347">
            <v>43341</v>
          </cell>
        </row>
        <row r="348">
          <cell r="A348" t="str">
            <v>IN</v>
          </cell>
          <cell r="D348">
            <v>43236</v>
          </cell>
        </row>
        <row r="349">
          <cell r="A349" t="str">
            <v>IN</v>
          </cell>
          <cell r="D349">
            <v>43148</v>
          </cell>
        </row>
        <row r="350">
          <cell r="A350" t="str">
            <v>IN</v>
          </cell>
          <cell r="D350">
            <v>43457</v>
          </cell>
        </row>
        <row r="351">
          <cell r="A351" t="str">
            <v>IN</v>
          </cell>
          <cell r="D351">
            <v>43273</v>
          </cell>
        </row>
        <row r="352">
          <cell r="A352" t="str">
            <v>GC</v>
          </cell>
          <cell r="D352">
            <v>43413</v>
          </cell>
        </row>
        <row r="353">
          <cell r="A353" t="str">
            <v>ASEAN</v>
          </cell>
          <cell r="D353">
            <v>43140</v>
          </cell>
        </row>
        <row r="354">
          <cell r="A354" t="str">
            <v>ASEAN</v>
          </cell>
          <cell r="D354">
            <v>43439</v>
          </cell>
        </row>
        <row r="355">
          <cell r="A355" t="str">
            <v>KR</v>
          </cell>
          <cell r="D355">
            <v>43271</v>
          </cell>
        </row>
        <row r="356">
          <cell r="A356" t="str">
            <v>IN</v>
          </cell>
          <cell r="D356">
            <v>43198</v>
          </cell>
        </row>
        <row r="357">
          <cell r="A357" t="str">
            <v>ANZ</v>
          </cell>
          <cell r="D357">
            <v>43400</v>
          </cell>
        </row>
        <row r="358">
          <cell r="A358" t="str">
            <v>ANZ</v>
          </cell>
          <cell r="D358">
            <v>43135</v>
          </cell>
        </row>
        <row r="359">
          <cell r="A359" t="str">
            <v>IN</v>
          </cell>
          <cell r="D359">
            <v>43404</v>
          </cell>
        </row>
        <row r="360">
          <cell r="A360" t="str">
            <v>ASEAN</v>
          </cell>
          <cell r="D360">
            <v>43424</v>
          </cell>
        </row>
        <row r="361">
          <cell r="A361" t="str">
            <v>ANZ</v>
          </cell>
          <cell r="D361">
            <v>43433</v>
          </cell>
        </row>
        <row r="362">
          <cell r="A362" t="str">
            <v>ANZ</v>
          </cell>
          <cell r="D362">
            <v>43189</v>
          </cell>
        </row>
        <row r="363">
          <cell r="A363" t="str">
            <v>IN</v>
          </cell>
          <cell r="D363">
            <v>43396</v>
          </cell>
        </row>
        <row r="364">
          <cell r="A364" t="str">
            <v>ASEAN</v>
          </cell>
          <cell r="D364">
            <v>43351</v>
          </cell>
        </row>
        <row r="365">
          <cell r="A365" t="str">
            <v>ANZ</v>
          </cell>
          <cell r="D365">
            <v>43436</v>
          </cell>
        </row>
        <row r="366">
          <cell r="A366" t="str">
            <v>ANZ</v>
          </cell>
          <cell r="D366">
            <v>43367</v>
          </cell>
        </row>
        <row r="367">
          <cell r="A367" t="str">
            <v>IN</v>
          </cell>
          <cell r="D367">
            <v>43388</v>
          </cell>
        </row>
        <row r="368">
          <cell r="A368" t="str">
            <v>GC</v>
          </cell>
          <cell r="D368">
            <v>43323</v>
          </cell>
        </row>
        <row r="369">
          <cell r="A369" t="str">
            <v>GC</v>
          </cell>
          <cell r="D369">
            <v>43274</v>
          </cell>
        </row>
        <row r="370">
          <cell r="A370" t="str">
            <v>GC</v>
          </cell>
          <cell r="D370">
            <v>43361</v>
          </cell>
        </row>
        <row r="371">
          <cell r="A371" t="str">
            <v>GC</v>
          </cell>
          <cell r="D371">
            <v>43358</v>
          </cell>
        </row>
        <row r="372">
          <cell r="A372" t="str">
            <v>GC</v>
          </cell>
          <cell r="D372">
            <v>43283</v>
          </cell>
        </row>
        <row r="373">
          <cell r="A373" t="str">
            <v>ASEAN</v>
          </cell>
          <cell r="D373">
            <v>43401</v>
          </cell>
        </row>
        <row r="374">
          <cell r="A374" t="str">
            <v>IN</v>
          </cell>
          <cell r="D374">
            <v>43378</v>
          </cell>
        </row>
        <row r="375">
          <cell r="A375" t="str">
            <v>GC</v>
          </cell>
          <cell r="D375">
            <v>43273</v>
          </cell>
        </row>
        <row r="376">
          <cell r="A376" t="str">
            <v>IN</v>
          </cell>
          <cell r="D376">
            <v>43461</v>
          </cell>
        </row>
        <row r="377">
          <cell r="A377" t="str">
            <v>ANZ</v>
          </cell>
          <cell r="D377">
            <v>43412</v>
          </cell>
        </row>
        <row r="378">
          <cell r="A378" t="str">
            <v>ANZ</v>
          </cell>
          <cell r="D378">
            <v>43461</v>
          </cell>
        </row>
        <row r="379">
          <cell r="A379" t="str">
            <v>ASEAN</v>
          </cell>
          <cell r="D379">
            <v>43425</v>
          </cell>
        </row>
        <row r="380">
          <cell r="A380" t="str">
            <v>IN</v>
          </cell>
          <cell r="D380">
            <v>43250</v>
          </cell>
        </row>
        <row r="381">
          <cell r="A381" t="str">
            <v>IN</v>
          </cell>
          <cell r="D381">
            <v>43297</v>
          </cell>
        </row>
        <row r="382">
          <cell r="A382" t="str">
            <v>ASEAN</v>
          </cell>
          <cell r="D382">
            <v>43371</v>
          </cell>
        </row>
        <row r="383">
          <cell r="A383" t="str">
            <v>KR</v>
          </cell>
          <cell r="D383">
            <v>43179</v>
          </cell>
        </row>
        <row r="384">
          <cell r="A384" t="str">
            <v>KR</v>
          </cell>
          <cell r="D384">
            <v>43255</v>
          </cell>
        </row>
        <row r="385">
          <cell r="A385" t="str">
            <v>KR</v>
          </cell>
          <cell r="D385">
            <v>43368</v>
          </cell>
        </row>
        <row r="386">
          <cell r="A386" t="str">
            <v>KR</v>
          </cell>
          <cell r="D386">
            <v>43284</v>
          </cell>
        </row>
        <row r="387">
          <cell r="A387" t="str">
            <v>GC</v>
          </cell>
          <cell r="D387">
            <v>43160</v>
          </cell>
        </row>
        <row r="388">
          <cell r="A388" t="str">
            <v>KR</v>
          </cell>
          <cell r="D388">
            <v>43122</v>
          </cell>
        </row>
        <row r="389">
          <cell r="A389" t="str">
            <v>GC</v>
          </cell>
          <cell r="D389">
            <v>43174</v>
          </cell>
        </row>
        <row r="390">
          <cell r="A390" t="str">
            <v>IN</v>
          </cell>
          <cell r="D390">
            <v>43140</v>
          </cell>
        </row>
        <row r="391">
          <cell r="A391" t="str">
            <v>GC</v>
          </cell>
          <cell r="D391">
            <v>43136</v>
          </cell>
        </row>
        <row r="392">
          <cell r="A392" t="str">
            <v>ASEAN</v>
          </cell>
          <cell r="D392">
            <v>43325</v>
          </cell>
        </row>
        <row r="393">
          <cell r="A393" t="str">
            <v>ASEAN</v>
          </cell>
          <cell r="D393">
            <v>43349</v>
          </cell>
        </row>
        <row r="394">
          <cell r="A394" t="str">
            <v>ASEAN</v>
          </cell>
          <cell r="D394">
            <v>43451</v>
          </cell>
        </row>
        <row r="395">
          <cell r="A395" t="str">
            <v>IN</v>
          </cell>
          <cell r="D395">
            <v>43336</v>
          </cell>
        </row>
        <row r="396">
          <cell r="A396" t="str">
            <v>IN</v>
          </cell>
          <cell r="D396">
            <v>43139</v>
          </cell>
        </row>
        <row r="397">
          <cell r="A397" t="str">
            <v>IN</v>
          </cell>
          <cell r="D397">
            <v>43271</v>
          </cell>
        </row>
        <row r="398">
          <cell r="A398" t="str">
            <v>ASEAN</v>
          </cell>
          <cell r="D398">
            <v>43107</v>
          </cell>
        </row>
        <row r="399">
          <cell r="A399" t="str">
            <v>GC</v>
          </cell>
          <cell r="D399">
            <v>43184</v>
          </cell>
        </row>
        <row r="400">
          <cell r="A400" t="str">
            <v>ASEAN</v>
          </cell>
          <cell r="D400">
            <v>43174</v>
          </cell>
        </row>
        <row r="401">
          <cell r="A401" t="str">
            <v>ASEAN</v>
          </cell>
          <cell r="D401">
            <v>43142</v>
          </cell>
        </row>
        <row r="402">
          <cell r="A402" t="str">
            <v>IN</v>
          </cell>
          <cell r="D402">
            <v>43274</v>
          </cell>
        </row>
        <row r="403">
          <cell r="A403" t="str">
            <v>ASEAN</v>
          </cell>
          <cell r="D403">
            <v>43191</v>
          </cell>
        </row>
        <row r="404">
          <cell r="A404" t="str">
            <v>ASEAN</v>
          </cell>
          <cell r="D404">
            <v>43191</v>
          </cell>
        </row>
        <row r="405">
          <cell r="A405" t="str">
            <v>IN</v>
          </cell>
          <cell r="D405">
            <v>43343</v>
          </cell>
        </row>
        <row r="406">
          <cell r="A406" t="str">
            <v>ASEAN</v>
          </cell>
          <cell r="D406">
            <v>43349</v>
          </cell>
        </row>
        <row r="407">
          <cell r="A407" t="str">
            <v>ANZ</v>
          </cell>
          <cell r="D407">
            <v>43401</v>
          </cell>
        </row>
        <row r="408">
          <cell r="A408" t="str">
            <v>ANZ</v>
          </cell>
          <cell r="D408">
            <v>43302</v>
          </cell>
        </row>
        <row r="409">
          <cell r="A409" t="str">
            <v>IN</v>
          </cell>
          <cell r="D409">
            <v>43225</v>
          </cell>
        </row>
        <row r="410">
          <cell r="A410" t="str">
            <v>IN</v>
          </cell>
          <cell r="D410">
            <v>43299</v>
          </cell>
        </row>
        <row r="411">
          <cell r="A411" t="str">
            <v>GC</v>
          </cell>
          <cell r="D411">
            <v>43368</v>
          </cell>
        </row>
        <row r="412">
          <cell r="A412" t="str">
            <v>ASEAN</v>
          </cell>
          <cell r="D412">
            <v>43417</v>
          </cell>
        </row>
        <row r="413">
          <cell r="A413" t="str">
            <v>IN</v>
          </cell>
          <cell r="D413">
            <v>43126</v>
          </cell>
        </row>
        <row r="414">
          <cell r="A414" t="str">
            <v>IN</v>
          </cell>
          <cell r="D414">
            <v>43115</v>
          </cell>
        </row>
        <row r="415">
          <cell r="A415" t="str">
            <v>IN</v>
          </cell>
          <cell r="D415">
            <v>43266</v>
          </cell>
        </row>
        <row r="416">
          <cell r="A416" t="str">
            <v>ANZ</v>
          </cell>
          <cell r="D416">
            <v>43119</v>
          </cell>
        </row>
        <row r="417">
          <cell r="A417" t="str">
            <v>IN</v>
          </cell>
          <cell r="D417">
            <v>43449</v>
          </cell>
        </row>
        <row r="418">
          <cell r="A418" t="str">
            <v>GC</v>
          </cell>
          <cell r="D418">
            <v>43268</v>
          </cell>
        </row>
        <row r="419">
          <cell r="A419" t="str">
            <v>IN</v>
          </cell>
          <cell r="D419">
            <v>43331</v>
          </cell>
        </row>
        <row r="420">
          <cell r="A420" t="str">
            <v>IN</v>
          </cell>
          <cell r="D420">
            <v>43326</v>
          </cell>
        </row>
        <row r="421">
          <cell r="A421" t="str">
            <v>GC</v>
          </cell>
          <cell r="D421">
            <v>43465</v>
          </cell>
        </row>
        <row r="422">
          <cell r="A422" t="str">
            <v>ASEAN</v>
          </cell>
          <cell r="D422">
            <v>43159</v>
          </cell>
        </row>
        <row r="423">
          <cell r="A423" t="str">
            <v>IN</v>
          </cell>
          <cell r="D423">
            <v>43129</v>
          </cell>
        </row>
        <row r="424">
          <cell r="A424" t="str">
            <v>IN</v>
          </cell>
          <cell r="D424">
            <v>43146</v>
          </cell>
        </row>
        <row r="425">
          <cell r="A425" t="str">
            <v>ASEAN</v>
          </cell>
          <cell r="D425">
            <v>43308</v>
          </cell>
        </row>
        <row r="426">
          <cell r="A426" t="str">
            <v>ASEAN</v>
          </cell>
          <cell r="D426">
            <v>43345</v>
          </cell>
        </row>
        <row r="427">
          <cell r="A427" t="str">
            <v>ASEAN</v>
          </cell>
          <cell r="D427">
            <v>43391</v>
          </cell>
        </row>
        <row r="428">
          <cell r="A428" t="str">
            <v>ASEAN</v>
          </cell>
          <cell r="D428">
            <v>43286</v>
          </cell>
        </row>
        <row r="429">
          <cell r="A429" t="str">
            <v>IN</v>
          </cell>
          <cell r="D429">
            <v>43326</v>
          </cell>
        </row>
        <row r="430">
          <cell r="A430" t="str">
            <v>ASEAN</v>
          </cell>
          <cell r="D430">
            <v>43302</v>
          </cell>
        </row>
        <row r="431">
          <cell r="A431" t="str">
            <v>ANZ</v>
          </cell>
          <cell r="D431">
            <v>43419</v>
          </cell>
        </row>
        <row r="432">
          <cell r="A432" t="str">
            <v>IN</v>
          </cell>
          <cell r="D432">
            <v>43158</v>
          </cell>
        </row>
        <row r="433">
          <cell r="A433" t="str">
            <v>ASEAN</v>
          </cell>
          <cell r="D433">
            <v>43213</v>
          </cell>
        </row>
        <row r="434">
          <cell r="A434" t="str">
            <v>ASEAN</v>
          </cell>
          <cell r="D434">
            <v>43183</v>
          </cell>
        </row>
        <row r="435">
          <cell r="A435" t="str">
            <v>ASEAN</v>
          </cell>
          <cell r="D435">
            <v>43146</v>
          </cell>
        </row>
        <row r="436">
          <cell r="A436" t="str">
            <v>KR</v>
          </cell>
          <cell r="D436">
            <v>43129</v>
          </cell>
        </row>
        <row r="437">
          <cell r="A437" t="str">
            <v>KR</v>
          </cell>
          <cell r="D437">
            <v>43271</v>
          </cell>
        </row>
        <row r="438">
          <cell r="A438" t="str">
            <v>GC</v>
          </cell>
          <cell r="D438">
            <v>43227</v>
          </cell>
        </row>
        <row r="439">
          <cell r="A439" t="str">
            <v>GC</v>
          </cell>
          <cell r="D439">
            <v>43337</v>
          </cell>
        </row>
        <row r="440">
          <cell r="A440" t="str">
            <v>IN</v>
          </cell>
          <cell r="D440">
            <v>43202</v>
          </cell>
        </row>
        <row r="441">
          <cell r="A441" t="str">
            <v>GC</v>
          </cell>
          <cell r="D441">
            <v>43138</v>
          </cell>
        </row>
        <row r="442">
          <cell r="A442" t="str">
            <v>GC</v>
          </cell>
          <cell r="D442">
            <v>43443</v>
          </cell>
        </row>
        <row r="443">
          <cell r="A443" t="str">
            <v>GC</v>
          </cell>
          <cell r="D443">
            <v>43108</v>
          </cell>
        </row>
        <row r="444">
          <cell r="A444" t="str">
            <v>GC</v>
          </cell>
          <cell r="D444">
            <v>43445</v>
          </cell>
        </row>
        <row r="445">
          <cell r="A445" t="str">
            <v>KR</v>
          </cell>
          <cell r="D445">
            <v>43234</v>
          </cell>
        </row>
        <row r="446">
          <cell r="A446" t="str">
            <v>KR</v>
          </cell>
          <cell r="D446">
            <v>43126</v>
          </cell>
        </row>
        <row r="447">
          <cell r="A447" t="str">
            <v>KR</v>
          </cell>
          <cell r="D447">
            <v>43440</v>
          </cell>
        </row>
        <row r="448">
          <cell r="A448" t="str">
            <v>KR</v>
          </cell>
          <cell r="D448">
            <v>43223</v>
          </cell>
        </row>
        <row r="449">
          <cell r="A449" t="str">
            <v>KR</v>
          </cell>
          <cell r="D449">
            <v>43364</v>
          </cell>
        </row>
        <row r="450">
          <cell r="A450" t="str">
            <v>KR</v>
          </cell>
          <cell r="D450">
            <v>43197</v>
          </cell>
        </row>
        <row r="451">
          <cell r="A451" t="str">
            <v>KR</v>
          </cell>
          <cell r="D451">
            <v>43153</v>
          </cell>
        </row>
        <row r="452">
          <cell r="A452" t="str">
            <v>KR</v>
          </cell>
          <cell r="D452">
            <v>43311</v>
          </cell>
        </row>
        <row r="453">
          <cell r="A453" t="str">
            <v>KR</v>
          </cell>
          <cell r="D453">
            <v>43235</v>
          </cell>
        </row>
        <row r="454">
          <cell r="A454" t="str">
            <v>KR</v>
          </cell>
          <cell r="D454">
            <v>43207</v>
          </cell>
        </row>
        <row r="455">
          <cell r="A455" t="str">
            <v>KR</v>
          </cell>
          <cell r="D455">
            <v>43442</v>
          </cell>
        </row>
        <row r="456">
          <cell r="A456" t="str">
            <v>KR</v>
          </cell>
          <cell r="D456">
            <v>43411</v>
          </cell>
        </row>
        <row r="457">
          <cell r="A457" t="str">
            <v>GC</v>
          </cell>
          <cell r="D457">
            <v>43145</v>
          </cell>
        </row>
        <row r="458">
          <cell r="A458" t="str">
            <v>IN</v>
          </cell>
          <cell r="D458">
            <v>43347</v>
          </cell>
        </row>
        <row r="459">
          <cell r="A459" t="str">
            <v>IN</v>
          </cell>
          <cell r="D459">
            <v>43226</v>
          </cell>
        </row>
        <row r="460">
          <cell r="A460" t="str">
            <v>IN</v>
          </cell>
          <cell r="D460">
            <v>43189</v>
          </cell>
        </row>
        <row r="461">
          <cell r="A461" t="str">
            <v>IN</v>
          </cell>
          <cell r="D461">
            <v>43306</v>
          </cell>
        </row>
        <row r="462">
          <cell r="A462" t="str">
            <v>ANZ</v>
          </cell>
          <cell r="D462">
            <v>43348</v>
          </cell>
        </row>
        <row r="463">
          <cell r="A463" t="str">
            <v>ASEAN</v>
          </cell>
          <cell r="D463">
            <v>43427</v>
          </cell>
        </row>
        <row r="464">
          <cell r="A464" t="str">
            <v>IN</v>
          </cell>
          <cell r="D464">
            <v>43158</v>
          </cell>
        </row>
        <row r="465">
          <cell r="A465" t="str">
            <v>IN</v>
          </cell>
          <cell r="D465">
            <v>43220</v>
          </cell>
        </row>
        <row r="466">
          <cell r="A466" t="str">
            <v>ASEAN</v>
          </cell>
          <cell r="D466">
            <v>43185</v>
          </cell>
        </row>
        <row r="467">
          <cell r="A467" t="str">
            <v>ASEAN</v>
          </cell>
          <cell r="D467">
            <v>43336</v>
          </cell>
        </row>
        <row r="468">
          <cell r="A468" t="str">
            <v>GC</v>
          </cell>
          <cell r="D468">
            <v>43313</v>
          </cell>
        </row>
        <row r="469">
          <cell r="A469" t="str">
            <v>IN</v>
          </cell>
          <cell r="D469">
            <v>43160</v>
          </cell>
        </row>
        <row r="470">
          <cell r="A470" t="str">
            <v>GC</v>
          </cell>
          <cell r="D470">
            <v>43446</v>
          </cell>
        </row>
        <row r="471">
          <cell r="A471" t="str">
            <v>ASEAN</v>
          </cell>
          <cell r="D471">
            <v>43250</v>
          </cell>
        </row>
        <row r="472">
          <cell r="A472" t="str">
            <v>IN</v>
          </cell>
          <cell r="D472">
            <v>43127</v>
          </cell>
        </row>
        <row r="473">
          <cell r="A473" t="str">
            <v>ASEAN</v>
          </cell>
          <cell r="D473">
            <v>43380</v>
          </cell>
        </row>
        <row r="474">
          <cell r="A474" t="str">
            <v>GC</v>
          </cell>
          <cell r="D474">
            <v>43449</v>
          </cell>
        </row>
        <row r="475">
          <cell r="A475" t="str">
            <v>ASEAN</v>
          </cell>
          <cell r="D475">
            <v>43164</v>
          </cell>
        </row>
        <row r="476">
          <cell r="A476" t="str">
            <v>GC</v>
          </cell>
          <cell r="D476">
            <v>43388</v>
          </cell>
        </row>
        <row r="477">
          <cell r="A477" t="str">
            <v>GC</v>
          </cell>
          <cell r="D477">
            <v>43191</v>
          </cell>
        </row>
        <row r="478">
          <cell r="A478" t="str">
            <v>GC</v>
          </cell>
          <cell r="D478">
            <v>43258</v>
          </cell>
        </row>
        <row r="479">
          <cell r="A479" t="str">
            <v>IN</v>
          </cell>
          <cell r="D479">
            <v>43206</v>
          </cell>
        </row>
        <row r="480">
          <cell r="A480" t="str">
            <v>IN</v>
          </cell>
          <cell r="D480">
            <v>43200</v>
          </cell>
        </row>
        <row r="481">
          <cell r="A481" t="str">
            <v>GC</v>
          </cell>
          <cell r="D481">
            <v>43462</v>
          </cell>
        </row>
        <row r="482">
          <cell r="A482" t="str">
            <v>ASEAN</v>
          </cell>
          <cell r="D482">
            <v>43239</v>
          </cell>
        </row>
        <row r="483">
          <cell r="A483" t="str">
            <v>IN</v>
          </cell>
          <cell r="D483">
            <v>43390</v>
          </cell>
        </row>
        <row r="484">
          <cell r="A484" t="str">
            <v>IN</v>
          </cell>
          <cell r="D484">
            <v>43409</v>
          </cell>
        </row>
        <row r="485">
          <cell r="A485" t="str">
            <v>ASEAN</v>
          </cell>
          <cell r="D485">
            <v>43327</v>
          </cell>
        </row>
        <row r="486">
          <cell r="A486" t="str">
            <v>ASEAN</v>
          </cell>
          <cell r="D486">
            <v>43302</v>
          </cell>
        </row>
        <row r="487">
          <cell r="A487" t="str">
            <v>IN</v>
          </cell>
          <cell r="D487">
            <v>43263</v>
          </cell>
        </row>
        <row r="488">
          <cell r="A488" t="str">
            <v>IN</v>
          </cell>
          <cell r="D488">
            <v>43304</v>
          </cell>
        </row>
        <row r="489">
          <cell r="A489" t="str">
            <v>ASEAN</v>
          </cell>
          <cell r="D489">
            <v>43289</v>
          </cell>
        </row>
        <row r="490">
          <cell r="A490" t="str">
            <v>GC</v>
          </cell>
          <cell r="D490">
            <v>43289</v>
          </cell>
        </row>
        <row r="491">
          <cell r="A491" t="str">
            <v>ASEAN</v>
          </cell>
          <cell r="D491">
            <v>43367</v>
          </cell>
        </row>
        <row r="492">
          <cell r="A492" t="str">
            <v>IN</v>
          </cell>
          <cell r="D492">
            <v>43242</v>
          </cell>
        </row>
        <row r="493">
          <cell r="A493" t="str">
            <v>ASEAN</v>
          </cell>
          <cell r="D493">
            <v>43116</v>
          </cell>
        </row>
        <row r="494">
          <cell r="A494" t="str">
            <v>IN</v>
          </cell>
          <cell r="D494">
            <v>43166</v>
          </cell>
        </row>
        <row r="495">
          <cell r="A495" t="str">
            <v>ASEAN</v>
          </cell>
          <cell r="D495">
            <v>43162</v>
          </cell>
        </row>
        <row r="496">
          <cell r="A496" t="str">
            <v>ANZ</v>
          </cell>
          <cell r="D496">
            <v>43293</v>
          </cell>
        </row>
        <row r="497">
          <cell r="A497" t="str">
            <v>GC</v>
          </cell>
          <cell r="D497">
            <v>43320</v>
          </cell>
        </row>
        <row r="498">
          <cell r="A498" t="str">
            <v>GC</v>
          </cell>
          <cell r="D498">
            <v>43348</v>
          </cell>
        </row>
        <row r="499">
          <cell r="A499" t="str">
            <v>KR</v>
          </cell>
          <cell r="D499">
            <v>43439</v>
          </cell>
        </row>
        <row r="500">
          <cell r="A500" t="str">
            <v>KR</v>
          </cell>
          <cell r="D500">
            <v>43333</v>
          </cell>
        </row>
        <row r="501">
          <cell r="A501" t="str">
            <v>ANZ</v>
          </cell>
          <cell r="D501">
            <v>43335</v>
          </cell>
        </row>
        <row r="502">
          <cell r="A502" t="str">
            <v>KR</v>
          </cell>
          <cell r="D502">
            <v>43420</v>
          </cell>
        </row>
        <row r="503">
          <cell r="A503" t="str">
            <v>GC</v>
          </cell>
          <cell r="D503">
            <v>43163</v>
          </cell>
        </row>
        <row r="504">
          <cell r="A504" t="str">
            <v>GC</v>
          </cell>
          <cell r="D504">
            <v>43118</v>
          </cell>
        </row>
        <row r="505">
          <cell r="A505" t="str">
            <v>IN</v>
          </cell>
          <cell r="D505">
            <v>43339</v>
          </cell>
        </row>
        <row r="506">
          <cell r="A506" t="str">
            <v>ASEAN</v>
          </cell>
          <cell r="D506">
            <v>43145</v>
          </cell>
        </row>
        <row r="507">
          <cell r="A507" t="str">
            <v>GC</v>
          </cell>
          <cell r="D507">
            <v>43317</v>
          </cell>
        </row>
        <row r="508">
          <cell r="A508" t="str">
            <v>IN</v>
          </cell>
          <cell r="D508">
            <v>43154</v>
          </cell>
        </row>
        <row r="509">
          <cell r="A509" t="str">
            <v>IN</v>
          </cell>
          <cell r="D509">
            <v>43386</v>
          </cell>
        </row>
        <row r="510">
          <cell r="A510" t="str">
            <v>GC</v>
          </cell>
          <cell r="D510">
            <v>43159</v>
          </cell>
        </row>
        <row r="511">
          <cell r="A511" t="str">
            <v>IN</v>
          </cell>
          <cell r="D511">
            <v>43311</v>
          </cell>
        </row>
        <row r="512">
          <cell r="A512" t="str">
            <v>IN</v>
          </cell>
          <cell r="D512">
            <v>43137</v>
          </cell>
        </row>
        <row r="513">
          <cell r="A513" t="str">
            <v>ANZ</v>
          </cell>
          <cell r="D513">
            <v>43131</v>
          </cell>
        </row>
        <row r="514">
          <cell r="A514" t="str">
            <v>ASEAN</v>
          </cell>
          <cell r="D514">
            <v>43362</v>
          </cell>
        </row>
        <row r="515">
          <cell r="A515" t="str">
            <v>IN</v>
          </cell>
          <cell r="D515">
            <v>43285</v>
          </cell>
        </row>
        <row r="516">
          <cell r="A516" t="str">
            <v>GC</v>
          </cell>
          <cell r="D516">
            <v>43375</v>
          </cell>
        </row>
        <row r="517">
          <cell r="A517" t="str">
            <v>GC</v>
          </cell>
          <cell r="D517">
            <v>43238</v>
          </cell>
        </row>
        <row r="518">
          <cell r="A518" t="str">
            <v>KR</v>
          </cell>
          <cell r="D518">
            <v>43320</v>
          </cell>
        </row>
        <row r="519">
          <cell r="A519" t="str">
            <v>IN</v>
          </cell>
          <cell r="D519">
            <v>43207</v>
          </cell>
        </row>
        <row r="520">
          <cell r="A520" t="str">
            <v>ASEAN</v>
          </cell>
          <cell r="D520">
            <v>43107</v>
          </cell>
        </row>
        <row r="521">
          <cell r="A521" t="str">
            <v>ASEAN</v>
          </cell>
          <cell r="D521">
            <v>43148</v>
          </cell>
        </row>
        <row r="522">
          <cell r="A522" t="str">
            <v>GC</v>
          </cell>
          <cell r="D522">
            <v>43188</v>
          </cell>
        </row>
        <row r="523">
          <cell r="A523" t="str">
            <v>IN</v>
          </cell>
          <cell r="D523">
            <v>43381</v>
          </cell>
        </row>
        <row r="524">
          <cell r="A524" t="str">
            <v>IN</v>
          </cell>
          <cell r="D524">
            <v>43144</v>
          </cell>
        </row>
        <row r="525">
          <cell r="A525" t="str">
            <v>ASEAN</v>
          </cell>
          <cell r="D525">
            <v>43141</v>
          </cell>
        </row>
        <row r="526">
          <cell r="A526" t="str">
            <v>IN</v>
          </cell>
          <cell r="D526">
            <v>43270</v>
          </cell>
        </row>
        <row r="527">
          <cell r="A527" t="str">
            <v>ASEAN</v>
          </cell>
          <cell r="D527">
            <v>43353</v>
          </cell>
        </row>
        <row r="528">
          <cell r="A528" t="str">
            <v>ASEAN</v>
          </cell>
          <cell r="D528">
            <v>43454</v>
          </cell>
        </row>
        <row r="529">
          <cell r="A529" t="str">
            <v>GC</v>
          </cell>
          <cell r="D529">
            <v>43244</v>
          </cell>
        </row>
        <row r="530">
          <cell r="A530" t="str">
            <v>GC</v>
          </cell>
          <cell r="D530">
            <v>43384</v>
          </cell>
        </row>
        <row r="531">
          <cell r="A531" t="str">
            <v>KR</v>
          </cell>
          <cell r="D531">
            <v>43420</v>
          </cell>
        </row>
        <row r="532">
          <cell r="A532" t="str">
            <v>KR</v>
          </cell>
          <cell r="D532">
            <v>43325</v>
          </cell>
        </row>
        <row r="533">
          <cell r="A533" t="str">
            <v>KR</v>
          </cell>
          <cell r="D533">
            <v>43135</v>
          </cell>
        </row>
        <row r="534">
          <cell r="A534" t="str">
            <v>GC</v>
          </cell>
          <cell r="D534">
            <v>43373</v>
          </cell>
        </row>
        <row r="535">
          <cell r="A535" t="str">
            <v>GC</v>
          </cell>
          <cell r="D535">
            <v>43163</v>
          </cell>
        </row>
        <row r="536">
          <cell r="A536" t="str">
            <v>ASEAN</v>
          </cell>
          <cell r="D536">
            <v>43162</v>
          </cell>
        </row>
        <row r="537">
          <cell r="A537" t="str">
            <v>ASEAN</v>
          </cell>
          <cell r="D537">
            <v>43246</v>
          </cell>
        </row>
        <row r="538">
          <cell r="A538" t="str">
            <v>IN</v>
          </cell>
          <cell r="D538">
            <v>43397</v>
          </cell>
        </row>
        <row r="539">
          <cell r="A539" t="str">
            <v>IN</v>
          </cell>
          <cell r="D539">
            <v>43248</v>
          </cell>
        </row>
        <row r="540">
          <cell r="A540" t="str">
            <v>ASEAN</v>
          </cell>
          <cell r="D540">
            <v>43307</v>
          </cell>
        </row>
        <row r="541">
          <cell r="A541" t="str">
            <v>IN</v>
          </cell>
          <cell r="D541">
            <v>43285</v>
          </cell>
        </row>
        <row r="542">
          <cell r="A542" t="str">
            <v>ANZ</v>
          </cell>
          <cell r="D542">
            <v>43133</v>
          </cell>
        </row>
        <row r="543">
          <cell r="A543" t="str">
            <v>KR</v>
          </cell>
          <cell r="D543">
            <v>43351</v>
          </cell>
        </row>
        <row r="544">
          <cell r="A544" t="str">
            <v>IN</v>
          </cell>
          <cell r="D544">
            <v>43165</v>
          </cell>
        </row>
        <row r="545">
          <cell r="A545" t="str">
            <v>ASEAN</v>
          </cell>
          <cell r="D545">
            <v>43220</v>
          </cell>
        </row>
        <row r="546">
          <cell r="A546" t="str">
            <v>IN</v>
          </cell>
          <cell r="D546">
            <v>43356</v>
          </cell>
        </row>
        <row r="547">
          <cell r="A547" t="str">
            <v>IN</v>
          </cell>
          <cell r="D547">
            <v>43325</v>
          </cell>
        </row>
        <row r="548">
          <cell r="A548" t="str">
            <v>IN</v>
          </cell>
          <cell r="D548">
            <v>43235</v>
          </cell>
        </row>
        <row r="549">
          <cell r="A549" t="str">
            <v>GC</v>
          </cell>
          <cell r="D549">
            <v>43440</v>
          </cell>
        </row>
        <row r="550">
          <cell r="A550" t="str">
            <v>ANZ</v>
          </cell>
          <cell r="D550">
            <v>43163</v>
          </cell>
        </row>
        <row r="551">
          <cell r="A551" t="str">
            <v>KR</v>
          </cell>
          <cell r="D551">
            <v>43414</v>
          </cell>
        </row>
        <row r="552">
          <cell r="A552" t="str">
            <v>ASEAN</v>
          </cell>
          <cell r="D552">
            <v>43446</v>
          </cell>
        </row>
        <row r="553">
          <cell r="A553" t="str">
            <v>ANZ</v>
          </cell>
          <cell r="D553">
            <v>43299</v>
          </cell>
        </row>
        <row r="554">
          <cell r="A554" t="str">
            <v>ANZ</v>
          </cell>
          <cell r="D554">
            <v>43185</v>
          </cell>
        </row>
        <row r="555">
          <cell r="A555" t="str">
            <v>ANZ</v>
          </cell>
          <cell r="D555">
            <v>43346</v>
          </cell>
        </row>
        <row r="556">
          <cell r="A556" t="str">
            <v>ANZ</v>
          </cell>
          <cell r="D556">
            <v>43193</v>
          </cell>
        </row>
        <row r="557">
          <cell r="A557" t="str">
            <v>IN</v>
          </cell>
          <cell r="D557">
            <v>43362</v>
          </cell>
        </row>
        <row r="558">
          <cell r="A558" t="str">
            <v>ANZ</v>
          </cell>
          <cell r="D558">
            <v>43107</v>
          </cell>
        </row>
        <row r="559">
          <cell r="A559" t="str">
            <v>ANZ</v>
          </cell>
          <cell r="D559">
            <v>43339</v>
          </cell>
        </row>
        <row r="560">
          <cell r="A560" t="str">
            <v>ASEAN</v>
          </cell>
          <cell r="D560">
            <v>43384</v>
          </cell>
        </row>
        <row r="561">
          <cell r="A561" t="str">
            <v>ANZ</v>
          </cell>
          <cell r="D561">
            <v>43132</v>
          </cell>
        </row>
        <row r="562">
          <cell r="A562" t="str">
            <v>ANZ</v>
          </cell>
          <cell r="D562">
            <v>43436</v>
          </cell>
        </row>
        <row r="563">
          <cell r="A563" t="str">
            <v>ANZ</v>
          </cell>
          <cell r="D563">
            <v>43361</v>
          </cell>
        </row>
        <row r="564">
          <cell r="A564" t="str">
            <v>ANZ</v>
          </cell>
          <cell r="D564">
            <v>43263</v>
          </cell>
        </row>
        <row r="565">
          <cell r="A565" t="str">
            <v>ANZ</v>
          </cell>
          <cell r="D565">
            <v>43196</v>
          </cell>
        </row>
        <row r="566">
          <cell r="A566" t="str">
            <v>ANZ</v>
          </cell>
          <cell r="D566">
            <v>43319</v>
          </cell>
        </row>
        <row r="567">
          <cell r="A567" t="str">
            <v>ANZ</v>
          </cell>
          <cell r="D567">
            <v>43149</v>
          </cell>
        </row>
        <row r="568">
          <cell r="A568" t="str">
            <v>ASEAN</v>
          </cell>
          <cell r="D568">
            <v>43136</v>
          </cell>
        </row>
        <row r="569">
          <cell r="A569" t="str">
            <v>ASEAN</v>
          </cell>
          <cell r="D569">
            <v>43406</v>
          </cell>
        </row>
        <row r="570">
          <cell r="A570" t="str">
            <v>ASEAN</v>
          </cell>
          <cell r="D570">
            <v>43317</v>
          </cell>
        </row>
        <row r="571">
          <cell r="A571" t="str">
            <v>GC</v>
          </cell>
          <cell r="D571">
            <v>43342</v>
          </cell>
        </row>
        <row r="572">
          <cell r="A572" t="str">
            <v>GC</v>
          </cell>
          <cell r="D572">
            <v>43351</v>
          </cell>
        </row>
        <row r="573">
          <cell r="A573" t="str">
            <v>GC</v>
          </cell>
          <cell r="D573">
            <v>43204</v>
          </cell>
        </row>
        <row r="574">
          <cell r="A574" t="str">
            <v>IN</v>
          </cell>
          <cell r="D574">
            <v>43403</v>
          </cell>
        </row>
        <row r="575">
          <cell r="A575" t="str">
            <v>IN</v>
          </cell>
          <cell r="D575">
            <v>43351</v>
          </cell>
        </row>
        <row r="576">
          <cell r="A576" t="str">
            <v>GC</v>
          </cell>
          <cell r="D576">
            <v>43283</v>
          </cell>
        </row>
        <row r="577">
          <cell r="A577" t="str">
            <v>ASEAN</v>
          </cell>
          <cell r="D577">
            <v>43394</v>
          </cell>
        </row>
        <row r="578">
          <cell r="A578" t="str">
            <v>ASEAN</v>
          </cell>
          <cell r="D578">
            <v>43117</v>
          </cell>
        </row>
        <row r="579">
          <cell r="A579" t="str">
            <v>ASEAN</v>
          </cell>
          <cell r="D579">
            <v>43420</v>
          </cell>
        </row>
        <row r="580">
          <cell r="A580" t="str">
            <v>ASEAN</v>
          </cell>
          <cell r="D580">
            <v>43118</v>
          </cell>
        </row>
        <row r="581">
          <cell r="A581" t="str">
            <v>ASEAN</v>
          </cell>
          <cell r="D581">
            <v>43410</v>
          </cell>
        </row>
        <row r="582">
          <cell r="A582" t="str">
            <v>GC</v>
          </cell>
          <cell r="D582">
            <v>43433</v>
          </cell>
        </row>
        <row r="583">
          <cell r="A583" t="str">
            <v>IN</v>
          </cell>
          <cell r="D583">
            <v>43149</v>
          </cell>
        </row>
        <row r="584">
          <cell r="A584" t="str">
            <v>IN</v>
          </cell>
          <cell r="D584">
            <v>43348</v>
          </cell>
        </row>
        <row r="585">
          <cell r="A585" t="str">
            <v>ASEAN</v>
          </cell>
          <cell r="D585">
            <v>43338</v>
          </cell>
        </row>
        <row r="586">
          <cell r="A586" t="str">
            <v>ASEAN</v>
          </cell>
          <cell r="D586">
            <v>43361</v>
          </cell>
        </row>
        <row r="587">
          <cell r="A587" t="str">
            <v>ANZ</v>
          </cell>
          <cell r="D587">
            <v>43165</v>
          </cell>
        </row>
        <row r="588">
          <cell r="A588" t="str">
            <v>ASEAN</v>
          </cell>
          <cell r="D588">
            <v>43235</v>
          </cell>
        </row>
        <row r="589">
          <cell r="A589" t="str">
            <v>GC</v>
          </cell>
          <cell r="D589">
            <v>43241</v>
          </cell>
        </row>
        <row r="590">
          <cell r="A590" t="str">
            <v>IN</v>
          </cell>
          <cell r="D590">
            <v>43104</v>
          </cell>
        </row>
        <row r="591">
          <cell r="A591" t="str">
            <v>IN</v>
          </cell>
          <cell r="D591">
            <v>43150</v>
          </cell>
        </row>
        <row r="592">
          <cell r="A592" t="str">
            <v>IN</v>
          </cell>
          <cell r="D592">
            <v>43198</v>
          </cell>
        </row>
        <row r="593">
          <cell r="A593" t="str">
            <v>GC</v>
          </cell>
          <cell r="D593">
            <v>43180</v>
          </cell>
        </row>
        <row r="594">
          <cell r="A594" t="str">
            <v>IN</v>
          </cell>
          <cell r="D594">
            <v>43268</v>
          </cell>
        </row>
        <row r="595">
          <cell r="A595" t="str">
            <v>IN</v>
          </cell>
          <cell r="D595">
            <v>43404</v>
          </cell>
        </row>
        <row r="596">
          <cell r="A596" t="str">
            <v>IN</v>
          </cell>
          <cell r="D596">
            <v>43412</v>
          </cell>
        </row>
        <row r="597">
          <cell r="A597" t="str">
            <v>IN</v>
          </cell>
          <cell r="D597">
            <v>43133</v>
          </cell>
        </row>
        <row r="598">
          <cell r="A598" t="str">
            <v>IN</v>
          </cell>
          <cell r="D598">
            <v>43260</v>
          </cell>
        </row>
        <row r="599">
          <cell r="A599" t="str">
            <v>IN</v>
          </cell>
          <cell r="D599">
            <v>43166</v>
          </cell>
        </row>
        <row r="600">
          <cell r="A600" t="str">
            <v>KR</v>
          </cell>
          <cell r="D600">
            <v>43393</v>
          </cell>
        </row>
        <row r="601">
          <cell r="A601" t="str">
            <v>KR</v>
          </cell>
          <cell r="D601">
            <v>43350</v>
          </cell>
        </row>
        <row r="602">
          <cell r="A602" t="str">
            <v>KR</v>
          </cell>
          <cell r="D602">
            <v>43103</v>
          </cell>
        </row>
        <row r="603">
          <cell r="A603" t="str">
            <v>GC</v>
          </cell>
          <cell r="D603">
            <v>43380</v>
          </cell>
        </row>
        <row r="604">
          <cell r="A604" t="str">
            <v>GC</v>
          </cell>
          <cell r="D604">
            <v>43332</v>
          </cell>
        </row>
        <row r="605">
          <cell r="A605" t="str">
            <v>ANZ</v>
          </cell>
          <cell r="D605">
            <v>43446</v>
          </cell>
        </row>
        <row r="606">
          <cell r="A606" t="str">
            <v>IN</v>
          </cell>
          <cell r="D606">
            <v>43309</v>
          </cell>
        </row>
        <row r="607">
          <cell r="A607" t="str">
            <v>KR</v>
          </cell>
          <cell r="D607">
            <v>43202</v>
          </cell>
        </row>
        <row r="608">
          <cell r="A608" t="str">
            <v>KR</v>
          </cell>
          <cell r="D608">
            <v>43320</v>
          </cell>
        </row>
        <row r="609">
          <cell r="A609" t="str">
            <v>GC</v>
          </cell>
          <cell r="D609">
            <v>43281</v>
          </cell>
        </row>
        <row r="610">
          <cell r="A610" t="str">
            <v>GC</v>
          </cell>
          <cell r="D610">
            <v>43297</v>
          </cell>
        </row>
        <row r="611">
          <cell r="A611" t="str">
            <v>IN</v>
          </cell>
          <cell r="D611">
            <v>43367</v>
          </cell>
        </row>
        <row r="612">
          <cell r="A612" t="str">
            <v>GC</v>
          </cell>
          <cell r="D612">
            <v>43138</v>
          </cell>
        </row>
        <row r="613">
          <cell r="A613" t="str">
            <v>IN</v>
          </cell>
          <cell r="D613">
            <v>43149</v>
          </cell>
        </row>
        <row r="614">
          <cell r="A614" t="str">
            <v>IN</v>
          </cell>
          <cell r="D614">
            <v>43309</v>
          </cell>
        </row>
        <row r="615">
          <cell r="A615" t="str">
            <v>IN</v>
          </cell>
          <cell r="D615">
            <v>43448</v>
          </cell>
        </row>
        <row r="616">
          <cell r="A616" t="str">
            <v>ASEAN</v>
          </cell>
          <cell r="D616">
            <v>43380</v>
          </cell>
        </row>
        <row r="617">
          <cell r="A617" t="str">
            <v>IN</v>
          </cell>
          <cell r="D617">
            <v>43392</v>
          </cell>
        </row>
        <row r="618">
          <cell r="A618" t="str">
            <v>ASEAN</v>
          </cell>
          <cell r="D618">
            <v>43284</v>
          </cell>
        </row>
        <row r="619">
          <cell r="A619" t="str">
            <v>ANZ</v>
          </cell>
          <cell r="D619">
            <v>43226</v>
          </cell>
        </row>
        <row r="620">
          <cell r="A620" t="str">
            <v>IN</v>
          </cell>
          <cell r="D620">
            <v>43238</v>
          </cell>
        </row>
        <row r="621">
          <cell r="A621" t="str">
            <v>ASEAN</v>
          </cell>
          <cell r="D621">
            <v>43242</v>
          </cell>
        </row>
        <row r="622">
          <cell r="A622" t="str">
            <v>IN</v>
          </cell>
          <cell r="D622">
            <v>43404</v>
          </cell>
        </row>
        <row r="623">
          <cell r="A623" t="str">
            <v>ANZ</v>
          </cell>
          <cell r="D623">
            <v>43382</v>
          </cell>
        </row>
        <row r="624">
          <cell r="A624" t="str">
            <v>ANZ</v>
          </cell>
          <cell r="D624">
            <v>43289</v>
          </cell>
        </row>
        <row r="625">
          <cell r="A625" t="str">
            <v>IN</v>
          </cell>
          <cell r="D625">
            <v>43205</v>
          </cell>
        </row>
        <row r="626">
          <cell r="A626" t="str">
            <v>ASEAN</v>
          </cell>
          <cell r="D626">
            <v>43213</v>
          </cell>
        </row>
        <row r="627">
          <cell r="A627" t="str">
            <v>ANZ</v>
          </cell>
          <cell r="D627">
            <v>43176</v>
          </cell>
        </row>
        <row r="628">
          <cell r="A628" t="str">
            <v>IN</v>
          </cell>
          <cell r="D628">
            <v>43382</v>
          </cell>
        </row>
        <row r="629">
          <cell r="A629" t="str">
            <v>ASEAN</v>
          </cell>
          <cell r="D629">
            <v>43307</v>
          </cell>
        </row>
        <row r="630">
          <cell r="A630" t="str">
            <v>GC</v>
          </cell>
          <cell r="D630">
            <v>43132</v>
          </cell>
        </row>
        <row r="631">
          <cell r="A631" t="str">
            <v>IN</v>
          </cell>
          <cell r="D631">
            <v>43140</v>
          </cell>
        </row>
        <row r="632">
          <cell r="A632" t="str">
            <v>IN</v>
          </cell>
          <cell r="D632">
            <v>43396</v>
          </cell>
        </row>
        <row r="633">
          <cell r="A633" t="str">
            <v>IN</v>
          </cell>
          <cell r="D633">
            <v>43274</v>
          </cell>
        </row>
        <row r="634">
          <cell r="A634" t="str">
            <v>GC</v>
          </cell>
          <cell r="D634">
            <v>43312</v>
          </cell>
        </row>
        <row r="635">
          <cell r="A635" t="str">
            <v>GC</v>
          </cell>
          <cell r="D635">
            <v>43189</v>
          </cell>
        </row>
        <row r="636">
          <cell r="A636" t="str">
            <v>GC</v>
          </cell>
          <cell r="D636">
            <v>43245</v>
          </cell>
        </row>
        <row r="637">
          <cell r="A637" t="str">
            <v>GC</v>
          </cell>
          <cell r="D637">
            <v>43176</v>
          </cell>
        </row>
        <row r="638">
          <cell r="A638" t="str">
            <v>GC</v>
          </cell>
          <cell r="D638">
            <v>43270</v>
          </cell>
        </row>
        <row r="639">
          <cell r="A639" t="str">
            <v>ASEAN</v>
          </cell>
          <cell r="D639">
            <v>43453</v>
          </cell>
        </row>
        <row r="640">
          <cell r="A640" t="str">
            <v>GC</v>
          </cell>
          <cell r="D640">
            <v>43159</v>
          </cell>
        </row>
        <row r="641">
          <cell r="A641" t="str">
            <v>GC</v>
          </cell>
          <cell r="D641">
            <v>43361</v>
          </cell>
        </row>
        <row r="642">
          <cell r="A642" t="str">
            <v>GC</v>
          </cell>
          <cell r="D642">
            <v>43163</v>
          </cell>
        </row>
        <row r="643">
          <cell r="A643" t="str">
            <v>GC</v>
          </cell>
          <cell r="D643">
            <v>43188</v>
          </cell>
        </row>
        <row r="644">
          <cell r="A644" t="str">
            <v>GC</v>
          </cell>
          <cell r="D644">
            <v>43457</v>
          </cell>
        </row>
        <row r="645">
          <cell r="A645" t="str">
            <v>GC</v>
          </cell>
          <cell r="D645">
            <v>43321</v>
          </cell>
        </row>
        <row r="646">
          <cell r="A646" t="str">
            <v>GC</v>
          </cell>
          <cell r="D646">
            <v>43184</v>
          </cell>
        </row>
        <row r="647">
          <cell r="A647" t="str">
            <v>GC</v>
          </cell>
          <cell r="D647">
            <v>43206</v>
          </cell>
        </row>
        <row r="648">
          <cell r="A648" t="str">
            <v>GC</v>
          </cell>
          <cell r="D648">
            <v>43299</v>
          </cell>
        </row>
        <row r="649">
          <cell r="A649" t="str">
            <v>KR</v>
          </cell>
          <cell r="D649">
            <v>43117</v>
          </cell>
        </row>
        <row r="650">
          <cell r="A650" t="str">
            <v>GC</v>
          </cell>
          <cell r="D650">
            <v>43351</v>
          </cell>
        </row>
        <row r="651">
          <cell r="A651" t="str">
            <v>GC</v>
          </cell>
          <cell r="D651">
            <v>43299</v>
          </cell>
        </row>
        <row r="652">
          <cell r="A652" t="str">
            <v>ANZ</v>
          </cell>
          <cell r="D652">
            <v>43148</v>
          </cell>
        </row>
        <row r="653">
          <cell r="A653" t="str">
            <v>ASEAN</v>
          </cell>
          <cell r="D653">
            <v>43134</v>
          </cell>
        </row>
        <row r="654">
          <cell r="A654" t="str">
            <v>IN</v>
          </cell>
          <cell r="D654">
            <v>43448</v>
          </cell>
        </row>
        <row r="655">
          <cell r="A655" t="str">
            <v>IN</v>
          </cell>
          <cell r="D655">
            <v>43287</v>
          </cell>
        </row>
        <row r="656">
          <cell r="A656" t="str">
            <v>IN</v>
          </cell>
          <cell r="D656">
            <v>43465</v>
          </cell>
        </row>
        <row r="657">
          <cell r="A657" t="str">
            <v>KR</v>
          </cell>
          <cell r="D657">
            <v>43316</v>
          </cell>
        </row>
        <row r="658">
          <cell r="A658" t="str">
            <v>KR</v>
          </cell>
          <cell r="D658">
            <v>43410</v>
          </cell>
        </row>
        <row r="659">
          <cell r="A659" t="str">
            <v>KR</v>
          </cell>
          <cell r="D659">
            <v>43285</v>
          </cell>
        </row>
        <row r="660">
          <cell r="A660" t="str">
            <v>ANZ</v>
          </cell>
          <cell r="D660">
            <v>43233</v>
          </cell>
        </row>
        <row r="661">
          <cell r="A661" t="str">
            <v>KR</v>
          </cell>
          <cell r="D661">
            <v>43451</v>
          </cell>
        </row>
        <row r="662">
          <cell r="A662" t="str">
            <v>GC</v>
          </cell>
          <cell r="D662">
            <v>43364</v>
          </cell>
        </row>
        <row r="663">
          <cell r="A663" t="str">
            <v>IN</v>
          </cell>
          <cell r="D663">
            <v>43177</v>
          </cell>
        </row>
        <row r="664">
          <cell r="A664" t="str">
            <v>ASEAN</v>
          </cell>
          <cell r="D664">
            <v>43152</v>
          </cell>
        </row>
        <row r="665">
          <cell r="A665" t="str">
            <v>IN</v>
          </cell>
          <cell r="D665">
            <v>43228</v>
          </cell>
        </row>
        <row r="666">
          <cell r="A666" t="str">
            <v>IN</v>
          </cell>
          <cell r="D666">
            <v>43258</v>
          </cell>
        </row>
        <row r="667">
          <cell r="A667" t="str">
            <v>IN</v>
          </cell>
          <cell r="D667">
            <v>43104</v>
          </cell>
        </row>
        <row r="668">
          <cell r="A668" t="str">
            <v>IN</v>
          </cell>
          <cell r="D668">
            <v>43364</v>
          </cell>
        </row>
        <row r="669">
          <cell r="A669" t="str">
            <v>IN</v>
          </cell>
          <cell r="D669">
            <v>43208</v>
          </cell>
        </row>
        <row r="670">
          <cell r="A670" t="str">
            <v>IN</v>
          </cell>
          <cell r="D670">
            <v>43326</v>
          </cell>
        </row>
        <row r="671">
          <cell r="A671" t="str">
            <v>ASEAN</v>
          </cell>
          <cell r="D671">
            <v>43360</v>
          </cell>
        </row>
        <row r="672">
          <cell r="A672" t="str">
            <v>IN</v>
          </cell>
          <cell r="D672">
            <v>43329</v>
          </cell>
        </row>
        <row r="673">
          <cell r="A673" t="str">
            <v>IN</v>
          </cell>
          <cell r="D673">
            <v>43290</v>
          </cell>
        </row>
        <row r="674">
          <cell r="A674" t="str">
            <v>IN</v>
          </cell>
          <cell r="D674">
            <v>43334</v>
          </cell>
        </row>
        <row r="675">
          <cell r="A675" t="str">
            <v>IN</v>
          </cell>
          <cell r="D675">
            <v>43435</v>
          </cell>
        </row>
        <row r="676">
          <cell r="A676" t="str">
            <v>IN</v>
          </cell>
          <cell r="D676">
            <v>43445</v>
          </cell>
        </row>
        <row r="677">
          <cell r="A677" t="str">
            <v>IN</v>
          </cell>
          <cell r="D677">
            <v>43256</v>
          </cell>
        </row>
        <row r="678">
          <cell r="A678" t="str">
            <v>GC</v>
          </cell>
          <cell r="D678">
            <v>43130</v>
          </cell>
        </row>
        <row r="679">
          <cell r="A679" t="str">
            <v>ASEAN</v>
          </cell>
          <cell r="D679">
            <v>43407</v>
          </cell>
        </row>
        <row r="680">
          <cell r="A680" t="str">
            <v>IN</v>
          </cell>
          <cell r="D680">
            <v>43415</v>
          </cell>
        </row>
        <row r="681">
          <cell r="A681" t="str">
            <v>ANZ</v>
          </cell>
          <cell r="D681">
            <v>43191</v>
          </cell>
        </row>
        <row r="682">
          <cell r="A682" t="str">
            <v>GC</v>
          </cell>
          <cell r="D682">
            <v>43357</v>
          </cell>
        </row>
        <row r="683">
          <cell r="A683" t="str">
            <v>ASEAN</v>
          </cell>
          <cell r="D683">
            <v>43143</v>
          </cell>
        </row>
        <row r="684">
          <cell r="A684" t="str">
            <v>ANZ</v>
          </cell>
          <cell r="D684">
            <v>43448</v>
          </cell>
        </row>
        <row r="685">
          <cell r="A685" t="str">
            <v>IN</v>
          </cell>
          <cell r="D685">
            <v>43408</v>
          </cell>
        </row>
        <row r="686">
          <cell r="A686" t="str">
            <v>IN</v>
          </cell>
          <cell r="D686">
            <v>43282</v>
          </cell>
        </row>
        <row r="687">
          <cell r="A687" t="str">
            <v>IN</v>
          </cell>
          <cell r="D687">
            <v>43375</v>
          </cell>
        </row>
        <row r="688">
          <cell r="A688" t="str">
            <v>ASEAN</v>
          </cell>
          <cell r="D688">
            <v>43326</v>
          </cell>
        </row>
        <row r="689">
          <cell r="A689" t="str">
            <v>IN</v>
          </cell>
          <cell r="D689">
            <v>43110</v>
          </cell>
        </row>
        <row r="690">
          <cell r="A690" t="str">
            <v>IN</v>
          </cell>
          <cell r="D690">
            <v>43126</v>
          </cell>
        </row>
        <row r="691">
          <cell r="A691" t="str">
            <v>GC</v>
          </cell>
          <cell r="D691">
            <v>43344</v>
          </cell>
        </row>
        <row r="692">
          <cell r="A692" t="str">
            <v>IN</v>
          </cell>
          <cell r="D692">
            <v>43451</v>
          </cell>
        </row>
        <row r="693">
          <cell r="A693" t="str">
            <v>IN</v>
          </cell>
          <cell r="D693">
            <v>43237</v>
          </cell>
        </row>
        <row r="694">
          <cell r="A694" t="str">
            <v>ASEAN</v>
          </cell>
          <cell r="D694">
            <v>43299</v>
          </cell>
        </row>
        <row r="695">
          <cell r="A695" t="str">
            <v>IN</v>
          </cell>
          <cell r="D695">
            <v>43249</v>
          </cell>
        </row>
        <row r="696">
          <cell r="A696" t="str">
            <v>IN</v>
          </cell>
          <cell r="D696">
            <v>43295</v>
          </cell>
        </row>
        <row r="697">
          <cell r="A697" t="str">
            <v>IN</v>
          </cell>
          <cell r="D697">
            <v>43436</v>
          </cell>
        </row>
        <row r="698">
          <cell r="A698" t="str">
            <v>IN</v>
          </cell>
          <cell r="D698">
            <v>43271</v>
          </cell>
        </row>
        <row r="699">
          <cell r="A699" t="str">
            <v>IN</v>
          </cell>
          <cell r="D699">
            <v>43102</v>
          </cell>
        </row>
        <row r="700">
          <cell r="A700" t="str">
            <v>IN</v>
          </cell>
          <cell r="D700">
            <v>43452</v>
          </cell>
        </row>
        <row r="701">
          <cell r="A701" t="str">
            <v>GC</v>
          </cell>
          <cell r="D701">
            <v>43220</v>
          </cell>
        </row>
        <row r="702">
          <cell r="A702" t="str">
            <v>ASEAN</v>
          </cell>
          <cell r="D702">
            <v>43402</v>
          </cell>
        </row>
        <row r="703">
          <cell r="A703" t="str">
            <v>ASEAN</v>
          </cell>
          <cell r="D703">
            <v>43187</v>
          </cell>
        </row>
        <row r="704">
          <cell r="A704" t="str">
            <v>ASEAN</v>
          </cell>
          <cell r="D704">
            <v>43157</v>
          </cell>
        </row>
        <row r="705">
          <cell r="A705" t="str">
            <v>ASEAN</v>
          </cell>
          <cell r="D705">
            <v>43444</v>
          </cell>
        </row>
        <row r="706">
          <cell r="A706" t="str">
            <v>ASEAN</v>
          </cell>
          <cell r="D706">
            <v>43237</v>
          </cell>
        </row>
        <row r="707">
          <cell r="A707" t="str">
            <v>ASEAN</v>
          </cell>
          <cell r="D707">
            <v>43373</v>
          </cell>
        </row>
        <row r="708">
          <cell r="A708" t="str">
            <v>GC</v>
          </cell>
          <cell r="D708">
            <v>43293</v>
          </cell>
        </row>
        <row r="709">
          <cell r="A709" t="str">
            <v>GC</v>
          </cell>
          <cell r="D709">
            <v>43314</v>
          </cell>
        </row>
        <row r="710">
          <cell r="A710" t="str">
            <v>GC</v>
          </cell>
          <cell r="D710">
            <v>43362</v>
          </cell>
        </row>
        <row r="711">
          <cell r="A711" t="str">
            <v>GC</v>
          </cell>
          <cell r="D711">
            <v>43272</v>
          </cell>
        </row>
        <row r="712">
          <cell r="A712" t="str">
            <v>GC</v>
          </cell>
          <cell r="D712">
            <v>43167</v>
          </cell>
        </row>
        <row r="713">
          <cell r="A713" t="str">
            <v>GC</v>
          </cell>
          <cell r="D713">
            <v>43323</v>
          </cell>
        </row>
        <row r="714">
          <cell r="A714" t="str">
            <v>KR</v>
          </cell>
          <cell r="D714">
            <v>43193</v>
          </cell>
        </row>
        <row r="715">
          <cell r="A715" t="str">
            <v>GC</v>
          </cell>
          <cell r="D715">
            <v>43313</v>
          </cell>
        </row>
        <row r="716">
          <cell r="A716" t="str">
            <v>ANZ</v>
          </cell>
          <cell r="D716">
            <v>43147</v>
          </cell>
        </row>
        <row r="717">
          <cell r="A717" t="str">
            <v>IN</v>
          </cell>
          <cell r="D717">
            <v>43207</v>
          </cell>
        </row>
        <row r="718">
          <cell r="A718" t="str">
            <v>IN</v>
          </cell>
          <cell r="D718">
            <v>43270</v>
          </cell>
        </row>
        <row r="719">
          <cell r="A719" t="str">
            <v>ASEAN</v>
          </cell>
          <cell r="D719">
            <v>43137</v>
          </cell>
        </row>
        <row r="720">
          <cell r="A720" t="str">
            <v>IN</v>
          </cell>
          <cell r="D720">
            <v>43371</v>
          </cell>
        </row>
        <row r="721">
          <cell r="A721" t="str">
            <v>IN</v>
          </cell>
          <cell r="D721">
            <v>43201</v>
          </cell>
        </row>
        <row r="722">
          <cell r="A722" t="str">
            <v>IN</v>
          </cell>
          <cell r="D722">
            <v>43424</v>
          </cell>
        </row>
        <row r="723">
          <cell r="A723" t="str">
            <v>GC</v>
          </cell>
          <cell r="D723">
            <v>43340</v>
          </cell>
        </row>
        <row r="724">
          <cell r="A724" t="str">
            <v>ANZ</v>
          </cell>
          <cell r="D724">
            <v>43408</v>
          </cell>
        </row>
        <row r="725">
          <cell r="A725" t="str">
            <v>ANZ</v>
          </cell>
          <cell r="D725">
            <v>43451</v>
          </cell>
        </row>
        <row r="726">
          <cell r="A726" t="str">
            <v>IN</v>
          </cell>
          <cell r="D726">
            <v>43420</v>
          </cell>
        </row>
        <row r="727">
          <cell r="A727" t="str">
            <v>IN</v>
          </cell>
          <cell r="D727">
            <v>43346</v>
          </cell>
        </row>
        <row r="728">
          <cell r="A728" t="str">
            <v>GC</v>
          </cell>
          <cell r="D728">
            <v>43188</v>
          </cell>
        </row>
        <row r="729">
          <cell r="A729" t="str">
            <v>ANZ</v>
          </cell>
          <cell r="D729">
            <v>43198</v>
          </cell>
        </row>
        <row r="730">
          <cell r="A730" t="str">
            <v>IN</v>
          </cell>
          <cell r="D730">
            <v>43209</v>
          </cell>
        </row>
        <row r="731">
          <cell r="A731" t="str">
            <v>ANZ</v>
          </cell>
          <cell r="D731">
            <v>43245</v>
          </cell>
        </row>
        <row r="732">
          <cell r="A732" t="str">
            <v>ANZ</v>
          </cell>
          <cell r="D732">
            <v>43299</v>
          </cell>
        </row>
        <row r="733">
          <cell r="A733" t="str">
            <v>ANZ</v>
          </cell>
          <cell r="D733">
            <v>43196</v>
          </cell>
        </row>
        <row r="734">
          <cell r="A734" t="str">
            <v>ANZ</v>
          </cell>
          <cell r="D734">
            <v>43304</v>
          </cell>
        </row>
        <row r="735">
          <cell r="A735" t="str">
            <v>ANZ</v>
          </cell>
          <cell r="D735">
            <v>43464</v>
          </cell>
        </row>
        <row r="736">
          <cell r="A736" t="str">
            <v>ANZ</v>
          </cell>
          <cell r="D736">
            <v>43264</v>
          </cell>
        </row>
        <row r="737">
          <cell r="A737" t="str">
            <v>IN</v>
          </cell>
          <cell r="D737">
            <v>43270</v>
          </cell>
        </row>
        <row r="738">
          <cell r="A738" t="str">
            <v>IN</v>
          </cell>
          <cell r="D738">
            <v>43211</v>
          </cell>
        </row>
        <row r="739">
          <cell r="A739" t="str">
            <v>IN</v>
          </cell>
          <cell r="D739">
            <v>43198</v>
          </cell>
        </row>
        <row r="740">
          <cell r="A740" t="str">
            <v>ANZ</v>
          </cell>
          <cell r="D740">
            <v>43168</v>
          </cell>
        </row>
        <row r="741">
          <cell r="A741" t="str">
            <v>IN</v>
          </cell>
          <cell r="D741">
            <v>43365</v>
          </cell>
        </row>
        <row r="742">
          <cell r="A742" t="str">
            <v>ASEAN</v>
          </cell>
          <cell r="D742">
            <v>43239</v>
          </cell>
        </row>
        <row r="743">
          <cell r="A743" t="str">
            <v>ASEAN</v>
          </cell>
          <cell r="D743">
            <v>43259</v>
          </cell>
        </row>
        <row r="744">
          <cell r="A744" t="str">
            <v>ASEAN</v>
          </cell>
          <cell r="D744">
            <v>43215</v>
          </cell>
        </row>
        <row r="745">
          <cell r="A745" t="str">
            <v>ASEAN</v>
          </cell>
          <cell r="D745">
            <v>43166</v>
          </cell>
        </row>
        <row r="746">
          <cell r="A746" t="str">
            <v>IN</v>
          </cell>
          <cell r="D746">
            <v>43211</v>
          </cell>
        </row>
        <row r="747">
          <cell r="A747" t="str">
            <v>IN</v>
          </cell>
          <cell r="D747">
            <v>43382</v>
          </cell>
        </row>
        <row r="748">
          <cell r="A748" t="str">
            <v>ASEAN</v>
          </cell>
          <cell r="D748">
            <v>43279</v>
          </cell>
        </row>
        <row r="749">
          <cell r="A749" t="str">
            <v>ASEAN</v>
          </cell>
          <cell r="D749">
            <v>43188</v>
          </cell>
        </row>
        <row r="750">
          <cell r="A750" t="str">
            <v>GC</v>
          </cell>
          <cell r="D750">
            <v>43405</v>
          </cell>
        </row>
        <row r="751">
          <cell r="A751" t="str">
            <v>KR</v>
          </cell>
          <cell r="D751">
            <v>43138</v>
          </cell>
        </row>
        <row r="752">
          <cell r="A752" t="str">
            <v>GC</v>
          </cell>
          <cell r="D752">
            <v>43287</v>
          </cell>
        </row>
        <row r="753">
          <cell r="A753" t="str">
            <v>GC</v>
          </cell>
          <cell r="D753">
            <v>43381</v>
          </cell>
        </row>
        <row r="754">
          <cell r="A754" t="str">
            <v>GC</v>
          </cell>
          <cell r="D754">
            <v>43206</v>
          </cell>
        </row>
        <row r="755">
          <cell r="A755" t="str">
            <v>GC</v>
          </cell>
          <cell r="D755">
            <v>43152</v>
          </cell>
        </row>
        <row r="756">
          <cell r="A756" t="str">
            <v>GC</v>
          </cell>
          <cell r="D756">
            <v>43437</v>
          </cell>
        </row>
        <row r="757">
          <cell r="A757" t="str">
            <v>GC</v>
          </cell>
          <cell r="D757">
            <v>43404</v>
          </cell>
        </row>
        <row r="758">
          <cell r="A758" t="str">
            <v>GC</v>
          </cell>
          <cell r="D758">
            <v>43176</v>
          </cell>
        </row>
        <row r="759">
          <cell r="A759" t="str">
            <v>GC</v>
          </cell>
          <cell r="D759">
            <v>43380</v>
          </cell>
        </row>
        <row r="760">
          <cell r="A760" t="str">
            <v>GC</v>
          </cell>
          <cell r="D760">
            <v>43264</v>
          </cell>
        </row>
        <row r="761">
          <cell r="A761" t="str">
            <v>GC</v>
          </cell>
          <cell r="D761">
            <v>43112</v>
          </cell>
        </row>
        <row r="762">
          <cell r="A762" t="str">
            <v>KR</v>
          </cell>
          <cell r="D762">
            <v>43159</v>
          </cell>
        </row>
        <row r="763">
          <cell r="A763" t="str">
            <v>KR</v>
          </cell>
          <cell r="D763">
            <v>43313</v>
          </cell>
        </row>
        <row r="764">
          <cell r="A764" t="str">
            <v>KR</v>
          </cell>
          <cell r="D764">
            <v>43234</v>
          </cell>
        </row>
        <row r="765">
          <cell r="A765" t="str">
            <v>GC</v>
          </cell>
          <cell r="D765">
            <v>43228</v>
          </cell>
        </row>
        <row r="766">
          <cell r="A766" t="str">
            <v>GC</v>
          </cell>
          <cell r="D766">
            <v>43177</v>
          </cell>
        </row>
        <row r="767">
          <cell r="A767" t="str">
            <v>ANZ</v>
          </cell>
          <cell r="D767">
            <v>43189</v>
          </cell>
        </row>
        <row r="768">
          <cell r="A768" t="str">
            <v>IN</v>
          </cell>
          <cell r="D768">
            <v>43211</v>
          </cell>
        </row>
        <row r="769">
          <cell r="A769" t="str">
            <v>IN</v>
          </cell>
          <cell r="D769">
            <v>43284</v>
          </cell>
        </row>
        <row r="770">
          <cell r="A770" t="str">
            <v>ASEAN</v>
          </cell>
          <cell r="D770">
            <v>43253</v>
          </cell>
        </row>
        <row r="771">
          <cell r="A771" t="str">
            <v>ASEAN</v>
          </cell>
          <cell r="D771">
            <v>43150</v>
          </cell>
        </row>
        <row r="772">
          <cell r="A772" t="str">
            <v>GC</v>
          </cell>
          <cell r="D772">
            <v>43410</v>
          </cell>
        </row>
        <row r="773">
          <cell r="A773" t="str">
            <v>GC</v>
          </cell>
          <cell r="D773">
            <v>43420</v>
          </cell>
        </row>
        <row r="774">
          <cell r="A774" t="str">
            <v>IN</v>
          </cell>
          <cell r="D774">
            <v>43327</v>
          </cell>
        </row>
        <row r="775">
          <cell r="A775" t="str">
            <v>ASEAN</v>
          </cell>
          <cell r="D775">
            <v>43263</v>
          </cell>
        </row>
        <row r="776">
          <cell r="A776" t="str">
            <v>ASEAN</v>
          </cell>
          <cell r="D776">
            <v>43123</v>
          </cell>
        </row>
        <row r="777">
          <cell r="A777" t="str">
            <v>IN</v>
          </cell>
          <cell r="D777">
            <v>43197</v>
          </cell>
        </row>
        <row r="778">
          <cell r="A778" t="str">
            <v>GC</v>
          </cell>
          <cell r="D778">
            <v>43233</v>
          </cell>
        </row>
        <row r="779">
          <cell r="A779" t="str">
            <v>ANZ</v>
          </cell>
          <cell r="D779">
            <v>43392</v>
          </cell>
        </row>
        <row r="780">
          <cell r="A780" t="str">
            <v>IN</v>
          </cell>
          <cell r="D780">
            <v>43409</v>
          </cell>
        </row>
        <row r="781">
          <cell r="A781" t="str">
            <v>GC</v>
          </cell>
          <cell r="D781">
            <v>43301</v>
          </cell>
        </row>
        <row r="782">
          <cell r="A782" t="str">
            <v>GC</v>
          </cell>
          <cell r="D782">
            <v>43327</v>
          </cell>
        </row>
        <row r="783">
          <cell r="A783" t="str">
            <v>GC</v>
          </cell>
          <cell r="D783">
            <v>43407</v>
          </cell>
        </row>
        <row r="784">
          <cell r="A784" t="str">
            <v>GC</v>
          </cell>
          <cell r="D784">
            <v>43309</v>
          </cell>
        </row>
        <row r="785">
          <cell r="A785" t="str">
            <v>GC</v>
          </cell>
          <cell r="D785">
            <v>43428</v>
          </cell>
        </row>
        <row r="786">
          <cell r="A786" t="str">
            <v>IN</v>
          </cell>
          <cell r="D786">
            <v>43413</v>
          </cell>
        </row>
        <row r="787">
          <cell r="A787" t="str">
            <v>GC</v>
          </cell>
          <cell r="D787">
            <v>43198</v>
          </cell>
        </row>
        <row r="788">
          <cell r="A788" t="str">
            <v>GC</v>
          </cell>
          <cell r="D788">
            <v>43212</v>
          </cell>
        </row>
        <row r="789">
          <cell r="A789" t="str">
            <v>ANZ</v>
          </cell>
          <cell r="D789">
            <v>43136</v>
          </cell>
        </row>
        <row r="790">
          <cell r="A790" t="str">
            <v>IN</v>
          </cell>
          <cell r="D790">
            <v>43146</v>
          </cell>
        </row>
        <row r="791">
          <cell r="A791" t="str">
            <v>IN</v>
          </cell>
          <cell r="D791">
            <v>43119</v>
          </cell>
        </row>
        <row r="792">
          <cell r="A792" t="str">
            <v>GC</v>
          </cell>
          <cell r="D792">
            <v>43155</v>
          </cell>
        </row>
        <row r="793">
          <cell r="A793" t="str">
            <v>GC</v>
          </cell>
          <cell r="D793">
            <v>43377</v>
          </cell>
        </row>
        <row r="794">
          <cell r="A794" t="str">
            <v>IN</v>
          </cell>
          <cell r="D794">
            <v>43133</v>
          </cell>
        </row>
        <row r="795">
          <cell r="A795" t="str">
            <v>IN</v>
          </cell>
          <cell r="D795">
            <v>43410</v>
          </cell>
        </row>
        <row r="796">
          <cell r="A796" t="str">
            <v>ASEAN</v>
          </cell>
          <cell r="D796">
            <v>43426</v>
          </cell>
        </row>
        <row r="797">
          <cell r="A797" t="str">
            <v>ASEAN</v>
          </cell>
          <cell r="D797">
            <v>43270</v>
          </cell>
        </row>
        <row r="798">
          <cell r="A798" t="str">
            <v>IN</v>
          </cell>
          <cell r="D798">
            <v>43427</v>
          </cell>
        </row>
        <row r="799">
          <cell r="A799" t="str">
            <v>IN</v>
          </cell>
          <cell r="D799">
            <v>43461</v>
          </cell>
        </row>
        <row r="800">
          <cell r="A800" t="str">
            <v>GC</v>
          </cell>
          <cell r="D800">
            <v>43223</v>
          </cell>
        </row>
        <row r="801">
          <cell r="A801" t="str">
            <v>IN</v>
          </cell>
          <cell r="D801">
            <v>43264</v>
          </cell>
        </row>
        <row r="802">
          <cell r="A802" t="str">
            <v>GC</v>
          </cell>
          <cell r="D802">
            <v>43461</v>
          </cell>
        </row>
        <row r="803">
          <cell r="A803" t="str">
            <v>GC</v>
          </cell>
          <cell r="D803">
            <v>43126</v>
          </cell>
        </row>
        <row r="804">
          <cell r="A804" t="str">
            <v>GC</v>
          </cell>
          <cell r="D804">
            <v>43387</v>
          </cell>
        </row>
        <row r="805">
          <cell r="A805" t="str">
            <v>IN</v>
          </cell>
          <cell r="D805">
            <v>43175</v>
          </cell>
        </row>
        <row r="806">
          <cell r="A806" t="str">
            <v>IN</v>
          </cell>
          <cell r="D806">
            <v>43418</v>
          </cell>
        </row>
        <row r="807">
          <cell r="A807" t="str">
            <v>IN</v>
          </cell>
          <cell r="D807">
            <v>43393</v>
          </cell>
        </row>
        <row r="808">
          <cell r="A808" t="str">
            <v>IN</v>
          </cell>
          <cell r="D808">
            <v>43443</v>
          </cell>
        </row>
        <row r="809">
          <cell r="A809" t="str">
            <v>ANZ</v>
          </cell>
          <cell r="D809">
            <v>43401</v>
          </cell>
        </row>
        <row r="810">
          <cell r="A810" t="str">
            <v>ASEAN</v>
          </cell>
          <cell r="D810">
            <v>43106</v>
          </cell>
        </row>
        <row r="811">
          <cell r="A811" t="str">
            <v>ASEAN</v>
          </cell>
          <cell r="D811">
            <v>43251</v>
          </cell>
        </row>
        <row r="812">
          <cell r="A812" t="str">
            <v>GC</v>
          </cell>
          <cell r="D812">
            <v>43215</v>
          </cell>
        </row>
        <row r="813">
          <cell r="A813" t="str">
            <v>ASEAN</v>
          </cell>
          <cell r="D813">
            <v>43204</v>
          </cell>
        </row>
        <row r="814">
          <cell r="A814" t="str">
            <v>IN</v>
          </cell>
          <cell r="D814">
            <v>43282</v>
          </cell>
        </row>
        <row r="815">
          <cell r="A815" t="str">
            <v>IN</v>
          </cell>
          <cell r="D815">
            <v>43168</v>
          </cell>
        </row>
        <row r="816">
          <cell r="A816" t="str">
            <v>IN</v>
          </cell>
          <cell r="D816">
            <v>43276</v>
          </cell>
        </row>
        <row r="817">
          <cell r="A817" t="str">
            <v>KR</v>
          </cell>
          <cell r="D817">
            <v>43398</v>
          </cell>
        </row>
        <row r="818">
          <cell r="A818" t="str">
            <v>GC</v>
          </cell>
          <cell r="D818">
            <v>43323</v>
          </cell>
        </row>
        <row r="819">
          <cell r="A819" t="str">
            <v>GC</v>
          </cell>
          <cell r="D819">
            <v>43431</v>
          </cell>
        </row>
        <row r="820">
          <cell r="A820" t="str">
            <v>ANZ</v>
          </cell>
          <cell r="D820">
            <v>43426</v>
          </cell>
        </row>
        <row r="821">
          <cell r="A821" t="str">
            <v>ANZ</v>
          </cell>
          <cell r="D821">
            <v>43111</v>
          </cell>
        </row>
        <row r="822">
          <cell r="A822" t="str">
            <v>GC</v>
          </cell>
          <cell r="D822">
            <v>43149</v>
          </cell>
        </row>
        <row r="823">
          <cell r="A823" t="str">
            <v>GC</v>
          </cell>
          <cell r="D823">
            <v>43297</v>
          </cell>
        </row>
        <row r="824">
          <cell r="A824" t="str">
            <v>KR</v>
          </cell>
          <cell r="D824">
            <v>43270</v>
          </cell>
        </row>
        <row r="825">
          <cell r="A825" t="str">
            <v>KR</v>
          </cell>
          <cell r="D825">
            <v>43378</v>
          </cell>
        </row>
        <row r="826">
          <cell r="A826" t="str">
            <v>KR</v>
          </cell>
          <cell r="D826">
            <v>43116</v>
          </cell>
        </row>
        <row r="827">
          <cell r="A827" t="str">
            <v>GC</v>
          </cell>
          <cell r="D827">
            <v>43199</v>
          </cell>
        </row>
        <row r="828">
          <cell r="A828" t="str">
            <v>GC</v>
          </cell>
          <cell r="D828">
            <v>43440</v>
          </cell>
        </row>
        <row r="829">
          <cell r="A829" t="str">
            <v>GC</v>
          </cell>
          <cell r="D829">
            <v>43117</v>
          </cell>
        </row>
        <row r="830">
          <cell r="A830" t="str">
            <v>GC</v>
          </cell>
          <cell r="D830">
            <v>43206</v>
          </cell>
        </row>
        <row r="831">
          <cell r="A831" t="str">
            <v>GC</v>
          </cell>
          <cell r="D831">
            <v>43251</v>
          </cell>
        </row>
        <row r="832">
          <cell r="A832" t="str">
            <v>GC</v>
          </cell>
          <cell r="D832">
            <v>43220</v>
          </cell>
        </row>
        <row r="833">
          <cell r="A833" t="str">
            <v>GC</v>
          </cell>
          <cell r="D833">
            <v>43102</v>
          </cell>
        </row>
        <row r="834">
          <cell r="A834" t="str">
            <v>GC</v>
          </cell>
          <cell r="D834">
            <v>43462</v>
          </cell>
        </row>
        <row r="835">
          <cell r="A835" t="str">
            <v>GC</v>
          </cell>
          <cell r="D835">
            <v>43261</v>
          </cell>
        </row>
        <row r="836">
          <cell r="A836" t="str">
            <v>GC</v>
          </cell>
          <cell r="D836">
            <v>43160</v>
          </cell>
        </row>
        <row r="837">
          <cell r="A837" t="str">
            <v>GC</v>
          </cell>
          <cell r="D837">
            <v>43194</v>
          </cell>
        </row>
        <row r="838">
          <cell r="A838" t="str">
            <v>GC</v>
          </cell>
          <cell r="D838">
            <v>43121</v>
          </cell>
        </row>
        <row r="839">
          <cell r="A839" t="str">
            <v>GC</v>
          </cell>
          <cell r="D839">
            <v>43404</v>
          </cell>
        </row>
        <row r="840">
          <cell r="A840" t="str">
            <v>ANZ</v>
          </cell>
          <cell r="D840">
            <v>43115</v>
          </cell>
        </row>
        <row r="841">
          <cell r="A841" t="str">
            <v>ANZ</v>
          </cell>
          <cell r="D841">
            <v>43311</v>
          </cell>
        </row>
        <row r="842">
          <cell r="A842" t="str">
            <v>ANZ</v>
          </cell>
          <cell r="D842">
            <v>43235</v>
          </cell>
        </row>
        <row r="843">
          <cell r="A843" t="str">
            <v>ANZ</v>
          </cell>
          <cell r="D843">
            <v>43362</v>
          </cell>
        </row>
        <row r="844">
          <cell r="A844" t="str">
            <v>ANZ</v>
          </cell>
          <cell r="D844">
            <v>43149</v>
          </cell>
        </row>
        <row r="845">
          <cell r="A845" t="str">
            <v>ANZ</v>
          </cell>
          <cell r="D845">
            <v>43143</v>
          </cell>
        </row>
        <row r="846">
          <cell r="A846" t="str">
            <v>ANZ</v>
          </cell>
          <cell r="D846">
            <v>43374</v>
          </cell>
        </row>
        <row r="847">
          <cell r="A847" t="str">
            <v>ANZ</v>
          </cell>
          <cell r="D847">
            <v>43333</v>
          </cell>
        </row>
        <row r="848">
          <cell r="A848" t="str">
            <v>ANZ</v>
          </cell>
          <cell r="D848">
            <v>43432</v>
          </cell>
        </row>
        <row r="849">
          <cell r="A849" t="str">
            <v>ANZ</v>
          </cell>
          <cell r="D849">
            <v>43177</v>
          </cell>
        </row>
        <row r="850">
          <cell r="A850" t="str">
            <v>ASEAN</v>
          </cell>
          <cell r="D850">
            <v>43192</v>
          </cell>
        </row>
        <row r="851">
          <cell r="A851" t="str">
            <v>ASEAN</v>
          </cell>
          <cell r="D851">
            <v>43269</v>
          </cell>
        </row>
        <row r="852">
          <cell r="A852" t="str">
            <v>ASEAN</v>
          </cell>
          <cell r="D852">
            <v>43289</v>
          </cell>
        </row>
        <row r="853">
          <cell r="A853" t="str">
            <v>GC</v>
          </cell>
          <cell r="D853">
            <v>43244</v>
          </cell>
        </row>
        <row r="854">
          <cell r="A854" t="str">
            <v>GC</v>
          </cell>
          <cell r="D854">
            <v>43446</v>
          </cell>
        </row>
        <row r="855">
          <cell r="A855" t="str">
            <v>GC</v>
          </cell>
          <cell r="D855">
            <v>43143</v>
          </cell>
        </row>
        <row r="856">
          <cell r="A856" t="str">
            <v>GC</v>
          </cell>
          <cell r="D856">
            <v>43127</v>
          </cell>
        </row>
        <row r="857">
          <cell r="A857" t="str">
            <v>IN</v>
          </cell>
          <cell r="D857">
            <v>43299</v>
          </cell>
        </row>
        <row r="858">
          <cell r="A858" t="str">
            <v>IN</v>
          </cell>
          <cell r="D858">
            <v>43458</v>
          </cell>
        </row>
        <row r="859">
          <cell r="A859" t="str">
            <v>ASEAN</v>
          </cell>
          <cell r="D859">
            <v>43274</v>
          </cell>
        </row>
        <row r="860">
          <cell r="A860" t="str">
            <v>ANZ</v>
          </cell>
          <cell r="D860">
            <v>43194</v>
          </cell>
        </row>
        <row r="861">
          <cell r="A861" t="str">
            <v>GC</v>
          </cell>
          <cell r="D861">
            <v>43199</v>
          </cell>
        </row>
        <row r="862">
          <cell r="A862" t="str">
            <v>ANZ</v>
          </cell>
          <cell r="D862">
            <v>43216</v>
          </cell>
        </row>
        <row r="863">
          <cell r="A863" t="str">
            <v>GC</v>
          </cell>
          <cell r="D863">
            <v>43266</v>
          </cell>
        </row>
        <row r="864">
          <cell r="A864" t="str">
            <v>ANZ</v>
          </cell>
          <cell r="D864">
            <v>43256</v>
          </cell>
        </row>
        <row r="865">
          <cell r="A865" t="str">
            <v>GC</v>
          </cell>
          <cell r="D865">
            <v>43127</v>
          </cell>
        </row>
        <row r="866">
          <cell r="A866" t="str">
            <v>ANZ</v>
          </cell>
          <cell r="D866">
            <v>43270</v>
          </cell>
        </row>
        <row r="867">
          <cell r="A867" t="str">
            <v>ANZ</v>
          </cell>
          <cell r="D867">
            <v>43282</v>
          </cell>
        </row>
        <row r="868">
          <cell r="A868" t="str">
            <v>ANZ</v>
          </cell>
          <cell r="D868">
            <v>43206</v>
          </cell>
        </row>
        <row r="869">
          <cell r="A869" t="str">
            <v>KR</v>
          </cell>
          <cell r="D869">
            <v>43260</v>
          </cell>
        </row>
        <row r="870">
          <cell r="A870" t="str">
            <v>IN</v>
          </cell>
          <cell r="D870">
            <v>43338</v>
          </cell>
        </row>
        <row r="871">
          <cell r="A871" t="str">
            <v>GC</v>
          </cell>
          <cell r="D871">
            <v>43164</v>
          </cell>
        </row>
        <row r="872">
          <cell r="A872" t="str">
            <v>ASEAN</v>
          </cell>
          <cell r="D872">
            <v>43446</v>
          </cell>
        </row>
        <row r="873">
          <cell r="A873" t="str">
            <v>IN</v>
          </cell>
          <cell r="D873">
            <v>43349</v>
          </cell>
        </row>
        <row r="874">
          <cell r="A874" t="str">
            <v>ANZ</v>
          </cell>
          <cell r="D874">
            <v>43458</v>
          </cell>
        </row>
        <row r="875">
          <cell r="A875" t="str">
            <v>ANZ</v>
          </cell>
          <cell r="D875">
            <v>43390</v>
          </cell>
        </row>
        <row r="876">
          <cell r="A876" t="str">
            <v>ANZ</v>
          </cell>
          <cell r="D876">
            <v>43149</v>
          </cell>
        </row>
        <row r="877">
          <cell r="A877" t="str">
            <v>ANZ</v>
          </cell>
          <cell r="D877">
            <v>43140</v>
          </cell>
        </row>
        <row r="878">
          <cell r="A878" t="str">
            <v>ANZ</v>
          </cell>
          <cell r="D878">
            <v>43424</v>
          </cell>
        </row>
        <row r="879">
          <cell r="A879" t="str">
            <v>ANZ</v>
          </cell>
          <cell r="D879">
            <v>43412</v>
          </cell>
        </row>
        <row r="880">
          <cell r="A880" t="str">
            <v>ANZ</v>
          </cell>
          <cell r="D880">
            <v>43370</v>
          </cell>
        </row>
        <row r="881">
          <cell r="A881" t="str">
            <v>ANZ</v>
          </cell>
          <cell r="D881">
            <v>43344</v>
          </cell>
        </row>
        <row r="882">
          <cell r="A882" t="str">
            <v>ANZ</v>
          </cell>
          <cell r="D882">
            <v>43417</v>
          </cell>
        </row>
        <row r="883">
          <cell r="A883" t="str">
            <v>ANZ</v>
          </cell>
          <cell r="D883">
            <v>43349</v>
          </cell>
        </row>
        <row r="884">
          <cell r="A884" t="str">
            <v>ANZ</v>
          </cell>
          <cell r="D884">
            <v>43162</v>
          </cell>
        </row>
        <row r="885">
          <cell r="A885" t="str">
            <v>ANZ</v>
          </cell>
          <cell r="D885">
            <v>43316</v>
          </cell>
        </row>
        <row r="886">
          <cell r="A886" t="str">
            <v>ANZ</v>
          </cell>
          <cell r="D886">
            <v>43382</v>
          </cell>
        </row>
        <row r="887">
          <cell r="A887" t="str">
            <v>ANZ</v>
          </cell>
          <cell r="D887">
            <v>43176</v>
          </cell>
        </row>
        <row r="888">
          <cell r="A888" t="str">
            <v>ANZ</v>
          </cell>
          <cell r="D888">
            <v>43406</v>
          </cell>
        </row>
        <row r="889">
          <cell r="A889" t="str">
            <v>ANZ</v>
          </cell>
          <cell r="D889">
            <v>43106</v>
          </cell>
        </row>
        <row r="890">
          <cell r="A890" t="str">
            <v>ANZ</v>
          </cell>
          <cell r="D890">
            <v>43255</v>
          </cell>
        </row>
        <row r="891">
          <cell r="A891" t="str">
            <v>IN</v>
          </cell>
          <cell r="D891">
            <v>43422</v>
          </cell>
        </row>
        <row r="892">
          <cell r="A892" t="str">
            <v>GC</v>
          </cell>
          <cell r="D892">
            <v>43131</v>
          </cell>
        </row>
        <row r="893">
          <cell r="A893" t="str">
            <v>GC</v>
          </cell>
          <cell r="D893">
            <v>43163</v>
          </cell>
        </row>
        <row r="894">
          <cell r="A894" t="str">
            <v>GC</v>
          </cell>
          <cell r="D894">
            <v>43186</v>
          </cell>
        </row>
        <row r="895">
          <cell r="A895" t="str">
            <v>GC</v>
          </cell>
          <cell r="D895">
            <v>43104</v>
          </cell>
        </row>
        <row r="896">
          <cell r="A896" t="str">
            <v>IN</v>
          </cell>
          <cell r="D896">
            <v>43310</v>
          </cell>
        </row>
        <row r="897">
          <cell r="A897" t="str">
            <v>IN</v>
          </cell>
          <cell r="D897">
            <v>43350</v>
          </cell>
        </row>
        <row r="898">
          <cell r="A898" t="str">
            <v>GC</v>
          </cell>
          <cell r="D898">
            <v>43335</v>
          </cell>
        </row>
        <row r="899">
          <cell r="A899" t="str">
            <v>ANZ</v>
          </cell>
          <cell r="D899">
            <v>43105</v>
          </cell>
        </row>
        <row r="900">
          <cell r="A900" t="str">
            <v>GC</v>
          </cell>
          <cell r="D900">
            <v>43221</v>
          </cell>
        </row>
        <row r="901">
          <cell r="A901" t="str">
            <v>GC</v>
          </cell>
          <cell r="D901">
            <v>43452</v>
          </cell>
        </row>
        <row r="902">
          <cell r="A902" t="str">
            <v>GC</v>
          </cell>
          <cell r="D902">
            <v>43415</v>
          </cell>
        </row>
        <row r="903">
          <cell r="A903" t="str">
            <v>GC</v>
          </cell>
          <cell r="D903">
            <v>43143</v>
          </cell>
        </row>
        <row r="904">
          <cell r="A904" t="str">
            <v>GC</v>
          </cell>
          <cell r="D904">
            <v>43412</v>
          </cell>
        </row>
        <row r="905">
          <cell r="A905" t="str">
            <v>IN</v>
          </cell>
          <cell r="D905">
            <v>43291</v>
          </cell>
        </row>
        <row r="906">
          <cell r="A906" t="str">
            <v>GC</v>
          </cell>
          <cell r="D906">
            <v>43406</v>
          </cell>
        </row>
        <row r="907">
          <cell r="A907" t="str">
            <v>KR</v>
          </cell>
          <cell r="D907">
            <v>43446</v>
          </cell>
        </row>
        <row r="908">
          <cell r="A908" t="str">
            <v>KR</v>
          </cell>
          <cell r="D908">
            <v>43307</v>
          </cell>
        </row>
        <row r="909">
          <cell r="A909" t="str">
            <v>KR</v>
          </cell>
          <cell r="D909">
            <v>43346</v>
          </cell>
        </row>
        <row r="910">
          <cell r="A910" t="str">
            <v>GC</v>
          </cell>
          <cell r="D910">
            <v>43200</v>
          </cell>
        </row>
        <row r="911">
          <cell r="A911" t="str">
            <v>GC</v>
          </cell>
          <cell r="D911">
            <v>43404</v>
          </cell>
        </row>
        <row r="912">
          <cell r="A912" t="str">
            <v>ASEAN</v>
          </cell>
          <cell r="D912">
            <v>43283</v>
          </cell>
        </row>
        <row r="913">
          <cell r="A913" t="str">
            <v>IN</v>
          </cell>
          <cell r="D913">
            <v>43195</v>
          </cell>
        </row>
        <row r="914">
          <cell r="A914" t="str">
            <v>IN</v>
          </cell>
          <cell r="D914">
            <v>43294</v>
          </cell>
        </row>
        <row r="915">
          <cell r="A915" t="str">
            <v>GC</v>
          </cell>
          <cell r="D915">
            <v>43142</v>
          </cell>
        </row>
        <row r="916">
          <cell r="A916" t="str">
            <v>IN</v>
          </cell>
          <cell r="D916">
            <v>43163</v>
          </cell>
        </row>
        <row r="917">
          <cell r="A917" t="str">
            <v>GC</v>
          </cell>
          <cell r="D917">
            <v>43425</v>
          </cell>
        </row>
        <row r="918">
          <cell r="A918" t="str">
            <v>GC</v>
          </cell>
          <cell r="D918">
            <v>43186</v>
          </cell>
        </row>
        <row r="919">
          <cell r="A919" t="str">
            <v>IN</v>
          </cell>
          <cell r="D919">
            <v>43301</v>
          </cell>
        </row>
        <row r="920">
          <cell r="A920" t="str">
            <v>GC</v>
          </cell>
          <cell r="D920">
            <v>43188</v>
          </cell>
        </row>
        <row r="921">
          <cell r="A921" t="str">
            <v>IN</v>
          </cell>
          <cell r="D921">
            <v>43426</v>
          </cell>
        </row>
        <row r="922">
          <cell r="A922" t="str">
            <v>IN</v>
          </cell>
          <cell r="D922">
            <v>43275</v>
          </cell>
        </row>
        <row r="923">
          <cell r="A923" t="str">
            <v>GC</v>
          </cell>
          <cell r="D923">
            <v>43291</v>
          </cell>
        </row>
        <row r="924">
          <cell r="A924" t="str">
            <v>IN</v>
          </cell>
          <cell r="D924">
            <v>43369</v>
          </cell>
        </row>
        <row r="925">
          <cell r="A925" t="str">
            <v>IN</v>
          </cell>
          <cell r="D925">
            <v>43357</v>
          </cell>
        </row>
        <row r="926">
          <cell r="A926" t="str">
            <v>ASEAN</v>
          </cell>
          <cell r="D926">
            <v>43347</v>
          </cell>
        </row>
        <row r="927">
          <cell r="A927" t="str">
            <v>GC</v>
          </cell>
          <cell r="D927">
            <v>43222</v>
          </cell>
        </row>
        <row r="928">
          <cell r="A928" t="str">
            <v>IN</v>
          </cell>
          <cell r="D928">
            <v>43413</v>
          </cell>
        </row>
        <row r="929">
          <cell r="A929" t="str">
            <v>GC</v>
          </cell>
          <cell r="D929">
            <v>43241</v>
          </cell>
        </row>
        <row r="930">
          <cell r="A930" t="str">
            <v>GC</v>
          </cell>
          <cell r="D930">
            <v>43169</v>
          </cell>
        </row>
        <row r="931">
          <cell r="A931" t="str">
            <v>GC</v>
          </cell>
          <cell r="D931">
            <v>43130</v>
          </cell>
        </row>
        <row r="932">
          <cell r="A932" t="str">
            <v>KR</v>
          </cell>
          <cell r="D932">
            <v>43340</v>
          </cell>
        </row>
        <row r="933">
          <cell r="A933" t="str">
            <v>GC</v>
          </cell>
          <cell r="D933">
            <v>43237</v>
          </cell>
        </row>
        <row r="934">
          <cell r="A934" t="str">
            <v>GC</v>
          </cell>
          <cell r="D934">
            <v>43441</v>
          </cell>
        </row>
        <row r="935">
          <cell r="A935" t="str">
            <v>GC</v>
          </cell>
          <cell r="D935">
            <v>43349</v>
          </cell>
        </row>
        <row r="936">
          <cell r="A936" t="str">
            <v>KR</v>
          </cell>
          <cell r="D936">
            <v>43292</v>
          </cell>
        </row>
        <row r="937">
          <cell r="A937" t="str">
            <v>GC</v>
          </cell>
          <cell r="D937">
            <v>43173</v>
          </cell>
        </row>
        <row r="938">
          <cell r="A938" t="str">
            <v>GC</v>
          </cell>
          <cell r="D938">
            <v>43308</v>
          </cell>
        </row>
        <row r="939">
          <cell r="A939" t="str">
            <v>ANZ</v>
          </cell>
          <cell r="D939">
            <v>43350</v>
          </cell>
        </row>
        <row r="940">
          <cell r="A940" t="str">
            <v>ANZ</v>
          </cell>
          <cell r="D940">
            <v>43147</v>
          </cell>
        </row>
        <row r="941">
          <cell r="A941" t="str">
            <v>ANZ</v>
          </cell>
          <cell r="D941">
            <v>43127</v>
          </cell>
        </row>
        <row r="942">
          <cell r="A942" t="str">
            <v>IN</v>
          </cell>
          <cell r="D942">
            <v>43106</v>
          </cell>
        </row>
        <row r="943">
          <cell r="A943" t="str">
            <v>IN</v>
          </cell>
          <cell r="D943">
            <v>43119</v>
          </cell>
        </row>
        <row r="944">
          <cell r="A944" t="str">
            <v>ANZ</v>
          </cell>
          <cell r="D944">
            <v>43244</v>
          </cell>
        </row>
        <row r="945">
          <cell r="A945" t="str">
            <v>ANZ</v>
          </cell>
          <cell r="D945">
            <v>43103</v>
          </cell>
        </row>
        <row r="946">
          <cell r="A946" t="str">
            <v>ANZ</v>
          </cell>
          <cell r="D946">
            <v>43173</v>
          </cell>
        </row>
        <row r="947">
          <cell r="A947" t="str">
            <v>GC</v>
          </cell>
          <cell r="D947">
            <v>43368</v>
          </cell>
        </row>
        <row r="948">
          <cell r="A948" t="str">
            <v>ANZ</v>
          </cell>
          <cell r="D948">
            <v>43107</v>
          </cell>
        </row>
        <row r="949">
          <cell r="A949" t="str">
            <v>ANZ</v>
          </cell>
          <cell r="D949">
            <v>43430</v>
          </cell>
        </row>
        <row r="950">
          <cell r="A950" t="str">
            <v>ANZ</v>
          </cell>
          <cell r="D950">
            <v>43158</v>
          </cell>
        </row>
        <row r="951">
          <cell r="A951" t="str">
            <v>ANZ</v>
          </cell>
          <cell r="D951">
            <v>43358</v>
          </cell>
        </row>
        <row r="952">
          <cell r="A952" t="str">
            <v>GC</v>
          </cell>
          <cell r="D952">
            <v>43458</v>
          </cell>
        </row>
        <row r="953">
          <cell r="A953" t="str">
            <v>ANZ</v>
          </cell>
          <cell r="D953">
            <v>43183</v>
          </cell>
        </row>
        <row r="954">
          <cell r="A954" t="str">
            <v>ANZ</v>
          </cell>
          <cell r="D954">
            <v>43152</v>
          </cell>
        </row>
        <row r="955">
          <cell r="A955" t="str">
            <v>ANZ</v>
          </cell>
          <cell r="D955">
            <v>43118</v>
          </cell>
        </row>
        <row r="956">
          <cell r="A956" t="str">
            <v>ANZ</v>
          </cell>
          <cell r="D956">
            <v>43272</v>
          </cell>
        </row>
        <row r="957">
          <cell r="A957" t="str">
            <v>GC</v>
          </cell>
          <cell r="D957">
            <v>43440</v>
          </cell>
        </row>
        <row r="958">
          <cell r="A958" t="str">
            <v>GC</v>
          </cell>
          <cell r="D958">
            <v>43107</v>
          </cell>
        </row>
        <row r="959">
          <cell r="A959" t="str">
            <v>GC</v>
          </cell>
          <cell r="D959">
            <v>43432</v>
          </cell>
        </row>
        <row r="960">
          <cell r="A960" t="str">
            <v>GC</v>
          </cell>
          <cell r="D960">
            <v>43418</v>
          </cell>
        </row>
        <row r="961">
          <cell r="A961" t="str">
            <v>IN</v>
          </cell>
          <cell r="D961">
            <v>43395</v>
          </cell>
        </row>
        <row r="962">
          <cell r="A962" t="str">
            <v>IN</v>
          </cell>
          <cell r="D962">
            <v>43380</v>
          </cell>
        </row>
        <row r="963">
          <cell r="A963" t="str">
            <v>ASEAN</v>
          </cell>
          <cell r="D963">
            <v>43170</v>
          </cell>
        </row>
        <row r="964">
          <cell r="A964" t="str">
            <v>GC</v>
          </cell>
          <cell r="D964">
            <v>43460</v>
          </cell>
        </row>
        <row r="965">
          <cell r="A965" t="str">
            <v>IN</v>
          </cell>
          <cell r="D965">
            <v>43362</v>
          </cell>
        </row>
        <row r="966">
          <cell r="A966" t="str">
            <v>GC</v>
          </cell>
          <cell r="D966">
            <v>43416</v>
          </cell>
        </row>
        <row r="967">
          <cell r="A967" t="str">
            <v>GC</v>
          </cell>
          <cell r="D967">
            <v>43146</v>
          </cell>
        </row>
        <row r="968">
          <cell r="A968" t="str">
            <v>GC</v>
          </cell>
          <cell r="D968">
            <v>43224</v>
          </cell>
        </row>
        <row r="969">
          <cell r="A969" t="str">
            <v>GC</v>
          </cell>
          <cell r="D969">
            <v>43448</v>
          </cell>
        </row>
        <row r="970">
          <cell r="A970" t="str">
            <v>GC</v>
          </cell>
          <cell r="D970">
            <v>43127</v>
          </cell>
        </row>
        <row r="971">
          <cell r="A971" t="str">
            <v>GC</v>
          </cell>
          <cell r="D971">
            <v>43194</v>
          </cell>
        </row>
        <row r="972">
          <cell r="A972" t="str">
            <v>IN</v>
          </cell>
          <cell r="D972">
            <v>43379</v>
          </cell>
        </row>
        <row r="973">
          <cell r="A973" t="str">
            <v>GC</v>
          </cell>
          <cell r="D973">
            <v>43274</v>
          </cell>
        </row>
        <row r="974">
          <cell r="A974" t="str">
            <v>IN</v>
          </cell>
          <cell r="D974">
            <v>43339</v>
          </cell>
        </row>
        <row r="975">
          <cell r="A975" t="str">
            <v>GC</v>
          </cell>
          <cell r="D975">
            <v>43158</v>
          </cell>
        </row>
        <row r="976">
          <cell r="A976" t="str">
            <v>IN</v>
          </cell>
          <cell r="D976">
            <v>43195</v>
          </cell>
        </row>
        <row r="977">
          <cell r="A977" t="str">
            <v>GC</v>
          </cell>
          <cell r="D977">
            <v>43245</v>
          </cell>
        </row>
        <row r="978">
          <cell r="A978" t="str">
            <v>ASEAN</v>
          </cell>
          <cell r="D978">
            <v>43455</v>
          </cell>
        </row>
        <row r="979">
          <cell r="A979" t="str">
            <v>ASEAN</v>
          </cell>
          <cell r="D979">
            <v>43178</v>
          </cell>
        </row>
        <row r="980">
          <cell r="A980" t="str">
            <v>ASEAN</v>
          </cell>
          <cell r="D980">
            <v>43155</v>
          </cell>
        </row>
        <row r="981">
          <cell r="A981" t="str">
            <v>GC</v>
          </cell>
          <cell r="D981">
            <v>43237</v>
          </cell>
        </row>
        <row r="982">
          <cell r="A982" t="str">
            <v>GC</v>
          </cell>
          <cell r="D982">
            <v>43120</v>
          </cell>
        </row>
        <row r="983">
          <cell r="A983" t="str">
            <v>ANZ</v>
          </cell>
          <cell r="D983">
            <v>43155</v>
          </cell>
        </row>
        <row r="984">
          <cell r="A984" t="str">
            <v>ANZ</v>
          </cell>
          <cell r="D984">
            <v>43409</v>
          </cell>
        </row>
        <row r="985">
          <cell r="A985" t="str">
            <v>ANZ</v>
          </cell>
          <cell r="D985">
            <v>43431</v>
          </cell>
        </row>
        <row r="986">
          <cell r="A986" t="str">
            <v>ANZ</v>
          </cell>
          <cell r="D986">
            <v>43361</v>
          </cell>
        </row>
        <row r="987">
          <cell r="A987" t="str">
            <v>ANZ</v>
          </cell>
          <cell r="D987">
            <v>43408</v>
          </cell>
        </row>
        <row r="988">
          <cell r="A988" t="str">
            <v>ANZ</v>
          </cell>
          <cell r="D988">
            <v>43401</v>
          </cell>
        </row>
        <row r="989">
          <cell r="A989" t="str">
            <v>IN</v>
          </cell>
          <cell r="D989">
            <v>43180</v>
          </cell>
        </row>
        <row r="990">
          <cell r="A990" t="str">
            <v>GC</v>
          </cell>
          <cell r="D990">
            <v>43209</v>
          </cell>
        </row>
        <row r="991">
          <cell r="A991" t="str">
            <v>IN</v>
          </cell>
          <cell r="D991">
            <v>43430</v>
          </cell>
        </row>
        <row r="992">
          <cell r="A992" t="str">
            <v>IN</v>
          </cell>
          <cell r="D992">
            <v>43185</v>
          </cell>
        </row>
        <row r="993">
          <cell r="A993" t="str">
            <v>GC</v>
          </cell>
          <cell r="D993">
            <v>43224</v>
          </cell>
        </row>
        <row r="994">
          <cell r="A994" t="str">
            <v>GC</v>
          </cell>
          <cell r="D994">
            <v>43252</v>
          </cell>
        </row>
        <row r="995">
          <cell r="A995" t="str">
            <v>GC</v>
          </cell>
          <cell r="D995">
            <v>43142</v>
          </cell>
        </row>
        <row r="996">
          <cell r="A996" t="str">
            <v>GC</v>
          </cell>
          <cell r="D996">
            <v>43289</v>
          </cell>
        </row>
        <row r="997">
          <cell r="A997" t="str">
            <v>GC</v>
          </cell>
          <cell r="D997">
            <v>43252</v>
          </cell>
        </row>
        <row r="998">
          <cell r="A998" t="str">
            <v>GC</v>
          </cell>
          <cell r="D998">
            <v>43186</v>
          </cell>
        </row>
        <row r="999">
          <cell r="A999" t="str">
            <v>GC</v>
          </cell>
          <cell r="D999">
            <v>43228</v>
          </cell>
        </row>
        <row r="1000">
          <cell r="A1000" t="str">
            <v>GC</v>
          </cell>
          <cell r="D1000">
            <v>43140</v>
          </cell>
        </row>
        <row r="1001">
          <cell r="A1001" t="str">
            <v>GC</v>
          </cell>
          <cell r="D1001">
            <v>43451</v>
          </cell>
        </row>
        <row r="1002">
          <cell r="A1002" t="str">
            <v>GC</v>
          </cell>
          <cell r="D1002">
            <v>43273</v>
          </cell>
        </row>
        <row r="1003">
          <cell r="A1003" t="str">
            <v>IN</v>
          </cell>
          <cell r="D1003">
            <v>43440</v>
          </cell>
        </row>
        <row r="1004">
          <cell r="A1004" t="str">
            <v>IN</v>
          </cell>
          <cell r="D1004">
            <v>43116</v>
          </cell>
        </row>
        <row r="1005">
          <cell r="A1005" t="str">
            <v>IN</v>
          </cell>
          <cell r="D1005">
            <v>43125</v>
          </cell>
        </row>
        <row r="1006">
          <cell r="A1006" t="str">
            <v>ANZ</v>
          </cell>
          <cell r="D1006">
            <v>43300</v>
          </cell>
        </row>
        <row r="1007">
          <cell r="A1007" t="str">
            <v>ANZ</v>
          </cell>
          <cell r="D1007">
            <v>43454</v>
          </cell>
        </row>
        <row r="1008">
          <cell r="A1008" t="str">
            <v>ANZ</v>
          </cell>
          <cell r="D1008">
            <v>43139</v>
          </cell>
        </row>
        <row r="1009">
          <cell r="A1009" t="str">
            <v>GC</v>
          </cell>
          <cell r="D1009">
            <v>43341</v>
          </cell>
        </row>
        <row r="1010">
          <cell r="A1010" t="str">
            <v>GC</v>
          </cell>
          <cell r="D1010">
            <v>43121</v>
          </cell>
        </row>
        <row r="1011">
          <cell r="A1011" t="str">
            <v>ANZ</v>
          </cell>
          <cell r="D1011">
            <v>43355</v>
          </cell>
        </row>
        <row r="1012">
          <cell r="A1012" t="str">
            <v>GC</v>
          </cell>
          <cell r="D1012">
            <v>43153</v>
          </cell>
        </row>
        <row r="1013">
          <cell r="A1013" t="str">
            <v>GC</v>
          </cell>
          <cell r="D1013">
            <v>43271</v>
          </cell>
        </row>
        <row r="1014">
          <cell r="A1014" t="str">
            <v>ASEAN</v>
          </cell>
          <cell r="D1014">
            <v>43339</v>
          </cell>
        </row>
        <row r="1015">
          <cell r="A1015" t="str">
            <v>IN</v>
          </cell>
          <cell r="D1015">
            <v>43449</v>
          </cell>
        </row>
        <row r="1016">
          <cell r="A1016" t="str">
            <v>IN</v>
          </cell>
          <cell r="D1016">
            <v>43394</v>
          </cell>
        </row>
        <row r="1017">
          <cell r="A1017" t="str">
            <v>IN</v>
          </cell>
          <cell r="D1017">
            <v>43345</v>
          </cell>
        </row>
        <row r="1018">
          <cell r="A1018" t="str">
            <v>GC</v>
          </cell>
          <cell r="D1018">
            <v>43170</v>
          </cell>
        </row>
        <row r="1019">
          <cell r="A1019" t="str">
            <v>ASEAN</v>
          </cell>
          <cell r="D1019">
            <v>43229</v>
          </cell>
        </row>
        <row r="1020">
          <cell r="A1020" t="str">
            <v>GC</v>
          </cell>
          <cell r="D1020">
            <v>43427</v>
          </cell>
        </row>
        <row r="1021">
          <cell r="A1021" t="str">
            <v>ANZ</v>
          </cell>
          <cell r="D1021">
            <v>43447</v>
          </cell>
        </row>
        <row r="1022">
          <cell r="A1022" t="str">
            <v>GC</v>
          </cell>
          <cell r="D1022">
            <v>43436</v>
          </cell>
        </row>
        <row r="1023">
          <cell r="A1023" t="str">
            <v>GC</v>
          </cell>
          <cell r="D1023">
            <v>43453</v>
          </cell>
        </row>
        <row r="1024">
          <cell r="A1024" t="str">
            <v>GC</v>
          </cell>
          <cell r="D1024">
            <v>43232</v>
          </cell>
        </row>
        <row r="1025">
          <cell r="A1025" t="str">
            <v>KR</v>
          </cell>
          <cell r="D1025">
            <v>43255</v>
          </cell>
        </row>
        <row r="1026">
          <cell r="A1026" t="str">
            <v>KR</v>
          </cell>
          <cell r="D1026">
            <v>43158</v>
          </cell>
        </row>
        <row r="1027">
          <cell r="A1027" t="str">
            <v>KR</v>
          </cell>
          <cell r="D1027">
            <v>43376</v>
          </cell>
        </row>
        <row r="1028">
          <cell r="A1028" t="str">
            <v>GC</v>
          </cell>
          <cell r="D1028">
            <v>43396</v>
          </cell>
        </row>
        <row r="1029">
          <cell r="A1029" t="str">
            <v>GC</v>
          </cell>
          <cell r="D1029">
            <v>43241</v>
          </cell>
        </row>
        <row r="1030">
          <cell r="A1030" t="str">
            <v>GC</v>
          </cell>
          <cell r="D1030">
            <v>43119</v>
          </cell>
        </row>
        <row r="1031">
          <cell r="A1031" t="str">
            <v>GC</v>
          </cell>
          <cell r="D1031">
            <v>43380</v>
          </cell>
        </row>
        <row r="1032">
          <cell r="A1032" t="str">
            <v>GC</v>
          </cell>
          <cell r="D1032">
            <v>43303</v>
          </cell>
        </row>
        <row r="1033">
          <cell r="A1033" t="str">
            <v>GC</v>
          </cell>
          <cell r="D1033">
            <v>43429</v>
          </cell>
        </row>
        <row r="1034">
          <cell r="A1034" t="str">
            <v>GC</v>
          </cell>
          <cell r="D1034">
            <v>43296</v>
          </cell>
        </row>
        <row r="1035">
          <cell r="A1035" t="str">
            <v>GC</v>
          </cell>
          <cell r="D1035">
            <v>43234</v>
          </cell>
        </row>
        <row r="1036">
          <cell r="A1036" t="str">
            <v>KR</v>
          </cell>
          <cell r="D1036">
            <v>43233</v>
          </cell>
        </row>
        <row r="1037">
          <cell r="A1037" t="str">
            <v>KR</v>
          </cell>
          <cell r="D1037">
            <v>43182</v>
          </cell>
        </row>
        <row r="1038">
          <cell r="A1038" t="str">
            <v>GC</v>
          </cell>
          <cell r="D1038">
            <v>43325</v>
          </cell>
        </row>
        <row r="1039">
          <cell r="A1039" t="str">
            <v>GC</v>
          </cell>
          <cell r="D1039">
            <v>43101</v>
          </cell>
        </row>
        <row r="1040">
          <cell r="A1040" t="str">
            <v>KR</v>
          </cell>
          <cell r="D1040">
            <v>43402</v>
          </cell>
        </row>
        <row r="1041">
          <cell r="A1041" t="str">
            <v>GC</v>
          </cell>
          <cell r="D1041">
            <v>43300</v>
          </cell>
        </row>
        <row r="1042">
          <cell r="A1042" t="str">
            <v>GC</v>
          </cell>
          <cell r="D1042">
            <v>43378</v>
          </cell>
        </row>
        <row r="1043">
          <cell r="A1043" t="str">
            <v>GC</v>
          </cell>
          <cell r="D1043">
            <v>43352</v>
          </cell>
        </row>
        <row r="1044">
          <cell r="A1044" t="str">
            <v>IN</v>
          </cell>
          <cell r="D1044">
            <v>43357</v>
          </cell>
        </row>
        <row r="1045">
          <cell r="A1045" t="str">
            <v>IN</v>
          </cell>
          <cell r="D1045">
            <v>43339</v>
          </cell>
        </row>
        <row r="1046">
          <cell r="A1046" t="str">
            <v>IN</v>
          </cell>
          <cell r="D1046">
            <v>43398</v>
          </cell>
        </row>
        <row r="1047">
          <cell r="A1047" t="str">
            <v>IN</v>
          </cell>
          <cell r="D1047">
            <v>43223</v>
          </cell>
        </row>
        <row r="1048">
          <cell r="A1048" t="str">
            <v>IN</v>
          </cell>
          <cell r="D1048">
            <v>43357</v>
          </cell>
        </row>
        <row r="1049">
          <cell r="A1049" t="str">
            <v>ASEAN</v>
          </cell>
          <cell r="D1049">
            <v>43333</v>
          </cell>
        </row>
        <row r="1050">
          <cell r="A1050" t="str">
            <v>ANZ</v>
          </cell>
          <cell r="D1050">
            <v>43329</v>
          </cell>
        </row>
        <row r="1051">
          <cell r="A1051" t="str">
            <v>ASEAN</v>
          </cell>
          <cell r="D1051">
            <v>43430</v>
          </cell>
        </row>
        <row r="1052">
          <cell r="A1052" t="str">
            <v>IN</v>
          </cell>
          <cell r="D1052">
            <v>43265</v>
          </cell>
        </row>
        <row r="1053">
          <cell r="A1053" t="str">
            <v>ASEAN</v>
          </cell>
          <cell r="D1053">
            <v>43370</v>
          </cell>
        </row>
        <row r="1054">
          <cell r="A1054" t="str">
            <v>ANZ</v>
          </cell>
          <cell r="D1054">
            <v>43145</v>
          </cell>
        </row>
        <row r="1055">
          <cell r="A1055" t="str">
            <v>ASEAN</v>
          </cell>
          <cell r="D1055">
            <v>43175</v>
          </cell>
        </row>
        <row r="1056">
          <cell r="A1056" t="str">
            <v>GC</v>
          </cell>
          <cell r="D1056">
            <v>43121</v>
          </cell>
        </row>
        <row r="1057">
          <cell r="A1057" t="str">
            <v>IN</v>
          </cell>
          <cell r="D1057">
            <v>43273</v>
          </cell>
        </row>
        <row r="1058">
          <cell r="A1058" t="str">
            <v>ASEAN</v>
          </cell>
          <cell r="D1058">
            <v>43393</v>
          </cell>
        </row>
        <row r="1059">
          <cell r="A1059" t="str">
            <v>IN</v>
          </cell>
          <cell r="D1059">
            <v>43390</v>
          </cell>
        </row>
        <row r="1060">
          <cell r="A1060" t="str">
            <v>IN</v>
          </cell>
          <cell r="D1060">
            <v>43236</v>
          </cell>
        </row>
        <row r="1061">
          <cell r="A1061" t="str">
            <v>IN</v>
          </cell>
          <cell r="D1061">
            <v>43413</v>
          </cell>
        </row>
        <row r="1062">
          <cell r="A1062" t="str">
            <v>GC</v>
          </cell>
          <cell r="D1062">
            <v>43177</v>
          </cell>
        </row>
        <row r="1063">
          <cell r="A1063" t="str">
            <v>GC</v>
          </cell>
          <cell r="D1063">
            <v>43130</v>
          </cell>
        </row>
        <row r="1064">
          <cell r="A1064" t="str">
            <v>GC</v>
          </cell>
          <cell r="D1064">
            <v>43131</v>
          </cell>
        </row>
        <row r="1065">
          <cell r="A1065" t="str">
            <v>GC</v>
          </cell>
          <cell r="D1065">
            <v>43440</v>
          </cell>
        </row>
        <row r="1066">
          <cell r="A1066" t="str">
            <v>GC</v>
          </cell>
          <cell r="D1066">
            <v>43289</v>
          </cell>
        </row>
        <row r="1067">
          <cell r="A1067" t="str">
            <v>IN</v>
          </cell>
          <cell r="D1067">
            <v>43114</v>
          </cell>
        </row>
        <row r="1068">
          <cell r="A1068" t="str">
            <v>GC</v>
          </cell>
          <cell r="D1068">
            <v>43446</v>
          </cell>
        </row>
        <row r="1069">
          <cell r="A1069" t="str">
            <v>ANZ</v>
          </cell>
          <cell r="D1069">
            <v>43301</v>
          </cell>
        </row>
        <row r="1070">
          <cell r="A1070" t="str">
            <v>ANZ</v>
          </cell>
          <cell r="D1070">
            <v>43296</v>
          </cell>
        </row>
        <row r="1071">
          <cell r="A1071" t="str">
            <v>IN</v>
          </cell>
          <cell r="D1071">
            <v>43269</v>
          </cell>
        </row>
        <row r="1072">
          <cell r="A1072" t="str">
            <v>ANZ</v>
          </cell>
          <cell r="D1072">
            <v>43364</v>
          </cell>
        </row>
        <row r="1073">
          <cell r="A1073" t="str">
            <v>ANZ</v>
          </cell>
          <cell r="D1073">
            <v>43140</v>
          </cell>
        </row>
        <row r="1074">
          <cell r="A1074" t="str">
            <v>GC</v>
          </cell>
          <cell r="D1074">
            <v>43426</v>
          </cell>
        </row>
        <row r="1075">
          <cell r="A1075" t="str">
            <v>GC</v>
          </cell>
          <cell r="D1075">
            <v>43429</v>
          </cell>
        </row>
        <row r="1076">
          <cell r="A1076" t="str">
            <v>GC</v>
          </cell>
          <cell r="D1076">
            <v>43388</v>
          </cell>
        </row>
        <row r="1077">
          <cell r="A1077" t="str">
            <v>GC</v>
          </cell>
          <cell r="D1077">
            <v>43394</v>
          </cell>
        </row>
        <row r="1078">
          <cell r="A1078" t="str">
            <v>IN</v>
          </cell>
          <cell r="D1078">
            <v>43277</v>
          </cell>
        </row>
        <row r="1079">
          <cell r="A1079" t="str">
            <v>IN</v>
          </cell>
          <cell r="D1079">
            <v>43280</v>
          </cell>
        </row>
        <row r="1080">
          <cell r="A1080" t="str">
            <v>IN</v>
          </cell>
          <cell r="D1080">
            <v>43165</v>
          </cell>
        </row>
        <row r="1081">
          <cell r="A1081" t="str">
            <v>IN</v>
          </cell>
          <cell r="D1081">
            <v>43135</v>
          </cell>
        </row>
        <row r="1082">
          <cell r="A1082" t="str">
            <v>IN</v>
          </cell>
          <cell r="D1082">
            <v>43206</v>
          </cell>
        </row>
        <row r="1083">
          <cell r="A1083" t="str">
            <v>IN</v>
          </cell>
          <cell r="D1083">
            <v>43182</v>
          </cell>
        </row>
        <row r="1084">
          <cell r="A1084" t="str">
            <v>ANZ</v>
          </cell>
          <cell r="D1084">
            <v>43325</v>
          </cell>
        </row>
        <row r="1085">
          <cell r="A1085" t="str">
            <v>ANZ</v>
          </cell>
          <cell r="D1085">
            <v>43156</v>
          </cell>
        </row>
        <row r="1086">
          <cell r="A1086" t="str">
            <v>ANZ</v>
          </cell>
          <cell r="D1086">
            <v>43426</v>
          </cell>
        </row>
        <row r="1087">
          <cell r="A1087" t="str">
            <v>ANZ</v>
          </cell>
          <cell r="D1087">
            <v>43444</v>
          </cell>
        </row>
        <row r="1088">
          <cell r="A1088" t="str">
            <v>GC</v>
          </cell>
          <cell r="D1088">
            <v>43169</v>
          </cell>
        </row>
        <row r="1089">
          <cell r="A1089" t="str">
            <v>GC</v>
          </cell>
          <cell r="D1089">
            <v>43284</v>
          </cell>
        </row>
        <row r="1090">
          <cell r="A1090" t="str">
            <v>GC</v>
          </cell>
          <cell r="D1090">
            <v>43106</v>
          </cell>
        </row>
        <row r="1091">
          <cell r="A1091" t="str">
            <v>ANZ</v>
          </cell>
          <cell r="D1091">
            <v>43449</v>
          </cell>
        </row>
        <row r="1092">
          <cell r="A1092" t="str">
            <v>IN</v>
          </cell>
          <cell r="D1092">
            <v>43367</v>
          </cell>
        </row>
        <row r="1093">
          <cell r="A1093" t="str">
            <v>IN</v>
          </cell>
          <cell r="D1093">
            <v>43377</v>
          </cell>
        </row>
        <row r="1094">
          <cell r="A1094" t="str">
            <v>IN</v>
          </cell>
          <cell r="D1094">
            <v>43208</v>
          </cell>
        </row>
        <row r="1095">
          <cell r="A1095" t="str">
            <v>IN</v>
          </cell>
          <cell r="D1095">
            <v>43232</v>
          </cell>
        </row>
        <row r="1096">
          <cell r="A1096" t="str">
            <v>ANZ</v>
          </cell>
          <cell r="D1096">
            <v>43261</v>
          </cell>
        </row>
        <row r="1097">
          <cell r="A1097" t="str">
            <v>ANZ</v>
          </cell>
          <cell r="D1097">
            <v>43451</v>
          </cell>
        </row>
        <row r="1098">
          <cell r="A1098" t="str">
            <v>ANZ</v>
          </cell>
          <cell r="D1098">
            <v>43279</v>
          </cell>
        </row>
        <row r="1099">
          <cell r="A1099" t="str">
            <v>ANZ</v>
          </cell>
          <cell r="D1099">
            <v>43356</v>
          </cell>
        </row>
        <row r="1100">
          <cell r="A1100" t="str">
            <v>ANZ</v>
          </cell>
          <cell r="D1100">
            <v>43198</v>
          </cell>
        </row>
        <row r="1101">
          <cell r="A1101" t="str">
            <v>ANZ</v>
          </cell>
          <cell r="D1101">
            <v>43316</v>
          </cell>
        </row>
        <row r="1102">
          <cell r="A1102" t="str">
            <v>ANZ</v>
          </cell>
          <cell r="D1102">
            <v>43344</v>
          </cell>
        </row>
        <row r="1103">
          <cell r="A1103" t="str">
            <v>ANZ</v>
          </cell>
          <cell r="D1103">
            <v>43463</v>
          </cell>
        </row>
        <row r="1104">
          <cell r="A1104" t="str">
            <v>IN</v>
          </cell>
          <cell r="D1104">
            <v>43455</v>
          </cell>
        </row>
        <row r="1105">
          <cell r="A1105" t="str">
            <v>GC</v>
          </cell>
          <cell r="D1105">
            <v>43299</v>
          </cell>
        </row>
        <row r="1106">
          <cell r="A1106" t="str">
            <v>ASEAN</v>
          </cell>
          <cell r="D1106">
            <v>43120</v>
          </cell>
        </row>
        <row r="1107">
          <cell r="A1107" t="str">
            <v>GC</v>
          </cell>
          <cell r="D1107">
            <v>43390</v>
          </cell>
        </row>
        <row r="1108">
          <cell r="A1108" t="str">
            <v>ANZ</v>
          </cell>
          <cell r="D1108">
            <v>43194</v>
          </cell>
        </row>
        <row r="1109">
          <cell r="A1109" t="str">
            <v>GC</v>
          </cell>
          <cell r="D1109">
            <v>43129</v>
          </cell>
        </row>
        <row r="1110">
          <cell r="A1110" t="str">
            <v>GC</v>
          </cell>
          <cell r="D1110">
            <v>43402</v>
          </cell>
        </row>
        <row r="1111">
          <cell r="A1111" t="str">
            <v>GC</v>
          </cell>
          <cell r="D1111">
            <v>43145</v>
          </cell>
        </row>
        <row r="1112">
          <cell r="A1112" t="str">
            <v>GC</v>
          </cell>
          <cell r="D1112">
            <v>43165</v>
          </cell>
        </row>
        <row r="1113">
          <cell r="A1113" t="str">
            <v>ASEAN</v>
          </cell>
          <cell r="D1113">
            <v>43199</v>
          </cell>
        </row>
        <row r="1114">
          <cell r="A1114" t="str">
            <v>GC</v>
          </cell>
          <cell r="D1114">
            <v>43340</v>
          </cell>
        </row>
        <row r="1115">
          <cell r="A1115" t="str">
            <v>GC</v>
          </cell>
          <cell r="D1115">
            <v>43237</v>
          </cell>
        </row>
        <row r="1116">
          <cell r="A1116" t="str">
            <v>GC</v>
          </cell>
          <cell r="D1116">
            <v>43330</v>
          </cell>
        </row>
        <row r="1117">
          <cell r="A1117" t="str">
            <v>GC</v>
          </cell>
          <cell r="D1117">
            <v>43331</v>
          </cell>
        </row>
        <row r="1118">
          <cell r="A1118" t="str">
            <v>GC</v>
          </cell>
          <cell r="D1118">
            <v>43217</v>
          </cell>
        </row>
        <row r="1119">
          <cell r="A1119" t="str">
            <v>GC</v>
          </cell>
          <cell r="D1119">
            <v>43281</v>
          </cell>
        </row>
        <row r="1120">
          <cell r="A1120" t="str">
            <v>GC</v>
          </cell>
          <cell r="D1120">
            <v>43403</v>
          </cell>
        </row>
        <row r="1121">
          <cell r="A1121" t="str">
            <v>ANZ</v>
          </cell>
          <cell r="D1121">
            <v>43130</v>
          </cell>
        </row>
        <row r="1122">
          <cell r="A1122" t="str">
            <v>ANZ</v>
          </cell>
          <cell r="D1122">
            <v>43310</v>
          </cell>
        </row>
        <row r="1123">
          <cell r="A1123" t="str">
            <v>IN</v>
          </cell>
          <cell r="D1123">
            <v>43451</v>
          </cell>
        </row>
        <row r="1124">
          <cell r="A1124" t="str">
            <v>IN</v>
          </cell>
          <cell r="D1124">
            <v>43236</v>
          </cell>
        </row>
        <row r="1125">
          <cell r="A1125" t="str">
            <v>ANZ</v>
          </cell>
          <cell r="D1125">
            <v>43174</v>
          </cell>
        </row>
        <row r="1126">
          <cell r="A1126" t="str">
            <v>GC</v>
          </cell>
          <cell r="D1126">
            <v>43316</v>
          </cell>
        </row>
        <row r="1127">
          <cell r="A1127" t="str">
            <v>GC</v>
          </cell>
          <cell r="D1127">
            <v>43200</v>
          </cell>
        </row>
        <row r="1128">
          <cell r="A1128" t="str">
            <v>GC</v>
          </cell>
          <cell r="D1128">
            <v>43365</v>
          </cell>
        </row>
        <row r="1129">
          <cell r="A1129" t="str">
            <v>GC</v>
          </cell>
          <cell r="D1129">
            <v>43178</v>
          </cell>
        </row>
        <row r="1130">
          <cell r="A1130" t="str">
            <v>ANZ</v>
          </cell>
          <cell r="D1130">
            <v>43438</v>
          </cell>
        </row>
        <row r="1131">
          <cell r="A1131" t="str">
            <v>KR</v>
          </cell>
          <cell r="D1131">
            <v>43164</v>
          </cell>
        </row>
        <row r="1132">
          <cell r="A1132" t="str">
            <v>KR</v>
          </cell>
          <cell r="D1132">
            <v>43400</v>
          </cell>
        </row>
        <row r="1133">
          <cell r="A1133" t="str">
            <v>KR</v>
          </cell>
          <cell r="D1133">
            <v>43230</v>
          </cell>
        </row>
        <row r="1134">
          <cell r="A1134" t="str">
            <v>KR</v>
          </cell>
          <cell r="D1134">
            <v>43444</v>
          </cell>
        </row>
        <row r="1135">
          <cell r="A1135" t="str">
            <v>KR</v>
          </cell>
          <cell r="D1135">
            <v>43274</v>
          </cell>
        </row>
        <row r="1136">
          <cell r="A1136" t="str">
            <v>KR</v>
          </cell>
          <cell r="D1136">
            <v>43428</v>
          </cell>
        </row>
        <row r="1137">
          <cell r="A1137" t="str">
            <v>KR</v>
          </cell>
          <cell r="D1137">
            <v>43242</v>
          </cell>
        </row>
        <row r="1138">
          <cell r="A1138" t="str">
            <v>KR</v>
          </cell>
          <cell r="D1138">
            <v>43138</v>
          </cell>
        </row>
        <row r="1139">
          <cell r="A1139" t="str">
            <v>GC</v>
          </cell>
          <cell r="D1139">
            <v>43176</v>
          </cell>
        </row>
        <row r="1140">
          <cell r="A1140" t="str">
            <v>GC</v>
          </cell>
          <cell r="D1140">
            <v>43323</v>
          </cell>
        </row>
        <row r="1141">
          <cell r="A1141" t="str">
            <v>GC</v>
          </cell>
          <cell r="D1141">
            <v>43256</v>
          </cell>
        </row>
        <row r="1142">
          <cell r="A1142" t="str">
            <v>GC</v>
          </cell>
          <cell r="D1142">
            <v>43157</v>
          </cell>
        </row>
        <row r="1143">
          <cell r="A1143" t="str">
            <v>KR</v>
          </cell>
          <cell r="D1143">
            <v>43291</v>
          </cell>
        </row>
        <row r="1144">
          <cell r="A1144" t="str">
            <v>KR</v>
          </cell>
          <cell r="D1144">
            <v>43244</v>
          </cell>
        </row>
        <row r="1145">
          <cell r="A1145" t="str">
            <v>KR</v>
          </cell>
          <cell r="D1145">
            <v>43181</v>
          </cell>
        </row>
        <row r="1146">
          <cell r="A1146" t="str">
            <v>KR</v>
          </cell>
          <cell r="D1146">
            <v>43175</v>
          </cell>
        </row>
        <row r="1147">
          <cell r="A1147" t="str">
            <v>KR</v>
          </cell>
          <cell r="D1147">
            <v>43139</v>
          </cell>
        </row>
        <row r="1148">
          <cell r="A1148" t="str">
            <v>GC</v>
          </cell>
          <cell r="D1148">
            <v>43433</v>
          </cell>
        </row>
        <row r="1149">
          <cell r="A1149" t="str">
            <v>GC</v>
          </cell>
          <cell r="D1149">
            <v>43292</v>
          </cell>
        </row>
        <row r="1150">
          <cell r="A1150" t="str">
            <v>GC</v>
          </cell>
          <cell r="D1150">
            <v>43424</v>
          </cell>
        </row>
        <row r="1151">
          <cell r="A1151" t="str">
            <v>GC</v>
          </cell>
          <cell r="D1151">
            <v>43453</v>
          </cell>
        </row>
        <row r="1152">
          <cell r="A1152" t="str">
            <v>GC</v>
          </cell>
          <cell r="D1152">
            <v>43456</v>
          </cell>
        </row>
        <row r="1153">
          <cell r="A1153" t="str">
            <v>GC</v>
          </cell>
          <cell r="D1153">
            <v>43195</v>
          </cell>
        </row>
        <row r="1154">
          <cell r="A1154" t="str">
            <v>GC</v>
          </cell>
          <cell r="D1154">
            <v>43322</v>
          </cell>
        </row>
        <row r="1155">
          <cell r="A1155" t="str">
            <v>GC</v>
          </cell>
          <cell r="D1155">
            <v>43328</v>
          </cell>
        </row>
        <row r="1156">
          <cell r="A1156" t="str">
            <v>GC</v>
          </cell>
          <cell r="D1156">
            <v>43175</v>
          </cell>
        </row>
        <row r="1157">
          <cell r="A1157" t="str">
            <v>GC</v>
          </cell>
          <cell r="D1157">
            <v>43376</v>
          </cell>
        </row>
        <row r="1158">
          <cell r="A1158" t="str">
            <v>ANZ</v>
          </cell>
          <cell r="D1158">
            <v>43352</v>
          </cell>
        </row>
        <row r="1159">
          <cell r="A1159" t="str">
            <v>GC</v>
          </cell>
          <cell r="D1159">
            <v>43125</v>
          </cell>
        </row>
        <row r="1160">
          <cell r="A1160" t="str">
            <v>ASEAN</v>
          </cell>
          <cell r="D1160">
            <v>43179</v>
          </cell>
        </row>
        <row r="1161">
          <cell r="A1161" t="str">
            <v>ANZ</v>
          </cell>
          <cell r="D1161">
            <v>43292</v>
          </cell>
        </row>
        <row r="1162">
          <cell r="A1162" t="str">
            <v>ASEAN</v>
          </cell>
          <cell r="D1162">
            <v>43212</v>
          </cell>
        </row>
        <row r="1163">
          <cell r="A1163" t="str">
            <v>GC</v>
          </cell>
          <cell r="D1163">
            <v>43372</v>
          </cell>
        </row>
        <row r="1164">
          <cell r="A1164" t="str">
            <v>GC</v>
          </cell>
          <cell r="D1164">
            <v>43374</v>
          </cell>
        </row>
        <row r="1165">
          <cell r="A1165" t="str">
            <v>GC</v>
          </cell>
          <cell r="D1165">
            <v>43372</v>
          </cell>
        </row>
        <row r="1166">
          <cell r="A1166" t="str">
            <v>GC</v>
          </cell>
          <cell r="D1166">
            <v>43373</v>
          </cell>
        </row>
        <row r="1167">
          <cell r="A1167" t="str">
            <v>GC</v>
          </cell>
          <cell r="D1167">
            <v>43114</v>
          </cell>
        </row>
        <row r="1168">
          <cell r="A1168" t="str">
            <v>GC</v>
          </cell>
          <cell r="D1168">
            <v>43234</v>
          </cell>
        </row>
        <row r="1169">
          <cell r="A1169" t="str">
            <v>GC</v>
          </cell>
          <cell r="D1169">
            <v>43114</v>
          </cell>
        </row>
        <row r="1170">
          <cell r="A1170" t="str">
            <v>GC</v>
          </cell>
          <cell r="D1170">
            <v>43423</v>
          </cell>
        </row>
        <row r="1171">
          <cell r="A1171" t="str">
            <v>GC</v>
          </cell>
          <cell r="D1171">
            <v>43112</v>
          </cell>
        </row>
        <row r="1172">
          <cell r="A1172" t="str">
            <v>GC</v>
          </cell>
          <cell r="D1172">
            <v>43176</v>
          </cell>
        </row>
        <row r="1173">
          <cell r="A1173" t="str">
            <v>GC</v>
          </cell>
          <cell r="D1173">
            <v>43217</v>
          </cell>
        </row>
        <row r="1174">
          <cell r="A1174" t="str">
            <v>GC</v>
          </cell>
          <cell r="D1174">
            <v>43299</v>
          </cell>
        </row>
        <row r="1175">
          <cell r="A1175" t="str">
            <v>IN</v>
          </cell>
          <cell r="D1175">
            <v>43428</v>
          </cell>
        </row>
        <row r="1176">
          <cell r="A1176" t="str">
            <v>GC</v>
          </cell>
          <cell r="D1176">
            <v>43220</v>
          </cell>
        </row>
        <row r="1177">
          <cell r="A1177" t="str">
            <v>ASEAN</v>
          </cell>
          <cell r="D1177">
            <v>43235</v>
          </cell>
        </row>
        <row r="1178">
          <cell r="A1178" t="str">
            <v>GC</v>
          </cell>
          <cell r="D1178">
            <v>43427</v>
          </cell>
        </row>
        <row r="1179">
          <cell r="A1179" t="str">
            <v>ANZ</v>
          </cell>
          <cell r="D1179">
            <v>43462</v>
          </cell>
        </row>
        <row r="1180">
          <cell r="A1180" t="str">
            <v>ASEAN</v>
          </cell>
          <cell r="D1180">
            <v>43389</v>
          </cell>
        </row>
        <row r="1181">
          <cell r="A1181" t="str">
            <v>ANZ</v>
          </cell>
          <cell r="D1181">
            <v>43109</v>
          </cell>
        </row>
        <row r="1182">
          <cell r="A1182" t="str">
            <v>ANZ</v>
          </cell>
          <cell r="D1182">
            <v>43354</v>
          </cell>
        </row>
        <row r="1183">
          <cell r="A1183" t="str">
            <v>ASEAN</v>
          </cell>
          <cell r="D1183">
            <v>43390</v>
          </cell>
        </row>
        <row r="1184">
          <cell r="A1184" t="str">
            <v>ASEAN</v>
          </cell>
          <cell r="D1184">
            <v>43333</v>
          </cell>
        </row>
        <row r="1185">
          <cell r="A1185" t="str">
            <v>ANZ</v>
          </cell>
          <cell r="D1185">
            <v>43414</v>
          </cell>
        </row>
        <row r="1186">
          <cell r="A1186" t="str">
            <v>GC</v>
          </cell>
          <cell r="D1186">
            <v>43207</v>
          </cell>
        </row>
        <row r="1187">
          <cell r="A1187" t="str">
            <v>IN</v>
          </cell>
          <cell r="D1187">
            <v>43255</v>
          </cell>
        </row>
        <row r="1188">
          <cell r="A1188" t="str">
            <v>IN</v>
          </cell>
          <cell r="D1188">
            <v>43290</v>
          </cell>
        </row>
        <row r="1189">
          <cell r="A1189" t="str">
            <v>IN</v>
          </cell>
          <cell r="D1189">
            <v>43260</v>
          </cell>
        </row>
        <row r="1190">
          <cell r="A1190" t="str">
            <v>IN</v>
          </cell>
          <cell r="D1190">
            <v>43242</v>
          </cell>
        </row>
        <row r="1191">
          <cell r="A1191" t="str">
            <v>ANZ</v>
          </cell>
          <cell r="D1191">
            <v>43256</v>
          </cell>
        </row>
        <row r="1192">
          <cell r="A1192" t="str">
            <v>ANZ</v>
          </cell>
          <cell r="D1192">
            <v>43218</v>
          </cell>
        </row>
        <row r="1193">
          <cell r="A1193" t="str">
            <v>IN</v>
          </cell>
          <cell r="D1193">
            <v>43183</v>
          </cell>
        </row>
        <row r="1194">
          <cell r="A1194" t="str">
            <v>GC</v>
          </cell>
          <cell r="D1194">
            <v>43232</v>
          </cell>
        </row>
        <row r="1195">
          <cell r="A1195" t="str">
            <v>IN</v>
          </cell>
          <cell r="D1195">
            <v>43198</v>
          </cell>
        </row>
        <row r="1196">
          <cell r="A1196" t="str">
            <v>ASEAN</v>
          </cell>
          <cell r="D1196">
            <v>43428</v>
          </cell>
        </row>
        <row r="1197">
          <cell r="A1197" t="str">
            <v>IN</v>
          </cell>
          <cell r="D1197">
            <v>43292</v>
          </cell>
        </row>
        <row r="1198">
          <cell r="A1198" t="str">
            <v>IN</v>
          </cell>
          <cell r="D1198">
            <v>43311</v>
          </cell>
        </row>
        <row r="1199">
          <cell r="A1199" t="str">
            <v>ANZ</v>
          </cell>
          <cell r="D1199">
            <v>43357</v>
          </cell>
        </row>
        <row r="1200">
          <cell r="A1200" t="str">
            <v>IN</v>
          </cell>
          <cell r="D1200">
            <v>43447</v>
          </cell>
        </row>
        <row r="1201">
          <cell r="A1201" t="str">
            <v>IN</v>
          </cell>
          <cell r="D1201">
            <v>43458</v>
          </cell>
        </row>
        <row r="1202">
          <cell r="A1202" t="str">
            <v>IN</v>
          </cell>
          <cell r="D1202">
            <v>43327</v>
          </cell>
        </row>
        <row r="1203">
          <cell r="A1203" t="str">
            <v>GC</v>
          </cell>
          <cell r="D1203">
            <v>43386</v>
          </cell>
        </row>
        <row r="1204">
          <cell r="A1204" t="str">
            <v>GC</v>
          </cell>
          <cell r="D1204">
            <v>43168</v>
          </cell>
        </row>
        <row r="1205">
          <cell r="A1205" t="str">
            <v>GC</v>
          </cell>
          <cell r="D1205">
            <v>43133</v>
          </cell>
        </row>
        <row r="1206">
          <cell r="A1206" t="str">
            <v>ASEAN</v>
          </cell>
          <cell r="D1206">
            <v>43245</v>
          </cell>
        </row>
        <row r="1207">
          <cell r="A1207" t="str">
            <v>ASEAN</v>
          </cell>
          <cell r="D1207">
            <v>43426</v>
          </cell>
        </row>
        <row r="1208">
          <cell r="A1208" t="str">
            <v>IN</v>
          </cell>
          <cell r="D1208">
            <v>43424</v>
          </cell>
        </row>
        <row r="1209">
          <cell r="A1209" t="str">
            <v>GC</v>
          </cell>
          <cell r="D1209">
            <v>43448</v>
          </cell>
        </row>
        <row r="1210">
          <cell r="A1210" t="str">
            <v>GC</v>
          </cell>
          <cell r="D1210">
            <v>43296</v>
          </cell>
        </row>
        <row r="1211">
          <cell r="A1211" t="str">
            <v>GC</v>
          </cell>
          <cell r="D1211">
            <v>43259</v>
          </cell>
        </row>
        <row r="1212">
          <cell r="A1212" t="str">
            <v>GC</v>
          </cell>
          <cell r="D1212">
            <v>43394</v>
          </cell>
        </row>
        <row r="1213">
          <cell r="A1213" t="str">
            <v>GC</v>
          </cell>
          <cell r="D1213">
            <v>43140</v>
          </cell>
        </row>
        <row r="1214">
          <cell r="A1214" t="str">
            <v>KR</v>
          </cell>
          <cell r="D1214">
            <v>43357</v>
          </cell>
        </row>
        <row r="1215">
          <cell r="A1215" t="str">
            <v>KR</v>
          </cell>
          <cell r="D1215">
            <v>43320</v>
          </cell>
        </row>
        <row r="1216">
          <cell r="A1216" t="str">
            <v>GC</v>
          </cell>
          <cell r="D1216">
            <v>43147</v>
          </cell>
        </row>
        <row r="1217">
          <cell r="A1217" t="str">
            <v>GC</v>
          </cell>
          <cell r="D1217">
            <v>43314</v>
          </cell>
        </row>
        <row r="1218">
          <cell r="A1218" t="str">
            <v>ANZ</v>
          </cell>
          <cell r="D1218">
            <v>43125</v>
          </cell>
        </row>
        <row r="1219">
          <cell r="A1219" t="str">
            <v>ASEAN</v>
          </cell>
          <cell r="D1219">
            <v>43218</v>
          </cell>
        </row>
        <row r="1220">
          <cell r="A1220" t="str">
            <v>GC</v>
          </cell>
          <cell r="D1220">
            <v>43107</v>
          </cell>
        </row>
        <row r="1221">
          <cell r="A1221" t="str">
            <v>IN</v>
          </cell>
          <cell r="D1221">
            <v>43390</v>
          </cell>
        </row>
        <row r="1222">
          <cell r="A1222" t="str">
            <v>IN</v>
          </cell>
          <cell r="D1222">
            <v>43441</v>
          </cell>
        </row>
        <row r="1223">
          <cell r="A1223" t="str">
            <v>IN</v>
          </cell>
          <cell r="D1223">
            <v>43334</v>
          </cell>
        </row>
        <row r="1224">
          <cell r="A1224" t="str">
            <v>GC</v>
          </cell>
          <cell r="D1224">
            <v>43269</v>
          </cell>
        </row>
        <row r="1225">
          <cell r="A1225" t="str">
            <v>ANZ</v>
          </cell>
          <cell r="D1225">
            <v>43367</v>
          </cell>
        </row>
        <row r="1226">
          <cell r="A1226" t="str">
            <v>GC</v>
          </cell>
          <cell r="D1226">
            <v>43362</v>
          </cell>
        </row>
        <row r="1227">
          <cell r="A1227" t="str">
            <v>GC</v>
          </cell>
          <cell r="D1227">
            <v>43263</v>
          </cell>
        </row>
        <row r="1228">
          <cell r="A1228" t="str">
            <v>GC</v>
          </cell>
          <cell r="D1228">
            <v>43108</v>
          </cell>
        </row>
        <row r="1229">
          <cell r="A1229" t="str">
            <v>GC</v>
          </cell>
          <cell r="D1229">
            <v>43404</v>
          </cell>
        </row>
        <row r="1230">
          <cell r="A1230" t="str">
            <v>GC</v>
          </cell>
          <cell r="D1230">
            <v>43128</v>
          </cell>
        </row>
        <row r="1231">
          <cell r="A1231" t="str">
            <v>GC</v>
          </cell>
          <cell r="D1231">
            <v>43235</v>
          </cell>
        </row>
        <row r="1232">
          <cell r="A1232" t="str">
            <v>GC</v>
          </cell>
          <cell r="D1232">
            <v>43294</v>
          </cell>
        </row>
        <row r="1233">
          <cell r="A1233" t="str">
            <v>GC</v>
          </cell>
          <cell r="D1233">
            <v>43229</v>
          </cell>
        </row>
        <row r="1234">
          <cell r="A1234" t="str">
            <v>GC</v>
          </cell>
          <cell r="D1234">
            <v>43302</v>
          </cell>
        </row>
        <row r="1235">
          <cell r="A1235" t="str">
            <v>GC</v>
          </cell>
          <cell r="D1235">
            <v>43225</v>
          </cell>
        </row>
        <row r="1236">
          <cell r="A1236" t="str">
            <v>GC</v>
          </cell>
          <cell r="D1236">
            <v>43320</v>
          </cell>
        </row>
        <row r="1237">
          <cell r="A1237" t="str">
            <v>GC</v>
          </cell>
          <cell r="D1237">
            <v>43237</v>
          </cell>
        </row>
        <row r="1238">
          <cell r="A1238" t="str">
            <v>GC</v>
          </cell>
          <cell r="D1238">
            <v>43236</v>
          </cell>
        </row>
        <row r="1239">
          <cell r="A1239" t="str">
            <v>GC</v>
          </cell>
          <cell r="D1239">
            <v>43265</v>
          </cell>
        </row>
        <row r="1240">
          <cell r="A1240" t="str">
            <v>GC</v>
          </cell>
          <cell r="D1240">
            <v>43421</v>
          </cell>
        </row>
        <row r="1241">
          <cell r="A1241" t="str">
            <v>GC</v>
          </cell>
          <cell r="D1241">
            <v>43216</v>
          </cell>
        </row>
        <row r="1242">
          <cell r="A1242" t="str">
            <v>KR</v>
          </cell>
          <cell r="D1242">
            <v>43309</v>
          </cell>
        </row>
        <row r="1243">
          <cell r="A1243" t="str">
            <v>KR</v>
          </cell>
          <cell r="D1243">
            <v>43201</v>
          </cell>
        </row>
        <row r="1244">
          <cell r="A1244" t="str">
            <v>GC</v>
          </cell>
          <cell r="D1244">
            <v>43184</v>
          </cell>
        </row>
        <row r="1245">
          <cell r="A1245" t="str">
            <v>GC</v>
          </cell>
          <cell r="D1245">
            <v>43320</v>
          </cell>
        </row>
        <row r="1246">
          <cell r="A1246" t="str">
            <v>GC</v>
          </cell>
          <cell r="D1246">
            <v>43408</v>
          </cell>
        </row>
        <row r="1247">
          <cell r="A1247" t="str">
            <v>GC</v>
          </cell>
          <cell r="D1247">
            <v>43401</v>
          </cell>
        </row>
        <row r="1248">
          <cell r="A1248" t="str">
            <v>GC</v>
          </cell>
          <cell r="D1248">
            <v>43398</v>
          </cell>
        </row>
        <row r="1249">
          <cell r="A1249" t="str">
            <v>GC</v>
          </cell>
          <cell r="D1249">
            <v>43395</v>
          </cell>
        </row>
        <row r="1250">
          <cell r="A1250" t="str">
            <v>GC</v>
          </cell>
          <cell r="D1250">
            <v>43404</v>
          </cell>
        </row>
        <row r="1251">
          <cell r="A1251" t="str">
            <v>GC</v>
          </cell>
          <cell r="D1251">
            <v>43163</v>
          </cell>
        </row>
        <row r="1252">
          <cell r="A1252" t="str">
            <v>IN</v>
          </cell>
          <cell r="D1252">
            <v>43375</v>
          </cell>
        </row>
        <row r="1253">
          <cell r="A1253" t="str">
            <v>IN</v>
          </cell>
          <cell r="D1253">
            <v>43304</v>
          </cell>
        </row>
        <row r="1254">
          <cell r="A1254" t="str">
            <v>GC</v>
          </cell>
          <cell r="D1254">
            <v>43416</v>
          </cell>
        </row>
        <row r="1255">
          <cell r="A1255" t="str">
            <v>GC</v>
          </cell>
          <cell r="D1255">
            <v>43114</v>
          </cell>
        </row>
        <row r="1256">
          <cell r="A1256" t="str">
            <v>GC</v>
          </cell>
          <cell r="D1256">
            <v>43105</v>
          </cell>
        </row>
        <row r="1257">
          <cell r="A1257" t="str">
            <v>ANZ</v>
          </cell>
          <cell r="D1257">
            <v>43130</v>
          </cell>
        </row>
        <row r="1258">
          <cell r="A1258" t="str">
            <v>GC</v>
          </cell>
          <cell r="D1258">
            <v>43454</v>
          </cell>
        </row>
        <row r="1259">
          <cell r="A1259" t="str">
            <v>IN</v>
          </cell>
          <cell r="D1259">
            <v>43438</v>
          </cell>
        </row>
        <row r="1260">
          <cell r="A1260" t="str">
            <v>IN</v>
          </cell>
          <cell r="D1260">
            <v>43180</v>
          </cell>
        </row>
        <row r="1261">
          <cell r="A1261" t="str">
            <v>IN</v>
          </cell>
          <cell r="D1261">
            <v>43310</v>
          </cell>
        </row>
        <row r="1262">
          <cell r="A1262" t="str">
            <v>IN</v>
          </cell>
          <cell r="D1262">
            <v>43310</v>
          </cell>
        </row>
        <row r="1263">
          <cell r="A1263" t="str">
            <v>IN</v>
          </cell>
          <cell r="D1263">
            <v>43204</v>
          </cell>
        </row>
        <row r="1264">
          <cell r="A1264" t="str">
            <v>GC</v>
          </cell>
          <cell r="D1264">
            <v>43170</v>
          </cell>
        </row>
        <row r="1265">
          <cell r="A1265" t="str">
            <v>GC</v>
          </cell>
          <cell r="D1265">
            <v>43299</v>
          </cell>
        </row>
        <row r="1266">
          <cell r="A1266" t="str">
            <v>IN</v>
          </cell>
          <cell r="D1266">
            <v>43174</v>
          </cell>
        </row>
        <row r="1267">
          <cell r="A1267" t="str">
            <v>IN</v>
          </cell>
          <cell r="D1267">
            <v>43183</v>
          </cell>
        </row>
        <row r="1268">
          <cell r="A1268" t="str">
            <v>IN</v>
          </cell>
          <cell r="D1268">
            <v>43343</v>
          </cell>
        </row>
        <row r="1269">
          <cell r="A1269" t="str">
            <v>ANZ</v>
          </cell>
          <cell r="D1269">
            <v>43319</v>
          </cell>
        </row>
        <row r="1270">
          <cell r="A1270" t="str">
            <v>GC</v>
          </cell>
          <cell r="D1270">
            <v>43267</v>
          </cell>
        </row>
        <row r="1271">
          <cell r="A1271" t="str">
            <v>ASEAN</v>
          </cell>
          <cell r="D1271">
            <v>43431</v>
          </cell>
        </row>
        <row r="1272">
          <cell r="A1272" t="str">
            <v>ANZ</v>
          </cell>
          <cell r="D1272">
            <v>43268</v>
          </cell>
        </row>
        <row r="1273">
          <cell r="A1273" t="str">
            <v>ANZ</v>
          </cell>
          <cell r="D1273">
            <v>43195</v>
          </cell>
        </row>
        <row r="1274">
          <cell r="A1274" t="str">
            <v>KR</v>
          </cell>
          <cell r="D1274">
            <v>43375</v>
          </cell>
        </row>
        <row r="1275">
          <cell r="A1275" t="str">
            <v>GC</v>
          </cell>
          <cell r="D1275">
            <v>43104</v>
          </cell>
        </row>
        <row r="1276">
          <cell r="A1276" t="str">
            <v>KR</v>
          </cell>
          <cell r="D1276">
            <v>43458</v>
          </cell>
        </row>
        <row r="1277">
          <cell r="A1277" t="str">
            <v>KR</v>
          </cell>
          <cell r="D1277">
            <v>43107</v>
          </cell>
        </row>
        <row r="1278">
          <cell r="A1278" t="str">
            <v>IN</v>
          </cell>
          <cell r="D1278">
            <v>43346</v>
          </cell>
        </row>
        <row r="1279">
          <cell r="A1279" t="str">
            <v>IN</v>
          </cell>
          <cell r="D1279">
            <v>43445</v>
          </cell>
        </row>
        <row r="1280">
          <cell r="A1280" t="str">
            <v>IN</v>
          </cell>
          <cell r="D1280">
            <v>43154</v>
          </cell>
        </row>
        <row r="1281">
          <cell r="A1281" t="str">
            <v>IN</v>
          </cell>
          <cell r="D1281">
            <v>43200</v>
          </cell>
        </row>
        <row r="1282">
          <cell r="A1282" t="str">
            <v>GC</v>
          </cell>
          <cell r="D1282">
            <v>43157</v>
          </cell>
        </row>
        <row r="1283">
          <cell r="A1283" t="str">
            <v>ASEAN</v>
          </cell>
          <cell r="D1283">
            <v>43204</v>
          </cell>
        </row>
        <row r="1284">
          <cell r="A1284" t="str">
            <v>KR</v>
          </cell>
          <cell r="D1284">
            <v>43119</v>
          </cell>
        </row>
        <row r="1285">
          <cell r="A1285" t="str">
            <v>IN</v>
          </cell>
          <cell r="D1285">
            <v>43329</v>
          </cell>
        </row>
        <row r="1286">
          <cell r="A1286" t="str">
            <v>KR</v>
          </cell>
          <cell r="D1286">
            <v>43234</v>
          </cell>
        </row>
        <row r="1287">
          <cell r="A1287" t="str">
            <v>IN</v>
          </cell>
          <cell r="D1287">
            <v>43270</v>
          </cell>
        </row>
        <row r="1288">
          <cell r="A1288" t="str">
            <v>ANZ</v>
          </cell>
          <cell r="D1288">
            <v>43305</v>
          </cell>
        </row>
        <row r="1289">
          <cell r="A1289" t="str">
            <v>IN</v>
          </cell>
          <cell r="D1289">
            <v>43169</v>
          </cell>
        </row>
        <row r="1290">
          <cell r="A1290" t="str">
            <v>IN</v>
          </cell>
          <cell r="D1290">
            <v>43129</v>
          </cell>
        </row>
        <row r="1291">
          <cell r="A1291" t="str">
            <v>IN</v>
          </cell>
          <cell r="D1291">
            <v>43128</v>
          </cell>
        </row>
        <row r="1292">
          <cell r="A1292" t="str">
            <v>IN</v>
          </cell>
          <cell r="D1292">
            <v>43265</v>
          </cell>
        </row>
        <row r="1293">
          <cell r="A1293" t="str">
            <v>GC</v>
          </cell>
          <cell r="D1293">
            <v>43309</v>
          </cell>
        </row>
        <row r="1294">
          <cell r="A1294" t="str">
            <v>IN</v>
          </cell>
          <cell r="D1294">
            <v>43331</v>
          </cell>
        </row>
        <row r="1295">
          <cell r="A1295" t="str">
            <v>IN</v>
          </cell>
          <cell r="D1295">
            <v>43150</v>
          </cell>
        </row>
        <row r="1296">
          <cell r="A1296" t="str">
            <v>ANZ</v>
          </cell>
          <cell r="D1296">
            <v>43424</v>
          </cell>
        </row>
        <row r="1297">
          <cell r="A1297" t="str">
            <v>ANZ</v>
          </cell>
          <cell r="D1297">
            <v>43226</v>
          </cell>
        </row>
        <row r="1298">
          <cell r="A1298" t="str">
            <v>ANZ</v>
          </cell>
          <cell r="D1298">
            <v>43233</v>
          </cell>
        </row>
        <row r="1299">
          <cell r="A1299" t="str">
            <v>ASEAN</v>
          </cell>
          <cell r="D1299">
            <v>43230</v>
          </cell>
        </row>
        <row r="1300">
          <cell r="A1300" t="str">
            <v>KR</v>
          </cell>
          <cell r="D1300">
            <v>43465</v>
          </cell>
        </row>
        <row r="1301">
          <cell r="A1301" t="str">
            <v>IN</v>
          </cell>
          <cell r="D1301">
            <v>43261</v>
          </cell>
        </row>
        <row r="1302">
          <cell r="A1302" t="str">
            <v>IN</v>
          </cell>
          <cell r="D1302">
            <v>43387</v>
          </cell>
        </row>
        <row r="1303">
          <cell r="A1303" t="str">
            <v>IN</v>
          </cell>
          <cell r="D1303">
            <v>43340</v>
          </cell>
        </row>
        <row r="1304">
          <cell r="A1304" t="str">
            <v>KR</v>
          </cell>
          <cell r="D1304">
            <v>43458</v>
          </cell>
        </row>
        <row r="1305">
          <cell r="A1305" t="str">
            <v>IN</v>
          </cell>
          <cell r="D1305">
            <v>43139</v>
          </cell>
        </row>
        <row r="1306">
          <cell r="A1306" t="str">
            <v>IN</v>
          </cell>
          <cell r="D1306">
            <v>43339</v>
          </cell>
        </row>
        <row r="1307">
          <cell r="A1307" t="str">
            <v>IN</v>
          </cell>
          <cell r="D1307">
            <v>43258</v>
          </cell>
        </row>
        <row r="1308">
          <cell r="A1308" t="str">
            <v>KR</v>
          </cell>
          <cell r="D1308">
            <v>43195</v>
          </cell>
        </row>
        <row r="1309">
          <cell r="A1309" t="str">
            <v>ANZ</v>
          </cell>
          <cell r="D1309">
            <v>43458</v>
          </cell>
        </row>
        <row r="1310">
          <cell r="A1310" t="str">
            <v>IN</v>
          </cell>
          <cell r="D1310">
            <v>43114</v>
          </cell>
        </row>
        <row r="1311">
          <cell r="A1311" t="str">
            <v>IN</v>
          </cell>
          <cell r="D1311">
            <v>43461</v>
          </cell>
        </row>
        <row r="1312">
          <cell r="A1312" t="str">
            <v>IN</v>
          </cell>
          <cell r="D1312">
            <v>43109</v>
          </cell>
        </row>
        <row r="1313">
          <cell r="A1313" t="str">
            <v>IN</v>
          </cell>
          <cell r="D1313">
            <v>43395</v>
          </cell>
        </row>
        <row r="1314">
          <cell r="A1314" t="str">
            <v>IN</v>
          </cell>
          <cell r="D1314">
            <v>43174</v>
          </cell>
        </row>
        <row r="1315">
          <cell r="A1315" t="str">
            <v>ASEAN</v>
          </cell>
          <cell r="D1315">
            <v>43392</v>
          </cell>
        </row>
        <row r="1316">
          <cell r="A1316" t="str">
            <v>IN</v>
          </cell>
          <cell r="D1316">
            <v>43337</v>
          </cell>
        </row>
        <row r="1317">
          <cell r="A1317" t="str">
            <v>IN</v>
          </cell>
          <cell r="D1317">
            <v>43264</v>
          </cell>
        </row>
        <row r="1318">
          <cell r="A1318" t="str">
            <v>IN</v>
          </cell>
          <cell r="D1318">
            <v>43134</v>
          </cell>
        </row>
        <row r="1319">
          <cell r="A1319" t="str">
            <v>IN</v>
          </cell>
          <cell r="D1319">
            <v>43135</v>
          </cell>
        </row>
        <row r="1320">
          <cell r="A1320" t="str">
            <v>IN</v>
          </cell>
          <cell r="D1320">
            <v>43441</v>
          </cell>
        </row>
        <row r="1321">
          <cell r="A1321" t="str">
            <v>IN</v>
          </cell>
          <cell r="D1321">
            <v>43104</v>
          </cell>
        </row>
        <row r="1322">
          <cell r="A1322" t="str">
            <v>ASEAN</v>
          </cell>
          <cell r="D1322">
            <v>43158</v>
          </cell>
        </row>
        <row r="1323">
          <cell r="A1323" t="str">
            <v>ASEAN</v>
          </cell>
          <cell r="D1323">
            <v>43163</v>
          </cell>
        </row>
        <row r="1324">
          <cell r="A1324" t="str">
            <v>KR</v>
          </cell>
          <cell r="D1324">
            <v>43135</v>
          </cell>
        </row>
        <row r="1325">
          <cell r="A1325" t="str">
            <v>ASEAN</v>
          </cell>
          <cell r="D1325">
            <v>43295</v>
          </cell>
        </row>
        <row r="1326">
          <cell r="A1326" t="str">
            <v>ANZ</v>
          </cell>
          <cell r="D1326">
            <v>43143</v>
          </cell>
        </row>
        <row r="1327">
          <cell r="A1327" t="str">
            <v>IN</v>
          </cell>
          <cell r="D1327">
            <v>43280</v>
          </cell>
        </row>
        <row r="1328">
          <cell r="A1328" t="str">
            <v>ASEAN</v>
          </cell>
          <cell r="D1328">
            <v>43355</v>
          </cell>
        </row>
        <row r="1329">
          <cell r="A1329" t="str">
            <v>IN</v>
          </cell>
          <cell r="D1329">
            <v>43333</v>
          </cell>
        </row>
        <row r="1330">
          <cell r="A1330" t="str">
            <v>IN</v>
          </cell>
          <cell r="D1330">
            <v>43196</v>
          </cell>
        </row>
        <row r="1331">
          <cell r="A1331" t="str">
            <v>GC</v>
          </cell>
          <cell r="D1331">
            <v>43130</v>
          </cell>
        </row>
        <row r="1332">
          <cell r="A1332" t="str">
            <v>ASEAN</v>
          </cell>
          <cell r="D1332">
            <v>43129</v>
          </cell>
        </row>
        <row r="1333">
          <cell r="A1333" t="str">
            <v>IN</v>
          </cell>
          <cell r="D1333">
            <v>43149</v>
          </cell>
        </row>
        <row r="1334">
          <cell r="A1334" t="str">
            <v>IN</v>
          </cell>
          <cell r="D1334">
            <v>43224</v>
          </cell>
        </row>
        <row r="1335">
          <cell r="A1335" t="str">
            <v>ASEAN</v>
          </cell>
          <cell r="D1335">
            <v>43149</v>
          </cell>
        </row>
        <row r="1336">
          <cell r="A1336" t="str">
            <v>ANZ</v>
          </cell>
          <cell r="D1336">
            <v>43228</v>
          </cell>
        </row>
        <row r="1337">
          <cell r="A1337" t="str">
            <v>ANZ</v>
          </cell>
          <cell r="D1337">
            <v>43211</v>
          </cell>
        </row>
        <row r="1338">
          <cell r="A1338" t="str">
            <v>ANZ</v>
          </cell>
          <cell r="D1338">
            <v>43255</v>
          </cell>
        </row>
        <row r="1339">
          <cell r="A1339" t="str">
            <v>IN</v>
          </cell>
          <cell r="D1339">
            <v>43267</v>
          </cell>
        </row>
        <row r="1340">
          <cell r="A1340" t="str">
            <v>ANZ</v>
          </cell>
          <cell r="D1340">
            <v>43133</v>
          </cell>
        </row>
        <row r="1341">
          <cell r="A1341" t="str">
            <v>ANZ</v>
          </cell>
          <cell r="D1341">
            <v>43117</v>
          </cell>
        </row>
        <row r="1342">
          <cell r="A1342" t="str">
            <v>ANZ</v>
          </cell>
          <cell r="D1342">
            <v>43338</v>
          </cell>
        </row>
        <row r="1343">
          <cell r="A1343" t="str">
            <v>ANZ</v>
          </cell>
          <cell r="D1343">
            <v>43358</v>
          </cell>
        </row>
        <row r="1344">
          <cell r="A1344" t="str">
            <v>ANZ</v>
          </cell>
          <cell r="D1344">
            <v>43373</v>
          </cell>
        </row>
        <row r="1345">
          <cell r="A1345" t="str">
            <v>ANZ</v>
          </cell>
          <cell r="D1345">
            <v>43339</v>
          </cell>
        </row>
        <row r="1346">
          <cell r="A1346" t="str">
            <v>IN</v>
          </cell>
          <cell r="D1346">
            <v>43254</v>
          </cell>
        </row>
        <row r="1347">
          <cell r="A1347" t="str">
            <v>IN</v>
          </cell>
          <cell r="D1347">
            <v>43455</v>
          </cell>
        </row>
        <row r="1348">
          <cell r="A1348" t="str">
            <v>IN</v>
          </cell>
          <cell r="D1348">
            <v>43374</v>
          </cell>
        </row>
        <row r="1349">
          <cell r="A1349" t="str">
            <v>IN</v>
          </cell>
          <cell r="D1349">
            <v>43354</v>
          </cell>
        </row>
        <row r="1350">
          <cell r="A1350" t="str">
            <v>ASEAN</v>
          </cell>
          <cell r="D1350">
            <v>43394</v>
          </cell>
        </row>
        <row r="1351">
          <cell r="A1351" t="str">
            <v>ANZ</v>
          </cell>
          <cell r="D1351">
            <v>43362</v>
          </cell>
        </row>
        <row r="1352">
          <cell r="A1352" t="str">
            <v>ANZ</v>
          </cell>
          <cell r="D1352">
            <v>43255</v>
          </cell>
        </row>
        <row r="1353">
          <cell r="A1353" t="str">
            <v>ANZ</v>
          </cell>
          <cell r="D1353">
            <v>43110</v>
          </cell>
        </row>
        <row r="1354">
          <cell r="A1354" t="str">
            <v>ANZ</v>
          </cell>
          <cell r="D1354">
            <v>43300</v>
          </cell>
        </row>
        <row r="1355">
          <cell r="A1355" t="str">
            <v>IN</v>
          </cell>
          <cell r="D1355">
            <v>43210</v>
          </cell>
        </row>
        <row r="1356">
          <cell r="A1356" t="str">
            <v>IN</v>
          </cell>
          <cell r="D1356">
            <v>43383</v>
          </cell>
        </row>
        <row r="1357">
          <cell r="A1357" t="str">
            <v>GC</v>
          </cell>
          <cell r="D1357">
            <v>43107</v>
          </cell>
        </row>
        <row r="1358">
          <cell r="A1358" t="str">
            <v>IN</v>
          </cell>
          <cell r="D1358">
            <v>43162</v>
          </cell>
        </row>
        <row r="1359">
          <cell r="A1359" t="str">
            <v>IN</v>
          </cell>
          <cell r="D1359">
            <v>43382</v>
          </cell>
        </row>
        <row r="1360">
          <cell r="A1360" t="str">
            <v>KR</v>
          </cell>
          <cell r="D1360">
            <v>43391</v>
          </cell>
        </row>
        <row r="1361">
          <cell r="A1361" t="str">
            <v>ANZ</v>
          </cell>
          <cell r="D1361">
            <v>43172</v>
          </cell>
        </row>
        <row r="1362">
          <cell r="A1362" t="str">
            <v>ASEAN</v>
          </cell>
          <cell r="D1362">
            <v>43377</v>
          </cell>
        </row>
        <row r="1363">
          <cell r="A1363" t="str">
            <v>ASEAN</v>
          </cell>
          <cell r="D1363">
            <v>43382</v>
          </cell>
        </row>
        <row r="1364">
          <cell r="A1364" t="str">
            <v>ASEAN</v>
          </cell>
          <cell r="D1364">
            <v>43386</v>
          </cell>
        </row>
        <row r="1365">
          <cell r="A1365" t="str">
            <v>GC</v>
          </cell>
          <cell r="D1365">
            <v>43439</v>
          </cell>
        </row>
        <row r="1366">
          <cell r="A1366" t="str">
            <v>GC</v>
          </cell>
          <cell r="D1366">
            <v>43167</v>
          </cell>
        </row>
        <row r="1367">
          <cell r="A1367" t="str">
            <v>GC</v>
          </cell>
          <cell r="D1367">
            <v>43317</v>
          </cell>
        </row>
        <row r="1368">
          <cell r="A1368" t="str">
            <v>GC</v>
          </cell>
          <cell r="D1368">
            <v>43381</v>
          </cell>
        </row>
        <row r="1369">
          <cell r="A1369" t="str">
            <v>GC</v>
          </cell>
          <cell r="D1369">
            <v>43267</v>
          </cell>
        </row>
        <row r="1370">
          <cell r="A1370" t="str">
            <v>GC</v>
          </cell>
          <cell r="D1370">
            <v>43360</v>
          </cell>
        </row>
        <row r="1371">
          <cell r="A1371" t="str">
            <v>GC</v>
          </cell>
          <cell r="D1371">
            <v>43353</v>
          </cell>
        </row>
        <row r="1372">
          <cell r="A1372" t="str">
            <v>GC</v>
          </cell>
          <cell r="D1372">
            <v>43253</v>
          </cell>
        </row>
        <row r="1373">
          <cell r="A1373" t="str">
            <v>GC</v>
          </cell>
          <cell r="D1373">
            <v>43115</v>
          </cell>
        </row>
        <row r="1374">
          <cell r="A1374" t="str">
            <v>GC</v>
          </cell>
          <cell r="D1374">
            <v>43207</v>
          </cell>
        </row>
        <row r="1375">
          <cell r="A1375" t="str">
            <v>IN</v>
          </cell>
          <cell r="D1375">
            <v>43320</v>
          </cell>
        </row>
        <row r="1376">
          <cell r="A1376" t="str">
            <v>IN</v>
          </cell>
          <cell r="D1376">
            <v>43308</v>
          </cell>
        </row>
        <row r="1377">
          <cell r="A1377" t="str">
            <v>ANZ</v>
          </cell>
          <cell r="D1377">
            <v>43437</v>
          </cell>
        </row>
        <row r="1378">
          <cell r="A1378" t="str">
            <v>GC</v>
          </cell>
          <cell r="D1378">
            <v>43195</v>
          </cell>
        </row>
        <row r="1379">
          <cell r="A1379" t="str">
            <v>GC</v>
          </cell>
          <cell r="D1379">
            <v>43156</v>
          </cell>
        </row>
        <row r="1380">
          <cell r="A1380" t="str">
            <v>GC</v>
          </cell>
          <cell r="D1380">
            <v>43167</v>
          </cell>
        </row>
        <row r="1381">
          <cell r="A1381" t="str">
            <v>GC</v>
          </cell>
          <cell r="D1381">
            <v>43166</v>
          </cell>
        </row>
        <row r="1382">
          <cell r="A1382" t="str">
            <v>IN</v>
          </cell>
          <cell r="D1382">
            <v>43200</v>
          </cell>
        </row>
        <row r="1383">
          <cell r="A1383" t="str">
            <v>KR</v>
          </cell>
          <cell r="D1383">
            <v>43164</v>
          </cell>
        </row>
        <row r="1384">
          <cell r="A1384" t="str">
            <v>ASEAN</v>
          </cell>
          <cell r="D1384">
            <v>43438</v>
          </cell>
        </row>
        <row r="1385">
          <cell r="A1385" t="str">
            <v>GC</v>
          </cell>
          <cell r="D1385">
            <v>43215</v>
          </cell>
        </row>
        <row r="1386">
          <cell r="A1386" t="str">
            <v>ASEAN</v>
          </cell>
          <cell r="D1386">
            <v>43193</v>
          </cell>
        </row>
        <row r="1387">
          <cell r="A1387" t="str">
            <v>ASEAN</v>
          </cell>
          <cell r="D1387">
            <v>43276</v>
          </cell>
        </row>
        <row r="1388">
          <cell r="A1388" t="str">
            <v>IN</v>
          </cell>
          <cell r="D1388">
            <v>43177</v>
          </cell>
        </row>
        <row r="1389">
          <cell r="A1389" t="str">
            <v>GC</v>
          </cell>
          <cell r="D1389">
            <v>43284</v>
          </cell>
        </row>
        <row r="1390">
          <cell r="A1390" t="str">
            <v>IN</v>
          </cell>
          <cell r="D1390">
            <v>43333</v>
          </cell>
        </row>
        <row r="1391">
          <cell r="A1391" t="str">
            <v>IN</v>
          </cell>
          <cell r="D1391">
            <v>43209</v>
          </cell>
        </row>
        <row r="1392">
          <cell r="A1392" t="str">
            <v>ASEAN</v>
          </cell>
          <cell r="D1392">
            <v>43114</v>
          </cell>
        </row>
        <row r="1393">
          <cell r="A1393" t="str">
            <v>ASEAN</v>
          </cell>
          <cell r="D1393">
            <v>43270</v>
          </cell>
        </row>
        <row r="1394">
          <cell r="A1394" t="str">
            <v>ASEAN</v>
          </cell>
          <cell r="D1394">
            <v>43386</v>
          </cell>
        </row>
        <row r="1395">
          <cell r="A1395" t="str">
            <v>ASEAN</v>
          </cell>
          <cell r="D1395">
            <v>43369</v>
          </cell>
        </row>
        <row r="1396">
          <cell r="A1396" t="str">
            <v>ANZ</v>
          </cell>
          <cell r="D1396">
            <v>43292</v>
          </cell>
        </row>
        <row r="1397">
          <cell r="A1397" t="str">
            <v>GC</v>
          </cell>
          <cell r="D1397">
            <v>43377</v>
          </cell>
        </row>
        <row r="1398">
          <cell r="A1398" t="str">
            <v>IN</v>
          </cell>
          <cell r="D1398">
            <v>43409</v>
          </cell>
        </row>
        <row r="1399">
          <cell r="A1399" t="str">
            <v>ANZ</v>
          </cell>
          <cell r="D1399">
            <v>43282</v>
          </cell>
        </row>
        <row r="1400">
          <cell r="A1400" t="str">
            <v>IN</v>
          </cell>
          <cell r="D1400">
            <v>43127</v>
          </cell>
        </row>
        <row r="1401">
          <cell r="A1401" t="str">
            <v>ANZ</v>
          </cell>
          <cell r="D1401">
            <v>43324</v>
          </cell>
        </row>
        <row r="1402">
          <cell r="A1402" t="str">
            <v>ANZ</v>
          </cell>
          <cell r="D1402">
            <v>43207</v>
          </cell>
        </row>
        <row r="1403">
          <cell r="A1403" t="str">
            <v>IN</v>
          </cell>
          <cell r="D1403">
            <v>43108</v>
          </cell>
        </row>
        <row r="1404">
          <cell r="A1404" t="str">
            <v>IN</v>
          </cell>
          <cell r="D1404">
            <v>43465</v>
          </cell>
        </row>
        <row r="1405">
          <cell r="A1405" t="str">
            <v>IN</v>
          </cell>
          <cell r="D1405">
            <v>43441</v>
          </cell>
        </row>
        <row r="1406">
          <cell r="A1406" t="str">
            <v>ASEAN</v>
          </cell>
          <cell r="D1406">
            <v>43265</v>
          </cell>
        </row>
        <row r="1407">
          <cell r="A1407" t="str">
            <v>ANZ</v>
          </cell>
          <cell r="D1407">
            <v>43251</v>
          </cell>
        </row>
        <row r="1408">
          <cell r="A1408" t="str">
            <v>KR</v>
          </cell>
          <cell r="D1408">
            <v>43345</v>
          </cell>
        </row>
        <row r="1409">
          <cell r="A1409" t="str">
            <v>ANZ</v>
          </cell>
          <cell r="D1409">
            <v>43324</v>
          </cell>
        </row>
        <row r="1410">
          <cell r="A1410" t="str">
            <v>KR</v>
          </cell>
          <cell r="D1410">
            <v>43420</v>
          </cell>
        </row>
        <row r="1411">
          <cell r="A1411" t="str">
            <v>GC</v>
          </cell>
          <cell r="D1411">
            <v>43361</v>
          </cell>
        </row>
        <row r="1412">
          <cell r="A1412" t="str">
            <v>GC</v>
          </cell>
          <cell r="D1412">
            <v>43422</v>
          </cell>
        </row>
        <row r="1413">
          <cell r="A1413" t="str">
            <v>ASEAN</v>
          </cell>
          <cell r="D1413">
            <v>43408</v>
          </cell>
        </row>
        <row r="1414">
          <cell r="A1414" t="str">
            <v>ASEAN</v>
          </cell>
          <cell r="D1414">
            <v>43165</v>
          </cell>
        </row>
        <row r="1415">
          <cell r="A1415" t="str">
            <v>KR</v>
          </cell>
          <cell r="D1415">
            <v>43366</v>
          </cell>
        </row>
        <row r="1416">
          <cell r="A1416" t="str">
            <v>KR</v>
          </cell>
          <cell r="D1416">
            <v>43309</v>
          </cell>
        </row>
        <row r="1417">
          <cell r="A1417" t="str">
            <v>ASEAN</v>
          </cell>
          <cell r="D1417">
            <v>43283</v>
          </cell>
        </row>
        <row r="1418">
          <cell r="A1418" t="str">
            <v>IN</v>
          </cell>
          <cell r="D1418">
            <v>43302</v>
          </cell>
        </row>
        <row r="1419">
          <cell r="A1419" t="str">
            <v>ASEAN</v>
          </cell>
          <cell r="D1419">
            <v>43343</v>
          </cell>
        </row>
        <row r="1420">
          <cell r="A1420" t="str">
            <v>ASEAN</v>
          </cell>
          <cell r="D1420">
            <v>43131</v>
          </cell>
        </row>
        <row r="1421">
          <cell r="A1421" t="str">
            <v>ANZ</v>
          </cell>
          <cell r="D1421">
            <v>43411</v>
          </cell>
        </row>
        <row r="1422">
          <cell r="A1422" t="str">
            <v>KR</v>
          </cell>
          <cell r="D1422">
            <v>43238</v>
          </cell>
        </row>
        <row r="1423">
          <cell r="A1423" t="str">
            <v>IN</v>
          </cell>
          <cell r="D1423">
            <v>43406</v>
          </cell>
        </row>
        <row r="1424">
          <cell r="A1424" t="str">
            <v>GC</v>
          </cell>
          <cell r="D1424">
            <v>43364</v>
          </cell>
        </row>
        <row r="1425">
          <cell r="A1425" t="str">
            <v>ASEAN</v>
          </cell>
          <cell r="D1425">
            <v>43130</v>
          </cell>
        </row>
        <row r="1426">
          <cell r="A1426" t="str">
            <v>ASEAN</v>
          </cell>
          <cell r="D1426">
            <v>43250</v>
          </cell>
        </row>
        <row r="1427">
          <cell r="A1427" t="str">
            <v>IN</v>
          </cell>
          <cell r="D1427">
            <v>43416</v>
          </cell>
        </row>
        <row r="1428">
          <cell r="A1428" t="str">
            <v>IN</v>
          </cell>
          <cell r="D1428">
            <v>43171</v>
          </cell>
        </row>
        <row r="1429">
          <cell r="A1429" t="str">
            <v>ASEAN</v>
          </cell>
          <cell r="D1429">
            <v>43426</v>
          </cell>
        </row>
        <row r="1430">
          <cell r="A1430" t="str">
            <v>GC</v>
          </cell>
          <cell r="D1430">
            <v>43448</v>
          </cell>
        </row>
        <row r="1431">
          <cell r="A1431" t="str">
            <v>GC</v>
          </cell>
          <cell r="D1431">
            <v>43262</v>
          </cell>
        </row>
        <row r="1432">
          <cell r="A1432" t="str">
            <v>GC</v>
          </cell>
          <cell r="D1432">
            <v>43277</v>
          </cell>
        </row>
        <row r="1433">
          <cell r="A1433" t="str">
            <v>IN</v>
          </cell>
          <cell r="D1433">
            <v>43146</v>
          </cell>
        </row>
        <row r="1434">
          <cell r="A1434" t="str">
            <v>GC</v>
          </cell>
          <cell r="D1434">
            <v>43149</v>
          </cell>
        </row>
        <row r="1435">
          <cell r="A1435" t="str">
            <v>KR</v>
          </cell>
          <cell r="D1435">
            <v>43134</v>
          </cell>
        </row>
        <row r="1436">
          <cell r="A1436" t="str">
            <v>ASEAN</v>
          </cell>
          <cell r="D1436">
            <v>43305</v>
          </cell>
        </row>
        <row r="1437">
          <cell r="A1437" t="str">
            <v>GC</v>
          </cell>
          <cell r="D1437">
            <v>43172</v>
          </cell>
        </row>
        <row r="1438">
          <cell r="A1438" t="str">
            <v>ASEAN</v>
          </cell>
          <cell r="D1438">
            <v>43398</v>
          </cell>
        </row>
        <row r="1439">
          <cell r="A1439" t="str">
            <v>IN</v>
          </cell>
          <cell r="D1439">
            <v>43421</v>
          </cell>
        </row>
        <row r="1440">
          <cell r="A1440" t="str">
            <v>ASEAN</v>
          </cell>
          <cell r="D1440">
            <v>43310</v>
          </cell>
        </row>
        <row r="1441">
          <cell r="A1441" t="str">
            <v>ANZ</v>
          </cell>
          <cell r="D1441">
            <v>43462</v>
          </cell>
        </row>
        <row r="1442">
          <cell r="A1442" t="str">
            <v>ANZ</v>
          </cell>
          <cell r="D1442">
            <v>43289</v>
          </cell>
        </row>
        <row r="1443">
          <cell r="A1443" t="str">
            <v>ASEAN</v>
          </cell>
          <cell r="D1443">
            <v>43458</v>
          </cell>
        </row>
        <row r="1444">
          <cell r="A1444" t="str">
            <v>ANZ</v>
          </cell>
          <cell r="D1444">
            <v>43188</v>
          </cell>
        </row>
        <row r="1445">
          <cell r="A1445" t="str">
            <v>ANZ</v>
          </cell>
          <cell r="D1445">
            <v>43327</v>
          </cell>
        </row>
        <row r="1446">
          <cell r="A1446" t="str">
            <v>ASEAN</v>
          </cell>
          <cell r="D1446">
            <v>43130</v>
          </cell>
        </row>
        <row r="1447">
          <cell r="A1447" t="str">
            <v>GC</v>
          </cell>
          <cell r="D1447">
            <v>43400</v>
          </cell>
        </row>
        <row r="1448">
          <cell r="A1448" t="str">
            <v>ASEAN</v>
          </cell>
          <cell r="D1448">
            <v>43446</v>
          </cell>
        </row>
        <row r="1449">
          <cell r="A1449" t="str">
            <v>GC</v>
          </cell>
          <cell r="D1449">
            <v>43356</v>
          </cell>
        </row>
        <row r="1450">
          <cell r="A1450" t="str">
            <v>IN</v>
          </cell>
          <cell r="D1450">
            <v>43278</v>
          </cell>
        </row>
        <row r="1451">
          <cell r="A1451" t="str">
            <v>IN</v>
          </cell>
          <cell r="D1451">
            <v>43185</v>
          </cell>
        </row>
        <row r="1452">
          <cell r="A1452" t="str">
            <v>ANZ</v>
          </cell>
          <cell r="D1452">
            <v>43430</v>
          </cell>
        </row>
        <row r="1453">
          <cell r="A1453" t="str">
            <v>ANZ</v>
          </cell>
          <cell r="D1453">
            <v>43201</v>
          </cell>
        </row>
        <row r="1454">
          <cell r="A1454" t="str">
            <v>ANZ</v>
          </cell>
          <cell r="D1454">
            <v>43232</v>
          </cell>
        </row>
        <row r="1455">
          <cell r="A1455" t="str">
            <v>GC</v>
          </cell>
          <cell r="D1455">
            <v>43294</v>
          </cell>
        </row>
        <row r="1456">
          <cell r="A1456" t="str">
            <v>GC</v>
          </cell>
          <cell r="D1456">
            <v>43313</v>
          </cell>
        </row>
        <row r="1457">
          <cell r="A1457" t="str">
            <v>IN</v>
          </cell>
          <cell r="D1457">
            <v>43378</v>
          </cell>
        </row>
        <row r="1458">
          <cell r="A1458" t="str">
            <v>ANZ</v>
          </cell>
          <cell r="D1458">
            <v>43283</v>
          </cell>
        </row>
        <row r="1459">
          <cell r="A1459" t="str">
            <v>IN</v>
          </cell>
          <cell r="D1459">
            <v>43241</v>
          </cell>
        </row>
        <row r="1460">
          <cell r="A1460" t="str">
            <v>ASEAN</v>
          </cell>
          <cell r="D1460">
            <v>43406</v>
          </cell>
        </row>
        <row r="1461">
          <cell r="A1461" t="str">
            <v>GC</v>
          </cell>
          <cell r="D1461">
            <v>43256</v>
          </cell>
        </row>
        <row r="1462">
          <cell r="A1462" t="str">
            <v>IN</v>
          </cell>
          <cell r="D1462">
            <v>43132</v>
          </cell>
        </row>
        <row r="1463">
          <cell r="A1463" t="str">
            <v>KR</v>
          </cell>
          <cell r="D1463">
            <v>43438</v>
          </cell>
        </row>
        <row r="1464">
          <cell r="A1464" t="str">
            <v>ASEAN</v>
          </cell>
          <cell r="D1464">
            <v>43357</v>
          </cell>
        </row>
        <row r="1465">
          <cell r="A1465" t="str">
            <v>ANZ</v>
          </cell>
          <cell r="D1465">
            <v>43394</v>
          </cell>
        </row>
        <row r="1466">
          <cell r="A1466" t="str">
            <v>GC</v>
          </cell>
          <cell r="D1466">
            <v>43114</v>
          </cell>
        </row>
        <row r="1467">
          <cell r="A1467" t="str">
            <v>ASEAN</v>
          </cell>
          <cell r="D1467">
            <v>43301</v>
          </cell>
        </row>
        <row r="1468">
          <cell r="A1468" t="str">
            <v>IN</v>
          </cell>
          <cell r="D1468">
            <v>43119</v>
          </cell>
        </row>
        <row r="1469">
          <cell r="A1469" t="str">
            <v>KR</v>
          </cell>
          <cell r="D1469">
            <v>43280</v>
          </cell>
        </row>
        <row r="1470">
          <cell r="A1470" t="str">
            <v>GC</v>
          </cell>
          <cell r="D1470">
            <v>43368</v>
          </cell>
        </row>
        <row r="1471">
          <cell r="A1471" t="str">
            <v>GC</v>
          </cell>
          <cell r="D1471">
            <v>43459</v>
          </cell>
        </row>
        <row r="1472">
          <cell r="A1472" t="str">
            <v>GC</v>
          </cell>
          <cell r="D1472">
            <v>43112</v>
          </cell>
        </row>
        <row r="1473">
          <cell r="A1473" t="str">
            <v>GC</v>
          </cell>
          <cell r="D1473">
            <v>43301</v>
          </cell>
        </row>
        <row r="1474">
          <cell r="A1474" t="str">
            <v>GC</v>
          </cell>
          <cell r="D1474">
            <v>43176</v>
          </cell>
        </row>
        <row r="1475">
          <cell r="A1475" t="str">
            <v>ASEAN</v>
          </cell>
          <cell r="D1475">
            <v>43256</v>
          </cell>
        </row>
        <row r="1476">
          <cell r="A1476" t="str">
            <v>ANZ</v>
          </cell>
          <cell r="D1476">
            <v>43122</v>
          </cell>
        </row>
        <row r="1477">
          <cell r="A1477" t="str">
            <v>GC</v>
          </cell>
          <cell r="D1477">
            <v>43125</v>
          </cell>
        </row>
        <row r="1478">
          <cell r="A1478" t="str">
            <v>ASEAN</v>
          </cell>
          <cell r="D1478">
            <v>43281</v>
          </cell>
        </row>
        <row r="1479">
          <cell r="A1479" t="str">
            <v>ASEAN</v>
          </cell>
          <cell r="D1479">
            <v>43395</v>
          </cell>
        </row>
        <row r="1480">
          <cell r="A1480" t="str">
            <v>GC</v>
          </cell>
          <cell r="D1480">
            <v>43391</v>
          </cell>
        </row>
        <row r="1481">
          <cell r="A1481" t="str">
            <v>ASEAN</v>
          </cell>
          <cell r="D1481">
            <v>43461</v>
          </cell>
        </row>
        <row r="1482">
          <cell r="A1482" t="str">
            <v>GC</v>
          </cell>
          <cell r="D1482">
            <v>43449</v>
          </cell>
        </row>
        <row r="1483">
          <cell r="A1483" t="str">
            <v>ANZ</v>
          </cell>
          <cell r="D1483">
            <v>43351</v>
          </cell>
        </row>
        <row r="1484">
          <cell r="A1484" t="str">
            <v>ASEAN</v>
          </cell>
          <cell r="D1484">
            <v>43119</v>
          </cell>
        </row>
        <row r="1485">
          <cell r="A1485" t="str">
            <v>GC</v>
          </cell>
          <cell r="D1485">
            <v>43409</v>
          </cell>
        </row>
        <row r="1486">
          <cell r="A1486" t="str">
            <v>GC</v>
          </cell>
          <cell r="D1486">
            <v>43330</v>
          </cell>
        </row>
        <row r="1487">
          <cell r="A1487" t="str">
            <v>IN</v>
          </cell>
          <cell r="D1487">
            <v>43296</v>
          </cell>
        </row>
        <row r="1488">
          <cell r="A1488" t="str">
            <v>IN</v>
          </cell>
          <cell r="D1488">
            <v>43143</v>
          </cell>
        </row>
        <row r="1489">
          <cell r="A1489" t="str">
            <v>ASEAN</v>
          </cell>
          <cell r="D1489">
            <v>43274</v>
          </cell>
        </row>
        <row r="1490">
          <cell r="A1490" t="str">
            <v>GC</v>
          </cell>
          <cell r="D1490">
            <v>43310</v>
          </cell>
        </row>
        <row r="1491">
          <cell r="A1491" t="str">
            <v>GC</v>
          </cell>
          <cell r="D1491">
            <v>43304</v>
          </cell>
        </row>
        <row r="1492">
          <cell r="A1492" t="str">
            <v>IN</v>
          </cell>
          <cell r="D1492">
            <v>43114</v>
          </cell>
        </row>
        <row r="1493">
          <cell r="A1493" t="str">
            <v>ANZ</v>
          </cell>
          <cell r="D1493">
            <v>43389</v>
          </cell>
        </row>
        <row r="1494">
          <cell r="A1494" t="str">
            <v>GC</v>
          </cell>
          <cell r="D1494">
            <v>43130</v>
          </cell>
        </row>
        <row r="1495">
          <cell r="A1495" t="str">
            <v>ASEAN</v>
          </cell>
          <cell r="D1495">
            <v>43153</v>
          </cell>
        </row>
        <row r="1496">
          <cell r="A1496" t="str">
            <v>IN</v>
          </cell>
          <cell r="D1496">
            <v>43296</v>
          </cell>
        </row>
        <row r="1497">
          <cell r="A1497" t="str">
            <v>IN</v>
          </cell>
          <cell r="D1497">
            <v>43397</v>
          </cell>
        </row>
        <row r="1498">
          <cell r="A1498" t="str">
            <v>IN</v>
          </cell>
          <cell r="D1498">
            <v>43404</v>
          </cell>
        </row>
        <row r="1499">
          <cell r="A1499" t="str">
            <v>IN</v>
          </cell>
          <cell r="D1499">
            <v>43278</v>
          </cell>
        </row>
        <row r="1500">
          <cell r="A1500" t="str">
            <v>GC</v>
          </cell>
          <cell r="D1500">
            <v>43363</v>
          </cell>
        </row>
        <row r="1501">
          <cell r="A1501" t="str">
            <v>GC</v>
          </cell>
          <cell r="D1501">
            <v>43338</v>
          </cell>
        </row>
        <row r="1502">
          <cell r="A1502" t="str">
            <v>IN</v>
          </cell>
          <cell r="D1502">
            <v>43399</v>
          </cell>
        </row>
        <row r="1503">
          <cell r="A1503" t="str">
            <v>IN</v>
          </cell>
          <cell r="D1503">
            <v>43349</v>
          </cell>
        </row>
        <row r="1504">
          <cell r="A1504" t="str">
            <v>IN</v>
          </cell>
          <cell r="D1504">
            <v>43297</v>
          </cell>
        </row>
        <row r="1505">
          <cell r="A1505" t="str">
            <v>GC</v>
          </cell>
          <cell r="D1505">
            <v>43286</v>
          </cell>
        </row>
        <row r="1506">
          <cell r="A1506" t="str">
            <v>GC</v>
          </cell>
          <cell r="D1506">
            <v>43236</v>
          </cell>
        </row>
        <row r="1507">
          <cell r="A1507" t="str">
            <v>GC</v>
          </cell>
          <cell r="D1507">
            <v>43412</v>
          </cell>
        </row>
        <row r="1508">
          <cell r="A1508" t="str">
            <v>ASEAN</v>
          </cell>
          <cell r="D1508">
            <v>43376</v>
          </cell>
        </row>
        <row r="1509">
          <cell r="A1509" t="str">
            <v>GC</v>
          </cell>
          <cell r="D1509">
            <v>43295</v>
          </cell>
        </row>
        <row r="1510">
          <cell r="A1510" t="str">
            <v>IN</v>
          </cell>
          <cell r="D1510">
            <v>43189</v>
          </cell>
        </row>
        <row r="1511">
          <cell r="A1511" t="str">
            <v>GC</v>
          </cell>
          <cell r="D1511">
            <v>43310</v>
          </cell>
        </row>
        <row r="1512">
          <cell r="A1512" t="str">
            <v>ASEAN</v>
          </cell>
          <cell r="D1512">
            <v>43349</v>
          </cell>
        </row>
        <row r="1513">
          <cell r="A1513" t="str">
            <v>ASEAN</v>
          </cell>
          <cell r="D1513">
            <v>43404</v>
          </cell>
        </row>
        <row r="1514">
          <cell r="A1514" t="str">
            <v>ANZ</v>
          </cell>
          <cell r="D1514">
            <v>43394</v>
          </cell>
        </row>
        <row r="1515">
          <cell r="A1515" t="str">
            <v>ASEAN</v>
          </cell>
          <cell r="D1515">
            <v>43368</v>
          </cell>
        </row>
        <row r="1516">
          <cell r="A1516" t="str">
            <v>ANZ</v>
          </cell>
          <cell r="D1516">
            <v>43356</v>
          </cell>
        </row>
        <row r="1517">
          <cell r="A1517" t="str">
            <v>ANZ</v>
          </cell>
          <cell r="D1517">
            <v>43149</v>
          </cell>
        </row>
        <row r="1518">
          <cell r="A1518" t="str">
            <v>IN</v>
          </cell>
          <cell r="D1518">
            <v>43137</v>
          </cell>
        </row>
        <row r="1519">
          <cell r="A1519" t="str">
            <v>ANZ</v>
          </cell>
          <cell r="D1519">
            <v>43138</v>
          </cell>
        </row>
        <row r="1520">
          <cell r="A1520" t="str">
            <v>GC</v>
          </cell>
          <cell r="D1520">
            <v>43143</v>
          </cell>
        </row>
        <row r="1521">
          <cell r="A1521" t="str">
            <v>ANZ</v>
          </cell>
          <cell r="D1521">
            <v>43211</v>
          </cell>
        </row>
        <row r="1522">
          <cell r="A1522" t="str">
            <v>GC</v>
          </cell>
          <cell r="D1522">
            <v>43377</v>
          </cell>
        </row>
        <row r="1523">
          <cell r="A1523" t="str">
            <v>GC</v>
          </cell>
          <cell r="D1523">
            <v>43195</v>
          </cell>
        </row>
        <row r="1524">
          <cell r="A1524" t="str">
            <v>GC</v>
          </cell>
          <cell r="D1524">
            <v>43458</v>
          </cell>
        </row>
        <row r="1525">
          <cell r="A1525" t="str">
            <v>IN</v>
          </cell>
          <cell r="D1525">
            <v>43465</v>
          </cell>
        </row>
        <row r="1526">
          <cell r="A1526" t="str">
            <v>GC</v>
          </cell>
          <cell r="D1526">
            <v>43438</v>
          </cell>
        </row>
        <row r="1527">
          <cell r="A1527" t="str">
            <v>ANZ</v>
          </cell>
          <cell r="D1527">
            <v>43202</v>
          </cell>
        </row>
        <row r="1528">
          <cell r="A1528" t="str">
            <v>GC</v>
          </cell>
          <cell r="D1528">
            <v>43240</v>
          </cell>
        </row>
        <row r="1529">
          <cell r="A1529" t="str">
            <v>ASEAN</v>
          </cell>
          <cell r="D1529">
            <v>43344</v>
          </cell>
        </row>
        <row r="1530">
          <cell r="A1530" t="str">
            <v>GC</v>
          </cell>
          <cell r="D1530">
            <v>43448</v>
          </cell>
        </row>
        <row r="1531">
          <cell r="A1531" t="str">
            <v>IN</v>
          </cell>
          <cell r="D1531">
            <v>43465</v>
          </cell>
        </row>
        <row r="1532">
          <cell r="A1532" t="str">
            <v>GC</v>
          </cell>
          <cell r="D1532">
            <v>43101</v>
          </cell>
        </row>
        <row r="1533">
          <cell r="A1533" t="str">
            <v>GC</v>
          </cell>
          <cell r="D1533">
            <v>43396</v>
          </cell>
        </row>
        <row r="1534">
          <cell r="A1534" t="str">
            <v>GC</v>
          </cell>
          <cell r="D1534">
            <v>43404</v>
          </cell>
        </row>
        <row r="1535">
          <cell r="A1535" t="str">
            <v>GC</v>
          </cell>
          <cell r="D1535">
            <v>43425</v>
          </cell>
        </row>
        <row r="1536">
          <cell r="A1536" t="str">
            <v>ASEAN</v>
          </cell>
          <cell r="D1536">
            <v>43382</v>
          </cell>
        </row>
        <row r="1537">
          <cell r="A1537" t="str">
            <v>GC</v>
          </cell>
          <cell r="D1537">
            <v>43233</v>
          </cell>
        </row>
        <row r="1538">
          <cell r="A1538" t="str">
            <v>IN</v>
          </cell>
          <cell r="D1538">
            <v>43340</v>
          </cell>
        </row>
        <row r="1539">
          <cell r="A1539" t="str">
            <v>GC</v>
          </cell>
          <cell r="D1539">
            <v>43217</v>
          </cell>
        </row>
        <row r="1540">
          <cell r="A1540" t="str">
            <v>IN</v>
          </cell>
          <cell r="D1540">
            <v>43420</v>
          </cell>
        </row>
        <row r="1541">
          <cell r="A1541" t="str">
            <v>GC</v>
          </cell>
          <cell r="D1541">
            <v>43426</v>
          </cell>
        </row>
        <row r="1542">
          <cell r="A1542" t="str">
            <v>IN</v>
          </cell>
          <cell r="D1542">
            <v>43278</v>
          </cell>
        </row>
        <row r="1543">
          <cell r="A1543" t="str">
            <v>IN</v>
          </cell>
          <cell r="D1543">
            <v>43190</v>
          </cell>
        </row>
        <row r="1544">
          <cell r="A1544" t="str">
            <v>ASEAN</v>
          </cell>
          <cell r="D1544">
            <v>43124</v>
          </cell>
        </row>
        <row r="1545">
          <cell r="A1545" t="str">
            <v>ANZ</v>
          </cell>
          <cell r="D1545">
            <v>43169</v>
          </cell>
        </row>
        <row r="1546">
          <cell r="A1546" t="str">
            <v>IN</v>
          </cell>
          <cell r="D1546">
            <v>43306</v>
          </cell>
        </row>
        <row r="1547">
          <cell r="A1547" t="str">
            <v>ANZ</v>
          </cell>
          <cell r="D1547">
            <v>43287</v>
          </cell>
        </row>
        <row r="1548">
          <cell r="A1548" t="str">
            <v>ASEAN</v>
          </cell>
          <cell r="D1548">
            <v>43384</v>
          </cell>
        </row>
        <row r="1549">
          <cell r="A1549" t="str">
            <v>ASEAN</v>
          </cell>
          <cell r="D1549">
            <v>43292</v>
          </cell>
        </row>
        <row r="1550">
          <cell r="A1550" t="str">
            <v>GC</v>
          </cell>
          <cell r="D1550">
            <v>43152</v>
          </cell>
        </row>
        <row r="1551">
          <cell r="A1551" t="str">
            <v>GC</v>
          </cell>
          <cell r="D1551">
            <v>43291</v>
          </cell>
        </row>
        <row r="1552">
          <cell r="A1552" t="str">
            <v>GC</v>
          </cell>
          <cell r="D1552">
            <v>43390</v>
          </cell>
        </row>
        <row r="1553">
          <cell r="A1553" t="str">
            <v>GC</v>
          </cell>
          <cell r="D1553">
            <v>43266</v>
          </cell>
        </row>
        <row r="1554">
          <cell r="A1554" t="str">
            <v>GC</v>
          </cell>
          <cell r="D1554">
            <v>43268</v>
          </cell>
        </row>
        <row r="1555">
          <cell r="A1555" t="str">
            <v>GC</v>
          </cell>
          <cell r="D1555">
            <v>43356</v>
          </cell>
        </row>
        <row r="1556">
          <cell r="A1556" t="str">
            <v>GC</v>
          </cell>
          <cell r="D1556">
            <v>43407</v>
          </cell>
        </row>
        <row r="1557">
          <cell r="A1557" t="str">
            <v>GC</v>
          </cell>
          <cell r="D1557">
            <v>43245</v>
          </cell>
        </row>
        <row r="1558">
          <cell r="A1558" t="str">
            <v>GC</v>
          </cell>
          <cell r="D1558">
            <v>43361</v>
          </cell>
        </row>
        <row r="1559">
          <cell r="A1559" t="str">
            <v>KR</v>
          </cell>
          <cell r="D1559">
            <v>43307</v>
          </cell>
        </row>
        <row r="1560">
          <cell r="A1560" t="str">
            <v>IN</v>
          </cell>
          <cell r="D1560">
            <v>43149</v>
          </cell>
        </row>
        <row r="1561">
          <cell r="A1561" t="str">
            <v>GC</v>
          </cell>
          <cell r="D1561">
            <v>43199</v>
          </cell>
        </row>
        <row r="1562">
          <cell r="A1562" t="str">
            <v>ANZ</v>
          </cell>
          <cell r="D1562">
            <v>43103</v>
          </cell>
        </row>
        <row r="1563">
          <cell r="A1563" t="str">
            <v>IN</v>
          </cell>
          <cell r="D1563">
            <v>43414</v>
          </cell>
        </row>
        <row r="1564">
          <cell r="A1564" t="str">
            <v>IN</v>
          </cell>
          <cell r="D1564">
            <v>43164</v>
          </cell>
        </row>
        <row r="1565">
          <cell r="A1565" t="str">
            <v>IN</v>
          </cell>
          <cell r="D1565">
            <v>43243</v>
          </cell>
        </row>
        <row r="1566">
          <cell r="A1566" t="str">
            <v>IN</v>
          </cell>
          <cell r="D1566">
            <v>43365</v>
          </cell>
        </row>
        <row r="1567">
          <cell r="A1567" t="str">
            <v>GC</v>
          </cell>
          <cell r="D1567">
            <v>43111</v>
          </cell>
        </row>
        <row r="1568">
          <cell r="A1568" t="str">
            <v>GC</v>
          </cell>
          <cell r="D1568">
            <v>43375</v>
          </cell>
        </row>
        <row r="1569">
          <cell r="A1569" t="str">
            <v>GC</v>
          </cell>
          <cell r="D1569">
            <v>43131</v>
          </cell>
        </row>
        <row r="1570">
          <cell r="A1570" t="str">
            <v>IN</v>
          </cell>
          <cell r="D1570">
            <v>43121</v>
          </cell>
        </row>
        <row r="1571">
          <cell r="A1571" t="str">
            <v>GC</v>
          </cell>
          <cell r="D1571">
            <v>43181</v>
          </cell>
        </row>
        <row r="1572">
          <cell r="A1572" t="str">
            <v>GC</v>
          </cell>
          <cell r="D1572">
            <v>43404</v>
          </cell>
        </row>
        <row r="1573">
          <cell r="A1573" t="str">
            <v>GC</v>
          </cell>
          <cell r="D1573">
            <v>43438</v>
          </cell>
        </row>
        <row r="1574">
          <cell r="A1574" t="str">
            <v>GC</v>
          </cell>
          <cell r="D1574">
            <v>43449</v>
          </cell>
        </row>
        <row r="1575">
          <cell r="A1575" t="str">
            <v>IN</v>
          </cell>
          <cell r="D1575">
            <v>43203</v>
          </cell>
        </row>
        <row r="1576">
          <cell r="A1576" t="str">
            <v>IN</v>
          </cell>
          <cell r="D1576">
            <v>43453</v>
          </cell>
        </row>
        <row r="1577">
          <cell r="A1577" t="str">
            <v>GC</v>
          </cell>
          <cell r="D1577">
            <v>43444</v>
          </cell>
        </row>
        <row r="1578">
          <cell r="A1578" t="str">
            <v>ASEAN</v>
          </cell>
          <cell r="D1578">
            <v>43325</v>
          </cell>
        </row>
        <row r="1579">
          <cell r="A1579" t="str">
            <v>GC</v>
          </cell>
          <cell r="D1579">
            <v>43218</v>
          </cell>
        </row>
        <row r="1580">
          <cell r="A1580" t="str">
            <v>IN</v>
          </cell>
          <cell r="D1580">
            <v>43448</v>
          </cell>
        </row>
        <row r="1581">
          <cell r="A1581" t="str">
            <v>GC</v>
          </cell>
          <cell r="D1581">
            <v>43119</v>
          </cell>
        </row>
        <row r="1582">
          <cell r="A1582" t="str">
            <v>ASEAN</v>
          </cell>
          <cell r="D1582">
            <v>43183</v>
          </cell>
        </row>
        <row r="1583">
          <cell r="A1583" t="str">
            <v>GC</v>
          </cell>
          <cell r="D1583">
            <v>43346</v>
          </cell>
        </row>
        <row r="1584">
          <cell r="A1584" t="str">
            <v>GC</v>
          </cell>
          <cell r="D1584">
            <v>43399</v>
          </cell>
        </row>
        <row r="1585">
          <cell r="A1585" t="str">
            <v>GC</v>
          </cell>
          <cell r="D1585">
            <v>43124</v>
          </cell>
        </row>
        <row r="1586">
          <cell r="A1586" t="str">
            <v>KR</v>
          </cell>
          <cell r="D1586">
            <v>43112</v>
          </cell>
        </row>
        <row r="1587">
          <cell r="A1587" t="str">
            <v>IN</v>
          </cell>
          <cell r="D1587">
            <v>43265</v>
          </cell>
        </row>
        <row r="1588">
          <cell r="A1588" t="str">
            <v>ANZ</v>
          </cell>
          <cell r="D1588">
            <v>43200</v>
          </cell>
        </row>
        <row r="1589">
          <cell r="A1589" t="str">
            <v>GC</v>
          </cell>
          <cell r="D1589">
            <v>43123</v>
          </cell>
        </row>
        <row r="1590">
          <cell r="A1590" t="str">
            <v>ASEAN</v>
          </cell>
          <cell r="D1590">
            <v>43345</v>
          </cell>
        </row>
        <row r="1591">
          <cell r="A1591" t="str">
            <v>GC</v>
          </cell>
          <cell r="D1591">
            <v>43314</v>
          </cell>
        </row>
        <row r="1592">
          <cell r="A1592" t="str">
            <v>IN</v>
          </cell>
          <cell r="D1592">
            <v>43192</v>
          </cell>
        </row>
        <row r="1593">
          <cell r="A1593" t="str">
            <v>ANZ</v>
          </cell>
          <cell r="D1593">
            <v>43143</v>
          </cell>
        </row>
        <row r="1594">
          <cell r="A1594" t="str">
            <v>ANZ</v>
          </cell>
          <cell r="D1594">
            <v>43406</v>
          </cell>
        </row>
        <row r="1595">
          <cell r="A1595" t="str">
            <v>ANZ</v>
          </cell>
          <cell r="D1595">
            <v>43168</v>
          </cell>
        </row>
        <row r="1596">
          <cell r="A1596" t="str">
            <v>ANZ</v>
          </cell>
          <cell r="D1596">
            <v>43156</v>
          </cell>
        </row>
        <row r="1597">
          <cell r="A1597" t="str">
            <v>GC</v>
          </cell>
          <cell r="D1597">
            <v>43226</v>
          </cell>
        </row>
        <row r="1598">
          <cell r="A1598" t="str">
            <v>ANZ</v>
          </cell>
          <cell r="D1598">
            <v>43185</v>
          </cell>
        </row>
        <row r="1599">
          <cell r="A1599" t="str">
            <v>ASEAN</v>
          </cell>
          <cell r="D1599">
            <v>43354</v>
          </cell>
        </row>
        <row r="1600">
          <cell r="A1600" t="str">
            <v>KR</v>
          </cell>
          <cell r="D1600">
            <v>43254</v>
          </cell>
        </row>
        <row r="1601">
          <cell r="A1601" t="str">
            <v>IN</v>
          </cell>
          <cell r="D1601">
            <v>43152</v>
          </cell>
        </row>
        <row r="1602">
          <cell r="A1602" t="str">
            <v>GC</v>
          </cell>
          <cell r="D1602">
            <v>43384</v>
          </cell>
        </row>
        <row r="1603">
          <cell r="A1603" t="str">
            <v>GC</v>
          </cell>
          <cell r="D1603">
            <v>43277</v>
          </cell>
        </row>
        <row r="1604">
          <cell r="A1604" t="str">
            <v>GC</v>
          </cell>
          <cell r="D1604">
            <v>43414</v>
          </cell>
        </row>
        <row r="1605">
          <cell r="A1605" t="str">
            <v>GC</v>
          </cell>
          <cell r="D1605">
            <v>43192</v>
          </cell>
        </row>
        <row r="1606">
          <cell r="A1606" t="str">
            <v>GC</v>
          </cell>
          <cell r="D1606">
            <v>43225</v>
          </cell>
        </row>
        <row r="1607">
          <cell r="A1607" t="str">
            <v>GC</v>
          </cell>
          <cell r="D1607">
            <v>43319</v>
          </cell>
        </row>
        <row r="1608">
          <cell r="A1608" t="str">
            <v>KR</v>
          </cell>
          <cell r="D1608">
            <v>43370</v>
          </cell>
        </row>
        <row r="1609">
          <cell r="A1609" t="str">
            <v>ASEAN</v>
          </cell>
          <cell r="D1609">
            <v>43353</v>
          </cell>
        </row>
        <row r="1610">
          <cell r="A1610" t="str">
            <v>GC</v>
          </cell>
          <cell r="D1610">
            <v>43178</v>
          </cell>
        </row>
        <row r="1611">
          <cell r="A1611" t="str">
            <v>KR</v>
          </cell>
          <cell r="D1611">
            <v>43145</v>
          </cell>
        </row>
        <row r="1612">
          <cell r="A1612" t="str">
            <v>GC</v>
          </cell>
          <cell r="D1612">
            <v>43318</v>
          </cell>
        </row>
        <row r="1613">
          <cell r="A1613" t="str">
            <v>IN</v>
          </cell>
          <cell r="D1613">
            <v>43419</v>
          </cell>
        </row>
        <row r="1614">
          <cell r="A1614" t="str">
            <v>ASEAN</v>
          </cell>
          <cell r="D1614">
            <v>43253</v>
          </cell>
        </row>
        <row r="1615">
          <cell r="A1615" t="str">
            <v>ASEAN</v>
          </cell>
          <cell r="D1615">
            <v>43311</v>
          </cell>
        </row>
        <row r="1616">
          <cell r="A1616" t="str">
            <v>GC</v>
          </cell>
          <cell r="D1616">
            <v>43171</v>
          </cell>
        </row>
        <row r="1617">
          <cell r="A1617" t="str">
            <v>ASEAN</v>
          </cell>
          <cell r="D1617">
            <v>43134</v>
          </cell>
        </row>
        <row r="1618">
          <cell r="A1618" t="str">
            <v>ASEAN</v>
          </cell>
          <cell r="D1618">
            <v>43397</v>
          </cell>
        </row>
        <row r="1619">
          <cell r="A1619" t="str">
            <v>GC</v>
          </cell>
          <cell r="D1619">
            <v>43125</v>
          </cell>
        </row>
        <row r="1620">
          <cell r="A1620" t="str">
            <v>GC</v>
          </cell>
          <cell r="D1620">
            <v>43112</v>
          </cell>
        </row>
        <row r="1621">
          <cell r="A1621" t="str">
            <v>GC</v>
          </cell>
          <cell r="D1621">
            <v>43270</v>
          </cell>
        </row>
        <row r="1622">
          <cell r="A1622" t="str">
            <v>ASEAN</v>
          </cell>
          <cell r="D1622">
            <v>43458</v>
          </cell>
        </row>
        <row r="1623">
          <cell r="A1623" t="str">
            <v>IN</v>
          </cell>
          <cell r="D1623">
            <v>43374</v>
          </cell>
        </row>
        <row r="1624">
          <cell r="A1624" t="str">
            <v>KR</v>
          </cell>
          <cell r="D1624">
            <v>43365</v>
          </cell>
        </row>
        <row r="1625">
          <cell r="A1625" t="str">
            <v>GC</v>
          </cell>
          <cell r="D1625">
            <v>43141</v>
          </cell>
        </row>
        <row r="1626">
          <cell r="A1626" t="str">
            <v>GC</v>
          </cell>
          <cell r="D1626">
            <v>43408</v>
          </cell>
        </row>
        <row r="1627">
          <cell r="A1627" t="str">
            <v>IN</v>
          </cell>
          <cell r="D1627">
            <v>43409</v>
          </cell>
        </row>
        <row r="1628">
          <cell r="A1628" t="str">
            <v>GC</v>
          </cell>
          <cell r="D1628">
            <v>43395</v>
          </cell>
        </row>
        <row r="1629">
          <cell r="A1629" t="str">
            <v>GC</v>
          </cell>
          <cell r="D1629">
            <v>43285</v>
          </cell>
        </row>
        <row r="1630">
          <cell r="A1630" t="str">
            <v>GC</v>
          </cell>
          <cell r="D1630">
            <v>43456</v>
          </cell>
        </row>
        <row r="1631">
          <cell r="A1631" t="str">
            <v>GC</v>
          </cell>
          <cell r="D1631">
            <v>43132</v>
          </cell>
        </row>
        <row r="1632">
          <cell r="A1632" t="str">
            <v>ANZ</v>
          </cell>
          <cell r="D1632">
            <v>43320</v>
          </cell>
        </row>
        <row r="1633">
          <cell r="A1633" t="str">
            <v>GC</v>
          </cell>
          <cell r="D1633">
            <v>43338</v>
          </cell>
        </row>
        <row r="1634">
          <cell r="A1634" t="str">
            <v>ASEAN</v>
          </cell>
          <cell r="D1634">
            <v>43147</v>
          </cell>
        </row>
        <row r="1635">
          <cell r="A1635" t="str">
            <v>KR</v>
          </cell>
          <cell r="D1635">
            <v>43264</v>
          </cell>
        </row>
        <row r="1636">
          <cell r="A1636" t="str">
            <v>ASEAN</v>
          </cell>
          <cell r="D1636">
            <v>43439</v>
          </cell>
        </row>
        <row r="1637">
          <cell r="A1637" t="str">
            <v>IN</v>
          </cell>
          <cell r="D1637">
            <v>43276</v>
          </cell>
        </row>
        <row r="1638">
          <cell r="A1638" t="str">
            <v>GC</v>
          </cell>
          <cell r="D1638">
            <v>43314</v>
          </cell>
        </row>
        <row r="1639">
          <cell r="A1639" t="str">
            <v>GC</v>
          </cell>
          <cell r="D1639">
            <v>43164</v>
          </cell>
        </row>
        <row r="1640">
          <cell r="A1640" t="str">
            <v>GC</v>
          </cell>
          <cell r="D1640">
            <v>43226</v>
          </cell>
        </row>
        <row r="1641">
          <cell r="A1641" t="str">
            <v>GC</v>
          </cell>
          <cell r="D1641">
            <v>43290</v>
          </cell>
        </row>
        <row r="1642">
          <cell r="A1642" t="str">
            <v>GC</v>
          </cell>
          <cell r="D1642">
            <v>43121</v>
          </cell>
        </row>
        <row r="1643">
          <cell r="A1643" t="str">
            <v>GC</v>
          </cell>
          <cell r="D1643">
            <v>43464</v>
          </cell>
        </row>
        <row r="1644">
          <cell r="A1644" t="str">
            <v>ASEAN</v>
          </cell>
          <cell r="D1644">
            <v>43367</v>
          </cell>
        </row>
        <row r="1645">
          <cell r="A1645" t="str">
            <v>IN</v>
          </cell>
          <cell r="D1645">
            <v>43246</v>
          </cell>
        </row>
        <row r="1646">
          <cell r="A1646" t="str">
            <v>KR</v>
          </cell>
          <cell r="D1646">
            <v>43197</v>
          </cell>
        </row>
        <row r="1647">
          <cell r="A1647" t="str">
            <v>ANZ</v>
          </cell>
          <cell r="D1647">
            <v>43270</v>
          </cell>
        </row>
        <row r="1648">
          <cell r="A1648" t="str">
            <v>ASEAN</v>
          </cell>
          <cell r="D1648">
            <v>43414</v>
          </cell>
        </row>
        <row r="1649">
          <cell r="A1649" t="str">
            <v>ANZ</v>
          </cell>
          <cell r="D1649">
            <v>43252</v>
          </cell>
        </row>
        <row r="1650">
          <cell r="A1650" t="str">
            <v>ANZ</v>
          </cell>
          <cell r="D1650">
            <v>43393</v>
          </cell>
        </row>
        <row r="1651">
          <cell r="A1651" t="str">
            <v>ANZ</v>
          </cell>
          <cell r="D1651">
            <v>43178</v>
          </cell>
        </row>
        <row r="1652">
          <cell r="A1652" t="str">
            <v>KR</v>
          </cell>
          <cell r="D1652">
            <v>43128</v>
          </cell>
        </row>
        <row r="1653">
          <cell r="A1653" t="str">
            <v>GC</v>
          </cell>
          <cell r="D1653">
            <v>43178</v>
          </cell>
        </row>
        <row r="1654">
          <cell r="A1654" t="str">
            <v>IN</v>
          </cell>
          <cell r="D1654">
            <v>43116</v>
          </cell>
        </row>
        <row r="1655">
          <cell r="A1655" t="str">
            <v>GC</v>
          </cell>
          <cell r="D1655">
            <v>43436</v>
          </cell>
        </row>
        <row r="1656">
          <cell r="A1656" t="str">
            <v>ANZ</v>
          </cell>
          <cell r="D1656">
            <v>43323</v>
          </cell>
        </row>
        <row r="1657">
          <cell r="A1657" t="str">
            <v>GC</v>
          </cell>
          <cell r="D1657">
            <v>43259</v>
          </cell>
        </row>
        <row r="1658">
          <cell r="A1658" t="str">
            <v>GC</v>
          </cell>
          <cell r="D1658">
            <v>43188</v>
          </cell>
        </row>
        <row r="1659">
          <cell r="A1659" t="str">
            <v>IN</v>
          </cell>
          <cell r="D1659">
            <v>43311</v>
          </cell>
        </row>
        <row r="1660">
          <cell r="A1660" t="str">
            <v>ASEAN</v>
          </cell>
          <cell r="D1660">
            <v>43414</v>
          </cell>
        </row>
        <row r="1661">
          <cell r="A1661" t="str">
            <v>ANZ</v>
          </cell>
          <cell r="D1661">
            <v>43223</v>
          </cell>
        </row>
        <row r="1662">
          <cell r="A1662" t="str">
            <v>IN</v>
          </cell>
          <cell r="D1662">
            <v>43298</v>
          </cell>
        </row>
        <row r="1663">
          <cell r="A1663" t="str">
            <v>IN</v>
          </cell>
          <cell r="D1663">
            <v>43164</v>
          </cell>
        </row>
        <row r="1664">
          <cell r="A1664" t="str">
            <v>IN</v>
          </cell>
          <cell r="D1664">
            <v>43430</v>
          </cell>
        </row>
        <row r="1665">
          <cell r="A1665" t="str">
            <v>IN</v>
          </cell>
          <cell r="D1665">
            <v>43110</v>
          </cell>
        </row>
        <row r="1666">
          <cell r="A1666" t="str">
            <v>IN</v>
          </cell>
          <cell r="D1666">
            <v>43416</v>
          </cell>
        </row>
        <row r="1667">
          <cell r="A1667" t="str">
            <v>IN</v>
          </cell>
          <cell r="D1667">
            <v>43361</v>
          </cell>
        </row>
        <row r="1668">
          <cell r="A1668" t="str">
            <v>IN</v>
          </cell>
          <cell r="D1668">
            <v>43344</v>
          </cell>
        </row>
        <row r="1669">
          <cell r="A1669" t="str">
            <v>IN</v>
          </cell>
          <cell r="D1669">
            <v>43340</v>
          </cell>
        </row>
        <row r="1670">
          <cell r="A1670" t="str">
            <v>IN</v>
          </cell>
          <cell r="D1670">
            <v>43225</v>
          </cell>
        </row>
        <row r="1671">
          <cell r="A1671" t="str">
            <v>IN</v>
          </cell>
          <cell r="D1671">
            <v>43327</v>
          </cell>
        </row>
        <row r="1672">
          <cell r="A1672" t="str">
            <v>IN</v>
          </cell>
          <cell r="D1672">
            <v>43248</v>
          </cell>
        </row>
        <row r="1673">
          <cell r="A1673" t="str">
            <v>IN</v>
          </cell>
          <cell r="D1673">
            <v>43120</v>
          </cell>
        </row>
        <row r="1674">
          <cell r="A1674" t="str">
            <v>IN</v>
          </cell>
          <cell r="D1674">
            <v>43319</v>
          </cell>
        </row>
        <row r="1675">
          <cell r="A1675" t="str">
            <v>IN</v>
          </cell>
          <cell r="D1675">
            <v>43400</v>
          </cell>
        </row>
        <row r="1676">
          <cell r="A1676" t="str">
            <v>IN</v>
          </cell>
          <cell r="D1676">
            <v>43179</v>
          </cell>
        </row>
        <row r="1677">
          <cell r="A1677" t="str">
            <v>IN</v>
          </cell>
          <cell r="D1677">
            <v>43357</v>
          </cell>
        </row>
        <row r="1678">
          <cell r="A1678" t="str">
            <v>IN</v>
          </cell>
          <cell r="D1678">
            <v>43315</v>
          </cell>
        </row>
        <row r="1679">
          <cell r="A1679" t="str">
            <v>IN</v>
          </cell>
          <cell r="D1679">
            <v>43334</v>
          </cell>
        </row>
        <row r="1680">
          <cell r="A1680" t="str">
            <v>IN</v>
          </cell>
          <cell r="D1680">
            <v>43348</v>
          </cell>
        </row>
        <row r="1681">
          <cell r="A1681" t="str">
            <v>IN</v>
          </cell>
          <cell r="D1681">
            <v>43175</v>
          </cell>
        </row>
        <row r="1682">
          <cell r="A1682" t="str">
            <v>ASEAN</v>
          </cell>
          <cell r="D1682">
            <v>43153</v>
          </cell>
        </row>
        <row r="1683">
          <cell r="A1683" t="str">
            <v>ANZ</v>
          </cell>
          <cell r="D1683">
            <v>43417</v>
          </cell>
        </row>
        <row r="1684">
          <cell r="A1684" t="str">
            <v>ANZ</v>
          </cell>
          <cell r="D1684">
            <v>43198</v>
          </cell>
        </row>
        <row r="1685">
          <cell r="A1685" t="str">
            <v>ANZ</v>
          </cell>
          <cell r="D1685">
            <v>43162</v>
          </cell>
        </row>
        <row r="1686">
          <cell r="A1686" t="str">
            <v>ANZ</v>
          </cell>
          <cell r="D1686">
            <v>43386</v>
          </cell>
        </row>
        <row r="1687">
          <cell r="A1687" t="str">
            <v>GC</v>
          </cell>
          <cell r="D1687">
            <v>43152</v>
          </cell>
        </row>
        <row r="1688">
          <cell r="A1688" t="str">
            <v>GC</v>
          </cell>
          <cell r="D1688">
            <v>43276</v>
          </cell>
        </row>
        <row r="1689">
          <cell r="A1689" t="str">
            <v>ANZ</v>
          </cell>
          <cell r="D1689">
            <v>43235</v>
          </cell>
        </row>
        <row r="1690">
          <cell r="A1690" t="str">
            <v>ANZ</v>
          </cell>
          <cell r="D1690">
            <v>43404</v>
          </cell>
        </row>
        <row r="1691">
          <cell r="A1691" t="str">
            <v>GC</v>
          </cell>
          <cell r="D1691">
            <v>43400</v>
          </cell>
        </row>
        <row r="1692">
          <cell r="A1692" t="str">
            <v>GC</v>
          </cell>
          <cell r="D1692">
            <v>43175</v>
          </cell>
        </row>
        <row r="1693">
          <cell r="A1693" t="str">
            <v>GC</v>
          </cell>
          <cell r="D1693">
            <v>43374</v>
          </cell>
        </row>
        <row r="1694">
          <cell r="A1694" t="str">
            <v>GC</v>
          </cell>
          <cell r="D1694">
            <v>43314</v>
          </cell>
        </row>
        <row r="1695">
          <cell r="A1695" t="str">
            <v>GC</v>
          </cell>
          <cell r="D1695">
            <v>43435</v>
          </cell>
        </row>
        <row r="1696">
          <cell r="A1696" t="str">
            <v>GC</v>
          </cell>
          <cell r="D1696">
            <v>43151</v>
          </cell>
        </row>
        <row r="1697">
          <cell r="A1697" t="str">
            <v>GC</v>
          </cell>
          <cell r="D1697">
            <v>43402</v>
          </cell>
        </row>
        <row r="1698">
          <cell r="A1698" t="str">
            <v>KR</v>
          </cell>
          <cell r="D1698">
            <v>43134</v>
          </cell>
        </row>
        <row r="1699">
          <cell r="A1699" t="str">
            <v>KR</v>
          </cell>
          <cell r="D1699">
            <v>43221</v>
          </cell>
        </row>
        <row r="1700">
          <cell r="A1700" t="str">
            <v>GC</v>
          </cell>
          <cell r="D1700">
            <v>43274</v>
          </cell>
        </row>
        <row r="1701">
          <cell r="A1701" t="str">
            <v>GC</v>
          </cell>
          <cell r="D1701">
            <v>43317</v>
          </cell>
        </row>
        <row r="1702">
          <cell r="A1702" t="str">
            <v>GC</v>
          </cell>
          <cell r="D1702">
            <v>43206</v>
          </cell>
        </row>
        <row r="1703">
          <cell r="A1703" t="str">
            <v>IN</v>
          </cell>
          <cell r="D1703">
            <v>43430</v>
          </cell>
        </row>
        <row r="1704">
          <cell r="A1704" t="str">
            <v>GC</v>
          </cell>
          <cell r="D1704">
            <v>43281</v>
          </cell>
        </row>
        <row r="1705">
          <cell r="A1705" t="str">
            <v>GC</v>
          </cell>
          <cell r="D1705">
            <v>43327</v>
          </cell>
        </row>
        <row r="1706">
          <cell r="A1706" t="str">
            <v>GC</v>
          </cell>
          <cell r="D1706">
            <v>43453</v>
          </cell>
        </row>
        <row r="1707">
          <cell r="A1707" t="str">
            <v>GC</v>
          </cell>
          <cell r="D1707">
            <v>43434</v>
          </cell>
        </row>
        <row r="1708">
          <cell r="A1708" t="str">
            <v>GC</v>
          </cell>
          <cell r="D1708">
            <v>43338</v>
          </cell>
        </row>
        <row r="1709">
          <cell r="A1709" t="str">
            <v>GC</v>
          </cell>
          <cell r="D1709">
            <v>43367</v>
          </cell>
        </row>
        <row r="1710">
          <cell r="A1710" t="str">
            <v>GC</v>
          </cell>
          <cell r="D1710">
            <v>43390</v>
          </cell>
        </row>
        <row r="1711">
          <cell r="A1711" t="str">
            <v>GC</v>
          </cell>
          <cell r="D1711">
            <v>43396</v>
          </cell>
        </row>
        <row r="1712">
          <cell r="A1712" t="str">
            <v>GC</v>
          </cell>
          <cell r="D1712">
            <v>43152</v>
          </cell>
        </row>
        <row r="1713">
          <cell r="A1713" t="str">
            <v>KR</v>
          </cell>
          <cell r="D1713">
            <v>43116</v>
          </cell>
        </row>
        <row r="1714">
          <cell r="A1714" t="str">
            <v>GC</v>
          </cell>
          <cell r="D1714">
            <v>43163</v>
          </cell>
        </row>
        <row r="1715">
          <cell r="A1715" t="str">
            <v>ASEAN</v>
          </cell>
          <cell r="D1715">
            <v>43263</v>
          </cell>
        </row>
        <row r="1716">
          <cell r="A1716" t="str">
            <v>ASEAN</v>
          </cell>
          <cell r="D1716">
            <v>43406</v>
          </cell>
        </row>
        <row r="1717">
          <cell r="A1717" t="str">
            <v>IN</v>
          </cell>
          <cell r="D1717">
            <v>43233</v>
          </cell>
        </row>
        <row r="1718">
          <cell r="A1718" t="str">
            <v>ASEAN</v>
          </cell>
          <cell r="D1718">
            <v>43124</v>
          </cell>
        </row>
        <row r="1719">
          <cell r="A1719" t="str">
            <v>ASEAN</v>
          </cell>
          <cell r="D1719">
            <v>43417</v>
          </cell>
        </row>
        <row r="1720">
          <cell r="A1720" t="str">
            <v>ASEAN</v>
          </cell>
          <cell r="D1720">
            <v>43354</v>
          </cell>
        </row>
        <row r="1721">
          <cell r="A1721" t="str">
            <v>IN</v>
          </cell>
          <cell r="D1721">
            <v>43252</v>
          </cell>
        </row>
        <row r="1722">
          <cell r="A1722" t="str">
            <v>GC</v>
          </cell>
          <cell r="D1722">
            <v>43436</v>
          </cell>
        </row>
        <row r="1723">
          <cell r="A1723" t="str">
            <v>GC</v>
          </cell>
          <cell r="D1723">
            <v>43134</v>
          </cell>
        </row>
        <row r="1724">
          <cell r="A1724" t="str">
            <v>GC</v>
          </cell>
          <cell r="D1724">
            <v>43296</v>
          </cell>
        </row>
        <row r="1725">
          <cell r="A1725" t="str">
            <v>GC</v>
          </cell>
          <cell r="D1725">
            <v>43410</v>
          </cell>
        </row>
        <row r="1726">
          <cell r="A1726" t="str">
            <v>GC</v>
          </cell>
          <cell r="D1726">
            <v>43205</v>
          </cell>
        </row>
        <row r="1727">
          <cell r="A1727" t="str">
            <v>GC</v>
          </cell>
          <cell r="D1727">
            <v>43189</v>
          </cell>
        </row>
        <row r="1728">
          <cell r="A1728" t="str">
            <v>GC</v>
          </cell>
          <cell r="D1728">
            <v>43418</v>
          </cell>
        </row>
        <row r="1729">
          <cell r="A1729" t="str">
            <v>GC</v>
          </cell>
          <cell r="D1729">
            <v>43407</v>
          </cell>
        </row>
        <row r="1730">
          <cell r="A1730" t="str">
            <v>GC</v>
          </cell>
          <cell r="D1730">
            <v>43161</v>
          </cell>
        </row>
        <row r="1731">
          <cell r="A1731" t="str">
            <v>GC</v>
          </cell>
          <cell r="D1731">
            <v>43270</v>
          </cell>
        </row>
        <row r="1732">
          <cell r="A1732" t="str">
            <v>GC</v>
          </cell>
          <cell r="D1732">
            <v>43460</v>
          </cell>
        </row>
        <row r="1733">
          <cell r="A1733" t="str">
            <v>GC</v>
          </cell>
          <cell r="D1733">
            <v>43391</v>
          </cell>
        </row>
        <row r="1734">
          <cell r="A1734" t="str">
            <v>GC</v>
          </cell>
          <cell r="D1734">
            <v>43142</v>
          </cell>
        </row>
        <row r="1735">
          <cell r="A1735" t="str">
            <v>GC</v>
          </cell>
          <cell r="D1735">
            <v>43171</v>
          </cell>
        </row>
        <row r="1736">
          <cell r="A1736" t="str">
            <v>ANZ</v>
          </cell>
          <cell r="D1736">
            <v>43464</v>
          </cell>
        </row>
        <row r="1737">
          <cell r="A1737" t="str">
            <v>IN</v>
          </cell>
          <cell r="D1737">
            <v>43314</v>
          </cell>
        </row>
        <row r="1738">
          <cell r="A1738" t="str">
            <v>GC</v>
          </cell>
          <cell r="D1738">
            <v>43172</v>
          </cell>
        </row>
        <row r="1739">
          <cell r="A1739" t="str">
            <v>IN</v>
          </cell>
          <cell r="D1739">
            <v>43237</v>
          </cell>
        </row>
        <row r="1740">
          <cell r="A1740" t="str">
            <v>ANZ</v>
          </cell>
          <cell r="D1740">
            <v>43163</v>
          </cell>
        </row>
        <row r="1741">
          <cell r="A1741" t="str">
            <v>GC</v>
          </cell>
          <cell r="D1741">
            <v>43402</v>
          </cell>
        </row>
        <row r="1742">
          <cell r="A1742" t="str">
            <v>GC</v>
          </cell>
          <cell r="D1742">
            <v>43340</v>
          </cell>
        </row>
        <row r="1743">
          <cell r="A1743" t="str">
            <v>ANZ</v>
          </cell>
          <cell r="D1743">
            <v>43374</v>
          </cell>
        </row>
        <row r="1744">
          <cell r="A1744" t="str">
            <v>ANZ</v>
          </cell>
          <cell r="D1744">
            <v>43356</v>
          </cell>
        </row>
        <row r="1745">
          <cell r="A1745" t="str">
            <v>ANZ</v>
          </cell>
          <cell r="D1745">
            <v>43289</v>
          </cell>
        </row>
        <row r="1746">
          <cell r="A1746" t="str">
            <v>IN</v>
          </cell>
          <cell r="D1746">
            <v>43326</v>
          </cell>
        </row>
        <row r="1747">
          <cell r="A1747" t="str">
            <v>ASEAN</v>
          </cell>
          <cell r="D1747">
            <v>43106</v>
          </cell>
        </row>
        <row r="1748">
          <cell r="A1748" t="str">
            <v>IN</v>
          </cell>
          <cell r="D1748">
            <v>43409</v>
          </cell>
        </row>
        <row r="1749">
          <cell r="A1749" t="str">
            <v>ASEAN</v>
          </cell>
          <cell r="D1749">
            <v>43322</v>
          </cell>
        </row>
        <row r="1750">
          <cell r="A1750" t="str">
            <v>ASEAN</v>
          </cell>
          <cell r="D1750">
            <v>43296</v>
          </cell>
        </row>
        <row r="1751">
          <cell r="A1751" t="str">
            <v>ASEAN</v>
          </cell>
          <cell r="D1751">
            <v>43331</v>
          </cell>
        </row>
        <row r="1752">
          <cell r="A1752" t="str">
            <v>GC</v>
          </cell>
          <cell r="D1752">
            <v>43413</v>
          </cell>
        </row>
        <row r="1753">
          <cell r="A1753" t="str">
            <v>GC</v>
          </cell>
          <cell r="D1753">
            <v>43240</v>
          </cell>
        </row>
        <row r="1754">
          <cell r="A1754" t="str">
            <v>GC</v>
          </cell>
          <cell r="D1754">
            <v>43267</v>
          </cell>
        </row>
        <row r="1755">
          <cell r="A1755" t="str">
            <v>GC</v>
          </cell>
          <cell r="D1755">
            <v>43132</v>
          </cell>
        </row>
        <row r="1756">
          <cell r="A1756" t="str">
            <v>GC</v>
          </cell>
          <cell r="D1756">
            <v>43393</v>
          </cell>
        </row>
        <row r="1757">
          <cell r="A1757" t="str">
            <v>ASEAN</v>
          </cell>
          <cell r="D1757">
            <v>43459</v>
          </cell>
        </row>
        <row r="1758">
          <cell r="A1758" t="str">
            <v>IN</v>
          </cell>
          <cell r="D1758">
            <v>43322</v>
          </cell>
        </row>
        <row r="1759">
          <cell r="A1759" t="str">
            <v>IN</v>
          </cell>
          <cell r="D1759">
            <v>43214</v>
          </cell>
        </row>
        <row r="1760">
          <cell r="A1760" t="str">
            <v>GC</v>
          </cell>
          <cell r="D1760">
            <v>43414</v>
          </cell>
        </row>
        <row r="1761">
          <cell r="A1761" t="str">
            <v>ANZ</v>
          </cell>
          <cell r="D1761">
            <v>43152</v>
          </cell>
        </row>
        <row r="1762">
          <cell r="A1762" t="str">
            <v>IN</v>
          </cell>
          <cell r="D1762">
            <v>43327</v>
          </cell>
        </row>
        <row r="1763">
          <cell r="A1763" t="str">
            <v>ANZ</v>
          </cell>
          <cell r="D1763">
            <v>43239</v>
          </cell>
        </row>
        <row r="1764">
          <cell r="A1764" t="str">
            <v>ASEAN</v>
          </cell>
          <cell r="D1764">
            <v>43261</v>
          </cell>
        </row>
        <row r="1765">
          <cell r="A1765" t="str">
            <v>ASEAN</v>
          </cell>
          <cell r="D1765">
            <v>43224</v>
          </cell>
        </row>
        <row r="1766">
          <cell r="A1766" t="str">
            <v>IN</v>
          </cell>
          <cell r="D1766">
            <v>43137</v>
          </cell>
        </row>
        <row r="1767">
          <cell r="A1767" t="str">
            <v>IN</v>
          </cell>
          <cell r="D1767">
            <v>43256</v>
          </cell>
        </row>
        <row r="1768">
          <cell r="A1768" t="str">
            <v>IN</v>
          </cell>
          <cell r="D1768">
            <v>43289</v>
          </cell>
        </row>
        <row r="1769">
          <cell r="A1769" t="str">
            <v>IN</v>
          </cell>
          <cell r="D1769">
            <v>43418</v>
          </cell>
        </row>
        <row r="1770">
          <cell r="A1770" t="str">
            <v>IN</v>
          </cell>
          <cell r="D1770">
            <v>43329</v>
          </cell>
        </row>
        <row r="1771">
          <cell r="A1771" t="str">
            <v>IN</v>
          </cell>
          <cell r="D1771">
            <v>43114</v>
          </cell>
        </row>
        <row r="1772">
          <cell r="A1772" t="str">
            <v>IN</v>
          </cell>
          <cell r="D1772">
            <v>43170</v>
          </cell>
        </row>
        <row r="1773">
          <cell r="A1773" t="str">
            <v>IN</v>
          </cell>
          <cell r="D1773">
            <v>43419</v>
          </cell>
        </row>
        <row r="1774">
          <cell r="A1774" t="str">
            <v>GC</v>
          </cell>
          <cell r="D1774">
            <v>43384</v>
          </cell>
        </row>
        <row r="1775">
          <cell r="A1775" t="str">
            <v>GC</v>
          </cell>
          <cell r="D1775">
            <v>43104</v>
          </cell>
        </row>
        <row r="1776">
          <cell r="A1776" t="str">
            <v>GC</v>
          </cell>
          <cell r="D1776">
            <v>43464</v>
          </cell>
        </row>
        <row r="1777">
          <cell r="A1777" t="str">
            <v>GC</v>
          </cell>
          <cell r="D1777">
            <v>43291</v>
          </cell>
        </row>
        <row r="1778">
          <cell r="A1778" t="str">
            <v>GC</v>
          </cell>
          <cell r="D1778">
            <v>43418</v>
          </cell>
        </row>
        <row r="1779">
          <cell r="A1779" t="str">
            <v>GC</v>
          </cell>
          <cell r="D1779">
            <v>43183</v>
          </cell>
        </row>
        <row r="1780">
          <cell r="A1780" t="str">
            <v>ASEAN</v>
          </cell>
          <cell r="D1780">
            <v>43322</v>
          </cell>
        </row>
        <row r="1781">
          <cell r="A1781" t="str">
            <v>IN</v>
          </cell>
          <cell r="D1781">
            <v>43416</v>
          </cell>
        </row>
        <row r="1782">
          <cell r="A1782" t="str">
            <v>IN</v>
          </cell>
          <cell r="D1782">
            <v>43357</v>
          </cell>
        </row>
        <row r="1783">
          <cell r="A1783" t="str">
            <v>IN</v>
          </cell>
          <cell r="D1783">
            <v>43431</v>
          </cell>
        </row>
        <row r="1784">
          <cell r="A1784" t="str">
            <v>ASEAN</v>
          </cell>
          <cell r="D1784">
            <v>43243</v>
          </cell>
        </row>
        <row r="1785">
          <cell r="A1785" t="str">
            <v>GC</v>
          </cell>
          <cell r="D1785">
            <v>43227</v>
          </cell>
        </row>
        <row r="1786">
          <cell r="A1786" t="str">
            <v>IN</v>
          </cell>
          <cell r="D1786">
            <v>43386</v>
          </cell>
        </row>
        <row r="1787">
          <cell r="A1787" t="str">
            <v>GC</v>
          </cell>
          <cell r="D1787">
            <v>43219</v>
          </cell>
        </row>
        <row r="1788">
          <cell r="A1788" t="str">
            <v>IN</v>
          </cell>
          <cell r="D1788">
            <v>43185</v>
          </cell>
        </row>
        <row r="1789">
          <cell r="A1789" t="str">
            <v>IN</v>
          </cell>
          <cell r="D1789">
            <v>43319</v>
          </cell>
        </row>
        <row r="1790">
          <cell r="A1790" t="str">
            <v>IN</v>
          </cell>
          <cell r="D1790">
            <v>43183</v>
          </cell>
        </row>
        <row r="1791">
          <cell r="A1791" t="str">
            <v>IN</v>
          </cell>
          <cell r="D1791">
            <v>43247</v>
          </cell>
        </row>
        <row r="1792">
          <cell r="A1792" t="str">
            <v>ANZ</v>
          </cell>
          <cell r="D1792">
            <v>43119</v>
          </cell>
        </row>
        <row r="1793">
          <cell r="A1793" t="str">
            <v>ANZ</v>
          </cell>
          <cell r="D1793">
            <v>43275</v>
          </cell>
        </row>
        <row r="1794">
          <cell r="A1794" t="str">
            <v>ANZ</v>
          </cell>
          <cell r="D1794">
            <v>43444</v>
          </cell>
        </row>
        <row r="1795">
          <cell r="A1795" t="str">
            <v>ANZ</v>
          </cell>
          <cell r="D1795">
            <v>43226</v>
          </cell>
        </row>
        <row r="1796">
          <cell r="A1796" t="str">
            <v>ANZ</v>
          </cell>
          <cell r="D1796">
            <v>43331</v>
          </cell>
        </row>
        <row r="1797">
          <cell r="A1797" t="str">
            <v>IN</v>
          </cell>
          <cell r="D1797">
            <v>43439</v>
          </cell>
        </row>
        <row r="1798">
          <cell r="A1798" t="str">
            <v>IN</v>
          </cell>
          <cell r="D1798">
            <v>43153</v>
          </cell>
        </row>
        <row r="1799">
          <cell r="A1799" t="str">
            <v>IN</v>
          </cell>
          <cell r="D1799">
            <v>43434</v>
          </cell>
        </row>
        <row r="1800">
          <cell r="A1800" t="str">
            <v>GC</v>
          </cell>
          <cell r="D1800">
            <v>43248</v>
          </cell>
        </row>
        <row r="1801">
          <cell r="A1801" t="str">
            <v>IN</v>
          </cell>
          <cell r="D1801">
            <v>43172</v>
          </cell>
        </row>
        <row r="1802">
          <cell r="A1802" t="str">
            <v>ANZ</v>
          </cell>
          <cell r="D1802">
            <v>43425</v>
          </cell>
        </row>
        <row r="1803">
          <cell r="A1803" t="str">
            <v>IN</v>
          </cell>
          <cell r="D1803">
            <v>43392</v>
          </cell>
        </row>
        <row r="1804">
          <cell r="A1804" t="str">
            <v>ASEAN</v>
          </cell>
          <cell r="D1804">
            <v>43381</v>
          </cell>
        </row>
        <row r="1805">
          <cell r="A1805" t="str">
            <v>GC</v>
          </cell>
          <cell r="D1805">
            <v>43113</v>
          </cell>
        </row>
        <row r="1806">
          <cell r="A1806" t="str">
            <v>GC</v>
          </cell>
          <cell r="D1806">
            <v>43179</v>
          </cell>
        </row>
        <row r="1807">
          <cell r="A1807" t="str">
            <v>IN</v>
          </cell>
          <cell r="D1807">
            <v>43348</v>
          </cell>
        </row>
        <row r="1808">
          <cell r="A1808" t="str">
            <v>GC</v>
          </cell>
          <cell r="D1808">
            <v>43329</v>
          </cell>
        </row>
        <row r="1809">
          <cell r="A1809" t="str">
            <v>IN</v>
          </cell>
          <cell r="D1809">
            <v>43154</v>
          </cell>
        </row>
        <row r="1810">
          <cell r="A1810" t="str">
            <v>IN</v>
          </cell>
          <cell r="D1810">
            <v>43434</v>
          </cell>
        </row>
        <row r="1811">
          <cell r="A1811" t="str">
            <v>IN</v>
          </cell>
          <cell r="D1811">
            <v>43354</v>
          </cell>
        </row>
        <row r="1812">
          <cell r="A1812" t="str">
            <v>IN</v>
          </cell>
          <cell r="D1812">
            <v>43173</v>
          </cell>
        </row>
        <row r="1813">
          <cell r="A1813" t="str">
            <v>IN</v>
          </cell>
          <cell r="D1813">
            <v>43418</v>
          </cell>
        </row>
        <row r="1814">
          <cell r="A1814" t="str">
            <v>IN</v>
          </cell>
          <cell r="D1814">
            <v>43451</v>
          </cell>
        </row>
        <row r="1815">
          <cell r="A1815" t="str">
            <v>KR</v>
          </cell>
          <cell r="D1815">
            <v>43263</v>
          </cell>
        </row>
        <row r="1816">
          <cell r="A1816" t="str">
            <v>IN</v>
          </cell>
          <cell r="D1816">
            <v>43291</v>
          </cell>
        </row>
        <row r="1817">
          <cell r="A1817" t="str">
            <v>GC</v>
          </cell>
          <cell r="D1817">
            <v>43124</v>
          </cell>
        </row>
        <row r="1818">
          <cell r="A1818" t="str">
            <v>GC</v>
          </cell>
          <cell r="D1818">
            <v>43423</v>
          </cell>
        </row>
        <row r="1819">
          <cell r="A1819" t="str">
            <v>GC</v>
          </cell>
          <cell r="D1819">
            <v>43195</v>
          </cell>
        </row>
        <row r="1820">
          <cell r="A1820" t="str">
            <v>GC</v>
          </cell>
          <cell r="D1820">
            <v>43371</v>
          </cell>
        </row>
        <row r="1821">
          <cell r="A1821" t="str">
            <v>GC</v>
          </cell>
          <cell r="D1821">
            <v>43145</v>
          </cell>
        </row>
        <row r="1822">
          <cell r="A1822" t="str">
            <v>GC</v>
          </cell>
          <cell r="D1822">
            <v>43449</v>
          </cell>
        </row>
        <row r="1823">
          <cell r="A1823" t="str">
            <v>IN</v>
          </cell>
          <cell r="D1823">
            <v>43223</v>
          </cell>
        </row>
        <row r="1824">
          <cell r="A1824" t="str">
            <v>IN</v>
          </cell>
          <cell r="D1824">
            <v>43266</v>
          </cell>
        </row>
        <row r="1825">
          <cell r="A1825" t="str">
            <v>GC</v>
          </cell>
          <cell r="D1825">
            <v>43201</v>
          </cell>
        </row>
        <row r="1826">
          <cell r="A1826" t="str">
            <v>GC</v>
          </cell>
          <cell r="D1826">
            <v>43429</v>
          </cell>
        </row>
        <row r="1827">
          <cell r="A1827" t="str">
            <v>GC</v>
          </cell>
          <cell r="D1827">
            <v>43330</v>
          </cell>
        </row>
        <row r="1828">
          <cell r="A1828" t="str">
            <v>ANZ</v>
          </cell>
          <cell r="D1828">
            <v>43388</v>
          </cell>
        </row>
        <row r="1829">
          <cell r="A1829" t="str">
            <v>GC</v>
          </cell>
          <cell r="D1829">
            <v>43164</v>
          </cell>
        </row>
        <row r="1830">
          <cell r="A1830" t="str">
            <v>IN</v>
          </cell>
          <cell r="D1830">
            <v>43120</v>
          </cell>
        </row>
        <row r="1831">
          <cell r="A1831" t="str">
            <v>GC</v>
          </cell>
          <cell r="D1831">
            <v>43246</v>
          </cell>
        </row>
        <row r="1832">
          <cell r="A1832" t="str">
            <v>GC</v>
          </cell>
          <cell r="D1832">
            <v>43235</v>
          </cell>
        </row>
        <row r="1833">
          <cell r="A1833" t="str">
            <v>ANZ</v>
          </cell>
          <cell r="D1833">
            <v>43306</v>
          </cell>
        </row>
        <row r="1834">
          <cell r="A1834" t="str">
            <v>ANZ</v>
          </cell>
          <cell r="D1834">
            <v>43173</v>
          </cell>
        </row>
        <row r="1835">
          <cell r="A1835" t="str">
            <v>ANZ</v>
          </cell>
          <cell r="D1835">
            <v>43176</v>
          </cell>
        </row>
        <row r="1836">
          <cell r="A1836" t="str">
            <v>GC</v>
          </cell>
          <cell r="D1836">
            <v>43431</v>
          </cell>
        </row>
        <row r="1837">
          <cell r="A1837" t="str">
            <v>ANZ</v>
          </cell>
          <cell r="D1837">
            <v>43274</v>
          </cell>
        </row>
        <row r="1838">
          <cell r="A1838" t="str">
            <v>GC</v>
          </cell>
          <cell r="D1838">
            <v>43105</v>
          </cell>
        </row>
        <row r="1839">
          <cell r="A1839" t="str">
            <v>IN</v>
          </cell>
          <cell r="D1839">
            <v>43203</v>
          </cell>
        </row>
        <row r="1840">
          <cell r="A1840" t="str">
            <v>IN</v>
          </cell>
          <cell r="D1840">
            <v>43276</v>
          </cell>
        </row>
        <row r="1841">
          <cell r="A1841" t="str">
            <v>IN</v>
          </cell>
          <cell r="D1841">
            <v>43458</v>
          </cell>
        </row>
        <row r="1842">
          <cell r="A1842" t="str">
            <v>ANZ</v>
          </cell>
          <cell r="D1842">
            <v>43288</v>
          </cell>
        </row>
        <row r="1843">
          <cell r="A1843" t="str">
            <v>ANZ</v>
          </cell>
          <cell r="D1843">
            <v>43300</v>
          </cell>
        </row>
        <row r="1844">
          <cell r="A1844" t="str">
            <v>ANZ</v>
          </cell>
          <cell r="D1844">
            <v>43174</v>
          </cell>
        </row>
        <row r="1845">
          <cell r="A1845" t="str">
            <v>ANZ</v>
          </cell>
          <cell r="D1845">
            <v>43286</v>
          </cell>
        </row>
        <row r="1846">
          <cell r="A1846" t="str">
            <v>GC</v>
          </cell>
          <cell r="D1846">
            <v>43216</v>
          </cell>
        </row>
        <row r="1847">
          <cell r="A1847" t="str">
            <v>IN</v>
          </cell>
          <cell r="D1847">
            <v>43366</v>
          </cell>
        </row>
        <row r="1848">
          <cell r="A1848" t="str">
            <v>IN</v>
          </cell>
          <cell r="D1848">
            <v>43208</v>
          </cell>
        </row>
        <row r="1849">
          <cell r="A1849" t="str">
            <v>ANZ</v>
          </cell>
          <cell r="D1849">
            <v>43358</v>
          </cell>
        </row>
        <row r="1850">
          <cell r="A1850" t="str">
            <v>GC</v>
          </cell>
          <cell r="D1850">
            <v>43183</v>
          </cell>
        </row>
        <row r="1851">
          <cell r="A1851" t="str">
            <v>ANZ</v>
          </cell>
          <cell r="D1851">
            <v>43311</v>
          </cell>
        </row>
        <row r="1852">
          <cell r="A1852" t="str">
            <v>IN</v>
          </cell>
          <cell r="D1852">
            <v>43416</v>
          </cell>
        </row>
        <row r="1853">
          <cell r="A1853" t="str">
            <v>IN</v>
          </cell>
          <cell r="D1853">
            <v>43390</v>
          </cell>
        </row>
        <row r="1854">
          <cell r="A1854" t="str">
            <v>IN</v>
          </cell>
          <cell r="D1854">
            <v>43177</v>
          </cell>
        </row>
        <row r="1855">
          <cell r="A1855" t="str">
            <v>GC</v>
          </cell>
          <cell r="D1855">
            <v>43432</v>
          </cell>
        </row>
        <row r="1856">
          <cell r="A1856" t="str">
            <v>GC</v>
          </cell>
          <cell r="D1856">
            <v>43232</v>
          </cell>
        </row>
        <row r="1857">
          <cell r="A1857" t="str">
            <v>ASEAN</v>
          </cell>
          <cell r="D1857">
            <v>43262</v>
          </cell>
        </row>
        <row r="1858">
          <cell r="A1858" t="str">
            <v>IN</v>
          </cell>
          <cell r="D1858">
            <v>43396</v>
          </cell>
        </row>
        <row r="1859">
          <cell r="A1859" t="str">
            <v>IN</v>
          </cell>
          <cell r="D1859">
            <v>43186</v>
          </cell>
        </row>
        <row r="1860">
          <cell r="A1860" t="str">
            <v>IN</v>
          </cell>
          <cell r="D1860">
            <v>43199</v>
          </cell>
        </row>
        <row r="1861">
          <cell r="A1861" t="str">
            <v>ASEAN</v>
          </cell>
          <cell r="D1861">
            <v>43386</v>
          </cell>
        </row>
        <row r="1862">
          <cell r="A1862" t="str">
            <v>GC</v>
          </cell>
          <cell r="D1862">
            <v>43245</v>
          </cell>
        </row>
        <row r="1863">
          <cell r="A1863" t="str">
            <v>IN</v>
          </cell>
          <cell r="D1863">
            <v>43122</v>
          </cell>
        </row>
        <row r="1864">
          <cell r="A1864" t="str">
            <v>ASEAN</v>
          </cell>
          <cell r="D1864">
            <v>43385</v>
          </cell>
        </row>
        <row r="1865">
          <cell r="A1865" t="str">
            <v>ASEAN</v>
          </cell>
          <cell r="D1865">
            <v>43457</v>
          </cell>
        </row>
        <row r="1866">
          <cell r="A1866" t="str">
            <v>GC</v>
          </cell>
          <cell r="D1866">
            <v>43341</v>
          </cell>
        </row>
        <row r="1867">
          <cell r="A1867" t="str">
            <v>IN</v>
          </cell>
          <cell r="D1867">
            <v>43213</v>
          </cell>
        </row>
        <row r="1868">
          <cell r="A1868" t="str">
            <v>KR</v>
          </cell>
          <cell r="D1868">
            <v>43267</v>
          </cell>
        </row>
        <row r="1869">
          <cell r="A1869" t="str">
            <v>KR</v>
          </cell>
          <cell r="D1869">
            <v>43155</v>
          </cell>
        </row>
        <row r="1870">
          <cell r="A1870" t="str">
            <v>GC</v>
          </cell>
          <cell r="D1870">
            <v>43321</v>
          </cell>
        </row>
        <row r="1871">
          <cell r="A1871" t="str">
            <v>GC</v>
          </cell>
          <cell r="D1871">
            <v>43146</v>
          </cell>
        </row>
        <row r="1872">
          <cell r="A1872" t="str">
            <v>GC</v>
          </cell>
          <cell r="D1872">
            <v>43363</v>
          </cell>
        </row>
        <row r="1873">
          <cell r="A1873" t="str">
            <v>KR</v>
          </cell>
          <cell r="D1873">
            <v>43174</v>
          </cell>
        </row>
        <row r="1874">
          <cell r="A1874" t="str">
            <v>KR</v>
          </cell>
          <cell r="D1874">
            <v>43235</v>
          </cell>
        </row>
        <row r="1875">
          <cell r="A1875" t="str">
            <v>KR</v>
          </cell>
          <cell r="D1875">
            <v>43453</v>
          </cell>
        </row>
        <row r="1876">
          <cell r="A1876" t="str">
            <v>KR</v>
          </cell>
          <cell r="D1876">
            <v>43122</v>
          </cell>
        </row>
        <row r="1877">
          <cell r="A1877" t="str">
            <v>IN</v>
          </cell>
          <cell r="D1877">
            <v>43302</v>
          </cell>
        </row>
        <row r="1878">
          <cell r="A1878" t="str">
            <v>KR</v>
          </cell>
          <cell r="D1878">
            <v>43194</v>
          </cell>
        </row>
        <row r="1879">
          <cell r="A1879" t="str">
            <v>KR</v>
          </cell>
          <cell r="D1879">
            <v>43435</v>
          </cell>
        </row>
        <row r="1880">
          <cell r="A1880" t="str">
            <v>KR</v>
          </cell>
          <cell r="D1880">
            <v>43332</v>
          </cell>
        </row>
        <row r="1881">
          <cell r="A1881" t="str">
            <v>KR</v>
          </cell>
          <cell r="D1881">
            <v>43161</v>
          </cell>
        </row>
        <row r="1882">
          <cell r="A1882" t="str">
            <v>GC</v>
          </cell>
          <cell r="D1882">
            <v>43355</v>
          </cell>
        </row>
        <row r="1883">
          <cell r="A1883" t="str">
            <v>GC</v>
          </cell>
          <cell r="D1883">
            <v>43111</v>
          </cell>
        </row>
        <row r="1884">
          <cell r="A1884" t="str">
            <v>GC</v>
          </cell>
          <cell r="D1884">
            <v>43243</v>
          </cell>
        </row>
        <row r="1885">
          <cell r="A1885" t="str">
            <v>GC</v>
          </cell>
          <cell r="D1885">
            <v>43349</v>
          </cell>
        </row>
        <row r="1886">
          <cell r="A1886" t="str">
            <v>GC</v>
          </cell>
          <cell r="D1886">
            <v>43193</v>
          </cell>
        </row>
        <row r="1887">
          <cell r="A1887" t="str">
            <v>GC</v>
          </cell>
          <cell r="D1887">
            <v>43208</v>
          </cell>
        </row>
        <row r="1888">
          <cell r="A1888" t="str">
            <v>ASEAN</v>
          </cell>
          <cell r="D1888">
            <v>43345</v>
          </cell>
        </row>
        <row r="1889">
          <cell r="A1889" t="str">
            <v>GC</v>
          </cell>
          <cell r="D1889">
            <v>43351</v>
          </cell>
        </row>
        <row r="1890">
          <cell r="A1890" t="str">
            <v>IN</v>
          </cell>
          <cell r="D1890">
            <v>43303</v>
          </cell>
        </row>
        <row r="1891">
          <cell r="A1891" t="str">
            <v>IN</v>
          </cell>
          <cell r="D1891">
            <v>43247</v>
          </cell>
        </row>
        <row r="1892">
          <cell r="A1892" t="str">
            <v>IN</v>
          </cell>
          <cell r="D1892">
            <v>43123</v>
          </cell>
        </row>
        <row r="1893">
          <cell r="A1893" t="str">
            <v>IN</v>
          </cell>
          <cell r="D1893">
            <v>43257</v>
          </cell>
        </row>
        <row r="1894">
          <cell r="A1894" t="str">
            <v>IN</v>
          </cell>
          <cell r="D1894">
            <v>43280</v>
          </cell>
        </row>
        <row r="1895">
          <cell r="A1895" t="str">
            <v>IN</v>
          </cell>
          <cell r="D1895">
            <v>43199</v>
          </cell>
        </row>
        <row r="1896">
          <cell r="A1896" t="str">
            <v>IN</v>
          </cell>
          <cell r="D1896">
            <v>43401</v>
          </cell>
        </row>
        <row r="1897">
          <cell r="A1897" t="str">
            <v>IN</v>
          </cell>
          <cell r="D1897">
            <v>43119</v>
          </cell>
        </row>
        <row r="1898">
          <cell r="A1898" t="str">
            <v>IN</v>
          </cell>
          <cell r="D1898">
            <v>43131</v>
          </cell>
        </row>
        <row r="1899">
          <cell r="A1899" t="str">
            <v>IN</v>
          </cell>
          <cell r="D1899">
            <v>43236</v>
          </cell>
        </row>
        <row r="1900">
          <cell r="A1900" t="str">
            <v>ASEAN</v>
          </cell>
          <cell r="D1900">
            <v>43185</v>
          </cell>
        </row>
        <row r="1901">
          <cell r="A1901" t="str">
            <v>IN</v>
          </cell>
          <cell r="D1901">
            <v>43127</v>
          </cell>
        </row>
        <row r="1902">
          <cell r="A1902" t="str">
            <v>GC</v>
          </cell>
          <cell r="D1902">
            <v>43286</v>
          </cell>
        </row>
        <row r="1903">
          <cell r="A1903" t="str">
            <v>IN</v>
          </cell>
          <cell r="D1903">
            <v>43195</v>
          </cell>
        </row>
        <row r="1904">
          <cell r="A1904" t="str">
            <v>GC</v>
          </cell>
          <cell r="D1904">
            <v>43285</v>
          </cell>
        </row>
        <row r="1905">
          <cell r="A1905" t="str">
            <v>GC</v>
          </cell>
          <cell r="D1905">
            <v>43180</v>
          </cell>
        </row>
        <row r="1906">
          <cell r="A1906" t="str">
            <v>IN</v>
          </cell>
          <cell r="D1906">
            <v>43405</v>
          </cell>
        </row>
        <row r="1907">
          <cell r="A1907" t="str">
            <v>IN</v>
          </cell>
          <cell r="D1907">
            <v>43335</v>
          </cell>
        </row>
        <row r="1908">
          <cell r="A1908" t="str">
            <v>ASEAN</v>
          </cell>
          <cell r="D1908">
            <v>43106</v>
          </cell>
        </row>
        <row r="1909">
          <cell r="A1909" t="str">
            <v>GC</v>
          </cell>
          <cell r="D1909">
            <v>43291</v>
          </cell>
        </row>
        <row r="1910">
          <cell r="A1910" t="str">
            <v>GC</v>
          </cell>
          <cell r="D1910">
            <v>43214</v>
          </cell>
        </row>
        <row r="1911">
          <cell r="A1911" t="str">
            <v>GC</v>
          </cell>
          <cell r="D1911">
            <v>43421</v>
          </cell>
        </row>
        <row r="1912">
          <cell r="A1912" t="str">
            <v>GC</v>
          </cell>
          <cell r="D1912">
            <v>43297</v>
          </cell>
        </row>
        <row r="1913">
          <cell r="A1913" t="str">
            <v>GC</v>
          </cell>
          <cell r="D1913">
            <v>43133</v>
          </cell>
        </row>
        <row r="1914">
          <cell r="A1914" t="str">
            <v>GC</v>
          </cell>
          <cell r="D1914">
            <v>43239</v>
          </cell>
        </row>
        <row r="1915">
          <cell r="A1915" t="str">
            <v>KR</v>
          </cell>
          <cell r="D1915">
            <v>43417</v>
          </cell>
        </row>
        <row r="1916">
          <cell r="A1916" t="str">
            <v>KR</v>
          </cell>
          <cell r="D1916">
            <v>43394</v>
          </cell>
        </row>
        <row r="1917">
          <cell r="A1917" t="str">
            <v>KR</v>
          </cell>
          <cell r="D1917">
            <v>43115</v>
          </cell>
        </row>
        <row r="1918">
          <cell r="A1918" t="str">
            <v>KR</v>
          </cell>
          <cell r="D1918">
            <v>43313</v>
          </cell>
        </row>
        <row r="1919">
          <cell r="A1919" t="str">
            <v>KR</v>
          </cell>
          <cell r="D1919">
            <v>43335</v>
          </cell>
        </row>
        <row r="1920">
          <cell r="A1920" t="str">
            <v>GC</v>
          </cell>
          <cell r="D1920">
            <v>43369</v>
          </cell>
        </row>
        <row r="1921">
          <cell r="A1921" t="str">
            <v>IN</v>
          </cell>
          <cell r="D1921">
            <v>43243</v>
          </cell>
        </row>
        <row r="1922">
          <cell r="A1922" t="str">
            <v>IN</v>
          </cell>
          <cell r="D1922">
            <v>43150</v>
          </cell>
        </row>
        <row r="1923">
          <cell r="A1923" t="str">
            <v>IN</v>
          </cell>
          <cell r="D1923">
            <v>43434</v>
          </cell>
        </row>
        <row r="1924">
          <cell r="A1924" t="str">
            <v>GC</v>
          </cell>
          <cell r="D1924">
            <v>43418</v>
          </cell>
        </row>
        <row r="1925">
          <cell r="A1925" t="str">
            <v>IN</v>
          </cell>
          <cell r="D1925">
            <v>43279</v>
          </cell>
        </row>
        <row r="1926">
          <cell r="A1926" t="str">
            <v>GC</v>
          </cell>
          <cell r="D1926">
            <v>43400</v>
          </cell>
        </row>
        <row r="1927">
          <cell r="A1927" t="str">
            <v>IN</v>
          </cell>
          <cell r="D1927">
            <v>43144</v>
          </cell>
        </row>
        <row r="1928">
          <cell r="A1928" t="str">
            <v>IN</v>
          </cell>
          <cell r="D1928">
            <v>43270</v>
          </cell>
        </row>
        <row r="1929">
          <cell r="A1929" t="str">
            <v>IN</v>
          </cell>
          <cell r="D1929">
            <v>43127</v>
          </cell>
        </row>
        <row r="1930">
          <cell r="A1930" t="str">
            <v>IN</v>
          </cell>
          <cell r="D1930">
            <v>43443</v>
          </cell>
        </row>
        <row r="1931">
          <cell r="A1931" t="str">
            <v>ASEAN</v>
          </cell>
          <cell r="D1931">
            <v>43452</v>
          </cell>
        </row>
        <row r="1932">
          <cell r="A1932" t="str">
            <v>IN</v>
          </cell>
          <cell r="D1932">
            <v>43206</v>
          </cell>
        </row>
        <row r="1933">
          <cell r="A1933" t="str">
            <v>ANZ</v>
          </cell>
          <cell r="D1933">
            <v>43336</v>
          </cell>
        </row>
        <row r="1934">
          <cell r="A1934" t="str">
            <v>GC</v>
          </cell>
          <cell r="D1934">
            <v>43447</v>
          </cell>
        </row>
        <row r="1935">
          <cell r="A1935" t="str">
            <v>GC</v>
          </cell>
          <cell r="D1935">
            <v>43281</v>
          </cell>
        </row>
        <row r="1936">
          <cell r="A1936" t="str">
            <v>GC</v>
          </cell>
          <cell r="D1936">
            <v>43258</v>
          </cell>
        </row>
        <row r="1937">
          <cell r="A1937" t="str">
            <v>IN</v>
          </cell>
          <cell r="D1937">
            <v>43108</v>
          </cell>
        </row>
        <row r="1938">
          <cell r="A1938" t="str">
            <v>IN</v>
          </cell>
          <cell r="D1938">
            <v>43251</v>
          </cell>
        </row>
        <row r="1939">
          <cell r="A1939" t="str">
            <v>IN</v>
          </cell>
          <cell r="D1939">
            <v>43271</v>
          </cell>
        </row>
        <row r="1940">
          <cell r="A1940" t="str">
            <v>GC</v>
          </cell>
          <cell r="D1940">
            <v>43132</v>
          </cell>
        </row>
        <row r="1941">
          <cell r="A1941" t="str">
            <v>GC</v>
          </cell>
          <cell r="D1941">
            <v>43133</v>
          </cell>
        </row>
        <row r="1942">
          <cell r="A1942" t="str">
            <v>ASEAN</v>
          </cell>
          <cell r="D1942">
            <v>43121</v>
          </cell>
        </row>
        <row r="1943">
          <cell r="A1943" t="str">
            <v>IN</v>
          </cell>
          <cell r="D1943">
            <v>43125</v>
          </cell>
        </row>
        <row r="1944">
          <cell r="A1944" t="str">
            <v>IN</v>
          </cell>
          <cell r="D1944">
            <v>43168</v>
          </cell>
        </row>
        <row r="1945">
          <cell r="A1945" t="str">
            <v>ASEAN</v>
          </cell>
          <cell r="D1945">
            <v>43104</v>
          </cell>
        </row>
        <row r="1946">
          <cell r="A1946" t="str">
            <v>GC</v>
          </cell>
          <cell r="D1946">
            <v>43158</v>
          </cell>
        </row>
        <row r="1947">
          <cell r="A1947" t="str">
            <v>GC</v>
          </cell>
          <cell r="D1947">
            <v>43256</v>
          </cell>
        </row>
        <row r="1948">
          <cell r="A1948" t="str">
            <v>ANZ</v>
          </cell>
          <cell r="D1948">
            <v>43392</v>
          </cell>
        </row>
        <row r="1949">
          <cell r="A1949" t="str">
            <v>GC</v>
          </cell>
          <cell r="D1949">
            <v>43280</v>
          </cell>
        </row>
        <row r="1950">
          <cell r="A1950" t="str">
            <v>GC</v>
          </cell>
          <cell r="D1950">
            <v>43383</v>
          </cell>
        </row>
        <row r="1951">
          <cell r="A1951" t="str">
            <v>GC</v>
          </cell>
          <cell r="D1951">
            <v>43217</v>
          </cell>
        </row>
        <row r="1952">
          <cell r="A1952" t="str">
            <v>IN</v>
          </cell>
          <cell r="D1952">
            <v>43223</v>
          </cell>
        </row>
        <row r="1953">
          <cell r="A1953" t="str">
            <v>GC</v>
          </cell>
          <cell r="D1953">
            <v>43259</v>
          </cell>
        </row>
        <row r="1954">
          <cell r="A1954" t="str">
            <v>GC</v>
          </cell>
          <cell r="D1954">
            <v>43435</v>
          </cell>
        </row>
        <row r="1955">
          <cell r="A1955" t="str">
            <v>KR</v>
          </cell>
          <cell r="D1955">
            <v>43371</v>
          </cell>
        </row>
        <row r="1956">
          <cell r="A1956" t="str">
            <v>GC</v>
          </cell>
          <cell r="D1956">
            <v>43112</v>
          </cell>
        </row>
        <row r="1957">
          <cell r="A1957" t="str">
            <v>GC</v>
          </cell>
          <cell r="D1957">
            <v>43378</v>
          </cell>
        </row>
        <row r="1958">
          <cell r="A1958" t="str">
            <v>GC</v>
          </cell>
          <cell r="D1958">
            <v>43114</v>
          </cell>
        </row>
        <row r="1959">
          <cell r="A1959" t="str">
            <v>GC</v>
          </cell>
          <cell r="D1959">
            <v>43289</v>
          </cell>
        </row>
        <row r="1960">
          <cell r="A1960" t="str">
            <v>ANZ</v>
          </cell>
          <cell r="D1960">
            <v>43205</v>
          </cell>
        </row>
        <row r="1961">
          <cell r="A1961" t="str">
            <v>GC</v>
          </cell>
          <cell r="D1961">
            <v>43143</v>
          </cell>
        </row>
        <row r="1962">
          <cell r="A1962" t="str">
            <v>GC</v>
          </cell>
          <cell r="D1962">
            <v>43253</v>
          </cell>
        </row>
        <row r="1963">
          <cell r="A1963" t="str">
            <v>GC</v>
          </cell>
          <cell r="D1963">
            <v>43459</v>
          </cell>
        </row>
        <row r="1964">
          <cell r="A1964" t="str">
            <v>IN</v>
          </cell>
          <cell r="D1964">
            <v>43393</v>
          </cell>
        </row>
        <row r="1965">
          <cell r="A1965" t="str">
            <v>IN</v>
          </cell>
          <cell r="D1965">
            <v>43255</v>
          </cell>
        </row>
        <row r="1966">
          <cell r="A1966" t="str">
            <v>ASEAN</v>
          </cell>
          <cell r="D1966">
            <v>43184</v>
          </cell>
        </row>
        <row r="1967">
          <cell r="A1967" t="str">
            <v>IN</v>
          </cell>
          <cell r="D1967">
            <v>43138</v>
          </cell>
        </row>
        <row r="1968">
          <cell r="A1968" t="str">
            <v>IN</v>
          </cell>
          <cell r="D1968">
            <v>43400</v>
          </cell>
        </row>
        <row r="1969">
          <cell r="A1969" t="str">
            <v>GC</v>
          </cell>
          <cell r="D1969">
            <v>43236</v>
          </cell>
        </row>
        <row r="1970">
          <cell r="A1970" t="str">
            <v>GC</v>
          </cell>
          <cell r="D1970">
            <v>43419</v>
          </cell>
        </row>
        <row r="1971">
          <cell r="A1971" t="str">
            <v>ASEAN</v>
          </cell>
          <cell r="D1971">
            <v>43146</v>
          </cell>
        </row>
        <row r="1972">
          <cell r="A1972" t="str">
            <v>GC</v>
          </cell>
          <cell r="D1972">
            <v>43339</v>
          </cell>
        </row>
        <row r="1973">
          <cell r="A1973" t="str">
            <v>GC</v>
          </cell>
          <cell r="D1973">
            <v>43403</v>
          </cell>
        </row>
        <row r="1974">
          <cell r="A1974" t="str">
            <v>GC</v>
          </cell>
          <cell r="D1974">
            <v>43196</v>
          </cell>
        </row>
        <row r="1975">
          <cell r="A1975" t="str">
            <v>ANZ</v>
          </cell>
          <cell r="D1975">
            <v>43377</v>
          </cell>
        </row>
        <row r="1976">
          <cell r="A1976" t="str">
            <v>GC</v>
          </cell>
          <cell r="D1976">
            <v>43367</v>
          </cell>
        </row>
        <row r="1977">
          <cell r="A1977" t="str">
            <v>GC</v>
          </cell>
          <cell r="D1977">
            <v>43455</v>
          </cell>
        </row>
        <row r="1978">
          <cell r="A1978" t="str">
            <v>ASEAN</v>
          </cell>
          <cell r="D1978">
            <v>43404</v>
          </cell>
        </row>
        <row r="1979">
          <cell r="A1979" t="str">
            <v>ASEAN</v>
          </cell>
          <cell r="D1979">
            <v>43257</v>
          </cell>
        </row>
        <row r="1980">
          <cell r="A1980" t="str">
            <v>GC</v>
          </cell>
          <cell r="D1980">
            <v>43140</v>
          </cell>
        </row>
        <row r="1981">
          <cell r="A1981" t="str">
            <v>GC</v>
          </cell>
          <cell r="D1981">
            <v>43374</v>
          </cell>
        </row>
        <row r="1982">
          <cell r="A1982" t="str">
            <v>GC</v>
          </cell>
          <cell r="D1982">
            <v>43254</v>
          </cell>
        </row>
        <row r="1983">
          <cell r="A1983" t="str">
            <v>ASEAN</v>
          </cell>
          <cell r="D1983">
            <v>43461</v>
          </cell>
        </row>
        <row r="1984">
          <cell r="A1984" t="str">
            <v>GC</v>
          </cell>
          <cell r="D1984">
            <v>43370</v>
          </cell>
        </row>
        <row r="1985">
          <cell r="A1985" t="str">
            <v>GC</v>
          </cell>
          <cell r="D1985">
            <v>43117</v>
          </cell>
        </row>
        <row r="1986">
          <cell r="A1986" t="str">
            <v>GC</v>
          </cell>
          <cell r="D1986">
            <v>43263</v>
          </cell>
        </row>
        <row r="1987">
          <cell r="A1987" t="str">
            <v>GC</v>
          </cell>
          <cell r="D1987">
            <v>43122</v>
          </cell>
        </row>
        <row r="1988">
          <cell r="A1988" t="str">
            <v>GC</v>
          </cell>
          <cell r="D1988">
            <v>43438</v>
          </cell>
        </row>
        <row r="1989">
          <cell r="A1989" t="str">
            <v>GC</v>
          </cell>
          <cell r="D1989">
            <v>43109</v>
          </cell>
        </row>
        <row r="1990">
          <cell r="A1990" t="str">
            <v>GC</v>
          </cell>
          <cell r="D1990">
            <v>43234</v>
          </cell>
        </row>
        <row r="1991">
          <cell r="A1991" t="str">
            <v>GC</v>
          </cell>
          <cell r="D1991">
            <v>43459</v>
          </cell>
        </row>
        <row r="1992">
          <cell r="A1992" t="str">
            <v>GC</v>
          </cell>
          <cell r="D1992">
            <v>43336</v>
          </cell>
        </row>
        <row r="1993">
          <cell r="A1993" t="str">
            <v>GC</v>
          </cell>
          <cell r="D1993">
            <v>43239</v>
          </cell>
        </row>
        <row r="1994">
          <cell r="A1994" t="str">
            <v>GC</v>
          </cell>
          <cell r="D1994">
            <v>43408</v>
          </cell>
        </row>
        <row r="1995">
          <cell r="A1995" t="str">
            <v>GC</v>
          </cell>
          <cell r="D1995">
            <v>43216</v>
          </cell>
        </row>
        <row r="1996">
          <cell r="A1996" t="str">
            <v>GC</v>
          </cell>
          <cell r="D1996">
            <v>43325</v>
          </cell>
        </row>
        <row r="1997">
          <cell r="A1997" t="str">
            <v>GC</v>
          </cell>
          <cell r="D1997">
            <v>43399</v>
          </cell>
        </row>
        <row r="1998">
          <cell r="A1998" t="str">
            <v>GC</v>
          </cell>
          <cell r="D1998">
            <v>43260</v>
          </cell>
        </row>
        <row r="1999">
          <cell r="A1999" t="str">
            <v>GC</v>
          </cell>
          <cell r="D1999">
            <v>43275</v>
          </cell>
        </row>
        <row r="2000">
          <cell r="A2000" t="str">
            <v>GC</v>
          </cell>
          <cell r="D2000">
            <v>43143</v>
          </cell>
        </row>
        <row r="2001">
          <cell r="A2001" t="str">
            <v>GC</v>
          </cell>
          <cell r="D2001">
            <v>43435</v>
          </cell>
        </row>
        <row r="2002">
          <cell r="A2002" t="str">
            <v>GC</v>
          </cell>
          <cell r="D2002">
            <v>43352</v>
          </cell>
        </row>
        <row r="2003">
          <cell r="A2003" t="str">
            <v>IN</v>
          </cell>
          <cell r="D2003">
            <v>43433</v>
          </cell>
        </row>
        <row r="2004">
          <cell r="A2004" t="str">
            <v>IN</v>
          </cell>
          <cell r="D2004">
            <v>43362</v>
          </cell>
        </row>
        <row r="2005">
          <cell r="A2005" t="str">
            <v>GC</v>
          </cell>
          <cell r="D2005">
            <v>43295</v>
          </cell>
        </row>
        <row r="2006">
          <cell r="A2006" t="str">
            <v>GC</v>
          </cell>
          <cell r="D2006">
            <v>43390</v>
          </cell>
        </row>
        <row r="2007">
          <cell r="A2007" t="str">
            <v>GC</v>
          </cell>
          <cell r="D2007">
            <v>43267</v>
          </cell>
        </row>
        <row r="2008">
          <cell r="A2008" t="str">
            <v>GC</v>
          </cell>
          <cell r="D2008">
            <v>43336</v>
          </cell>
        </row>
        <row r="2009">
          <cell r="A2009" t="str">
            <v>GC</v>
          </cell>
          <cell r="D2009">
            <v>43376</v>
          </cell>
        </row>
        <row r="2010">
          <cell r="A2010" t="str">
            <v>GC</v>
          </cell>
          <cell r="D2010">
            <v>43404</v>
          </cell>
        </row>
        <row r="2011">
          <cell r="A2011" t="str">
            <v>ASEAN</v>
          </cell>
          <cell r="D2011">
            <v>43148</v>
          </cell>
        </row>
        <row r="2012">
          <cell r="A2012" t="str">
            <v>ANZ</v>
          </cell>
          <cell r="D2012">
            <v>43405</v>
          </cell>
        </row>
        <row r="2013">
          <cell r="A2013" t="str">
            <v>GC</v>
          </cell>
          <cell r="D2013">
            <v>43414</v>
          </cell>
        </row>
        <row r="2014">
          <cell r="A2014" t="str">
            <v>GC</v>
          </cell>
          <cell r="D2014">
            <v>43321</v>
          </cell>
        </row>
        <row r="2015">
          <cell r="A2015" t="str">
            <v>GC</v>
          </cell>
          <cell r="D2015">
            <v>43384</v>
          </cell>
        </row>
        <row r="2016">
          <cell r="A2016" t="str">
            <v>GC</v>
          </cell>
          <cell r="D2016">
            <v>43257</v>
          </cell>
        </row>
        <row r="2017">
          <cell r="A2017" t="str">
            <v>GC</v>
          </cell>
          <cell r="D2017">
            <v>43146</v>
          </cell>
        </row>
        <row r="2018">
          <cell r="A2018" t="str">
            <v>GC</v>
          </cell>
          <cell r="D2018">
            <v>43317</v>
          </cell>
        </row>
        <row r="2019">
          <cell r="A2019" t="str">
            <v>GC</v>
          </cell>
          <cell r="D2019">
            <v>43433</v>
          </cell>
        </row>
        <row r="2020">
          <cell r="A2020" t="str">
            <v>GC</v>
          </cell>
          <cell r="D2020">
            <v>43250</v>
          </cell>
        </row>
        <row r="2021">
          <cell r="A2021" t="str">
            <v>GC</v>
          </cell>
          <cell r="D2021">
            <v>43354</v>
          </cell>
        </row>
        <row r="2022">
          <cell r="A2022" t="str">
            <v>GC</v>
          </cell>
          <cell r="D2022">
            <v>43225</v>
          </cell>
        </row>
        <row r="2023">
          <cell r="A2023" t="str">
            <v>GC</v>
          </cell>
          <cell r="D2023">
            <v>43123</v>
          </cell>
        </row>
        <row r="2024">
          <cell r="A2024" t="str">
            <v>GC</v>
          </cell>
          <cell r="D2024">
            <v>43323</v>
          </cell>
        </row>
        <row r="2025">
          <cell r="A2025" t="str">
            <v>GC</v>
          </cell>
          <cell r="D2025">
            <v>43386</v>
          </cell>
        </row>
        <row r="2026">
          <cell r="A2026" t="str">
            <v>ANZ</v>
          </cell>
          <cell r="D2026">
            <v>43112</v>
          </cell>
        </row>
        <row r="2027">
          <cell r="A2027" t="str">
            <v>ASEAN</v>
          </cell>
          <cell r="D2027">
            <v>43306</v>
          </cell>
        </row>
        <row r="2028">
          <cell r="A2028" t="str">
            <v>ANZ</v>
          </cell>
          <cell r="D2028">
            <v>43112</v>
          </cell>
        </row>
        <row r="2029">
          <cell r="A2029" t="str">
            <v>ANZ</v>
          </cell>
          <cell r="D2029">
            <v>43221</v>
          </cell>
        </row>
        <row r="2030">
          <cell r="A2030" t="str">
            <v>ASEAN</v>
          </cell>
          <cell r="D2030">
            <v>43449</v>
          </cell>
        </row>
        <row r="2031">
          <cell r="A2031" t="str">
            <v>GC</v>
          </cell>
          <cell r="D2031">
            <v>43362</v>
          </cell>
        </row>
        <row r="2032">
          <cell r="A2032" t="str">
            <v>GC</v>
          </cell>
          <cell r="D2032">
            <v>43440</v>
          </cell>
        </row>
        <row r="2033">
          <cell r="A2033" t="str">
            <v>GC</v>
          </cell>
          <cell r="D2033">
            <v>43291</v>
          </cell>
        </row>
        <row r="2034">
          <cell r="A2034" t="str">
            <v>GC</v>
          </cell>
          <cell r="D2034">
            <v>43195</v>
          </cell>
        </row>
        <row r="2035">
          <cell r="A2035" t="str">
            <v>GC</v>
          </cell>
          <cell r="D2035">
            <v>43340</v>
          </cell>
        </row>
        <row r="2036">
          <cell r="A2036" t="str">
            <v>GC</v>
          </cell>
          <cell r="D2036">
            <v>43309</v>
          </cell>
        </row>
        <row r="2037">
          <cell r="A2037" t="str">
            <v>GC</v>
          </cell>
          <cell r="D2037">
            <v>43149</v>
          </cell>
        </row>
        <row r="2038">
          <cell r="A2038" t="str">
            <v>GC</v>
          </cell>
          <cell r="D2038">
            <v>43290</v>
          </cell>
        </row>
        <row r="2039">
          <cell r="A2039" t="str">
            <v>GC</v>
          </cell>
          <cell r="D2039">
            <v>43344</v>
          </cell>
        </row>
        <row r="2040">
          <cell r="A2040" t="str">
            <v>GC</v>
          </cell>
          <cell r="D2040">
            <v>43163</v>
          </cell>
        </row>
        <row r="2041">
          <cell r="A2041" t="str">
            <v>GC</v>
          </cell>
          <cell r="D2041">
            <v>43229</v>
          </cell>
        </row>
        <row r="2042">
          <cell r="A2042" t="str">
            <v>GC</v>
          </cell>
          <cell r="D2042">
            <v>43271</v>
          </cell>
        </row>
        <row r="2043">
          <cell r="A2043" t="str">
            <v>ANZ</v>
          </cell>
          <cell r="D2043">
            <v>43387</v>
          </cell>
        </row>
        <row r="2044">
          <cell r="A2044" t="str">
            <v>GC</v>
          </cell>
          <cell r="D2044">
            <v>43421</v>
          </cell>
        </row>
        <row r="2045">
          <cell r="A2045" t="str">
            <v>GC</v>
          </cell>
          <cell r="D2045">
            <v>43269</v>
          </cell>
        </row>
        <row r="2046">
          <cell r="A2046" t="str">
            <v>GC</v>
          </cell>
          <cell r="D2046">
            <v>43160</v>
          </cell>
        </row>
        <row r="2047">
          <cell r="A2047" t="str">
            <v>GC</v>
          </cell>
          <cell r="D2047">
            <v>43271</v>
          </cell>
        </row>
        <row r="2048">
          <cell r="A2048" t="str">
            <v>GC</v>
          </cell>
          <cell r="D2048">
            <v>43421</v>
          </cell>
        </row>
        <row r="2049">
          <cell r="A2049" t="str">
            <v>GC</v>
          </cell>
          <cell r="D2049">
            <v>43214</v>
          </cell>
        </row>
        <row r="2050">
          <cell r="A2050" t="str">
            <v>GC</v>
          </cell>
          <cell r="D2050">
            <v>43345</v>
          </cell>
        </row>
        <row r="2051">
          <cell r="A2051" t="str">
            <v>GC</v>
          </cell>
          <cell r="D2051">
            <v>43331</v>
          </cell>
        </row>
        <row r="2052">
          <cell r="A2052" t="str">
            <v>GC</v>
          </cell>
          <cell r="D2052">
            <v>43142</v>
          </cell>
        </row>
        <row r="2053">
          <cell r="A2053" t="str">
            <v>GC</v>
          </cell>
          <cell r="D2053">
            <v>43424</v>
          </cell>
        </row>
        <row r="2054">
          <cell r="A2054" t="str">
            <v>GC</v>
          </cell>
          <cell r="D2054">
            <v>43259</v>
          </cell>
        </row>
        <row r="2055">
          <cell r="A2055" t="str">
            <v>IN</v>
          </cell>
          <cell r="D2055">
            <v>43208</v>
          </cell>
        </row>
        <row r="2056">
          <cell r="A2056" t="str">
            <v>IN</v>
          </cell>
          <cell r="D2056">
            <v>43415</v>
          </cell>
        </row>
        <row r="2057">
          <cell r="A2057" t="str">
            <v>GC</v>
          </cell>
          <cell r="D2057">
            <v>43119</v>
          </cell>
        </row>
        <row r="2058">
          <cell r="A2058" t="str">
            <v>GC</v>
          </cell>
          <cell r="D2058">
            <v>43182</v>
          </cell>
        </row>
        <row r="2059">
          <cell r="A2059" t="str">
            <v>GC</v>
          </cell>
          <cell r="D2059">
            <v>43141</v>
          </cell>
        </row>
        <row r="2060">
          <cell r="A2060" t="str">
            <v>GC</v>
          </cell>
          <cell r="D2060">
            <v>43465</v>
          </cell>
        </row>
        <row r="2061">
          <cell r="A2061" t="str">
            <v>GC</v>
          </cell>
          <cell r="D2061">
            <v>43141</v>
          </cell>
        </row>
        <row r="2062">
          <cell r="A2062" t="str">
            <v>GC</v>
          </cell>
          <cell r="D2062">
            <v>43237</v>
          </cell>
        </row>
        <row r="2063">
          <cell r="A2063" t="str">
            <v>IN</v>
          </cell>
          <cell r="D2063">
            <v>43246</v>
          </cell>
        </row>
        <row r="2064">
          <cell r="A2064" t="str">
            <v>IN</v>
          </cell>
          <cell r="D2064">
            <v>43339</v>
          </cell>
        </row>
        <row r="2065">
          <cell r="A2065" t="str">
            <v>GC</v>
          </cell>
          <cell r="D2065">
            <v>43254</v>
          </cell>
        </row>
        <row r="2066">
          <cell r="A2066" t="str">
            <v>GC</v>
          </cell>
          <cell r="D2066">
            <v>43362</v>
          </cell>
        </row>
        <row r="2067">
          <cell r="A2067" t="str">
            <v>GC</v>
          </cell>
          <cell r="D2067">
            <v>43190</v>
          </cell>
        </row>
        <row r="2068">
          <cell r="A2068" t="str">
            <v>GC</v>
          </cell>
          <cell r="D2068">
            <v>43268</v>
          </cell>
        </row>
        <row r="2069">
          <cell r="A2069" t="str">
            <v>GC</v>
          </cell>
          <cell r="D2069">
            <v>43273</v>
          </cell>
        </row>
        <row r="2070">
          <cell r="A2070" t="str">
            <v>GC</v>
          </cell>
          <cell r="D2070">
            <v>43110</v>
          </cell>
        </row>
        <row r="2071">
          <cell r="A2071" t="str">
            <v>GC</v>
          </cell>
          <cell r="D2071">
            <v>43228</v>
          </cell>
        </row>
        <row r="2072">
          <cell r="A2072" t="str">
            <v>GC</v>
          </cell>
          <cell r="D2072">
            <v>43455</v>
          </cell>
        </row>
        <row r="2073">
          <cell r="A2073" t="str">
            <v>ANZ</v>
          </cell>
          <cell r="D2073">
            <v>43191</v>
          </cell>
        </row>
        <row r="2074">
          <cell r="A2074" t="str">
            <v>ASEAN</v>
          </cell>
          <cell r="D2074">
            <v>43411</v>
          </cell>
        </row>
        <row r="2075">
          <cell r="A2075" t="str">
            <v>IN</v>
          </cell>
          <cell r="D2075">
            <v>43289</v>
          </cell>
        </row>
        <row r="2076">
          <cell r="A2076" t="str">
            <v>GC</v>
          </cell>
          <cell r="D2076">
            <v>43188</v>
          </cell>
        </row>
        <row r="2077">
          <cell r="A2077" t="str">
            <v>GC</v>
          </cell>
          <cell r="D2077">
            <v>43364</v>
          </cell>
        </row>
        <row r="2078">
          <cell r="A2078" t="str">
            <v>GC</v>
          </cell>
          <cell r="D2078">
            <v>43383</v>
          </cell>
        </row>
        <row r="2079">
          <cell r="A2079" t="str">
            <v>GC</v>
          </cell>
          <cell r="D2079">
            <v>43394</v>
          </cell>
        </row>
        <row r="2080">
          <cell r="A2080" t="str">
            <v>GC</v>
          </cell>
          <cell r="D2080">
            <v>43300</v>
          </cell>
        </row>
        <row r="2081">
          <cell r="A2081" t="str">
            <v>ASEAN</v>
          </cell>
          <cell r="D2081">
            <v>43302</v>
          </cell>
        </row>
        <row r="2082">
          <cell r="A2082" t="str">
            <v>ASEAN</v>
          </cell>
          <cell r="D2082">
            <v>43231</v>
          </cell>
        </row>
        <row r="2083">
          <cell r="A2083" t="str">
            <v>GC</v>
          </cell>
          <cell r="D2083">
            <v>43445</v>
          </cell>
        </row>
        <row r="2084">
          <cell r="A2084" t="str">
            <v>ANZ</v>
          </cell>
          <cell r="D2084">
            <v>43270</v>
          </cell>
        </row>
        <row r="2085">
          <cell r="A2085" t="str">
            <v>ANZ</v>
          </cell>
          <cell r="D2085">
            <v>43191</v>
          </cell>
        </row>
        <row r="2086">
          <cell r="A2086" t="str">
            <v>ANZ</v>
          </cell>
          <cell r="D2086">
            <v>43317</v>
          </cell>
        </row>
        <row r="2087">
          <cell r="A2087" t="str">
            <v>ANZ</v>
          </cell>
          <cell r="D2087">
            <v>43307</v>
          </cell>
        </row>
        <row r="2088">
          <cell r="A2088" t="str">
            <v>ANZ</v>
          </cell>
          <cell r="D2088">
            <v>43128</v>
          </cell>
        </row>
        <row r="2089">
          <cell r="A2089" t="str">
            <v>GC</v>
          </cell>
          <cell r="D2089">
            <v>43227</v>
          </cell>
        </row>
        <row r="2090">
          <cell r="A2090" t="str">
            <v>GC</v>
          </cell>
          <cell r="D2090">
            <v>43131</v>
          </cell>
        </row>
        <row r="2091">
          <cell r="A2091" t="str">
            <v>GC</v>
          </cell>
          <cell r="D2091">
            <v>43357</v>
          </cell>
        </row>
        <row r="2092">
          <cell r="A2092" t="str">
            <v>GC</v>
          </cell>
          <cell r="D2092">
            <v>43289</v>
          </cell>
        </row>
        <row r="2093">
          <cell r="A2093" t="str">
            <v>GC</v>
          </cell>
          <cell r="D2093">
            <v>43379</v>
          </cell>
        </row>
        <row r="2094">
          <cell r="A2094" t="str">
            <v>GC</v>
          </cell>
          <cell r="D2094">
            <v>43159</v>
          </cell>
        </row>
        <row r="2095">
          <cell r="A2095" t="str">
            <v>GC</v>
          </cell>
          <cell r="D2095">
            <v>43389</v>
          </cell>
        </row>
        <row r="2096">
          <cell r="A2096" t="str">
            <v>GC</v>
          </cell>
          <cell r="D2096">
            <v>43222</v>
          </cell>
        </row>
        <row r="2097">
          <cell r="A2097" t="str">
            <v>IN</v>
          </cell>
          <cell r="D2097">
            <v>43381</v>
          </cell>
        </row>
        <row r="2098">
          <cell r="A2098" t="str">
            <v>ANZ</v>
          </cell>
          <cell r="D2098">
            <v>43250</v>
          </cell>
        </row>
        <row r="2099">
          <cell r="A2099" t="str">
            <v>IN</v>
          </cell>
          <cell r="D2099">
            <v>43155</v>
          </cell>
        </row>
        <row r="2100">
          <cell r="A2100" t="str">
            <v>GC</v>
          </cell>
          <cell r="D2100">
            <v>43210</v>
          </cell>
        </row>
        <row r="2101">
          <cell r="A2101" t="str">
            <v>IN</v>
          </cell>
          <cell r="D2101">
            <v>43401</v>
          </cell>
        </row>
        <row r="2102">
          <cell r="A2102" t="str">
            <v>KR</v>
          </cell>
          <cell r="D2102">
            <v>43253</v>
          </cell>
        </row>
        <row r="2103">
          <cell r="A2103" t="str">
            <v>KR</v>
          </cell>
          <cell r="D2103">
            <v>43197</v>
          </cell>
        </row>
        <row r="2104">
          <cell r="A2104" t="str">
            <v>IN</v>
          </cell>
          <cell r="D2104">
            <v>43266</v>
          </cell>
        </row>
        <row r="2105">
          <cell r="A2105" t="str">
            <v>IN</v>
          </cell>
          <cell r="D2105">
            <v>43366</v>
          </cell>
        </row>
        <row r="2106">
          <cell r="A2106" t="str">
            <v>IN</v>
          </cell>
          <cell r="D2106">
            <v>43185</v>
          </cell>
        </row>
        <row r="2107">
          <cell r="A2107" t="str">
            <v>ANZ</v>
          </cell>
          <cell r="D2107">
            <v>43191</v>
          </cell>
        </row>
        <row r="2108">
          <cell r="A2108" t="str">
            <v>GC</v>
          </cell>
          <cell r="D2108">
            <v>43227</v>
          </cell>
        </row>
        <row r="2109">
          <cell r="A2109" t="str">
            <v>GC</v>
          </cell>
          <cell r="D2109">
            <v>43382</v>
          </cell>
        </row>
        <row r="2110">
          <cell r="A2110" t="str">
            <v>IN</v>
          </cell>
          <cell r="D2110">
            <v>43339</v>
          </cell>
        </row>
        <row r="2111">
          <cell r="A2111" t="str">
            <v>GC</v>
          </cell>
          <cell r="D2111">
            <v>43126</v>
          </cell>
        </row>
        <row r="2112">
          <cell r="A2112" t="str">
            <v>GC</v>
          </cell>
          <cell r="D2112">
            <v>43231</v>
          </cell>
        </row>
        <row r="2113">
          <cell r="A2113" t="str">
            <v>GC</v>
          </cell>
          <cell r="D2113">
            <v>43270</v>
          </cell>
        </row>
        <row r="2114">
          <cell r="A2114" t="str">
            <v>GC</v>
          </cell>
          <cell r="D2114">
            <v>43126</v>
          </cell>
        </row>
        <row r="2115">
          <cell r="A2115" t="str">
            <v>GC</v>
          </cell>
          <cell r="D2115">
            <v>43394</v>
          </cell>
        </row>
        <row r="2116">
          <cell r="A2116" t="str">
            <v>GC</v>
          </cell>
          <cell r="D2116">
            <v>43140</v>
          </cell>
        </row>
        <row r="2117">
          <cell r="A2117" t="str">
            <v>GC</v>
          </cell>
          <cell r="D2117">
            <v>43273</v>
          </cell>
        </row>
        <row r="2118">
          <cell r="A2118" t="str">
            <v>GC</v>
          </cell>
          <cell r="D2118">
            <v>43402</v>
          </cell>
        </row>
        <row r="2119">
          <cell r="A2119" t="str">
            <v>GC</v>
          </cell>
          <cell r="D2119">
            <v>43230</v>
          </cell>
        </row>
        <row r="2120">
          <cell r="A2120" t="str">
            <v>GC</v>
          </cell>
          <cell r="D2120">
            <v>43234</v>
          </cell>
        </row>
        <row r="2121">
          <cell r="A2121" t="str">
            <v>GC</v>
          </cell>
          <cell r="D2121">
            <v>43359</v>
          </cell>
        </row>
        <row r="2122">
          <cell r="A2122" t="str">
            <v>GC</v>
          </cell>
          <cell r="D2122">
            <v>43222</v>
          </cell>
        </row>
        <row r="2123">
          <cell r="A2123" t="str">
            <v>GC</v>
          </cell>
          <cell r="D2123">
            <v>43203</v>
          </cell>
        </row>
        <row r="2124">
          <cell r="A2124" t="str">
            <v>GC</v>
          </cell>
          <cell r="D2124">
            <v>43113</v>
          </cell>
        </row>
        <row r="2125">
          <cell r="A2125" t="str">
            <v>IN</v>
          </cell>
          <cell r="D2125">
            <v>43281</v>
          </cell>
        </row>
        <row r="2126">
          <cell r="A2126" t="str">
            <v>ASEAN</v>
          </cell>
          <cell r="D2126">
            <v>43176</v>
          </cell>
        </row>
        <row r="2127">
          <cell r="A2127" t="str">
            <v>IN</v>
          </cell>
          <cell r="D2127">
            <v>43310</v>
          </cell>
        </row>
        <row r="2128">
          <cell r="A2128" t="str">
            <v>GC</v>
          </cell>
          <cell r="D2128">
            <v>43234</v>
          </cell>
        </row>
        <row r="2129">
          <cell r="A2129" t="str">
            <v>IN</v>
          </cell>
          <cell r="D2129">
            <v>43259</v>
          </cell>
        </row>
        <row r="2130">
          <cell r="A2130" t="str">
            <v>IN</v>
          </cell>
          <cell r="D2130">
            <v>43150</v>
          </cell>
        </row>
        <row r="2131">
          <cell r="A2131" t="str">
            <v>GC</v>
          </cell>
          <cell r="D2131">
            <v>43390</v>
          </cell>
        </row>
        <row r="2132">
          <cell r="A2132" t="str">
            <v>IN</v>
          </cell>
          <cell r="D2132">
            <v>43400</v>
          </cell>
        </row>
        <row r="2133">
          <cell r="A2133" t="str">
            <v>ANZ</v>
          </cell>
          <cell r="D2133">
            <v>43126</v>
          </cell>
        </row>
        <row r="2134">
          <cell r="A2134" t="str">
            <v>ANZ</v>
          </cell>
          <cell r="D2134">
            <v>43388</v>
          </cell>
        </row>
        <row r="2135">
          <cell r="A2135" t="str">
            <v>ASEAN</v>
          </cell>
          <cell r="D2135">
            <v>43138</v>
          </cell>
        </row>
        <row r="2136">
          <cell r="A2136" t="str">
            <v>ASEAN</v>
          </cell>
          <cell r="D2136">
            <v>43232</v>
          </cell>
        </row>
        <row r="2137">
          <cell r="A2137" t="str">
            <v>ASEAN</v>
          </cell>
          <cell r="D2137">
            <v>43464</v>
          </cell>
        </row>
        <row r="2138">
          <cell r="A2138" t="str">
            <v>IN</v>
          </cell>
          <cell r="D2138">
            <v>43103</v>
          </cell>
        </row>
        <row r="2139">
          <cell r="A2139" t="str">
            <v>IN</v>
          </cell>
          <cell r="D2139">
            <v>43208</v>
          </cell>
        </row>
        <row r="2140">
          <cell r="A2140" t="str">
            <v>ASEAN</v>
          </cell>
          <cell r="D2140">
            <v>43213</v>
          </cell>
        </row>
        <row r="2141">
          <cell r="A2141" t="str">
            <v>ANZ</v>
          </cell>
          <cell r="D2141">
            <v>43346</v>
          </cell>
        </row>
        <row r="2142">
          <cell r="A2142" t="str">
            <v>ANZ</v>
          </cell>
          <cell r="D2142">
            <v>43346</v>
          </cell>
        </row>
        <row r="2143">
          <cell r="A2143" t="str">
            <v>ANZ</v>
          </cell>
          <cell r="D2143">
            <v>43393</v>
          </cell>
        </row>
        <row r="2144">
          <cell r="A2144" t="str">
            <v>IN</v>
          </cell>
          <cell r="D2144">
            <v>43340</v>
          </cell>
        </row>
        <row r="2145">
          <cell r="A2145" t="str">
            <v>IN</v>
          </cell>
          <cell r="D2145">
            <v>43355</v>
          </cell>
        </row>
        <row r="2146">
          <cell r="A2146" t="str">
            <v>IN</v>
          </cell>
          <cell r="D2146">
            <v>43108</v>
          </cell>
        </row>
        <row r="2147">
          <cell r="A2147" t="str">
            <v>IN</v>
          </cell>
          <cell r="D2147">
            <v>43104</v>
          </cell>
        </row>
        <row r="2148">
          <cell r="A2148" t="str">
            <v>ANZ</v>
          </cell>
          <cell r="D2148">
            <v>43323</v>
          </cell>
        </row>
        <row r="2149">
          <cell r="A2149" t="str">
            <v>ANZ</v>
          </cell>
          <cell r="D2149">
            <v>43375</v>
          </cell>
        </row>
        <row r="2150">
          <cell r="A2150" t="str">
            <v>ASEAN</v>
          </cell>
          <cell r="D2150">
            <v>43247</v>
          </cell>
        </row>
        <row r="2151">
          <cell r="A2151" t="str">
            <v>ASEAN</v>
          </cell>
          <cell r="D2151">
            <v>43124</v>
          </cell>
        </row>
        <row r="2152">
          <cell r="A2152" t="str">
            <v>GC</v>
          </cell>
          <cell r="D2152">
            <v>43154</v>
          </cell>
        </row>
        <row r="2153">
          <cell r="A2153" t="str">
            <v>IN</v>
          </cell>
          <cell r="D2153">
            <v>43106</v>
          </cell>
        </row>
        <row r="2154">
          <cell r="A2154" t="str">
            <v>IN</v>
          </cell>
          <cell r="D2154">
            <v>43192</v>
          </cell>
        </row>
        <row r="2155">
          <cell r="A2155" t="str">
            <v>IN</v>
          </cell>
          <cell r="D2155">
            <v>43315</v>
          </cell>
        </row>
        <row r="2156">
          <cell r="A2156" t="str">
            <v>IN</v>
          </cell>
          <cell r="D2156">
            <v>43426</v>
          </cell>
        </row>
        <row r="2157">
          <cell r="A2157" t="str">
            <v>IN</v>
          </cell>
          <cell r="D2157">
            <v>43442</v>
          </cell>
        </row>
        <row r="2158">
          <cell r="A2158" t="str">
            <v>ASEAN</v>
          </cell>
          <cell r="D2158">
            <v>43102</v>
          </cell>
        </row>
        <row r="2159">
          <cell r="A2159" t="str">
            <v>IN</v>
          </cell>
          <cell r="D2159">
            <v>43428</v>
          </cell>
        </row>
        <row r="2160">
          <cell r="A2160" t="str">
            <v>ASEAN</v>
          </cell>
          <cell r="D2160">
            <v>43232</v>
          </cell>
        </row>
        <row r="2161">
          <cell r="A2161" t="str">
            <v>IN</v>
          </cell>
          <cell r="D2161">
            <v>43291</v>
          </cell>
        </row>
        <row r="2162">
          <cell r="A2162" t="str">
            <v>ASEAN</v>
          </cell>
          <cell r="D2162">
            <v>43448</v>
          </cell>
        </row>
        <row r="2163">
          <cell r="A2163" t="str">
            <v>IN</v>
          </cell>
          <cell r="D2163">
            <v>43179</v>
          </cell>
        </row>
        <row r="2164">
          <cell r="A2164" t="str">
            <v>GC</v>
          </cell>
          <cell r="D2164">
            <v>43275</v>
          </cell>
        </row>
        <row r="2165">
          <cell r="A2165" t="str">
            <v>ANZ</v>
          </cell>
          <cell r="D2165">
            <v>43404</v>
          </cell>
        </row>
        <row r="2166">
          <cell r="A2166" t="str">
            <v>IN</v>
          </cell>
          <cell r="D2166">
            <v>43146</v>
          </cell>
        </row>
        <row r="2167">
          <cell r="A2167" t="str">
            <v>GC</v>
          </cell>
          <cell r="D2167">
            <v>43310</v>
          </cell>
        </row>
        <row r="2168">
          <cell r="A2168" t="str">
            <v>GC</v>
          </cell>
          <cell r="D2168">
            <v>43202</v>
          </cell>
        </row>
        <row r="2169">
          <cell r="A2169" t="str">
            <v>GC</v>
          </cell>
          <cell r="D2169">
            <v>43172</v>
          </cell>
        </row>
        <row r="2170">
          <cell r="A2170" t="str">
            <v>GC</v>
          </cell>
          <cell r="D2170">
            <v>43416</v>
          </cell>
        </row>
        <row r="2171">
          <cell r="A2171" t="str">
            <v>GC</v>
          </cell>
          <cell r="D2171">
            <v>43248</v>
          </cell>
        </row>
        <row r="2172">
          <cell r="A2172" t="str">
            <v>GC</v>
          </cell>
          <cell r="D2172">
            <v>43267</v>
          </cell>
        </row>
        <row r="2173">
          <cell r="A2173" t="str">
            <v>GC</v>
          </cell>
          <cell r="D2173">
            <v>43298</v>
          </cell>
        </row>
        <row r="2174">
          <cell r="A2174" t="str">
            <v>GC</v>
          </cell>
          <cell r="D2174">
            <v>43147</v>
          </cell>
        </row>
        <row r="2175">
          <cell r="A2175" t="str">
            <v>GC</v>
          </cell>
          <cell r="D2175">
            <v>43384</v>
          </cell>
        </row>
        <row r="2176">
          <cell r="A2176" t="str">
            <v>GC</v>
          </cell>
          <cell r="D2176">
            <v>43111</v>
          </cell>
        </row>
        <row r="2177">
          <cell r="A2177" t="str">
            <v>GC</v>
          </cell>
          <cell r="D2177">
            <v>43325</v>
          </cell>
        </row>
        <row r="2178">
          <cell r="A2178" t="str">
            <v>GC</v>
          </cell>
          <cell r="D2178">
            <v>43458</v>
          </cell>
        </row>
        <row r="2179">
          <cell r="A2179" t="str">
            <v>GC</v>
          </cell>
          <cell r="D2179">
            <v>43218</v>
          </cell>
        </row>
        <row r="2180">
          <cell r="A2180" t="str">
            <v>GC</v>
          </cell>
          <cell r="D2180">
            <v>43131</v>
          </cell>
        </row>
        <row r="2181">
          <cell r="A2181" t="str">
            <v>GC</v>
          </cell>
          <cell r="D2181">
            <v>43374</v>
          </cell>
        </row>
        <row r="2182">
          <cell r="A2182" t="str">
            <v>GC</v>
          </cell>
          <cell r="D2182">
            <v>43170</v>
          </cell>
        </row>
        <row r="2183">
          <cell r="A2183" t="str">
            <v>GC</v>
          </cell>
          <cell r="D2183">
            <v>43189</v>
          </cell>
        </row>
        <row r="2184">
          <cell r="A2184" t="str">
            <v>GC</v>
          </cell>
          <cell r="D2184">
            <v>43111</v>
          </cell>
        </row>
        <row r="2185">
          <cell r="A2185" t="str">
            <v>GC</v>
          </cell>
          <cell r="D2185">
            <v>43414</v>
          </cell>
        </row>
        <row r="2186">
          <cell r="A2186" t="str">
            <v>GC</v>
          </cell>
          <cell r="D2186">
            <v>43418</v>
          </cell>
        </row>
        <row r="2187">
          <cell r="A2187" t="str">
            <v>GC</v>
          </cell>
          <cell r="D2187">
            <v>43344</v>
          </cell>
        </row>
        <row r="2188">
          <cell r="A2188" t="str">
            <v>GC</v>
          </cell>
          <cell r="D2188">
            <v>43260</v>
          </cell>
        </row>
        <row r="2189">
          <cell r="A2189" t="str">
            <v>GC</v>
          </cell>
          <cell r="D2189">
            <v>43256</v>
          </cell>
        </row>
        <row r="2190">
          <cell r="A2190" t="str">
            <v>GC</v>
          </cell>
          <cell r="D2190">
            <v>43107</v>
          </cell>
        </row>
        <row r="2191">
          <cell r="A2191" t="str">
            <v>GC</v>
          </cell>
          <cell r="D2191">
            <v>43139</v>
          </cell>
        </row>
        <row r="2192">
          <cell r="A2192" t="str">
            <v>GC</v>
          </cell>
          <cell r="D2192">
            <v>43287</v>
          </cell>
        </row>
        <row r="2193">
          <cell r="A2193" t="str">
            <v>GC</v>
          </cell>
          <cell r="D2193">
            <v>43126</v>
          </cell>
        </row>
        <row r="2194">
          <cell r="A2194" t="str">
            <v>GC</v>
          </cell>
          <cell r="D2194">
            <v>43361</v>
          </cell>
        </row>
        <row r="2195">
          <cell r="A2195" t="str">
            <v>GC</v>
          </cell>
          <cell r="D2195">
            <v>43158</v>
          </cell>
        </row>
        <row r="2196">
          <cell r="A2196" t="str">
            <v>GC</v>
          </cell>
          <cell r="D2196">
            <v>43153</v>
          </cell>
        </row>
        <row r="2197">
          <cell r="A2197" t="str">
            <v>GC</v>
          </cell>
          <cell r="D2197">
            <v>43330</v>
          </cell>
        </row>
        <row r="2198">
          <cell r="A2198" t="str">
            <v>GC</v>
          </cell>
          <cell r="D2198">
            <v>43181</v>
          </cell>
        </row>
        <row r="2199">
          <cell r="A2199" t="str">
            <v>GC</v>
          </cell>
          <cell r="D2199">
            <v>43117</v>
          </cell>
        </row>
        <row r="2200">
          <cell r="A2200" t="str">
            <v>GC</v>
          </cell>
          <cell r="D2200">
            <v>43262</v>
          </cell>
        </row>
        <row r="2201">
          <cell r="A2201" t="str">
            <v>GC</v>
          </cell>
          <cell r="D2201">
            <v>43414</v>
          </cell>
        </row>
        <row r="2202">
          <cell r="A2202" t="str">
            <v>GC</v>
          </cell>
          <cell r="D2202">
            <v>43127</v>
          </cell>
        </row>
        <row r="2203">
          <cell r="A2203" t="str">
            <v>GC</v>
          </cell>
          <cell r="D2203">
            <v>43361</v>
          </cell>
        </row>
        <row r="2204">
          <cell r="A2204" t="str">
            <v>GC</v>
          </cell>
          <cell r="D2204">
            <v>43114</v>
          </cell>
        </row>
        <row r="2205">
          <cell r="A2205" t="str">
            <v>GC</v>
          </cell>
          <cell r="D2205">
            <v>43412</v>
          </cell>
        </row>
        <row r="2206">
          <cell r="A2206" t="str">
            <v>GC</v>
          </cell>
          <cell r="D2206">
            <v>43181</v>
          </cell>
        </row>
        <row r="2207">
          <cell r="A2207" t="str">
            <v>GC</v>
          </cell>
          <cell r="D2207">
            <v>43426</v>
          </cell>
        </row>
        <row r="2208">
          <cell r="A2208" t="str">
            <v>GC</v>
          </cell>
          <cell r="D2208">
            <v>43101</v>
          </cell>
        </row>
        <row r="2209">
          <cell r="A2209" t="str">
            <v>GC</v>
          </cell>
          <cell r="D2209">
            <v>43180</v>
          </cell>
        </row>
        <row r="2210">
          <cell r="A2210" t="str">
            <v>GC</v>
          </cell>
          <cell r="D2210">
            <v>43159</v>
          </cell>
        </row>
        <row r="2211">
          <cell r="A2211" t="str">
            <v>GC</v>
          </cell>
          <cell r="D2211">
            <v>43409</v>
          </cell>
        </row>
        <row r="2212">
          <cell r="A2212" t="str">
            <v>GC</v>
          </cell>
          <cell r="D2212">
            <v>43234</v>
          </cell>
        </row>
        <row r="2213">
          <cell r="A2213" t="str">
            <v>GC</v>
          </cell>
          <cell r="D2213">
            <v>43181</v>
          </cell>
        </row>
        <row r="2214">
          <cell r="A2214" t="str">
            <v>GC</v>
          </cell>
          <cell r="D2214">
            <v>43131</v>
          </cell>
        </row>
        <row r="2215">
          <cell r="A2215" t="str">
            <v>GC</v>
          </cell>
          <cell r="D2215">
            <v>43261</v>
          </cell>
        </row>
        <row r="2216">
          <cell r="A2216" t="str">
            <v>GC</v>
          </cell>
          <cell r="D2216">
            <v>43156</v>
          </cell>
        </row>
        <row r="2217">
          <cell r="A2217" t="str">
            <v>GC</v>
          </cell>
          <cell r="D2217">
            <v>43199</v>
          </cell>
        </row>
        <row r="2218">
          <cell r="A2218" t="str">
            <v>GC</v>
          </cell>
          <cell r="D2218">
            <v>43409</v>
          </cell>
        </row>
        <row r="2219">
          <cell r="A2219" t="str">
            <v>GC</v>
          </cell>
          <cell r="D2219">
            <v>43267</v>
          </cell>
        </row>
        <row r="2220">
          <cell r="A2220" t="str">
            <v>GC</v>
          </cell>
          <cell r="D2220">
            <v>43147</v>
          </cell>
        </row>
        <row r="2221">
          <cell r="A2221" t="str">
            <v>GC</v>
          </cell>
          <cell r="D2221">
            <v>43345</v>
          </cell>
        </row>
        <row r="2222">
          <cell r="A2222" t="str">
            <v>GC</v>
          </cell>
          <cell r="D2222">
            <v>43307</v>
          </cell>
        </row>
        <row r="2223">
          <cell r="A2223" t="str">
            <v>GC</v>
          </cell>
          <cell r="D2223">
            <v>43286</v>
          </cell>
        </row>
        <row r="2224">
          <cell r="A2224" t="str">
            <v>IN</v>
          </cell>
          <cell r="D2224">
            <v>43328</v>
          </cell>
        </row>
        <row r="2225">
          <cell r="A2225" t="str">
            <v>IN</v>
          </cell>
          <cell r="D2225">
            <v>43184</v>
          </cell>
        </row>
        <row r="2226">
          <cell r="A2226" t="str">
            <v>ANZ</v>
          </cell>
          <cell r="D2226">
            <v>43131</v>
          </cell>
        </row>
        <row r="2227">
          <cell r="A2227" t="str">
            <v>ANZ</v>
          </cell>
          <cell r="D2227">
            <v>43453</v>
          </cell>
        </row>
        <row r="2228">
          <cell r="A2228" t="str">
            <v>ANZ</v>
          </cell>
          <cell r="D2228">
            <v>43286</v>
          </cell>
        </row>
        <row r="2229">
          <cell r="A2229" t="str">
            <v>KR</v>
          </cell>
          <cell r="D2229">
            <v>43194</v>
          </cell>
        </row>
        <row r="2230">
          <cell r="A2230" t="str">
            <v>KR</v>
          </cell>
          <cell r="D2230">
            <v>43437</v>
          </cell>
        </row>
        <row r="2231">
          <cell r="A2231" t="str">
            <v>KR</v>
          </cell>
          <cell r="D2231">
            <v>43238</v>
          </cell>
        </row>
        <row r="2232">
          <cell r="A2232" t="str">
            <v>ANZ</v>
          </cell>
          <cell r="D2232">
            <v>43248</v>
          </cell>
        </row>
        <row r="2233">
          <cell r="A2233" t="str">
            <v>ANZ</v>
          </cell>
          <cell r="D2233">
            <v>43419</v>
          </cell>
        </row>
        <row r="2234">
          <cell r="A2234" t="str">
            <v>ANZ</v>
          </cell>
          <cell r="D2234">
            <v>43430</v>
          </cell>
        </row>
        <row r="2235">
          <cell r="A2235" t="str">
            <v>GC</v>
          </cell>
          <cell r="D2235">
            <v>43324</v>
          </cell>
        </row>
        <row r="2236">
          <cell r="A2236" t="str">
            <v>GC</v>
          </cell>
          <cell r="D2236">
            <v>43395</v>
          </cell>
        </row>
        <row r="2237">
          <cell r="A2237" t="str">
            <v>GC</v>
          </cell>
          <cell r="D2237">
            <v>43192</v>
          </cell>
        </row>
        <row r="2238">
          <cell r="A2238" t="str">
            <v>GC</v>
          </cell>
          <cell r="D2238">
            <v>43265</v>
          </cell>
        </row>
        <row r="2239">
          <cell r="A2239" t="str">
            <v>GC</v>
          </cell>
          <cell r="D2239">
            <v>43371</v>
          </cell>
        </row>
        <row r="2240">
          <cell r="A2240" t="str">
            <v>GC</v>
          </cell>
          <cell r="D2240">
            <v>43459</v>
          </cell>
        </row>
        <row r="2241">
          <cell r="A2241" t="str">
            <v>GC</v>
          </cell>
          <cell r="D2241">
            <v>43325</v>
          </cell>
        </row>
        <row r="2242">
          <cell r="A2242" t="str">
            <v>IN</v>
          </cell>
          <cell r="D2242">
            <v>43376</v>
          </cell>
        </row>
        <row r="2243">
          <cell r="A2243" t="str">
            <v>IN</v>
          </cell>
          <cell r="D2243">
            <v>43260</v>
          </cell>
        </row>
        <row r="2244">
          <cell r="A2244" t="str">
            <v>ASEAN</v>
          </cell>
          <cell r="D2244">
            <v>43464</v>
          </cell>
        </row>
        <row r="2245">
          <cell r="A2245" t="str">
            <v>IN</v>
          </cell>
          <cell r="D2245">
            <v>43204</v>
          </cell>
        </row>
        <row r="2246">
          <cell r="A2246" t="str">
            <v>GC</v>
          </cell>
          <cell r="D2246">
            <v>43428</v>
          </cell>
        </row>
        <row r="2247">
          <cell r="A2247" t="str">
            <v>IN</v>
          </cell>
          <cell r="D2247">
            <v>43323</v>
          </cell>
        </row>
        <row r="2248">
          <cell r="A2248" t="str">
            <v>ANZ</v>
          </cell>
          <cell r="D2248">
            <v>43163</v>
          </cell>
        </row>
        <row r="2249">
          <cell r="A2249" t="str">
            <v>GC</v>
          </cell>
          <cell r="D2249">
            <v>43256</v>
          </cell>
        </row>
        <row r="2250">
          <cell r="A2250" t="str">
            <v>GC</v>
          </cell>
          <cell r="D2250">
            <v>43395</v>
          </cell>
        </row>
        <row r="2251">
          <cell r="A2251" t="str">
            <v>GC</v>
          </cell>
          <cell r="D2251">
            <v>43268</v>
          </cell>
        </row>
        <row r="2252">
          <cell r="A2252" t="str">
            <v>GC</v>
          </cell>
          <cell r="D2252">
            <v>43214</v>
          </cell>
        </row>
        <row r="2253">
          <cell r="A2253" t="str">
            <v>GC</v>
          </cell>
          <cell r="D2253">
            <v>43398</v>
          </cell>
        </row>
        <row r="2254">
          <cell r="A2254" t="str">
            <v>IN</v>
          </cell>
          <cell r="D2254">
            <v>43226</v>
          </cell>
        </row>
        <row r="2255">
          <cell r="A2255" t="str">
            <v>GC</v>
          </cell>
          <cell r="D2255">
            <v>43242</v>
          </cell>
        </row>
        <row r="2256">
          <cell r="A2256" t="str">
            <v>GC</v>
          </cell>
          <cell r="D2256">
            <v>43321</v>
          </cell>
        </row>
        <row r="2257">
          <cell r="A2257" t="str">
            <v>GC</v>
          </cell>
          <cell r="D2257">
            <v>43320</v>
          </cell>
        </row>
        <row r="2258">
          <cell r="A2258" t="str">
            <v>GC</v>
          </cell>
          <cell r="D2258">
            <v>43425</v>
          </cell>
        </row>
        <row r="2259">
          <cell r="A2259" t="str">
            <v>GC</v>
          </cell>
          <cell r="D2259">
            <v>43250</v>
          </cell>
        </row>
        <row r="2260">
          <cell r="A2260" t="str">
            <v>GC</v>
          </cell>
          <cell r="D2260">
            <v>43421</v>
          </cell>
        </row>
        <row r="2261">
          <cell r="A2261" t="str">
            <v>GC</v>
          </cell>
          <cell r="D2261">
            <v>43385</v>
          </cell>
        </row>
        <row r="2262">
          <cell r="A2262" t="str">
            <v>GC</v>
          </cell>
          <cell r="D2262">
            <v>43241</v>
          </cell>
        </row>
        <row r="2263">
          <cell r="A2263" t="str">
            <v>GC</v>
          </cell>
          <cell r="D2263">
            <v>43399</v>
          </cell>
        </row>
        <row r="2264">
          <cell r="A2264" t="str">
            <v>GC</v>
          </cell>
          <cell r="D2264">
            <v>43344</v>
          </cell>
        </row>
        <row r="2265">
          <cell r="A2265" t="str">
            <v>GC</v>
          </cell>
          <cell r="D2265">
            <v>43292</v>
          </cell>
        </row>
        <row r="2266">
          <cell r="A2266" t="str">
            <v>GC</v>
          </cell>
          <cell r="D2266">
            <v>43375</v>
          </cell>
        </row>
        <row r="2267">
          <cell r="A2267" t="str">
            <v>GC</v>
          </cell>
          <cell r="D2267">
            <v>43208</v>
          </cell>
        </row>
        <row r="2268">
          <cell r="A2268" t="str">
            <v>ANZ</v>
          </cell>
          <cell r="D2268">
            <v>43121</v>
          </cell>
        </row>
        <row r="2269">
          <cell r="A2269" t="str">
            <v>GC</v>
          </cell>
          <cell r="D2269">
            <v>43165</v>
          </cell>
        </row>
        <row r="2270">
          <cell r="A2270" t="str">
            <v>GC</v>
          </cell>
          <cell r="D2270">
            <v>43123</v>
          </cell>
        </row>
        <row r="2271">
          <cell r="A2271" t="str">
            <v>ANZ</v>
          </cell>
          <cell r="D2271">
            <v>43359</v>
          </cell>
        </row>
        <row r="2272">
          <cell r="A2272" t="str">
            <v>GC</v>
          </cell>
          <cell r="D2272">
            <v>43400</v>
          </cell>
        </row>
        <row r="2273">
          <cell r="A2273" t="str">
            <v>IN</v>
          </cell>
          <cell r="D2273">
            <v>43208</v>
          </cell>
        </row>
        <row r="2274">
          <cell r="A2274" t="str">
            <v>ANZ</v>
          </cell>
          <cell r="D2274">
            <v>43248</v>
          </cell>
        </row>
        <row r="2275">
          <cell r="A2275" t="str">
            <v>ANZ</v>
          </cell>
          <cell r="D2275">
            <v>43341</v>
          </cell>
        </row>
        <row r="2276">
          <cell r="A2276" t="str">
            <v>ANZ</v>
          </cell>
          <cell r="D2276">
            <v>43376</v>
          </cell>
        </row>
        <row r="2277">
          <cell r="A2277" t="str">
            <v>ANZ</v>
          </cell>
          <cell r="D2277">
            <v>43186</v>
          </cell>
        </row>
        <row r="2278">
          <cell r="A2278" t="str">
            <v>ASEAN</v>
          </cell>
          <cell r="D2278">
            <v>43227</v>
          </cell>
        </row>
        <row r="2279">
          <cell r="A2279" t="str">
            <v>ASEAN</v>
          </cell>
          <cell r="D2279">
            <v>43265</v>
          </cell>
        </row>
        <row r="2280">
          <cell r="A2280" t="str">
            <v>ASEAN</v>
          </cell>
          <cell r="D2280">
            <v>43239</v>
          </cell>
        </row>
        <row r="2281">
          <cell r="A2281" t="str">
            <v>IN</v>
          </cell>
          <cell r="D2281">
            <v>43394</v>
          </cell>
        </row>
        <row r="2282">
          <cell r="A2282" t="str">
            <v>IN</v>
          </cell>
          <cell r="D2282">
            <v>43188</v>
          </cell>
        </row>
        <row r="2283">
          <cell r="A2283" t="str">
            <v>IN</v>
          </cell>
          <cell r="D2283">
            <v>43302</v>
          </cell>
        </row>
        <row r="2284">
          <cell r="A2284" t="str">
            <v>IN</v>
          </cell>
          <cell r="D2284">
            <v>43369</v>
          </cell>
        </row>
        <row r="2285">
          <cell r="A2285" t="str">
            <v>IN</v>
          </cell>
          <cell r="D2285">
            <v>43459</v>
          </cell>
        </row>
        <row r="2286">
          <cell r="A2286" t="str">
            <v>IN</v>
          </cell>
          <cell r="D2286">
            <v>43362</v>
          </cell>
        </row>
        <row r="2287">
          <cell r="A2287" t="str">
            <v>IN</v>
          </cell>
          <cell r="D2287">
            <v>43413</v>
          </cell>
        </row>
        <row r="2288">
          <cell r="A2288" t="str">
            <v>IN</v>
          </cell>
          <cell r="D2288">
            <v>43269</v>
          </cell>
        </row>
        <row r="2289">
          <cell r="A2289" t="str">
            <v>IN</v>
          </cell>
          <cell r="D2289">
            <v>43245</v>
          </cell>
        </row>
        <row r="2290">
          <cell r="A2290" t="str">
            <v>GC</v>
          </cell>
          <cell r="D2290">
            <v>43351</v>
          </cell>
        </row>
        <row r="2291">
          <cell r="A2291" t="str">
            <v>ASEAN</v>
          </cell>
          <cell r="D2291">
            <v>43285</v>
          </cell>
        </row>
        <row r="2292">
          <cell r="A2292" t="str">
            <v>IN</v>
          </cell>
          <cell r="D2292">
            <v>43359</v>
          </cell>
        </row>
        <row r="2293">
          <cell r="A2293" t="str">
            <v>ANZ</v>
          </cell>
          <cell r="D2293">
            <v>43211</v>
          </cell>
        </row>
        <row r="2294">
          <cell r="A2294" t="str">
            <v>IN</v>
          </cell>
          <cell r="D2294">
            <v>43249</v>
          </cell>
        </row>
        <row r="2295">
          <cell r="A2295" t="str">
            <v>IN</v>
          </cell>
          <cell r="D2295">
            <v>43141</v>
          </cell>
        </row>
        <row r="2296">
          <cell r="A2296" t="str">
            <v>ASEAN</v>
          </cell>
          <cell r="D2296">
            <v>43260</v>
          </cell>
        </row>
        <row r="2297">
          <cell r="A2297" t="str">
            <v>IN</v>
          </cell>
          <cell r="D2297">
            <v>43225</v>
          </cell>
        </row>
        <row r="2298">
          <cell r="A2298" t="str">
            <v>ASEAN</v>
          </cell>
          <cell r="D2298">
            <v>43345</v>
          </cell>
        </row>
        <row r="2299">
          <cell r="A2299" t="str">
            <v>ASEAN</v>
          </cell>
          <cell r="D2299">
            <v>43325</v>
          </cell>
        </row>
        <row r="2300">
          <cell r="A2300" t="str">
            <v>ASEAN</v>
          </cell>
          <cell r="D2300">
            <v>43167</v>
          </cell>
        </row>
        <row r="2301">
          <cell r="A2301" t="str">
            <v>GC</v>
          </cell>
          <cell r="D2301">
            <v>43151</v>
          </cell>
        </row>
        <row r="2302">
          <cell r="A2302" t="str">
            <v>GC</v>
          </cell>
          <cell r="D2302">
            <v>43182</v>
          </cell>
        </row>
        <row r="2303">
          <cell r="A2303" t="str">
            <v>ASEAN</v>
          </cell>
          <cell r="D2303">
            <v>43139</v>
          </cell>
        </row>
        <row r="2304">
          <cell r="A2304" t="str">
            <v>ASEAN</v>
          </cell>
          <cell r="D2304">
            <v>43287</v>
          </cell>
        </row>
        <row r="2305">
          <cell r="A2305" t="str">
            <v>ANZ</v>
          </cell>
          <cell r="D2305">
            <v>43228</v>
          </cell>
        </row>
        <row r="2306">
          <cell r="A2306" t="str">
            <v>IN</v>
          </cell>
          <cell r="D2306">
            <v>43232</v>
          </cell>
        </row>
        <row r="2307">
          <cell r="A2307" t="str">
            <v>ASEAN</v>
          </cell>
          <cell r="D2307">
            <v>43165</v>
          </cell>
        </row>
        <row r="2308">
          <cell r="A2308" t="str">
            <v>IN</v>
          </cell>
          <cell r="D2308">
            <v>43160</v>
          </cell>
        </row>
        <row r="2309">
          <cell r="A2309" t="str">
            <v>IN</v>
          </cell>
          <cell r="D2309">
            <v>43419</v>
          </cell>
        </row>
        <row r="2310">
          <cell r="A2310" t="str">
            <v>ANZ</v>
          </cell>
          <cell r="D2310">
            <v>43179</v>
          </cell>
        </row>
        <row r="2311">
          <cell r="A2311" t="str">
            <v>ANZ</v>
          </cell>
          <cell r="D2311">
            <v>43167</v>
          </cell>
        </row>
        <row r="2312">
          <cell r="A2312" t="str">
            <v>ANZ</v>
          </cell>
          <cell r="D2312">
            <v>43289</v>
          </cell>
        </row>
        <row r="2313">
          <cell r="A2313" t="str">
            <v>ANZ</v>
          </cell>
          <cell r="D2313">
            <v>43311</v>
          </cell>
        </row>
        <row r="2314">
          <cell r="A2314" t="str">
            <v>ANZ</v>
          </cell>
          <cell r="D2314">
            <v>43444</v>
          </cell>
        </row>
        <row r="2315">
          <cell r="A2315" t="str">
            <v>IN</v>
          </cell>
          <cell r="D2315">
            <v>43308</v>
          </cell>
        </row>
        <row r="2316">
          <cell r="A2316" t="str">
            <v>IN</v>
          </cell>
          <cell r="D2316">
            <v>43306</v>
          </cell>
        </row>
        <row r="2317">
          <cell r="A2317" t="str">
            <v>ASEAN</v>
          </cell>
          <cell r="D2317">
            <v>43185</v>
          </cell>
        </row>
        <row r="2318">
          <cell r="A2318" t="str">
            <v>IN</v>
          </cell>
          <cell r="D2318">
            <v>43348</v>
          </cell>
        </row>
        <row r="2319">
          <cell r="A2319" t="str">
            <v>IN</v>
          </cell>
          <cell r="D2319">
            <v>43316</v>
          </cell>
        </row>
        <row r="2320">
          <cell r="A2320" t="str">
            <v>IN</v>
          </cell>
          <cell r="D2320">
            <v>43115</v>
          </cell>
        </row>
        <row r="2321">
          <cell r="A2321" t="str">
            <v>IN</v>
          </cell>
          <cell r="D2321">
            <v>43345</v>
          </cell>
        </row>
        <row r="2322">
          <cell r="A2322" t="str">
            <v>IN</v>
          </cell>
          <cell r="D2322">
            <v>43297</v>
          </cell>
        </row>
        <row r="2323">
          <cell r="A2323" t="str">
            <v>IN</v>
          </cell>
          <cell r="D2323">
            <v>43376</v>
          </cell>
        </row>
        <row r="2324">
          <cell r="A2324" t="str">
            <v>GC</v>
          </cell>
          <cell r="D2324">
            <v>43130</v>
          </cell>
        </row>
        <row r="2325">
          <cell r="A2325" t="str">
            <v>GC</v>
          </cell>
          <cell r="D2325">
            <v>43322</v>
          </cell>
        </row>
        <row r="2326">
          <cell r="A2326" t="str">
            <v>ANZ</v>
          </cell>
          <cell r="D2326">
            <v>43278</v>
          </cell>
        </row>
        <row r="2327">
          <cell r="A2327" t="str">
            <v>IN</v>
          </cell>
          <cell r="D2327">
            <v>43258</v>
          </cell>
        </row>
        <row r="2328">
          <cell r="A2328" t="str">
            <v>GC</v>
          </cell>
          <cell r="D2328">
            <v>43368</v>
          </cell>
        </row>
        <row r="2329">
          <cell r="A2329" t="str">
            <v>GC</v>
          </cell>
          <cell r="D2329">
            <v>43241</v>
          </cell>
        </row>
        <row r="2330">
          <cell r="A2330" t="str">
            <v>GC</v>
          </cell>
          <cell r="D2330">
            <v>43227</v>
          </cell>
        </row>
        <row r="2331">
          <cell r="A2331" t="str">
            <v>GC</v>
          </cell>
          <cell r="D2331">
            <v>43337</v>
          </cell>
        </row>
        <row r="2332">
          <cell r="A2332" t="str">
            <v>GC</v>
          </cell>
          <cell r="D2332">
            <v>43423</v>
          </cell>
        </row>
        <row r="2333">
          <cell r="A2333" t="str">
            <v>GC</v>
          </cell>
          <cell r="D2333">
            <v>43136</v>
          </cell>
        </row>
        <row r="2334">
          <cell r="A2334" t="str">
            <v>GC</v>
          </cell>
          <cell r="D2334">
            <v>43274</v>
          </cell>
        </row>
        <row r="2335">
          <cell r="A2335" t="str">
            <v>GC</v>
          </cell>
          <cell r="D2335">
            <v>43307</v>
          </cell>
        </row>
        <row r="2336">
          <cell r="A2336" t="str">
            <v>ANZ</v>
          </cell>
          <cell r="D2336">
            <v>43108</v>
          </cell>
        </row>
        <row r="2337">
          <cell r="A2337" t="str">
            <v>GC</v>
          </cell>
          <cell r="D2337">
            <v>43318</v>
          </cell>
        </row>
        <row r="2338">
          <cell r="A2338" t="str">
            <v>ASEAN</v>
          </cell>
          <cell r="D2338">
            <v>43268</v>
          </cell>
        </row>
        <row r="2339">
          <cell r="A2339" t="str">
            <v>GC</v>
          </cell>
          <cell r="D2339">
            <v>43268</v>
          </cell>
        </row>
        <row r="2340">
          <cell r="A2340" t="str">
            <v>IN</v>
          </cell>
          <cell r="D2340">
            <v>43222</v>
          </cell>
        </row>
        <row r="2341">
          <cell r="A2341" t="str">
            <v>IN</v>
          </cell>
          <cell r="D2341">
            <v>43353</v>
          </cell>
        </row>
        <row r="2342">
          <cell r="A2342" t="str">
            <v>ASEAN</v>
          </cell>
          <cell r="D2342">
            <v>43442</v>
          </cell>
        </row>
        <row r="2343">
          <cell r="A2343" t="str">
            <v>GC</v>
          </cell>
          <cell r="D2343">
            <v>43249</v>
          </cell>
        </row>
        <row r="2344">
          <cell r="A2344" t="str">
            <v>GC</v>
          </cell>
          <cell r="D2344">
            <v>43316</v>
          </cell>
        </row>
        <row r="2345">
          <cell r="A2345" t="str">
            <v>IN</v>
          </cell>
          <cell r="D2345">
            <v>43361</v>
          </cell>
        </row>
        <row r="2346">
          <cell r="A2346" t="str">
            <v>IN</v>
          </cell>
          <cell r="D2346">
            <v>43366</v>
          </cell>
        </row>
        <row r="2347">
          <cell r="A2347" t="str">
            <v>ANZ</v>
          </cell>
          <cell r="D2347">
            <v>43262</v>
          </cell>
        </row>
        <row r="2348">
          <cell r="A2348" t="str">
            <v>GC</v>
          </cell>
          <cell r="D2348">
            <v>43295</v>
          </cell>
        </row>
        <row r="2349">
          <cell r="A2349" t="str">
            <v>IN</v>
          </cell>
          <cell r="D2349">
            <v>43414</v>
          </cell>
        </row>
        <row r="2350">
          <cell r="A2350" t="str">
            <v>GC</v>
          </cell>
          <cell r="D2350">
            <v>43250</v>
          </cell>
        </row>
        <row r="2351">
          <cell r="A2351" t="str">
            <v>ANZ</v>
          </cell>
          <cell r="D2351">
            <v>43194</v>
          </cell>
        </row>
        <row r="2352">
          <cell r="A2352" t="str">
            <v>ANZ</v>
          </cell>
          <cell r="D2352">
            <v>43265</v>
          </cell>
        </row>
        <row r="2353">
          <cell r="A2353" t="str">
            <v>IN</v>
          </cell>
          <cell r="D2353">
            <v>43346</v>
          </cell>
        </row>
        <row r="2354">
          <cell r="A2354" t="str">
            <v>IN</v>
          </cell>
          <cell r="D2354">
            <v>43395</v>
          </cell>
        </row>
        <row r="2355">
          <cell r="A2355" t="str">
            <v>IN</v>
          </cell>
          <cell r="D2355">
            <v>43348</v>
          </cell>
        </row>
        <row r="2356">
          <cell r="A2356" t="str">
            <v>IN</v>
          </cell>
          <cell r="D2356">
            <v>43188</v>
          </cell>
        </row>
        <row r="2357">
          <cell r="A2357" t="str">
            <v>ASEAN</v>
          </cell>
          <cell r="D2357">
            <v>43433</v>
          </cell>
        </row>
        <row r="2358">
          <cell r="A2358" t="str">
            <v>IN</v>
          </cell>
          <cell r="D2358">
            <v>43106</v>
          </cell>
        </row>
        <row r="2359">
          <cell r="A2359" t="str">
            <v>IN</v>
          </cell>
          <cell r="D2359">
            <v>43333</v>
          </cell>
        </row>
        <row r="2360">
          <cell r="A2360" t="str">
            <v>IN</v>
          </cell>
          <cell r="D2360">
            <v>43122</v>
          </cell>
        </row>
        <row r="2361">
          <cell r="A2361" t="str">
            <v>ANZ</v>
          </cell>
          <cell r="D2361">
            <v>43226</v>
          </cell>
        </row>
        <row r="2362">
          <cell r="A2362" t="str">
            <v>IN</v>
          </cell>
          <cell r="D2362">
            <v>43156</v>
          </cell>
        </row>
        <row r="2363">
          <cell r="A2363" t="str">
            <v>KR</v>
          </cell>
          <cell r="D2363">
            <v>43440</v>
          </cell>
        </row>
        <row r="2364">
          <cell r="A2364" t="str">
            <v>KR</v>
          </cell>
          <cell r="D2364">
            <v>43190</v>
          </cell>
        </row>
        <row r="2365">
          <cell r="A2365" t="str">
            <v>KR</v>
          </cell>
          <cell r="D2365">
            <v>43195</v>
          </cell>
        </row>
        <row r="2366">
          <cell r="A2366" t="str">
            <v>KR</v>
          </cell>
          <cell r="D2366">
            <v>43172</v>
          </cell>
        </row>
        <row r="2367">
          <cell r="A2367" t="str">
            <v>KR</v>
          </cell>
          <cell r="D2367">
            <v>43220</v>
          </cell>
        </row>
        <row r="2368">
          <cell r="A2368" t="str">
            <v>GC</v>
          </cell>
          <cell r="D2368">
            <v>43118</v>
          </cell>
        </row>
        <row r="2369">
          <cell r="A2369" t="str">
            <v>KR</v>
          </cell>
          <cell r="D2369">
            <v>43225</v>
          </cell>
        </row>
        <row r="2370">
          <cell r="A2370" t="str">
            <v>GC</v>
          </cell>
          <cell r="D2370">
            <v>43233</v>
          </cell>
        </row>
        <row r="2371">
          <cell r="A2371" t="str">
            <v>GC</v>
          </cell>
          <cell r="D2371">
            <v>43455</v>
          </cell>
        </row>
        <row r="2372">
          <cell r="A2372" t="str">
            <v>IN</v>
          </cell>
          <cell r="D2372">
            <v>43318</v>
          </cell>
        </row>
        <row r="2373">
          <cell r="A2373" t="str">
            <v>IN</v>
          </cell>
          <cell r="D2373">
            <v>43416</v>
          </cell>
        </row>
        <row r="2374">
          <cell r="A2374" t="str">
            <v>IN</v>
          </cell>
          <cell r="D2374">
            <v>43327</v>
          </cell>
        </row>
        <row r="2375">
          <cell r="A2375" t="str">
            <v>ASEAN</v>
          </cell>
          <cell r="D2375">
            <v>43336</v>
          </cell>
        </row>
        <row r="2376">
          <cell r="A2376" t="str">
            <v>GC</v>
          </cell>
          <cell r="D2376">
            <v>43194</v>
          </cell>
        </row>
        <row r="2377">
          <cell r="A2377" t="str">
            <v>GC</v>
          </cell>
          <cell r="D2377">
            <v>43185</v>
          </cell>
        </row>
        <row r="2378">
          <cell r="A2378" t="str">
            <v>GC</v>
          </cell>
          <cell r="D2378">
            <v>43101</v>
          </cell>
        </row>
        <row r="2379">
          <cell r="A2379" t="str">
            <v>IN</v>
          </cell>
          <cell r="D2379">
            <v>43333</v>
          </cell>
        </row>
        <row r="2380">
          <cell r="A2380" t="str">
            <v>IN</v>
          </cell>
          <cell r="D2380">
            <v>43380</v>
          </cell>
        </row>
        <row r="2381">
          <cell r="A2381" t="str">
            <v>ANZ</v>
          </cell>
          <cell r="D2381">
            <v>43304</v>
          </cell>
        </row>
        <row r="2382">
          <cell r="A2382" t="str">
            <v>GC</v>
          </cell>
          <cell r="D2382">
            <v>43259</v>
          </cell>
        </row>
        <row r="2383">
          <cell r="A2383" t="str">
            <v>GC</v>
          </cell>
          <cell r="D2383">
            <v>43339</v>
          </cell>
        </row>
        <row r="2384">
          <cell r="A2384" t="str">
            <v>GC</v>
          </cell>
          <cell r="D2384">
            <v>43317</v>
          </cell>
        </row>
        <row r="2385">
          <cell r="A2385" t="str">
            <v>GC</v>
          </cell>
          <cell r="D2385">
            <v>43447</v>
          </cell>
        </row>
        <row r="2386">
          <cell r="A2386" t="str">
            <v>GC</v>
          </cell>
          <cell r="D2386">
            <v>43361</v>
          </cell>
        </row>
        <row r="2387">
          <cell r="A2387" t="str">
            <v>IN</v>
          </cell>
          <cell r="D2387">
            <v>43165</v>
          </cell>
        </row>
        <row r="2388">
          <cell r="A2388" t="str">
            <v>GC</v>
          </cell>
          <cell r="D2388">
            <v>43329</v>
          </cell>
        </row>
        <row r="2389">
          <cell r="A2389" t="str">
            <v>IN</v>
          </cell>
          <cell r="D2389">
            <v>43422</v>
          </cell>
        </row>
        <row r="2390">
          <cell r="A2390" t="str">
            <v>GC</v>
          </cell>
          <cell r="D2390">
            <v>43315</v>
          </cell>
        </row>
        <row r="2391">
          <cell r="A2391" t="str">
            <v>ANZ</v>
          </cell>
          <cell r="D2391">
            <v>43359</v>
          </cell>
        </row>
        <row r="2392">
          <cell r="A2392" t="str">
            <v>ASEAN</v>
          </cell>
          <cell r="D2392">
            <v>43149</v>
          </cell>
        </row>
        <row r="2393">
          <cell r="A2393" t="str">
            <v>GC</v>
          </cell>
          <cell r="D2393">
            <v>43392</v>
          </cell>
        </row>
        <row r="2394">
          <cell r="A2394" t="str">
            <v>IN</v>
          </cell>
          <cell r="D2394">
            <v>43268</v>
          </cell>
        </row>
        <row r="2395">
          <cell r="A2395" t="str">
            <v>ASEAN</v>
          </cell>
          <cell r="D2395">
            <v>43328</v>
          </cell>
        </row>
        <row r="2396">
          <cell r="A2396" t="str">
            <v>ASEAN</v>
          </cell>
          <cell r="D2396">
            <v>43242</v>
          </cell>
        </row>
        <row r="2397">
          <cell r="A2397" t="str">
            <v>ANZ</v>
          </cell>
          <cell r="D2397">
            <v>43437</v>
          </cell>
        </row>
        <row r="2398">
          <cell r="A2398" t="str">
            <v>ANZ</v>
          </cell>
          <cell r="D2398">
            <v>43215</v>
          </cell>
        </row>
        <row r="2399">
          <cell r="A2399" t="str">
            <v>ANZ</v>
          </cell>
          <cell r="D2399">
            <v>43203</v>
          </cell>
        </row>
        <row r="2400">
          <cell r="A2400" t="str">
            <v>ANZ</v>
          </cell>
          <cell r="D2400">
            <v>43436</v>
          </cell>
        </row>
        <row r="2401">
          <cell r="A2401" t="str">
            <v>ANZ</v>
          </cell>
          <cell r="D2401">
            <v>43280</v>
          </cell>
        </row>
        <row r="2402">
          <cell r="A2402" t="str">
            <v>IN</v>
          </cell>
          <cell r="D2402">
            <v>43366</v>
          </cell>
        </row>
        <row r="2403">
          <cell r="A2403" t="str">
            <v>IN</v>
          </cell>
          <cell r="D2403">
            <v>43253</v>
          </cell>
        </row>
        <row r="2404">
          <cell r="A2404" t="str">
            <v>ASEAN</v>
          </cell>
          <cell r="D2404">
            <v>43343</v>
          </cell>
        </row>
        <row r="2405">
          <cell r="A2405" t="str">
            <v>ANZ</v>
          </cell>
          <cell r="D2405">
            <v>43224</v>
          </cell>
        </row>
        <row r="2406">
          <cell r="A2406" t="str">
            <v>ANZ</v>
          </cell>
          <cell r="D2406">
            <v>43312</v>
          </cell>
        </row>
        <row r="2407">
          <cell r="A2407" t="str">
            <v>ANZ</v>
          </cell>
          <cell r="D2407">
            <v>43139</v>
          </cell>
        </row>
        <row r="2408">
          <cell r="A2408" t="str">
            <v>ANZ</v>
          </cell>
          <cell r="D2408">
            <v>43243</v>
          </cell>
        </row>
        <row r="2409">
          <cell r="A2409" t="str">
            <v>GC</v>
          </cell>
          <cell r="D2409">
            <v>43181</v>
          </cell>
        </row>
        <row r="2410">
          <cell r="A2410" t="str">
            <v>IN</v>
          </cell>
          <cell r="D2410">
            <v>43347</v>
          </cell>
        </row>
        <row r="2411">
          <cell r="A2411" t="str">
            <v>GC</v>
          </cell>
          <cell r="D2411">
            <v>43423</v>
          </cell>
        </row>
        <row r="2412">
          <cell r="A2412" t="str">
            <v>IN</v>
          </cell>
          <cell r="D2412">
            <v>43173</v>
          </cell>
        </row>
        <row r="2413">
          <cell r="A2413" t="str">
            <v>ASEAN</v>
          </cell>
          <cell r="D2413">
            <v>43152</v>
          </cell>
        </row>
        <row r="2414">
          <cell r="A2414" t="str">
            <v>IN</v>
          </cell>
          <cell r="D2414">
            <v>43440</v>
          </cell>
        </row>
        <row r="2415">
          <cell r="A2415" t="str">
            <v>IN</v>
          </cell>
          <cell r="D2415">
            <v>43279</v>
          </cell>
        </row>
        <row r="2416">
          <cell r="A2416" t="str">
            <v>ASEAN</v>
          </cell>
          <cell r="D2416">
            <v>43272</v>
          </cell>
        </row>
        <row r="2417">
          <cell r="A2417" t="str">
            <v>IN</v>
          </cell>
          <cell r="D2417">
            <v>43249</v>
          </cell>
        </row>
        <row r="2418">
          <cell r="A2418" t="str">
            <v>ASEAN</v>
          </cell>
          <cell r="D2418">
            <v>43194</v>
          </cell>
        </row>
        <row r="2419">
          <cell r="A2419" t="str">
            <v>ASEAN</v>
          </cell>
          <cell r="D2419">
            <v>43319</v>
          </cell>
        </row>
        <row r="2420">
          <cell r="A2420" t="str">
            <v>IN</v>
          </cell>
          <cell r="D2420">
            <v>43224</v>
          </cell>
        </row>
        <row r="2421">
          <cell r="A2421" t="str">
            <v>GC</v>
          </cell>
          <cell r="D2421">
            <v>43316</v>
          </cell>
        </row>
        <row r="2422">
          <cell r="A2422" t="str">
            <v>GC</v>
          </cell>
          <cell r="D2422">
            <v>43107</v>
          </cell>
        </row>
        <row r="2423">
          <cell r="A2423" t="str">
            <v>GC</v>
          </cell>
          <cell r="D2423">
            <v>43407</v>
          </cell>
        </row>
        <row r="2424">
          <cell r="A2424" t="str">
            <v>ASEAN</v>
          </cell>
          <cell r="D2424">
            <v>43335</v>
          </cell>
        </row>
        <row r="2425">
          <cell r="A2425" t="str">
            <v>IN</v>
          </cell>
          <cell r="D2425">
            <v>43450</v>
          </cell>
        </row>
        <row r="2426">
          <cell r="A2426" t="str">
            <v>IN</v>
          </cell>
          <cell r="D2426">
            <v>43310</v>
          </cell>
        </row>
        <row r="2427">
          <cell r="A2427" t="str">
            <v>IN</v>
          </cell>
          <cell r="D2427">
            <v>43214</v>
          </cell>
        </row>
        <row r="2428">
          <cell r="A2428" t="str">
            <v>ANZ</v>
          </cell>
          <cell r="D2428">
            <v>43199</v>
          </cell>
        </row>
        <row r="2429">
          <cell r="A2429" t="str">
            <v>IN</v>
          </cell>
          <cell r="D2429">
            <v>43329</v>
          </cell>
        </row>
        <row r="2430">
          <cell r="A2430" t="str">
            <v>IN</v>
          </cell>
          <cell r="D2430">
            <v>43336</v>
          </cell>
        </row>
        <row r="2431">
          <cell r="A2431" t="str">
            <v>IN</v>
          </cell>
          <cell r="D2431">
            <v>43125</v>
          </cell>
        </row>
        <row r="2432">
          <cell r="A2432" t="str">
            <v>IN</v>
          </cell>
          <cell r="D2432">
            <v>43364</v>
          </cell>
        </row>
        <row r="2433">
          <cell r="A2433" t="str">
            <v>IN</v>
          </cell>
          <cell r="D2433">
            <v>43238</v>
          </cell>
        </row>
        <row r="2434">
          <cell r="A2434" t="str">
            <v>ANZ</v>
          </cell>
          <cell r="D2434">
            <v>43257</v>
          </cell>
        </row>
        <row r="2435">
          <cell r="A2435" t="str">
            <v>ASEAN</v>
          </cell>
          <cell r="D2435">
            <v>43171</v>
          </cell>
        </row>
        <row r="2436">
          <cell r="A2436" t="str">
            <v>IN</v>
          </cell>
          <cell r="D2436">
            <v>43242</v>
          </cell>
        </row>
        <row r="2437">
          <cell r="A2437" t="str">
            <v>IN</v>
          </cell>
          <cell r="D2437">
            <v>43195</v>
          </cell>
        </row>
        <row r="2438">
          <cell r="A2438" t="str">
            <v>ANZ</v>
          </cell>
          <cell r="D2438">
            <v>43279</v>
          </cell>
        </row>
        <row r="2439">
          <cell r="A2439" t="str">
            <v>IN</v>
          </cell>
          <cell r="D2439">
            <v>43366</v>
          </cell>
        </row>
        <row r="2440">
          <cell r="A2440" t="str">
            <v>ASEAN</v>
          </cell>
          <cell r="D2440">
            <v>43110</v>
          </cell>
        </row>
        <row r="2441">
          <cell r="A2441" t="str">
            <v>GC</v>
          </cell>
          <cell r="D2441">
            <v>43386</v>
          </cell>
        </row>
        <row r="2442">
          <cell r="A2442" t="str">
            <v>ASEAN</v>
          </cell>
          <cell r="D2442">
            <v>43161</v>
          </cell>
        </row>
        <row r="2443">
          <cell r="A2443" t="str">
            <v>IN</v>
          </cell>
          <cell r="D2443">
            <v>43109</v>
          </cell>
        </row>
        <row r="2444">
          <cell r="A2444" t="str">
            <v>GC</v>
          </cell>
          <cell r="D2444">
            <v>43441</v>
          </cell>
        </row>
        <row r="2445">
          <cell r="A2445" t="str">
            <v>ASEAN</v>
          </cell>
          <cell r="D2445">
            <v>43259</v>
          </cell>
        </row>
        <row r="2446">
          <cell r="A2446" t="str">
            <v>IN</v>
          </cell>
          <cell r="D2446">
            <v>43402</v>
          </cell>
        </row>
        <row r="2447">
          <cell r="A2447" t="str">
            <v>IN</v>
          </cell>
          <cell r="D2447">
            <v>43459</v>
          </cell>
        </row>
        <row r="2448">
          <cell r="A2448" t="str">
            <v>IN</v>
          </cell>
          <cell r="D2448">
            <v>43107</v>
          </cell>
        </row>
        <row r="2449">
          <cell r="A2449" t="str">
            <v>IN</v>
          </cell>
          <cell r="D2449">
            <v>43313</v>
          </cell>
        </row>
        <row r="2450">
          <cell r="A2450" t="str">
            <v>IN</v>
          </cell>
          <cell r="D2450">
            <v>43181</v>
          </cell>
        </row>
        <row r="2451">
          <cell r="A2451" t="str">
            <v>IN</v>
          </cell>
          <cell r="D2451">
            <v>43428</v>
          </cell>
        </row>
        <row r="2452">
          <cell r="A2452" t="str">
            <v>KR</v>
          </cell>
          <cell r="D2452">
            <v>43232</v>
          </cell>
        </row>
        <row r="2453">
          <cell r="A2453" t="str">
            <v>KR</v>
          </cell>
          <cell r="D2453">
            <v>43363</v>
          </cell>
        </row>
        <row r="2454">
          <cell r="A2454" t="str">
            <v>KR</v>
          </cell>
          <cell r="D2454">
            <v>43300</v>
          </cell>
        </row>
        <row r="2455">
          <cell r="A2455" t="str">
            <v>KR</v>
          </cell>
          <cell r="D2455">
            <v>43147</v>
          </cell>
        </row>
        <row r="2456">
          <cell r="A2456" t="str">
            <v>GC</v>
          </cell>
          <cell r="D2456">
            <v>43269</v>
          </cell>
        </row>
        <row r="2457">
          <cell r="A2457" t="str">
            <v>GC</v>
          </cell>
          <cell r="D2457">
            <v>43203</v>
          </cell>
        </row>
        <row r="2458">
          <cell r="A2458" t="str">
            <v>GC</v>
          </cell>
          <cell r="D2458">
            <v>43101</v>
          </cell>
        </row>
        <row r="2459">
          <cell r="A2459" t="str">
            <v>GC</v>
          </cell>
          <cell r="D2459">
            <v>43192</v>
          </cell>
        </row>
        <row r="2460">
          <cell r="A2460" t="str">
            <v>GC</v>
          </cell>
          <cell r="D2460">
            <v>43285</v>
          </cell>
        </row>
        <row r="2461">
          <cell r="A2461" t="str">
            <v>GC</v>
          </cell>
          <cell r="D2461">
            <v>43322</v>
          </cell>
        </row>
        <row r="2462">
          <cell r="A2462" t="str">
            <v>IN</v>
          </cell>
          <cell r="D2462">
            <v>43335</v>
          </cell>
        </row>
        <row r="2463">
          <cell r="A2463" t="str">
            <v>IN</v>
          </cell>
          <cell r="D2463">
            <v>43426</v>
          </cell>
        </row>
        <row r="2464">
          <cell r="A2464" t="str">
            <v>ANZ</v>
          </cell>
          <cell r="D2464">
            <v>43102</v>
          </cell>
        </row>
        <row r="2465">
          <cell r="A2465" t="str">
            <v>ANZ</v>
          </cell>
          <cell r="D2465">
            <v>43280</v>
          </cell>
        </row>
        <row r="2466">
          <cell r="A2466" t="str">
            <v>IN</v>
          </cell>
          <cell r="D2466">
            <v>43381</v>
          </cell>
        </row>
        <row r="2467">
          <cell r="A2467" t="str">
            <v>GC</v>
          </cell>
          <cell r="D2467">
            <v>43272</v>
          </cell>
        </row>
        <row r="2468">
          <cell r="A2468" t="str">
            <v>ASEAN</v>
          </cell>
          <cell r="D2468">
            <v>43382</v>
          </cell>
        </row>
        <row r="2469">
          <cell r="A2469" t="str">
            <v>IN</v>
          </cell>
          <cell r="D2469">
            <v>43374</v>
          </cell>
        </row>
        <row r="2470">
          <cell r="A2470" t="str">
            <v>ASEAN</v>
          </cell>
          <cell r="D2470">
            <v>43154</v>
          </cell>
        </row>
        <row r="2471">
          <cell r="A2471" t="str">
            <v>GC</v>
          </cell>
          <cell r="D2471">
            <v>43105</v>
          </cell>
        </row>
        <row r="2472">
          <cell r="A2472" t="str">
            <v>ASEAN</v>
          </cell>
          <cell r="D2472">
            <v>43383</v>
          </cell>
        </row>
        <row r="2473">
          <cell r="A2473" t="str">
            <v>GC</v>
          </cell>
          <cell r="D2473">
            <v>43118</v>
          </cell>
        </row>
        <row r="2474">
          <cell r="A2474" t="str">
            <v>IN</v>
          </cell>
          <cell r="D2474">
            <v>43281</v>
          </cell>
        </row>
        <row r="2475">
          <cell r="A2475" t="str">
            <v>IN</v>
          </cell>
          <cell r="D2475">
            <v>43229</v>
          </cell>
        </row>
        <row r="2476">
          <cell r="A2476" t="str">
            <v>ASEAN</v>
          </cell>
          <cell r="D2476">
            <v>43138</v>
          </cell>
        </row>
        <row r="2477">
          <cell r="A2477" t="str">
            <v>IN</v>
          </cell>
          <cell r="D2477">
            <v>43252</v>
          </cell>
        </row>
        <row r="2478">
          <cell r="A2478" t="str">
            <v>IN</v>
          </cell>
          <cell r="D2478">
            <v>43416</v>
          </cell>
        </row>
        <row r="2479">
          <cell r="A2479" t="str">
            <v>IN</v>
          </cell>
          <cell r="D2479">
            <v>43352</v>
          </cell>
        </row>
        <row r="2480">
          <cell r="A2480" t="str">
            <v>IN</v>
          </cell>
          <cell r="D2480">
            <v>43346</v>
          </cell>
        </row>
        <row r="2481">
          <cell r="A2481" t="str">
            <v>IN</v>
          </cell>
          <cell r="D2481">
            <v>43347</v>
          </cell>
        </row>
        <row r="2482">
          <cell r="A2482" t="str">
            <v>GC</v>
          </cell>
          <cell r="D2482">
            <v>43438</v>
          </cell>
        </row>
        <row r="2483">
          <cell r="A2483" t="str">
            <v>IN</v>
          </cell>
          <cell r="D2483">
            <v>43173</v>
          </cell>
        </row>
        <row r="2484">
          <cell r="A2484" t="str">
            <v>ASEAN</v>
          </cell>
          <cell r="D2484">
            <v>43404</v>
          </cell>
        </row>
        <row r="2485">
          <cell r="A2485" t="str">
            <v>ASEAN</v>
          </cell>
          <cell r="D2485">
            <v>43114</v>
          </cell>
        </row>
        <row r="2486">
          <cell r="A2486" t="str">
            <v>IN</v>
          </cell>
          <cell r="D2486">
            <v>43312</v>
          </cell>
        </row>
        <row r="2487">
          <cell r="A2487" t="str">
            <v>IN</v>
          </cell>
          <cell r="D2487">
            <v>43328</v>
          </cell>
        </row>
        <row r="2488">
          <cell r="A2488" t="str">
            <v>IN</v>
          </cell>
          <cell r="D2488">
            <v>43348</v>
          </cell>
        </row>
        <row r="2489">
          <cell r="A2489" t="str">
            <v>IN</v>
          </cell>
          <cell r="D2489">
            <v>43338</v>
          </cell>
        </row>
        <row r="2490">
          <cell r="A2490" t="str">
            <v>ANZ</v>
          </cell>
          <cell r="D2490">
            <v>43118</v>
          </cell>
        </row>
        <row r="2491">
          <cell r="A2491" t="str">
            <v>IN</v>
          </cell>
          <cell r="D2491">
            <v>43214</v>
          </cell>
        </row>
        <row r="2492">
          <cell r="A2492" t="str">
            <v>IN</v>
          </cell>
          <cell r="D2492">
            <v>43128</v>
          </cell>
        </row>
        <row r="2493">
          <cell r="A2493" t="str">
            <v>IN</v>
          </cell>
          <cell r="D2493">
            <v>43144</v>
          </cell>
        </row>
        <row r="2494">
          <cell r="A2494" t="str">
            <v>ANZ</v>
          </cell>
          <cell r="D2494">
            <v>43205</v>
          </cell>
        </row>
        <row r="2495">
          <cell r="A2495" t="str">
            <v>ASEAN</v>
          </cell>
          <cell r="D2495">
            <v>43134</v>
          </cell>
        </row>
        <row r="2496">
          <cell r="A2496" t="str">
            <v>ANZ</v>
          </cell>
          <cell r="D2496">
            <v>43271</v>
          </cell>
        </row>
        <row r="2497">
          <cell r="A2497" t="str">
            <v>ANZ</v>
          </cell>
          <cell r="D2497">
            <v>43207</v>
          </cell>
        </row>
        <row r="2498">
          <cell r="A2498" t="str">
            <v>IN</v>
          </cell>
          <cell r="D2498">
            <v>43429</v>
          </cell>
        </row>
        <row r="2499">
          <cell r="A2499" t="str">
            <v>IN</v>
          </cell>
          <cell r="D2499">
            <v>43164</v>
          </cell>
        </row>
        <row r="2500">
          <cell r="A2500" t="str">
            <v>IN</v>
          </cell>
          <cell r="D2500">
            <v>43149</v>
          </cell>
        </row>
        <row r="2501">
          <cell r="A2501" t="str">
            <v>ANZ</v>
          </cell>
          <cell r="D2501">
            <v>43183</v>
          </cell>
        </row>
        <row r="2502">
          <cell r="A2502" t="str">
            <v>ASEAN</v>
          </cell>
          <cell r="D2502">
            <v>43413</v>
          </cell>
        </row>
        <row r="2503">
          <cell r="A2503" t="str">
            <v>GC</v>
          </cell>
          <cell r="D2503">
            <v>43156</v>
          </cell>
        </row>
        <row r="2504">
          <cell r="A2504" t="str">
            <v>IN</v>
          </cell>
          <cell r="D2504">
            <v>43137</v>
          </cell>
        </row>
        <row r="2505">
          <cell r="A2505" t="str">
            <v>ANZ</v>
          </cell>
          <cell r="D2505">
            <v>43240</v>
          </cell>
        </row>
        <row r="2506">
          <cell r="A2506" t="str">
            <v>GC</v>
          </cell>
          <cell r="D2506">
            <v>43243</v>
          </cell>
        </row>
        <row r="2507">
          <cell r="A2507" t="str">
            <v>ASEAN</v>
          </cell>
          <cell r="D2507">
            <v>43143</v>
          </cell>
        </row>
        <row r="2508">
          <cell r="A2508" t="str">
            <v>GC</v>
          </cell>
          <cell r="D2508">
            <v>43401</v>
          </cell>
        </row>
        <row r="2509">
          <cell r="A2509" t="str">
            <v>GC</v>
          </cell>
          <cell r="D2509">
            <v>43230</v>
          </cell>
        </row>
        <row r="2510">
          <cell r="A2510" t="str">
            <v>GC</v>
          </cell>
          <cell r="D2510">
            <v>43264</v>
          </cell>
        </row>
        <row r="2511">
          <cell r="A2511" t="str">
            <v>IN</v>
          </cell>
          <cell r="D2511">
            <v>43314</v>
          </cell>
        </row>
        <row r="2512">
          <cell r="A2512" t="str">
            <v>GC</v>
          </cell>
          <cell r="D2512">
            <v>43406</v>
          </cell>
        </row>
        <row r="2513">
          <cell r="A2513" t="str">
            <v>IN</v>
          </cell>
          <cell r="D2513">
            <v>43277</v>
          </cell>
        </row>
        <row r="2514">
          <cell r="A2514" t="str">
            <v>IN</v>
          </cell>
          <cell r="D2514">
            <v>43170</v>
          </cell>
        </row>
        <row r="2515">
          <cell r="A2515" t="str">
            <v>ASEAN</v>
          </cell>
          <cell r="D2515">
            <v>43439</v>
          </cell>
        </row>
        <row r="2516">
          <cell r="A2516" t="str">
            <v>GC</v>
          </cell>
          <cell r="D2516">
            <v>43243</v>
          </cell>
        </row>
        <row r="2517">
          <cell r="A2517" t="str">
            <v>IN</v>
          </cell>
          <cell r="D2517">
            <v>43122</v>
          </cell>
        </row>
        <row r="2518">
          <cell r="A2518" t="str">
            <v>IN</v>
          </cell>
          <cell r="D2518">
            <v>43106</v>
          </cell>
        </row>
        <row r="2519">
          <cell r="A2519" t="str">
            <v>IN</v>
          </cell>
          <cell r="D2519">
            <v>43321</v>
          </cell>
        </row>
        <row r="2520">
          <cell r="A2520" t="str">
            <v>IN</v>
          </cell>
          <cell r="D2520">
            <v>43340</v>
          </cell>
        </row>
        <row r="2521">
          <cell r="A2521" t="str">
            <v>GC</v>
          </cell>
          <cell r="D2521">
            <v>43266</v>
          </cell>
        </row>
        <row r="2522">
          <cell r="A2522" t="str">
            <v>GC</v>
          </cell>
          <cell r="D2522">
            <v>43259</v>
          </cell>
        </row>
        <row r="2523">
          <cell r="A2523" t="str">
            <v>GC</v>
          </cell>
          <cell r="D2523">
            <v>43325</v>
          </cell>
        </row>
        <row r="2524">
          <cell r="A2524" t="str">
            <v>IN</v>
          </cell>
          <cell r="D2524">
            <v>43377</v>
          </cell>
        </row>
        <row r="2525">
          <cell r="A2525" t="str">
            <v>ASEAN</v>
          </cell>
          <cell r="D2525">
            <v>43219</v>
          </cell>
        </row>
        <row r="2526">
          <cell r="A2526" t="str">
            <v>ASEAN</v>
          </cell>
          <cell r="D2526">
            <v>43107</v>
          </cell>
        </row>
        <row r="2527">
          <cell r="A2527" t="str">
            <v>GC</v>
          </cell>
          <cell r="D2527">
            <v>43358</v>
          </cell>
        </row>
        <row r="2528">
          <cell r="A2528" t="str">
            <v>GC</v>
          </cell>
          <cell r="D2528">
            <v>43248</v>
          </cell>
        </row>
        <row r="2529">
          <cell r="A2529" t="str">
            <v>ANZ</v>
          </cell>
          <cell r="D2529">
            <v>43199</v>
          </cell>
        </row>
        <row r="2530">
          <cell r="A2530" t="str">
            <v>ANZ</v>
          </cell>
          <cell r="D2530">
            <v>43381</v>
          </cell>
        </row>
        <row r="2531">
          <cell r="A2531" t="str">
            <v>ANZ</v>
          </cell>
          <cell r="D2531">
            <v>43319</v>
          </cell>
        </row>
        <row r="2532">
          <cell r="A2532" t="str">
            <v>ANZ</v>
          </cell>
          <cell r="D2532">
            <v>43252</v>
          </cell>
        </row>
        <row r="2533">
          <cell r="A2533" t="str">
            <v>IN</v>
          </cell>
          <cell r="D2533">
            <v>43156</v>
          </cell>
        </row>
        <row r="2534">
          <cell r="A2534" t="str">
            <v>GC</v>
          </cell>
          <cell r="D2534">
            <v>43176</v>
          </cell>
        </row>
        <row r="2535">
          <cell r="A2535" t="str">
            <v>IN</v>
          </cell>
          <cell r="D2535">
            <v>43320</v>
          </cell>
        </row>
        <row r="2536">
          <cell r="A2536" t="str">
            <v>GC</v>
          </cell>
          <cell r="D2536">
            <v>43129</v>
          </cell>
        </row>
        <row r="2537">
          <cell r="A2537" t="str">
            <v>IN</v>
          </cell>
          <cell r="D2537">
            <v>43134</v>
          </cell>
        </row>
        <row r="2538">
          <cell r="A2538" t="str">
            <v>IN</v>
          </cell>
          <cell r="D2538">
            <v>43218</v>
          </cell>
        </row>
        <row r="2539">
          <cell r="A2539" t="str">
            <v>ANZ</v>
          </cell>
          <cell r="D2539">
            <v>43215</v>
          </cell>
        </row>
        <row r="2540">
          <cell r="A2540" t="str">
            <v>IN</v>
          </cell>
          <cell r="D2540">
            <v>43201</v>
          </cell>
        </row>
        <row r="2541">
          <cell r="A2541" t="str">
            <v>KR</v>
          </cell>
          <cell r="D2541">
            <v>43342</v>
          </cell>
        </row>
        <row r="2542">
          <cell r="A2542" t="str">
            <v>GC</v>
          </cell>
          <cell r="D2542">
            <v>43185</v>
          </cell>
        </row>
        <row r="2543">
          <cell r="A2543" t="str">
            <v>KR</v>
          </cell>
          <cell r="D2543">
            <v>43413</v>
          </cell>
        </row>
        <row r="2544">
          <cell r="A2544" t="str">
            <v>GC</v>
          </cell>
          <cell r="D2544">
            <v>43108</v>
          </cell>
        </row>
        <row r="2545">
          <cell r="A2545" t="str">
            <v>ANZ</v>
          </cell>
          <cell r="D2545">
            <v>43271</v>
          </cell>
        </row>
        <row r="2546">
          <cell r="A2546" t="str">
            <v>GC</v>
          </cell>
          <cell r="D2546">
            <v>43370</v>
          </cell>
        </row>
        <row r="2547">
          <cell r="A2547" t="str">
            <v>GC</v>
          </cell>
          <cell r="D2547">
            <v>43242</v>
          </cell>
        </row>
        <row r="2548">
          <cell r="A2548" t="str">
            <v>GC</v>
          </cell>
          <cell r="D2548">
            <v>43140</v>
          </cell>
        </row>
        <row r="2549">
          <cell r="A2549" t="str">
            <v>ASEAN</v>
          </cell>
          <cell r="D2549">
            <v>43382</v>
          </cell>
        </row>
        <row r="2550">
          <cell r="A2550" t="str">
            <v>GC</v>
          </cell>
          <cell r="D2550">
            <v>43385</v>
          </cell>
        </row>
        <row r="2551">
          <cell r="A2551" t="str">
            <v>ASEAN</v>
          </cell>
          <cell r="D2551">
            <v>43353</v>
          </cell>
        </row>
        <row r="2552">
          <cell r="A2552" t="str">
            <v>ASEAN</v>
          </cell>
          <cell r="D2552">
            <v>43376</v>
          </cell>
        </row>
        <row r="2553">
          <cell r="A2553" t="str">
            <v>KR</v>
          </cell>
          <cell r="D2553">
            <v>43319</v>
          </cell>
        </row>
        <row r="2554">
          <cell r="A2554" t="str">
            <v>KR</v>
          </cell>
          <cell r="D2554">
            <v>43382</v>
          </cell>
        </row>
        <row r="2555">
          <cell r="A2555" t="str">
            <v>KR</v>
          </cell>
          <cell r="D2555">
            <v>43348</v>
          </cell>
        </row>
        <row r="2556">
          <cell r="A2556" t="str">
            <v>KR</v>
          </cell>
          <cell r="D2556">
            <v>43284</v>
          </cell>
        </row>
        <row r="2557">
          <cell r="A2557" t="str">
            <v>ASEAN</v>
          </cell>
          <cell r="D2557">
            <v>43190</v>
          </cell>
        </row>
        <row r="2558">
          <cell r="A2558" t="str">
            <v>ASEAN</v>
          </cell>
          <cell r="D2558">
            <v>43321</v>
          </cell>
        </row>
        <row r="2559">
          <cell r="A2559" t="str">
            <v>ASEAN</v>
          </cell>
          <cell r="D2559">
            <v>43269</v>
          </cell>
        </row>
        <row r="2560">
          <cell r="A2560" t="str">
            <v>IN</v>
          </cell>
          <cell r="D2560">
            <v>43229</v>
          </cell>
        </row>
        <row r="2561">
          <cell r="A2561" t="str">
            <v>ASEAN</v>
          </cell>
          <cell r="D2561">
            <v>43283</v>
          </cell>
        </row>
        <row r="2562">
          <cell r="A2562" t="str">
            <v>ANZ</v>
          </cell>
          <cell r="D2562">
            <v>43154</v>
          </cell>
        </row>
        <row r="2563">
          <cell r="A2563" t="str">
            <v>ANZ</v>
          </cell>
          <cell r="D2563">
            <v>43310</v>
          </cell>
        </row>
        <row r="2564">
          <cell r="A2564" t="str">
            <v>GC</v>
          </cell>
          <cell r="D2564">
            <v>43361</v>
          </cell>
        </row>
        <row r="2565">
          <cell r="A2565" t="str">
            <v>GC</v>
          </cell>
          <cell r="D2565">
            <v>43416</v>
          </cell>
        </row>
        <row r="2566">
          <cell r="A2566" t="str">
            <v>ANZ</v>
          </cell>
          <cell r="D2566">
            <v>43435</v>
          </cell>
        </row>
        <row r="2567">
          <cell r="A2567" t="str">
            <v>ANZ</v>
          </cell>
          <cell r="D2567">
            <v>43125</v>
          </cell>
        </row>
        <row r="2568">
          <cell r="A2568" t="str">
            <v>ASEAN</v>
          </cell>
          <cell r="D2568">
            <v>43266</v>
          </cell>
        </row>
        <row r="2569">
          <cell r="A2569" t="str">
            <v>GC</v>
          </cell>
          <cell r="D2569">
            <v>43433</v>
          </cell>
        </row>
        <row r="2570">
          <cell r="A2570" t="str">
            <v>GC</v>
          </cell>
          <cell r="D2570">
            <v>43317</v>
          </cell>
        </row>
        <row r="2571">
          <cell r="A2571" t="str">
            <v>KR</v>
          </cell>
          <cell r="D2571">
            <v>43381</v>
          </cell>
        </row>
        <row r="2572">
          <cell r="A2572" t="str">
            <v>KR</v>
          </cell>
          <cell r="D2572">
            <v>43189</v>
          </cell>
        </row>
        <row r="2573">
          <cell r="A2573" t="str">
            <v>KR</v>
          </cell>
          <cell r="D2573">
            <v>43449</v>
          </cell>
        </row>
        <row r="2574">
          <cell r="A2574" t="str">
            <v>KR</v>
          </cell>
          <cell r="D2574">
            <v>43444</v>
          </cell>
        </row>
        <row r="2575">
          <cell r="A2575" t="str">
            <v>IN</v>
          </cell>
          <cell r="D2575">
            <v>43281</v>
          </cell>
        </row>
        <row r="2576">
          <cell r="A2576" t="str">
            <v>GC</v>
          </cell>
          <cell r="D2576">
            <v>43191</v>
          </cell>
        </row>
        <row r="2577">
          <cell r="A2577" t="str">
            <v>GC</v>
          </cell>
          <cell r="D2577">
            <v>43374</v>
          </cell>
        </row>
        <row r="2578">
          <cell r="A2578" t="str">
            <v>IN</v>
          </cell>
          <cell r="D2578">
            <v>43301</v>
          </cell>
        </row>
        <row r="2579">
          <cell r="A2579" t="str">
            <v>ASEAN</v>
          </cell>
          <cell r="D2579">
            <v>43238</v>
          </cell>
        </row>
        <row r="2580">
          <cell r="A2580" t="str">
            <v>IN</v>
          </cell>
          <cell r="D2580">
            <v>43403</v>
          </cell>
        </row>
        <row r="2581">
          <cell r="A2581" t="str">
            <v>GC</v>
          </cell>
          <cell r="D2581">
            <v>43451</v>
          </cell>
        </row>
        <row r="2582">
          <cell r="A2582" t="str">
            <v>GC</v>
          </cell>
          <cell r="D2582">
            <v>43168</v>
          </cell>
        </row>
        <row r="2583">
          <cell r="A2583" t="str">
            <v>ANZ</v>
          </cell>
          <cell r="D2583">
            <v>43345</v>
          </cell>
        </row>
        <row r="2584">
          <cell r="A2584" t="str">
            <v>IN</v>
          </cell>
          <cell r="D2584">
            <v>43199</v>
          </cell>
        </row>
        <row r="2585">
          <cell r="A2585" t="str">
            <v>GC</v>
          </cell>
          <cell r="D2585">
            <v>43370</v>
          </cell>
        </row>
        <row r="2586">
          <cell r="A2586" t="str">
            <v>ASEAN</v>
          </cell>
          <cell r="D2586">
            <v>43369</v>
          </cell>
        </row>
        <row r="2587">
          <cell r="A2587" t="str">
            <v>IN</v>
          </cell>
          <cell r="D2587">
            <v>43379</v>
          </cell>
        </row>
        <row r="2588">
          <cell r="A2588" t="str">
            <v>IN</v>
          </cell>
          <cell r="D2588">
            <v>43258</v>
          </cell>
        </row>
        <row r="2589">
          <cell r="A2589" t="str">
            <v>IN</v>
          </cell>
          <cell r="D2589">
            <v>43359</v>
          </cell>
        </row>
        <row r="2590">
          <cell r="A2590" t="str">
            <v>IN</v>
          </cell>
          <cell r="D2590">
            <v>43104</v>
          </cell>
        </row>
        <row r="2591">
          <cell r="A2591" t="str">
            <v>ASEAN</v>
          </cell>
          <cell r="D2591">
            <v>43352</v>
          </cell>
        </row>
        <row r="2592">
          <cell r="A2592" t="str">
            <v>ASEAN</v>
          </cell>
          <cell r="D2592">
            <v>43190</v>
          </cell>
        </row>
        <row r="2593">
          <cell r="A2593" t="str">
            <v>GC</v>
          </cell>
          <cell r="D2593">
            <v>43108</v>
          </cell>
        </row>
        <row r="2594">
          <cell r="A2594" t="str">
            <v>ANZ</v>
          </cell>
          <cell r="D2594">
            <v>43122</v>
          </cell>
        </row>
        <row r="2595">
          <cell r="A2595" t="str">
            <v>ANZ</v>
          </cell>
          <cell r="D2595">
            <v>43366</v>
          </cell>
        </row>
        <row r="2596">
          <cell r="A2596" t="str">
            <v>IN</v>
          </cell>
          <cell r="D2596">
            <v>43352</v>
          </cell>
        </row>
        <row r="2597">
          <cell r="A2597" t="str">
            <v>IN</v>
          </cell>
          <cell r="D2597">
            <v>43131</v>
          </cell>
        </row>
        <row r="2598">
          <cell r="A2598" t="str">
            <v>ANZ</v>
          </cell>
          <cell r="D2598">
            <v>43220</v>
          </cell>
        </row>
        <row r="2599">
          <cell r="A2599" t="str">
            <v>ANZ</v>
          </cell>
          <cell r="D2599">
            <v>43227</v>
          </cell>
        </row>
        <row r="2600">
          <cell r="A2600" t="str">
            <v>GC</v>
          </cell>
          <cell r="D2600">
            <v>43354</v>
          </cell>
        </row>
        <row r="2601">
          <cell r="A2601" t="str">
            <v>IN</v>
          </cell>
          <cell r="D2601">
            <v>43190</v>
          </cell>
        </row>
        <row r="2602">
          <cell r="A2602" t="str">
            <v>IN</v>
          </cell>
          <cell r="D2602">
            <v>43354</v>
          </cell>
        </row>
        <row r="2603">
          <cell r="A2603" t="str">
            <v>IN</v>
          </cell>
          <cell r="D2603">
            <v>43414</v>
          </cell>
        </row>
        <row r="2604">
          <cell r="A2604" t="str">
            <v>IN</v>
          </cell>
          <cell r="D2604">
            <v>43430</v>
          </cell>
        </row>
        <row r="2605">
          <cell r="A2605" t="str">
            <v>IN</v>
          </cell>
          <cell r="D2605">
            <v>43236</v>
          </cell>
        </row>
        <row r="2606">
          <cell r="A2606" t="str">
            <v>IN</v>
          </cell>
          <cell r="D2606">
            <v>43174</v>
          </cell>
        </row>
        <row r="2607">
          <cell r="A2607" t="str">
            <v>KR</v>
          </cell>
          <cell r="D2607">
            <v>43250</v>
          </cell>
        </row>
        <row r="2608">
          <cell r="A2608" t="str">
            <v>GC</v>
          </cell>
          <cell r="D2608">
            <v>43107</v>
          </cell>
        </row>
        <row r="2609">
          <cell r="A2609" t="str">
            <v>GC</v>
          </cell>
          <cell r="D2609">
            <v>43450</v>
          </cell>
        </row>
        <row r="2610">
          <cell r="A2610" t="str">
            <v>GC</v>
          </cell>
          <cell r="D2610">
            <v>43383</v>
          </cell>
        </row>
        <row r="2611">
          <cell r="A2611" t="str">
            <v>IN</v>
          </cell>
          <cell r="D2611">
            <v>43401</v>
          </cell>
        </row>
        <row r="2612">
          <cell r="A2612" t="str">
            <v>GC</v>
          </cell>
          <cell r="D2612">
            <v>43327</v>
          </cell>
        </row>
        <row r="2613">
          <cell r="A2613" t="str">
            <v>IN</v>
          </cell>
          <cell r="D2613">
            <v>43426</v>
          </cell>
        </row>
        <row r="2614">
          <cell r="A2614" t="str">
            <v>ASEAN</v>
          </cell>
          <cell r="D2614">
            <v>43462</v>
          </cell>
        </row>
        <row r="2615">
          <cell r="A2615" t="str">
            <v>IN</v>
          </cell>
          <cell r="D2615">
            <v>43107</v>
          </cell>
        </row>
        <row r="2616">
          <cell r="A2616" t="str">
            <v>IN</v>
          </cell>
          <cell r="D2616">
            <v>43217</v>
          </cell>
        </row>
        <row r="2617">
          <cell r="A2617" t="str">
            <v>GC</v>
          </cell>
          <cell r="D2617">
            <v>43141</v>
          </cell>
        </row>
        <row r="2618">
          <cell r="A2618" t="str">
            <v>GC</v>
          </cell>
          <cell r="D2618">
            <v>43431</v>
          </cell>
        </row>
        <row r="2619">
          <cell r="A2619" t="str">
            <v>IN</v>
          </cell>
          <cell r="D2619">
            <v>43318</v>
          </cell>
        </row>
        <row r="2620">
          <cell r="A2620" t="str">
            <v>IN</v>
          </cell>
          <cell r="D2620">
            <v>43160</v>
          </cell>
        </row>
        <row r="2621">
          <cell r="A2621" t="str">
            <v>ANZ</v>
          </cell>
          <cell r="D2621">
            <v>43134</v>
          </cell>
        </row>
        <row r="2622">
          <cell r="A2622" t="str">
            <v>ANZ</v>
          </cell>
          <cell r="D2622">
            <v>43350</v>
          </cell>
        </row>
        <row r="2623">
          <cell r="A2623" t="str">
            <v>ANZ</v>
          </cell>
          <cell r="D2623">
            <v>43114</v>
          </cell>
        </row>
        <row r="2624">
          <cell r="A2624" t="str">
            <v>IN</v>
          </cell>
          <cell r="D2624">
            <v>43375</v>
          </cell>
        </row>
        <row r="2625">
          <cell r="A2625" t="str">
            <v>IN</v>
          </cell>
          <cell r="D2625">
            <v>43139</v>
          </cell>
        </row>
        <row r="2626">
          <cell r="A2626" t="str">
            <v>GC</v>
          </cell>
          <cell r="D2626">
            <v>43213</v>
          </cell>
        </row>
        <row r="2627">
          <cell r="A2627" t="str">
            <v>ANZ</v>
          </cell>
          <cell r="D2627">
            <v>43331</v>
          </cell>
        </row>
        <row r="2628">
          <cell r="A2628" t="str">
            <v>ASEAN</v>
          </cell>
          <cell r="D2628">
            <v>43126</v>
          </cell>
        </row>
        <row r="2629">
          <cell r="A2629" t="str">
            <v>ASEAN</v>
          </cell>
          <cell r="D2629">
            <v>43171</v>
          </cell>
        </row>
        <row r="2630">
          <cell r="A2630" t="str">
            <v>ASEAN</v>
          </cell>
          <cell r="D2630">
            <v>43450</v>
          </cell>
        </row>
        <row r="2631">
          <cell r="A2631" t="str">
            <v>IN</v>
          </cell>
          <cell r="D2631">
            <v>43164</v>
          </cell>
        </row>
        <row r="2632">
          <cell r="A2632" t="str">
            <v>GC</v>
          </cell>
          <cell r="D2632">
            <v>43124</v>
          </cell>
        </row>
        <row r="2633">
          <cell r="A2633" t="str">
            <v>IN</v>
          </cell>
          <cell r="D2633">
            <v>43237</v>
          </cell>
        </row>
        <row r="2634">
          <cell r="A2634" t="str">
            <v>GC</v>
          </cell>
          <cell r="D2634">
            <v>43319</v>
          </cell>
        </row>
        <row r="2635">
          <cell r="A2635" t="str">
            <v>ASEAN</v>
          </cell>
          <cell r="D2635">
            <v>43201</v>
          </cell>
        </row>
        <row r="2636">
          <cell r="A2636" t="str">
            <v>ASEAN</v>
          </cell>
          <cell r="D2636">
            <v>43179</v>
          </cell>
        </row>
        <row r="2637">
          <cell r="A2637" t="str">
            <v>IN</v>
          </cell>
          <cell r="D2637">
            <v>43416</v>
          </cell>
        </row>
        <row r="2638">
          <cell r="A2638" t="str">
            <v>ASEAN</v>
          </cell>
          <cell r="D2638">
            <v>43323</v>
          </cell>
        </row>
        <row r="2639">
          <cell r="A2639" t="str">
            <v>IN</v>
          </cell>
          <cell r="D2639">
            <v>43299</v>
          </cell>
        </row>
        <row r="2640">
          <cell r="A2640" t="str">
            <v>IN</v>
          </cell>
          <cell r="D2640">
            <v>43229</v>
          </cell>
        </row>
        <row r="2641">
          <cell r="A2641" t="str">
            <v>IN</v>
          </cell>
          <cell r="D2641">
            <v>43120</v>
          </cell>
        </row>
        <row r="2642">
          <cell r="A2642" t="str">
            <v>IN</v>
          </cell>
          <cell r="D2642">
            <v>43363</v>
          </cell>
        </row>
        <row r="2643">
          <cell r="A2643" t="str">
            <v>IN</v>
          </cell>
          <cell r="D2643">
            <v>43355</v>
          </cell>
        </row>
        <row r="2644">
          <cell r="A2644" t="str">
            <v>ANZ</v>
          </cell>
          <cell r="D2644">
            <v>43122</v>
          </cell>
        </row>
        <row r="2645">
          <cell r="A2645" t="str">
            <v>ASEAN</v>
          </cell>
          <cell r="D2645">
            <v>43139</v>
          </cell>
        </row>
        <row r="2646">
          <cell r="A2646" t="str">
            <v>ASEAN</v>
          </cell>
          <cell r="D2646">
            <v>43107</v>
          </cell>
        </row>
        <row r="2647">
          <cell r="A2647" t="str">
            <v>GC</v>
          </cell>
          <cell r="D2647">
            <v>43378</v>
          </cell>
        </row>
        <row r="2648">
          <cell r="A2648" t="str">
            <v>IN</v>
          </cell>
          <cell r="D2648">
            <v>43308</v>
          </cell>
        </row>
        <row r="2649">
          <cell r="A2649" t="str">
            <v>GC</v>
          </cell>
          <cell r="D2649">
            <v>43330</v>
          </cell>
        </row>
        <row r="2650">
          <cell r="A2650" t="str">
            <v>GC</v>
          </cell>
          <cell r="D2650">
            <v>43430</v>
          </cell>
        </row>
        <row r="2651">
          <cell r="A2651" t="str">
            <v>GC</v>
          </cell>
          <cell r="D2651">
            <v>43204</v>
          </cell>
        </row>
        <row r="2652">
          <cell r="A2652" t="str">
            <v>GC</v>
          </cell>
          <cell r="D2652">
            <v>43384</v>
          </cell>
        </row>
        <row r="2653">
          <cell r="A2653" t="str">
            <v>ASEAN</v>
          </cell>
          <cell r="D2653">
            <v>43258</v>
          </cell>
        </row>
        <row r="2654">
          <cell r="A2654" t="str">
            <v>GC</v>
          </cell>
          <cell r="D2654">
            <v>43247</v>
          </cell>
        </row>
        <row r="2655">
          <cell r="A2655" t="str">
            <v>IN</v>
          </cell>
          <cell r="D2655">
            <v>43363</v>
          </cell>
        </row>
        <row r="2656">
          <cell r="A2656" t="str">
            <v>IN</v>
          </cell>
          <cell r="D2656">
            <v>43401</v>
          </cell>
        </row>
        <row r="2657">
          <cell r="A2657" t="str">
            <v>IN</v>
          </cell>
          <cell r="D2657">
            <v>43295</v>
          </cell>
        </row>
        <row r="2658">
          <cell r="A2658" t="str">
            <v>IN</v>
          </cell>
          <cell r="D2658">
            <v>43399</v>
          </cell>
        </row>
        <row r="2659">
          <cell r="A2659" t="str">
            <v>GC</v>
          </cell>
          <cell r="D2659">
            <v>43291</v>
          </cell>
        </row>
        <row r="2660">
          <cell r="A2660" t="str">
            <v>IN</v>
          </cell>
          <cell r="D2660">
            <v>43140</v>
          </cell>
        </row>
        <row r="2661">
          <cell r="A2661" t="str">
            <v>ASEAN</v>
          </cell>
          <cell r="D2661">
            <v>43222</v>
          </cell>
        </row>
        <row r="2662">
          <cell r="A2662" t="str">
            <v>ASEAN</v>
          </cell>
          <cell r="D2662">
            <v>43343</v>
          </cell>
        </row>
        <row r="2663">
          <cell r="A2663" t="str">
            <v>GC</v>
          </cell>
          <cell r="D2663">
            <v>43318</v>
          </cell>
        </row>
        <row r="2664">
          <cell r="A2664" t="str">
            <v>GC</v>
          </cell>
          <cell r="D2664">
            <v>43298</v>
          </cell>
        </row>
        <row r="2665">
          <cell r="A2665" t="str">
            <v>KR</v>
          </cell>
          <cell r="D2665">
            <v>43116</v>
          </cell>
        </row>
        <row r="2666">
          <cell r="A2666" t="str">
            <v>KR</v>
          </cell>
          <cell r="D2666">
            <v>43389</v>
          </cell>
        </row>
        <row r="2667">
          <cell r="A2667" t="str">
            <v>GC</v>
          </cell>
          <cell r="D2667">
            <v>43411</v>
          </cell>
        </row>
        <row r="2668">
          <cell r="A2668" t="str">
            <v>ANZ</v>
          </cell>
          <cell r="D2668">
            <v>43147</v>
          </cell>
        </row>
        <row r="2669">
          <cell r="A2669" t="str">
            <v>ASEAN</v>
          </cell>
          <cell r="D2669">
            <v>43183</v>
          </cell>
        </row>
        <row r="2670">
          <cell r="A2670" t="str">
            <v>IN</v>
          </cell>
          <cell r="D2670">
            <v>43441</v>
          </cell>
        </row>
        <row r="2671">
          <cell r="A2671" t="str">
            <v>ANZ</v>
          </cell>
          <cell r="D2671">
            <v>43379</v>
          </cell>
        </row>
        <row r="2672">
          <cell r="A2672" t="str">
            <v>GC</v>
          </cell>
          <cell r="D2672">
            <v>43254</v>
          </cell>
        </row>
        <row r="2673">
          <cell r="A2673" t="str">
            <v>GC</v>
          </cell>
          <cell r="D2673">
            <v>43457</v>
          </cell>
        </row>
        <row r="2674">
          <cell r="A2674" t="str">
            <v>GC</v>
          </cell>
          <cell r="D2674">
            <v>43251</v>
          </cell>
        </row>
        <row r="2675">
          <cell r="A2675" t="str">
            <v>IN</v>
          </cell>
          <cell r="D2675">
            <v>43194</v>
          </cell>
        </row>
        <row r="2676">
          <cell r="A2676" t="str">
            <v>IN</v>
          </cell>
          <cell r="D2676">
            <v>43164</v>
          </cell>
        </row>
        <row r="2677">
          <cell r="A2677" t="str">
            <v>GC</v>
          </cell>
          <cell r="D2677">
            <v>43201</v>
          </cell>
        </row>
        <row r="2678">
          <cell r="A2678" t="str">
            <v>ASEAN</v>
          </cell>
          <cell r="D2678">
            <v>43431</v>
          </cell>
        </row>
        <row r="2679">
          <cell r="A2679" t="str">
            <v>GC</v>
          </cell>
          <cell r="D2679">
            <v>43280</v>
          </cell>
        </row>
        <row r="2680">
          <cell r="A2680" t="str">
            <v>GC</v>
          </cell>
          <cell r="D2680">
            <v>43204</v>
          </cell>
        </row>
        <row r="2681">
          <cell r="A2681" t="str">
            <v>GC</v>
          </cell>
          <cell r="D2681">
            <v>43300</v>
          </cell>
        </row>
        <row r="2682">
          <cell r="A2682" t="str">
            <v>IN</v>
          </cell>
          <cell r="D2682">
            <v>43382</v>
          </cell>
        </row>
        <row r="2683">
          <cell r="A2683" t="str">
            <v>GC</v>
          </cell>
          <cell r="D2683">
            <v>43315</v>
          </cell>
        </row>
        <row r="2684">
          <cell r="A2684" t="str">
            <v>GC</v>
          </cell>
          <cell r="D2684">
            <v>43275</v>
          </cell>
        </row>
        <row r="2685">
          <cell r="A2685" t="str">
            <v>GC</v>
          </cell>
          <cell r="D2685">
            <v>43457</v>
          </cell>
        </row>
        <row r="2686">
          <cell r="A2686" t="str">
            <v>GC</v>
          </cell>
          <cell r="D2686">
            <v>43363</v>
          </cell>
        </row>
        <row r="2687">
          <cell r="A2687" t="str">
            <v>GC</v>
          </cell>
          <cell r="D2687">
            <v>43139</v>
          </cell>
        </row>
        <row r="2688">
          <cell r="A2688" t="str">
            <v>IN</v>
          </cell>
          <cell r="D2688">
            <v>43128</v>
          </cell>
        </row>
        <row r="2689">
          <cell r="A2689" t="str">
            <v>IN</v>
          </cell>
          <cell r="D2689">
            <v>43264</v>
          </cell>
        </row>
        <row r="2690">
          <cell r="A2690" t="str">
            <v>ASEAN</v>
          </cell>
          <cell r="D2690">
            <v>43111</v>
          </cell>
        </row>
        <row r="2691">
          <cell r="A2691" t="str">
            <v>ASEAN</v>
          </cell>
          <cell r="D2691">
            <v>43225</v>
          </cell>
        </row>
        <row r="2692">
          <cell r="A2692" t="str">
            <v>IN</v>
          </cell>
          <cell r="D2692">
            <v>43386</v>
          </cell>
        </row>
        <row r="2693">
          <cell r="A2693" t="str">
            <v>GC</v>
          </cell>
          <cell r="D2693">
            <v>43236</v>
          </cell>
        </row>
        <row r="2694">
          <cell r="A2694" t="str">
            <v>GC</v>
          </cell>
          <cell r="D2694">
            <v>43104</v>
          </cell>
        </row>
        <row r="2695">
          <cell r="A2695" t="str">
            <v>IN</v>
          </cell>
          <cell r="D2695">
            <v>43165</v>
          </cell>
        </row>
        <row r="2696">
          <cell r="A2696" t="str">
            <v>GC</v>
          </cell>
          <cell r="D2696">
            <v>43286</v>
          </cell>
        </row>
        <row r="2697">
          <cell r="A2697" t="str">
            <v>IN</v>
          </cell>
          <cell r="D2697">
            <v>43157</v>
          </cell>
        </row>
        <row r="2698">
          <cell r="A2698" t="str">
            <v>IN</v>
          </cell>
          <cell r="D2698">
            <v>43357</v>
          </cell>
        </row>
        <row r="2699">
          <cell r="A2699" t="str">
            <v>ASEAN</v>
          </cell>
          <cell r="D2699">
            <v>43393</v>
          </cell>
        </row>
        <row r="2700">
          <cell r="A2700" t="str">
            <v>GC</v>
          </cell>
          <cell r="D2700">
            <v>43360</v>
          </cell>
        </row>
        <row r="2701">
          <cell r="A2701" t="str">
            <v>GC</v>
          </cell>
          <cell r="D2701">
            <v>43215</v>
          </cell>
        </row>
        <row r="2702">
          <cell r="A2702" t="str">
            <v>IN</v>
          </cell>
          <cell r="D2702">
            <v>43434</v>
          </cell>
        </row>
        <row r="2703">
          <cell r="A2703" t="str">
            <v>IN</v>
          </cell>
          <cell r="D2703">
            <v>43379</v>
          </cell>
        </row>
        <row r="2704">
          <cell r="A2704" t="str">
            <v>IN</v>
          </cell>
          <cell r="D2704">
            <v>43183</v>
          </cell>
        </row>
        <row r="2705">
          <cell r="A2705" t="str">
            <v>GC</v>
          </cell>
          <cell r="D2705">
            <v>43211</v>
          </cell>
        </row>
        <row r="2706">
          <cell r="A2706" t="str">
            <v>GC</v>
          </cell>
          <cell r="D2706">
            <v>43213</v>
          </cell>
        </row>
        <row r="2707">
          <cell r="A2707" t="str">
            <v>GC</v>
          </cell>
          <cell r="D2707">
            <v>43244</v>
          </cell>
        </row>
        <row r="2708">
          <cell r="A2708" t="str">
            <v>GC</v>
          </cell>
          <cell r="D2708">
            <v>43349</v>
          </cell>
        </row>
        <row r="2709">
          <cell r="A2709" t="str">
            <v>IN</v>
          </cell>
          <cell r="D2709">
            <v>43312</v>
          </cell>
        </row>
        <row r="2710">
          <cell r="A2710" t="str">
            <v>IN</v>
          </cell>
          <cell r="D2710">
            <v>43185</v>
          </cell>
        </row>
        <row r="2711">
          <cell r="A2711" t="str">
            <v>IN</v>
          </cell>
          <cell r="D2711">
            <v>43294</v>
          </cell>
        </row>
        <row r="2712">
          <cell r="A2712" t="str">
            <v>IN</v>
          </cell>
          <cell r="D2712">
            <v>43362</v>
          </cell>
        </row>
        <row r="2713">
          <cell r="A2713" t="str">
            <v>IN</v>
          </cell>
          <cell r="D2713">
            <v>43460</v>
          </cell>
        </row>
        <row r="2714">
          <cell r="A2714" t="str">
            <v>IN</v>
          </cell>
          <cell r="D2714">
            <v>43374</v>
          </cell>
        </row>
        <row r="2715">
          <cell r="A2715" t="str">
            <v>IN</v>
          </cell>
          <cell r="D2715">
            <v>43397</v>
          </cell>
        </row>
        <row r="2716">
          <cell r="A2716" t="str">
            <v>IN</v>
          </cell>
          <cell r="D2716">
            <v>43293</v>
          </cell>
        </row>
        <row r="2717">
          <cell r="A2717" t="str">
            <v>IN</v>
          </cell>
          <cell r="D2717">
            <v>43450</v>
          </cell>
        </row>
        <row r="2718">
          <cell r="A2718" t="str">
            <v>IN</v>
          </cell>
          <cell r="D2718">
            <v>43127</v>
          </cell>
        </row>
        <row r="2719">
          <cell r="A2719" t="str">
            <v>ASEAN</v>
          </cell>
          <cell r="D2719">
            <v>43344</v>
          </cell>
        </row>
        <row r="2720">
          <cell r="A2720" t="str">
            <v>IN</v>
          </cell>
          <cell r="D2720">
            <v>43324</v>
          </cell>
        </row>
        <row r="2721">
          <cell r="A2721" t="str">
            <v>IN</v>
          </cell>
          <cell r="D2721">
            <v>43137</v>
          </cell>
        </row>
        <row r="2722">
          <cell r="A2722" t="str">
            <v>IN</v>
          </cell>
          <cell r="D2722">
            <v>43461</v>
          </cell>
        </row>
        <row r="2723">
          <cell r="A2723" t="str">
            <v>GC</v>
          </cell>
          <cell r="D2723">
            <v>43247</v>
          </cell>
        </row>
        <row r="2724">
          <cell r="A2724" t="str">
            <v>GC</v>
          </cell>
          <cell r="D2724">
            <v>43464</v>
          </cell>
        </row>
        <row r="2725">
          <cell r="A2725" t="str">
            <v>GC</v>
          </cell>
          <cell r="D2725">
            <v>43244</v>
          </cell>
        </row>
        <row r="2726">
          <cell r="A2726" t="str">
            <v>GC</v>
          </cell>
          <cell r="D2726">
            <v>43212</v>
          </cell>
        </row>
        <row r="2727">
          <cell r="A2727" t="str">
            <v>GC</v>
          </cell>
          <cell r="D2727">
            <v>43247</v>
          </cell>
        </row>
        <row r="2728">
          <cell r="A2728" t="str">
            <v>GC</v>
          </cell>
          <cell r="D2728">
            <v>43451</v>
          </cell>
        </row>
        <row r="2729">
          <cell r="A2729" t="str">
            <v>GC</v>
          </cell>
          <cell r="D2729">
            <v>43307</v>
          </cell>
        </row>
        <row r="2730">
          <cell r="A2730" t="str">
            <v>GC</v>
          </cell>
          <cell r="D2730">
            <v>43110</v>
          </cell>
        </row>
        <row r="2731">
          <cell r="A2731" t="str">
            <v>IN</v>
          </cell>
          <cell r="D2731">
            <v>43188</v>
          </cell>
        </row>
        <row r="2732">
          <cell r="A2732" t="str">
            <v>ANZ</v>
          </cell>
          <cell r="D2732">
            <v>43337</v>
          </cell>
        </row>
        <row r="2733">
          <cell r="A2733" t="str">
            <v>GC</v>
          </cell>
          <cell r="D2733">
            <v>43150</v>
          </cell>
        </row>
        <row r="2734">
          <cell r="A2734" t="str">
            <v>GC</v>
          </cell>
          <cell r="D2734">
            <v>43208</v>
          </cell>
        </row>
        <row r="2735">
          <cell r="A2735" t="str">
            <v>ASEAN</v>
          </cell>
          <cell r="D2735">
            <v>43311</v>
          </cell>
        </row>
        <row r="2736">
          <cell r="A2736" t="str">
            <v>ANZ</v>
          </cell>
          <cell r="D2736">
            <v>43301</v>
          </cell>
        </row>
        <row r="2737">
          <cell r="A2737" t="str">
            <v>ANZ</v>
          </cell>
          <cell r="D2737">
            <v>43351</v>
          </cell>
        </row>
        <row r="2738">
          <cell r="A2738" t="str">
            <v>GC</v>
          </cell>
          <cell r="D2738">
            <v>43436</v>
          </cell>
        </row>
        <row r="2739">
          <cell r="A2739" t="str">
            <v>IN</v>
          </cell>
          <cell r="D2739">
            <v>43391</v>
          </cell>
        </row>
        <row r="2740">
          <cell r="A2740" t="str">
            <v>ASEAN</v>
          </cell>
          <cell r="D2740">
            <v>43417</v>
          </cell>
        </row>
        <row r="2741">
          <cell r="A2741" t="str">
            <v>ASEAN</v>
          </cell>
          <cell r="D2741">
            <v>43173</v>
          </cell>
        </row>
        <row r="2742">
          <cell r="A2742" t="str">
            <v>ASEAN</v>
          </cell>
          <cell r="D2742">
            <v>43459</v>
          </cell>
        </row>
        <row r="2743">
          <cell r="A2743" t="str">
            <v>GC</v>
          </cell>
          <cell r="D2743">
            <v>43372</v>
          </cell>
        </row>
        <row r="2744">
          <cell r="A2744" t="str">
            <v>GC</v>
          </cell>
          <cell r="D2744">
            <v>43204</v>
          </cell>
        </row>
        <row r="2745">
          <cell r="A2745" t="str">
            <v>ASEAN</v>
          </cell>
          <cell r="D2745">
            <v>43381</v>
          </cell>
        </row>
        <row r="2746">
          <cell r="A2746" t="str">
            <v>GC</v>
          </cell>
          <cell r="D2746">
            <v>43427</v>
          </cell>
        </row>
        <row r="2747">
          <cell r="A2747" t="str">
            <v>GC</v>
          </cell>
          <cell r="D2747">
            <v>43281</v>
          </cell>
        </row>
        <row r="2748">
          <cell r="A2748" t="str">
            <v>ASEAN</v>
          </cell>
          <cell r="D2748">
            <v>43126</v>
          </cell>
        </row>
        <row r="2749">
          <cell r="A2749" t="str">
            <v>ASEAN</v>
          </cell>
          <cell r="D2749">
            <v>43377</v>
          </cell>
        </row>
        <row r="2750">
          <cell r="A2750" t="str">
            <v>GC</v>
          </cell>
          <cell r="D2750">
            <v>43190</v>
          </cell>
        </row>
        <row r="2751">
          <cell r="A2751" t="str">
            <v>ASEAN</v>
          </cell>
          <cell r="D2751">
            <v>43355</v>
          </cell>
        </row>
        <row r="2752">
          <cell r="A2752" t="str">
            <v>ANZ</v>
          </cell>
          <cell r="D2752">
            <v>43133</v>
          </cell>
        </row>
        <row r="2753">
          <cell r="A2753" t="str">
            <v>ANZ</v>
          </cell>
          <cell r="D2753">
            <v>43251</v>
          </cell>
        </row>
        <row r="2754">
          <cell r="A2754" t="str">
            <v>GC</v>
          </cell>
          <cell r="D2754">
            <v>43167</v>
          </cell>
        </row>
        <row r="2755">
          <cell r="A2755" t="str">
            <v>ASEAN</v>
          </cell>
          <cell r="D2755">
            <v>43358</v>
          </cell>
        </row>
        <row r="2756">
          <cell r="A2756" t="str">
            <v>IN</v>
          </cell>
          <cell r="D2756">
            <v>43431</v>
          </cell>
        </row>
        <row r="2757">
          <cell r="A2757" t="str">
            <v>ASEAN</v>
          </cell>
          <cell r="D2757">
            <v>43138</v>
          </cell>
        </row>
        <row r="2758">
          <cell r="A2758" t="str">
            <v>GC</v>
          </cell>
          <cell r="D2758">
            <v>43114</v>
          </cell>
        </row>
        <row r="2759">
          <cell r="A2759" t="str">
            <v>GC</v>
          </cell>
          <cell r="D2759">
            <v>43157</v>
          </cell>
        </row>
        <row r="2760">
          <cell r="A2760" t="str">
            <v>IN</v>
          </cell>
          <cell r="D2760">
            <v>43321</v>
          </cell>
        </row>
        <row r="2761">
          <cell r="A2761" t="str">
            <v>GC</v>
          </cell>
          <cell r="D2761">
            <v>43335</v>
          </cell>
        </row>
        <row r="2762">
          <cell r="A2762" t="str">
            <v>GC</v>
          </cell>
          <cell r="D2762">
            <v>43257</v>
          </cell>
        </row>
        <row r="2763">
          <cell r="A2763" t="str">
            <v>IN</v>
          </cell>
          <cell r="D2763">
            <v>43125</v>
          </cell>
        </row>
        <row r="2764">
          <cell r="A2764" t="str">
            <v>GC</v>
          </cell>
          <cell r="D2764">
            <v>43383</v>
          </cell>
        </row>
        <row r="2765">
          <cell r="A2765" t="str">
            <v>ASEAN</v>
          </cell>
          <cell r="D2765">
            <v>43165</v>
          </cell>
        </row>
        <row r="2766">
          <cell r="A2766" t="str">
            <v>ASEAN</v>
          </cell>
          <cell r="D2766">
            <v>43219</v>
          </cell>
        </row>
        <row r="2767">
          <cell r="A2767" t="str">
            <v>IN</v>
          </cell>
          <cell r="D2767">
            <v>43451</v>
          </cell>
        </row>
        <row r="2768">
          <cell r="A2768" t="str">
            <v>IN</v>
          </cell>
          <cell r="D2768">
            <v>43182</v>
          </cell>
        </row>
        <row r="2769">
          <cell r="A2769" t="str">
            <v>ASEAN</v>
          </cell>
          <cell r="D2769">
            <v>43442</v>
          </cell>
        </row>
        <row r="2770">
          <cell r="A2770" t="str">
            <v>IN</v>
          </cell>
          <cell r="D2770">
            <v>43161</v>
          </cell>
        </row>
        <row r="2771">
          <cell r="A2771" t="str">
            <v>GC</v>
          </cell>
          <cell r="D2771">
            <v>43441</v>
          </cell>
        </row>
        <row r="2772">
          <cell r="A2772" t="str">
            <v>GC</v>
          </cell>
          <cell r="D2772">
            <v>43429</v>
          </cell>
        </row>
        <row r="2773">
          <cell r="A2773" t="str">
            <v>ANZ</v>
          </cell>
          <cell r="D2773">
            <v>43117</v>
          </cell>
        </row>
        <row r="2774">
          <cell r="A2774" t="str">
            <v>ANZ</v>
          </cell>
          <cell r="D2774">
            <v>43438</v>
          </cell>
        </row>
        <row r="2775">
          <cell r="A2775" t="str">
            <v>ANZ</v>
          </cell>
          <cell r="D2775">
            <v>43346</v>
          </cell>
        </row>
        <row r="2776">
          <cell r="A2776" t="str">
            <v>GC</v>
          </cell>
          <cell r="D2776">
            <v>43214</v>
          </cell>
        </row>
        <row r="2777">
          <cell r="A2777" t="str">
            <v>GC</v>
          </cell>
          <cell r="D2777">
            <v>43304</v>
          </cell>
        </row>
        <row r="2778">
          <cell r="A2778" t="str">
            <v>GC</v>
          </cell>
          <cell r="D2778">
            <v>43270</v>
          </cell>
        </row>
        <row r="2779">
          <cell r="A2779" t="str">
            <v>GC</v>
          </cell>
          <cell r="D2779">
            <v>43203</v>
          </cell>
        </row>
        <row r="2780">
          <cell r="A2780" t="str">
            <v>GC</v>
          </cell>
          <cell r="D2780">
            <v>43206</v>
          </cell>
        </row>
        <row r="2781">
          <cell r="A2781" t="str">
            <v>KR</v>
          </cell>
          <cell r="D2781">
            <v>43182</v>
          </cell>
        </row>
        <row r="2782">
          <cell r="A2782" t="str">
            <v>KR</v>
          </cell>
          <cell r="D2782">
            <v>43101</v>
          </cell>
        </row>
        <row r="2783">
          <cell r="A2783" t="str">
            <v>KR</v>
          </cell>
          <cell r="D2783">
            <v>43298</v>
          </cell>
        </row>
        <row r="2784">
          <cell r="A2784" t="str">
            <v>GC</v>
          </cell>
          <cell r="D2784">
            <v>43340</v>
          </cell>
        </row>
        <row r="2785">
          <cell r="A2785" t="str">
            <v>GC</v>
          </cell>
          <cell r="D2785">
            <v>43391</v>
          </cell>
        </row>
        <row r="2786">
          <cell r="A2786" t="str">
            <v>KR</v>
          </cell>
          <cell r="D2786">
            <v>43421</v>
          </cell>
        </row>
        <row r="2787">
          <cell r="A2787" t="str">
            <v>IN</v>
          </cell>
          <cell r="D2787">
            <v>43460</v>
          </cell>
        </row>
        <row r="2788">
          <cell r="A2788" t="str">
            <v>IN</v>
          </cell>
          <cell r="D2788">
            <v>43228</v>
          </cell>
        </row>
        <row r="2789">
          <cell r="A2789" t="str">
            <v>IN</v>
          </cell>
          <cell r="D2789">
            <v>43437</v>
          </cell>
        </row>
        <row r="2790">
          <cell r="A2790" t="str">
            <v>IN</v>
          </cell>
          <cell r="D2790">
            <v>43192</v>
          </cell>
        </row>
        <row r="2791">
          <cell r="A2791" t="str">
            <v>IN</v>
          </cell>
          <cell r="D2791">
            <v>43246</v>
          </cell>
        </row>
        <row r="2792">
          <cell r="A2792" t="str">
            <v>IN</v>
          </cell>
          <cell r="D2792">
            <v>43296</v>
          </cell>
        </row>
        <row r="2793">
          <cell r="A2793" t="str">
            <v>IN</v>
          </cell>
          <cell r="D2793">
            <v>43209</v>
          </cell>
        </row>
        <row r="2794">
          <cell r="A2794" t="str">
            <v>IN</v>
          </cell>
          <cell r="D2794">
            <v>43303</v>
          </cell>
        </row>
        <row r="2795">
          <cell r="A2795" t="str">
            <v>IN</v>
          </cell>
          <cell r="D2795">
            <v>43124</v>
          </cell>
        </row>
        <row r="2796">
          <cell r="A2796" t="str">
            <v>IN</v>
          </cell>
          <cell r="D2796">
            <v>43426</v>
          </cell>
        </row>
        <row r="2797">
          <cell r="A2797" t="str">
            <v>GC</v>
          </cell>
          <cell r="D2797">
            <v>43145</v>
          </cell>
        </row>
        <row r="2798">
          <cell r="A2798" t="str">
            <v>ASEAN</v>
          </cell>
          <cell r="D2798">
            <v>43417</v>
          </cell>
        </row>
        <row r="2799">
          <cell r="A2799" t="str">
            <v>ASEAN</v>
          </cell>
          <cell r="D2799">
            <v>43114</v>
          </cell>
        </row>
        <row r="2800">
          <cell r="A2800" t="str">
            <v>ANZ</v>
          </cell>
          <cell r="D2800">
            <v>43352</v>
          </cell>
        </row>
        <row r="2801">
          <cell r="A2801" t="str">
            <v>ASEAN</v>
          </cell>
          <cell r="D2801">
            <v>43139</v>
          </cell>
        </row>
        <row r="2802">
          <cell r="A2802" t="str">
            <v>ANZ</v>
          </cell>
          <cell r="D2802">
            <v>43435</v>
          </cell>
        </row>
        <row r="2803">
          <cell r="A2803" t="str">
            <v>ASEAN</v>
          </cell>
          <cell r="D2803">
            <v>43395</v>
          </cell>
        </row>
        <row r="2804">
          <cell r="A2804" t="str">
            <v>ANZ</v>
          </cell>
          <cell r="D2804">
            <v>43280</v>
          </cell>
        </row>
        <row r="2805">
          <cell r="A2805" t="str">
            <v>ANZ</v>
          </cell>
          <cell r="D2805">
            <v>43403</v>
          </cell>
        </row>
        <row r="2806">
          <cell r="A2806" t="str">
            <v>ASEAN</v>
          </cell>
          <cell r="D2806">
            <v>43191</v>
          </cell>
        </row>
        <row r="2807">
          <cell r="A2807" t="str">
            <v>IN</v>
          </cell>
          <cell r="D2807">
            <v>43185</v>
          </cell>
        </row>
        <row r="2808">
          <cell r="A2808" t="str">
            <v>IN</v>
          </cell>
          <cell r="D2808">
            <v>43425</v>
          </cell>
        </row>
        <row r="2809">
          <cell r="A2809" t="str">
            <v>GC</v>
          </cell>
          <cell r="D2809">
            <v>43229</v>
          </cell>
        </row>
        <row r="2810">
          <cell r="A2810" t="str">
            <v>GC</v>
          </cell>
          <cell r="D2810">
            <v>43329</v>
          </cell>
        </row>
        <row r="2811">
          <cell r="A2811" t="str">
            <v>GC</v>
          </cell>
          <cell r="D2811">
            <v>43406</v>
          </cell>
        </row>
        <row r="2812">
          <cell r="A2812" t="str">
            <v>ASEAN</v>
          </cell>
          <cell r="D2812">
            <v>43376</v>
          </cell>
        </row>
        <row r="2813">
          <cell r="A2813" t="str">
            <v>ASEAN</v>
          </cell>
          <cell r="D2813">
            <v>43328</v>
          </cell>
        </row>
        <row r="2814">
          <cell r="A2814" t="str">
            <v>IN</v>
          </cell>
          <cell r="D2814">
            <v>43293</v>
          </cell>
        </row>
        <row r="2815">
          <cell r="A2815" t="str">
            <v>GC</v>
          </cell>
          <cell r="D2815">
            <v>43232</v>
          </cell>
        </row>
        <row r="2816">
          <cell r="A2816" t="str">
            <v>GC</v>
          </cell>
          <cell r="D2816">
            <v>43167</v>
          </cell>
        </row>
        <row r="2817">
          <cell r="A2817" t="str">
            <v>GC</v>
          </cell>
          <cell r="D2817">
            <v>43398</v>
          </cell>
        </row>
        <row r="2818">
          <cell r="A2818" t="str">
            <v>GC</v>
          </cell>
          <cell r="D2818">
            <v>43288</v>
          </cell>
        </row>
        <row r="2819">
          <cell r="A2819" t="str">
            <v>GC</v>
          </cell>
          <cell r="D2819">
            <v>43147</v>
          </cell>
        </row>
        <row r="2820">
          <cell r="A2820" t="str">
            <v>GC</v>
          </cell>
          <cell r="D2820">
            <v>43174</v>
          </cell>
        </row>
        <row r="2821">
          <cell r="A2821" t="str">
            <v>KR</v>
          </cell>
          <cell r="D2821">
            <v>43454</v>
          </cell>
        </row>
        <row r="2822">
          <cell r="A2822" t="str">
            <v>KR</v>
          </cell>
          <cell r="D2822">
            <v>43231</v>
          </cell>
        </row>
        <row r="2823">
          <cell r="A2823" t="str">
            <v>KR</v>
          </cell>
          <cell r="D2823">
            <v>43424</v>
          </cell>
        </row>
        <row r="2824">
          <cell r="A2824" t="str">
            <v>KR</v>
          </cell>
          <cell r="D2824">
            <v>43153</v>
          </cell>
        </row>
        <row r="2825">
          <cell r="A2825" t="str">
            <v>GC</v>
          </cell>
          <cell r="D2825">
            <v>43185</v>
          </cell>
        </row>
        <row r="2826">
          <cell r="A2826" t="str">
            <v>GC</v>
          </cell>
          <cell r="D2826">
            <v>43135</v>
          </cell>
        </row>
        <row r="2827">
          <cell r="A2827" t="str">
            <v>KR</v>
          </cell>
          <cell r="D2827">
            <v>43294</v>
          </cell>
        </row>
        <row r="2828">
          <cell r="A2828" t="str">
            <v>KR</v>
          </cell>
          <cell r="D2828">
            <v>43142</v>
          </cell>
        </row>
        <row r="2829">
          <cell r="A2829" t="str">
            <v>KR</v>
          </cell>
          <cell r="D2829">
            <v>43276</v>
          </cell>
        </row>
        <row r="2830">
          <cell r="A2830" t="str">
            <v>KR</v>
          </cell>
          <cell r="D2830">
            <v>43225</v>
          </cell>
        </row>
        <row r="2831">
          <cell r="A2831" t="str">
            <v>IN</v>
          </cell>
          <cell r="D2831">
            <v>43236</v>
          </cell>
        </row>
        <row r="2832">
          <cell r="A2832" t="str">
            <v>ASEAN</v>
          </cell>
          <cell r="D2832">
            <v>43179</v>
          </cell>
        </row>
        <row r="2833">
          <cell r="A2833" t="str">
            <v>IN</v>
          </cell>
          <cell r="D2833">
            <v>43456</v>
          </cell>
        </row>
        <row r="2834">
          <cell r="A2834" t="str">
            <v>IN</v>
          </cell>
          <cell r="D2834">
            <v>43251</v>
          </cell>
        </row>
        <row r="2835">
          <cell r="A2835" t="str">
            <v>KR</v>
          </cell>
          <cell r="D2835">
            <v>43189</v>
          </cell>
        </row>
        <row r="2836">
          <cell r="A2836" t="str">
            <v>KR</v>
          </cell>
          <cell r="D2836">
            <v>43106</v>
          </cell>
        </row>
        <row r="2837">
          <cell r="A2837" t="str">
            <v>KR</v>
          </cell>
          <cell r="D2837">
            <v>43201</v>
          </cell>
        </row>
        <row r="2838">
          <cell r="A2838" t="str">
            <v>KR</v>
          </cell>
          <cell r="D2838">
            <v>43416</v>
          </cell>
        </row>
        <row r="2839">
          <cell r="A2839" t="str">
            <v>ASEAN</v>
          </cell>
          <cell r="D2839">
            <v>43402</v>
          </cell>
        </row>
        <row r="2840">
          <cell r="A2840" t="str">
            <v>ASEAN</v>
          </cell>
          <cell r="D2840">
            <v>43257</v>
          </cell>
        </row>
        <row r="2841">
          <cell r="A2841" t="str">
            <v>ASEAN</v>
          </cell>
          <cell r="D2841">
            <v>43295</v>
          </cell>
        </row>
        <row r="2842">
          <cell r="A2842" t="str">
            <v>ASEAN</v>
          </cell>
          <cell r="D2842">
            <v>43322</v>
          </cell>
        </row>
        <row r="2843">
          <cell r="A2843" t="str">
            <v>ANZ</v>
          </cell>
          <cell r="D2843">
            <v>43132</v>
          </cell>
        </row>
        <row r="2844">
          <cell r="A2844" t="str">
            <v>GC</v>
          </cell>
          <cell r="D2844">
            <v>43347</v>
          </cell>
        </row>
        <row r="2845">
          <cell r="A2845" t="str">
            <v>GC</v>
          </cell>
          <cell r="D2845">
            <v>43139</v>
          </cell>
        </row>
        <row r="2846">
          <cell r="A2846" t="str">
            <v>GC</v>
          </cell>
          <cell r="D2846">
            <v>43202</v>
          </cell>
        </row>
        <row r="2847">
          <cell r="A2847" t="str">
            <v>ASEAN</v>
          </cell>
          <cell r="D2847">
            <v>43380</v>
          </cell>
        </row>
        <row r="2848">
          <cell r="A2848" t="str">
            <v>GC</v>
          </cell>
          <cell r="D2848">
            <v>43104</v>
          </cell>
        </row>
        <row r="2849">
          <cell r="A2849" t="str">
            <v>GC</v>
          </cell>
          <cell r="D2849">
            <v>43205</v>
          </cell>
        </row>
        <row r="2850">
          <cell r="A2850" t="str">
            <v>GC</v>
          </cell>
          <cell r="D2850">
            <v>43346</v>
          </cell>
        </row>
        <row r="2851">
          <cell r="A2851" t="str">
            <v>GC</v>
          </cell>
          <cell r="D2851">
            <v>43440</v>
          </cell>
        </row>
        <row r="2852">
          <cell r="A2852" t="str">
            <v>IN</v>
          </cell>
          <cell r="D2852">
            <v>43135</v>
          </cell>
        </row>
        <row r="2853">
          <cell r="A2853" t="str">
            <v>ASEAN</v>
          </cell>
          <cell r="D2853">
            <v>43318</v>
          </cell>
        </row>
        <row r="2854">
          <cell r="A2854" t="str">
            <v>GC</v>
          </cell>
          <cell r="D2854">
            <v>43280</v>
          </cell>
        </row>
        <row r="2855">
          <cell r="A2855" t="str">
            <v>GC</v>
          </cell>
          <cell r="D2855">
            <v>43261</v>
          </cell>
        </row>
        <row r="2856">
          <cell r="A2856" t="str">
            <v>GC</v>
          </cell>
          <cell r="D2856">
            <v>43379</v>
          </cell>
        </row>
        <row r="2857">
          <cell r="A2857" t="str">
            <v>GC</v>
          </cell>
          <cell r="D2857">
            <v>43427</v>
          </cell>
        </row>
        <row r="2858">
          <cell r="A2858" t="str">
            <v>GC</v>
          </cell>
          <cell r="D2858">
            <v>43170</v>
          </cell>
        </row>
        <row r="2859">
          <cell r="A2859" t="str">
            <v>GC</v>
          </cell>
          <cell r="D2859">
            <v>43429</v>
          </cell>
        </row>
        <row r="2860">
          <cell r="A2860" t="str">
            <v>GC</v>
          </cell>
          <cell r="D2860">
            <v>43209</v>
          </cell>
        </row>
        <row r="2861">
          <cell r="A2861" t="str">
            <v>GC</v>
          </cell>
          <cell r="D2861">
            <v>43238</v>
          </cell>
        </row>
        <row r="2862">
          <cell r="A2862" t="str">
            <v>IN</v>
          </cell>
          <cell r="D2862">
            <v>43332</v>
          </cell>
        </row>
        <row r="2863">
          <cell r="A2863" t="str">
            <v>GC</v>
          </cell>
          <cell r="D2863">
            <v>43153</v>
          </cell>
        </row>
        <row r="2864">
          <cell r="A2864" t="str">
            <v>ASEAN</v>
          </cell>
          <cell r="D2864">
            <v>43172</v>
          </cell>
        </row>
        <row r="2865">
          <cell r="A2865" t="str">
            <v>ASEAN</v>
          </cell>
          <cell r="D2865">
            <v>43169</v>
          </cell>
        </row>
        <row r="2866">
          <cell r="A2866" t="str">
            <v>IN</v>
          </cell>
          <cell r="D2866">
            <v>43443</v>
          </cell>
        </row>
        <row r="2867">
          <cell r="A2867" t="str">
            <v>ASEAN</v>
          </cell>
          <cell r="D2867">
            <v>43440</v>
          </cell>
        </row>
        <row r="2868">
          <cell r="A2868" t="str">
            <v>GC</v>
          </cell>
          <cell r="D2868">
            <v>43137</v>
          </cell>
        </row>
        <row r="2869">
          <cell r="A2869" t="str">
            <v>GC</v>
          </cell>
          <cell r="D2869">
            <v>43287</v>
          </cell>
        </row>
        <row r="2870">
          <cell r="A2870" t="str">
            <v>GC</v>
          </cell>
          <cell r="D2870">
            <v>43425</v>
          </cell>
        </row>
        <row r="2871">
          <cell r="A2871" t="str">
            <v>IN</v>
          </cell>
          <cell r="D2871">
            <v>43119</v>
          </cell>
        </row>
        <row r="2872">
          <cell r="A2872" t="str">
            <v>IN</v>
          </cell>
          <cell r="D2872">
            <v>43270</v>
          </cell>
        </row>
        <row r="2873">
          <cell r="A2873" t="str">
            <v>GC</v>
          </cell>
          <cell r="D2873">
            <v>43391</v>
          </cell>
        </row>
        <row r="2874">
          <cell r="A2874" t="str">
            <v>GC</v>
          </cell>
          <cell r="D2874">
            <v>43336</v>
          </cell>
        </row>
        <row r="2875">
          <cell r="A2875" t="str">
            <v>GC</v>
          </cell>
          <cell r="D2875">
            <v>43346</v>
          </cell>
        </row>
        <row r="2876">
          <cell r="A2876" t="str">
            <v>GC</v>
          </cell>
          <cell r="D2876">
            <v>43207</v>
          </cell>
        </row>
        <row r="2877">
          <cell r="A2877" t="str">
            <v>GC</v>
          </cell>
          <cell r="D2877">
            <v>43154</v>
          </cell>
        </row>
        <row r="2878">
          <cell r="A2878" t="str">
            <v>GC</v>
          </cell>
          <cell r="D2878">
            <v>43354</v>
          </cell>
        </row>
        <row r="2879">
          <cell r="A2879" t="str">
            <v>ASEAN</v>
          </cell>
          <cell r="D2879">
            <v>43277</v>
          </cell>
        </row>
        <row r="2880">
          <cell r="A2880" t="str">
            <v>ASEAN</v>
          </cell>
          <cell r="D2880">
            <v>43440</v>
          </cell>
        </row>
        <row r="2881">
          <cell r="A2881" t="str">
            <v>ASEAN</v>
          </cell>
          <cell r="D2881">
            <v>43120</v>
          </cell>
        </row>
        <row r="2882">
          <cell r="A2882" t="str">
            <v>ASEAN</v>
          </cell>
          <cell r="D2882">
            <v>43284</v>
          </cell>
        </row>
        <row r="2883">
          <cell r="A2883" t="str">
            <v>ASEAN</v>
          </cell>
          <cell r="D2883">
            <v>43226</v>
          </cell>
        </row>
        <row r="2884">
          <cell r="A2884" t="str">
            <v>IN</v>
          </cell>
          <cell r="D2884">
            <v>43354</v>
          </cell>
        </row>
        <row r="2885">
          <cell r="A2885" t="str">
            <v>IN</v>
          </cell>
          <cell r="D2885">
            <v>43141</v>
          </cell>
        </row>
        <row r="2886">
          <cell r="A2886" t="str">
            <v>GC</v>
          </cell>
          <cell r="D2886">
            <v>43182</v>
          </cell>
        </row>
        <row r="2887">
          <cell r="A2887" t="str">
            <v>ASEAN</v>
          </cell>
          <cell r="D2887">
            <v>43438</v>
          </cell>
        </row>
        <row r="2888">
          <cell r="A2888" t="str">
            <v>GC</v>
          </cell>
          <cell r="D2888">
            <v>43461</v>
          </cell>
        </row>
        <row r="2889">
          <cell r="A2889" t="str">
            <v>ANZ</v>
          </cell>
          <cell r="D2889">
            <v>43243</v>
          </cell>
        </row>
        <row r="2890">
          <cell r="A2890" t="str">
            <v>IN</v>
          </cell>
          <cell r="D2890">
            <v>43218</v>
          </cell>
        </row>
        <row r="2891">
          <cell r="A2891" t="str">
            <v>IN</v>
          </cell>
          <cell r="D2891">
            <v>43427</v>
          </cell>
        </row>
        <row r="2892">
          <cell r="A2892" t="str">
            <v>IN</v>
          </cell>
          <cell r="D2892">
            <v>43355</v>
          </cell>
        </row>
        <row r="2893">
          <cell r="A2893" t="str">
            <v>IN</v>
          </cell>
          <cell r="D2893">
            <v>43291</v>
          </cell>
        </row>
        <row r="2894">
          <cell r="A2894" t="str">
            <v>ASEAN</v>
          </cell>
          <cell r="D2894">
            <v>43313</v>
          </cell>
        </row>
        <row r="2895">
          <cell r="A2895" t="str">
            <v>IN</v>
          </cell>
          <cell r="D2895">
            <v>43373</v>
          </cell>
        </row>
        <row r="2896">
          <cell r="A2896" t="str">
            <v>GC</v>
          </cell>
          <cell r="D2896">
            <v>43449</v>
          </cell>
        </row>
        <row r="2897">
          <cell r="A2897" t="str">
            <v>ASEAN</v>
          </cell>
          <cell r="D2897">
            <v>43388</v>
          </cell>
        </row>
        <row r="2898">
          <cell r="A2898" t="str">
            <v>IN</v>
          </cell>
          <cell r="D2898">
            <v>43369</v>
          </cell>
        </row>
        <row r="2899">
          <cell r="A2899" t="str">
            <v>GC</v>
          </cell>
          <cell r="D2899">
            <v>43341</v>
          </cell>
        </row>
        <row r="2900">
          <cell r="A2900" t="str">
            <v>GC</v>
          </cell>
          <cell r="D2900">
            <v>43175</v>
          </cell>
        </row>
        <row r="2901">
          <cell r="A2901" t="str">
            <v>GC</v>
          </cell>
          <cell r="D2901">
            <v>43291</v>
          </cell>
        </row>
        <row r="2902">
          <cell r="A2902" t="str">
            <v>GC</v>
          </cell>
          <cell r="D2902">
            <v>43386</v>
          </cell>
        </row>
        <row r="2903">
          <cell r="A2903" t="str">
            <v>GC</v>
          </cell>
          <cell r="D2903">
            <v>43437</v>
          </cell>
        </row>
        <row r="2904">
          <cell r="A2904" t="str">
            <v>IN</v>
          </cell>
          <cell r="D2904">
            <v>43279</v>
          </cell>
        </row>
        <row r="2905">
          <cell r="A2905" t="str">
            <v>IN</v>
          </cell>
          <cell r="D2905">
            <v>43251</v>
          </cell>
        </row>
        <row r="2906">
          <cell r="A2906" t="str">
            <v>GC</v>
          </cell>
          <cell r="D2906">
            <v>43435</v>
          </cell>
        </row>
        <row r="2907">
          <cell r="A2907" t="str">
            <v>ASEAN</v>
          </cell>
          <cell r="D2907">
            <v>43463</v>
          </cell>
        </row>
        <row r="2908">
          <cell r="A2908" t="str">
            <v>IN</v>
          </cell>
          <cell r="D2908">
            <v>43465</v>
          </cell>
        </row>
        <row r="2909">
          <cell r="A2909" t="str">
            <v>IN</v>
          </cell>
          <cell r="D2909">
            <v>43103</v>
          </cell>
        </row>
        <row r="2910">
          <cell r="A2910" t="str">
            <v>GC</v>
          </cell>
          <cell r="D2910">
            <v>43239</v>
          </cell>
        </row>
        <row r="2911">
          <cell r="A2911" t="str">
            <v>IN</v>
          </cell>
          <cell r="D2911">
            <v>43429</v>
          </cell>
        </row>
        <row r="2912">
          <cell r="A2912" t="str">
            <v>IN</v>
          </cell>
          <cell r="D2912">
            <v>43435</v>
          </cell>
        </row>
        <row r="2913">
          <cell r="A2913" t="str">
            <v>IN</v>
          </cell>
          <cell r="D2913">
            <v>43220</v>
          </cell>
        </row>
        <row r="2914">
          <cell r="A2914" t="str">
            <v>IN</v>
          </cell>
          <cell r="D2914">
            <v>43294</v>
          </cell>
        </row>
        <row r="2915">
          <cell r="A2915" t="str">
            <v>IN</v>
          </cell>
          <cell r="D2915">
            <v>43191</v>
          </cell>
        </row>
        <row r="2916">
          <cell r="A2916" t="str">
            <v>IN</v>
          </cell>
          <cell r="D2916">
            <v>43136</v>
          </cell>
        </row>
        <row r="2917">
          <cell r="A2917" t="str">
            <v>GC</v>
          </cell>
          <cell r="D2917">
            <v>43238</v>
          </cell>
        </row>
        <row r="2918">
          <cell r="A2918" t="str">
            <v>GC</v>
          </cell>
          <cell r="D2918">
            <v>43107</v>
          </cell>
        </row>
        <row r="2919">
          <cell r="A2919" t="str">
            <v>IN</v>
          </cell>
          <cell r="D2919">
            <v>43441</v>
          </cell>
        </row>
        <row r="2920">
          <cell r="A2920" t="str">
            <v>IN</v>
          </cell>
          <cell r="D2920">
            <v>43277</v>
          </cell>
        </row>
        <row r="2921">
          <cell r="A2921" t="str">
            <v>ASEAN</v>
          </cell>
          <cell r="D2921">
            <v>43292</v>
          </cell>
        </row>
        <row r="2922">
          <cell r="A2922" t="str">
            <v>GC</v>
          </cell>
          <cell r="D2922">
            <v>43280</v>
          </cell>
        </row>
        <row r="2923">
          <cell r="A2923" t="str">
            <v>ANZ</v>
          </cell>
          <cell r="D2923">
            <v>43169</v>
          </cell>
        </row>
        <row r="2924">
          <cell r="A2924" t="str">
            <v>GC</v>
          </cell>
          <cell r="D2924">
            <v>43465</v>
          </cell>
        </row>
        <row r="2925">
          <cell r="A2925" t="str">
            <v>ASEAN</v>
          </cell>
          <cell r="D2925">
            <v>43460</v>
          </cell>
        </row>
        <row r="2926">
          <cell r="A2926" t="str">
            <v>GC</v>
          </cell>
          <cell r="D2926">
            <v>43234</v>
          </cell>
        </row>
        <row r="2927">
          <cell r="A2927" t="str">
            <v>ANZ</v>
          </cell>
          <cell r="D2927">
            <v>43386</v>
          </cell>
        </row>
        <row r="2928">
          <cell r="A2928" t="str">
            <v>ANZ</v>
          </cell>
          <cell r="D2928">
            <v>43251</v>
          </cell>
        </row>
        <row r="2929">
          <cell r="A2929" t="str">
            <v>ASEAN</v>
          </cell>
          <cell r="D2929">
            <v>43258</v>
          </cell>
        </row>
        <row r="2930">
          <cell r="A2930" t="str">
            <v>GC</v>
          </cell>
          <cell r="D2930">
            <v>43425</v>
          </cell>
        </row>
        <row r="2931">
          <cell r="A2931" t="str">
            <v>GC</v>
          </cell>
          <cell r="D2931">
            <v>43111</v>
          </cell>
        </row>
        <row r="2932">
          <cell r="A2932" t="str">
            <v>GC</v>
          </cell>
          <cell r="D2932">
            <v>43462</v>
          </cell>
        </row>
        <row r="2933">
          <cell r="A2933" t="str">
            <v>GC</v>
          </cell>
          <cell r="D2933">
            <v>43430</v>
          </cell>
        </row>
        <row r="2934">
          <cell r="A2934" t="str">
            <v>GC</v>
          </cell>
          <cell r="D2934">
            <v>43223</v>
          </cell>
        </row>
        <row r="2935">
          <cell r="A2935" t="str">
            <v>GC</v>
          </cell>
          <cell r="D2935">
            <v>43331</v>
          </cell>
        </row>
        <row r="2936">
          <cell r="A2936" t="str">
            <v>ANZ</v>
          </cell>
          <cell r="D2936">
            <v>43380</v>
          </cell>
        </row>
        <row r="2937">
          <cell r="A2937" t="str">
            <v>ANZ</v>
          </cell>
          <cell r="D2937">
            <v>43385</v>
          </cell>
        </row>
        <row r="2938">
          <cell r="A2938" t="str">
            <v>ANZ</v>
          </cell>
          <cell r="D2938">
            <v>43125</v>
          </cell>
        </row>
        <row r="2939">
          <cell r="A2939" t="str">
            <v>IN</v>
          </cell>
          <cell r="D2939">
            <v>43365</v>
          </cell>
        </row>
        <row r="2940">
          <cell r="A2940" t="str">
            <v>GC</v>
          </cell>
          <cell r="D2940">
            <v>43238</v>
          </cell>
        </row>
        <row r="2941">
          <cell r="A2941" t="str">
            <v>KR</v>
          </cell>
          <cell r="D2941">
            <v>43111</v>
          </cell>
        </row>
        <row r="2942">
          <cell r="A2942" t="str">
            <v>ASEAN</v>
          </cell>
          <cell r="D2942">
            <v>43186</v>
          </cell>
        </row>
        <row r="2943">
          <cell r="A2943" t="str">
            <v>IN</v>
          </cell>
          <cell r="D2943">
            <v>43274</v>
          </cell>
        </row>
        <row r="2944">
          <cell r="A2944" t="str">
            <v>GC</v>
          </cell>
          <cell r="D2944">
            <v>43265</v>
          </cell>
        </row>
        <row r="2945">
          <cell r="A2945" t="str">
            <v>ANZ</v>
          </cell>
          <cell r="D2945">
            <v>43211</v>
          </cell>
        </row>
        <row r="2946">
          <cell r="A2946" t="str">
            <v>IN</v>
          </cell>
          <cell r="D2946">
            <v>43156</v>
          </cell>
        </row>
        <row r="2947">
          <cell r="A2947" t="str">
            <v>IN</v>
          </cell>
          <cell r="D2947">
            <v>43375</v>
          </cell>
        </row>
        <row r="2948">
          <cell r="A2948" t="str">
            <v>IN</v>
          </cell>
          <cell r="D2948">
            <v>43121</v>
          </cell>
        </row>
        <row r="2949">
          <cell r="A2949" t="str">
            <v>GC</v>
          </cell>
          <cell r="D2949">
            <v>43350</v>
          </cell>
        </row>
        <row r="2950">
          <cell r="A2950" t="str">
            <v>GC</v>
          </cell>
          <cell r="D2950">
            <v>43266</v>
          </cell>
        </row>
        <row r="2951">
          <cell r="A2951" t="str">
            <v>ASEAN</v>
          </cell>
          <cell r="D2951">
            <v>43106</v>
          </cell>
        </row>
        <row r="2952">
          <cell r="A2952" t="str">
            <v>GC</v>
          </cell>
          <cell r="D2952">
            <v>43454</v>
          </cell>
        </row>
        <row r="2953">
          <cell r="A2953" t="str">
            <v>IN</v>
          </cell>
          <cell r="D2953">
            <v>43302</v>
          </cell>
        </row>
        <row r="2954">
          <cell r="A2954" t="str">
            <v>IN</v>
          </cell>
          <cell r="D2954">
            <v>43152</v>
          </cell>
        </row>
        <row r="2955">
          <cell r="A2955" t="str">
            <v>ANZ</v>
          </cell>
          <cell r="D2955">
            <v>43208</v>
          </cell>
        </row>
        <row r="2956">
          <cell r="A2956" t="str">
            <v>GC</v>
          </cell>
          <cell r="D2956">
            <v>43258</v>
          </cell>
        </row>
        <row r="2957">
          <cell r="A2957" t="str">
            <v>GC</v>
          </cell>
          <cell r="D2957">
            <v>43433</v>
          </cell>
        </row>
        <row r="2958">
          <cell r="A2958" t="str">
            <v>GC</v>
          </cell>
          <cell r="D2958">
            <v>43406</v>
          </cell>
        </row>
        <row r="2959">
          <cell r="A2959" t="str">
            <v>GC</v>
          </cell>
          <cell r="D2959">
            <v>43390</v>
          </cell>
        </row>
        <row r="2960">
          <cell r="A2960" t="str">
            <v>GC</v>
          </cell>
          <cell r="D2960">
            <v>43431</v>
          </cell>
        </row>
        <row r="2961">
          <cell r="A2961" t="str">
            <v>GC</v>
          </cell>
          <cell r="D2961">
            <v>43425</v>
          </cell>
        </row>
        <row r="2962">
          <cell r="A2962" t="str">
            <v>GC</v>
          </cell>
          <cell r="D2962">
            <v>43338</v>
          </cell>
        </row>
        <row r="2963">
          <cell r="A2963" t="str">
            <v>GC</v>
          </cell>
          <cell r="D2963">
            <v>43250</v>
          </cell>
        </row>
        <row r="2964">
          <cell r="A2964" t="str">
            <v>ASEAN</v>
          </cell>
          <cell r="D2964">
            <v>43389</v>
          </cell>
        </row>
        <row r="2965">
          <cell r="A2965" t="str">
            <v>ASEAN</v>
          </cell>
          <cell r="D2965">
            <v>43169</v>
          </cell>
        </row>
        <row r="2966">
          <cell r="A2966" t="str">
            <v>IN</v>
          </cell>
          <cell r="D2966">
            <v>43101</v>
          </cell>
        </row>
        <row r="2967">
          <cell r="A2967" t="str">
            <v>GC</v>
          </cell>
          <cell r="D2967">
            <v>43175</v>
          </cell>
        </row>
        <row r="2968">
          <cell r="A2968" t="str">
            <v>GC</v>
          </cell>
          <cell r="D2968">
            <v>43302</v>
          </cell>
        </row>
        <row r="2969">
          <cell r="A2969" t="str">
            <v>IN</v>
          </cell>
          <cell r="D2969">
            <v>43122</v>
          </cell>
        </row>
        <row r="2970">
          <cell r="A2970" t="str">
            <v>IN</v>
          </cell>
          <cell r="D2970">
            <v>43366</v>
          </cell>
        </row>
        <row r="2971">
          <cell r="A2971" t="str">
            <v>GC</v>
          </cell>
          <cell r="D2971">
            <v>43424</v>
          </cell>
        </row>
        <row r="2972">
          <cell r="A2972" t="str">
            <v>ASEAN</v>
          </cell>
          <cell r="D2972">
            <v>43105</v>
          </cell>
        </row>
        <row r="2973">
          <cell r="A2973" t="str">
            <v>ASEAN</v>
          </cell>
          <cell r="D2973">
            <v>43253</v>
          </cell>
        </row>
        <row r="2974">
          <cell r="A2974" t="str">
            <v>ANZ</v>
          </cell>
          <cell r="D2974">
            <v>43324</v>
          </cell>
        </row>
        <row r="2975">
          <cell r="A2975" t="str">
            <v>IN</v>
          </cell>
          <cell r="D2975">
            <v>43278</v>
          </cell>
        </row>
        <row r="2976">
          <cell r="A2976" t="str">
            <v>KR</v>
          </cell>
          <cell r="D2976">
            <v>43255</v>
          </cell>
        </row>
        <row r="2977">
          <cell r="A2977" t="str">
            <v>GC</v>
          </cell>
          <cell r="D2977">
            <v>43391</v>
          </cell>
        </row>
        <row r="2978">
          <cell r="A2978" t="str">
            <v>GC</v>
          </cell>
          <cell r="D2978">
            <v>43238</v>
          </cell>
        </row>
        <row r="2979">
          <cell r="A2979" t="str">
            <v>GC</v>
          </cell>
          <cell r="D2979">
            <v>43353</v>
          </cell>
        </row>
        <row r="2980">
          <cell r="A2980" t="str">
            <v>GC</v>
          </cell>
          <cell r="D2980">
            <v>43453</v>
          </cell>
        </row>
        <row r="2981">
          <cell r="A2981" t="str">
            <v>GC</v>
          </cell>
          <cell r="D2981">
            <v>43406</v>
          </cell>
        </row>
        <row r="2982">
          <cell r="A2982" t="str">
            <v>GC</v>
          </cell>
          <cell r="D2982">
            <v>43225</v>
          </cell>
        </row>
        <row r="2983">
          <cell r="A2983" t="str">
            <v>GC</v>
          </cell>
          <cell r="D2983">
            <v>43119</v>
          </cell>
        </row>
        <row r="2984">
          <cell r="A2984" t="str">
            <v>IN</v>
          </cell>
          <cell r="D2984">
            <v>43320</v>
          </cell>
        </row>
        <row r="2985">
          <cell r="A2985" t="str">
            <v>ANZ</v>
          </cell>
          <cell r="D2985">
            <v>43444</v>
          </cell>
        </row>
        <row r="2986">
          <cell r="A2986" t="str">
            <v>GC</v>
          </cell>
          <cell r="D2986">
            <v>43342</v>
          </cell>
        </row>
        <row r="2987">
          <cell r="A2987" t="str">
            <v>GC</v>
          </cell>
          <cell r="D2987">
            <v>43406</v>
          </cell>
        </row>
        <row r="2988">
          <cell r="A2988" t="str">
            <v>ASEAN</v>
          </cell>
          <cell r="D2988">
            <v>43161</v>
          </cell>
        </row>
        <row r="2989">
          <cell r="A2989" t="str">
            <v>ANZ</v>
          </cell>
          <cell r="D2989">
            <v>43421</v>
          </cell>
        </row>
        <row r="2990">
          <cell r="A2990" t="str">
            <v>GC</v>
          </cell>
          <cell r="D2990">
            <v>43149</v>
          </cell>
        </row>
        <row r="2991">
          <cell r="A2991" t="str">
            <v>GC</v>
          </cell>
          <cell r="D2991">
            <v>43446</v>
          </cell>
        </row>
        <row r="2992">
          <cell r="A2992" t="str">
            <v>KR</v>
          </cell>
          <cell r="D2992">
            <v>43135</v>
          </cell>
        </row>
        <row r="2993">
          <cell r="A2993" t="str">
            <v>ANZ</v>
          </cell>
          <cell r="D2993">
            <v>43241</v>
          </cell>
        </row>
        <row r="2994">
          <cell r="A2994" t="str">
            <v>IN</v>
          </cell>
          <cell r="D2994">
            <v>43444</v>
          </cell>
        </row>
        <row r="2995">
          <cell r="A2995" t="str">
            <v>GC</v>
          </cell>
          <cell r="D2995">
            <v>43378</v>
          </cell>
        </row>
        <row r="2996">
          <cell r="A2996" t="str">
            <v>GC</v>
          </cell>
          <cell r="D2996">
            <v>43393</v>
          </cell>
        </row>
        <row r="2997">
          <cell r="A2997" t="str">
            <v>GC</v>
          </cell>
          <cell r="D2997">
            <v>43267</v>
          </cell>
        </row>
        <row r="2998">
          <cell r="A2998" t="str">
            <v>GC</v>
          </cell>
          <cell r="D2998">
            <v>43320</v>
          </cell>
        </row>
        <row r="2999">
          <cell r="A2999" t="str">
            <v>GC</v>
          </cell>
          <cell r="D2999">
            <v>43374</v>
          </cell>
        </row>
        <row r="3000">
          <cell r="A3000" t="str">
            <v>GC</v>
          </cell>
          <cell r="D3000">
            <v>43270</v>
          </cell>
        </row>
        <row r="3001">
          <cell r="A3001" t="str">
            <v>GC</v>
          </cell>
          <cell r="D3001">
            <v>43428</v>
          </cell>
        </row>
        <row r="3002">
          <cell r="A3002" t="str">
            <v>GC</v>
          </cell>
          <cell r="D3002">
            <v>43442</v>
          </cell>
        </row>
        <row r="3003">
          <cell r="A3003" t="str">
            <v>GC</v>
          </cell>
          <cell r="D3003">
            <v>43199</v>
          </cell>
        </row>
        <row r="3004">
          <cell r="A3004" t="str">
            <v>GC</v>
          </cell>
          <cell r="D3004">
            <v>43150</v>
          </cell>
        </row>
        <row r="3005">
          <cell r="A3005" t="str">
            <v>IN</v>
          </cell>
          <cell r="D3005">
            <v>43357</v>
          </cell>
        </row>
        <row r="3006">
          <cell r="A3006" t="str">
            <v>GC</v>
          </cell>
          <cell r="D3006">
            <v>43374</v>
          </cell>
        </row>
        <row r="3007">
          <cell r="A3007" t="str">
            <v>ASEAN</v>
          </cell>
          <cell r="D3007">
            <v>43349</v>
          </cell>
        </row>
        <row r="3008">
          <cell r="A3008" t="str">
            <v>ASEAN</v>
          </cell>
          <cell r="D3008">
            <v>43457</v>
          </cell>
        </row>
        <row r="3009">
          <cell r="A3009" t="str">
            <v>ASEAN</v>
          </cell>
          <cell r="D3009">
            <v>43142</v>
          </cell>
        </row>
        <row r="3010">
          <cell r="A3010" t="str">
            <v>ASEAN</v>
          </cell>
          <cell r="D3010">
            <v>43168</v>
          </cell>
        </row>
        <row r="3011">
          <cell r="A3011" t="str">
            <v>ASEAN</v>
          </cell>
          <cell r="D3011">
            <v>43383</v>
          </cell>
        </row>
        <row r="3012">
          <cell r="A3012" t="str">
            <v>GC</v>
          </cell>
          <cell r="D3012">
            <v>43386</v>
          </cell>
        </row>
        <row r="3013">
          <cell r="A3013" t="str">
            <v>ASEAN</v>
          </cell>
          <cell r="D3013">
            <v>43181</v>
          </cell>
        </row>
        <row r="3014">
          <cell r="A3014" t="str">
            <v>GC</v>
          </cell>
          <cell r="D3014">
            <v>43377</v>
          </cell>
        </row>
        <row r="3015">
          <cell r="A3015" t="str">
            <v>ANZ</v>
          </cell>
          <cell r="D3015">
            <v>43289</v>
          </cell>
        </row>
        <row r="3016">
          <cell r="A3016" t="str">
            <v>ASEAN</v>
          </cell>
          <cell r="D3016">
            <v>43210</v>
          </cell>
        </row>
        <row r="3017">
          <cell r="A3017" t="str">
            <v>IN</v>
          </cell>
          <cell r="D3017">
            <v>43142</v>
          </cell>
        </row>
        <row r="3018">
          <cell r="A3018" t="str">
            <v>ASEAN</v>
          </cell>
          <cell r="D3018">
            <v>43324</v>
          </cell>
        </row>
        <row r="3019">
          <cell r="A3019" t="str">
            <v>IN</v>
          </cell>
          <cell r="D3019">
            <v>43196</v>
          </cell>
        </row>
        <row r="3020">
          <cell r="A3020" t="str">
            <v>ASEAN</v>
          </cell>
          <cell r="D3020">
            <v>43293</v>
          </cell>
        </row>
        <row r="3021">
          <cell r="A3021" t="str">
            <v>ASEAN</v>
          </cell>
          <cell r="D3021">
            <v>43340</v>
          </cell>
        </row>
        <row r="3022">
          <cell r="A3022" t="str">
            <v>ASEAN</v>
          </cell>
          <cell r="D3022">
            <v>43325</v>
          </cell>
        </row>
        <row r="3023">
          <cell r="A3023" t="str">
            <v>ASEAN</v>
          </cell>
          <cell r="D3023">
            <v>43141</v>
          </cell>
        </row>
        <row r="3024">
          <cell r="A3024" t="str">
            <v>GC</v>
          </cell>
          <cell r="D3024">
            <v>43254</v>
          </cell>
        </row>
        <row r="3025">
          <cell r="A3025" t="str">
            <v>ASEAN</v>
          </cell>
          <cell r="D3025">
            <v>43451</v>
          </cell>
        </row>
        <row r="3026">
          <cell r="A3026" t="str">
            <v>ANZ</v>
          </cell>
          <cell r="D3026">
            <v>43452</v>
          </cell>
        </row>
        <row r="3027">
          <cell r="A3027" t="str">
            <v>GC</v>
          </cell>
          <cell r="D3027">
            <v>43171</v>
          </cell>
        </row>
        <row r="3028">
          <cell r="A3028" t="str">
            <v>IN</v>
          </cell>
          <cell r="D3028">
            <v>43312</v>
          </cell>
        </row>
        <row r="3029">
          <cell r="A3029" t="str">
            <v>IN</v>
          </cell>
          <cell r="D3029">
            <v>43249</v>
          </cell>
        </row>
        <row r="3030">
          <cell r="A3030" t="str">
            <v>GC</v>
          </cell>
          <cell r="D3030">
            <v>43120</v>
          </cell>
        </row>
        <row r="3031">
          <cell r="A3031" t="str">
            <v>GC</v>
          </cell>
          <cell r="D3031">
            <v>43147</v>
          </cell>
        </row>
        <row r="3032">
          <cell r="A3032" t="str">
            <v>IN</v>
          </cell>
          <cell r="D3032">
            <v>43299</v>
          </cell>
        </row>
        <row r="3033">
          <cell r="A3033" t="str">
            <v>IN</v>
          </cell>
          <cell r="D3033">
            <v>43214</v>
          </cell>
        </row>
        <row r="3034">
          <cell r="A3034" t="str">
            <v>IN</v>
          </cell>
          <cell r="D3034">
            <v>43387</v>
          </cell>
        </row>
        <row r="3035">
          <cell r="A3035" t="str">
            <v>ASEAN</v>
          </cell>
          <cell r="D3035">
            <v>43212</v>
          </cell>
        </row>
        <row r="3036">
          <cell r="A3036" t="str">
            <v>ASEAN</v>
          </cell>
          <cell r="D3036">
            <v>43454</v>
          </cell>
        </row>
        <row r="3037">
          <cell r="A3037" t="str">
            <v>ASEAN</v>
          </cell>
          <cell r="D3037">
            <v>43360</v>
          </cell>
        </row>
        <row r="3038">
          <cell r="A3038" t="str">
            <v>GC</v>
          </cell>
          <cell r="D3038">
            <v>43210</v>
          </cell>
        </row>
        <row r="3039">
          <cell r="A3039" t="str">
            <v>GC</v>
          </cell>
          <cell r="D3039">
            <v>43304</v>
          </cell>
        </row>
        <row r="3040">
          <cell r="A3040" t="str">
            <v>GC</v>
          </cell>
          <cell r="D3040">
            <v>43208</v>
          </cell>
        </row>
        <row r="3041">
          <cell r="A3041" t="str">
            <v>GC</v>
          </cell>
          <cell r="D3041">
            <v>43332</v>
          </cell>
        </row>
        <row r="3042">
          <cell r="A3042" t="str">
            <v>GC</v>
          </cell>
          <cell r="D3042">
            <v>43158</v>
          </cell>
        </row>
        <row r="3043">
          <cell r="A3043" t="str">
            <v>ANZ</v>
          </cell>
          <cell r="D3043">
            <v>43160</v>
          </cell>
        </row>
        <row r="3044">
          <cell r="A3044" t="str">
            <v>GC</v>
          </cell>
          <cell r="D3044">
            <v>43275</v>
          </cell>
        </row>
        <row r="3045">
          <cell r="A3045" t="str">
            <v>ASEAN</v>
          </cell>
          <cell r="D3045">
            <v>43350</v>
          </cell>
        </row>
        <row r="3046">
          <cell r="A3046" t="str">
            <v>ASEAN</v>
          </cell>
          <cell r="D3046">
            <v>43422</v>
          </cell>
        </row>
        <row r="3047">
          <cell r="A3047" t="str">
            <v>IN</v>
          </cell>
          <cell r="D3047">
            <v>43307</v>
          </cell>
        </row>
        <row r="3048">
          <cell r="A3048" t="str">
            <v>ASEAN</v>
          </cell>
          <cell r="D3048">
            <v>43192</v>
          </cell>
        </row>
        <row r="3049">
          <cell r="A3049" t="str">
            <v>ASEAN</v>
          </cell>
          <cell r="D3049">
            <v>43132</v>
          </cell>
        </row>
        <row r="3050">
          <cell r="A3050" t="str">
            <v>GC</v>
          </cell>
          <cell r="D3050">
            <v>43384</v>
          </cell>
        </row>
        <row r="3051">
          <cell r="A3051" t="str">
            <v>ASEAN</v>
          </cell>
          <cell r="D3051">
            <v>43131</v>
          </cell>
        </row>
        <row r="3052">
          <cell r="A3052" t="str">
            <v>ASEAN</v>
          </cell>
          <cell r="D3052">
            <v>43192</v>
          </cell>
        </row>
        <row r="3053">
          <cell r="A3053" t="str">
            <v>ASEAN</v>
          </cell>
          <cell r="D3053">
            <v>43398</v>
          </cell>
        </row>
        <row r="3054">
          <cell r="A3054" t="str">
            <v>ASEAN</v>
          </cell>
          <cell r="D3054">
            <v>43310</v>
          </cell>
        </row>
        <row r="3055">
          <cell r="A3055" t="str">
            <v>ASEAN</v>
          </cell>
          <cell r="D3055">
            <v>43309</v>
          </cell>
        </row>
        <row r="3056">
          <cell r="A3056" t="str">
            <v>ASEAN</v>
          </cell>
          <cell r="D3056">
            <v>43456</v>
          </cell>
        </row>
        <row r="3057">
          <cell r="A3057" t="str">
            <v>ANZ</v>
          </cell>
          <cell r="D3057">
            <v>43465</v>
          </cell>
        </row>
        <row r="3058">
          <cell r="A3058" t="str">
            <v>ANZ</v>
          </cell>
          <cell r="D3058">
            <v>43337</v>
          </cell>
        </row>
        <row r="3059">
          <cell r="A3059" t="str">
            <v>ANZ</v>
          </cell>
          <cell r="D3059">
            <v>43332</v>
          </cell>
        </row>
        <row r="3060">
          <cell r="A3060" t="str">
            <v>KR</v>
          </cell>
          <cell r="D3060">
            <v>43279</v>
          </cell>
        </row>
        <row r="3061">
          <cell r="A3061" t="str">
            <v>ANZ</v>
          </cell>
          <cell r="D3061">
            <v>43115</v>
          </cell>
        </row>
        <row r="3062">
          <cell r="A3062" t="str">
            <v>IN</v>
          </cell>
          <cell r="D3062">
            <v>43198</v>
          </cell>
        </row>
        <row r="3063">
          <cell r="A3063" t="str">
            <v>GC</v>
          </cell>
          <cell r="D3063">
            <v>43130</v>
          </cell>
        </row>
        <row r="3064">
          <cell r="A3064" t="str">
            <v>ANZ</v>
          </cell>
          <cell r="D3064">
            <v>43405</v>
          </cell>
        </row>
        <row r="3065">
          <cell r="A3065" t="str">
            <v>GC</v>
          </cell>
          <cell r="D3065">
            <v>43411</v>
          </cell>
        </row>
        <row r="3066">
          <cell r="A3066" t="str">
            <v>KR</v>
          </cell>
          <cell r="D3066">
            <v>43240</v>
          </cell>
        </row>
        <row r="3067">
          <cell r="A3067" t="str">
            <v>KR</v>
          </cell>
          <cell r="D3067">
            <v>43148</v>
          </cell>
        </row>
        <row r="3068">
          <cell r="A3068" t="str">
            <v>KR</v>
          </cell>
          <cell r="D3068">
            <v>43215</v>
          </cell>
        </row>
        <row r="3069">
          <cell r="A3069" t="str">
            <v>KR</v>
          </cell>
          <cell r="D3069">
            <v>43285</v>
          </cell>
        </row>
        <row r="3070">
          <cell r="A3070" t="str">
            <v>KR</v>
          </cell>
          <cell r="D3070">
            <v>43196</v>
          </cell>
        </row>
        <row r="3071">
          <cell r="A3071" t="str">
            <v>KR</v>
          </cell>
          <cell r="D3071">
            <v>43317</v>
          </cell>
        </row>
        <row r="3072">
          <cell r="A3072" t="str">
            <v>KR</v>
          </cell>
          <cell r="D3072">
            <v>43461</v>
          </cell>
        </row>
        <row r="3073">
          <cell r="A3073" t="str">
            <v>KR</v>
          </cell>
          <cell r="D3073">
            <v>43393</v>
          </cell>
        </row>
        <row r="3074">
          <cell r="A3074" t="str">
            <v>KR</v>
          </cell>
          <cell r="D3074">
            <v>43298</v>
          </cell>
        </row>
        <row r="3075">
          <cell r="A3075" t="str">
            <v>KR</v>
          </cell>
          <cell r="D3075">
            <v>43161</v>
          </cell>
        </row>
        <row r="3076">
          <cell r="A3076" t="str">
            <v>KR</v>
          </cell>
          <cell r="D3076">
            <v>43329</v>
          </cell>
        </row>
        <row r="3077">
          <cell r="A3077" t="str">
            <v>ASEAN</v>
          </cell>
          <cell r="D3077">
            <v>43377</v>
          </cell>
        </row>
        <row r="3078">
          <cell r="A3078" t="str">
            <v>KR</v>
          </cell>
          <cell r="D3078">
            <v>43316</v>
          </cell>
        </row>
        <row r="3079">
          <cell r="A3079" t="str">
            <v>KR</v>
          </cell>
          <cell r="D3079">
            <v>43254</v>
          </cell>
        </row>
        <row r="3080">
          <cell r="A3080" t="str">
            <v>GC</v>
          </cell>
          <cell r="D3080">
            <v>43324</v>
          </cell>
        </row>
        <row r="3081">
          <cell r="A3081" t="str">
            <v>KR</v>
          </cell>
          <cell r="D3081">
            <v>43158</v>
          </cell>
        </row>
        <row r="3082">
          <cell r="A3082" t="str">
            <v>KR</v>
          </cell>
          <cell r="D3082">
            <v>43386</v>
          </cell>
        </row>
        <row r="3083">
          <cell r="A3083" t="str">
            <v>GC</v>
          </cell>
          <cell r="D3083">
            <v>43354</v>
          </cell>
        </row>
        <row r="3084">
          <cell r="A3084" t="str">
            <v>GC</v>
          </cell>
          <cell r="D3084">
            <v>43231</v>
          </cell>
        </row>
        <row r="3085">
          <cell r="A3085" t="str">
            <v>GC</v>
          </cell>
          <cell r="D3085">
            <v>43320</v>
          </cell>
        </row>
        <row r="3086">
          <cell r="A3086" t="str">
            <v>GC</v>
          </cell>
          <cell r="D3086">
            <v>43293</v>
          </cell>
        </row>
        <row r="3087">
          <cell r="A3087" t="str">
            <v>GC</v>
          </cell>
          <cell r="D3087">
            <v>43379</v>
          </cell>
        </row>
        <row r="3088">
          <cell r="A3088" t="str">
            <v>GC</v>
          </cell>
          <cell r="D3088">
            <v>43383</v>
          </cell>
        </row>
        <row r="3089">
          <cell r="A3089" t="str">
            <v>ASEAN</v>
          </cell>
          <cell r="D3089">
            <v>43338</v>
          </cell>
        </row>
        <row r="3090">
          <cell r="A3090" t="str">
            <v>GC</v>
          </cell>
          <cell r="D3090">
            <v>43364</v>
          </cell>
        </row>
        <row r="3091">
          <cell r="A3091" t="str">
            <v>ASEAN</v>
          </cell>
          <cell r="D3091">
            <v>43135</v>
          </cell>
        </row>
        <row r="3092">
          <cell r="A3092" t="str">
            <v>GC</v>
          </cell>
          <cell r="D3092">
            <v>43417</v>
          </cell>
        </row>
        <row r="3093">
          <cell r="A3093" t="str">
            <v>GC</v>
          </cell>
          <cell r="D3093">
            <v>43171</v>
          </cell>
        </row>
        <row r="3094">
          <cell r="A3094" t="str">
            <v>GC</v>
          </cell>
          <cell r="D3094">
            <v>43137</v>
          </cell>
        </row>
        <row r="3095">
          <cell r="A3095" t="str">
            <v>IN</v>
          </cell>
          <cell r="D3095">
            <v>43429</v>
          </cell>
        </row>
        <row r="3096">
          <cell r="A3096" t="str">
            <v>ANZ</v>
          </cell>
          <cell r="D3096">
            <v>43151</v>
          </cell>
        </row>
        <row r="3097">
          <cell r="A3097" t="str">
            <v>ANZ</v>
          </cell>
          <cell r="D3097">
            <v>43283</v>
          </cell>
        </row>
        <row r="3098">
          <cell r="A3098" t="str">
            <v>IN</v>
          </cell>
          <cell r="D3098">
            <v>43364</v>
          </cell>
        </row>
        <row r="3099">
          <cell r="A3099" t="str">
            <v>GC</v>
          </cell>
          <cell r="D3099">
            <v>43335</v>
          </cell>
        </row>
        <row r="3100">
          <cell r="A3100" t="str">
            <v>ASEAN</v>
          </cell>
          <cell r="D3100">
            <v>43276</v>
          </cell>
        </row>
        <row r="3101">
          <cell r="A3101" t="str">
            <v>GC</v>
          </cell>
          <cell r="D3101">
            <v>43198</v>
          </cell>
        </row>
        <row r="3102">
          <cell r="A3102" t="str">
            <v>GC</v>
          </cell>
          <cell r="D3102">
            <v>43233</v>
          </cell>
        </row>
        <row r="3103">
          <cell r="A3103" t="str">
            <v>GC</v>
          </cell>
          <cell r="D3103">
            <v>43271</v>
          </cell>
        </row>
        <row r="3104">
          <cell r="A3104" t="str">
            <v>GC</v>
          </cell>
          <cell r="D3104">
            <v>43406</v>
          </cell>
        </row>
        <row r="3105">
          <cell r="A3105" t="str">
            <v>IN</v>
          </cell>
          <cell r="D3105">
            <v>43177</v>
          </cell>
        </row>
        <row r="3106">
          <cell r="A3106" t="str">
            <v>GC</v>
          </cell>
          <cell r="D3106">
            <v>43315</v>
          </cell>
        </row>
        <row r="3107">
          <cell r="A3107" t="str">
            <v>GC</v>
          </cell>
          <cell r="D3107">
            <v>43103</v>
          </cell>
        </row>
        <row r="3108">
          <cell r="A3108" t="str">
            <v>IN</v>
          </cell>
          <cell r="D3108">
            <v>43329</v>
          </cell>
        </row>
        <row r="3109">
          <cell r="A3109" t="str">
            <v>IN</v>
          </cell>
          <cell r="D3109">
            <v>43104</v>
          </cell>
        </row>
        <row r="3110">
          <cell r="A3110" t="str">
            <v>GC</v>
          </cell>
          <cell r="D3110">
            <v>43208</v>
          </cell>
        </row>
        <row r="3111">
          <cell r="A3111" t="str">
            <v>IN</v>
          </cell>
          <cell r="D3111">
            <v>43271</v>
          </cell>
        </row>
        <row r="3112">
          <cell r="A3112" t="str">
            <v>IN</v>
          </cell>
          <cell r="D3112">
            <v>43119</v>
          </cell>
        </row>
        <row r="3113">
          <cell r="A3113" t="str">
            <v>IN</v>
          </cell>
          <cell r="D3113">
            <v>43422</v>
          </cell>
        </row>
        <row r="3114">
          <cell r="A3114" t="str">
            <v>IN</v>
          </cell>
          <cell r="D3114">
            <v>43332</v>
          </cell>
        </row>
        <row r="3115">
          <cell r="A3115" t="str">
            <v>ANZ</v>
          </cell>
          <cell r="D3115">
            <v>43460</v>
          </cell>
        </row>
        <row r="3116">
          <cell r="A3116" t="str">
            <v>ANZ</v>
          </cell>
          <cell r="D3116">
            <v>43329</v>
          </cell>
        </row>
        <row r="3117">
          <cell r="A3117" t="str">
            <v>ANZ</v>
          </cell>
          <cell r="D3117">
            <v>43124</v>
          </cell>
        </row>
        <row r="3118">
          <cell r="A3118" t="str">
            <v>IN</v>
          </cell>
          <cell r="D3118">
            <v>43265</v>
          </cell>
        </row>
        <row r="3119">
          <cell r="A3119" t="str">
            <v>ASEAN</v>
          </cell>
          <cell r="D3119">
            <v>43311</v>
          </cell>
        </row>
        <row r="3120">
          <cell r="A3120" t="str">
            <v>ANZ</v>
          </cell>
          <cell r="D3120">
            <v>43223</v>
          </cell>
        </row>
        <row r="3121">
          <cell r="A3121" t="str">
            <v>ANZ</v>
          </cell>
          <cell r="D3121">
            <v>43386</v>
          </cell>
        </row>
        <row r="3122">
          <cell r="A3122" t="str">
            <v>GC</v>
          </cell>
          <cell r="D3122">
            <v>43323</v>
          </cell>
        </row>
        <row r="3123">
          <cell r="A3123" t="str">
            <v>KR</v>
          </cell>
          <cell r="D3123">
            <v>43158</v>
          </cell>
        </row>
        <row r="3124">
          <cell r="A3124" t="str">
            <v>ANZ</v>
          </cell>
          <cell r="D3124">
            <v>43116</v>
          </cell>
        </row>
        <row r="3125">
          <cell r="A3125" t="str">
            <v>ANZ</v>
          </cell>
          <cell r="D3125">
            <v>43442</v>
          </cell>
        </row>
        <row r="3126">
          <cell r="A3126" t="str">
            <v>ANZ</v>
          </cell>
          <cell r="D3126">
            <v>43159</v>
          </cell>
        </row>
        <row r="3127">
          <cell r="A3127" t="str">
            <v>IN</v>
          </cell>
          <cell r="D3127">
            <v>43112</v>
          </cell>
        </row>
        <row r="3128">
          <cell r="A3128" t="str">
            <v>ASEAN</v>
          </cell>
          <cell r="D3128">
            <v>43211</v>
          </cell>
        </row>
        <row r="3129">
          <cell r="A3129" t="str">
            <v>ASEAN</v>
          </cell>
          <cell r="D3129">
            <v>43174</v>
          </cell>
        </row>
        <row r="3130">
          <cell r="A3130" t="str">
            <v>GC</v>
          </cell>
          <cell r="D3130">
            <v>43453</v>
          </cell>
        </row>
        <row r="3131">
          <cell r="A3131" t="str">
            <v>GC</v>
          </cell>
          <cell r="D3131">
            <v>43269</v>
          </cell>
        </row>
        <row r="3132">
          <cell r="A3132" t="str">
            <v>GC</v>
          </cell>
          <cell r="D3132">
            <v>43227</v>
          </cell>
        </row>
        <row r="3133">
          <cell r="A3133" t="str">
            <v>GC</v>
          </cell>
          <cell r="D3133">
            <v>43372</v>
          </cell>
        </row>
        <row r="3134">
          <cell r="A3134" t="str">
            <v>GC</v>
          </cell>
          <cell r="D3134">
            <v>43378</v>
          </cell>
        </row>
        <row r="3135">
          <cell r="A3135" t="str">
            <v>ANZ</v>
          </cell>
          <cell r="D3135">
            <v>43373</v>
          </cell>
        </row>
        <row r="3136">
          <cell r="A3136" t="str">
            <v>ANZ</v>
          </cell>
          <cell r="D3136">
            <v>43424</v>
          </cell>
        </row>
        <row r="3137">
          <cell r="A3137" t="str">
            <v>ANZ</v>
          </cell>
          <cell r="D3137">
            <v>43363</v>
          </cell>
        </row>
        <row r="3138">
          <cell r="A3138" t="str">
            <v>IN</v>
          </cell>
          <cell r="D3138">
            <v>43286</v>
          </cell>
        </row>
        <row r="3139">
          <cell r="A3139" t="str">
            <v>IN</v>
          </cell>
          <cell r="D3139">
            <v>43450</v>
          </cell>
        </row>
        <row r="3140">
          <cell r="A3140" t="str">
            <v>IN</v>
          </cell>
          <cell r="D3140">
            <v>43373</v>
          </cell>
        </row>
        <row r="3141">
          <cell r="A3141" t="str">
            <v>IN</v>
          </cell>
          <cell r="D3141">
            <v>43465</v>
          </cell>
        </row>
        <row r="3142">
          <cell r="A3142" t="str">
            <v>IN</v>
          </cell>
          <cell r="D3142">
            <v>43205</v>
          </cell>
        </row>
        <row r="3143">
          <cell r="A3143" t="str">
            <v>IN</v>
          </cell>
          <cell r="D3143">
            <v>43422</v>
          </cell>
        </row>
        <row r="3144">
          <cell r="A3144" t="str">
            <v>IN</v>
          </cell>
          <cell r="D3144">
            <v>43195</v>
          </cell>
        </row>
        <row r="3145">
          <cell r="A3145" t="str">
            <v>GC</v>
          </cell>
          <cell r="D3145">
            <v>43385</v>
          </cell>
        </row>
        <row r="3146">
          <cell r="A3146" t="str">
            <v>IN</v>
          </cell>
          <cell r="D3146">
            <v>43131</v>
          </cell>
        </row>
        <row r="3147">
          <cell r="A3147" t="str">
            <v>IN</v>
          </cell>
          <cell r="D3147">
            <v>43327</v>
          </cell>
        </row>
        <row r="3148">
          <cell r="A3148" t="str">
            <v>ASEAN</v>
          </cell>
          <cell r="D3148">
            <v>43192</v>
          </cell>
        </row>
        <row r="3149">
          <cell r="A3149" t="str">
            <v>KR</v>
          </cell>
          <cell r="D3149">
            <v>43315</v>
          </cell>
        </row>
        <row r="3150">
          <cell r="A3150" t="str">
            <v>ASEAN</v>
          </cell>
          <cell r="D3150">
            <v>43290</v>
          </cell>
        </row>
        <row r="3151">
          <cell r="A3151" t="str">
            <v>IN</v>
          </cell>
          <cell r="D3151">
            <v>43297</v>
          </cell>
        </row>
        <row r="3152">
          <cell r="A3152" t="str">
            <v>GC</v>
          </cell>
          <cell r="D3152">
            <v>43383</v>
          </cell>
        </row>
        <row r="3153">
          <cell r="A3153" t="str">
            <v>IN</v>
          </cell>
          <cell r="D3153">
            <v>43285</v>
          </cell>
        </row>
        <row r="3154">
          <cell r="A3154" t="str">
            <v>ASEAN</v>
          </cell>
          <cell r="D3154">
            <v>43114</v>
          </cell>
        </row>
        <row r="3155">
          <cell r="A3155" t="str">
            <v>GC</v>
          </cell>
          <cell r="D3155">
            <v>43397</v>
          </cell>
        </row>
        <row r="3156">
          <cell r="A3156" t="str">
            <v>GC</v>
          </cell>
          <cell r="D3156">
            <v>43108</v>
          </cell>
        </row>
        <row r="3157">
          <cell r="A3157" t="str">
            <v>IN</v>
          </cell>
          <cell r="D3157">
            <v>43253</v>
          </cell>
        </row>
        <row r="3158">
          <cell r="A3158" t="str">
            <v>ANZ</v>
          </cell>
          <cell r="D3158">
            <v>43316</v>
          </cell>
        </row>
        <row r="3159">
          <cell r="A3159" t="str">
            <v>ANZ</v>
          </cell>
          <cell r="D3159">
            <v>43421</v>
          </cell>
        </row>
        <row r="3160">
          <cell r="A3160" t="str">
            <v>ANZ</v>
          </cell>
          <cell r="D3160">
            <v>43388</v>
          </cell>
        </row>
        <row r="3161">
          <cell r="A3161" t="str">
            <v>ANZ</v>
          </cell>
          <cell r="D3161">
            <v>43325</v>
          </cell>
        </row>
        <row r="3162">
          <cell r="A3162" t="str">
            <v>ANZ</v>
          </cell>
          <cell r="D3162">
            <v>43194</v>
          </cell>
        </row>
        <row r="3163">
          <cell r="A3163" t="str">
            <v>GC</v>
          </cell>
          <cell r="D3163">
            <v>43438</v>
          </cell>
        </row>
        <row r="3164">
          <cell r="A3164" t="str">
            <v>ANZ</v>
          </cell>
          <cell r="D3164">
            <v>43143</v>
          </cell>
        </row>
        <row r="3165">
          <cell r="A3165" t="str">
            <v>GC</v>
          </cell>
          <cell r="D3165">
            <v>43135</v>
          </cell>
        </row>
        <row r="3166">
          <cell r="A3166" t="str">
            <v>GC</v>
          </cell>
          <cell r="D3166">
            <v>43263</v>
          </cell>
        </row>
        <row r="3167">
          <cell r="A3167" t="str">
            <v>IN</v>
          </cell>
          <cell r="D3167">
            <v>43409</v>
          </cell>
        </row>
        <row r="3168">
          <cell r="A3168" t="str">
            <v>IN</v>
          </cell>
          <cell r="D3168">
            <v>43235</v>
          </cell>
        </row>
        <row r="3169">
          <cell r="A3169" t="str">
            <v>IN</v>
          </cell>
          <cell r="D3169">
            <v>43357</v>
          </cell>
        </row>
        <row r="3170">
          <cell r="A3170" t="str">
            <v>IN</v>
          </cell>
          <cell r="D3170">
            <v>43306</v>
          </cell>
        </row>
        <row r="3171">
          <cell r="A3171" t="str">
            <v>GC</v>
          </cell>
          <cell r="D3171">
            <v>43291</v>
          </cell>
        </row>
        <row r="3172">
          <cell r="A3172" t="str">
            <v>IN</v>
          </cell>
          <cell r="D3172">
            <v>43108</v>
          </cell>
        </row>
        <row r="3173">
          <cell r="A3173" t="str">
            <v>IN</v>
          </cell>
          <cell r="D3173">
            <v>43439</v>
          </cell>
        </row>
        <row r="3174">
          <cell r="A3174" t="str">
            <v>IN</v>
          </cell>
          <cell r="D3174">
            <v>43449</v>
          </cell>
        </row>
        <row r="3175">
          <cell r="A3175" t="str">
            <v>IN</v>
          </cell>
          <cell r="D3175">
            <v>43406</v>
          </cell>
        </row>
        <row r="3176">
          <cell r="A3176" t="str">
            <v>IN</v>
          </cell>
          <cell r="D3176">
            <v>43465</v>
          </cell>
        </row>
        <row r="3177">
          <cell r="A3177" t="str">
            <v>IN</v>
          </cell>
          <cell r="D3177">
            <v>43196</v>
          </cell>
        </row>
        <row r="3178">
          <cell r="A3178" t="str">
            <v>IN</v>
          </cell>
          <cell r="D3178">
            <v>43437</v>
          </cell>
        </row>
        <row r="3179">
          <cell r="A3179" t="str">
            <v>ASEAN</v>
          </cell>
          <cell r="D3179">
            <v>43441</v>
          </cell>
        </row>
        <row r="3180">
          <cell r="A3180" t="str">
            <v>GC</v>
          </cell>
          <cell r="D3180">
            <v>43149</v>
          </cell>
        </row>
        <row r="3181">
          <cell r="A3181" t="str">
            <v>ANZ</v>
          </cell>
          <cell r="D3181">
            <v>43101</v>
          </cell>
        </row>
        <row r="3182">
          <cell r="A3182" t="str">
            <v>ANZ</v>
          </cell>
          <cell r="D3182">
            <v>43285</v>
          </cell>
        </row>
        <row r="3183">
          <cell r="A3183" t="str">
            <v>ANZ</v>
          </cell>
          <cell r="D3183">
            <v>43394</v>
          </cell>
        </row>
        <row r="3184">
          <cell r="A3184" t="str">
            <v>ASEAN</v>
          </cell>
          <cell r="D3184">
            <v>43144</v>
          </cell>
        </row>
        <row r="3185">
          <cell r="A3185" t="str">
            <v>KR</v>
          </cell>
          <cell r="D3185">
            <v>43224</v>
          </cell>
        </row>
        <row r="3186">
          <cell r="A3186" t="str">
            <v>IN</v>
          </cell>
          <cell r="D3186">
            <v>43243</v>
          </cell>
        </row>
        <row r="3187">
          <cell r="A3187" t="str">
            <v>IN</v>
          </cell>
          <cell r="D3187">
            <v>43233</v>
          </cell>
        </row>
        <row r="3188">
          <cell r="A3188" t="str">
            <v>IN</v>
          </cell>
          <cell r="D3188">
            <v>43150</v>
          </cell>
        </row>
        <row r="3189">
          <cell r="A3189" t="str">
            <v>ASEAN</v>
          </cell>
          <cell r="D3189">
            <v>43327</v>
          </cell>
        </row>
        <row r="3190">
          <cell r="A3190" t="str">
            <v>GC</v>
          </cell>
          <cell r="D3190">
            <v>43289</v>
          </cell>
        </row>
        <row r="3191">
          <cell r="A3191" t="str">
            <v>GC</v>
          </cell>
          <cell r="D3191">
            <v>43137</v>
          </cell>
        </row>
        <row r="3192">
          <cell r="A3192" t="str">
            <v>GC</v>
          </cell>
          <cell r="D3192">
            <v>43182</v>
          </cell>
        </row>
        <row r="3193">
          <cell r="A3193" t="str">
            <v>GC</v>
          </cell>
          <cell r="D3193">
            <v>43262</v>
          </cell>
        </row>
        <row r="3194">
          <cell r="A3194" t="str">
            <v>GC</v>
          </cell>
          <cell r="D3194">
            <v>43140</v>
          </cell>
        </row>
        <row r="3195">
          <cell r="A3195" t="str">
            <v>IN</v>
          </cell>
          <cell r="D3195">
            <v>43375</v>
          </cell>
        </row>
        <row r="3196">
          <cell r="A3196" t="str">
            <v>IN</v>
          </cell>
          <cell r="D3196">
            <v>43224</v>
          </cell>
        </row>
        <row r="3197">
          <cell r="A3197" t="str">
            <v>ANZ</v>
          </cell>
          <cell r="D3197">
            <v>43253</v>
          </cell>
        </row>
        <row r="3198">
          <cell r="A3198" t="str">
            <v>ANZ</v>
          </cell>
          <cell r="D3198">
            <v>43327</v>
          </cell>
        </row>
        <row r="3199">
          <cell r="A3199" t="str">
            <v>GC</v>
          </cell>
          <cell r="D3199">
            <v>43226</v>
          </cell>
        </row>
        <row r="3200">
          <cell r="A3200" t="str">
            <v>IN</v>
          </cell>
          <cell r="D3200">
            <v>43142</v>
          </cell>
        </row>
        <row r="3201">
          <cell r="A3201" t="str">
            <v>ANZ</v>
          </cell>
          <cell r="D3201">
            <v>43134</v>
          </cell>
        </row>
        <row r="3202">
          <cell r="A3202" t="str">
            <v>IN</v>
          </cell>
          <cell r="D3202">
            <v>43114</v>
          </cell>
        </row>
        <row r="3203">
          <cell r="A3203" t="str">
            <v>IN</v>
          </cell>
          <cell r="D3203">
            <v>43303</v>
          </cell>
        </row>
        <row r="3204">
          <cell r="A3204" t="str">
            <v>IN</v>
          </cell>
          <cell r="D3204">
            <v>43119</v>
          </cell>
        </row>
        <row r="3205">
          <cell r="A3205" t="str">
            <v>IN</v>
          </cell>
          <cell r="D3205">
            <v>43285</v>
          </cell>
        </row>
        <row r="3206">
          <cell r="A3206" t="str">
            <v>ASEAN</v>
          </cell>
          <cell r="D3206">
            <v>43288</v>
          </cell>
        </row>
        <row r="3207">
          <cell r="A3207" t="str">
            <v>ANZ</v>
          </cell>
          <cell r="D3207">
            <v>43379</v>
          </cell>
        </row>
        <row r="3208">
          <cell r="A3208" t="str">
            <v>GC</v>
          </cell>
          <cell r="D3208">
            <v>43450</v>
          </cell>
        </row>
        <row r="3209">
          <cell r="A3209" t="str">
            <v>ASEAN</v>
          </cell>
          <cell r="D3209">
            <v>43400</v>
          </cell>
        </row>
        <row r="3210">
          <cell r="A3210" t="str">
            <v>ASEAN</v>
          </cell>
          <cell r="D3210">
            <v>43237</v>
          </cell>
        </row>
        <row r="3211">
          <cell r="A3211" t="str">
            <v>ASEAN</v>
          </cell>
          <cell r="D3211">
            <v>43442</v>
          </cell>
        </row>
        <row r="3212">
          <cell r="A3212" t="str">
            <v>GC</v>
          </cell>
          <cell r="D3212">
            <v>43212</v>
          </cell>
        </row>
        <row r="3213">
          <cell r="A3213" t="str">
            <v>GC</v>
          </cell>
          <cell r="D3213">
            <v>43173</v>
          </cell>
        </row>
        <row r="3214">
          <cell r="A3214" t="str">
            <v>GC</v>
          </cell>
          <cell r="D3214">
            <v>43371</v>
          </cell>
        </row>
        <row r="3215">
          <cell r="A3215" t="str">
            <v>GC</v>
          </cell>
          <cell r="D3215">
            <v>43178</v>
          </cell>
        </row>
        <row r="3216">
          <cell r="A3216" t="str">
            <v>GC</v>
          </cell>
          <cell r="D3216">
            <v>43444</v>
          </cell>
        </row>
        <row r="3217">
          <cell r="A3217" t="str">
            <v>GC</v>
          </cell>
          <cell r="D3217">
            <v>43357</v>
          </cell>
        </row>
        <row r="3218">
          <cell r="A3218" t="str">
            <v>GC</v>
          </cell>
          <cell r="D3218">
            <v>43405</v>
          </cell>
        </row>
        <row r="3219">
          <cell r="A3219" t="str">
            <v>KR</v>
          </cell>
          <cell r="D3219">
            <v>43394</v>
          </cell>
        </row>
        <row r="3220">
          <cell r="A3220" t="str">
            <v>KR</v>
          </cell>
          <cell r="D3220">
            <v>43201</v>
          </cell>
        </row>
        <row r="3221">
          <cell r="A3221" t="str">
            <v>KR</v>
          </cell>
          <cell r="D3221">
            <v>43193</v>
          </cell>
        </row>
        <row r="3222">
          <cell r="A3222" t="str">
            <v>KR</v>
          </cell>
          <cell r="D3222">
            <v>43347</v>
          </cell>
        </row>
        <row r="3223">
          <cell r="A3223" t="str">
            <v>ANZ</v>
          </cell>
          <cell r="D3223">
            <v>43286</v>
          </cell>
        </row>
        <row r="3224">
          <cell r="A3224" t="str">
            <v>ANZ</v>
          </cell>
          <cell r="D3224">
            <v>43158</v>
          </cell>
        </row>
        <row r="3225">
          <cell r="A3225" t="str">
            <v>ANZ</v>
          </cell>
          <cell r="D3225">
            <v>43284</v>
          </cell>
        </row>
        <row r="3226">
          <cell r="A3226" t="str">
            <v>GC</v>
          </cell>
          <cell r="D3226">
            <v>43341</v>
          </cell>
        </row>
        <row r="3227">
          <cell r="A3227" t="str">
            <v>GC</v>
          </cell>
          <cell r="D3227">
            <v>43433</v>
          </cell>
        </row>
        <row r="3228">
          <cell r="A3228" t="str">
            <v>GC</v>
          </cell>
          <cell r="D3228">
            <v>43399</v>
          </cell>
        </row>
        <row r="3229">
          <cell r="A3229" t="str">
            <v>GC</v>
          </cell>
          <cell r="D3229">
            <v>43174</v>
          </cell>
        </row>
        <row r="3230">
          <cell r="A3230" t="str">
            <v>GC</v>
          </cell>
          <cell r="D3230">
            <v>43138</v>
          </cell>
        </row>
        <row r="3231">
          <cell r="A3231" t="str">
            <v>GC</v>
          </cell>
          <cell r="D3231">
            <v>43311</v>
          </cell>
        </row>
        <row r="3232">
          <cell r="A3232" t="str">
            <v>IN</v>
          </cell>
          <cell r="D3232">
            <v>43210</v>
          </cell>
        </row>
        <row r="3233">
          <cell r="A3233" t="str">
            <v>KR</v>
          </cell>
          <cell r="D3233">
            <v>43112</v>
          </cell>
        </row>
        <row r="3234">
          <cell r="A3234" t="str">
            <v>KR</v>
          </cell>
          <cell r="D3234">
            <v>43308</v>
          </cell>
        </row>
        <row r="3235">
          <cell r="A3235" t="str">
            <v>KR</v>
          </cell>
          <cell r="D3235">
            <v>43399</v>
          </cell>
        </row>
        <row r="3236">
          <cell r="A3236" t="str">
            <v>KR</v>
          </cell>
          <cell r="D3236">
            <v>43442</v>
          </cell>
        </row>
        <row r="3237">
          <cell r="A3237" t="str">
            <v>GC</v>
          </cell>
          <cell r="D3237">
            <v>43303</v>
          </cell>
        </row>
        <row r="3238">
          <cell r="A3238" t="str">
            <v>KR</v>
          </cell>
          <cell r="D3238">
            <v>43416</v>
          </cell>
        </row>
        <row r="3239">
          <cell r="A3239" t="str">
            <v>KR</v>
          </cell>
          <cell r="D3239">
            <v>43223</v>
          </cell>
        </row>
        <row r="3240">
          <cell r="A3240" t="str">
            <v>KR</v>
          </cell>
          <cell r="D3240">
            <v>43209</v>
          </cell>
        </row>
        <row r="3241">
          <cell r="A3241" t="str">
            <v>KR</v>
          </cell>
          <cell r="D3241">
            <v>43108</v>
          </cell>
        </row>
        <row r="3242">
          <cell r="A3242" t="str">
            <v>KR</v>
          </cell>
          <cell r="D3242">
            <v>43241</v>
          </cell>
        </row>
        <row r="3243">
          <cell r="A3243" t="str">
            <v>KR</v>
          </cell>
          <cell r="D3243">
            <v>43464</v>
          </cell>
        </row>
        <row r="3244">
          <cell r="A3244" t="str">
            <v>GC</v>
          </cell>
          <cell r="D3244">
            <v>43112</v>
          </cell>
        </row>
        <row r="3245">
          <cell r="A3245" t="str">
            <v>IN</v>
          </cell>
          <cell r="D3245">
            <v>43358</v>
          </cell>
        </row>
        <row r="3246">
          <cell r="A3246" t="str">
            <v>IN</v>
          </cell>
          <cell r="D3246">
            <v>43337</v>
          </cell>
        </row>
        <row r="3247">
          <cell r="A3247" t="str">
            <v>IN</v>
          </cell>
          <cell r="D3247">
            <v>43372</v>
          </cell>
        </row>
        <row r="3248">
          <cell r="A3248" t="str">
            <v>IN</v>
          </cell>
          <cell r="D3248">
            <v>43321</v>
          </cell>
        </row>
        <row r="3249">
          <cell r="A3249" t="str">
            <v>GC</v>
          </cell>
          <cell r="D3249">
            <v>43231</v>
          </cell>
        </row>
        <row r="3250">
          <cell r="A3250" t="str">
            <v>GC</v>
          </cell>
          <cell r="D3250">
            <v>43136</v>
          </cell>
        </row>
        <row r="3251">
          <cell r="A3251" t="str">
            <v>GC</v>
          </cell>
          <cell r="D3251">
            <v>43127</v>
          </cell>
        </row>
        <row r="3252">
          <cell r="A3252" t="str">
            <v>GC</v>
          </cell>
          <cell r="D3252">
            <v>43279</v>
          </cell>
        </row>
        <row r="3253">
          <cell r="A3253" t="str">
            <v>GC</v>
          </cell>
          <cell r="D3253">
            <v>43251</v>
          </cell>
        </row>
        <row r="3254">
          <cell r="A3254" t="str">
            <v>GC</v>
          </cell>
          <cell r="D3254">
            <v>43120</v>
          </cell>
        </row>
        <row r="3255">
          <cell r="A3255" t="str">
            <v>IN</v>
          </cell>
          <cell r="D3255">
            <v>43228</v>
          </cell>
        </row>
        <row r="3256">
          <cell r="A3256" t="str">
            <v>ASEAN</v>
          </cell>
          <cell r="D3256">
            <v>43226</v>
          </cell>
        </row>
        <row r="3257">
          <cell r="A3257" t="str">
            <v>IN</v>
          </cell>
          <cell r="D3257">
            <v>43114</v>
          </cell>
        </row>
        <row r="3258">
          <cell r="A3258" t="str">
            <v>IN</v>
          </cell>
          <cell r="D3258">
            <v>43417</v>
          </cell>
        </row>
        <row r="3259">
          <cell r="A3259" t="str">
            <v>GC</v>
          </cell>
          <cell r="D3259">
            <v>43445</v>
          </cell>
        </row>
        <row r="3260">
          <cell r="A3260" t="str">
            <v>GC</v>
          </cell>
          <cell r="D3260">
            <v>43257</v>
          </cell>
        </row>
        <row r="3261">
          <cell r="A3261" t="str">
            <v>ASEAN</v>
          </cell>
          <cell r="D3261">
            <v>43139</v>
          </cell>
        </row>
        <row r="3262">
          <cell r="A3262" t="str">
            <v>GC</v>
          </cell>
          <cell r="D3262">
            <v>43102</v>
          </cell>
        </row>
        <row r="3263">
          <cell r="A3263" t="str">
            <v>GC</v>
          </cell>
          <cell r="D3263">
            <v>43130</v>
          </cell>
        </row>
        <row r="3264">
          <cell r="A3264" t="str">
            <v>GC</v>
          </cell>
          <cell r="D3264">
            <v>43395</v>
          </cell>
        </row>
        <row r="3265">
          <cell r="A3265" t="str">
            <v>GC</v>
          </cell>
          <cell r="D3265">
            <v>43309</v>
          </cell>
        </row>
        <row r="3266">
          <cell r="A3266" t="str">
            <v>GC</v>
          </cell>
          <cell r="D3266">
            <v>43164</v>
          </cell>
        </row>
        <row r="3267">
          <cell r="A3267" t="str">
            <v>GC</v>
          </cell>
          <cell r="D3267">
            <v>43252</v>
          </cell>
        </row>
        <row r="3268">
          <cell r="A3268" t="str">
            <v>ANZ</v>
          </cell>
          <cell r="D3268">
            <v>43168</v>
          </cell>
        </row>
        <row r="3269">
          <cell r="A3269" t="str">
            <v>ANZ</v>
          </cell>
          <cell r="D3269">
            <v>43218</v>
          </cell>
        </row>
        <row r="3270">
          <cell r="A3270" t="str">
            <v>ANZ</v>
          </cell>
          <cell r="D3270">
            <v>43354</v>
          </cell>
        </row>
        <row r="3271">
          <cell r="A3271" t="str">
            <v>ANZ</v>
          </cell>
          <cell r="D3271">
            <v>43109</v>
          </cell>
        </row>
        <row r="3272">
          <cell r="A3272" t="str">
            <v>GC</v>
          </cell>
          <cell r="D3272">
            <v>43223</v>
          </cell>
        </row>
        <row r="3273">
          <cell r="A3273" t="str">
            <v>IN</v>
          </cell>
          <cell r="D3273">
            <v>43449</v>
          </cell>
        </row>
        <row r="3274">
          <cell r="A3274" t="str">
            <v>ASEAN</v>
          </cell>
          <cell r="D3274">
            <v>43461</v>
          </cell>
        </row>
        <row r="3275">
          <cell r="A3275" t="str">
            <v>IN</v>
          </cell>
          <cell r="D3275">
            <v>43120</v>
          </cell>
        </row>
        <row r="3276">
          <cell r="A3276" t="str">
            <v>GC</v>
          </cell>
          <cell r="D3276">
            <v>43300</v>
          </cell>
        </row>
        <row r="3277">
          <cell r="A3277" t="str">
            <v>GC</v>
          </cell>
          <cell r="D3277">
            <v>43421</v>
          </cell>
        </row>
        <row r="3278">
          <cell r="A3278" t="str">
            <v>GC</v>
          </cell>
          <cell r="D3278">
            <v>43398</v>
          </cell>
        </row>
        <row r="3279">
          <cell r="A3279" t="str">
            <v>GC</v>
          </cell>
          <cell r="D3279">
            <v>43397</v>
          </cell>
        </row>
        <row r="3280">
          <cell r="A3280" t="str">
            <v>GC</v>
          </cell>
          <cell r="D3280">
            <v>43283</v>
          </cell>
        </row>
        <row r="3281">
          <cell r="A3281" t="str">
            <v>GC</v>
          </cell>
          <cell r="D3281">
            <v>43461</v>
          </cell>
        </row>
        <row r="3282">
          <cell r="A3282" t="str">
            <v>GC</v>
          </cell>
          <cell r="D3282">
            <v>43455</v>
          </cell>
        </row>
        <row r="3283">
          <cell r="A3283" t="str">
            <v>GC</v>
          </cell>
          <cell r="D3283">
            <v>43279</v>
          </cell>
        </row>
        <row r="3284">
          <cell r="A3284" t="str">
            <v>GC</v>
          </cell>
          <cell r="D3284">
            <v>43457</v>
          </cell>
        </row>
        <row r="3285">
          <cell r="A3285" t="str">
            <v>GC</v>
          </cell>
          <cell r="D3285">
            <v>43465</v>
          </cell>
        </row>
        <row r="3286">
          <cell r="A3286" t="str">
            <v>GC</v>
          </cell>
          <cell r="D3286">
            <v>43171</v>
          </cell>
        </row>
        <row r="3287">
          <cell r="A3287" t="str">
            <v>GC</v>
          </cell>
          <cell r="D3287">
            <v>43116</v>
          </cell>
        </row>
        <row r="3288">
          <cell r="A3288" t="str">
            <v>KR</v>
          </cell>
          <cell r="D3288">
            <v>43191</v>
          </cell>
        </row>
        <row r="3289">
          <cell r="A3289" t="str">
            <v>IN</v>
          </cell>
          <cell r="D3289">
            <v>43225</v>
          </cell>
        </row>
        <row r="3290">
          <cell r="A3290" t="str">
            <v>GC</v>
          </cell>
          <cell r="D3290">
            <v>43238</v>
          </cell>
        </row>
        <row r="3291">
          <cell r="A3291" t="str">
            <v>GC</v>
          </cell>
          <cell r="D3291">
            <v>43458</v>
          </cell>
        </row>
        <row r="3292">
          <cell r="A3292" t="str">
            <v>GC</v>
          </cell>
          <cell r="D3292">
            <v>43216</v>
          </cell>
        </row>
        <row r="3293">
          <cell r="A3293" t="str">
            <v>IN</v>
          </cell>
          <cell r="D3293">
            <v>43264</v>
          </cell>
        </row>
        <row r="3294">
          <cell r="A3294" t="str">
            <v>GC</v>
          </cell>
          <cell r="D3294">
            <v>43332</v>
          </cell>
        </row>
        <row r="3295">
          <cell r="A3295" t="str">
            <v>GC</v>
          </cell>
          <cell r="D3295">
            <v>43241</v>
          </cell>
        </row>
        <row r="3296">
          <cell r="A3296" t="str">
            <v>GC</v>
          </cell>
          <cell r="D3296">
            <v>43129</v>
          </cell>
        </row>
        <row r="3297">
          <cell r="A3297" t="str">
            <v>GC</v>
          </cell>
          <cell r="D3297">
            <v>43149</v>
          </cell>
        </row>
        <row r="3298">
          <cell r="A3298" t="str">
            <v>GC</v>
          </cell>
          <cell r="D3298">
            <v>43199</v>
          </cell>
        </row>
        <row r="3299">
          <cell r="A3299" t="str">
            <v>GC</v>
          </cell>
          <cell r="D3299">
            <v>43318</v>
          </cell>
        </row>
        <row r="3300">
          <cell r="A3300" t="str">
            <v>ASEAN</v>
          </cell>
          <cell r="D3300">
            <v>43194</v>
          </cell>
        </row>
        <row r="3301">
          <cell r="A3301" t="str">
            <v>ANZ</v>
          </cell>
          <cell r="D3301">
            <v>43373</v>
          </cell>
        </row>
        <row r="3302">
          <cell r="A3302" t="str">
            <v>ANZ</v>
          </cell>
          <cell r="D3302">
            <v>43125</v>
          </cell>
        </row>
        <row r="3303">
          <cell r="A3303" t="str">
            <v>ANZ</v>
          </cell>
          <cell r="D3303">
            <v>43393</v>
          </cell>
        </row>
        <row r="3304">
          <cell r="A3304" t="str">
            <v>GC</v>
          </cell>
          <cell r="D3304">
            <v>43253</v>
          </cell>
        </row>
        <row r="3305">
          <cell r="A3305" t="str">
            <v>IN</v>
          </cell>
          <cell r="D3305">
            <v>43258</v>
          </cell>
        </row>
        <row r="3306">
          <cell r="A3306" t="str">
            <v>GC</v>
          </cell>
          <cell r="D3306">
            <v>43386</v>
          </cell>
        </row>
        <row r="3307">
          <cell r="A3307" t="str">
            <v>GC</v>
          </cell>
          <cell r="D3307">
            <v>43256</v>
          </cell>
        </row>
        <row r="3308">
          <cell r="A3308" t="str">
            <v>GC</v>
          </cell>
          <cell r="D3308">
            <v>43323</v>
          </cell>
        </row>
        <row r="3309">
          <cell r="A3309" t="str">
            <v>GC</v>
          </cell>
          <cell r="D3309">
            <v>43236</v>
          </cell>
        </row>
        <row r="3310">
          <cell r="A3310" t="str">
            <v>GC</v>
          </cell>
          <cell r="D3310">
            <v>43360</v>
          </cell>
        </row>
        <row r="3311">
          <cell r="A3311" t="str">
            <v>ASEAN</v>
          </cell>
          <cell r="D3311">
            <v>43372</v>
          </cell>
        </row>
        <row r="3312">
          <cell r="A3312" t="str">
            <v>GC</v>
          </cell>
          <cell r="D3312">
            <v>43356</v>
          </cell>
        </row>
        <row r="3313">
          <cell r="A3313" t="str">
            <v>ASEAN</v>
          </cell>
          <cell r="D3313">
            <v>43287</v>
          </cell>
        </row>
        <row r="3314">
          <cell r="A3314" t="str">
            <v>IN</v>
          </cell>
          <cell r="D3314">
            <v>43392</v>
          </cell>
        </row>
        <row r="3315">
          <cell r="A3315" t="str">
            <v>IN</v>
          </cell>
          <cell r="D3315">
            <v>43364</v>
          </cell>
        </row>
        <row r="3316">
          <cell r="A3316" t="str">
            <v>ANZ</v>
          </cell>
          <cell r="D3316">
            <v>43130</v>
          </cell>
        </row>
        <row r="3317">
          <cell r="A3317" t="str">
            <v>GC</v>
          </cell>
          <cell r="D3317">
            <v>43223</v>
          </cell>
        </row>
        <row r="3318">
          <cell r="A3318" t="str">
            <v>GC</v>
          </cell>
          <cell r="D3318">
            <v>43386</v>
          </cell>
        </row>
        <row r="3319">
          <cell r="A3319" t="str">
            <v>GC</v>
          </cell>
          <cell r="D3319">
            <v>43291</v>
          </cell>
        </row>
        <row r="3320">
          <cell r="A3320" t="str">
            <v>ASEAN</v>
          </cell>
          <cell r="D3320">
            <v>43441</v>
          </cell>
        </row>
        <row r="3321">
          <cell r="A3321" t="str">
            <v>GC</v>
          </cell>
          <cell r="D3321">
            <v>43160</v>
          </cell>
        </row>
        <row r="3322">
          <cell r="A3322" t="str">
            <v>GC</v>
          </cell>
          <cell r="D3322">
            <v>43219</v>
          </cell>
        </row>
        <row r="3323">
          <cell r="A3323" t="str">
            <v>IN</v>
          </cell>
          <cell r="D3323">
            <v>43266</v>
          </cell>
        </row>
        <row r="3324">
          <cell r="A3324" t="str">
            <v>ASEAN</v>
          </cell>
          <cell r="D3324">
            <v>43449</v>
          </cell>
        </row>
        <row r="3325">
          <cell r="A3325" t="str">
            <v>ASEAN</v>
          </cell>
          <cell r="D3325">
            <v>43318</v>
          </cell>
        </row>
        <row r="3326">
          <cell r="A3326" t="str">
            <v>IN</v>
          </cell>
          <cell r="D3326">
            <v>43106</v>
          </cell>
        </row>
        <row r="3327">
          <cell r="A3327" t="str">
            <v>GC</v>
          </cell>
          <cell r="D3327">
            <v>43163</v>
          </cell>
        </row>
        <row r="3328">
          <cell r="A3328" t="str">
            <v>GC</v>
          </cell>
          <cell r="D3328">
            <v>43179</v>
          </cell>
        </row>
        <row r="3329">
          <cell r="A3329" t="str">
            <v>GC</v>
          </cell>
          <cell r="D3329">
            <v>43178</v>
          </cell>
        </row>
        <row r="3330">
          <cell r="A3330" t="str">
            <v>IN</v>
          </cell>
          <cell r="D3330">
            <v>43282</v>
          </cell>
        </row>
        <row r="3331">
          <cell r="A3331" t="str">
            <v>ASEAN</v>
          </cell>
          <cell r="D3331">
            <v>43392</v>
          </cell>
        </row>
        <row r="3332">
          <cell r="A3332" t="str">
            <v>ANZ</v>
          </cell>
          <cell r="D3332">
            <v>43363</v>
          </cell>
        </row>
        <row r="3333">
          <cell r="A3333" t="str">
            <v>IN</v>
          </cell>
          <cell r="D3333">
            <v>43428</v>
          </cell>
        </row>
        <row r="3334">
          <cell r="A3334" t="str">
            <v>IN</v>
          </cell>
          <cell r="D3334">
            <v>43372</v>
          </cell>
        </row>
        <row r="3335">
          <cell r="A3335" t="str">
            <v>ASEAN</v>
          </cell>
          <cell r="D3335">
            <v>43151</v>
          </cell>
        </row>
        <row r="3336">
          <cell r="A3336" t="str">
            <v>GC</v>
          </cell>
          <cell r="D3336">
            <v>43390</v>
          </cell>
        </row>
        <row r="3337">
          <cell r="A3337" t="str">
            <v>ASEAN</v>
          </cell>
          <cell r="D3337">
            <v>43442</v>
          </cell>
        </row>
        <row r="3338">
          <cell r="A3338" t="str">
            <v>IN</v>
          </cell>
          <cell r="D3338">
            <v>43422</v>
          </cell>
        </row>
        <row r="3339">
          <cell r="A3339" t="str">
            <v>IN</v>
          </cell>
          <cell r="D3339">
            <v>43153</v>
          </cell>
        </row>
        <row r="3340">
          <cell r="A3340" t="str">
            <v>GC</v>
          </cell>
          <cell r="D3340">
            <v>43455</v>
          </cell>
        </row>
        <row r="3341">
          <cell r="A3341" t="str">
            <v>GC</v>
          </cell>
          <cell r="D3341">
            <v>43448</v>
          </cell>
        </row>
        <row r="3342">
          <cell r="A3342" t="str">
            <v>ASEAN</v>
          </cell>
          <cell r="D3342">
            <v>43220</v>
          </cell>
        </row>
        <row r="3343">
          <cell r="A3343" t="str">
            <v>IN</v>
          </cell>
          <cell r="D3343">
            <v>43302</v>
          </cell>
        </row>
        <row r="3344">
          <cell r="A3344" t="str">
            <v>IN</v>
          </cell>
          <cell r="D3344">
            <v>43267</v>
          </cell>
        </row>
        <row r="3345">
          <cell r="A3345" t="str">
            <v>IN</v>
          </cell>
          <cell r="D3345">
            <v>43438</v>
          </cell>
        </row>
        <row r="3346">
          <cell r="A3346" t="str">
            <v>IN</v>
          </cell>
          <cell r="D3346">
            <v>43339</v>
          </cell>
        </row>
        <row r="3347">
          <cell r="A3347" t="str">
            <v>KR</v>
          </cell>
          <cell r="D3347">
            <v>43277</v>
          </cell>
        </row>
        <row r="3348">
          <cell r="A3348" t="str">
            <v>IN</v>
          </cell>
          <cell r="D3348">
            <v>43342</v>
          </cell>
        </row>
        <row r="3349">
          <cell r="A3349" t="str">
            <v>IN</v>
          </cell>
          <cell r="D3349">
            <v>43267</v>
          </cell>
        </row>
        <row r="3350">
          <cell r="A3350" t="str">
            <v>IN</v>
          </cell>
          <cell r="D3350">
            <v>43280</v>
          </cell>
        </row>
        <row r="3351">
          <cell r="A3351" t="str">
            <v>IN</v>
          </cell>
          <cell r="D3351">
            <v>43437</v>
          </cell>
        </row>
        <row r="3352">
          <cell r="A3352" t="str">
            <v>IN</v>
          </cell>
          <cell r="D3352">
            <v>43435</v>
          </cell>
        </row>
        <row r="3353">
          <cell r="A3353" t="str">
            <v>IN</v>
          </cell>
          <cell r="D3353">
            <v>43181</v>
          </cell>
        </row>
        <row r="3354">
          <cell r="A3354" t="str">
            <v>IN</v>
          </cell>
          <cell r="D3354">
            <v>43327</v>
          </cell>
        </row>
        <row r="3355">
          <cell r="A3355" t="str">
            <v>IN</v>
          </cell>
          <cell r="D3355">
            <v>43193</v>
          </cell>
        </row>
        <row r="3356">
          <cell r="A3356" t="str">
            <v>IN</v>
          </cell>
          <cell r="D3356">
            <v>43251</v>
          </cell>
        </row>
        <row r="3357">
          <cell r="A3357" t="str">
            <v>IN</v>
          </cell>
          <cell r="D3357">
            <v>43243</v>
          </cell>
        </row>
        <row r="3358">
          <cell r="A3358" t="str">
            <v>ANZ</v>
          </cell>
          <cell r="D3358">
            <v>43308</v>
          </cell>
        </row>
        <row r="3359">
          <cell r="A3359" t="str">
            <v>GC</v>
          </cell>
          <cell r="D3359">
            <v>43406</v>
          </cell>
        </row>
        <row r="3360">
          <cell r="A3360" t="str">
            <v>ANZ</v>
          </cell>
          <cell r="D3360">
            <v>43327</v>
          </cell>
        </row>
        <row r="3361">
          <cell r="A3361" t="str">
            <v>ANZ</v>
          </cell>
          <cell r="D3361">
            <v>43125</v>
          </cell>
        </row>
        <row r="3362">
          <cell r="A3362" t="str">
            <v>ANZ</v>
          </cell>
          <cell r="D3362">
            <v>43193</v>
          </cell>
        </row>
        <row r="3363">
          <cell r="A3363" t="str">
            <v>ANZ</v>
          </cell>
          <cell r="D3363">
            <v>43354</v>
          </cell>
        </row>
        <row r="3364">
          <cell r="A3364" t="str">
            <v>ANZ</v>
          </cell>
          <cell r="D3364">
            <v>43242</v>
          </cell>
        </row>
        <row r="3365">
          <cell r="A3365" t="str">
            <v>IN</v>
          </cell>
          <cell r="D3365">
            <v>43291</v>
          </cell>
        </row>
        <row r="3366">
          <cell r="A3366" t="str">
            <v>IN</v>
          </cell>
          <cell r="D3366">
            <v>43432</v>
          </cell>
        </row>
        <row r="3367">
          <cell r="A3367" t="str">
            <v>GC</v>
          </cell>
          <cell r="D3367">
            <v>43141</v>
          </cell>
        </row>
        <row r="3368">
          <cell r="A3368" t="str">
            <v>GC</v>
          </cell>
          <cell r="D3368">
            <v>43401</v>
          </cell>
        </row>
        <row r="3369">
          <cell r="A3369" t="str">
            <v>GC</v>
          </cell>
          <cell r="D3369">
            <v>43144</v>
          </cell>
        </row>
        <row r="3370">
          <cell r="A3370" t="str">
            <v>GC</v>
          </cell>
          <cell r="D3370">
            <v>43334</v>
          </cell>
        </row>
        <row r="3371">
          <cell r="A3371" t="str">
            <v>ASEAN</v>
          </cell>
          <cell r="D3371">
            <v>43442</v>
          </cell>
        </row>
        <row r="3372">
          <cell r="A3372" t="str">
            <v>GC</v>
          </cell>
          <cell r="D3372">
            <v>43102</v>
          </cell>
        </row>
        <row r="3373">
          <cell r="A3373" t="str">
            <v>IN</v>
          </cell>
          <cell r="D3373">
            <v>43356</v>
          </cell>
        </row>
        <row r="3374">
          <cell r="A3374" t="str">
            <v>GC</v>
          </cell>
          <cell r="D3374">
            <v>43191</v>
          </cell>
        </row>
        <row r="3375">
          <cell r="A3375" t="str">
            <v>IN</v>
          </cell>
          <cell r="D3375">
            <v>43363</v>
          </cell>
        </row>
        <row r="3376">
          <cell r="A3376" t="str">
            <v>IN</v>
          </cell>
          <cell r="D3376">
            <v>43130</v>
          </cell>
        </row>
        <row r="3377">
          <cell r="A3377" t="str">
            <v>IN</v>
          </cell>
          <cell r="D3377">
            <v>43313</v>
          </cell>
        </row>
        <row r="3378">
          <cell r="A3378" t="str">
            <v>IN</v>
          </cell>
          <cell r="D3378">
            <v>43244</v>
          </cell>
        </row>
        <row r="3379">
          <cell r="A3379" t="str">
            <v>IN</v>
          </cell>
          <cell r="D3379">
            <v>43341</v>
          </cell>
        </row>
        <row r="3380">
          <cell r="A3380" t="str">
            <v>IN</v>
          </cell>
          <cell r="D3380">
            <v>43444</v>
          </cell>
        </row>
        <row r="3381">
          <cell r="A3381" t="str">
            <v>IN</v>
          </cell>
          <cell r="D3381">
            <v>43107</v>
          </cell>
        </row>
        <row r="3382">
          <cell r="A3382" t="str">
            <v>IN</v>
          </cell>
          <cell r="D3382">
            <v>43436</v>
          </cell>
        </row>
        <row r="3383">
          <cell r="A3383" t="str">
            <v>GC</v>
          </cell>
          <cell r="D3383">
            <v>43239</v>
          </cell>
        </row>
        <row r="3384">
          <cell r="A3384" t="str">
            <v>GC</v>
          </cell>
          <cell r="D3384">
            <v>43328</v>
          </cell>
        </row>
        <row r="3385">
          <cell r="A3385" t="str">
            <v>KR</v>
          </cell>
          <cell r="D3385">
            <v>43388</v>
          </cell>
        </row>
        <row r="3386">
          <cell r="A3386" t="str">
            <v>KR</v>
          </cell>
          <cell r="D3386">
            <v>43387</v>
          </cell>
        </row>
        <row r="3387">
          <cell r="A3387" t="str">
            <v>KR</v>
          </cell>
          <cell r="D3387">
            <v>43261</v>
          </cell>
        </row>
        <row r="3388">
          <cell r="A3388" t="str">
            <v>KR</v>
          </cell>
          <cell r="D3388">
            <v>43263</v>
          </cell>
        </row>
        <row r="3389">
          <cell r="A3389" t="str">
            <v>ANZ</v>
          </cell>
          <cell r="D3389">
            <v>43151</v>
          </cell>
        </row>
        <row r="3390">
          <cell r="A3390" t="str">
            <v>GC</v>
          </cell>
          <cell r="D3390">
            <v>43391</v>
          </cell>
        </row>
        <row r="3391">
          <cell r="A3391" t="str">
            <v>GC</v>
          </cell>
          <cell r="D3391">
            <v>43378</v>
          </cell>
        </row>
        <row r="3392">
          <cell r="A3392" t="str">
            <v>GC</v>
          </cell>
          <cell r="D3392">
            <v>43355</v>
          </cell>
        </row>
        <row r="3393">
          <cell r="A3393" t="str">
            <v>GC</v>
          </cell>
          <cell r="D3393">
            <v>43306</v>
          </cell>
        </row>
        <row r="3394">
          <cell r="A3394" t="str">
            <v>GC</v>
          </cell>
          <cell r="D3394">
            <v>43203</v>
          </cell>
        </row>
        <row r="3395">
          <cell r="A3395" t="str">
            <v>IN</v>
          </cell>
          <cell r="D3395">
            <v>43359</v>
          </cell>
        </row>
        <row r="3396">
          <cell r="A3396" t="str">
            <v>IN</v>
          </cell>
          <cell r="D3396">
            <v>43103</v>
          </cell>
        </row>
        <row r="3397">
          <cell r="A3397" t="str">
            <v>IN</v>
          </cell>
          <cell r="D3397">
            <v>43410</v>
          </cell>
        </row>
        <row r="3398">
          <cell r="A3398" t="str">
            <v>ASEAN</v>
          </cell>
          <cell r="D3398">
            <v>43448</v>
          </cell>
        </row>
        <row r="3399">
          <cell r="A3399" t="str">
            <v>IN</v>
          </cell>
          <cell r="D3399">
            <v>43270</v>
          </cell>
        </row>
        <row r="3400">
          <cell r="A3400" t="str">
            <v>IN</v>
          </cell>
          <cell r="D3400">
            <v>43208</v>
          </cell>
        </row>
        <row r="3401">
          <cell r="A3401" t="str">
            <v>IN</v>
          </cell>
          <cell r="D3401">
            <v>43352</v>
          </cell>
        </row>
        <row r="3402">
          <cell r="A3402" t="str">
            <v>GC</v>
          </cell>
          <cell r="D3402">
            <v>43396</v>
          </cell>
        </row>
        <row r="3403">
          <cell r="A3403" t="str">
            <v>ANZ</v>
          </cell>
          <cell r="D3403">
            <v>43202</v>
          </cell>
        </row>
        <row r="3404">
          <cell r="A3404" t="str">
            <v>GC</v>
          </cell>
          <cell r="D3404">
            <v>43216</v>
          </cell>
        </row>
        <row r="3405">
          <cell r="A3405" t="str">
            <v>GC</v>
          </cell>
          <cell r="D3405">
            <v>43178</v>
          </cell>
        </row>
        <row r="3406">
          <cell r="A3406" t="str">
            <v>GC</v>
          </cell>
          <cell r="D3406">
            <v>43459</v>
          </cell>
        </row>
        <row r="3407">
          <cell r="A3407" t="str">
            <v>GC</v>
          </cell>
          <cell r="D3407">
            <v>43227</v>
          </cell>
        </row>
        <row r="3408">
          <cell r="A3408" t="str">
            <v>KR</v>
          </cell>
          <cell r="D3408">
            <v>43335</v>
          </cell>
        </row>
        <row r="3409">
          <cell r="A3409" t="str">
            <v>GC</v>
          </cell>
          <cell r="D3409">
            <v>43159</v>
          </cell>
        </row>
        <row r="3410">
          <cell r="A3410" t="str">
            <v>IN</v>
          </cell>
          <cell r="D3410">
            <v>43190</v>
          </cell>
        </row>
        <row r="3411">
          <cell r="A3411" t="str">
            <v>IN</v>
          </cell>
          <cell r="D3411">
            <v>43314</v>
          </cell>
        </row>
        <row r="3412">
          <cell r="A3412" t="str">
            <v>GC</v>
          </cell>
          <cell r="D3412">
            <v>43121</v>
          </cell>
        </row>
        <row r="3413">
          <cell r="A3413" t="str">
            <v>IN</v>
          </cell>
          <cell r="D3413">
            <v>43377</v>
          </cell>
        </row>
        <row r="3414">
          <cell r="A3414" t="str">
            <v>IN</v>
          </cell>
          <cell r="D3414">
            <v>43332</v>
          </cell>
        </row>
        <row r="3415">
          <cell r="A3415" t="str">
            <v>IN</v>
          </cell>
          <cell r="D3415">
            <v>43188</v>
          </cell>
        </row>
        <row r="3416">
          <cell r="A3416" t="str">
            <v>IN</v>
          </cell>
          <cell r="D3416">
            <v>43385</v>
          </cell>
        </row>
        <row r="3417">
          <cell r="A3417" t="str">
            <v>IN</v>
          </cell>
          <cell r="D3417">
            <v>43158</v>
          </cell>
        </row>
        <row r="3418">
          <cell r="A3418" t="str">
            <v>IN</v>
          </cell>
          <cell r="D3418">
            <v>43263</v>
          </cell>
        </row>
        <row r="3419">
          <cell r="A3419" t="str">
            <v>IN</v>
          </cell>
          <cell r="D3419">
            <v>43262</v>
          </cell>
        </row>
        <row r="3420">
          <cell r="A3420" t="str">
            <v>GC</v>
          </cell>
          <cell r="D3420">
            <v>43260</v>
          </cell>
        </row>
        <row r="3421">
          <cell r="A3421" t="str">
            <v>GC</v>
          </cell>
          <cell r="D3421">
            <v>43438</v>
          </cell>
        </row>
        <row r="3422">
          <cell r="A3422" t="str">
            <v>ANZ</v>
          </cell>
          <cell r="D3422">
            <v>43460</v>
          </cell>
        </row>
        <row r="3423">
          <cell r="A3423" t="str">
            <v>KR</v>
          </cell>
          <cell r="D3423">
            <v>43325</v>
          </cell>
        </row>
        <row r="3424">
          <cell r="A3424" t="str">
            <v>KR</v>
          </cell>
          <cell r="D3424">
            <v>43141</v>
          </cell>
        </row>
        <row r="3425">
          <cell r="A3425" t="str">
            <v>GC</v>
          </cell>
          <cell r="D3425">
            <v>43177</v>
          </cell>
        </row>
        <row r="3426">
          <cell r="A3426" t="str">
            <v>GC</v>
          </cell>
          <cell r="D3426">
            <v>43424</v>
          </cell>
        </row>
        <row r="3427">
          <cell r="A3427" t="str">
            <v>GC</v>
          </cell>
          <cell r="D3427">
            <v>43125</v>
          </cell>
        </row>
        <row r="3428">
          <cell r="A3428" t="str">
            <v>GC</v>
          </cell>
          <cell r="D3428">
            <v>43182</v>
          </cell>
        </row>
        <row r="3429">
          <cell r="A3429" t="str">
            <v>GC</v>
          </cell>
          <cell r="D3429">
            <v>43156</v>
          </cell>
        </row>
        <row r="3430">
          <cell r="A3430" t="str">
            <v>GC</v>
          </cell>
          <cell r="D3430">
            <v>43216</v>
          </cell>
        </row>
        <row r="3431">
          <cell r="A3431" t="str">
            <v>GC</v>
          </cell>
          <cell r="D3431">
            <v>43117</v>
          </cell>
        </row>
        <row r="3432">
          <cell r="A3432" t="str">
            <v>GC</v>
          </cell>
          <cell r="D3432">
            <v>43184</v>
          </cell>
        </row>
        <row r="3433">
          <cell r="A3433" t="str">
            <v>GC</v>
          </cell>
          <cell r="D3433">
            <v>43112</v>
          </cell>
        </row>
        <row r="3434">
          <cell r="A3434" t="str">
            <v>GC</v>
          </cell>
          <cell r="D3434">
            <v>43200</v>
          </cell>
        </row>
        <row r="3435">
          <cell r="A3435" t="str">
            <v>KR</v>
          </cell>
          <cell r="D3435">
            <v>43452</v>
          </cell>
        </row>
        <row r="3436">
          <cell r="A3436" t="str">
            <v>GC</v>
          </cell>
          <cell r="D3436">
            <v>43213</v>
          </cell>
        </row>
        <row r="3437">
          <cell r="A3437" t="str">
            <v>ANZ</v>
          </cell>
          <cell r="D3437">
            <v>43299</v>
          </cell>
        </row>
        <row r="3438">
          <cell r="A3438" t="str">
            <v>KR</v>
          </cell>
          <cell r="D3438">
            <v>43430</v>
          </cell>
        </row>
        <row r="3439">
          <cell r="A3439" t="str">
            <v>KR</v>
          </cell>
          <cell r="D3439">
            <v>43241</v>
          </cell>
        </row>
        <row r="3440">
          <cell r="A3440" t="str">
            <v>KR</v>
          </cell>
          <cell r="D3440">
            <v>43422</v>
          </cell>
        </row>
        <row r="3441">
          <cell r="A3441" t="str">
            <v>KR</v>
          </cell>
          <cell r="D3441">
            <v>43258</v>
          </cell>
        </row>
        <row r="3442">
          <cell r="A3442" t="str">
            <v>GC</v>
          </cell>
          <cell r="D3442">
            <v>43119</v>
          </cell>
        </row>
        <row r="3443">
          <cell r="A3443" t="str">
            <v>GC</v>
          </cell>
          <cell r="D3443">
            <v>43362</v>
          </cell>
        </row>
        <row r="3444">
          <cell r="A3444" t="str">
            <v>IN</v>
          </cell>
          <cell r="D3444">
            <v>43267</v>
          </cell>
        </row>
        <row r="3445">
          <cell r="A3445" t="str">
            <v>IN</v>
          </cell>
          <cell r="D3445">
            <v>43427</v>
          </cell>
        </row>
        <row r="3446">
          <cell r="A3446" t="str">
            <v>ASEAN</v>
          </cell>
          <cell r="D3446">
            <v>43285</v>
          </cell>
        </row>
        <row r="3447">
          <cell r="A3447" t="str">
            <v>IN</v>
          </cell>
          <cell r="D3447">
            <v>43101</v>
          </cell>
        </row>
        <row r="3448">
          <cell r="A3448" t="str">
            <v>GC</v>
          </cell>
          <cell r="D3448">
            <v>43146</v>
          </cell>
        </row>
        <row r="3449">
          <cell r="A3449" t="str">
            <v>ANZ</v>
          </cell>
          <cell r="D3449">
            <v>43196</v>
          </cell>
        </row>
        <row r="3450">
          <cell r="A3450" t="str">
            <v>IN</v>
          </cell>
          <cell r="D3450">
            <v>43118</v>
          </cell>
        </row>
        <row r="3451">
          <cell r="A3451" t="str">
            <v>IN</v>
          </cell>
          <cell r="D3451">
            <v>43455</v>
          </cell>
        </row>
        <row r="3452">
          <cell r="A3452" t="str">
            <v>IN</v>
          </cell>
          <cell r="D3452">
            <v>43255</v>
          </cell>
        </row>
        <row r="3453">
          <cell r="A3453" t="str">
            <v>IN</v>
          </cell>
          <cell r="D3453">
            <v>43113</v>
          </cell>
        </row>
        <row r="3454">
          <cell r="A3454" t="str">
            <v>IN</v>
          </cell>
          <cell r="D3454">
            <v>43255</v>
          </cell>
        </row>
        <row r="3455">
          <cell r="A3455" t="str">
            <v>IN</v>
          </cell>
          <cell r="D3455">
            <v>43159</v>
          </cell>
        </row>
        <row r="3456">
          <cell r="A3456" t="str">
            <v>GC</v>
          </cell>
          <cell r="D3456">
            <v>43330</v>
          </cell>
        </row>
        <row r="3457">
          <cell r="A3457" t="str">
            <v>GC</v>
          </cell>
          <cell r="D3457">
            <v>43312</v>
          </cell>
        </row>
        <row r="3458">
          <cell r="A3458" t="str">
            <v>GC</v>
          </cell>
          <cell r="D3458">
            <v>43401</v>
          </cell>
        </row>
        <row r="3459">
          <cell r="A3459" t="str">
            <v>GC</v>
          </cell>
          <cell r="D3459">
            <v>43295</v>
          </cell>
        </row>
        <row r="3460">
          <cell r="A3460" t="str">
            <v>GC</v>
          </cell>
          <cell r="D3460">
            <v>43418</v>
          </cell>
        </row>
        <row r="3461">
          <cell r="A3461" t="str">
            <v>GC</v>
          </cell>
          <cell r="D3461">
            <v>43344</v>
          </cell>
        </row>
        <row r="3462">
          <cell r="A3462" t="str">
            <v>GC</v>
          </cell>
          <cell r="D3462">
            <v>43261</v>
          </cell>
        </row>
        <row r="3463">
          <cell r="A3463" t="str">
            <v>GC</v>
          </cell>
          <cell r="D3463">
            <v>43288</v>
          </cell>
        </row>
        <row r="3464">
          <cell r="A3464" t="str">
            <v>GC</v>
          </cell>
          <cell r="D3464">
            <v>43363</v>
          </cell>
        </row>
        <row r="3465">
          <cell r="A3465" t="str">
            <v>GC</v>
          </cell>
          <cell r="D3465">
            <v>43113</v>
          </cell>
        </row>
        <row r="3466">
          <cell r="A3466" t="str">
            <v>GC</v>
          </cell>
          <cell r="D3466">
            <v>43400</v>
          </cell>
        </row>
        <row r="3467">
          <cell r="A3467" t="str">
            <v>GC</v>
          </cell>
          <cell r="D3467">
            <v>43276</v>
          </cell>
        </row>
        <row r="3468">
          <cell r="A3468" t="str">
            <v>KR</v>
          </cell>
          <cell r="D3468">
            <v>43204</v>
          </cell>
        </row>
        <row r="3469">
          <cell r="A3469" t="str">
            <v>IN</v>
          </cell>
          <cell r="D3469">
            <v>43198</v>
          </cell>
        </row>
        <row r="3470">
          <cell r="A3470" t="str">
            <v>IN</v>
          </cell>
          <cell r="D3470">
            <v>43458</v>
          </cell>
        </row>
        <row r="3471">
          <cell r="A3471" t="str">
            <v>GC</v>
          </cell>
          <cell r="D3471">
            <v>43294</v>
          </cell>
        </row>
        <row r="3472">
          <cell r="A3472" t="str">
            <v>IN</v>
          </cell>
          <cell r="D3472">
            <v>43238</v>
          </cell>
        </row>
        <row r="3473">
          <cell r="A3473" t="str">
            <v>IN</v>
          </cell>
          <cell r="D3473">
            <v>43156</v>
          </cell>
        </row>
        <row r="3474">
          <cell r="A3474" t="str">
            <v>IN</v>
          </cell>
          <cell r="D3474">
            <v>43234</v>
          </cell>
        </row>
        <row r="3475">
          <cell r="A3475" t="str">
            <v>GC</v>
          </cell>
          <cell r="D3475">
            <v>43294</v>
          </cell>
        </row>
        <row r="3476">
          <cell r="A3476" t="str">
            <v>IN</v>
          </cell>
          <cell r="D3476">
            <v>43431</v>
          </cell>
        </row>
        <row r="3477">
          <cell r="A3477" t="str">
            <v>IN</v>
          </cell>
          <cell r="D3477">
            <v>43382</v>
          </cell>
        </row>
        <row r="3478">
          <cell r="A3478" t="str">
            <v>IN</v>
          </cell>
          <cell r="D3478">
            <v>43345</v>
          </cell>
        </row>
        <row r="3479">
          <cell r="A3479" t="str">
            <v>IN</v>
          </cell>
          <cell r="D3479">
            <v>43112</v>
          </cell>
        </row>
        <row r="3480">
          <cell r="A3480" t="str">
            <v>IN</v>
          </cell>
          <cell r="D3480">
            <v>43206</v>
          </cell>
        </row>
        <row r="3481">
          <cell r="A3481" t="str">
            <v>IN</v>
          </cell>
          <cell r="D3481">
            <v>43443</v>
          </cell>
        </row>
        <row r="3482">
          <cell r="A3482" t="str">
            <v>ASEAN</v>
          </cell>
          <cell r="D3482">
            <v>43199</v>
          </cell>
        </row>
        <row r="3483">
          <cell r="A3483" t="str">
            <v>ASEAN</v>
          </cell>
          <cell r="D3483">
            <v>43107</v>
          </cell>
        </row>
        <row r="3484">
          <cell r="A3484" t="str">
            <v>ASEAN</v>
          </cell>
          <cell r="D3484">
            <v>43342</v>
          </cell>
        </row>
        <row r="3485">
          <cell r="A3485" t="str">
            <v>ASEAN</v>
          </cell>
          <cell r="D3485">
            <v>43155</v>
          </cell>
        </row>
        <row r="3486">
          <cell r="A3486" t="str">
            <v>IN</v>
          </cell>
          <cell r="D3486">
            <v>43439</v>
          </cell>
        </row>
        <row r="3487">
          <cell r="A3487" t="str">
            <v>GC</v>
          </cell>
          <cell r="D3487">
            <v>43185</v>
          </cell>
        </row>
        <row r="3488">
          <cell r="A3488" t="str">
            <v>GC</v>
          </cell>
          <cell r="D3488">
            <v>43422</v>
          </cell>
        </row>
        <row r="3489">
          <cell r="A3489" t="str">
            <v>GC</v>
          </cell>
          <cell r="D3489">
            <v>43216</v>
          </cell>
        </row>
        <row r="3490">
          <cell r="A3490" t="str">
            <v>GC</v>
          </cell>
          <cell r="D3490">
            <v>43231</v>
          </cell>
        </row>
        <row r="3491">
          <cell r="A3491" t="str">
            <v>ASEAN</v>
          </cell>
          <cell r="D3491">
            <v>43216</v>
          </cell>
        </row>
        <row r="3492">
          <cell r="A3492" t="str">
            <v>ASEAN</v>
          </cell>
          <cell r="D3492">
            <v>43120</v>
          </cell>
        </row>
        <row r="3493">
          <cell r="A3493" t="str">
            <v>ANZ</v>
          </cell>
          <cell r="D3493">
            <v>43114</v>
          </cell>
        </row>
        <row r="3494">
          <cell r="A3494" t="str">
            <v>ANZ</v>
          </cell>
          <cell r="D3494">
            <v>43453</v>
          </cell>
        </row>
        <row r="3495">
          <cell r="A3495" t="str">
            <v>ANZ</v>
          </cell>
          <cell r="D3495">
            <v>43120</v>
          </cell>
        </row>
        <row r="3496">
          <cell r="A3496" t="str">
            <v>GC</v>
          </cell>
          <cell r="D3496">
            <v>43163</v>
          </cell>
        </row>
        <row r="3497">
          <cell r="A3497" t="str">
            <v>GC</v>
          </cell>
          <cell r="D3497">
            <v>43105</v>
          </cell>
        </row>
        <row r="3498">
          <cell r="A3498" t="str">
            <v>GC</v>
          </cell>
          <cell r="D3498">
            <v>43338</v>
          </cell>
        </row>
        <row r="3499">
          <cell r="A3499" t="str">
            <v>GC</v>
          </cell>
          <cell r="D3499">
            <v>43207</v>
          </cell>
        </row>
        <row r="3500">
          <cell r="A3500" t="str">
            <v>ANZ</v>
          </cell>
          <cell r="D3500">
            <v>43351</v>
          </cell>
        </row>
        <row r="3501">
          <cell r="A3501" t="str">
            <v>IN</v>
          </cell>
          <cell r="D3501">
            <v>43197</v>
          </cell>
        </row>
        <row r="3502">
          <cell r="A3502" t="str">
            <v>IN</v>
          </cell>
          <cell r="D3502">
            <v>43453</v>
          </cell>
        </row>
        <row r="3503">
          <cell r="A3503" t="str">
            <v>IN</v>
          </cell>
          <cell r="D3503">
            <v>43186</v>
          </cell>
        </row>
        <row r="3504">
          <cell r="A3504" t="str">
            <v>IN</v>
          </cell>
          <cell r="D3504">
            <v>43313</v>
          </cell>
        </row>
        <row r="3505">
          <cell r="A3505" t="str">
            <v>IN</v>
          </cell>
          <cell r="D3505">
            <v>43141</v>
          </cell>
        </row>
        <row r="3506">
          <cell r="A3506" t="str">
            <v>IN</v>
          </cell>
          <cell r="D3506">
            <v>43402</v>
          </cell>
        </row>
        <row r="3507">
          <cell r="A3507" t="str">
            <v>IN</v>
          </cell>
          <cell r="D3507">
            <v>43336</v>
          </cell>
        </row>
        <row r="3508">
          <cell r="A3508" t="str">
            <v>IN</v>
          </cell>
          <cell r="D3508">
            <v>43409</v>
          </cell>
        </row>
        <row r="3509">
          <cell r="A3509" t="str">
            <v>ANZ</v>
          </cell>
          <cell r="D3509">
            <v>43306</v>
          </cell>
        </row>
        <row r="3510">
          <cell r="A3510" t="str">
            <v>GC</v>
          </cell>
          <cell r="D3510">
            <v>43169</v>
          </cell>
        </row>
        <row r="3511">
          <cell r="A3511" t="str">
            <v>GC</v>
          </cell>
          <cell r="D3511">
            <v>43364</v>
          </cell>
        </row>
        <row r="3512">
          <cell r="A3512" t="str">
            <v>GC</v>
          </cell>
          <cell r="D3512">
            <v>43393</v>
          </cell>
        </row>
        <row r="3513">
          <cell r="A3513" t="str">
            <v>GC</v>
          </cell>
          <cell r="D3513">
            <v>43109</v>
          </cell>
        </row>
        <row r="3514">
          <cell r="A3514" t="str">
            <v>GC</v>
          </cell>
          <cell r="D3514">
            <v>43319</v>
          </cell>
        </row>
        <row r="3515">
          <cell r="A3515" t="str">
            <v>GC</v>
          </cell>
          <cell r="D3515">
            <v>43408</v>
          </cell>
        </row>
        <row r="3516">
          <cell r="A3516" t="str">
            <v>IN</v>
          </cell>
          <cell r="D3516">
            <v>43329</v>
          </cell>
        </row>
        <row r="3517">
          <cell r="A3517" t="str">
            <v>IN</v>
          </cell>
          <cell r="D3517">
            <v>43305</v>
          </cell>
        </row>
        <row r="3518">
          <cell r="A3518" t="str">
            <v>ASEAN</v>
          </cell>
          <cell r="D3518">
            <v>43353</v>
          </cell>
        </row>
        <row r="3519">
          <cell r="A3519" t="str">
            <v>IN</v>
          </cell>
          <cell r="D3519">
            <v>43210</v>
          </cell>
        </row>
        <row r="3520">
          <cell r="A3520" t="str">
            <v>ASEAN</v>
          </cell>
          <cell r="D3520">
            <v>43380</v>
          </cell>
        </row>
        <row r="3521">
          <cell r="A3521" t="str">
            <v>GC</v>
          </cell>
          <cell r="D3521">
            <v>43289</v>
          </cell>
        </row>
        <row r="3522">
          <cell r="A3522" t="str">
            <v>GC</v>
          </cell>
          <cell r="D3522">
            <v>43134</v>
          </cell>
        </row>
        <row r="3523">
          <cell r="A3523" t="str">
            <v>GC</v>
          </cell>
          <cell r="D3523">
            <v>43196</v>
          </cell>
        </row>
        <row r="3524">
          <cell r="A3524" t="str">
            <v>GC</v>
          </cell>
          <cell r="D3524">
            <v>43452</v>
          </cell>
        </row>
        <row r="3525">
          <cell r="A3525" t="str">
            <v>IN</v>
          </cell>
          <cell r="D3525">
            <v>43123</v>
          </cell>
        </row>
        <row r="3526">
          <cell r="A3526" t="str">
            <v>IN</v>
          </cell>
          <cell r="D3526">
            <v>43133</v>
          </cell>
        </row>
        <row r="3527">
          <cell r="A3527" t="str">
            <v>IN</v>
          </cell>
          <cell r="D3527">
            <v>43280</v>
          </cell>
        </row>
        <row r="3528">
          <cell r="A3528" t="str">
            <v>ASEAN</v>
          </cell>
          <cell r="D3528">
            <v>43180</v>
          </cell>
        </row>
        <row r="3529">
          <cell r="A3529" t="str">
            <v>ASEAN</v>
          </cell>
          <cell r="D3529">
            <v>43309</v>
          </cell>
        </row>
        <row r="3530">
          <cell r="A3530" t="str">
            <v>ASEAN</v>
          </cell>
          <cell r="D3530">
            <v>43313</v>
          </cell>
        </row>
        <row r="3531">
          <cell r="A3531" t="str">
            <v>GC</v>
          </cell>
          <cell r="D3531">
            <v>43426</v>
          </cell>
        </row>
        <row r="3532">
          <cell r="A3532" t="str">
            <v>IN</v>
          </cell>
          <cell r="D3532">
            <v>43108</v>
          </cell>
        </row>
        <row r="3533">
          <cell r="A3533" t="str">
            <v>IN</v>
          </cell>
          <cell r="D3533">
            <v>43231</v>
          </cell>
        </row>
        <row r="3534">
          <cell r="A3534" t="str">
            <v>IN</v>
          </cell>
          <cell r="D3534">
            <v>43428</v>
          </cell>
        </row>
        <row r="3535">
          <cell r="A3535" t="str">
            <v>IN</v>
          </cell>
          <cell r="D3535">
            <v>43205</v>
          </cell>
        </row>
        <row r="3536">
          <cell r="A3536" t="str">
            <v>IN</v>
          </cell>
          <cell r="D3536">
            <v>43362</v>
          </cell>
        </row>
        <row r="3537">
          <cell r="A3537" t="str">
            <v>IN</v>
          </cell>
          <cell r="D3537">
            <v>43238</v>
          </cell>
        </row>
        <row r="3538">
          <cell r="A3538" t="str">
            <v>IN</v>
          </cell>
          <cell r="D3538">
            <v>43366</v>
          </cell>
        </row>
        <row r="3539">
          <cell r="A3539" t="str">
            <v>ANZ</v>
          </cell>
          <cell r="D3539">
            <v>43413</v>
          </cell>
        </row>
        <row r="3540">
          <cell r="A3540" t="str">
            <v>KR</v>
          </cell>
          <cell r="D3540">
            <v>43236</v>
          </cell>
        </row>
        <row r="3541">
          <cell r="A3541" t="str">
            <v>KR</v>
          </cell>
          <cell r="D3541">
            <v>43425</v>
          </cell>
        </row>
        <row r="3542">
          <cell r="A3542" t="str">
            <v>GC</v>
          </cell>
          <cell r="D3542">
            <v>43127</v>
          </cell>
        </row>
        <row r="3543">
          <cell r="A3543" t="str">
            <v>GC</v>
          </cell>
          <cell r="D3543">
            <v>43374</v>
          </cell>
        </row>
        <row r="3544">
          <cell r="A3544" t="str">
            <v>GC</v>
          </cell>
          <cell r="D3544">
            <v>43275</v>
          </cell>
        </row>
        <row r="3545">
          <cell r="A3545" t="str">
            <v>GC</v>
          </cell>
          <cell r="D3545">
            <v>43176</v>
          </cell>
        </row>
        <row r="3546">
          <cell r="A3546" t="str">
            <v>GC</v>
          </cell>
          <cell r="D3546">
            <v>43438</v>
          </cell>
        </row>
        <row r="3547">
          <cell r="A3547" t="str">
            <v>GC</v>
          </cell>
          <cell r="D3547">
            <v>43127</v>
          </cell>
        </row>
        <row r="3548">
          <cell r="A3548" t="str">
            <v>GC</v>
          </cell>
          <cell r="D3548">
            <v>43129</v>
          </cell>
        </row>
        <row r="3549">
          <cell r="A3549" t="str">
            <v>IN</v>
          </cell>
          <cell r="D3549">
            <v>43310</v>
          </cell>
        </row>
        <row r="3550">
          <cell r="A3550" t="str">
            <v>IN</v>
          </cell>
          <cell r="D3550">
            <v>43384</v>
          </cell>
        </row>
        <row r="3551">
          <cell r="A3551" t="str">
            <v>IN</v>
          </cell>
          <cell r="D3551">
            <v>43296</v>
          </cell>
        </row>
        <row r="3552">
          <cell r="A3552" t="str">
            <v>IN</v>
          </cell>
          <cell r="D3552">
            <v>43345</v>
          </cell>
        </row>
        <row r="3553">
          <cell r="A3553" t="str">
            <v>IN</v>
          </cell>
          <cell r="D3553">
            <v>43106</v>
          </cell>
        </row>
        <row r="3554">
          <cell r="A3554" t="str">
            <v>IN</v>
          </cell>
          <cell r="D3554">
            <v>43143</v>
          </cell>
        </row>
        <row r="3555">
          <cell r="A3555" t="str">
            <v>GC</v>
          </cell>
          <cell r="D3555">
            <v>43460</v>
          </cell>
        </row>
        <row r="3556">
          <cell r="A3556" t="str">
            <v>ANZ</v>
          </cell>
          <cell r="D3556">
            <v>43425</v>
          </cell>
        </row>
        <row r="3557">
          <cell r="A3557" t="str">
            <v>ANZ</v>
          </cell>
          <cell r="D3557">
            <v>43434</v>
          </cell>
        </row>
        <row r="3558">
          <cell r="A3558" t="str">
            <v>KR</v>
          </cell>
          <cell r="D3558">
            <v>43262</v>
          </cell>
        </row>
        <row r="3559">
          <cell r="A3559" t="str">
            <v>KR</v>
          </cell>
          <cell r="D3559">
            <v>43241</v>
          </cell>
        </row>
        <row r="3560">
          <cell r="A3560" t="str">
            <v>ASEAN</v>
          </cell>
          <cell r="D3560">
            <v>43114</v>
          </cell>
        </row>
        <row r="3561">
          <cell r="A3561" t="str">
            <v>GC</v>
          </cell>
          <cell r="D3561">
            <v>43363</v>
          </cell>
        </row>
        <row r="3562">
          <cell r="A3562" t="str">
            <v>IN</v>
          </cell>
          <cell r="D3562">
            <v>43325</v>
          </cell>
        </row>
        <row r="3563">
          <cell r="A3563" t="str">
            <v>GC</v>
          </cell>
          <cell r="D3563">
            <v>43117</v>
          </cell>
        </row>
        <row r="3564">
          <cell r="A3564" t="str">
            <v>GC</v>
          </cell>
          <cell r="D3564">
            <v>43320</v>
          </cell>
        </row>
        <row r="3565">
          <cell r="A3565" t="str">
            <v>GC</v>
          </cell>
          <cell r="D3565">
            <v>43220</v>
          </cell>
        </row>
        <row r="3566">
          <cell r="A3566" t="str">
            <v>GC</v>
          </cell>
          <cell r="D3566">
            <v>43463</v>
          </cell>
        </row>
        <row r="3567">
          <cell r="A3567" t="str">
            <v>IN</v>
          </cell>
          <cell r="D3567">
            <v>43124</v>
          </cell>
        </row>
        <row r="3568">
          <cell r="A3568" t="str">
            <v>ANZ</v>
          </cell>
          <cell r="D3568">
            <v>43211</v>
          </cell>
        </row>
        <row r="3569">
          <cell r="A3569" t="str">
            <v>ANZ</v>
          </cell>
          <cell r="D3569">
            <v>43258</v>
          </cell>
        </row>
        <row r="3570">
          <cell r="A3570" t="str">
            <v>GC</v>
          </cell>
          <cell r="D3570">
            <v>43290</v>
          </cell>
        </row>
        <row r="3571">
          <cell r="A3571" t="str">
            <v>GC</v>
          </cell>
          <cell r="D3571">
            <v>43217</v>
          </cell>
        </row>
        <row r="3572">
          <cell r="A3572" t="str">
            <v>ANZ</v>
          </cell>
          <cell r="D3572">
            <v>43172</v>
          </cell>
        </row>
        <row r="3573">
          <cell r="A3573" t="str">
            <v>ASEAN</v>
          </cell>
          <cell r="D3573">
            <v>43398</v>
          </cell>
        </row>
        <row r="3574">
          <cell r="A3574" t="str">
            <v>GC</v>
          </cell>
          <cell r="D3574">
            <v>43214</v>
          </cell>
        </row>
        <row r="3575">
          <cell r="A3575" t="str">
            <v>ASEAN</v>
          </cell>
          <cell r="D3575">
            <v>43230</v>
          </cell>
        </row>
        <row r="3576">
          <cell r="A3576" t="str">
            <v>ANZ</v>
          </cell>
          <cell r="D3576">
            <v>43404</v>
          </cell>
        </row>
        <row r="3577">
          <cell r="A3577" t="str">
            <v>KR</v>
          </cell>
          <cell r="D3577">
            <v>43373</v>
          </cell>
        </row>
        <row r="3578">
          <cell r="A3578" t="str">
            <v>IN</v>
          </cell>
          <cell r="D3578">
            <v>43200</v>
          </cell>
        </row>
        <row r="3579">
          <cell r="A3579" t="str">
            <v>KR</v>
          </cell>
          <cell r="D3579">
            <v>43175</v>
          </cell>
        </row>
        <row r="3580">
          <cell r="A3580" t="str">
            <v>GC</v>
          </cell>
          <cell r="D3580">
            <v>43271</v>
          </cell>
        </row>
        <row r="3581">
          <cell r="A3581" t="str">
            <v>GC</v>
          </cell>
          <cell r="D3581">
            <v>43386</v>
          </cell>
        </row>
        <row r="3582">
          <cell r="A3582" t="str">
            <v>IN</v>
          </cell>
          <cell r="D3582">
            <v>43307</v>
          </cell>
        </row>
        <row r="3583">
          <cell r="A3583" t="str">
            <v>GC</v>
          </cell>
          <cell r="D3583">
            <v>43360</v>
          </cell>
        </row>
        <row r="3584">
          <cell r="A3584" t="str">
            <v>IN</v>
          </cell>
          <cell r="D3584">
            <v>43114</v>
          </cell>
        </row>
        <row r="3585">
          <cell r="A3585" t="str">
            <v>IN</v>
          </cell>
          <cell r="D3585">
            <v>43418</v>
          </cell>
        </row>
        <row r="3586">
          <cell r="A3586" t="str">
            <v>IN</v>
          </cell>
          <cell r="D3586">
            <v>43355</v>
          </cell>
        </row>
        <row r="3587">
          <cell r="A3587" t="str">
            <v>IN</v>
          </cell>
          <cell r="D3587">
            <v>43383</v>
          </cell>
        </row>
        <row r="3588">
          <cell r="A3588" t="str">
            <v>IN</v>
          </cell>
          <cell r="D3588">
            <v>43185</v>
          </cell>
        </row>
        <row r="3589">
          <cell r="A3589" t="str">
            <v>IN</v>
          </cell>
          <cell r="D3589">
            <v>43325</v>
          </cell>
        </row>
        <row r="3590">
          <cell r="A3590" t="str">
            <v>IN</v>
          </cell>
          <cell r="D3590">
            <v>43369</v>
          </cell>
        </row>
        <row r="3591">
          <cell r="A3591" t="str">
            <v>IN</v>
          </cell>
          <cell r="D3591">
            <v>43460</v>
          </cell>
        </row>
        <row r="3592">
          <cell r="A3592" t="str">
            <v>IN</v>
          </cell>
          <cell r="D3592">
            <v>43449</v>
          </cell>
        </row>
        <row r="3593">
          <cell r="A3593" t="str">
            <v>GC</v>
          </cell>
          <cell r="D3593">
            <v>43337</v>
          </cell>
        </row>
        <row r="3594">
          <cell r="A3594" t="str">
            <v>GC</v>
          </cell>
          <cell r="D3594">
            <v>43107</v>
          </cell>
        </row>
        <row r="3595">
          <cell r="A3595" t="str">
            <v>GC</v>
          </cell>
          <cell r="D3595">
            <v>43446</v>
          </cell>
        </row>
        <row r="3596">
          <cell r="A3596" t="str">
            <v>ANZ</v>
          </cell>
          <cell r="D3596">
            <v>43291</v>
          </cell>
        </row>
        <row r="3597">
          <cell r="A3597" t="str">
            <v>IN</v>
          </cell>
          <cell r="D3597">
            <v>43411</v>
          </cell>
        </row>
        <row r="3598">
          <cell r="A3598" t="str">
            <v>ASEAN</v>
          </cell>
          <cell r="D3598">
            <v>43247</v>
          </cell>
        </row>
        <row r="3599">
          <cell r="A3599" t="str">
            <v>GC</v>
          </cell>
          <cell r="D3599">
            <v>43362</v>
          </cell>
        </row>
        <row r="3600">
          <cell r="A3600" t="str">
            <v>IN</v>
          </cell>
          <cell r="D3600">
            <v>43120</v>
          </cell>
        </row>
        <row r="3601">
          <cell r="A3601" t="str">
            <v>GC</v>
          </cell>
          <cell r="D3601">
            <v>43208</v>
          </cell>
        </row>
        <row r="3602">
          <cell r="A3602" t="str">
            <v>GC</v>
          </cell>
          <cell r="D3602">
            <v>43109</v>
          </cell>
        </row>
        <row r="3603">
          <cell r="A3603" t="str">
            <v>ANZ</v>
          </cell>
          <cell r="D3603">
            <v>43192</v>
          </cell>
        </row>
        <row r="3604">
          <cell r="A3604" t="str">
            <v>GC</v>
          </cell>
          <cell r="D3604">
            <v>43142</v>
          </cell>
        </row>
        <row r="3605">
          <cell r="A3605" t="str">
            <v>ANZ</v>
          </cell>
          <cell r="D3605">
            <v>43182</v>
          </cell>
        </row>
        <row r="3606">
          <cell r="A3606" t="str">
            <v>ASEAN</v>
          </cell>
          <cell r="D3606">
            <v>43239</v>
          </cell>
        </row>
        <row r="3607">
          <cell r="A3607" t="str">
            <v>IN</v>
          </cell>
          <cell r="D3607">
            <v>43351</v>
          </cell>
        </row>
        <row r="3608">
          <cell r="A3608" t="str">
            <v>GC</v>
          </cell>
          <cell r="D3608">
            <v>43165</v>
          </cell>
        </row>
        <row r="3609">
          <cell r="A3609" t="str">
            <v>GC</v>
          </cell>
          <cell r="D3609">
            <v>43174</v>
          </cell>
        </row>
        <row r="3610">
          <cell r="A3610" t="str">
            <v>GC</v>
          </cell>
          <cell r="D3610">
            <v>43137</v>
          </cell>
        </row>
        <row r="3611">
          <cell r="A3611" t="str">
            <v>GC</v>
          </cell>
          <cell r="D3611">
            <v>43182</v>
          </cell>
        </row>
        <row r="3612">
          <cell r="A3612" t="str">
            <v>IN</v>
          </cell>
          <cell r="D3612">
            <v>43406</v>
          </cell>
        </row>
        <row r="3613">
          <cell r="A3613" t="str">
            <v>IN</v>
          </cell>
          <cell r="D3613">
            <v>43419</v>
          </cell>
        </row>
        <row r="3614">
          <cell r="A3614" t="str">
            <v>IN</v>
          </cell>
          <cell r="D3614">
            <v>43432</v>
          </cell>
        </row>
        <row r="3615">
          <cell r="A3615" t="str">
            <v>IN</v>
          </cell>
          <cell r="D3615">
            <v>43108</v>
          </cell>
        </row>
        <row r="3616">
          <cell r="A3616" t="str">
            <v>IN</v>
          </cell>
          <cell r="D3616">
            <v>43182</v>
          </cell>
        </row>
        <row r="3617">
          <cell r="A3617" t="str">
            <v>IN</v>
          </cell>
          <cell r="D3617">
            <v>43307</v>
          </cell>
        </row>
        <row r="3618">
          <cell r="A3618" t="str">
            <v>GC</v>
          </cell>
          <cell r="D3618">
            <v>43194</v>
          </cell>
        </row>
        <row r="3619">
          <cell r="A3619" t="str">
            <v>IN</v>
          </cell>
          <cell r="D3619">
            <v>43290</v>
          </cell>
        </row>
        <row r="3620">
          <cell r="A3620" t="str">
            <v>GC</v>
          </cell>
          <cell r="D3620">
            <v>43121</v>
          </cell>
        </row>
        <row r="3621">
          <cell r="A3621" t="str">
            <v>ASEAN</v>
          </cell>
          <cell r="D3621">
            <v>43461</v>
          </cell>
        </row>
        <row r="3622">
          <cell r="A3622" t="str">
            <v>GC</v>
          </cell>
          <cell r="D3622">
            <v>43294</v>
          </cell>
        </row>
        <row r="3623">
          <cell r="A3623" t="str">
            <v>ASEAN</v>
          </cell>
          <cell r="D3623">
            <v>43125</v>
          </cell>
        </row>
        <row r="3624">
          <cell r="A3624" t="str">
            <v>ASEAN</v>
          </cell>
          <cell r="D3624">
            <v>43317</v>
          </cell>
        </row>
        <row r="3625">
          <cell r="A3625" t="str">
            <v>GC</v>
          </cell>
          <cell r="D3625">
            <v>43439</v>
          </cell>
        </row>
        <row r="3626">
          <cell r="A3626" t="str">
            <v>KR</v>
          </cell>
          <cell r="D3626">
            <v>43244</v>
          </cell>
        </row>
        <row r="3627">
          <cell r="A3627" t="str">
            <v>GC</v>
          </cell>
          <cell r="D3627">
            <v>43196</v>
          </cell>
        </row>
        <row r="3628">
          <cell r="A3628" t="str">
            <v>GC</v>
          </cell>
          <cell r="D3628">
            <v>43259</v>
          </cell>
        </row>
        <row r="3629">
          <cell r="A3629" t="str">
            <v>GC</v>
          </cell>
          <cell r="D3629">
            <v>43316</v>
          </cell>
        </row>
        <row r="3630">
          <cell r="A3630" t="str">
            <v>GC</v>
          </cell>
          <cell r="D3630">
            <v>43379</v>
          </cell>
        </row>
        <row r="3631">
          <cell r="A3631" t="str">
            <v>KR</v>
          </cell>
          <cell r="D3631">
            <v>43173</v>
          </cell>
        </row>
        <row r="3632">
          <cell r="A3632" t="str">
            <v>KR</v>
          </cell>
          <cell r="D3632">
            <v>43432</v>
          </cell>
        </row>
        <row r="3633">
          <cell r="A3633" t="str">
            <v>ANZ</v>
          </cell>
          <cell r="D3633">
            <v>43336</v>
          </cell>
        </row>
        <row r="3634">
          <cell r="A3634" t="str">
            <v>GC</v>
          </cell>
          <cell r="D3634">
            <v>43217</v>
          </cell>
        </row>
        <row r="3635">
          <cell r="A3635" t="str">
            <v>ASEAN</v>
          </cell>
          <cell r="D3635">
            <v>43316</v>
          </cell>
        </row>
        <row r="3636">
          <cell r="A3636" t="str">
            <v>GC</v>
          </cell>
          <cell r="D3636">
            <v>43298</v>
          </cell>
        </row>
        <row r="3637">
          <cell r="A3637" t="str">
            <v>GC</v>
          </cell>
          <cell r="D3637">
            <v>43446</v>
          </cell>
        </row>
        <row r="3638">
          <cell r="A3638" t="str">
            <v>GC</v>
          </cell>
          <cell r="D3638">
            <v>43124</v>
          </cell>
        </row>
        <row r="3639">
          <cell r="A3639" t="str">
            <v>GC</v>
          </cell>
          <cell r="D3639">
            <v>43136</v>
          </cell>
        </row>
        <row r="3640">
          <cell r="A3640" t="str">
            <v>GC</v>
          </cell>
          <cell r="D3640">
            <v>43111</v>
          </cell>
        </row>
        <row r="3641">
          <cell r="A3641" t="str">
            <v>GC</v>
          </cell>
          <cell r="D3641">
            <v>43143</v>
          </cell>
        </row>
        <row r="3642">
          <cell r="A3642" t="str">
            <v>IN</v>
          </cell>
          <cell r="D3642">
            <v>43286</v>
          </cell>
        </row>
        <row r="3643">
          <cell r="A3643" t="str">
            <v>ANZ</v>
          </cell>
          <cell r="D3643">
            <v>43107</v>
          </cell>
        </row>
        <row r="3644">
          <cell r="A3644" t="str">
            <v>ANZ</v>
          </cell>
          <cell r="D3644">
            <v>43352</v>
          </cell>
        </row>
        <row r="3645">
          <cell r="A3645" t="str">
            <v>GC</v>
          </cell>
          <cell r="D3645">
            <v>43414</v>
          </cell>
        </row>
        <row r="3646">
          <cell r="A3646" t="str">
            <v>GC</v>
          </cell>
          <cell r="D3646">
            <v>43281</v>
          </cell>
        </row>
        <row r="3647">
          <cell r="A3647" t="str">
            <v>ANZ</v>
          </cell>
          <cell r="D3647">
            <v>43198</v>
          </cell>
        </row>
        <row r="3648">
          <cell r="A3648" t="str">
            <v>GC</v>
          </cell>
          <cell r="D3648">
            <v>43351</v>
          </cell>
        </row>
        <row r="3649">
          <cell r="A3649" t="str">
            <v>GC</v>
          </cell>
          <cell r="D3649">
            <v>43197</v>
          </cell>
        </row>
        <row r="3650">
          <cell r="A3650" t="str">
            <v>GC</v>
          </cell>
          <cell r="D3650">
            <v>43162</v>
          </cell>
        </row>
        <row r="3651">
          <cell r="A3651" t="str">
            <v>GC</v>
          </cell>
          <cell r="D3651">
            <v>43222</v>
          </cell>
        </row>
        <row r="3652">
          <cell r="A3652" t="str">
            <v>GC</v>
          </cell>
          <cell r="D3652">
            <v>43365</v>
          </cell>
        </row>
        <row r="3653">
          <cell r="A3653" t="str">
            <v>GC</v>
          </cell>
          <cell r="D3653">
            <v>43376</v>
          </cell>
        </row>
        <row r="3654">
          <cell r="A3654" t="str">
            <v>GC</v>
          </cell>
          <cell r="D3654">
            <v>43177</v>
          </cell>
        </row>
        <row r="3655">
          <cell r="A3655" t="str">
            <v>GC</v>
          </cell>
          <cell r="D3655">
            <v>43261</v>
          </cell>
        </row>
        <row r="3656">
          <cell r="A3656" t="str">
            <v>ANZ</v>
          </cell>
          <cell r="D3656">
            <v>43350</v>
          </cell>
        </row>
        <row r="3657">
          <cell r="A3657" t="str">
            <v>GC</v>
          </cell>
          <cell r="D3657">
            <v>43377</v>
          </cell>
        </row>
        <row r="3658">
          <cell r="A3658" t="str">
            <v>ANZ</v>
          </cell>
          <cell r="D3658">
            <v>43148</v>
          </cell>
        </row>
        <row r="3659">
          <cell r="A3659" t="str">
            <v>GC</v>
          </cell>
          <cell r="D3659">
            <v>43344</v>
          </cell>
        </row>
        <row r="3660">
          <cell r="A3660" t="str">
            <v>GC</v>
          </cell>
          <cell r="D3660">
            <v>43416</v>
          </cell>
        </row>
        <row r="3661">
          <cell r="A3661" t="str">
            <v>GC</v>
          </cell>
          <cell r="D3661">
            <v>43348</v>
          </cell>
        </row>
        <row r="3662">
          <cell r="A3662" t="str">
            <v>GC</v>
          </cell>
          <cell r="D3662">
            <v>43356</v>
          </cell>
        </row>
        <row r="3663">
          <cell r="A3663" t="str">
            <v>GC</v>
          </cell>
          <cell r="D3663">
            <v>43385</v>
          </cell>
        </row>
        <row r="3664">
          <cell r="A3664" t="str">
            <v>GC</v>
          </cell>
          <cell r="D3664">
            <v>43259</v>
          </cell>
        </row>
        <row r="3665">
          <cell r="A3665" t="str">
            <v>GC</v>
          </cell>
          <cell r="D3665">
            <v>43344</v>
          </cell>
        </row>
        <row r="3666">
          <cell r="A3666" t="str">
            <v>GC</v>
          </cell>
          <cell r="D3666">
            <v>43243</v>
          </cell>
        </row>
        <row r="3667">
          <cell r="A3667" t="str">
            <v>GC</v>
          </cell>
          <cell r="D3667">
            <v>43264</v>
          </cell>
        </row>
        <row r="3668">
          <cell r="A3668" t="str">
            <v>ASEAN</v>
          </cell>
          <cell r="D3668">
            <v>43192</v>
          </cell>
        </row>
        <row r="3669">
          <cell r="A3669" t="str">
            <v>GC</v>
          </cell>
          <cell r="D3669">
            <v>43457</v>
          </cell>
        </row>
        <row r="3670">
          <cell r="A3670" t="str">
            <v>IN</v>
          </cell>
          <cell r="D3670">
            <v>43443</v>
          </cell>
        </row>
        <row r="3671">
          <cell r="A3671" t="str">
            <v>ANZ</v>
          </cell>
          <cell r="D3671">
            <v>43137</v>
          </cell>
        </row>
        <row r="3672">
          <cell r="A3672" t="str">
            <v>GC</v>
          </cell>
          <cell r="D3672">
            <v>43163</v>
          </cell>
        </row>
        <row r="3673">
          <cell r="A3673" t="str">
            <v>GC</v>
          </cell>
          <cell r="D3673">
            <v>43403</v>
          </cell>
        </row>
        <row r="3674">
          <cell r="A3674" t="str">
            <v>GC</v>
          </cell>
          <cell r="D3674">
            <v>43104</v>
          </cell>
        </row>
        <row r="3675">
          <cell r="A3675" t="str">
            <v>ANZ</v>
          </cell>
          <cell r="D3675">
            <v>43217</v>
          </cell>
        </row>
        <row r="3676">
          <cell r="A3676" t="str">
            <v>IN</v>
          </cell>
          <cell r="D3676">
            <v>43169</v>
          </cell>
        </row>
        <row r="3677">
          <cell r="A3677" t="str">
            <v>KR</v>
          </cell>
          <cell r="D3677">
            <v>43332</v>
          </cell>
        </row>
        <row r="3678">
          <cell r="A3678" t="str">
            <v>IN</v>
          </cell>
          <cell r="D3678">
            <v>43369</v>
          </cell>
        </row>
        <row r="3679">
          <cell r="A3679" t="str">
            <v>GC</v>
          </cell>
          <cell r="D3679">
            <v>43139</v>
          </cell>
        </row>
        <row r="3680">
          <cell r="A3680" t="str">
            <v>GC</v>
          </cell>
          <cell r="D3680">
            <v>43384</v>
          </cell>
        </row>
        <row r="3681">
          <cell r="A3681" t="str">
            <v>GC</v>
          </cell>
          <cell r="D3681">
            <v>43426</v>
          </cell>
        </row>
        <row r="3682">
          <cell r="A3682" t="str">
            <v>ASEAN</v>
          </cell>
          <cell r="D3682">
            <v>43439</v>
          </cell>
        </row>
        <row r="3683">
          <cell r="A3683" t="str">
            <v>IN</v>
          </cell>
          <cell r="D3683">
            <v>43452</v>
          </cell>
        </row>
        <row r="3684">
          <cell r="A3684" t="str">
            <v>ASEAN</v>
          </cell>
          <cell r="D3684">
            <v>43381</v>
          </cell>
        </row>
        <row r="3685">
          <cell r="A3685" t="str">
            <v>IN</v>
          </cell>
          <cell r="D3685">
            <v>43170</v>
          </cell>
        </row>
        <row r="3686">
          <cell r="A3686" t="str">
            <v>GC</v>
          </cell>
          <cell r="D3686">
            <v>43462</v>
          </cell>
        </row>
        <row r="3687">
          <cell r="A3687" t="str">
            <v>ASEAN</v>
          </cell>
          <cell r="D3687">
            <v>43360</v>
          </cell>
        </row>
        <row r="3688">
          <cell r="A3688" t="str">
            <v>GC</v>
          </cell>
          <cell r="D3688">
            <v>43163</v>
          </cell>
        </row>
        <row r="3689">
          <cell r="A3689" t="str">
            <v>GC</v>
          </cell>
          <cell r="D3689">
            <v>43450</v>
          </cell>
        </row>
        <row r="3690">
          <cell r="A3690" t="str">
            <v>GC</v>
          </cell>
          <cell r="D3690">
            <v>43345</v>
          </cell>
        </row>
        <row r="3691">
          <cell r="A3691" t="str">
            <v>GC</v>
          </cell>
          <cell r="D3691">
            <v>43333</v>
          </cell>
        </row>
        <row r="3692">
          <cell r="A3692" t="str">
            <v>GC</v>
          </cell>
          <cell r="D3692">
            <v>43379</v>
          </cell>
        </row>
        <row r="3693">
          <cell r="A3693" t="str">
            <v>IN</v>
          </cell>
          <cell r="D3693">
            <v>43354</v>
          </cell>
        </row>
        <row r="3694">
          <cell r="A3694" t="str">
            <v>ANZ</v>
          </cell>
          <cell r="D3694">
            <v>43312</v>
          </cell>
        </row>
        <row r="3695">
          <cell r="A3695" t="str">
            <v>ANZ</v>
          </cell>
          <cell r="D3695">
            <v>43457</v>
          </cell>
        </row>
        <row r="3696">
          <cell r="A3696" t="str">
            <v>IN</v>
          </cell>
          <cell r="D3696">
            <v>43226</v>
          </cell>
        </row>
        <row r="3697">
          <cell r="A3697" t="str">
            <v>GC</v>
          </cell>
          <cell r="D3697">
            <v>43355</v>
          </cell>
        </row>
        <row r="3698">
          <cell r="A3698" t="str">
            <v>IN</v>
          </cell>
          <cell r="D3698">
            <v>43298</v>
          </cell>
        </row>
        <row r="3699">
          <cell r="A3699" t="str">
            <v>GC</v>
          </cell>
          <cell r="D3699">
            <v>43225</v>
          </cell>
        </row>
        <row r="3700">
          <cell r="A3700" t="str">
            <v>ANZ</v>
          </cell>
          <cell r="D3700">
            <v>43144</v>
          </cell>
        </row>
        <row r="3701">
          <cell r="A3701" t="str">
            <v>KR</v>
          </cell>
          <cell r="D3701">
            <v>43157</v>
          </cell>
        </row>
        <row r="3702">
          <cell r="A3702" t="str">
            <v>IN</v>
          </cell>
          <cell r="D3702">
            <v>43405</v>
          </cell>
        </row>
        <row r="3703">
          <cell r="A3703" t="str">
            <v>GC</v>
          </cell>
          <cell r="D3703">
            <v>43314</v>
          </cell>
        </row>
        <row r="3704">
          <cell r="A3704" t="str">
            <v>GC</v>
          </cell>
          <cell r="D3704">
            <v>43195</v>
          </cell>
        </row>
        <row r="3705">
          <cell r="A3705" t="str">
            <v>GC</v>
          </cell>
          <cell r="D3705">
            <v>43311</v>
          </cell>
        </row>
        <row r="3706">
          <cell r="A3706" t="str">
            <v>IN</v>
          </cell>
          <cell r="D3706">
            <v>43276</v>
          </cell>
        </row>
        <row r="3707">
          <cell r="A3707" t="str">
            <v>IN</v>
          </cell>
          <cell r="D3707">
            <v>43294</v>
          </cell>
        </row>
        <row r="3708">
          <cell r="A3708" t="str">
            <v>GC</v>
          </cell>
          <cell r="D3708">
            <v>43312</v>
          </cell>
        </row>
        <row r="3709">
          <cell r="A3709" t="str">
            <v>GC</v>
          </cell>
          <cell r="D3709">
            <v>43284</v>
          </cell>
        </row>
        <row r="3710">
          <cell r="A3710" t="str">
            <v>GC</v>
          </cell>
          <cell r="D3710">
            <v>43197</v>
          </cell>
        </row>
        <row r="3711">
          <cell r="A3711" t="str">
            <v>GC</v>
          </cell>
          <cell r="D3711">
            <v>43257</v>
          </cell>
        </row>
        <row r="3712">
          <cell r="A3712" t="str">
            <v>GC</v>
          </cell>
          <cell r="D3712">
            <v>43261</v>
          </cell>
        </row>
        <row r="3713">
          <cell r="A3713" t="str">
            <v>GC</v>
          </cell>
          <cell r="D3713">
            <v>43199</v>
          </cell>
        </row>
        <row r="3714">
          <cell r="A3714" t="str">
            <v>IN</v>
          </cell>
          <cell r="D3714">
            <v>43275</v>
          </cell>
        </row>
        <row r="3715">
          <cell r="A3715" t="str">
            <v>GC</v>
          </cell>
          <cell r="D3715">
            <v>43416</v>
          </cell>
        </row>
        <row r="3716">
          <cell r="A3716" t="str">
            <v>GC</v>
          </cell>
          <cell r="D3716">
            <v>43219</v>
          </cell>
        </row>
        <row r="3717">
          <cell r="A3717" t="str">
            <v>GC</v>
          </cell>
          <cell r="D3717">
            <v>43200</v>
          </cell>
        </row>
        <row r="3718">
          <cell r="A3718" t="str">
            <v>GC</v>
          </cell>
          <cell r="D3718">
            <v>43296</v>
          </cell>
        </row>
        <row r="3719">
          <cell r="A3719" t="str">
            <v>GC</v>
          </cell>
          <cell r="D3719">
            <v>43446</v>
          </cell>
        </row>
        <row r="3720">
          <cell r="A3720" t="str">
            <v>GC</v>
          </cell>
          <cell r="D3720">
            <v>43159</v>
          </cell>
        </row>
        <row r="3721">
          <cell r="A3721" t="str">
            <v>GC</v>
          </cell>
          <cell r="D3721">
            <v>43434</v>
          </cell>
        </row>
        <row r="3722">
          <cell r="A3722" t="str">
            <v>GC</v>
          </cell>
          <cell r="D3722">
            <v>43380</v>
          </cell>
        </row>
        <row r="3723">
          <cell r="A3723" t="str">
            <v>GC</v>
          </cell>
          <cell r="D3723">
            <v>43200</v>
          </cell>
        </row>
        <row r="3724">
          <cell r="A3724" t="str">
            <v>ANZ</v>
          </cell>
          <cell r="D3724">
            <v>43174</v>
          </cell>
        </row>
        <row r="3725">
          <cell r="A3725" t="str">
            <v>ANZ</v>
          </cell>
          <cell r="D3725">
            <v>43135</v>
          </cell>
        </row>
        <row r="3726">
          <cell r="A3726" t="str">
            <v>ANZ</v>
          </cell>
          <cell r="D3726">
            <v>43393</v>
          </cell>
        </row>
        <row r="3727">
          <cell r="A3727" t="str">
            <v>GC</v>
          </cell>
          <cell r="D3727">
            <v>43150</v>
          </cell>
        </row>
        <row r="3728">
          <cell r="A3728" t="str">
            <v>GC</v>
          </cell>
          <cell r="D3728">
            <v>43124</v>
          </cell>
        </row>
        <row r="3729">
          <cell r="A3729" t="str">
            <v>GC</v>
          </cell>
          <cell r="D3729">
            <v>43348</v>
          </cell>
        </row>
        <row r="3730">
          <cell r="A3730" t="str">
            <v>GC</v>
          </cell>
          <cell r="D3730">
            <v>43187</v>
          </cell>
        </row>
        <row r="3731">
          <cell r="A3731" t="str">
            <v>GC</v>
          </cell>
          <cell r="D3731">
            <v>43228</v>
          </cell>
        </row>
        <row r="3732">
          <cell r="A3732" t="str">
            <v>GC</v>
          </cell>
          <cell r="D3732">
            <v>43180</v>
          </cell>
        </row>
        <row r="3733">
          <cell r="A3733" t="str">
            <v>GC</v>
          </cell>
          <cell r="D3733">
            <v>43415</v>
          </cell>
        </row>
        <row r="3734">
          <cell r="A3734" t="str">
            <v>GC</v>
          </cell>
          <cell r="D3734">
            <v>43424</v>
          </cell>
        </row>
        <row r="3735">
          <cell r="A3735" t="str">
            <v>GC</v>
          </cell>
          <cell r="D3735">
            <v>43182</v>
          </cell>
        </row>
        <row r="3736">
          <cell r="A3736" t="str">
            <v>GC</v>
          </cell>
          <cell r="D3736">
            <v>43292</v>
          </cell>
        </row>
        <row r="3737">
          <cell r="A3737" t="str">
            <v>GC</v>
          </cell>
          <cell r="D3737">
            <v>43364</v>
          </cell>
        </row>
        <row r="3738">
          <cell r="A3738" t="str">
            <v>GC</v>
          </cell>
          <cell r="D3738">
            <v>43367</v>
          </cell>
        </row>
        <row r="3739">
          <cell r="A3739" t="str">
            <v>GC</v>
          </cell>
          <cell r="D3739">
            <v>43409</v>
          </cell>
        </row>
        <row r="3740">
          <cell r="A3740" t="str">
            <v>GC</v>
          </cell>
          <cell r="D3740">
            <v>43418</v>
          </cell>
        </row>
        <row r="3741">
          <cell r="A3741" t="str">
            <v>GC</v>
          </cell>
          <cell r="D3741">
            <v>43427</v>
          </cell>
        </row>
        <row r="3742">
          <cell r="A3742" t="str">
            <v>GC</v>
          </cell>
          <cell r="D3742">
            <v>43111</v>
          </cell>
        </row>
        <row r="3743">
          <cell r="A3743" t="str">
            <v>GC</v>
          </cell>
          <cell r="D3743">
            <v>43390</v>
          </cell>
        </row>
        <row r="3744">
          <cell r="A3744" t="str">
            <v>GC</v>
          </cell>
          <cell r="D3744">
            <v>43381</v>
          </cell>
        </row>
        <row r="3745">
          <cell r="A3745" t="str">
            <v>GC</v>
          </cell>
          <cell r="D3745">
            <v>43264</v>
          </cell>
        </row>
        <row r="3746">
          <cell r="A3746" t="str">
            <v>GC</v>
          </cell>
          <cell r="D3746">
            <v>43137</v>
          </cell>
        </row>
        <row r="3747">
          <cell r="A3747" t="str">
            <v>GC</v>
          </cell>
          <cell r="D3747">
            <v>43204</v>
          </cell>
        </row>
        <row r="3748">
          <cell r="A3748" t="str">
            <v>ANZ</v>
          </cell>
          <cell r="D3748">
            <v>43324</v>
          </cell>
        </row>
        <row r="3749">
          <cell r="A3749" t="str">
            <v>GC</v>
          </cell>
          <cell r="D3749">
            <v>43444</v>
          </cell>
        </row>
        <row r="3750">
          <cell r="A3750" t="str">
            <v>ANZ</v>
          </cell>
          <cell r="D3750">
            <v>43213</v>
          </cell>
        </row>
        <row r="3751">
          <cell r="A3751" t="str">
            <v>ASEAN</v>
          </cell>
          <cell r="D3751">
            <v>43456</v>
          </cell>
        </row>
        <row r="3752">
          <cell r="A3752" t="str">
            <v>IN</v>
          </cell>
          <cell r="D3752">
            <v>43186</v>
          </cell>
        </row>
        <row r="3753">
          <cell r="A3753" t="str">
            <v>IN</v>
          </cell>
          <cell r="D3753">
            <v>43215</v>
          </cell>
        </row>
        <row r="3754">
          <cell r="A3754" t="str">
            <v>ASEAN</v>
          </cell>
          <cell r="D3754">
            <v>43260</v>
          </cell>
        </row>
        <row r="3755">
          <cell r="A3755" t="str">
            <v>ANZ</v>
          </cell>
          <cell r="D3755">
            <v>43213</v>
          </cell>
        </row>
        <row r="3756">
          <cell r="A3756" t="str">
            <v>ANZ</v>
          </cell>
          <cell r="D3756">
            <v>43381</v>
          </cell>
        </row>
        <row r="3757">
          <cell r="A3757" t="str">
            <v>IN</v>
          </cell>
          <cell r="D3757">
            <v>43167</v>
          </cell>
        </row>
        <row r="3758">
          <cell r="A3758" t="str">
            <v>IN</v>
          </cell>
          <cell r="D3758">
            <v>43285</v>
          </cell>
        </row>
        <row r="3759">
          <cell r="A3759" t="str">
            <v>IN</v>
          </cell>
          <cell r="D3759">
            <v>43420</v>
          </cell>
        </row>
        <row r="3760">
          <cell r="A3760" t="str">
            <v>IN</v>
          </cell>
          <cell r="D3760">
            <v>43297</v>
          </cell>
        </row>
        <row r="3761">
          <cell r="A3761" t="str">
            <v>GC</v>
          </cell>
          <cell r="D3761">
            <v>43457</v>
          </cell>
        </row>
        <row r="3762">
          <cell r="A3762" t="str">
            <v>GC</v>
          </cell>
          <cell r="D3762">
            <v>43233</v>
          </cell>
        </row>
        <row r="3763">
          <cell r="A3763" t="str">
            <v>GC</v>
          </cell>
          <cell r="D3763">
            <v>43151</v>
          </cell>
        </row>
        <row r="3764">
          <cell r="A3764" t="str">
            <v>GC</v>
          </cell>
          <cell r="D3764">
            <v>43397</v>
          </cell>
        </row>
        <row r="3765">
          <cell r="A3765" t="str">
            <v>IN</v>
          </cell>
          <cell r="D3765">
            <v>43199</v>
          </cell>
        </row>
        <row r="3766">
          <cell r="A3766" t="str">
            <v>IN</v>
          </cell>
          <cell r="D3766">
            <v>43152</v>
          </cell>
        </row>
        <row r="3767">
          <cell r="A3767" t="str">
            <v>GC</v>
          </cell>
          <cell r="D3767">
            <v>43186</v>
          </cell>
        </row>
        <row r="3768">
          <cell r="A3768" t="str">
            <v>IN</v>
          </cell>
          <cell r="D3768">
            <v>43445</v>
          </cell>
        </row>
        <row r="3769">
          <cell r="A3769" t="str">
            <v>ANZ</v>
          </cell>
          <cell r="D3769">
            <v>43222</v>
          </cell>
        </row>
        <row r="3770">
          <cell r="A3770" t="str">
            <v>GC</v>
          </cell>
          <cell r="D3770">
            <v>43328</v>
          </cell>
        </row>
        <row r="3771">
          <cell r="A3771" t="str">
            <v>IN</v>
          </cell>
          <cell r="D3771">
            <v>43454</v>
          </cell>
        </row>
        <row r="3772">
          <cell r="A3772" t="str">
            <v>GC</v>
          </cell>
          <cell r="D3772">
            <v>43420</v>
          </cell>
        </row>
        <row r="3773">
          <cell r="A3773" t="str">
            <v>GC</v>
          </cell>
          <cell r="D3773">
            <v>43413</v>
          </cell>
        </row>
        <row r="3774">
          <cell r="A3774" t="str">
            <v>IN</v>
          </cell>
          <cell r="D3774">
            <v>43320</v>
          </cell>
        </row>
        <row r="3775">
          <cell r="A3775" t="str">
            <v>IN</v>
          </cell>
          <cell r="D3775">
            <v>43234</v>
          </cell>
        </row>
        <row r="3776">
          <cell r="A3776" t="str">
            <v>IN</v>
          </cell>
          <cell r="D3776">
            <v>43356</v>
          </cell>
        </row>
        <row r="3777">
          <cell r="A3777" t="str">
            <v>IN</v>
          </cell>
          <cell r="D3777">
            <v>43350</v>
          </cell>
        </row>
        <row r="3778">
          <cell r="A3778" t="str">
            <v>GC</v>
          </cell>
          <cell r="D3778">
            <v>43379</v>
          </cell>
        </row>
        <row r="3779">
          <cell r="A3779" t="str">
            <v>ANZ</v>
          </cell>
          <cell r="D3779">
            <v>43277</v>
          </cell>
        </row>
        <row r="3780">
          <cell r="A3780" t="str">
            <v>GC</v>
          </cell>
          <cell r="D3780">
            <v>43319</v>
          </cell>
        </row>
        <row r="3781">
          <cell r="A3781" t="str">
            <v>IN</v>
          </cell>
          <cell r="D3781">
            <v>43113</v>
          </cell>
        </row>
        <row r="3782">
          <cell r="A3782" t="str">
            <v>IN</v>
          </cell>
          <cell r="D3782">
            <v>43159</v>
          </cell>
        </row>
        <row r="3783">
          <cell r="A3783" t="str">
            <v>IN</v>
          </cell>
          <cell r="D3783">
            <v>43349</v>
          </cell>
        </row>
        <row r="3784">
          <cell r="A3784" t="str">
            <v>GC</v>
          </cell>
          <cell r="D3784">
            <v>43407</v>
          </cell>
        </row>
        <row r="3785">
          <cell r="A3785" t="str">
            <v>IN</v>
          </cell>
          <cell r="D3785">
            <v>43394</v>
          </cell>
        </row>
        <row r="3786">
          <cell r="A3786" t="str">
            <v>GC</v>
          </cell>
          <cell r="D3786">
            <v>43312</v>
          </cell>
        </row>
        <row r="3787">
          <cell r="A3787" t="str">
            <v>GC</v>
          </cell>
          <cell r="D3787">
            <v>43347</v>
          </cell>
        </row>
        <row r="3788">
          <cell r="A3788" t="str">
            <v>IN</v>
          </cell>
          <cell r="D3788">
            <v>43351</v>
          </cell>
        </row>
        <row r="3789">
          <cell r="A3789" t="str">
            <v>IN</v>
          </cell>
          <cell r="D3789">
            <v>43293</v>
          </cell>
        </row>
        <row r="3790">
          <cell r="A3790" t="str">
            <v>ANZ</v>
          </cell>
          <cell r="D3790">
            <v>43259</v>
          </cell>
        </row>
        <row r="3791">
          <cell r="A3791" t="str">
            <v>KR</v>
          </cell>
          <cell r="D3791">
            <v>43206</v>
          </cell>
        </row>
        <row r="3792">
          <cell r="A3792" t="str">
            <v>ANZ</v>
          </cell>
          <cell r="D3792">
            <v>43306</v>
          </cell>
        </row>
        <row r="3793">
          <cell r="A3793" t="str">
            <v>ANZ</v>
          </cell>
          <cell r="D3793">
            <v>43178</v>
          </cell>
        </row>
        <row r="3794">
          <cell r="A3794" t="str">
            <v>KR</v>
          </cell>
          <cell r="D3794">
            <v>43434</v>
          </cell>
        </row>
        <row r="3795">
          <cell r="A3795" t="str">
            <v>ANZ</v>
          </cell>
          <cell r="D3795">
            <v>43251</v>
          </cell>
        </row>
        <row r="3796">
          <cell r="A3796" t="str">
            <v>GC</v>
          </cell>
          <cell r="D3796">
            <v>43315</v>
          </cell>
        </row>
        <row r="3797">
          <cell r="A3797" t="str">
            <v>ASEAN</v>
          </cell>
          <cell r="D3797">
            <v>43461</v>
          </cell>
        </row>
        <row r="3798">
          <cell r="A3798" t="str">
            <v>IN</v>
          </cell>
          <cell r="D3798">
            <v>43441</v>
          </cell>
        </row>
        <row r="3799">
          <cell r="A3799" t="str">
            <v>ASEAN</v>
          </cell>
          <cell r="D3799">
            <v>43459</v>
          </cell>
        </row>
        <row r="3800">
          <cell r="A3800" t="str">
            <v>ASEAN</v>
          </cell>
          <cell r="D3800">
            <v>43264</v>
          </cell>
        </row>
        <row r="3801">
          <cell r="A3801" t="str">
            <v>IN</v>
          </cell>
          <cell r="D3801">
            <v>43442</v>
          </cell>
        </row>
        <row r="3802">
          <cell r="A3802" t="str">
            <v>GC</v>
          </cell>
          <cell r="D3802">
            <v>43115</v>
          </cell>
        </row>
        <row r="3803">
          <cell r="A3803" t="str">
            <v>ASEAN</v>
          </cell>
          <cell r="D3803">
            <v>43138</v>
          </cell>
        </row>
        <row r="3804">
          <cell r="A3804" t="str">
            <v>IN</v>
          </cell>
          <cell r="D3804">
            <v>43230</v>
          </cell>
        </row>
        <row r="3805">
          <cell r="A3805" t="str">
            <v>IN</v>
          </cell>
          <cell r="D3805">
            <v>43444</v>
          </cell>
        </row>
        <row r="3806">
          <cell r="A3806" t="str">
            <v>GC</v>
          </cell>
          <cell r="D3806">
            <v>43210</v>
          </cell>
        </row>
        <row r="3807">
          <cell r="A3807" t="str">
            <v>IN</v>
          </cell>
          <cell r="D3807">
            <v>43247</v>
          </cell>
        </row>
        <row r="3808">
          <cell r="A3808" t="str">
            <v>IN</v>
          </cell>
          <cell r="D3808">
            <v>43385</v>
          </cell>
        </row>
        <row r="3809">
          <cell r="A3809" t="str">
            <v>GC</v>
          </cell>
          <cell r="D3809">
            <v>43409</v>
          </cell>
        </row>
        <row r="3810">
          <cell r="A3810" t="str">
            <v>GC</v>
          </cell>
          <cell r="D3810">
            <v>43304</v>
          </cell>
        </row>
        <row r="3811">
          <cell r="A3811" t="str">
            <v>IN</v>
          </cell>
          <cell r="D3811">
            <v>43446</v>
          </cell>
        </row>
        <row r="3812">
          <cell r="A3812" t="str">
            <v>IN</v>
          </cell>
          <cell r="D3812">
            <v>43351</v>
          </cell>
        </row>
        <row r="3813">
          <cell r="A3813" t="str">
            <v>ASEAN</v>
          </cell>
          <cell r="D3813">
            <v>43215</v>
          </cell>
        </row>
        <row r="3814">
          <cell r="A3814" t="str">
            <v>ANZ</v>
          </cell>
          <cell r="D3814">
            <v>43326</v>
          </cell>
        </row>
        <row r="3815">
          <cell r="A3815" t="str">
            <v>IN</v>
          </cell>
          <cell r="D3815">
            <v>43301</v>
          </cell>
        </row>
        <row r="3816">
          <cell r="A3816" t="str">
            <v>ANZ</v>
          </cell>
          <cell r="D3816">
            <v>43196</v>
          </cell>
        </row>
        <row r="3817">
          <cell r="A3817" t="str">
            <v>ANZ</v>
          </cell>
          <cell r="D3817">
            <v>43358</v>
          </cell>
        </row>
        <row r="3818">
          <cell r="A3818" t="str">
            <v>ASEAN</v>
          </cell>
          <cell r="D3818">
            <v>43290</v>
          </cell>
        </row>
        <row r="3819">
          <cell r="A3819" t="str">
            <v>ASEAN</v>
          </cell>
          <cell r="D3819">
            <v>43345</v>
          </cell>
        </row>
        <row r="3820">
          <cell r="A3820" t="str">
            <v>IN</v>
          </cell>
          <cell r="D3820">
            <v>43332</v>
          </cell>
        </row>
        <row r="3821">
          <cell r="A3821" t="str">
            <v>ASEAN</v>
          </cell>
          <cell r="D3821">
            <v>43152</v>
          </cell>
        </row>
        <row r="3822">
          <cell r="A3822" t="str">
            <v>ASEAN</v>
          </cell>
          <cell r="D3822">
            <v>43391</v>
          </cell>
        </row>
        <row r="3823">
          <cell r="A3823" t="str">
            <v>ASEAN</v>
          </cell>
          <cell r="D3823">
            <v>43125</v>
          </cell>
        </row>
        <row r="3824">
          <cell r="A3824" t="str">
            <v>GC</v>
          </cell>
          <cell r="D3824">
            <v>43454</v>
          </cell>
        </row>
        <row r="3825">
          <cell r="A3825" t="str">
            <v>GC</v>
          </cell>
          <cell r="D3825">
            <v>43331</v>
          </cell>
        </row>
        <row r="3826">
          <cell r="A3826" t="str">
            <v>ASEAN</v>
          </cell>
          <cell r="D3826">
            <v>43444</v>
          </cell>
        </row>
        <row r="3827">
          <cell r="A3827" t="str">
            <v>ASEAN</v>
          </cell>
          <cell r="D3827">
            <v>43396</v>
          </cell>
        </row>
        <row r="3828">
          <cell r="A3828" t="str">
            <v>IN</v>
          </cell>
          <cell r="D3828">
            <v>43278</v>
          </cell>
        </row>
        <row r="3829">
          <cell r="A3829" t="str">
            <v>GC</v>
          </cell>
          <cell r="D3829">
            <v>43127</v>
          </cell>
        </row>
        <row r="3830">
          <cell r="A3830" t="str">
            <v>IN</v>
          </cell>
          <cell r="D3830">
            <v>43177</v>
          </cell>
        </row>
        <row r="3831">
          <cell r="A3831" t="str">
            <v>GC</v>
          </cell>
          <cell r="D3831">
            <v>43186</v>
          </cell>
        </row>
        <row r="3832">
          <cell r="A3832" t="str">
            <v>ASEAN</v>
          </cell>
          <cell r="D3832">
            <v>43306</v>
          </cell>
        </row>
        <row r="3833">
          <cell r="A3833" t="str">
            <v>GC</v>
          </cell>
          <cell r="D3833">
            <v>43282</v>
          </cell>
        </row>
        <row r="3834">
          <cell r="A3834" t="str">
            <v>ASEAN</v>
          </cell>
          <cell r="D3834">
            <v>43289</v>
          </cell>
        </row>
        <row r="3835">
          <cell r="A3835" t="str">
            <v>GC</v>
          </cell>
          <cell r="D3835">
            <v>43267</v>
          </cell>
        </row>
        <row r="3836">
          <cell r="A3836" t="str">
            <v>IN</v>
          </cell>
          <cell r="D3836">
            <v>43311</v>
          </cell>
        </row>
        <row r="3837">
          <cell r="A3837" t="str">
            <v>IN</v>
          </cell>
          <cell r="D3837">
            <v>43363</v>
          </cell>
        </row>
        <row r="3838">
          <cell r="A3838" t="str">
            <v>IN</v>
          </cell>
          <cell r="D3838">
            <v>43174</v>
          </cell>
        </row>
        <row r="3839">
          <cell r="A3839" t="str">
            <v>GC</v>
          </cell>
          <cell r="D3839">
            <v>43292</v>
          </cell>
        </row>
        <row r="3840">
          <cell r="A3840" t="str">
            <v>ANZ</v>
          </cell>
          <cell r="D3840">
            <v>43144</v>
          </cell>
        </row>
        <row r="3841">
          <cell r="A3841" t="str">
            <v>ANZ</v>
          </cell>
          <cell r="D3841">
            <v>43200</v>
          </cell>
        </row>
        <row r="3842">
          <cell r="A3842" t="str">
            <v>ANZ</v>
          </cell>
          <cell r="D3842">
            <v>43424</v>
          </cell>
        </row>
        <row r="3843">
          <cell r="A3843" t="str">
            <v>GC</v>
          </cell>
          <cell r="D3843">
            <v>43234</v>
          </cell>
        </row>
        <row r="3844">
          <cell r="A3844" t="str">
            <v>KR</v>
          </cell>
          <cell r="D3844">
            <v>43274</v>
          </cell>
        </row>
        <row r="3845">
          <cell r="A3845" t="str">
            <v>ASEAN</v>
          </cell>
          <cell r="D3845">
            <v>43108</v>
          </cell>
        </row>
        <row r="3846">
          <cell r="A3846" t="str">
            <v>ASEAN</v>
          </cell>
          <cell r="D3846">
            <v>43448</v>
          </cell>
        </row>
        <row r="3847">
          <cell r="A3847" t="str">
            <v>GC</v>
          </cell>
          <cell r="D3847">
            <v>43171</v>
          </cell>
        </row>
        <row r="3848">
          <cell r="A3848" t="str">
            <v>IN</v>
          </cell>
          <cell r="D3848">
            <v>43232</v>
          </cell>
        </row>
        <row r="3849">
          <cell r="A3849" t="str">
            <v>KR</v>
          </cell>
          <cell r="D3849">
            <v>43135</v>
          </cell>
        </row>
        <row r="3850">
          <cell r="A3850" t="str">
            <v>IN</v>
          </cell>
          <cell r="D3850">
            <v>43338</v>
          </cell>
        </row>
        <row r="3851">
          <cell r="A3851" t="str">
            <v>KR</v>
          </cell>
          <cell r="D3851">
            <v>43337</v>
          </cell>
        </row>
        <row r="3852">
          <cell r="A3852" t="str">
            <v>IN</v>
          </cell>
          <cell r="D3852">
            <v>43405</v>
          </cell>
        </row>
        <row r="3853">
          <cell r="A3853" t="str">
            <v>IN</v>
          </cell>
          <cell r="D3853">
            <v>43285</v>
          </cell>
        </row>
        <row r="3854">
          <cell r="A3854" t="str">
            <v>IN</v>
          </cell>
          <cell r="D3854">
            <v>43152</v>
          </cell>
        </row>
        <row r="3855">
          <cell r="A3855" t="str">
            <v>GC</v>
          </cell>
          <cell r="D3855">
            <v>43445</v>
          </cell>
        </row>
        <row r="3856">
          <cell r="A3856" t="str">
            <v>ASEAN</v>
          </cell>
          <cell r="D3856">
            <v>43184</v>
          </cell>
        </row>
        <row r="3857">
          <cell r="A3857" t="str">
            <v>ANZ</v>
          </cell>
          <cell r="D3857">
            <v>43389</v>
          </cell>
        </row>
        <row r="3858">
          <cell r="A3858" t="str">
            <v>ANZ</v>
          </cell>
          <cell r="D3858">
            <v>43246</v>
          </cell>
        </row>
        <row r="3859">
          <cell r="A3859" t="str">
            <v>ASEAN</v>
          </cell>
          <cell r="D3859">
            <v>43303</v>
          </cell>
        </row>
        <row r="3860">
          <cell r="A3860" t="str">
            <v>GC</v>
          </cell>
          <cell r="D3860">
            <v>43333</v>
          </cell>
        </row>
        <row r="3861">
          <cell r="A3861" t="str">
            <v>ANZ</v>
          </cell>
          <cell r="D3861">
            <v>43247</v>
          </cell>
        </row>
        <row r="3862">
          <cell r="A3862" t="str">
            <v>ANZ</v>
          </cell>
          <cell r="D3862">
            <v>43278</v>
          </cell>
        </row>
        <row r="3863">
          <cell r="A3863" t="str">
            <v>GC</v>
          </cell>
          <cell r="D3863">
            <v>43219</v>
          </cell>
        </row>
        <row r="3864">
          <cell r="A3864" t="str">
            <v>GC</v>
          </cell>
          <cell r="D3864">
            <v>43390</v>
          </cell>
        </row>
        <row r="3865">
          <cell r="A3865" t="str">
            <v>GC</v>
          </cell>
          <cell r="D3865">
            <v>43333</v>
          </cell>
        </row>
        <row r="3866">
          <cell r="A3866" t="str">
            <v>GC</v>
          </cell>
          <cell r="D3866">
            <v>43185</v>
          </cell>
        </row>
        <row r="3867">
          <cell r="A3867" t="str">
            <v>GC</v>
          </cell>
          <cell r="D3867">
            <v>43314</v>
          </cell>
        </row>
        <row r="3868">
          <cell r="A3868" t="str">
            <v>GC</v>
          </cell>
          <cell r="D3868">
            <v>43112</v>
          </cell>
        </row>
        <row r="3869">
          <cell r="A3869" t="str">
            <v>GC</v>
          </cell>
          <cell r="D3869">
            <v>43200</v>
          </cell>
        </row>
        <row r="3870">
          <cell r="A3870" t="str">
            <v>GC</v>
          </cell>
          <cell r="D3870">
            <v>43419</v>
          </cell>
        </row>
        <row r="3871">
          <cell r="A3871" t="str">
            <v>GC</v>
          </cell>
          <cell r="D3871">
            <v>43240</v>
          </cell>
        </row>
        <row r="3872">
          <cell r="A3872" t="str">
            <v>KR</v>
          </cell>
          <cell r="D3872">
            <v>43329</v>
          </cell>
        </row>
        <row r="3873">
          <cell r="A3873" t="str">
            <v>ANZ</v>
          </cell>
          <cell r="D3873">
            <v>43437</v>
          </cell>
        </row>
        <row r="3874">
          <cell r="A3874" t="str">
            <v>GC</v>
          </cell>
          <cell r="D3874">
            <v>43307</v>
          </cell>
        </row>
        <row r="3875">
          <cell r="A3875" t="str">
            <v>GC</v>
          </cell>
          <cell r="D3875">
            <v>43226</v>
          </cell>
        </row>
        <row r="3876">
          <cell r="A3876" t="str">
            <v>GC</v>
          </cell>
          <cell r="D3876">
            <v>43335</v>
          </cell>
        </row>
        <row r="3877">
          <cell r="A3877" t="str">
            <v>IN</v>
          </cell>
          <cell r="D3877">
            <v>43235</v>
          </cell>
        </row>
        <row r="3878">
          <cell r="A3878" t="str">
            <v>GC</v>
          </cell>
          <cell r="D3878">
            <v>43239</v>
          </cell>
        </row>
        <row r="3879">
          <cell r="A3879" t="str">
            <v>IN</v>
          </cell>
          <cell r="D3879">
            <v>43134</v>
          </cell>
        </row>
        <row r="3880">
          <cell r="A3880" t="str">
            <v>GC</v>
          </cell>
          <cell r="D3880">
            <v>43290</v>
          </cell>
        </row>
        <row r="3881">
          <cell r="A3881" t="str">
            <v>IN</v>
          </cell>
          <cell r="D3881">
            <v>43262</v>
          </cell>
        </row>
        <row r="3882">
          <cell r="A3882" t="str">
            <v>IN</v>
          </cell>
          <cell r="D3882">
            <v>43130</v>
          </cell>
        </row>
        <row r="3883">
          <cell r="A3883" t="str">
            <v>GC</v>
          </cell>
          <cell r="D3883">
            <v>43151</v>
          </cell>
        </row>
        <row r="3884">
          <cell r="A3884" t="str">
            <v>ASEAN</v>
          </cell>
          <cell r="D3884">
            <v>43186</v>
          </cell>
        </row>
        <row r="3885">
          <cell r="A3885" t="str">
            <v>GC</v>
          </cell>
          <cell r="D3885">
            <v>43165</v>
          </cell>
        </row>
        <row r="3886">
          <cell r="A3886" t="str">
            <v>ASEAN</v>
          </cell>
          <cell r="D3886">
            <v>43328</v>
          </cell>
        </row>
        <row r="3887">
          <cell r="A3887" t="str">
            <v>GC</v>
          </cell>
          <cell r="D3887">
            <v>43222</v>
          </cell>
        </row>
        <row r="3888">
          <cell r="A3888" t="str">
            <v>GC</v>
          </cell>
          <cell r="D3888">
            <v>43119</v>
          </cell>
        </row>
        <row r="3889">
          <cell r="A3889" t="str">
            <v>ASEAN</v>
          </cell>
          <cell r="D3889">
            <v>43255</v>
          </cell>
        </row>
        <row r="3890">
          <cell r="A3890" t="str">
            <v>IN</v>
          </cell>
          <cell r="D3890">
            <v>43156</v>
          </cell>
        </row>
        <row r="3891">
          <cell r="A3891" t="str">
            <v>IN</v>
          </cell>
          <cell r="D3891">
            <v>43110</v>
          </cell>
        </row>
        <row r="3892">
          <cell r="A3892" t="str">
            <v>ASEAN</v>
          </cell>
          <cell r="D3892">
            <v>43310</v>
          </cell>
        </row>
        <row r="3893">
          <cell r="A3893" t="str">
            <v>ASEAN</v>
          </cell>
          <cell r="D3893">
            <v>43290</v>
          </cell>
        </row>
        <row r="3894">
          <cell r="A3894" t="str">
            <v>GC</v>
          </cell>
          <cell r="D3894">
            <v>43303</v>
          </cell>
        </row>
        <row r="3895">
          <cell r="A3895" t="str">
            <v>ASEAN</v>
          </cell>
          <cell r="D3895">
            <v>43245</v>
          </cell>
        </row>
        <row r="3896">
          <cell r="A3896" t="str">
            <v>ASEAN</v>
          </cell>
          <cell r="D3896">
            <v>43347</v>
          </cell>
        </row>
        <row r="3897">
          <cell r="A3897" t="str">
            <v>ASEAN</v>
          </cell>
          <cell r="D3897">
            <v>43450</v>
          </cell>
        </row>
        <row r="3898">
          <cell r="A3898" t="str">
            <v>GC</v>
          </cell>
          <cell r="D3898">
            <v>43362</v>
          </cell>
        </row>
        <row r="3899">
          <cell r="A3899" t="str">
            <v>GC</v>
          </cell>
          <cell r="D3899">
            <v>43449</v>
          </cell>
        </row>
        <row r="3900">
          <cell r="A3900" t="str">
            <v>GC</v>
          </cell>
          <cell r="D3900">
            <v>43358</v>
          </cell>
        </row>
        <row r="3901">
          <cell r="A3901" t="str">
            <v>GC</v>
          </cell>
          <cell r="D3901">
            <v>43214</v>
          </cell>
        </row>
        <row r="3902">
          <cell r="A3902" t="str">
            <v>GC</v>
          </cell>
          <cell r="D3902">
            <v>43365</v>
          </cell>
        </row>
        <row r="3903">
          <cell r="A3903" t="str">
            <v>GC</v>
          </cell>
          <cell r="D3903">
            <v>43294</v>
          </cell>
        </row>
        <row r="3904">
          <cell r="A3904" t="str">
            <v>GC</v>
          </cell>
          <cell r="D3904">
            <v>43266</v>
          </cell>
        </row>
        <row r="3905">
          <cell r="A3905" t="str">
            <v>IN</v>
          </cell>
          <cell r="D3905">
            <v>43346</v>
          </cell>
        </row>
        <row r="3906">
          <cell r="A3906" t="str">
            <v>GC</v>
          </cell>
          <cell r="D3906">
            <v>43248</v>
          </cell>
        </row>
        <row r="3907">
          <cell r="A3907" t="str">
            <v>GC</v>
          </cell>
          <cell r="D3907">
            <v>43350</v>
          </cell>
        </row>
        <row r="3908">
          <cell r="A3908" t="str">
            <v>GC</v>
          </cell>
          <cell r="D3908">
            <v>43386</v>
          </cell>
        </row>
        <row r="3909">
          <cell r="A3909" t="str">
            <v>GC</v>
          </cell>
          <cell r="D3909">
            <v>43278</v>
          </cell>
        </row>
        <row r="3910">
          <cell r="A3910" t="str">
            <v>ASEAN</v>
          </cell>
          <cell r="D3910">
            <v>43356</v>
          </cell>
        </row>
        <row r="3911">
          <cell r="A3911" t="str">
            <v>GC</v>
          </cell>
          <cell r="D3911">
            <v>43431</v>
          </cell>
        </row>
        <row r="3912">
          <cell r="A3912" t="str">
            <v>GC</v>
          </cell>
          <cell r="D3912">
            <v>43245</v>
          </cell>
        </row>
        <row r="3913">
          <cell r="A3913" t="str">
            <v>GC</v>
          </cell>
          <cell r="D3913">
            <v>43145</v>
          </cell>
        </row>
        <row r="3914">
          <cell r="A3914" t="str">
            <v>ASEAN</v>
          </cell>
          <cell r="D3914">
            <v>43223</v>
          </cell>
        </row>
        <row r="3915">
          <cell r="A3915" t="str">
            <v>IN</v>
          </cell>
          <cell r="D3915">
            <v>43256</v>
          </cell>
        </row>
        <row r="3916">
          <cell r="A3916" t="str">
            <v>GC</v>
          </cell>
          <cell r="D3916">
            <v>43272</v>
          </cell>
        </row>
        <row r="3917">
          <cell r="A3917" t="str">
            <v>GC</v>
          </cell>
          <cell r="D3917">
            <v>43250</v>
          </cell>
        </row>
        <row r="3918">
          <cell r="A3918" t="str">
            <v>IN</v>
          </cell>
          <cell r="D3918">
            <v>43465</v>
          </cell>
        </row>
        <row r="3919">
          <cell r="A3919" t="str">
            <v>GC</v>
          </cell>
          <cell r="D3919">
            <v>43363</v>
          </cell>
        </row>
        <row r="3920">
          <cell r="A3920" t="str">
            <v>ANZ</v>
          </cell>
          <cell r="D3920">
            <v>43363</v>
          </cell>
        </row>
        <row r="3921">
          <cell r="A3921" t="str">
            <v>IN</v>
          </cell>
          <cell r="D3921">
            <v>43135</v>
          </cell>
        </row>
        <row r="3922">
          <cell r="A3922" t="str">
            <v>IN</v>
          </cell>
          <cell r="D3922">
            <v>43183</v>
          </cell>
        </row>
        <row r="3923">
          <cell r="A3923" t="str">
            <v>ANZ</v>
          </cell>
          <cell r="D3923">
            <v>43128</v>
          </cell>
        </row>
        <row r="3924">
          <cell r="A3924" t="str">
            <v>ASEAN</v>
          </cell>
          <cell r="D3924">
            <v>43152</v>
          </cell>
        </row>
        <row r="3925">
          <cell r="A3925" t="str">
            <v>ANZ</v>
          </cell>
          <cell r="D3925">
            <v>43450</v>
          </cell>
        </row>
        <row r="3926">
          <cell r="A3926" t="str">
            <v>IN</v>
          </cell>
          <cell r="D3926">
            <v>43154</v>
          </cell>
        </row>
        <row r="3927">
          <cell r="A3927" t="str">
            <v>GC</v>
          </cell>
          <cell r="D3927">
            <v>43354</v>
          </cell>
        </row>
        <row r="3928">
          <cell r="A3928" t="str">
            <v>IN</v>
          </cell>
          <cell r="D3928">
            <v>43289</v>
          </cell>
        </row>
        <row r="3929">
          <cell r="A3929" t="str">
            <v>IN</v>
          </cell>
          <cell r="D3929">
            <v>43269</v>
          </cell>
        </row>
        <row r="3930">
          <cell r="A3930" t="str">
            <v>ASEAN</v>
          </cell>
          <cell r="D3930">
            <v>43104</v>
          </cell>
        </row>
        <row r="3931">
          <cell r="A3931" t="str">
            <v>IN</v>
          </cell>
          <cell r="D3931">
            <v>43319</v>
          </cell>
        </row>
        <row r="3932">
          <cell r="A3932" t="str">
            <v>IN</v>
          </cell>
          <cell r="D3932">
            <v>43387</v>
          </cell>
        </row>
        <row r="3933">
          <cell r="A3933" t="str">
            <v>GC</v>
          </cell>
          <cell r="D3933">
            <v>43263</v>
          </cell>
        </row>
        <row r="3934">
          <cell r="A3934" t="str">
            <v>GC</v>
          </cell>
          <cell r="D3934">
            <v>43397</v>
          </cell>
        </row>
        <row r="3935">
          <cell r="A3935" t="str">
            <v>GC</v>
          </cell>
          <cell r="D3935">
            <v>43298</v>
          </cell>
        </row>
        <row r="3936">
          <cell r="A3936" t="str">
            <v>IN</v>
          </cell>
          <cell r="D3936">
            <v>43274</v>
          </cell>
        </row>
        <row r="3937">
          <cell r="A3937" t="str">
            <v>GC</v>
          </cell>
          <cell r="D3937">
            <v>43278</v>
          </cell>
        </row>
        <row r="3938">
          <cell r="A3938" t="str">
            <v>GC</v>
          </cell>
          <cell r="D3938">
            <v>43353</v>
          </cell>
        </row>
        <row r="3939">
          <cell r="A3939" t="str">
            <v>ANZ</v>
          </cell>
          <cell r="D3939">
            <v>43384</v>
          </cell>
        </row>
        <row r="3940">
          <cell r="A3940" t="str">
            <v>ANZ</v>
          </cell>
          <cell r="D3940">
            <v>43318</v>
          </cell>
        </row>
        <row r="3941">
          <cell r="A3941" t="str">
            <v>ANZ</v>
          </cell>
          <cell r="D3941">
            <v>43224</v>
          </cell>
        </row>
        <row r="3942">
          <cell r="A3942" t="str">
            <v>GC</v>
          </cell>
          <cell r="D3942">
            <v>43426</v>
          </cell>
        </row>
        <row r="3943">
          <cell r="A3943" t="str">
            <v>GC</v>
          </cell>
          <cell r="D3943">
            <v>43240</v>
          </cell>
        </row>
        <row r="3944">
          <cell r="A3944" t="str">
            <v>ASEAN</v>
          </cell>
          <cell r="D3944">
            <v>43446</v>
          </cell>
        </row>
        <row r="3945">
          <cell r="A3945" t="str">
            <v>ASEAN</v>
          </cell>
          <cell r="D3945">
            <v>43371</v>
          </cell>
        </row>
        <row r="3946">
          <cell r="A3946" t="str">
            <v>GC</v>
          </cell>
          <cell r="D3946">
            <v>43108</v>
          </cell>
        </row>
        <row r="3947">
          <cell r="A3947" t="str">
            <v>ASEAN</v>
          </cell>
          <cell r="D3947">
            <v>43445</v>
          </cell>
        </row>
        <row r="3948">
          <cell r="A3948" t="str">
            <v>ASEAN</v>
          </cell>
          <cell r="D3948">
            <v>43266</v>
          </cell>
        </row>
        <row r="3949">
          <cell r="A3949" t="str">
            <v>IN</v>
          </cell>
          <cell r="D3949">
            <v>43294</v>
          </cell>
        </row>
        <row r="3950">
          <cell r="A3950" t="str">
            <v>ANZ</v>
          </cell>
          <cell r="D3950">
            <v>43426</v>
          </cell>
        </row>
        <row r="3951">
          <cell r="A3951" t="str">
            <v>GC</v>
          </cell>
          <cell r="D3951">
            <v>43162</v>
          </cell>
        </row>
        <row r="3952">
          <cell r="A3952" t="str">
            <v>ANZ</v>
          </cell>
          <cell r="D3952">
            <v>43459</v>
          </cell>
        </row>
        <row r="3953">
          <cell r="A3953" t="str">
            <v>ASEAN</v>
          </cell>
          <cell r="D3953">
            <v>43255</v>
          </cell>
        </row>
        <row r="3954">
          <cell r="A3954" t="str">
            <v>IN</v>
          </cell>
          <cell r="D3954">
            <v>43178</v>
          </cell>
        </row>
        <row r="3955">
          <cell r="A3955" t="str">
            <v>ASEAN</v>
          </cell>
          <cell r="D3955">
            <v>43134</v>
          </cell>
        </row>
        <row r="3956">
          <cell r="A3956" t="str">
            <v>GC</v>
          </cell>
          <cell r="D3956">
            <v>43105</v>
          </cell>
        </row>
        <row r="3957">
          <cell r="A3957" t="str">
            <v>GC</v>
          </cell>
          <cell r="D3957">
            <v>43140</v>
          </cell>
        </row>
        <row r="3958">
          <cell r="A3958" t="str">
            <v>ANZ</v>
          </cell>
          <cell r="D3958">
            <v>43434</v>
          </cell>
        </row>
        <row r="3959">
          <cell r="A3959" t="str">
            <v>GC</v>
          </cell>
          <cell r="D3959">
            <v>43296</v>
          </cell>
        </row>
        <row r="3960">
          <cell r="A3960" t="str">
            <v>IN</v>
          </cell>
          <cell r="D3960">
            <v>43171</v>
          </cell>
        </row>
        <row r="3961">
          <cell r="A3961" t="str">
            <v>IN</v>
          </cell>
          <cell r="D3961">
            <v>43419</v>
          </cell>
        </row>
        <row r="3962">
          <cell r="A3962" t="str">
            <v>IN</v>
          </cell>
          <cell r="D3962">
            <v>43230</v>
          </cell>
        </row>
        <row r="3963">
          <cell r="A3963" t="str">
            <v>IN</v>
          </cell>
          <cell r="D3963">
            <v>43460</v>
          </cell>
        </row>
        <row r="3964">
          <cell r="A3964" t="str">
            <v>IN</v>
          </cell>
          <cell r="D3964">
            <v>43272</v>
          </cell>
        </row>
        <row r="3965">
          <cell r="A3965" t="str">
            <v>GC</v>
          </cell>
          <cell r="D3965">
            <v>43192</v>
          </cell>
        </row>
        <row r="3966">
          <cell r="A3966" t="str">
            <v>IN</v>
          </cell>
          <cell r="D3966">
            <v>43286</v>
          </cell>
        </row>
        <row r="3967">
          <cell r="A3967" t="str">
            <v>IN</v>
          </cell>
          <cell r="D3967">
            <v>43190</v>
          </cell>
        </row>
        <row r="3968">
          <cell r="A3968" t="str">
            <v>GC</v>
          </cell>
          <cell r="D3968">
            <v>43441</v>
          </cell>
        </row>
        <row r="3969">
          <cell r="A3969" t="str">
            <v>GC</v>
          </cell>
          <cell r="D3969">
            <v>43273</v>
          </cell>
        </row>
        <row r="3970">
          <cell r="A3970" t="str">
            <v>IN</v>
          </cell>
          <cell r="D3970">
            <v>43379</v>
          </cell>
        </row>
        <row r="3971">
          <cell r="A3971" t="str">
            <v>IN</v>
          </cell>
          <cell r="D3971">
            <v>43235</v>
          </cell>
        </row>
        <row r="3972">
          <cell r="A3972" t="str">
            <v>IN</v>
          </cell>
          <cell r="D3972">
            <v>43113</v>
          </cell>
        </row>
        <row r="3973">
          <cell r="A3973" t="str">
            <v>KR</v>
          </cell>
          <cell r="D3973">
            <v>43127</v>
          </cell>
        </row>
        <row r="3974">
          <cell r="A3974" t="str">
            <v>ASEAN</v>
          </cell>
          <cell r="D3974">
            <v>43443</v>
          </cell>
        </row>
        <row r="3975">
          <cell r="A3975" t="str">
            <v>KR</v>
          </cell>
          <cell r="D3975">
            <v>43141</v>
          </cell>
        </row>
        <row r="3976">
          <cell r="A3976" t="str">
            <v>GC</v>
          </cell>
          <cell r="D3976">
            <v>43407</v>
          </cell>
        </row>
        <row r="3977">
          <cell r="A3977" t="str">
            <v>GC</v>
          </cell>
          <cell r="D3977">
            <v>43261</v>
          </cell>
        </row>
        <row r="3978">
          <cell r="A3978" t="str">
            <v>KR</v>
          </cell>
          <cell r="D3978">
            <v>43158</v>
          </cell>
        </row>
        <row r="3979">
          <cell r="A3979" t="str">
            <v>IN</v>
          </cell>
          <cell r="D3979">
            <v>43275</v>
          </cell>
        </row>
        <row r="3980">
          <cell r="A3980" t="str">
            <v>GC</v>
          </cell>
          <cell r="D3980">
            <v>43149</v>
          </cell>
        </row>
        <row r="3981">
          <cell r="A3981" t="str">
            <v>IN</v>
          </cell>
          <cell r="D3981">
            <v>43150</v>
          </cell>
        </row>
        <row r="3982">
          <cell r="A3982" t="str">
            <v>GC</v>
          </cell>
          <cell r="D3982">
            <v>43328</v>
          </cell>
        </row>
        <row r="3983">
          <cell r="A3983" t="str">
            <v>IN</v>
          </cell>
          <cell r="D3983">
            <v>43181</v>
          </cell>
        </row>
        <row r="3984">
          <cell r="A3984" t="str">
            <v>GC</v>
          </cell>
          <cell r="D3984">
            <v>43294</v>
          </cell>
        </row>
        <row r="3985">
          <cell r="A3985" t="str">
            <v>ANZ</v>
          </cell>
          <cell r="D3985">
            <v>43405</v>
          </cell>
        </row>
        <row r="3986">
          <cell r="A3986" t="str">
            <v>ASEAN</v>
          </cell>
          <cell r="D3986">
            <v>43416</v>
          </cell>
        </row>
        <row r="3987">
          <cell r="A3987" t="str">
            <v>IN</v>
          </cell>
          <cell r="D3987">
            <v>43446</v>
          </cell>
        </row>
        <row r="3988">
          <cell r="A3988" t="str">
            <v>IN</v>
          </cell>
          <cell r="D3988">
            <v>43110</v>
          </cell>
        </row>
        <row r="3989">
          <cell r="A3989" t="str">
            <v>IN</v>
          </cell>
          <cell r="D3989">
            <v>43406</v>
          </cell>
        </row>
        <row r="3990">
          <cell r="A3990" t="str">
            <v>IN</v>
          </cell>
          <cell r="D3990">
            <v>43335</v>
          </cell>
        </row>
        <row r="3991">
          <cell r="A3991" t="str">
            <v>ANZ</v>
          </cell>
          <cell r="D3991">
            <v>43221</v>
          </cell>
        </row>
        <row r="3992">
          <cell r="A3992" t="str">
            <v>GC</v>
          </cell>
          <cell r="D3992">
            <v>43463</v>
          </cell>
        </row>
        <row r="3993">
          <cell r="A3993" t="str">
            <v>KR</v>
          </cell>
          <cell r="D3993">
            <v>43434</v>
          </cell>
        </row>
        <row r="3994">
          <cell r="A3994" t="str">
            <v>IN</v>
          </cell>
          <cell r="D3994">
            <v>43414</v>
          </cell>
        </row>
        <row r="3995">
          <cell r="A3995" t="str">
            <v>GC</v>
          </cell>
          <cell r="D3995">
            <v>43432</v>
          </cell>
        </row>
        <row r="3996">
          <cell r="A3996" t="str">
            <v>ASEAN</v>
          </cell>
          <cell r="D3996">
            <v>43149</v>
          </cell>
        </row>
        <row r="3997">
          <cell r="A3997" t="str">
            <v>KR</v>
          </cell>
          <cell r="D3997">
            <v>43342</v>
          </cell>
        </row>
        <row r="3998">
          <cell r="A3998" t="str">
            <v>IN</v>
          </cell>
          <cell r="D3998">
            <v>43176</v>
          </cell>
        </row>
        <row r="3999">
          <cell r="A3999" t="str">
            <v>IN</v>
          </cell>
          <cell r="D3999">
            <v>43403</v>
          </cell>
        </row>
        <row r="4000">
          <cell r="A4000" t="str">
            <v>ANZ</v>
          </cell>
          <cell r="D4000">
            <v>43191</v>
          </cell>
        </row>
        <row r="4001">
          <cell r="A4001" t="str">
            <v>GC</v>
          </cell>
          <cell r="D4001">
            <v>43408</v>
          </cell>
        </row>
        <row r="4002">
          <cell r="A4002" t="str">
            <v>ANZ</v>
          </cell>
          <cell r="D4002">
            <v>43217</v>
          </cell>
        </row>
        <row r="4003">
          <cell r="A4003" t="str">
            <v>ASEAN</v>
          </cell>
          <cell r="D4003">
            <v>43232</v>
          </cell>
        </row>
        <row r="4004">
          <cell r="A4004" t="str">
            <v>GC</v>
          </cell>
          <cell r="D4004">
            <v>43212</v>
          </cell>
        </row>
        <row r="4005">
          <cell r="A4005" t="str">
            <v>GC</v>
          </cell>
          <cell r="D4005">
            <v>43302</v>
          </cell>
        </row>
        <row r="4006">
          <cell r="A4006" t="str">
            <v>ANZ</v>
          </cell>
          <cell r="D4006">
            <v>43293</v>
          </cell>
        </row>
        <row r="4007">
          <cell r="A4007" t="str">
            <v>ANZ</v>
          </cell>
          <cell r="D4007">
            <v>43152</v>
          </cell>
        </row>
        <row r="4008">
          <cell r="A4008" t="str">
            <v>ANZ</v>
          </cell>
          <cell r="D4008">
            <v>43258</v>
          </cell>
        </row>
        <row r="4009">
          <cell r="A4009" t="str">
            <v>IN</v>
          </cell>
          <cell r="D4009">
            <v>43262</v>
          </cell>
        </row>
        <row r="4010">
          <cell r="A4010" t="str">
            <v>GC</v>
          </cell>
          <cell r="D4010">
            <v>43159</v>
          </cell>
        </row>
        <row r="4011">
          <cell r="A4011" t="str">
            <v>GC</v>
          </cell>
          <cell r="D4011">
            <v>43119</v>
          </cell>
        </row>
        <row r="4012">
          <cell r="A4012" t="str">
            <v>ASEAN</v>
          </cell>
          <cell r="D4012">
            <v>43107</v>
          </cell>
        </row>
        <row r="4013">
          <cell r="A4013" t="str">
            <v>IN</v>
          </cell>
          <cell r="D4013">
            <v>43384</v>
          </cell>
        </row>
        <row r="4014">
          <cell r="A4014" t="str">
            <v>IN</v>
          </cell>
          <cell r="D4014">
            <v>43241</v>
          </cell>
        </row>
        <row r="4015">
          <cell r="A4015" t="str">
            <v>IN</v>
          </cell>
          <cell r="D4015">
            <v>43445</v>
          </cell>
        </row>
        <row r="4016">
          <cell r="A4016" t="str">
            <v>ANZ</v>
          </cell>
          <cell r="D4016">
            <v>43110</v>
          </cell>
        </row>
        <row r="4017">
          <cell r="A4017" t="str">
            <v>ANZ</v>
          </cell>
          <cell r="D4017">
            <v>43369</v>
          </cell>
        </row>
        <row r="4018">
          <cell r="A4018" t="str">
            <v>ANZ</v>
          </cell>
          <cell r="D4018">
            <v>43444</v>
          </cell>
        </row>
        <row r="4019">
          <cell r="A4019" t="str">
            <v>KR</v>
          </cell>
          <cell r="D4019">
            <v>43135</v>
          </cell>
        </row>
        <row r="4020">
          <cell r="A4020" t="str">
            <v>IN</v>
          </cell>
          <cell r="D4020">
            <v>43403</v>
          </cell>
        </row>
        <row r="4021">
          <cell r="A4021" t="str">
            <v>KR</v>
          </cell>
          <cell r="D4021">
            <v>43155</v>
          </cell>
        </row>
        <row r="4022">
          <cell r="A4022" t="str">
            <v>KR</v>
          </cell>
          <cell r="D4022">
            <v>43215</v>
          </cell>
        </row>
        <row r="4023">
          <cell r="A4023" t="str">
            <v>IN</v>
          </cell>
          <cell r="D4023">
            <v>43259</v>
          </cell>
        </row>
        <row r="4024">
          <cell r="A4024" t="str">
            <v>ASEAN</v>
          </cell>
          <cell r="D4024">
            <v>43357</v>
          </cell>
        </row>
        <row r="4025">
          <cell r="A4025" t="str">
            <v>GC</v>
          </cell>
          <cell r="D4025">
            <v>43303</v>
          </cell>
        </row>
        <row r="4026">
          <cell r="A4026" t="str">
            <v>GC</v>
          </cell>
          <cell r="D4026">
            <v>43350</v>
          </cell>
        </row>
        <row r="4027">
          <cell r="A4027" t="str">
            <v>GC</v>
          </cell>
          <cell r="D4027">
            <v>43210</v>
          </cell>
        </row>
        <row r="4028">
          <cell r="A4028" t="str">
            <v>IN</v>
          </cell>
          <cell r="D4028">
            <v>43355</v>
          </cell>
        </row>
        <row r="4029">
          <cell r="A4029" t="str">
            <v>ASEAN</v>
          </cell>
          <cell r="D4029">
            <v>43165</v>
          </cell>
        </row>
        <row r="4030">
          <cell r="A4030" t="str">
            <v>IN</v>
          </cell>
          <cell r="D4030">
            <v>43187</v>
          </cell>
        </row>
        <row r="4031">
          <cell r="A4031" t="str">
            <v>GC</v>
          </cell>
          <cell r="D4031">
            <v>43369</v>
          </cell>
        </row>
        <row r="4032">
          <cell r="A4032" t="str">
            <v>GC</v>
          </cell>
          <cell r="D4032">
            <v>43186</v>
          </cell>
        </row>
        <row r="4033">
          <cell r="A4033" t="str">
            <v>ASEAN</v>
          </cell>
          <cell r="D4033">
            <v>43182</v>
          </cell>
        </row>
        <row r="4034">
          <cell r="A4034" t="str">
            <v>ASEAN</v>
          </cell>
          <cell r="D4034">
            <v>43211</v>
          </cell>
        </row>
        <row r="4035">
          <cell r="A4035" t="str">
            <v>GC</v>
          </cell>
          <cell r="D4035">
            <v>43449</v>
          </cell>
        </row>
        <row r="4036">
          <cell r="A4036" t="str">
            <v>GC</v>
          </cell>
          <cell r="D4036">
            <v>43101</v>
          </cell>
        </row>
        <row r="4037">
          <cell r="A4037" t="str">
            <v>KR</v>
          </cell>
          <cell r="D4037">
            <v>43137</v>
          </cell>
        </row>
        <row r="4038">
          <cell r="A4038" t="str">
            <v>IN</v>
          </cell>
          <cell r="D4038">
            <v>43419</v>
          </cell>
        </row>
        <row r="4039">
          <cell r="A4039" t="str">
            <v>ANZ</v>
          </cell>
          <cell r="D4039">
            <v>43318</v>
          </cell>
        </row>
        <row r="4040">
          <cell r="A4040" t="str">
            <v>ANZ</v>
          </cell>
          <cell r="D4040">
            <v>43192</v>
          </cell>
        </row>
        <row r="4041">
          <cell r="A4041" t="str">
            <v>ANZ</v>
          </cell>
          <cell r="D4041">
            <v>43375</v>
          </cell>
        </row>
        <row r="4042">
          <cell r="A4042" t="str">
            <v>ANZ</v>
          </cell>
          <cell r="D4042">
            <v>43226</v>
          </cell>
        </row>
        <row r="4043">
          <cell r="A4043" t="str">
            <v>ANZ</v>
          </cell>
          <cell r="D4043">
            <v>43460</v>
          </cell>
        </row>
        <row r="4044">
          <cell r="A4044" t="str">
            <v>GC</v>
          </cell>
          <cell r="D4044">
            <v>43208</v>
          </cell>
        </row>
        <row r="4045">
          <cell r="A4045" t="str">
            <v>GC</v>
          </cell>
          <cell r="D4045">
            <v>43377</v>
          </cell>
        </row>
        <row r="4046">
          <cell r="A4046" t="str">
            <v>KR</v>
          </cell>
          <cell r="D4046">
            <v>43146</v>
          </cell>
        </row>
        <row r="4047">
          <cell r="A4047" t="str">
            <v>IN</v>
          </cell>
          <cell r="D4047">
            <v>43354</v>
          </cell>
        </row>
        <row r="4048">
          <cell r="A4048" t="str">
            <v>GC</v>
          </cell>
          <cell r="D4048">
            <v>43284</v>
          </cell>
        </row>
        <row r="4049">
          <cell r="A4049" t="str">
            <v>KR</v>
          </cell>
          <cell r="D4049">
            <v>43449</v>
          </cell>
        </row>
        <row r="4050">
          <cell r="A4050" t="str">
            <v>IN</v>
          </cell>
          <cell r="D4050">
            <v>43268</v>
          </cell>
        </row>
        <row r="4051">
          <cell r="A4051" t="str">
            <v>ANZ</v>
          </cell>
          <cell r="D4051">
            <v>43254</v>
          </cell>
        </row>
        <row r="4052">
          <cell r="A4052" t="str">
            <v>IN</v>
          </cell>
          <cell r="D4052">
            <v>43152</v>
          </cell>
        </row>
        <row r="4053">
          <cell r="A4053" t="str">
            <v>IN</v>
          </cell>
          <cell r="D4053">
            <v>43244</v>
          </cell>
        </row>
        <row r="4054">
          <cell r="A4054" t="str">
            <v>ASEAN</v>
          </cell>
          <cell r="D4054">
            <v>43182</v>
          </cell>
        </row>
        <row r="4055">
          <cell r="A4055" t="str">
            <v>GC</v>
          </cell>
          <cell r="D4055">
            <v>43399</v>
          </cell>
        </row>
        <row r="4056">
          <cell r="A4056" t="str">
            <v>GC</v>
          </cell>
          <cell r="D4056">
            <v>43268</v>
          </cell>
        </row>
        <row r="4057">
          <cell r="A4057" t="str">
            <v>GC</v>
          </cell>
          <cell r="D4057">
            <v>43298</v>
          </cell>
        </row>
        <row r="4058">
          <cell r="A4058" t="str">
            <v>GC</v>
          </cell>
          <cell r="D4058">
            <v>43350</v>
          </cell>
        </row>
        <row r="4059">
          <cell r="A4059" t="str">
            <v>IN</v>
          </cell>
          <cell r="D4059">
            <v>43154</v>
          </cell>
        </row>
        <row r="4060">
          <cell r="A4060" t="str">
            <v>GC</v>
          </cell>
          <cell r="D4060">
            <v>43418</v>
          </cell>
        </row>
        <row r="4061">
          <cell r="A4061" t="str">
            <v>KR</v>
          </cell>
          <cell r="D4061">
            <v>43175</v>
          </cell>
        </row>
        <row r="4062">
          <cell r="A4062" t="str">
            <v>GC</v>
          </cell>
          <cell r="D4062">
            <v>43233</v>
          </cell>
        </row>
        <row r="4063">
          <cell r="A4063" t="str">
            <v>ASEAN</v>
          </cell>
          <cell r="D4063">
            <v>43119</v>
          </cell>
        </row>
        <row r="4064">
          <cell r="A4064" t="str">
            <v>GC</v>
          </cell>
          <cell r="D4064">
            <v>43124</v>
          </cell>
        </row>
        <row r="4065">
          <cell r="A4065" t="str">
            <v>KR</v>
          </cell>
          <cell r="D4065">
            <v>43457</v>
          </cell>
        </row>
        <row r="4066">
          <cell r="A4066" t="str">
            <v>ANZ</v>
          </cell>
          <cell r="D4066">
            <v>43117</v>
          </cell>
        </row>
        <row r="4067">
          <cell r="A4067" t="str">
            <v>GC</v>
          </cell>
          <cell r="D4067">
            <v>43311</v>
          </cell>
        </row>
        <row r="4068">
          <cell r="A4068" t="str">
            <v>GC</v>
          </cell>
          <cell r="D4068">
            <v>43449</v>
          </cell>
        </row>
        <row r="4069">
          <cell r="A4069" t="str">
            <v>ANZ</v>
          </cell>
          <cell r="D4069">
            <v>43174</v>
          </cell>
        </row>
        <row r="4070">
          <cell r="A4070" t="str">
            <v>KR</v>
          </cell>
          <cell r="D4070">
            <v>43292</v>
          </cell>
        </row>
        <row r="4071">
          <cell r="A4071" t="str">
            <v>GC</v>
          </cell>
          <cell r="D4071">
            <v>43449</v>
          </cell>
        </row>
        <row r="4072">
          <cell r="A4072" t="str">
            <v>KR</v>
          </cell>
          <cell r="D4072">
            <v>43151</v>
          </cell>
        </row>
        <row r="4073">
          <cell r="A4073" t="str">
            <v>GC</v>
          </cell>
          <cell r="D4073">
            <v>43294</v>
          </cell>
        </row>
        <row r="4074">
          <cell r="A4074" t="str">
            <v>IN</v>
          </cell>
          <cell r="D4074">
            <v>43411</v>
          </cell>
        </row>
        <row r="4075">
          <cell r="A4075" t="str">
            <v>IN</v>
          </cell>
          <cell r="D4075">
            <v>43429</v>
          </cell>
        </row>
        <row r="4076">
          <cell r="A4076" t="str">
            <v>IN</v>
          </cell>
          <cell r="D4076">
            <v>43344</v>
          </cell>
        </row>
        <row r="4077">
          <cell r="A4077" t="str">
            <v>IN</v>
          </cell>
          <cell r="D4077">
            <v>43104</v>
          </cell>
        </row>
        <row r="4078">
          <cell r="A4078" t="str">
            <v>IN</v>
          </cell>
          <cell r="D4078">
            <v>43411</v>
          </cell>
        </row>
        <row r="4079">
          <cell r="A4079" t="str">
            <v>ANZ</v>
          </cell>
          <cell r="D4079">
            <v>43380</v>
          </cell>
        </row>
        <row r="4080">
          <cell r="A4080" t="str">
            <v>ASEAN</v>
          </cell>
          <cell r="D4080">
            <v>43246</v>
          </cell>
        </row>
        <row r="4081">
          <cell r="A4081" t="str">
            <v>ANZ</v>
          </cell>
          <cell r="D4081">
            <v>43232</v>
          </cell>
        </row>
        <row r="4082">
          <cell r="A4082" t="str">
            <v>ANZ</v>
          </cell>
          <cell r="D4082">
            <v>43130</v>
          </cell>
        </row>
        <row r="4083">
          <cell r="A4083" t="str">
            <v>IN</v>
          </cell>
          <cell r="D4083">
            <v>43366</v>
          </cell>
        </row>
        <row r="4084">
          <cell r="A4084" t="str">
            <v>KR</v>
          </cell>
          <cell r="D4084">
            <v>43442</v>
          </cell>
        </row>
        <row r="4085">
          <cell r="A4085" t="str">
            <v>KR</v>
          </cell>
          <cell r="D4085">
            <v>43331</v>
          </cell>
        </row>
        <row r="4086">
          <cell r="A4086" t="str">
            <v>IN</v>
          </cell>
          <cell r="D4086">
            <v>43431</v>
          </cell>
        </row>
        <row r="4087">
          <cell r="A4087" t="str">
            <v>IN</v>
          </cell>
          <cell r="D4087">
            <v>43275</v>
          </cell>
        </row>
        <row r="4088">
          <cell r="A4088" t="str">
            <v>ANZ</v>
          </cell>
          <cell r="D4088">
            <v>43236</v>
          </cell>
        </row>
        <row r="4089">
          <cell r="A4089" t="str">
            <v>ANZ</v>
          </cell>
          <cell r="D4089">
            <v>43343</v>
          </cell>
        </row>
        <row r="4090">
          <cell r="A4090" t="str">
            <v>ANZ</v>
          </cell>
          <cell r="D4090">
            <v>43325</v>
          </cell>
        </row>
        <row r="4091">
          <cell r="A4091" t="str">
            <v>ANZ</v>
          </cell>
          <cell r="D4091">
            <v>43338</v>
          </cell>
        </row>
        <row r="4092">
          <cell r="A4092" t="str">
            <v>ANZ</v>
          </cell>
          <cell r="D4092">
            <v>43130</v>
          </cell>
        </row>
        <row r="4093">
          <cell r="A4093" t="str">
            <v>ANZ</v>
          </cell>
          <cell r="D4093">
            <v>43221</v>
          </cell>
        </row>
        <row r="4094">
          <cell r="A4094" t="str">
            <v>ANZ</v>
          </cell>
          <cell r="D4094">
            <v>43301</v>
          </cell>
        </row>
        <row r="4095">
          <cell r="A4095" t="str">
            <v>ANZ</v>
          </cell>
          <cell r="D4095">
            <v>43210</v>
          </cell>
        </row>
        <row r="4096">
          <cell r="A4096" t="str">
            <v>ANZ</v>
          </cell>
          <cell r="D4096">
            <v>43166</v>
          </cell>
        </row>
        <row r="4097">
          <cell r="A4097" t="str">
            <v>ANZ</v>
          </cell>
          <cell r="D4097">
            <v>43199</v>
          </cell>
        </row>
        <row r="4098">
          <cell r="A4098" t="str">
            <v>ANZ</v>
          </cell>
          <cell r="D4098">
            <v>43165</v>
          </cell>
        </row>
        <row r="4099">
          <cell r="A4099" t="str">
            <v>GC</v>
          </cell>
          <cell r="D4099">
            <v>43170</v>
          </cell>
        </row>
        <row r="4100">
          <cell r="A4100" t="str">
            <v>ANZ</v>
          </cell>
          <cell r="D4100">
            <v>43327</v>
          </cell>
        </row>
        <row r="4101">
          <cell r="A4101" t="str">
            <v>ANZ</v>
          </cell>
          <cell r="D4101">
            <v>43309</v>
          </cell>
        </row>
        <row r="4102">
          <cell r="A4102" t="str">
            <v>ANZ</v>
          </cell>
          <cell r="D4102">
            <v>43349</v>
          </cell>
        </row>
        <row r="4103">
          <cell r="A4103" t="str">
            <v>ANZ</v>
          </cell>
          <cell r="D4103">
            <v>43165</v>
          </cell>
        </row>
        <row r="4104">
          <cell r="A4104" t="str">
            <v>ANZ</v>
          </cell>
          <cell r="D4104">
            <v>43202</v>
          </cell>
        </row>
        <row r="4105">
          <cell r="A4105" t="str">
            <v>IN</v>
          </cell>
          <cell r="D4105">
            <v>43196</v>
          </cell>
        </row>
        <row r="4106">
          <cell r="A4106" t="str">
            <v>KR</v>
          </cell>
          <cell r="D4106">
            <v>43213</v>
          </cell>
        </row>
        <row r="4107">
          <cell r="A4107" t="str">
            <v>ASEAN</v>
          </cell>
          <cell r="D4107">
            <v>43364</v>
          </cell>
        </row>
        <row r="4108">
          <cell r="A4108" t="str">
            <v>ASEAN</v>
          </cell>
          <cell r="D4108">
            <v>43207</v>
          </cell>
        </row>
        <row r="4109">
          <cell r="A4109" t="str">
            <v>ANZ</v>
          </cell>
          <cell r="D4109">
            <v>43165</v>
          </cell>
        </row>
        <row r="4110">
          <cell r="A4110" t="str">
            <v>ANZ</v>
          </cell>
          <cell r="D4110">
            <v>43341</v>
          </cell>
        </row>
        <row r="4111">
          <cell r="A4111" t="str">
            <v>GC</v>
          </cell>
          <cell r="D4111">
            <v>43465</v>
          </cell>
        </row>
        <row r="4112">
          <cell r="A4112" t="str">
            <v>GC</v>
          </cell>
          <cell r="D4112">
            <v>43325</v>
          </cell>
        </row>
        <row r="4113">
          <cell r="A4113" t="str">
            <v>GC</v>
          </cell>
          <cell r="D4113">
            <v>43297</v>
          </cell>
        </row>
        <row r="4114">
          <cell r="A4114" t="str">
            <v>ASEAN</v>
          </cell>
          <cell r="D4114">
            <v>43363</v>
          </cell>
        </row>
        <row r="4115">
          <cell r="A4115" t="str">
            <v>KR</v>
          </cell>
          <cell r="D4115">
            <v>43340</v>
          </cell>
        </row>
        <row r="4116">
          <cell r="A4116" t="str">
            <v>KR</v>
          </cell>
          <cell r="D4116">
            <v>43228</v>
          </cell>
        </row>
        <row r="4117">
          <cell r="A4117" t="str">
            <v>KR</v>
          </cell>
          <cell r="D4117">
            <v>43393</v>
          </cell>
        </row>
        <row r="4118">
          <cell r="A4118" t="str">
            <v>GC</v>
          </cell>
          <cell r="D4118">
            <v>43106</v>
          </cell>
        </row>
        <row r="4119">
          <cell r="A4119" t="str">
            <v>ASEAN</v>
          </cell>
          <cell r="D4119">
            <v>43232</v>
          </cell>
        </row>
        <row r="4120">
          <cell r="A4120" t="str">
            <v>KR</v>
          </cell>
          <cell r="D4120">
            <v>43357</v>
          </cell>
        </row>
        <row r="4121">
          <cell r="A4121" t="str">
            <v>GC</v>
          </cell>
          <cell r="D4121">
            <v>43247</v>
          </cell>
        </row>
        <row r="4122">
          <cell r="A4122" t="str">
            <v>GC</v>
          </cell>
          <cell r="D4122">
            <v>43395</v>
          </cell>
        </row>
        <row r="4123">
          <cell r="A4123" t="str">
            <v>GC</v>
          </cell>
          <cell r="D4123">
            <v>43332</v>
          </cell>
        </row>
        <row r="4124">
          <cell r="A4124" t="str">
            <v>GC</v>
          </cell>
          <cell r="D4124">
            <v>43318</v>
          </cell>
        </row>
        <row r="4125">
          <cell r="A4125" t="str">
            <v>ASEAN</v>
          </cell>
          <cell r="D4125">
            <v>43281</v>
          </cell>
        </row>
        <row r="4126">
          <cell r="A4126" t="str">
            <v>ASEAN</v>
          </cell>
          <cell r="D4126">
            <v>43290</v>
          </cell>
        </row>
        <row r="4127">
          <cell r="A4127" t="str">
            <v>GC</v>
          </cell>
          <cell r="D4127">
            <v>43176</v>
          </cell>
        </row>
        <row r="4128">
          <cell r="A4128" t="str">
            <v>IN</v>
          </cell>
          <cell r="D4128">
            <v>43221</v>
          </cell>
        </row>
        <row r="4129">
          <cell r="A4129" t="str">
            <v>ASEAN</v>
          </cell>
          <cell r="D4129">
            <v>43286</v>
          </cell>
        </row>
        <row r="4130">
          <cell r="A4130" t="str">
            <v>ANZ</v>
          </cell>
          <cell r="D4130">
            <v>43423</v>
          </cell>
        </row>
        <row r="4131">
          <cell r="A4131" t="str">
            <v>GC</v>
          </cell>
          <cell r="D4131">
            <v>43122</v>
          </cell>
        </row>
        <row r="4132">
          <cell r="A4132" t="str">
            <v>GC</v>
          </cell>
          <cell r="D4132">
            <v>43272</v>
          </cell>
        </row>
        <row r="4133">
          <cell r="A4133" t="str">
            <v>GC</v>
          </cell>
          <cell r="D4133">
            <v>43345</v>
          </cell>
        </row>
        <row r="4134">
          <cell r="A4134" t="str">
            <v>IN</v>
          </cell>
          <cell r="D4134">
            <v>43335</v>
          </cell>
        </row>
        <row r="4135">
          <cell r="A4135" t="str">
            <v>GC</v>
          </cell>
          <cell r="D4135">
            <v>43408</v>
          </cell>
        </row>
        <row r="4136">
          <cell r="A4136" t="str">
            <v>GC</v>
          </cell>
          <cell r="D4136">
            <v>43136</v>
          </cell>
        </row>
        <row r="4137">
          <cell r="A4137" t="str">
            <v>KR</v>
          </cell>
          <cell r="D4137">
            <v>43141</v>
          </cell>
        </row>
        <row r="4138">
          <cell r="A4138" t="str">
            <v>GC</v>
          </cell>
          <cell r="D4138">
            <v>43204</v>
          </cell>
        </row>
        <row r="4139">
          <cell r="A4139" t="str">
            <v>GC</v>
          </cell>
          <cell r="D4139">
            <v>43269</v>
          </cell>
        </row>
        <row r="4140">
          <cell r="A4140" t="str">
            <v>IN</v>
          </cell>
          <cell r="D4140">
            <v>43281</v>
          </cell>
        </row>
        <row r="4141">
          <cell r="A4141" t="str">
            <v>IN</v>
          </cell>
          <cell r="D4141">
            <v>43266</v>
          </cell>
        </row>
        <row r="4142">
          <cell r="A4142" t="str">
            <v>IN</v>
          </cell>
          <cell r="D4142">
            <v>43339</v>
          </cell>
        </row>
        <row r="4143">
          <cell r="A4143" t="str">
            <v>ASEAN</v>
          </cell>
          <cell r="D4143">
            <v>43217</v>
          </cell>
        </row>
        <row r="4144">
          <cell r="A4144" t="str">
            <v>IN</v>
          </cell>
          <cell r="D4144">
            <v>43220</v>
          </cell>
        </row>
        <row r="4145">
          <cell r="A4145" t="str">
            <v>IN</v>
          </cell>
          <cell r="D4145">
            <v>43358</v>
          </cell>
        </row>
        <row r="4146">
          <cell r="A4146" t="str">
            <v>IN</v>
          </cell>
          <cell r="D4146">
            <v>43191</v>
          </cell>
        </row>
        <row r="4147">
          <cell r="A4147" t="str">
            <v>IN</v>
          </cell>
          <cell r="D4147">
            <v>43335</v>
          </cell>
        </row>
        <row r="4148">
          <cell r="A4148" t="str">
            <v>IN</v>
          </cell>
          <cell r="D4148">
            <v>43465</v>
          </cell>
        </row>
        <row r="4149">
          <cell r="A4149" t="str">
            <v>IN</v>
          </cell>
          <cell r="D4149">
            <v>43265</v>
          </cell>
        </row>
        <row r="4150">
          <cell r="A4150" t="str">
            <v>IN</v>
          </cell>
          <cell r="D4150">
            <v>43210</v>
          </cell>
        </row>
        <row r="4151">
          <cell r="A4151" t="str">
            <v>IN</v>
          </cell>
          <cell r="D4151">
            <v>43384</v>
          </cell>
        </row>
        <row r="4152">
          <cell r="A4152" t="str">
            <v>GC</v>
          </cell>
          <cell r="D4152">
            <v>43323</v>
          </cell>
        </row>
        <row r="4153">
          <cell r="A4153" t="str">
            <v>GC</v>
          </cell>
          <cell r="D4153">
            <v>43416</v>
          </cell>
        </row>
        <row r="4154">
          <cell r="A4154" t="str">
            <v>IN</v>
          </cell>
          <cell r="D4154">
            <v>43231</v>
          </cell>
        </row>
        <row r="4155">
          <cell r="A4155" t="str">
            <v>GC</v>
          </cell>
          <cell r="D4155">
            <v>43360</v>
          </cell>
        </row>
        <row r="4156">
          <cell r="A4156" t="str">
            <v>ASEAN</v>
          </cell>
          <cell r="D4156">
            <v>43340</v>
          </cell>
        </row>
        <row r="4157">
          <cell r="A4157" t="str">
            <v>IN</v>
          </cell>
          <cell r="D4157">
            <v>43122</v>
          </cell>
        </row>
        <row r="4158">
          <cell r="A4158" t="str">
            <v>IN</v>
          </cell>
          <cell r="D4158">
            <v>43329</v>
          </cell>
        </row>
        <row r="4159">
          <cell r="A4159" t="str">
            <v>GC</v>
          </cell>
          <cell r="D4159">
            <v>43434</v>
          </cell>
        </row>
        <row r="4160">
          <cell r="A4160" t="str">
            <v>IN</v>
          </cell>
          <cell r="D4160">
            <v>43148</v>
          </cell>
        </row>
        <row r="4161">
          <cell r="A4161" t="str">
            <v>ASEAN</v>
          </cell>
          <cell r="D4161">
            <v>43141</v>
          </cell>
        </row>
        <row r="4162">
          <cell r="A4162" t="str">
            <v>ASEAN</v>
          </cell>
          <cell r="D4162">
            <v>43201</v>
          </cell>
        </row>
        <row r="4163">
          <cell r="A4163" t="str">
            <v>ASEAN</v>
          </cell>
          <cell r="D4163">
            <v>43119</v>
          </cell>
        </row>
        <row r="4164">
          <cell r="A4164" t="str">
            <v>GC</v>
          </cell>
          <cell r="D4164">
            <v>43232</v>
          </cell>
        </row>
        <row r="4165">
          <cell r="A4165" t="str">
            <v>GC</v>
          </cell>
          <cell r="D4165">
            <v>43261</v>
          </cell>
        </row>
        <row r="4166">
          <cell r="A4166" t="str">
            <v>GC</v>
          </cell>
          <cell r="D4166">
            <v>43365</v>
          </cell>
        </row>
        <row r="4167">
          <cell r="A4167" t="str">
            <v>GC</v>
          </cell>
          <cell r="D4167">
            <v>43106</v>
          </cell>
        </row>
        <row r="4168">
          <cell r="A4168" t="str">
            <v>ANZ</v>
          </cell>
          <cell r="D4168">
            <v>43302</v>
          </cell>
        </row>
        <row r="4169">
          <cell r="A4169" t="str">
            <v>IN</v>
          </cell>
          <cell r="D4169">
            <v>43312</v>
          </cell>
        </row>
        <row r="4170">
          <cell r="A4170" t="str">
            <v>IN</v>
          </cell>
          <cell r="D4170">
            <v>43149</v>
          </cell>
        </row>
        <row r="4171">
          <cell r="A4171" t="str">
            <v>GC</v>
          </cell>
          <cell r="D4171">
            <v>43117</v>
          </cell>
        </row>
        <row r="4172">
          <cell r="A4172" t="str">
            <v>KR</v>
          </cell>
          <cell r="D4172">
            <v>43220</v>
          </cell>
        </row>
        <row r="4173">
          <cell r="A4173" t="str">
            <v>KR</v>
          </cell>
          <cell r="D4173">
            <v>43151</v>
          </cell>
        </row>
        <row r="4174">
          <cell r="A4174" t="str">
            <v>KR</v>
          </cell>
          <cell r="D4174">
            <v>43216</v>
          </cell>
        </row>
        <row r="4175">
          <cell r="A4175" t="str">
            <v>KR</v>
          </cell>
          <cell r="D4175">
            <v>43426</v>
          </cell>
        </row>
        <row r="4176">
          <cell r="A4176" t="str">
            <v>GC</v>
          </cell>
          <cell r="D4176">
            <v>43310</v>
          </cell>
        </row>
        <row r="4177">
          <cell r="A4177" t="str">
            <v>KR</v>
          </cell>
          <cell r="D4177">
            <v>43465</v>
          </cell>
        </row>
        <row r="4178">
          <cell r="A4178" t="str">
            <v>KR</v>
          </cell>
          <cell r="D4178">
            <v>43143</v>
          </cell>
        </row>
        <row r="4179">
          <cell r="A4179" t="str">
            <v>KR</v>
          </cell>
          <cell r="D4179">
            <v>43188</v>
          </cell>
        </row>
        <row r="4180">
          <cell r="A4180" t="str">
            <v>ANZ</v>
          </cell>
          <cell r="D4180">
            <v>43167</v>
          </cell>
        </row>
        <row r="4181">
          <cell r="A4181" t="str">
            <v>ANZ</v>
          </cell>
          <cell r="D4181">
            <v>43357</v>
          </cell>
        </row>
        <row r="4182">
          <cell r="A4182" t="str">
            <v>ANZ</v>
          </cell>
          <cell r="D4182">
            <v>43408</v>
          </cell>
        </row>
        <row r="4183">
          <cell r="A4183" t="str">
            <v>GC</v>
          </cell>
          <cell r="D4183">
            <v>43417</v>
          </cell>
        </row>
        <row r="4184">
          <cell r="A4184" t="str">
            <v>IN</v>
          </cell>
          <cell r="D4184">
            <v>43249</v>
          </cell>
        </row>
        <row r="4185">
          <cell r="A4185" t="str">
            <v>IN</v>
          </cell>
          <cell r="D4185">
            <v>43141</v>
          </cell>
        </row>
        <row r="4186">
          <cell r="A4186" t="str">
            <v>IN</v>
          </cell>
          <cell r="D4186">
            <v>43458</v>
          </cell>
        </row>
        <row r="4187">
          <cell r="A4187" t="str">
            <v>IN</v>
          </cell>
          <cell r="D4187">
            <v>43411</v>
          </cell>
        </row>
        <row r="4188">
          <cell r="A4188" t="str">
            <v>IN</v>
          </cell>
          <cell r="D4188">
            <v>43117</v>
          </cell>
        </row>
        <row r="4189">
          <cell r="A4189" t="str">
            <v>GC</v>
          </cell>
          <cell r="D4189">
            <v>43129</v>
          </cell>
        </row>
        <row r="4190">
          <cell r="A4190" t="str">
            <v>IN</v>
          </cell>
          <cell r="D4190">
            <v>43225</v>
          </cell>
        </row>
        <row r="4191">
          <cell r="A4191" t="str">
            <v>ANZ</v>
          </cell>
          <cell r="D4191">
            <v>43262</v>
          </cell>
        </row>
        <row r="4192">
          <cell r="A4192" t="str">
            <v>IN</v>
          </cell>
          <cell r="D4192">
            <v>43302</v>
          </cell>
        </row>
        <row r="4193">
          <cell r="A4193" t="str">
            <v>IN</v>
          </cell>
          <cell r="D4193">
            <v>43289</v>
          </cell>
        </row>
        <row r="4194">
          <cell r="A4194" t="str">
            <v>GC</v>
          </cell>
          <cell r="D4194">
            <v>43245</v>
          </cell>
        </row>
        <row r="4195">
          <cell r="A4195" t="str">
            <v>ASEAN</v>
          </cell>
          <cell r="D4195">
            <v>43396</v>
          </cell>
        </row>
        <row r="4196">
          <cell r="A4196" t="str">
            <v>GC</v>
          </cell>
          <cell r="D4196">
            <v>43110</v>
          </cell>
        </row>
        <row r="4197">
          <cell r="A4197" t="str">
            <v>IN</v>
          </cell>
          <cell r="D4197">
            <v>43445</v>
          </cell>
        </row>
        <row r="4198">
          <cell r="A4198" t="str">
            <v>IN</v>
          </cell>
          <cell r="D4198">
            <v>43443</v>
          </cell>
        </row>
        <row r="4199">
          <cell r="A4199" t="str">
            <v>GC</v>
          </cell>
          <cell r="D4199">
            <v>43200</v>
          </cell>
        </row>
        <row r="4200">
          <cell r="A4200" t="str">
            <v>GC</v>
          </cell>
          <cell r="D4200">
            <v>43238</v>
          </cell>
        </row>
        <row r="4201">
          <cell r="A4201" t="str">
            <v>IN</v>
          </cell>
          <cell r="D4201">
            <v>43208</v>
          </cell>
        </row>
        <row r="4202">
          <cell r="A4202" t="str">
            <v>GC</v>
          </cell>
          <cell r="D4202">
            <v>43139</v>
          </cell>
        </row>
        <row r="4203">
          <cell r="A4203" t="str">
            <v>GC</v>
          </cell>
          <cell r="D4203">
            <v>43386</v>
          </cell>
        </row>
        <row r="4204">
          <cell r="A4204" t="str">
            <v>GC</v>
          </cell>
          <cell r="D4204">
            <v>43169</v>
          </cell>
        </row>
        <row r="4205">
          <cell r="A4205" t="str">
            <v>GC</v>
          </cell>
          <cell r="D4205">
            <v>43294</v>
          </cell>
        </row>
        <row r="4206">
          <cell r="A4206" t="str">
            <v>GC</v>
          </cell>
          <cell r="D4206">
            <v>43317</v>
          </cell>
        </row>
        <row r="4207">
          <cell r="A4207" t="str">
            <v>ASEAN</v>
          </cell>
          <cell r="D4207">
            <v>43370</v>
          </cell>
        </row>
        <row r="4208">
          <cell r="A4208" t="str">
            <v>IN</v>
          </cell>
          <cell r="D4208">
            <v>43450</v>
          </cell>
        </row>
        <row r="4209">
          <cell r="A4209" t="str">
            <v>IN</v>
          </cell>
          <cell r="D4209">
            <v>43233</v>
          </cell>
        </row>
        <row r="4210">
          <cell r="A4210" t="str">
            <v>GC</v>
          </cell>
          <cell r="D4210">
            <v>43344</v>
          </cell>
        </row>
        <row r="4211">
          <cell r="A4211" t="str">
            <v>IN</v>
          </cell>
          <cell r="D4211">
            <v>43269</v>
          </cell>
        </row>
        <row r="4212">
          <cell r="A4212" t="str">
            <v>IN</v>
          </cell>
          <cell r="D4212">
            <v>43137</v>
          </cell>
        </row>
        <row r="4213">
          <cell r="A4213" t="str">
            <v>ASEAN</v>
          </cell>
          <cell r="D4213">
            <v>43190</v>
          </cell>
        </row>
        <row r="4214">
          <cell r="A4214" t="str">
            <v>ANZ</v>
          </cell>
          <cell r="D4214">
            <v>43343</v>
          </cell>
        </row>
        <row r="4215">
          <cell r="A4215" t="str">
            <v>IN</v>
          </cell>
          <cell r="D4215">
            <v>43362</v>
          </cell>
        </row>
        <row r="4216">
          <cell r="A4216" t="str">
            <v>IN</v>
          </cell>
          <cell r="D4216">
            <v>43156</v>
          </cell>
        </row>
        <row r="4217">
          <cell r="A4217" t="str">
            <v>IN</v>
          </cell>
          <cell r="D4217">
            <v>43243</v>
          </cell>
        </row>
        <row r="4218">
          <cell r="A4218" t="str">
            <v>IN</v>
          </cell>
          <cell r="D4218">
            <v>43265</v>
          </cell>
        </row>
        <row r="4219">
          <cell r="A4219" t="str">
            <v>IN</v>
          </cell>
          <cell r="D4219">
            <v>43322</v>
          </cell>
        </row>
        <row r="4220">
          <cell r="A4220" t="str">
            <v>IN</v>
          </cell>
          <cell r="D4220">
            <v>43257</v>
          </cell>
        </row>
        <row r="4221">
          <cell r="A4221" t="str">
            <v>IN</v>
          </cell>
          <cell r="D4221">
            <v>43440</v>
          </cell>
        </row>
        <row r="4222">
          <cell r="A4222" t="str">
            <v>IN</v>
          </cell>
          <cell r="D4222">
            <v>43148</v>
          </cell>
        </row>
        <row r="4223">
          <cell r="A4223" t="str">
            <v>ASEAN</v>
          </cell>
          <cell r="D4223">
            <v>43265</v>
          </cell>
        </row>
        <row r="4224">
          <cell r="A4224" t="str">
            <v>IN</v>
          </cell>
          <cell r="D4224">
            <v>43304</v>
          </cell>
        </row>
        <row r="4225">
          <cell r="A4225" t="str">
            <v>IN</v>
          </cell>
          <cell r="D4225">
            <v>43318</v>
          </cell>
        </row>
        <row r="4226">
          <cell r="A4226" t="str">
            <v>IN</v>
          </cell>
          <cell r="D4226">
            <v>43304</v>
          </cell>
        </row>
        <row r="4227">
          <cell r="A4227" t="str">
            <v>IN</v>
          </cell>
          <cell r="D4227">
            <v>43107</v>
          </cell>
        </row>
        <row r="4228">
          <cell r="A4228" t="str">
            <v>GC</v>
          </cell>
          <cell r="D4228">
            <v>43129</v>
          </cell>
        </row>
        <row r="4229">
          <cell r="A4229" t="str">
            <v>IN</v>
          </cell>
          <cell r="D4229">
            <v>43430</v>
          </cell>
        </row>
        <row r="4230">
          <cell r="A4230" t="str">
            <v>IN</v>
          </cell>
          <cell r="D4230">
            <v>43242</v>
          </cell>
        </row>
        <row r="4231">
          <cell r="A4231" t="str">
            <v>GC</v>
          </cell>
          <cell r="D4231">
            <v>43227</v>
          </cell>
        </row>
        <row r="4232">
          <cell r="A4232" t="str">
            <v>GC</v>
          </cell>
          <cell r="D4232">
            <v>43222</v>
          </cell>
        </row>
        <row r="4233">
          <cell r="A4233" t="str">
            <v>GC</v>
          </cell>
          <cell r="D4233">
            <v>43124</v>
          </cell>
        </row>
        <row r="4234">
          <cell r="A4234" t="str">
            <v>GC</v>
          </cell>
          <cell r="D4234">
            <v>43422</v>
          </cell>
        </row>
        <row r="4235">
          <cell r="A4235" t="str">
            <v>GC</v>
          </cell>
          <cell r="D4235">
            <v>43358</v>
          </cell>
        </row>
        <row r="4236">
          <cell r="A4236" t="str">
            <v>GC</v>
          </cell>
          <cell r="D4236">
            <v>43366</v>
          </cell>
        </row>
        <row r="4237">
          <cell r="A4237" t="str">
            <v>GC</v>
          </cell>
          <cell r="D4237">
            <v>43413</v>
          </cell>
        </row>
        <row r="4238">
          <cell r="A4238" t="str">
            <v>GC</v>
          </cell>
          <cell r="D4238">
            <v>43234</v>
          </cell>
        </row>
        <row r="4239">
          <cell r="A4239" t="str">
            <v>ANZ</v>
          </cell>
          <cell r="D4239">
            <v>43409</v>
          </cell>
        </row>
        <row r="4240">
          <cell r="A4240" t="str">
            <v>KR</v>
          </cell>
          <cell r="D4240">
            <v>43255</v>
          </cell>
        </row>
        <row r="4241">
          <cell r="A4241" t="str">
            <v>KR</v>
          </cell>
          <cell r="D4241">
            <v>43111</v>
          </cell>
        </row>
        <row r="4242">
          <cell r="A4242" t="str">
            <v>KR</v>
          </cell>
          <cell r="D4242">
            <v>43399</v>
          </cell>
        </row>
        <row r="4243">
          <cell r="A4243" t="str">
            <v>GC</v>
          </cell>
          <cell r="D4243">
            <v>43245</v>
          </cell>
        </row>
        <row r="4244">
          <cell r="A4244" t="str">
            <v>GC</v>
          </cell>
          <cell r="D4244">
            <v>43401</v>
          </cell>
        </row>
        <row r="4245">
          <cell r="A4245" t="str">
            <v>GC</v>
          </cell>
          <cell r="D4245">
            <v>43217</v>
          </cell>
        </row>
        <row r="4246">
          <cell r="A4246" t="str">
            <v>IN</v>
          </cell>
          <cell r="D4246">
            <v>43212</v>
          </cell>
        </row>
        <row r="4247">
          <cell r="A4247" t="str">
            <v>ANZ</v>
          </cell>
          <cell r="D4247">
            <v>43160</v>
          </cell>
        </row>
        <row r="4248">
          <cell r="A4248" t="str">
            <v>ASEAN</v>
          </cell>
          <cell r="D4248">
            <v>43318</v>
          </cell>
        </row>
        <row r="4249">
          <cell r="A4249" t="str">
            <v>ASEAN</v>
          </cell>
          <cell r="D4249">
            <v>43283</v>
          </cell>
        </row>
        <row r="4250">
          <cell r="A4250" t="str">
            <v>GC</v>
          </cell>
          <cell r="D4250">
            <v>43200</v>
          </cell>
        </row>
        <row r="4251">
          <cell r="A4251" t="str">
            <v>GC</v>
          </cell>
          <cell r="D4251">
            <v>43160</v>
          </cell>
        </row>
        <row r="4252">
          <cell r="A4252" t="str">
            <v>GC</v>
          </cell>
          <cell r="D4252">
            <v>43279</v>
          </cell>
        </row>
        <row r="4253">
          <cell r="A4253" t="str">
            <v>GC</v>
          </cell>
          <cell r="D4253">
            <v>43131</v>
          </cell>
        </row>
        <row r="4254">
          <cell r="A4254" t="str">
            <v>IN</v>
          </cell>
          <cell r="D4254">
            <v>43123</v>
          </cell>
        </row>
        <row r="4255">
          <cell r="A4255" t="str">
            <v>IN</v>
          </cell>
          <cell r="D4255">
            <v>43263</v>
          </cell>
        </row>
        <row r="4256">
          <cell r="A4256" t="str">
            <v>GC</v>
          </cell>
          <cell r="D4256">
            <v>43249</v>
          </cell>
        </row>
        <row r="4257">
          <cell r="A4257" t="str">
            <v>GC</v>
          </cell>
          <cell r="D4257">
            <v>43415</v>
          </cell>
        </row>
        <row r="4258">
          <cell r="A4258" t="str">
            <v>GC</v>
          </cell>
          <cell r="D4258">
            <v>43253</v>
          </cell>
        </row>
        <row r="4259">
          <cell r="A4259" t="str">
            <v>GC</v>
          </cell>
          <cell r="D4259">
            <v>43390</v>
          </cell>
        </row>
        <row r="4260">
          <cell r="A4260" t="str">
            <v>GC</v>
          </cell>
          <cell r="D4260">
            <v>43411</v>
          </cell>
        </row>
        <row r="4261">
          <cell r="A4261" t="str">
            <v>IN</v>
          </cell>
          <cell r="D4261">
            <v>43441</v>
          </cell>
        </row>
        <row r="4262">
          <cell r="A4262" t="str">
            <v>ANZ</v>
          </cell>
          <cell r="D4262">
            <v>43245</v>
          </cell>
        </row>
        <row r="4263">
          <cell r="A4263" t="str">
            <v>IN</v>
          </cell>
          <cell r="D4263">
            <v>43269</v>
          </cell>
        </row>
        <row r="4264">
          <cell r="A4264" t="str">
            <v>IN</v>
          </cell>
          <cell r="D4264">
            <v>43152</v>
          </cell>
        </row>
        <row r="4265">
          <cell r="A4265" t="str">
            <v>IN</v>
          </cell>
          <cell r="D4265">
            <v>43152</v>
          </cell>
        </row>
        <row r="4266">
          <cell r="A4266" t="str">
            <v>IN</v>
          </cell>
          <cell r="D4266">
            <v>43125</v>
          </cell>
        </row>
        <row r="4267">
          <cell r="A4267" t="str">
            <v>IN</v>
          </cell>
          <cell r="D4267">
            <v>43422</v>
          </cell>
        </row>
        <row r="4268">
          <cell r="A4268" t="str">
            <v>GC</v>
          </cell>
          <cell r="D4268">
            <v>43438</v>
          </cell>
        </row>
        <row r="4269">
          <cell r="A4269" t="str">
            <v>GC</v>
          </cell>
          <cell r="D4269">
            <v>43157</v>
          </cell>
        </row>
        <row r="4270">
          <cell r="A4270" t="str">
            <v>ANZ</v>
          </cell>
          <cell r="D4270">
            <v>43292</v>
          </cell>
        </row>
        <row r="4271">
          <cell r="A4271" t="str">
            <v>ANZ</v>
          </cell>
          <cell r="D4271">
            <v>43304</v>
          </cell>
        </row>
        <row r="4272">
          <cell r="A4272" t="str">
            <v>ANZ</v>
          </cell>
          <cell r="D4272">
            <v>43415</v>
          </cell>
        </row>
        <row r="4273">
          <cell r="A4273" t="str">
            <v>IN</v>
          </cell>
          <cell r="D4273">
            <v>43426</v>
          </cell>
        </row>
        <row r="4274">
          <cell r="A4274" t="str">
            <v>IN</v>
          </cell>
          <cell r="D4274">
            <v>43449</v>
          </cell>
        </row>
        <row r="4275">
          <cell r="A4275" t="str">
            <v>IN</v>
          </cell>
          <cell r="D4275">
            <v>43251</v>
          </cell>
        </row>
        <row r="4276">
          <cell r="A4276" t="str">
            <v>GC</v>
          </cell>
          <cell r="D4276">
            <v>43116</v>
          </cell>
        </row>
        <row r="4277">
          <cell r="A4277" t="str">
            <v>GC</v>
          </cell>
          <cell r="D4277">
            <v>43424</v>
          </cell>
        </row>
        <row r="4278">
          <cell r="A4278" t="str">
            <v>GC</v>
          </cell>
          <cell r="D4278">
            <v>43413</v>
          </cell>
        </row>
        <row r="4279">
          <cell r="A4279" t="str">
            <v>GC</v>
          </cell>
          <cell r="D4279">
            <v>43334</v>
          </cell>
        </row>
        <row r="4280">
          <cell r="A4280" t="str">
            <v>IN</v>
          </cell>
          <cell r="D4280">
            <v>43312</v>
          </cell>
        </row>
        <row r="4281">
          <cell r="A4281" t="str">
            <v>IN</v>
          </cell>
          <cell r="D4281">
            <v>43171</v>
          </cell>
        </row>
        <row r="4282">
          <cell r="A4282" t="str">
            <v>ASEAN</v>
          </cell>
          <cell r="D4282">
            <v>43367</v>
          </cell>
        </row>
        <row r="4283">
          <cell r="A4283" t="str">
            <v>ASEAN</v>
          </cell>
          <cell r="D4283">
            <v>43395</v>
          </cell>
        </row>
        <row r="4284">
          <cell r="A4284" t="str">
            <v>IN</v>
          </cell>
          <cell r="D4284">
            <v>43322</v>
          </cell>
        </row>
        <row r="4285">
          <cell r="A4285" t="str">
            <v>IN</v>
          </cell>
          <cell r="D4285">
            <v>43373</v>
          </cell>
        </row>
        <row r="4286">
          <cell r="A4286" t="str">
            <v>GC</v>
          </cell>
          <cell r="D4286">
            <v>43400</v>
          </cell>
        </row>
        <row r="4287">
          <cell r="A4287" t="str">
            <v>GC</v>
          </cell>
          <cell r="D4287">
            <v>43407</v>
          </cell>
        </row>
        <row r="4288">
          <cell r="A4288" t="str">
            <v>ASEAN</v>
          </cell>
          <cell r="D4288">
            <v>43275</v>
          </cell>
        </row>
        <row r="4289">
          <cell r="A4289" t="str">
            <v>ASEAN</v>
          </cell>
          <cell r="D4289">
            <v>43463</v>
          </cell>
        </row>
        <row r="4290">
          <cell r="A4290" t="str">
            <v>IN</v>
          </cell>
          <cell r="D4290">
            <v>43365</v>
          </cell>
        </row>
        <row r="4291">
          <cell r="A4291" t="str">
            <v>IN</v>
          </cell>
          <cell r="D4291">
            <v>43186</v>
          </cell>
        </row>
        <row r="4292">
          <cell r="A4292" t="str">
            <v>IN</v>
          </cell>
          <cell r="D4292">
            <v>43147</v>
          </cell>
        </row>
        <row r="4293">
          <cell r="A4293" t="str">
            <v>IN</v>
          </cell>
          <cell r="D4293">
            <v>43201</v>
          </cell>
        </row>
        <row r="4294">
          <cell r="A4294" t="str">
            <v>GC</v>
          </cell>
          <cell r="D4294">
            <v>43208</v>
          </cell>
        </row>
        <row r="4295">
          <cell r="A4295" t="str">
            <v>ASEAN</v>
          </cell>
          <cell r="D4295">
            <v>43244</v>
          </cell>
        </row>
        <row r="4296">
          <cell r="A4296" t="str">
            <v>ASEAN</v>
          </cell>
          <cell r="D4296">
            <v>43233</v>
          </cell>
        </row>
        <row r="4297">
          <cell r="A4297" t="str">
            <v>ASEAN</v>
          </cell>
          <cell r="D4297">
            <v>43380</v>
          </cell>
        </row>
        <row r="4298">
          <cell r="A4298" t="str">
            <v>ASEAN</v>
          </cell>
          <cell r="D4298">
            <v>43237</v>
          </cell>
        </row>
        <row r="4299">
          <cell r="A4299" t="str">
            <v>IN</v>
          </cell>
          <cell r="D4299">
            <v>43166</v>
          </cell>
        </row>
        <row r="4300">
          <cell r="A4300" t="str">
            <v>IN</v>
          </cell>
          <cell r="D4300">
            <v>43352</v>
          </cell>
        </row>
        <row r="4301">
          <cell r="A4301" t="str">
            <v>IN</v>
          </cell>
          <cell r="D4301">
            <v>43397</v>
          </cell>
        </row>
        <row r="4302">
          <cell r="A4302" t="str">
            <v>IN</v>
          </cell>
          <cell r="D4302">
            <v>43212</v>
          </cell>
        </row>
        <row r="4303">
          <cell r="A4303" t="str">
            <v>IN</v>
          </cell>
          <cell r="D4303">
            <v>43237</v>
          </cell>
        </row>
        <row r="4304">
          <cell r="A4304" t="str">
            <v>IN</v>
          </cell>
          <cell r="D4304">
            <v>43348</v>
          </cell>
        </row>
        <row r="4305">
          <cell r="A4305" t="str">
            <v>IN</v>
          </cell>
          <cell r="D4305">
            <v>43298</v>
          </cell>
        </row>
        <row r="4306">
          <cell r="A4306" t="str">
            <v>IN</v>
          </cell>
          <cell r="D4306">
            <v>43428</v>
          </cell>
        </row>
        <row r="4307">
          <cell r="A4307" t="str">
            <v>IN</v>
          </cell>
          <cell r="D4307">
            <v>43335</v>
          </cell>
        </row>
        <row r="4308">
          <cell r="A4308" t="str">
            <v>IN</v>
          </cell>
          <cell r="D4308">
            <v>43274</v>
          </cell>
        </row>
        <row r="4309">
          <cell r="A4309" t="str">
            <v>IN</v>
          </cell>
          <cell r="D4309">
            <v>43331</v>
          </cell>
        </row>
        <row r="4310">
          <cell r="A4310" t="str">
            <v>ANZ</v>
          </cell>
          <cell r="D4310">
            <v>43163</v>
          </cell>
        </row>
        <row r="4311">
          <cell r="A4311" t="str">
            <v>ASEAN</v>
          </cell>
          <cell r="D4311">
            <v>43286</v>
          </cell>
        </row>
        <row r="4312">
          <cell r="A4312" t="str">
            <v>IN</v>
          </cell>
          <cell r="D4312">
            <v>43174</v>
          </cell>
        </row>
        <row r="4313">
          <cell r="A4313" t="str">
            <v>GC</v>
          </cell>
          <cell r="D4313">
            <v>43241</v>
          </cell>
        </row>
        <row r="4314">
          <cell r="A4314" t="str">
            <v>GC</v>
          </cell>
          <cell r="D4314">
            <v>43171</v>
          </cell>
        </row>
        <row r="4315">
          <cell r="A4315" t="str">
            <v>GC</v>
          </cell>
          <cell r="D4315">
            <v>43145</v>
          </cell>
        </row>
        <row r="4316">
          <cell r="A4316" t="str">
            <v>GC</v>
          </cell>
          <cell r="D4316">
            <v>43249</v>
          </cell>
        </row>
        <row r="4317">
          <cell r="A4317" t="str">
            <v>GC</v>
          </cell>
          <cell r="D4317">
            <v>43191</v>
          </cell>
        </row>
        <row r="4318">
          <cell r="A4318" t="str">
            <v>GC</v>
          </cell>
          <cell r="D4318">
            <v>43308</v>
          </cell>
        </row>
        <row r="4319">
          <cell r="A4319" t="str">
            <v>GC</v>
          </cell>
          <cell r="D4319">
            <v>43430</v>
          </cell>
        </row>
        <row r="4320">
          <cell r="A4320" t="str">
            <v>IN</v>
          </cell>
          <cell r="D4320">
            <v>43109</v>
          </cell>
        </row>
        <row r="4321">
          <cell r="A4321" t="str">
            <v>IN</v>
          </cell>
          <cell r="D4321">
            <v>43326</v>
          </cell>
        </row>
        <row r="4322">
          <cell r="A4322" t="str">
            <v>IN</v>
          </cell>
          <cell r="D4322">
            <v>43212</v>
          </cell>
        </row>
        <row r="4323">
          <cell r="A4323" t="str">
            <v>IN</v>
          </cell>
          <cell r="D4323">
            <v>43406</v>
          </cell>
        </row>
        <row r="4324">
          <cell r="A4324" t="str">
            <v>IN</v>
          </cell>
          <cell r="D4324">
            <v>43355</v>
          </cell>
        </row>
        <row r="4325">
          <cell r="A4325" t="str">
            <v>IN</v>
          </cell>
          <cell r="D4325">
            <v>43290</v>
          </cell>
        </row>
        <row r="4326">
          <cell r="A4326" t="str">
            <v>ASEAN</v>
          </cell>
          <cell r="D4326">
            <v>43219</v>
          </cell>
        </row>
        <row r="4327">
          <cell r="A4327" t="str">
            <v>IN</v>
          </cell>
          <cell r="D4327">
            <v>43261</v>
          </cell>
        </row>
        <row r="4328">
          <cell r="A4328" t="str">
            <v>IN</v>
          </cell>
          <cell r="D4328">
            <v>43227</v>
          </cell>
        </row>
        <row r="4329">
          <cell r="A4329" t="str">
            <v>IN</v>
          </cell>
          <cell r="D4329">
            <v>43178</v>
          </cell>
        </row>
        <row r="4330">
          <cell r="A4330" t="str">
            <v>IN</v>
          </cell>
          <cell r="D4330">
            <v>43283</v>
          </cell>
        </row>
        <row r="4331">
          <cell r="A4331" t="str">
            <v>IN</v>
          </cell>
          <cell r="D4331">
            <v>43347</v>
          </cell>
        </row>
        <row r="4332">
          <cell r="A4332" t="str">
            <v>IN</v>
          </cell>
          <cell r="D4332">
            <v>43276</v>
          </cell>
        </row>
        <row r="4333">
          <cell r="A4333" t="str">
            <v>IN</v>
          </cell>
          <cell r="D4333">
            <v>43343</v>
          </cell>
        </row>
        <row r="4334">
          <cell r="A4334" t="str">
            <v>ASEAN</v>
          </cell>
          <cell r="D4334">
            <v>43167</v>
          </cell>
        </row>
        <row r="4335">
          <cell r="A4335" t="str">
            <v>ASEAN</v>
          </cell>
          <cell r="D4335">
            <v>43141</v>
          </cell>
        </row>
        <row r="4336">
          <cell r="A4336" t="str">
            <v>ASEAN</v>
          </cell>
          <cell r="D4336">
            <v>43196</v>
          </cell>
        </row>
        <row r="4337">
          <cell r="A4337" t="str">
            <v>ASEAN</v>
          </cell>
          <cell r="D4337">
            <v>43354</v>
          </cell>
        </row>
        <row r="4338">
          <cell r="A4338" t="str">
            <v>IN</v>
          </cell>
          <cell r="D4338">
            <v>43376</v>
          </cell>
        </row>
        <row r="4339">
          <cell r="A4339" t="str">
            <v>IN</v>
          </cell>
          <cell r="D4339">
            <v>43348</v>
          </cell>
        </row>
        <row r="4340">
          <cell r="A4340" t="str">
            <v>GC</v>
          </cell>
          <cell r="D4340">
            <v>43237</v>
          </cell>
        </row>
        <row r="4341">
          <cell r="A4341" t="str">
            <v>ANZ</v>
          </cell>
          <cell r="D4341">
            <v>43135</v>
          </cell>
        </row>
        <row r="4342">
          <cell r="A4342" t="str">
            <v>GC</v>
          </cell>
          <cell r="D4342">
            <v>43437</v>
          </cell>
        </row>
        <row r="4343">
          <cell r="A4343" t="str">
            <v>GC</v>
          </cell>
          <cell r="D4343">
            <v>43405</v>
          </cell>
        </row>
        <row r="4344">
          <cell r="A4344" t="str">
            <v>IN</v>
          </cell>
          <cell r="D4344">
            <v>43116</v>
          </cell>
        </row>
        <row r="4345">
          <cell r="A4345" t="str">
            <v>IN</v>
          </cell>
          <cell r="D4345">
            <v>43164</v>
          </cell>
        </row>
        <row r="4346">
          <cell r="A4346" t="str">
            <v>IN</v>
          </cell>
          <cell r="D4346">
            <v>43207</v>
          </cell>
        </row>
        <row r="4347">
          <cell r="A4347" t="str">
            <v>IN</v>
          </cell>
          <cell r="D4347">
            <v>43429</v>
          </cell>
        </row>
        <row r="4348">
          <cell r="A4348" t="str">
            <v>IN</v>
          </cell>
          <cell r="D4348">
            <v>43343</v>
          </cell>
        </row>
        <row r="4349">
          <cell r="A4349" t="str">
            <v>ASEAN</v>
          </cell>
          <cell r="D4349">
            <v>43116</v>
          </cell>
        </row>
        <row r="4350">
          <cell r="A4350" t="str">
            <v>ASEAN</v>
          </cell>
          <cell r="D4350">
            <v>43147</v>
          </cell>
        </row>
        <row r="4351">
          <cell r="A4351" t="str">
            <v>ASEAN</v>
          </cell>
          <cell r="D4351">
            <v>43120</v>
          </cell>
        </row>
        <row r="4352">
          <cell r="A4352" t="str">
            <v>IN</v>
          </cell>
          <cell r="D4352">
            <v>43396</v>
          </cell>
        </row>
        <row r="4353">
          <cell r="A4353" t="str">
            <v>IN</v>
          </cell>
          <cell r="D4353">
            <v>43169</v>
          </cell>
        </row>
        <row r="4354">
          <cell r="A4354" t="str">
            <v>GC</v>
          </cell>
          <cell r="D4354">
            <v>43424</v>
          </cell>
        </row>
        <row r="4355">
          <cell r="A4355" t="str">
            <v>GC</v>
          </cell>
          <cell r="D4355">
            <v>43154</v>
          </cell>
        </row>
        <row r="4356">
          <cell r="A4356" t="str">
            <v>ANZ</v>
          </cell>
          <cell r="D4356">
            <v>43396</v>
          </cell>
        </row>
        <row r="4357">
          <cell r="A4357" t="str">
            <v>GC</v>
          </cell>
          <cell r="D4357">
            <v>43117</v>
          </cell>
        </row>
        <row r="4358">
          <cell r="A4358" t="str">
            <v>GC</v>
          </cell>
          <cell r="D4358">
            <v>43259</v>
          </cell>
        </row>
        <row r="4359">
          <cell r="A4359" t="str">
            <v>GC</v>
          </cell>
          <cell r="D4359">
            <v>43121</v>
          </cell>
        </row>
        <row r="4360">
          <cell r="A4360" t="str">
            <v>GC</v>
          </cell>
          <cell r="D4360">
            <v>43462</v>
          </cell>
        </row>
        <row r="4361">
          <cell r="A4361" t="str">
            <v>IN</v>
          </cell>
          <cell r="D4361">
            <v>43339</v>
          </cell>
        </row>
        <row r="4362">
          <cell r="A4362" t="str">
            <v>KR</v>
          </cell>
          <cell r="D4362">
            <v>43436</v>
          </cell>
        </row>
        <row r="4363">
          <cell r="A4363" t="str">
            <v>IN</v>
          </cell>
          <cell r="D4363">
            <v>43460</v>
          </cell>
        </row>
        <row r="4364">
          <cell r="A4364" t="str">
            <v>IN</v>
          </cell>
          <cell r="D4364">
            <v>43168</v>
          </cell>
        </row>
        <row r="4365">
          <cell r="A4365" t="str">
            <v>IN</v>
          </cell>
          <cell r="D4365">
            <v>43286</v>
          </cell>
        </row>
        <row r="4366">
          <cell r="A4366" t="str">
            <v>IN</v>
          </cell>
          <cell r="D4366">
            <v>43317</v>
          </cell>
        </row>
        <row r="4367">
          <cell r="A4367" t="str">
            <v>IN</v>
          </cell>
          <cell r="D4367">
            <v>43276</v>
          </cell>
        </row>
        <row r="4368">
          <cell r="A4368" t="str">
            <v>IN</v>
          </cell>
          <cell r="D4368">
            <v>43227</v>
          </cell>
        </row>
        <row r="4369">
          <cell r="A4369" t="str">
            <v>GC</v>
          </cell>
          <cell r="D4369">
            <v>43346</v>
          </cell>
        </row>
        <row r="4370">
          <cell r="A4370" t="str">
            <v>ANZ</v>
          </cell>
          <cell r="D4370">
            <v>43335</v>
          </cell>
        </row>
        <row r="4371">
          <cell r="A4371" t="str">
            <v>ANZ</v>
          </cell>
          <cell r="D4371">
            <v>43138</v>
          </cell>
        </row>
        <row r="4372">
          <cell r="A4372" t="str">
            <v>ANZ</v>
          </cell>
          <cell r="D4372">
            <v>43462</v>
          </cell>
        </row>
        <row r="4373">
          <cell r="A4373" t="str">
            <v>IN</v>
          </cell>
          <cell r="D4373">
            <v>43394</v>
          </cell>
        </row>
        <row r="4374">
          <cell r="A4374" t="str">
            <v>ANZ</v>
          </cell>
          <cell r="D4374">
            <v>43125</v>
          </cell>
        </row>
        <row r="4375">
          <cell r="A4375" t="str">
            <v>ANZ</v>
          </cell>
          <cell r="D4375">
            <v>43137</v>
          </cell>
        </row>
        <row r="4376">
          <cell r="A4376" t="str">
            <v>KR</v>
          </cell>
          <cell r="D4376">
            <v>43138</v>
          </cell>
        </row>
        <row r="4377">
          <cell r="A4377" t="str">
            <v>IN</v>
          </cell>
          <cell r="D4377">
            <v>43358</v>
          </cell>
        </row>
        <row r="4378">
          <cell r="A4378" t="str">
            <v>GC</v>
          </cell>
          <cell r="D4378">
            <v>43274</v>
          </cell>
        </row>
        <row r="4379">
          <cell r="A4379" t="str">
            <v>IN</v>
          </cell>
          <cell r="D4379">
            <v>43335</v>
          </cell>
        </row>
        <row r="4380">
          <cell r="A4380" t="str">
            <v>ASEAN</v>
          </cell>
          <cell r="D4380">
            <v>43319</v>
          </cell>
        </row>
        <row r="4381">
          <cell r="A4381" t="str">
            <v>IN</v>
          </cell>
          <cell r="D4381">
            <v>43351</v>
          </cell>
        </row>
        <row r="4382">
          <cell r="A4382" t="str">
            <v>IN</v>
          </cell>
          <cell r="D4382">
            <v>43455</v>
          </cell>
        </row>
        <row r="4383">
          <cell r="A4383" t="str">
            <v>ASEAN</v>
          </cell>
          <cell r="D4383">
            <v>43198</v>
          </cell>
        </row>
        <row r="4384">
          <cell r="A4384" t="str">
            <v>IN</v>
          </cell>
          <cell r="D4384">
            <v>43117</v>
          </cell>
        </row>
        <row r="4385">
          <cell r="A4385" t="str">
            <v>ASEAN</v>
          </cell>
          <cell r="D4385">
            <v>43104</v>
          </cell>
        </row>
        <row r="4386">
          <cell r="A4386" t="str">
            <v>GC</v>
          </cell>
          <cell r="D4386">
            <v>43338</v>
          </cell>
        </row>
        <row r="4387">
          <cell r="A4387" t="str">
            <v>IN</v>
          </cell>
          <cell r="D4387">
            <v>43252</v>
          </cell>
        </row>
        <row r="4388">
          <cell r="A4388" t="str">
            <v>IN</v>
          </cell>
          <cell r="D4388">
            <v>43249</v>
          </cell>
        </row>
        <row r="4389">
          <cell r="A4389" t="str">
            <v>IN</v>
          </cell>
          <cell r="D4389">
            <v>43371</v>
          </cell>
        </row>
        <row r="4390">
          <cell r="A4390" t="str">
            <v>GC</v>
          </cell>
          <cell r="D4390">
            <v>43218</v>
          </cell>
        </row>
        <row r="4391">
          <cell r="A4391" t="str">
            <v>ASEAN</v>
          </cell>
          <cell r="D4391">
            <v>43144</v>
          </cell>
        </row>
        <row r="4392">
          <cell r="A4392" t="str">
            <v>IN</v>
          </cell>
          <cell r="D4392">
            <v>43146</v>
          </cell>
        </row>
        <row r="4393">
          <cell r="A4393" t="str">
            <v>IN</v>
          </cell>
          <cell r="D4393">
            <v>43146</v>
          </cell>
        </row>
        <row r="4394">
          <cell r="A4394" t="str">
            <v>ASEAN</v>
          </cell>
          <cell r="D4394">
            <v>43109</v>
          </cell>
        </row>
        <row r="4395">
          <cell r="A4395" t="str">
            <v>IN</v>
          </cell>
          <cell r="D4395">
            <v>43172</v>
          </cell>
        </row>
        <row r="4396">
          <cell r="A4396" t="str">
            <v>GC</v>
          </cell>
          <cell r="D4396">
            <v>43378</v>
          </cell>
        </row>
        <row r="4397">
          <cell r="A4397" t="str">
            <v>GC</v>
          </cell>
          <cell r="D4397">
            <v>43144</v>
          </cell>
        </row>
        <row r="4398">
          <cell r="A4398" t="str">
            <v>IN</v>
          </cell>
          <cell r="D4398">
            <v>43455</v>
          </cell>
        </row>
        <row r="4399">
          <cell r="A4399" t="str">
            <v>IN</v>
          </cell>
          <cell r="D4399">
            <v>43174</v>
          </cell>
        </row>
        <row r="4400">
          <cell r="A4400" t="str">
            <v>ANZ</v>
          </cell>
          <cell r="D4400">
            <v>43152</v>
          </cell>
        </row>
        <row r="4401">
          <cell r="A4401" t="str">
            <v>ANZ</v>
          </cell>
          <cell r="D4401">
            <v>43246</v>
          </cell>
        </row>
        <row r="4402">
          <cell r="A4402" t="str">
            <v>ANZ</v>
          </cell>
          <cell r="D4402">
            <v>43358</v>
          </cell>
        </row>
        <row r="4403">
          <cell r="A4403" t="str">
            <v>ANZ</v>
          </cell>
          <cell r="D4403">
            <v>43265</v>
          </cell>
        </row>
        <row r="4404">
          <cell r="A4404" t="str">
            <v>GC</v>
          </cell>
          <cell r="D4404">
            <v>43397</v>
          </cell>
        </row>
        <row r="4405">
          <cell r="A4405" t="str">
            <v>ASEAN</v>
          </cell>
          <cell r="D4405">
            <v>43378</v>
          </cell>
        </row>
        <row r="4406">
          <cell r="A4406" t="str">
            <v>ASEAN</v>
          </cell>
          <cell r="D4406">
            <v>43313</v>
          </cell>
        </row>
        <row r="4407">
          <cell r="A4407" t="str">
            <v>ASEAN</v>
          </cell>
          <cell r="D4407">
            <v>43263</v>
          </cell>
        </row>
        <row r="4408">
          <cell r="A4408" t="str">
            <v>ASEAN</v>
          </cell>
          <cell r="D4408">
            <v>43230</v>
          </cell>
        </row>
        <row r="4409">
          <cell r="A4409" t="str">
            <v>ANZ</v>
          </cell>
          <cell r="D4409">
            <v>43185</v>
          </cell>
        </row>
        <row r="4410">
          <cell r="A4410" t="str">
            <v>IN</v>
          </cell>
          <cell r="D4410">
            <v>43271</v>
          </cell>
        </row>
        <row r="4411">
          <cell r="A4411" t="str">
            <v>ASEAN</v>
          </cell>
          <cell r="D4411">
            <v>43363</v>
          </cell>
        </row>
        <row r="4412">
          <cell r="A4412" t="str">
            <v>GC</v>
          </cell>
          <cell r="D4412">
            <v>43367</v>
          </cell>
        </row>
        <row r="4413">
          <cell r="A4413" t="str">
            <v>ASEAN</v>
          </cell>
          <cell r="D4413">
            <v>43123</v>
          </cell>
        </row>
        <row r="4414">
          <cell r="A4414" t="str">
            <v>IN</v>
          </cell>
          <cell r="D4414">
            <v>43244</v>
          </cell>
        </row>
        <row r="4415">
          <cell r="A4415" t="str">
            <v>GC</v>
          </cell>
          <cell r="D4415">
            <v>43250</v>
          </cell>
        </row>
        <row r="4416">
          <cell r="A4416" t="str">
            <v>GC</v>
          </cell>
          <cell r="D4416">
            <v>43404</v>
          </cell>
        </row>
        <row r="4417">
          <cell r="A4417" t="str">
            <v>GC</v>
          </cell>
          <cell r="D4417">
            <v>43295</v>
          </cell>
        </row>
        <row r="4418">
          <cell r="A4418" t="str">
            <v>ASEAN</v>
          </cell>
          <cell r="D4418">
            <v>43421</v>
          </cell>
        </row>
        <row r="4419">
          <cell r="A4419" t="str">
            <v>ANZ</v>
          </cell>
          <cell r="D4419">
            <v>43310</v>
          </cell>
        </row>
        <row r="4420">
          <cell r="A4420" t="str">
            <v>ANZ</v>
          </cell>
          <cell r="D4420">
            <v>43141</v>
          </cell>
        </row>
        <row r="4421">
          <cell r="A4421" t="str">
            <v>ANZ</v>
          </cell>
          <cell r="D4421">
            <v>43123</v>
          </cell>
        </row>
        <row r="4422">
          <cell r="A4422" t="str">
            <v>ANZ</v>
          </cell>
          <cell r="D4422">
            <v>43143</v>
          </cell>
        </row>
        <row r="4423">
          <cell r="A4423" t="str">
            <v>IN</v>
          </cell>
          <cell r="D4423">
            <v>43246</v>
          </cell>
        </row>
        <row r="4424">
          <cell r="A4424" t="str">
            <v>IN</v>
          </cell>
          <cell r="D4424">
            <v>43313</v>
          </cell>
        </row>
        <row r="4425">
          <cell r="A4425" t="str">
            <v>GC</v>
          </cell>
          <cell r="D4425">
            <v>43373</v>
          </cell>
        </row>
        <row r="4426">
          <cell r="A4426" t="str">
            <v>GC</v>
          </cell>
          <cell r="D4426">
            <v>43169</v>
          </cell>
        </row>
        <row r="4427">
          <cell r="A4427" t="str">
            <v>GC</v>
          </cell>
          <cell r="D4427">
            <v>43359</v>
          </cell>
        </row>
        <row r="4428">
          <cell r="A4428" t="str">
            <v>IN</v>
          </cell>
          <cell r="D4428">
            <v>43228</v>
          </cell>
        </row>
        <row r="4429">
          <cell r="A4429" t="str">
            <v>GC</v>
          </cell>
          <cell r="D4429">
            <v>43282</v>
          </cell>
        </row>
        <row r="4430">
          <cell r="A4430" t="str">
            <v>IN</v>
          </cell>
          <cell r="D4430">
            <v>43320</v>
          </cell>
        </row>
        <row r="4431">
          <cell r="A4431" t="str">
            <v>IN</v>
          </cell>
          <cell r="D4431">
            <v>43112</v>
          </cell>
        </row>
        <row r="4432">
          <cell r="A4432" t="str">
            <v>ASEAN</v>
          </cell>
          <cell r="D4432">
            <v>43203</v>
          </cell>
        </row>
        <row r="4433">
          <cell r="A4433" t="str">
            <v>ASEAN</v>
          </cell>
          <cell r="D4433">
            <v>43113</v>
          </cell>
        </row>
        <row r="4434">
          <cell r="A4434" t="str">
            <v>IN</v>
          </cell>
          <cell r="D4434">
            <v>43184</v>
          </cell>
        </row>
        <row r="4435">
          <cell r="A4435" t="str">
            <v>IN</v>
          </cell>
          <cell r="D4435">
            <v>43163</v>
          </cell>
        </row>
        <row r="4436">
          <cell r="A4436" t="str">
            <v>IN</v>
          </cell>
          <cell r="D4436">
            <v>43457</v>
          </cell>
        </row>
        <row r="4437">
          <cell r="A4437" t="str">
            <v>IN</v>
          </cell>
          <cell r="D4437">
            <v>43289</v>
          </cell>
        </row>
        <row r="4438">
          <cell r="A4438" t="str">
            <v>IN</v>
          </cell>
          <cell r="D4438">
            <v>43220</v>
          </cell>
        </row>
        <row r="4439">
          <cell r="A4439" t="str">
            <v>IN</v>
          </cell>
          <cell r="D4439">
            <v>43291</v>
          </cell>
        </row>
        <row r="4440">
          <cell r="A4440" t="str">
            <v>IN</v>
          </cell>
          <cell r="D4440">
            <v>43447</v>
          </cell>
        </row>
        <row r="4441">
          <cell r="A4441" t="str">
            <v>ANZ</v>
          </cell>
          <cell r="D4441">
            <v>43110</v>
          </cell>
        </row>
        <row r="4442">
          <cell r="A4442" t="str">
            <v>ASEAN</v>
          </cell>
          <cell r="D4442">
            <v>43408</v>
          </cell>
        </row>
        <row r="4443">
          <cell r="A4443" t="str">
            <v>IN</v>
          </cell>
          <cell r="D4443">
            <v>43464</v>
          </cell>
        </row>
        <row r="4444">
          <cell r="A4444" t="str">
            <v>ASEAN</v>
          </cell>
          <cell r="D4444">
            <v>43212</v>
          </cell>
        </row>
        <row r="4445">
          <cell r="A4445" t="str">
            <v>IN</v>
          </cell>
          <cell r="D4445">
            <v>43157</v>
          </cell>
        </row>
        <row r="4446">
          <cell r="A4446" t="str">
            <v>GC</v>
          </cell>
          <cell r="D4446">
            <v>43352</v>
          </cell>
        </row>
        <row r="4447">
          <cell r="A4447" t="str">
            <v>GC</v>
          </cell>
          <cell r="D4447">
            <v>43129</v>
          </cell>
        </row>
        <row r="4448">
          <cell r="A4448" t="str">
            <v>GC</v>
          </cell>
          <cell r="D4448">
            <v>43440</v>
          </cell>
        </row>
        <row r="4449">
          <cell r="A4449" t="str">
            <v>GC</v>
          </cell>
          <cell r="D4449">
            <v>43358</v>
          </cell>
        </row>
        <row r="4450">
          <cell r="A4450" t="str">
            <v>GC</v>
          </cell>
          <cell r="D4450">
            <v>43302</v>
          </cell>
        </row>
        <row r="4451">
          <cell r="A4451" t="str">
            <v>GC</v>
          </cell>
          <cell r="D4451">
            <v>43379</v>
          </cell>
        </row>
        <row r="4452">
          <cell r="A4452" t="str">
            <v>GC</v>
          </cell>
          <cell r="D4452">
            <v>43195</v>
          </cell>
        </row>
        <row r="4453">
          <cell r="A4453" t="str">
            <v>ANZ</v>
          </cell>
          <cell r="D4453">
            <v>43375</v>
          </cell>
        </row>
        <row r="4454">
          <cell r="A4454" t="str">
            <v>GC</v>
          </cell>
          <cell r="D4454">
            <v>43243</v>
          </cell>
        </row>
        <row r="4455">
          <cell r="A4455" t="str">
            <v>GC</v>
          </cell>
          <cell r="D4455">
            <v>43446</v>
          </cell>
        </row>
        <row r="4456">
          <cell r="A4456" t="str">
            <v>IN</v>
          </cell>
          <cell r="D4456">
            <v>43272</v>
          </cell>
        </row>
        <row r="4457">
          <cell r="A4457" t="str">
            <v>IN</v>
          </cell>
          <cell r="D4457">
            <v>43358</v>
          </cell>
        </row>
        <row r="4458">
          <cell r="A4458" t="str">
            <v>IN</v>
          </cell>
          <cell r="D4458">
            <v>43352</v>
          </cell>
        </row>
        <row r="4459">
          <cell r="A4459" t="str">
            <v>ANZ</v>
          </cell>
          <cell r="D4459">
            <v>43421</v>
          </cell>
        </row>
        <row r="4460">
          <cell r="A4460" t="str">
            <v>ANZ</v>
          </cell>
          <cell r="D4460">
            <v>43321</v>
          </cell>
        </row>
        <row r="4461">
          <cell r="A4461" t="str">
            <v>ANZ</v>
          </cell>
          <cell r="D4461">
            <v>43255</v>
          </cell>
        </row>
        <row r="4462">
          <cell r="A4462" t="str">
            <v>IN</v>
          </cell>
          <cell r="D4462">
            <v>43366</v>
          </cell>
        </row>
        <row r="4463">
          <cell r="A4463" t="str">
            <v>IN</v>
          </cell>
          <cell r="D4463">
            <v>43422</v>
          </cell>
        </row>
        <row r="4464">
          <cell r="A4464" t="str">
            <v>IN</v>
          </cell>
          <cell r="D4464">
            <v>43330</v>
          </cell>
        </row>
        <row r="4465">
          <cell r="A4465" t="str">
            <v>IN</v>
          </cell>
          <cell r="D4465">
            <v>43332</v>
          </cell>
        </row>
        <row r="4466">
          <cell r="A4466" t="str">
            <v>GC</v>
          </cell>
          <cell r="D4466">
            <v>43291</v>
          </cell>
        </row>
        <row r="4467">
          <cell r="A4467" t="str">
            <v>GC</v>
          </cell>
          <cell r="D4467">
            <v>43224</v>
          </cell>
        </row>
        <row r="4468">
          <cell r="A4468" t="str">
            <v>KR</v>
          </cell>
          <cell r="D4468">
            <v>43190</v>
          </cell>
        </row>
        <row r="4469">
          <cell r="A4469" t="str">
            <v>ANZ</v>
          </cell>
          <cell r="D4469">
            <v>43167</v>
          </cell>
        </row>
        <row r="4470">
          <cell r="A4470" t="str">
            <v>GC</v>
          </cell>
          <cell r="D4470">
            <v>43326</v>
          </cell>
        </row>
        <row r="4471">
          <cell r="A4471" t="str">
            <v>GC</v>
          </cell>
          <cell r="D4471">
            <v>43263</v>
          </cell>
        </row>
        <row r="4472">
          <cell r="A4472" t="str">
            <v>GC</v>
          </cell>
          <cell r="D4472">
            <v>43428</v>
          </cell>
        </row>
        <row r="4473">
          <cell r="A4473" t="str">
            <v>GC</v>
          </cell>
          <cell r="D4473">
            <v>43254</v>
          </cell>
        </row>
        <row r="4474">
          <cell r="A4474" t="str">
            <v>GC</v>
          </cell>
          <cell r="D4474">
            <v>43175</v>
          </cell>
        </row>
        <row r="4475">
          <cell r="A4475" t="str">
            <v>GC</v>
          </cell>
          <cell r="D4475">
            <v>43251</v>
          </cell>
        </row>
        <row r="4476">
          <cell r="A4476" t="str">
            <v>GC</v>
          </cell>
          <cell r="D4476">
            <v>43387</v>
          </cell>
        </row>
        <row r="4477">
          <cell r="A4477" t="str">
            <v>IN</v>
          </cell>
          <cell r="D4477">
            <v>43197</v>
          </cell>
        </row>
        <row r="4478">
          <cell r="A4478" t="str">
            <v>IN</v>
          </cell>
          <cell r="D4478">
            <v>43247</v>
          </cell>
        </row>
        <row r="4479">
          <cell r="A4479" t="str">
            <v>IN</v>
          </cell>
          <cell r="D4479">
            <v>43423</v>
          </cell>
        </row>
        <row r="4480">
          <cell r="A4480" t="str">
            <v>IN</v>
          </cell>
          <cell r="D4480">
            <v>43292</v>
          </cell>
        </row>
        <row r="4481">
          <cell r="A4481" t="str">
            <v>ANZ</v>
          </cell>
          <cell r="D4481">
            <v>43366</v>
          </cell>
        </row>
        <row r="4482">
          <cell r="A4482" t="str">
            <v>IN</v>
          </cell>
          <cell r="D4482">
            <v>43140</v>
          </cell>
        </row>
        <row r="4483">
          <cell r="A4483" t="str">
            <v>IN</v>
          </cell>
          <cell r="D4483">
            <v>43130</v>
          </cell>
        </row>
        <row r="4484">
          <cell r="A4484" t="str">
            <v>IN</v>
          </cell>
          <cell r="D4484">
            <v>43209</v>
          </cell>
        </row>
        <row r="4485">
          <cell r="A4485" t="str">
            <v>IN</v>
          </cell>
          <cell r="D4485">
            <v>43359</v>
          </cell>
        </row>
        <row r="4486">
          <cell r="A4486" t="str">
            <v>IN</v>
          </cell>
          <cell r="D4486">
            <v>43425</v>
          </cell>
        </row>
        <row r="4487">
          <cell r="A4487" t="str">
            <v>IN</v>
          </cell>
          <cell r="D4487">
            <v>43228</v>
          </cell>
        </row>
        <row r="4488">
          <cell r="A4488" t="str">
            <v>GC</v>
          </cell>
          <cell r="D4488">
            <v>43442</v>
          </cell>
        </row>
        <row r="4489">
          <cell r="A4489" t="str">
            <v>IN</v>
          </cell>
          <cell r="D4489">
            <v>43192</v>
          </cell>
        </row>
        <row r="4490">
          <cell r="A4490" t="str">
            <v>IN</v>
          </cell>
          <cell r="D4490">
            <v>43365</v>
          </cell>
        </row>
        <row r="4491">
          <cell r="A4491" t="str">
            <v>GC</v>
          </cell>
          <cell r="D4491">
            <v>43247</v>
          </cell>
        </row>
        <row r="4492">
          <cell r="A4492" t="str">
            <v>IN</v>
          </cell>
          <cell r="D4492">
            <v>43161</v>
          </cell>
        </row>
        <row r="4493">
          <cell r="A4493" t="str">
            <v>IN</v>
          </cell>
          <cell r="D4493">
            <v>43291</v>
          </cell>
        </row>
        <row r="4494">
          <cell r="A4494" t="str">
            <v>IN</v>
          </cell>
          <cell r="D4494">
            <v>43288</v>
          </cell>
        </row>
        <row r="4495">
          <cell r="A4495" t="str">
            <v>IN</v>
          </cell>
          <cell r="D4495">
            <v>43415</v>
          </cell>
        </row>
        <row r="4496">
          <cell r="A4496" t="str">
            <v>IN</v>
          </cell>
          <cell r="D4496">
            <v>43145</v>
          </cell>
        </row>
        <row r="4497">
          <cell r="A4497" t="str">
            <v>IN</v>
          </cell>
          <cell r="D4497">
            <v>43157</v>
          </cell>
        </row>
        <row r="4498">
          <cell r="A4498" t="str">
            <v>IN</v>
          </cell>
          <cell r="D4498">
            <v>43150</v>
          </cell>
        </row>
        <row r="4499">
          <cell r="A4499" t="str">
            <v>IN</v>
          </cell>
          <cell r="D4499">
            <v>43342</v>
          </cell>
        </row>
        <row r="4500">
          <cell r="A4500" t="str">
            <v>IN</v>
          </cell>
          <cell r="D4500">
            <v>43290</v>
          </cell>
        </row>
        <row r="4501">
          <cell r="A4501" t="str">
            <v>IN</v>
          </cell>
          <cell r="D4501">
            <v>43337</v>
          </cell>
        </row>
        <row r="4502">
          <cell r="A4502" t="str">
            <v>GC</v>
          </cell>
          <cell r="D4502">
            <v>43275</v>
          </cell>
        </row>
        <row r="4503">
          <cell r="A4503" t="str">
            <v>GC</v>
          </cell>
          <cell r="D4503">
            <v>43403</v>
          </cell>
        </row>
        <row r="4504">
          <cell r="A4504" t="str">
            <v>GC</v>
          </cell>
          <cell r="D4504">
            <v>43194</v>
          </cell>
        </row>
        <row r="4505">
          <cell r="A4505" t="str">
            <v>GC</v>
          </cell>
          <cell r="D4505">
            <v>43287</v>
          </cell>
        </row>
        <row r="4506">
          <cell r="A4506" t="str">
            <v>ASEAN</v>
          </cell>
          <cell r="D4506">
            <v>43455</v>
          </cell>
        </row>
        <row r="4507">
          <cell r="A4507" t="str">
            <v>IN</v>
          </cell>
          <cell r="D4507">
            <v>43146</v>
          </cell>
        </row>
        <row r="4508">
          <cell r="A4508" t="str">
            <v>IN</v>
          </cell>
          <cell r="D4508">
            <v>43311</v>
          </cell>
        </row>
        <row r="4509">
          <cell r="A4509" t="str">
            <v>GC</v>
          </cell>
          <cell r="D4509">
            <v>43118</v>
          </cell>
        </row>
        <row r="4510">
          <cell r="A4510" t="str">
            <v>ANZ</v>
          </cell>
          <cell r="D4510">
            <v>43375</v>
          </cell>
        </row>
        <row r="4511">
          <cell r="A4511" t="str">
            <v>GC</v>
          </cell>
          <cell r="D4511">
            <v>43265</v>
          </cell>
        </row>
        <row r="4512">
          <cell r="A4512" t="str">
            <v>ASEAN</v>
          </cell>
          <cell r="D4512">
            <v>43442</v>
          </cell>
        </row>
        <row r="4513">
          <cell r="A4513" t="str">
            <v>ANZ</v>
          </cell>
          <cell r="D4513">
            <v>43176</v>
          </cell>
        </row>
        <row r="4514">
          <cell r="A4514" t="str">
            <v>GC</v>
          </cell>
          <cell r="D4514">
            <v>43107</v>
          </cell>
        </row>
        <row r="4515">
          <cell r="A4515" t="str">
            <v>GC</v>
          </cell>
          <cell r="D4515">
            <v>43289</v>
          </cell>
        </row>
        <row r="4516">
          <cell r="A4516" t="str">
            <v>GC</v>
          </cell>
          <cell r="D4516">
            <v>43330</v>
          </cell>
        </row>
        <row r="4517">
          <cell r="A4517" t="str">
            <v>GC</v>
          </cell>
          <cell r="D4517">
            <v>43339</v>
          </cell>
        </row>
        <row r="4518">
          <cell r="A4518" t="str">
            <v>GC</v>
          </cell>
          <cell r="D4518">
            <v>43132</v>
          </cell>
        </row>
        <row r="4519">
          <cell r="A4519" t="str">
            <v>GC</v>
          </cell>
          <cell r="D4519">
            <v>43351</v>
          </cell>
        </row>
        <row r="4520">
          <cell r="A4520" t="str">
            <v>IN</v>
          </cell>
          <cell r="D4520">
            <v>43149</v>
          </cell>
        </row>
        <row r="4521">
          <cell r="A4521" t="str">
            <v>IN</v>
          </cell>
          <cell r="D4521">
            <v>43305</v>
          </cell>
        </row>
        <row r="4522">
          <cell r="A4522" t="str">
            <v>IN</v>
          </cell>
          <cell r="D4522">
            <v>43179</v>
          </cell>
        </row>
        <row r="4523">
          <cell r="A4523" t="str">
            <v>ANZ</v>
          </cell>
          <cell r="D4523">
            <v>43111</v>
          </cell>
        </row>
        <row r="4524">
          <cell r="A4524" t="str">
            <v>ASEAN</v>
          </cell>
          <cell r="D4524">
            <v>43311</v>
          </cell>
        </row>
        <row r="4525">
          <cell r="A4525" t="str">
            <v>IN</v>
          </cell>
          <cell r="D4525">
            <v>43215</v>
          </cell>
        </row>
        <row r="4526">
          <cell r="A4526" t="str">
            <v>IN</v>
          </cell>
          <cell r="D4526">
            <v>43133</v>
          </cell>
        </row>
        <row r="4527">
          <cell r="A4527" t="str">
            <v>IN</v>
          </cell>
          <cell r="D4527">
            <v>43131</v>
          </cell>
        </row>
        <row r="4528">
          <cell r="A4528" t="str">
            <v>IN</v>
          </cell>
          <cell r="D4528">
            <v>43217</v>
          </cell>
        </row>
        <row r="4529">
          <cell r="A4529" t="str">
            <v>ASEAN</v>
          </cell>
          <cell r="D4529">
            <v>43331</v>
          </cell>
        </row>
        <row r="4530">
          <cell r="A4530" t="str">
            <v>ASEAN</v>
          </cell>
          <cell r="D4530">
            <v>43181</v>
          </cell>
        </row>
        <row r="4531">
          <cell r="A4531" t="str">
            <v>ASEAN</v>
          </cell>
          <cell r="D4531">
            <v>43272</v>
          </cell>
        </row>
        <row r="4532">
          <cell r="A4532" t="str">
            <v>IN</v>
          </cell>
          <cell r="D4532">
            <v>43170</v>
          </cell>
        </row>
        <row r="4533">
          <cell r="A4533" t="str">
            <v>IN</v>
          </cell>
          <cell r="D4533">
            <v>43199</v>
          </cell>
        </row>
        <row r="4534">
          <cell r="A4534" t="str">
            <v>IN</v>
          </cell>
          <cell r="D4534">
            <v>43416</v>
          </cell>
        </row>
        <row r="4535">
          <cell r="A4535" t="str">
            <v>IN</v>
          </cell>
          <cell r="D4535">
            <v>43443</v>
          </cell>
        </row>
        <row r="4536">
          <cell r="A4536" t="str">
            <v>KR</v>
          </cell>
          <cell r="D4536">
            <v>43388</v>
          </cell>
        </row>
        <row r="4537">
          <cell r="A4537" t="str">
            <v>GC</v>
          </cell>
          <cell r="D4537">
            <v>43448</v>
          </cell>
        </row>
        <row r="4538">
          <cell r="A4538" t="str">
            <v>GC</v>
          </cell>
          <cell r="D4538">
            <v>43128</v>
          </cell>
        </row>
        <row r="4539">
          <cell r="A4539" t="str">
            <v>GC</v>
          </cell>
          <cell r="D4539">
            <v>43411</v>
          </cell>
        </row>
        <row r="4540">
          <cell r="A4540" t="str">
            <v>IN</v>
          </cell>
          <cell r="D4540">
            <v>43460</v>
          </cell>
        </row>
        <row r="4541">
          <cell r="A4541" t="str">
            <v>GC</v>
          </cell>
          <cell r="D4541">
            <v>43322</v>
          </cell>
        </row>
        <row r="4542">
          <cell r="A4542" t="str">
            <v>GC</v>
          </cell>
          <cell r="D4542">
            <v>43223</v>
          </cell>
        </row>
        <row r="4543">
          <cell r="A4543" t="str">
            <v>IN</v>
          </cell>
          <cell r="D4543">
            <v>43396</v>
          </cell>
        </row>
        <row r="4544">
          <cell r="A4544" t="str">
            <v>GC</v>
          </cell>
          <cell r="D4544">
            <v>43203</v>
          </cell>
        </row>
        <row r="4545">
          <cell r="A4545" t="str">
            <v>GC</v>
          </cell>
          <cell r="D4545">
            <v>43183</v>
          </cell>
        </row>
        <row r="4546">
          <cell r="A4546" t="str">
            <v>GC</v>
          </cell>
          <cell r="D4546">
            <v>43287</v>
          </cell>
        </row>
        <row r="4547">
          <cell r="A4547" t="str">
            <v>GC</v>
          </cell>
          <cell r="D4547">
            <v>43138</v>
          </cell>
        </row>
        <row r="4548">
          <cell r="A4548" t="str">
            <v>GC</v>
          </cell>
          <cell r="D4548">
            <v>43291</v>
          </cell>
        </row>
        <row r="4549">
          <cell r="A4549" t="str">
            <v>GC</v>
          </cell>
          <cell r="D4549">
            <v>43224</v>
          </cell>
        </row>
        <row r="4550">
          <cell r="A4550" t="str">
            <v>GC</v>
          </cell>
          <cell r="D4550">
            <v>43229</v>
          </cell>
        </row>
        <row r="4551">
          <cell r="A4551" t="str">
            <v>GC</v>
          </cell>
          <cell r="D4551">
            <v>43288</v>
          </cell>
        </row>
        <row r="4552">
          <cell r="A4552" t="str">
            <v>GC</v>
          </cell>
          <cell r="D4552">
            <v>43341</v>
          </cell>
        </row>
        <row r="4553">
          <cell r="A4553" t="str">
            <v>GC</v>
          </cell>
          <cell r="D4553">
            <v>43286</v>
          </cell>
        </row>
        <row r="4554">
          <cell r="A4554" t="str">
            <v>GC</v>
          </cell>
          <cell r="D4554">
            <v>43145</v>
          </cell>
        </row>
        <row r="4555">
          <cell r="A4555" t="str">
            <v>GC</v>
          </cell>
          <cell r="D4555">
            <v>43377</v>
          </cell>
        </row>
        <row r="4556">
          <cell r="A4556" t="str">
            <v>GC</v>
          </cell>
          <cell r="D4556">
            <v>43198</v>
          </cell>
        </row>
        <row r="4557">
          <cell r="A4557" t="str">
            <v>IN</v>
          </cell>
          <cell r="D4557">
            <v>43319</v>
          </cell>
        </row>
        <row r="4558">
          <cell r="A4558" t="str">
            <v>GC</v>
          </cell>
          <cell r="D4558">
            <v>43369</v>
          </cell>
        </row>
        <row r="4559">
          <cell r="A4559" t="str">
            <v>IN</v>
          </cell>
          <cell r="D4559">
            <v>43178</v>
          </cell>
        </row>
        <row r="4560">
          <cell r="A4560" t="str">
            <v>ASEAN</v>
          </cell>
          <cell r="D4560">
            <v>43148</v>
          </cell>
        </row>
        <row r="4561">
          <cell r="A4561" t="str">
            <v>IN</v>
          </cell>
          <cell r="D4561">
            <v>43212</v>
          </cell>
        </row>
        <row r="4562">
          <cell r="A4562" t="str">
            <v>GC</v>
          </cell>
          <cell r="D4562">
            <v>43371</v>
          </cell>
        </row>
        <row r="4563">
          <cell r="A4563" t="str">
            <v>GC</v>
          </cell>
          <cell r="D4563">
            <v>43433</v>
          </cell>
        </row>
        <row r="4564">
          <cell r="A4564" t="str">
            <v>IN</v>
          </cell>
          <cell r="D4564">
            <v>43338</v>
          </cell>
        </row>
        <row r="4565">
          <cell r="A4565" t="str">
            <v>IN</v>
          </cell>
          <cell r="D4565">
            <v>43245</v>
          </cell>
        </row>
        <row r="4566">
          <cell r="A4566" t="str">
            <v>IN</v>
          </cell>
          <cell r="D4566">
            <v>43447</v>
          </cell>
        </row>
        <row r="4567">
          <cell r="A4567" t="str">
            <v>IN</v>
          </cell>
          <cell r="D4567">
            <v>43230</v>
          </cell>
        </row>
        <row r="4568">
          <cell r="A4568" t="str">
            <v>ASEAN</v>
          </cell>
          <cell r="D4568">
            <v>43445</v>
          </cell>
        </row>
        <row r="4569">
          <cell r="A4569" t="str">
            <v>IN</v>
          </cell>
          <cell r="D4569">
            <v>43274</v>
          </cell>
        </row>
        <row r="4570">
          <cell r="A4570" t="str">
            <v>GC</v>
          </cell>
          <cell r="D4570">
            <v>43273</v>
          </cell>
        </row>
        <row r="4571">
          <cell r="A4571" t="str">
            <v>IN</v>
          </cell>
          <cell r="D4571">
            <v>43369</v>
          </cell>
        </row>
        <row r="4572">
          <cell r="A4572" t="str">
            <v>ASEAN</v>
          </cell>
          <cell r="D4572">
            <v>43396</v>
          </cell>
        </row>
        <row r="4573">
          <cell r="A4573" t="str">
            <v>GC</v>
          </cell>
          <cell r="D4573">
            <v>43350</v>
          </cell>
        </row>
        <row r="4574">
          <cell r="A4574" t="str">
            <v>ASEAN</v>
          </cell>
          <cell r="D4574">
            <v>43235</v>
          </cell>
        </row>
        <row r="4575">
          <cell r="A4575" t="str">
            <v>GC</v>
          </cell>
          <cell r="D4575">
            <v>43204</v>
          </cell>
        </row>
        <row r="4576">
          <cell r="A4576" t="str">
            <v>KR</v>
          </cell>
          <cell r="D4576">
            <v>43352</v>
          </cell>
        </row>
        <row r="4577">
          <cell r="A4577" t="str">
            <v>GC</v>
          </cell>
          <cell r="D4577">
            <v>43368</v>
          </cell>
        </row>
        <row r="4578">
          <cell r="A4578" t="str">
            <v>IN</v>
          </cell>
          <cell r="D4578">
            <v>43140</v>
          </cell>
        </row>
        <row r="4579">
          <cell r="A4579" t="str">
            <v>GC</v>
          </cell>
          <cell r="D4579">
            <v>43159</v>
          </cell>
        </row>
        <row r="4580">
          <cell r="A4580" t="str">
            <v>GC</v>
          </cell>
          <cell r="D4580">
            <v>43207</v>
          </cell>
        </row>
        <row r="4581">
          <cell r="A4581" t="str">
            <v>GC</v>
          </cell>
          <cell r="D4581">
            <v>43107</v>
          </cell>
        </row>
        <row r="4582">
          <cell r="A4582" t="str">
            <v>ASEAN</v>
          </cell>
          <cell r="D4582">
            <v>43315</v>
          </cell>
        </row>
        <row r="4583">
          <cell r="A4583" t="str">
            <v>GC</v>
          </cell>
          <cell r="D4583">
            <v>43266</v>
          </cell>
        </row>
        <row r="4584">
          <cell r="A4584" t="str">
            <v>IN</v>
          </cell>
          <cell r="D4584">
            <v>43463</v>
          </cell>
        </row>
        <row r="4585">
          <cell r="A4585" t="str">
            <v>ASEAN</v>
          </cell>
          <cell r="D4585">
            <v>43242</v>
          </cell>
        </row>
        <row r="4586">
          <cell r="A4586" t="str">
            <v>IN</v>
          </cell>
          <cell r="D4586">
            <v>43402</v>
          </cell>
        </row>
        <row r="4587">
          <cell r="A4587" t="str">
            <v>IN</v>
          </cell>
          <cell r="D4587">
            <v>43255</v>
          </cell>
        </row>
        <row r="4588">
          <cell r="A4588" t="str">
            <v>IN</v>
          </cell>
          <cell r="D4588">
            <v>43251</v>
          </cell>
        </row>
        <row r="4589">
          <cell r="A4589" t="str">
            <v>IN</v>
          </cell>
          <cell r="D4589">
            <v>43102</v>
          </cell>
        </row>
        <row r="4590">
          <cell r="A4590" t="str">
            <v>IN</v>
          </cell>
          <cell r="D4590">
            <v>43131</v>
          </cell>
        </row>
        <row r="4591">
          <cell r="A4591" t="str">
            <v>IN</v>
          </cell>
          <cell r="D4591">
            <v>43421</v>
          </cell>
        </row>
        <row r="4592">
          <cell r="A4592" t="str">
            <v>ASEAN</v>
          </cell>
          <cell r="D4592">
            <v>43426</v>
          </cell>
        </row>
        <row r="4593">
          <cell r="A4593" t="str">
            <v>ASEAN</v>
          </cell>
          <cell r="D4593">
            <v>43409</v>
          </cell>
        </row>
        <row r="4594">
          <cell r="A4594" t="str">
            <v>ASEAN</v>
          </cell>
          <cell r="D4594">
            <v>43191</v>
          </cell>
        </row>
        <row r="4595">
          <cell r="A4595" t="str">
            <v>ASEAN</v>
          </cell>
          <cell r="D4595">
            <v>43212</v>
          </cell>
        </row>
        <row r="4596">
          <cell r="A4596" t="str">
            <v>ASEAN</v>
          </cell>
          <cell r="D4596">
            <v>43192</v>
          </cell>
        </row>
        <row r="4597">
          <cell r="A4597" t="str">
            <v>ASEAN</v>
          </cell>
          <cell r="D4597">
            <v>43134</v>
          </cell>
        </row>
        <row r="4598">
          <cell r="A4598" t="str">
            <v>ASEAN</v>
          </cell>
          <cell r="D4598">
            <v>43240</v>
          </cell>
        </row>
        <row r="4599">
          <cell r="A4599" t="str">
            <v>IN</v>
          </cell>
          <cell r="D4599">
            <v>43191</v>
          </cell>
        </row>
        <row r="4600">
          <cell r="A4600" t="str">
            <v>GC</v>
          </cell>
          <cell r="D4600">
            <v>43384</v>
          </cell>
        </row>
        <row r="4601">
          <cell r="A4601" t="str">
            <v>GC</v>
          </cell>
          <cell r="D4601">
            <v>43236</v>
          </cell>
        </row>
        <row r="4602">
          <cell r="A4602" t="str">
            <v>KR</v>
          </cell>
          <cell r="D4602">
            <v>43251</v>
          </cell>
        </row>
        <row r="4603">
          <cell r="A4603" t="str">
            <v>KR</v>
          </cell>
          <cell r="D4603">
            <v>43108</v>
          </cell>
        </row>
        <row r="4604">
          <cell r="A4604" t="str">
            <v>ASEAN</v>
          </cell>
          <cell r="D4604">
            <v>43136</v>
          </cell>
        </row>
        <row r="4605">
          <cell r="A4605" t="str">
            <v>ASEAN</v>
          </cell>
          <cell r="D4605">
            <v>43131</v>
          </cell>
        </row>
        <row r="4606">
          <cell r="A4606" t="str">
            <v>ASEAN</v>
          </cell>
          <cell r="D4606">
            <v>43461</v>
          </cell>
        </row>
        <row r="4607">
          <cell r="A4607" t="str">
            <v>ASEAN</v>
          </cell>
          <cell r="D4607">
            <v>43445</v>
          </cell>
        </row>
        <row r="4608">
          <cell r="A4608" t="str">
            <v>ASEAN</v>
          </cell>
          <cell r="D4608">
            <v>43309</v>
          </cell>
        </row>
        <row r="4609">
          <cell r="A4609" t="str">
            <v>IN</v>
          </cell>
          <cell r="D4609">
            <v>43140</v>
          </cell>
        </row>
        <row r="4610">
          <cell r="A4610" t="str">
            <v>GC</v>
          </cell>
          <cell r="D4610">
            <v>43225</v>
          </cell>
        </row>
        <row r="4611">
          <cell r="A4611" t="str">
            <v>GC</v>
          </cell>
          <cell r="D4611">
            <v>43310</v>
          </cell>
        </row>
        <row r="4612">
          <cell r="A4612" t="str">
            <v>IN</v>
          </cell>
          <cell r="D4612">
            <v>43137</v>
          </cell>
        </row>
        <row r="4613">
          <cell r="A4613" t="str">
            <v>IN</v>
          </cell>
          <cell r="D4613">
            <v>43311</v>
          </cell>
        </row>
        <row r="4614">
          <cell r="A4614" t="str">
            <v>IN</v>
          </cell>
          <cell r="D4614">
            <v>43433</v>
          </cell>
        </row>
        <row r="4615">
          <cell r="A4615" t="str">
            <v>IN</v>
          </cell>
          <cell r="D4615">
            <v>43294</v>
          </cell>
        </row>
        <row r="4616">
          <cell r="A4616" t="str">
            <v>KR</v>
          </cell>
          <cell r="D4616">
            <v>43360</v>
          </cell>
        </row>
        <row r="4617">
          <cell r="A4617" t="str">
            <v>KR</v>
          </cell>
          <cell r="D4617">
            <v>43115</v>
          </cell>
        </row>
        <row r="4618">
          <cell r="A4618" t="str">
            <v>KR</v>
          </cell>
          <cell r="D4618">
            <v>43249</v>
          </cell>
        </row>
        <row r="4619">
          <cell r="A4619" t="str">
            <v>KR</v>
          </cell>
          <cell r="D4619">
            <v>43124</v>
          </cell>
        </row>
        <row r="4620">
          <cell r="A4620" t="str">
            <v>KR</v>
          </cell>
          <cell r="D4620">
            <v>43257</v>
          </cell>
        </row>
        <row r="4621">
          <cell r="A4621" t="str">
            <v>IN</v>
          </cell>
          <cell r="D4621">
            <v>43373</v>
          </cell>
        </row>
        <row r="4622">
          <cell r="A4622" t="str">
            <v>GC</v>
          </cell>
          <cell r="D4622">
            <v>43151</v>
          </cell>
        </row>
        <row r="4623">
          <cell r="A4623" t="str">
            <v>ASEAN</v>
          </cell>
          <cell r="D4623">
            <v>43309</v>
          </cell>
        </row>
        <row r="4624">
          <cell r="A4624" t="str">
            <v>IN</v>
          </cell>
          <cell r="D4624">
            <v>43109</v>
          </cell>
        </row>
        <row r="4625">
          <cell r="A4625" t="str">
            <v>GC</v>
          </cell>
          <cell r="D4625">
            <v>43422</v>
          </cell>
        </row>
        <row r="4626">
          <cell r="A4626" t="str">
            <v>IN</v>
          </cell>
          <cell r="D4626">
            <v>43379</v>
          </cell>
        </row>
        <row r="4627">
          <cell r="A4627" t="str">
            <v>ANZ</v>
          </cell>
          <cell r="D4627">
            <v>43270</v>
          </cell>
        </row>
        <row r="4628">
          <cell r="A4628" t="str">
            <v>ASEAN</v>
          </cell>
          <cell r="D4628">
            <v>43163</v>
          </cell>
        </row>
        <row r="4629">
          <cell r="A4629" t="str">
            <v>ASEAN</v>
          </cell>
          <cell r="D4629">
            <v>43227</v>
          </cell>
        </row>
        <row r="4630">
          <cell r="A4630" t="str">
            <v>IN</v>
          </cell>
          <cell r="D4630">
            <v>43333</v>
          </cell>
        </row>
        <row r="4631">
          <cell r="A4631" t="str">
            <v>ASEAN</v>
          </cell>
          <cell r="D4631">
            <v>43210</v>
          </cell>
        </row>
        <row r="4632">
          <cell r="A4632" t="str">
            <v>GC</v>
          </cell>
          <cell r="D4632">
            <v>43302</v>
          </cell>
        </row>
        <row r="4633">
          <cell r="A4633" t="str">
            <v>GC</v>
          </cell>
          <cell r="D4633">
            <v>43459</v>
          </cell>
        </row>
        <row r="4634">
          <cell r="A4634" t="str">
            <v>KR</v>
          </cell>
          <cell r="D4634">
            <v>43423</v>
          </cell>
        </row>
        <row r="4635">
          <cell r="A4635" t="str">
            <v>KR</v>
          </cell>
          <cell r="D4635">
            <v>43377</v>
          </cell>
        </row>
        <row r="4636">
          <cell r="A4636" t="str">
            <v>KR</v>
          </cell>
          <cell r="D4636">
            <v>43149</v>
          </cell>
        </row>
        <row r="4637">
          <cell r="A4637" t="str">
            <v>ANZ</v>
          </cell>
          <cell r="D4637">
            <v>43441</v>
          </cell>
        </row>
        <row r="4638">
          <cell r="A4638" t="str">
            <v>ASEAN</v>
          </cell>
          <cell r="D4638">
            <v>43330</v>
          </cell>
        </row>
        <row r="4639">
          <cell r="A4639" t="str">
            <v>IN</v>
          </cell>
          <cell r="D4639">
            <v>43352</v>
          </cell>
        </row>
        <row r="4640">
          <cell r="A4640" t="str">
            <v>GC</v>
          </cell>
          <cell r="D4640">
            <v>43188</v>
          </cell>
        </row>
        <row r="4641">
          <cell r="A4641" t="str">
            <v>GC</v>
          </cell>
          <cell r="D4641">
            <v>43112</v>
          </cell>
        </row>
        <row r="4642">
          <cell r="A4642" t="str">
            <v>KR</v>
          </cell>
          <cell r="D4642">
            <v>43251</v>
          </cell>
        </row>
        <row r="4643">
          <cell r="A4643" t="str">
            <v>ASEAN</v>
          </cell>
          <cell r="D4643">
            <v>43416</v>
          </cell>
        </row>
        <row r="4644">
          <cell r="A4644" t="str">
            <v>IN</v>
          </cell>
          <cell r="D4644">
            <v>43198</v>
          </cell>
        </row>
        <row r="4645">
          <cell r="A4645" t="str">
            <v>IN</v>
          </cell>
          <cell r="D4645">
            <v>43401</v>
          </cell>
        </row>
        <row r="4646">
          <cell r="A4646" t="str">
            <v>ANZ</v>
          </cell>
          <cell r="D4646">
            <v>43391</v>
          </cell>
        </row>
        <row r="4647">
          <cell r="A4647" t="str">
            <v>ANZ</v>
          </cell>
          <cell r="D4647">
            <v>43414</v>
          </cell>
        </row>
        <row r="4648">
          <cell r="A4648" t="str">
            <v>GC</v>
          </cell>
          <cell r="D4648">
            <v>43311</v>
          </cell>
        </row>
        <row r="4649">
          <cell r="A4649" t="str">
            <v>ASEAN</v>
          </cell>
          <cell r="D4649">
            <v>43452</v>
          </cell>
        </row>
        <row r="4650">
          <cell r="A4650" t="str">
            <v>IN</v>
          </cell>
          <cell r="D4650">
            <v>43428</v>
          </cell>
        </row>
        <row r="4651">
          <cell r="A4651" t="str">
            <v>IN</v>
          </cell>
          <cell r="D4651">
            <v>43316</v>
          </cell>
        </row>
        <row r="4652">
          <cell r="A4652" t="str">
            <v>IN</v>
          </cell>
          <cell r="D4652">
            <v>43228</v>
          </cell>
        </row>
        <row r="4653">
          <cell r="A4653" t="str">
            <v>IN</v>
          </cell>
          <cell r="D4653">
            <v>43414</v>
          </cell>
        </row>
        <row r="4654">
          <cell r="A4654" t="str">
            <v>GC</v>
          </cell>
          <cell r="D4654">
            <v>43335</v>
          </cell>
        </row>
        <row r="4655">
          <cell r="A4655" t="str">
            <v>IN</v>
          </cell>
          <cell r="D4655">
            <v>43413</v>
          </cell>
        </row>
        <row r="4656">
          <cell r="A4656" t="str">
            <v>IN</v>
          </cell>
          <cell r="D4656">
            <v>43421</v>
          </cell>
        </row>
        <row r="4657">
          <cell r="A4657" t="str">
            <v>GC</v>
          </cell>
          <cell r="D4657">
            <v>43318</v>
          </cell>
        </row>
        <row r="4658">
          <cell r="A4658" t="str">
            <v>GC</v>
          </cell>
          <cell r="D4658">
            <v>43211</v>
          </cell>
        </row>
        <row r="4659">
          <cell r="A4659" t="str">
            <v>ANZ</v>
          </cell>
          <cell r="D4659">
            <v>43197</v>
          </cell>
        </row>
        <row r="4660">
          <cell r="A4660" t="str">
            <v>ASEAN</v>
          </cell>
          <cell r="D4660">
            <v>43319</v>
          </cell>
        </row>
        <row r="4661">
          <cell r="A4661" t="str">
            <v>IN</v>
          </cell>
          <cell r="D4661">
            <v>43363</v>
          </cell>
        </row>
        <row r="4662">
          <cell r="A4662" t="str">
            <v>IN</v>
          </cell>
          <cell r="D4662">
            <v>43355</v>
          </cell>
        </row>
        <row r="4663">
          <cell r="A4663" t="str">
            <v>ASEAN</v>
          </cell>
          <cell r="D4663">
            <v>43184</v>
          </cell>
        </row>
        <row r="4664">
          <cell r="A4664" t="str">
            <v>ASEAN</v>
          </cell>
          <cell r="D4664">
            <v>43234</v>
          </cell>
        </row>
        <row r="4665">
          <cell r="A4665" t="str">
            <v>IN</v>
          </cell>
          <cell r="D4665">
            <v>43312</v>
          </cell>
        </row>
        <row r="4666">
          <cell r="A4666" t="str">
            <v>IN</v>
          </cell>
          <cell r="D4666">
            <v>43404</v>
          </cell>
        </row>
        <row r="4667">
          <cell r="A4667" t="str">
            <v>GC</v>
          </cell>
          <cell r="D4667">
            <v>43120</v>
          </cell>
        </row>
        <row r="4668">
          <cell r="A4668" t="str">
            <v>KR</v>
          </cell>
          <cell r="D4668">
            <v>43272</v>
          </cell>
        </row>
        <row r="4669">
          <cell r="A4669" t="str">
            <v>GC</v>
          </cell>
          <cell r="D4669">
            <v>43334</v>
          </cell>
        </row>
        <row r="4670">
          <cell r="A4670" t="str">
            <v>GC</v>
          </cell>
          <cell r="D4670">
            <v>43458</v>
          </cell>
        </row>
        <row r="4671">
          <cell r="A4671" t="str">
            <v>GC</v>
          </cell>
          <cell r="D4671">
            <v>43312</v>
          </cell>
        </row>
        <row r="4672">
          <cell r="A4672" t="str">
            <v>KR</v>
          </cell>
          <cell r="D4672">
            <v>43350</v>
          </cell>
        </row>
        <row r="4673">
          <cell r="A4673" t="str">
            <v>IN</v>
          </cell>
          <cell r="D4673">
            <v>43308</v>
          </cell>
        </row>
        <row r="4674">
          <cell r="A4674" t="str">
            <v>IN</v>
          </cell>
          <cell r="D4674">
            <v>43330</v>
          </cell>
        </row>
        <row r="4675">
          <cell r="A4675" t="str">
            <v>IN</v>
          </cell>
          <cell r="D4675">
            <v>43134</v>
          </cell>
        </row>
        <row r="4676">
          <cell r="A4676" t="str">
            <v>IN</v>
          </cell>
          <cell r="D4676">
            <v>43229</v>
          </cell>
        </row>
        <row r="4677">
          <cell r="A4677" t="str">
            <v>IN</v>
          </cell>
          <cell r="D4677">
            <v>43318</v>
          </cell>
        </row>
        <row r="4678">
          <cell r="A4678" t="str">
            <v>IN</v>
          </cell>
          <cell r="D4678">
            <v>43126</v>
          </cell>
        </row>
        <row r="4679">
          <cell r="A4679" t="str">
            <v>IN</v>
          </cell>
          <cell r="D4679">
            <v>43435</v>
          </cell>
        </row>
        <row r="4680">
          <cell r="A4680" t="str">
            <v>GC</v>
          </cell>
          <cell r="D4680">
            <v>43116</v>
          </cell>
        </row>
        <row r="4681">
          <cell r="A4681" t="str">
            <v>GC</v>
          </cell>
          <cell r="D4681">
            <v>43317</v>
          </cell>
        </row>
        <row r="4682">
          <cell r="A4682" t="str">
            <v>GC</v>
          </cell>
          <cell r="D4682">
            <v>43303</v>
          </cell>
        </row>
        <row r="4683">
          <cell r="A4683" t="str">
            <v>GC</v>
          </cell>
          <cell r="D4683">
            <v>43433</v>
          </cell>
        </row>
        <row r="4684">
          <cell r="A4684" t="str">
            <v>GC</v>
          </cell>
          <cell r="D4684">
            <v>43451</v>
          </cell>
        </row>
        <row r="4685">
          <cell r="A4685" t="str">
            <v>ASEAN</v>
          </cell>
          <cell r="D4685">
            <v>43435</v>
          </cell>
        </row>
        <row r="4686">
          <cell r="A4686" t="str">
            <v>ANZ</v>
          </cell>
          <cell r="D4686">
            <v>43162</v>
          </cell>
        </row>
        <row r="4687">
          <cell r="A4687" t="str">
            <v>ANZ</v>
          </cell>
          <cell r="D4687">
            <v>43160</v>
          </cell>
        </row>
        <row r="4688">
          <cell r="A4688" t="str">
            <v>ASEAN</v>
          </cell>
          <cell r="D4688">
            <v>43143</v>
          </cell>
        </row>
        <row r="4689">
          <cell r="A4689" t="str">
            <v>IN</v>
          </cell>
          <cell r="D4689">
            <v>43312</v>
          </cell>
        </row>
        <row r="4690">
          <cell r="A4690" t="str">
            <v>KR</v>
          </cell>
          <cell r="D4690">
            <v>43312</v>
          </cell>
        </row>
        <row r="4691">
          <cell r="A4691" t="str">
            <v>GC</v>
          </cell>
          <cell r="D4691">
            <v>43397</v>
          </cell>
        </row>
        <row r="4692">
          <cell r="A4692" t="str">
            <v>IN</v>
          </cell>
          <cell r="D4692">
            <v>43281</v>
          </cell>
        </row>
        <row r="4693">
          <cell r="A4693" t="str">
            <v>GC</v>
          </cell>
          <cell r="D4693">
            <v>43237</v>
          </cell>
        </row>
        <row r="4694">
          <cell r="A4694" t="str">
            <v>GC</v>
          </cell>
          <cell r="D4694">
            <v>43195</v>
          </cell>
        </row>
        <row r="4695">
          <cell r="A4695" t="str">
            <v>GC</v>
          </cell>
          <cell r="D4695">
            <v>43340</v>
          </cell>
        </row>
        <row r="4696">
          <cell r="A4696" t="str">
            <v>GC</v>
          </cell>
          <cell r="D4696">
            <v>43184</v>
          </cell>
        </row>
        <row r="4697">
          <cell r="A4697" t="str">
            <v>GC</v>
          </cell>
          <cell r="D4697">
            <v>43453</v>
          </cell>
        </row>
        <row r="4698">
          <cell r="A4698" t="str">
            <v>GC</v>
          </cell>
          <cell r="D4698">
            <v>43269</v>
          </cell>
        </row>
        <row r="4699">
          <cell r="A4699" t="str">
            <v>GC</v>
          </cell>
          <cell r="D4699">
            <v>43248</v>
          </cell>
        </row>
        <row r="4700">
          <cell r="A4700" t="str">
            <v>ANZ</v>
          </cell>
          <cell r="D4700">
            <v>43245</v>
          </cell>
        </row>
        <row r="4701">
          <cell r="A4701" t="str">
            <v>ASEAN</v>
          </cell>
          <cell r="D4701">
            <v>43333</v>
          </cell>
        </row>
        <row r="4702">
          <cell r="A4702" t="str">
            <v>GC</v>
          </cell>
          <cell r="D4702">
            <v>43243</v>
          </cell>
        </row>
        <row r="4703">
          <cell r="A4703" t="str">
            <v>GC</v>
          </cell>
          <cell r="D4703">
            <v>43218</v>
          </cell>
        </row>
        <row r="4704">
          <cell r="A4704" t="str">
            <v>IN</v>
          </cell>
          <cell r="D4704">
            <v>43353</v>
          </cell>
        </row>
        <row r="4705">
          <cell r="A4705" t="str">
            <v>IN</v>
          </cell>
          <cell r="D4705">
            <v>43285</v>
          </cell>
        </row>
        <row r="4706">
          <cell r="A4706" t="str">
            <v>GC</v>
          </cell>
          <cell r="D4706">
            <v>43288</v>
          </cell>
        </row>
        <row r="4707">
          <cell r="A4707" t="str">
            <v>GC</v>
          </cell>
          <cell r="D4707">
            <v>43146</v>
          </cell>
        </row>
        <row r="4708">
          <cell r="A4708" t="str">
            <v>KR</v>
          </cell>
          <cell r="D4708">
            <v>43331</v>
          </cell>
        </row>
        <row r="4709">
          <cell r="A4709" t="str">
            <v>KR</v>
          </cell>
          <cell r="D4709">
            <v>43114</v>
          </cell>
        </row>
        <row r="4710">
          <cell r="A4710" t="str">
            <v>IN</v>
          </cell>
          <cell r="D4710">
            <v>43182</v>
          </cell>
        </row>
        <row r="4711">
          <cell r="A4711" t="str">
            <v>IN</v>
          </cell>
          <cell r="D4711">
            <v>43391</v>
          </cell>
        </row>
        <row r="4712">
          <cell r="A4712" t="str">
            <v>GC</v>
          </cell>
          <cell r="D4712">
            <v>43155</v>
          </cell>
        </row>
        <row r="4713">
          <cell r="A4713" t="str">
            <v>GC</v>
          </cell>
          <cell r="D4713">
            <v>43305</v>
          </cell>
        </row>
        <row r="4714">
          <cell r="A4714" t="str">
            <v>IN</v>
          </cell>
          <cell r="D4714">
            <v>43175</v>
          </cell>
        </row>
        <row r="4715">
          <cell r="A4715" t="str">
            <v>IN</v>
          </cell>
          <cell r="D4715">
            <v>43365</v>
          </cell>
        </row>
        <row r="4716">
          <cell r="A4716" t="str">
            <v>ASEAN</v>
          </cell>
          <cell r="D4716">
            <v>43384</v>
          </cell>
        </row>
        <row r="4717">
          <cell r="A4717" t="str">
            <v>GC</v>
          </cell>
          <cell r="D4717">
            <v>43360</v>
          </cell>
        </row>
        <row r="4718">
          <cell r="A4718" t="str">
            <v>KR</v>
          </cell>
          <cell r="D4718">
            <v>43126</v>
          </cell>
        </row>
        <row r="4719">
          <cell r="A4719" t="str">
            <v>IN</v>
          </cell>
          <cell r="D4719">
            <v>43369</v>
          </cell>
        </row>
        <row r="4720">
          <cell r="A4720" t="str">
            <v>KR</v>
          </cell>
          <cell r="D4720">
            <v>43434</v>
          </cell>
        </row>
        <row r="4721">
          <cell r="A4721" t="str">
            <v>GC</v>
          </cell>
          <cell r="D4721">
            <v>43262</v>
          </cell>
        </row>
        <row r="4722">
          <cell r="A4722" t="str">
            <v>ASEAN</v>
          </cell>
          <cell r="D4722">
            <v>43421</v>
          </cell>
        </row>
        <row r="4723">
          <cell r="A4723" t="str">
            <v>IN</v>
          </cell>
          <cell r="D4723">
            <v>43267</v>
          </cell>
        </row>
        <row r="4724">
          <cell r="A4724" t="str">
            <v>IN</v>
          </cell>
          <cell r="D4724">
            <v>43129</v>
          </cell>
        </row>
        <row r="4725">
          <cell r="A4725" t="str">
            <v>GC</v>
          </cell>
          <cell r="D4725">
            <v>43180</v>
          </cell>
        </row>
        <row r="4726">
          <cell r="A4726" t="str">
            <v>GC</v>
          </cell>
          <cell r="D4726">
            <v>43266</v>
          </cell>
        </row>
        <row r="4727">
          <cell r="A4727" t="str">
            <v>ASEAN</v>
          </cell>
          <cell r="D4727">
            <v>43134</v>
          </cell>
        </row>
        <row r="4728">
          <cell r="A4728" t="str">
            <v>ASEAN</v>
          </cell>
          <cell r="D4728">
            <v>43251</v>
          </cell>
        </row>
        <row r="4729">
          <cell r="A4729" t="str">
            <v>GC</v>
          </cell>
          <cell r="D4729">
            <v>43219</v>
          </cell>
        </row>
        <row r="4730">
          <cell r="A4730" t="str">
            <v>IN</v>
          </cell>
          <cell r="D4730">
            <v>43155</v>
          </cell>
        </row>
        <row r="4731">
          <cell r="A4731" t="str">
            <v>IN</v>
          </cell>
          <cell r="D4731">
            <v>43230</v>
          </cell>
        </row>
        <row r="4732">
          <cell r="A4732" t="str">
            <v>IN</v>
          </cell>
          <cell r="D4732">
            <v>43327</v>
          </cell>
        </row>
        <row r="4733">
          <cell r="A4733" t="str">
            <v>ANZ</v>
          </cell>
          <cell r="D4733">
            <v>43329</v>
          </cell>
        </row>
        <row r="4734">
          <cell r="A4734" t="str">
            <v>ANZ</v>
          </cell>
          <cell r="D4734">
            <v>43293</v>
          </cell>
        </row>
        <row r="4735">
          <cell r="A4735" t="str">
            <v>GC</v>
          </cell>
          <cell r="D4735">
            <v>43125</v>
          </cell>
        </row>
        <row r="4736">
          <cell r="A4736" t="str">
            <v>GC</v>
          </cell>
          <cell r="D4736">
            <v>43271</v>
          </cell>
        </row>
        <row r="4737">
          <cell r="A4737" t="str">
            <v>GC</v>
          </cell>
          <cell r="D4737">
            <v>43183</v>
          </cell>
        </row>
        <row r="4738">
          <cell r="A4738" t="str">
            <v>ANZ</v>
          </cell>
          <cell r="D4738">
            <v>43198</v>
          </cell>
        </row>
        <row r="4739">
          <cell r="A4739" t="str">
            <v>GC</v>
          </cell>
          <cell r="D4739">
            <v>43223</v>
          </cell>
        </row>
        <row r="4740">
          <cell r="A4740" t="str">
            <v>GC</v>
          </cell>
          <cell r="D4740">
            <v>43297</v>
          </cell>
        </row>
        <row r="4741">
          <cell r="A4741" t="str">
            <v>GC</v>
          </cell>
          <cell r="D4741">
            <v>43253</v>
          </cell>
        </row>
        <row r="4742">
          <cell r="A4742" t="str">
            <v>GC</v>
          </cell>
          <cell r="D4742">
            <v>43411</v>
          </cell>
        </row>
        <row r="4743">
          <cell r="A4743" t="str">
            <v>GC</v>
          </cell>
          <cell r="D4743">
            <v>43242</v>
          </cell>
        </row>
        <row r="4744">
          <cell r="A4744" t="str">
            <v>ANZ</v>
          </cell>
          <cell r="D4744">
            <v>43366</v>
          </cell>
        </row>
        <row r="4745">
          <cell r="A4745" t="str">
            <v>GC</v>
          </cell>
          <cell r="D4745">
            <v>43439</v>
          </cell>
        </row>
        <row r="4746">
          <cell r="A4746" t="str">
            <v>ASEAN</v>
          </cell>
          <cell r="D4746">
            <v>43297</v>
          </cell>
        </row>
        <row r="4747">
          <cell r="A4747" t="str">
            <v>GC</v>
          </cell>
          <cell r="D4747">
            <v>43275</v>
          </cell>
        </row>
        <row r="4748">
          <cell r="A4748" t="str">
            <v>GC</v>
          </cell>
          <cell r="D4748">
            <v>43237</v>
          </cell>
        </row>
        <row r="4749">
          <cell r="A4749" t="str">
            <v>GC</v>
          </cell>
          <cell r="D4749">
            <v>43230</v>
          </cell>
        </row>
        <row r="4750">
          <cell r="A4750" t="str">
            <v>GC</v>
          </cell>
          <cell r="D4750">
            <v>43395</v>
          </cell>
        </row>
        <row r="4751">
          <cell r="A4751" t="str">
            <v>GC</v>
          </cell>
          <cell r="D4751">
            <v>43292</v>
          </cell>
        </row>
        <row r="4752">
          <cell r="A4752" t="str">
            <v>GC</v>
          </cell>
          <cell r="D4752">
            <v>43168</v>
          </cell>
        </row>
        <row r="4753">
          <cell r="A4753" t="str">
            <v>GC</v>
          </cell>
          <cell r="D4753">
            <v>43343</v>
          </cell>
        </row>
        <row r="4754">
          <cell r="A4754" t="str">
            <v>GC</v>
          </cell>
          <cell r="D4754">
            <v>43136</v>
          </cell>
        </row>
        <row r="4755">
          <cell r="A4755" t="str">
            <v>GC</v>
          </cell>
          <cell r="D4755">
            <v>43362</v>
          </cell>
        </row>
        <row r="4756">
          <cell r="A4756" t="str">
            <v>GC</v>
          </cell>
          <cell r="D4756">
            <v>43329</v>
          </cell>
        </row>
        <row r="4757">
          <cell r="A4757" t="str">
            <v>GC</v>
          </cell>
          <cell r="D4757">
            <v>43439</v>
          </cell>
        </row>
        <row r="4758">
          <cell r="A4758" t="str">
            <v>GC</v>
          </cell>
          <cell r="D4758">
            <v>43353</v>
          </cell>
        </row>
        <row r="4759">
          <cell r="A4759" t="str">
            <v>GC</v>
          </cell>
          <cell r="D4759">
            <v>43384</v>
          </cell>
        </row>
        <row r="4760">
          <cell r="A4760" t="str">
            <v>GC</v>
          </cell>
          <cell r="D4760">
            <v>43393</v>
          </cell>
        </row>
        <row r="4761">
          <cell r="A4761" t="str">
            <v>GC</v>
          </cell>
          <cell r="D4761">
            <v>43414</v>
          </cell>
        </row>
        <row r="4762">
          <cell r="A4762" t="str">
            <v>GC</v>
          </cell>
          <cell r="D4762">
            <v>43304</v>
          </cell>
        </row>
        <row r="4763">
          <cell r="A4763" t="str">
            <v>GC</v>
          </cell>
          <cell r="D4763">
            <v>43131</v>
          </cell>
        </row>
        <row r="4764">
          <cell r="A4764" t="str">
            <v>ASEAN</v>
          </cell>
          <cell r="D4764">
            <v>43367</v>
          </cell>
        </row>
        <row r="4765">
          <cell r="A4765" t="str">
            <v>ANZ</v>
          </cell>
          <cell r="D4765">
            <v>43432</v>
          </cell>
        </row>
        <row r="4766">
          <cell r="A4766" t="str">
            <v>KR</v>
          </cell>
          <cell r="D4766">
            <v>43141</v>
          </cell>
        </row>
        <row r="4767">
          <cell r="A4767" t="str">
            <v>GC</v>
          </cell>
          <cell r="D4767">
            <v>43279</v>
          </cell>
        </row>
        <row r="4768">
          <cell r="A4768" t="str">
            <v>GC</v>
          </cell>
          <cell r="D4768">
            <v>43295</v>
          </cell>
        </row>
        <row r="4769">
          <cell r="A4769" t="str">
            <v>GC</v>
          </cell>
          <cell r="D4769">
            <v>43122</v>
          </cell>
        </row>
        <row r="4770">
          <cell r="A4770" t="str">
            <v>GC</v>
          </cell>
          <cell r="D4770">
            <v>43148</v>
          </cell>
        </row>
        <row r="4771">
          <cell r="A4771" t="str">
            <v>ANZ</v>
          </cell>
          <cell r="D4771">
            <v>43390</v>
          </cell>
        </row>
        <row r="4772">
          <cell r="A4772" t="str">
            <v>GC</v>
          </cell>
          <cell r="D4772">
            <v>43344</v>
          </cell>
        </row>
        <row r="4773">
          <cell r="A4773" t="str">
            <v>GC</v>
          </cell>
          <cell r="D4773">
            <v>43122</v>
          </cell>
        </row>
        <row r="4774">
          <cell r="A4774" t="str">
            <v>GC</v>
          </cell>
          <cell r="D4774">
            <v>43275</v>
          </cell>
        </row>
        <row r="4775">
          <cell r="A4775" t="str">
            <v>IN</v>
          </cell>
          <cell r="D4775">
            <v>43328</v>
          </cell>
        </row>
        <row r="4776">
          <cell r="A4776" t="str">
            <v>GC</v>
          </cell>
          <cell r="D4776">
            <v>43427</v>
          </cell>
        </row>
        <row r="4777">
          <cell r="A4777" t="str">
            <v>IN</v>
          </cell>
          <cell r="D4777">
            <v>43156</v>
          </cell>
        </row>
        <row r="4778">
          <cell r="A4778" t="str">
            <v>ASEAN</v>
          </cell>
          <cell r="D4778">
            <v>43105</v>
          </cell>
        </row>
        <row r="4779">
          <cell r="A4779" t="str">
            <v>IN</v>
          </cell>
          <cell r="D4779">
            <v>43281</v>
          </cell>
        </row>
        <row r="4780">
          <cell r="A4780" t="str">
            <v>GC</v>
          </cell>
          <cell r="D4780">
            <v>43225</v>
          </cell>
        </row>
        <row r="4781">
          <cell r="A4781" t="str">
            <v>GC</v>
          </cell>
          <cell r="D4781">
            <v>43162</v>
          </cell>
        </row>
        <row r="4782">
          <cell r="A4782" t="str">
            <v>GC</v>
          </cell>
          <cell r="D4782">
            <v>43143</v>
          </cell>
        </row>
        <row r="4783">
          <cell r="A4783" t="str">
            <v>ASEAN</v>
          </cell>
          <cell r="D4783">
            <v>43225</v>
          </cell>
        </row>
        <row r="4784">
          <cell r="A4784" t="str">
            <v>IN</v>
          </cell>
          <cell r="D4784">
            <v>43201</v>
          </cell>
        </row>
        <row r="4785">
          <cell r="A4785" t="str">
            <v>ANZ</v>
          </cell>
          <cell r="D4785">
            <v>43317</v>
          </cell>
        </row>
        <row r="4786">
          <cell r="A4786" t="str">
            <v>ANZ</v>
          </cell>
          <cell r="D4786">
            <v>43220</v>
          </cell>
        </row>
        <row r="4787">
          <cell r="A4787" t="str">
            <v>ANZ</v>
          </cell>
          <cell r="D4787">
            <v>43385</v>
          </cell>
        </row>
        <row r="4788">
          <cell r="A4788" t="str">
            <v>ANZ</v>
          </cell>
          <cell r="D4788">
            <v>43230</v>
          </cell>
        </row>
        <row r="4789">
          <cell r="A4789" t="str">
            <v>ANZ</v>
          </cell>
          <cell r="D4789">
            <v>43394</v>
          </cell>
        </row>
        <row r="4790">
          <cell r="A4790" t="str">
            <v>GC</v>
          </cell>
          <cell r="D4790">
            <v>43109</v>
          </cell>
        </row>
        <row r="4791">
          <cell r="A4791" t="str">
            <v>IN</v>
          </cell>
          <cell r="D4791">
            <v>43330</v>
          </cell>
        </row>
        <row r="4792">
          <cell r="A4792" t="str">
            <v>GC</v>
          </cell>
          <cell r="D4792">
            <v>43445</v>
          </cell>
        </row>
        <row r="4793">
          <cell r="A4793" t="str">
            <v>GC</v>
          </cell>
          <cell r="D4793">
            <v>43328</v>
          </cell>
        </row>
        <row r="4794">
          <cell r="A4794" t="str">
            <v>GC</v>
          </cell>
          <cell r="D4794">
            <v>43284</v>
          </cell>
        </row>
        <row r="4795">
          <cell r="A4795" t="str">
            <v>GC</v>
          </cell>
          <cell r="D4795">
            <v>43425</v>
          </cell>
        </row>
        <row r="4796">
          <cell r="A4796" t="str">
            <v>GC</v>
          </cell>
          <cell r="D4796">
            <v>43292</v>
          </cell>
        </row>
        <row r="4797">
          <cell r="A4797" t="str">
            <v>GC</v>
          </cell>
          <cell r="D4797">
            <v>43318</v>
          </cell>
        </row>
        <row r="4798">
          <cell r="A4798" t="str">
            <v>GC</v>
          </cell>
          <cell r="D4798">
            <v>43244</v>
          </cell>
        </row>
        <row r="4799">
          <cell r="A4799" t="str">
            <v>ASEAN</v>
          </cell>
          <cell r="D4799">
            <v>43204</v>
          </cell>
        </row>
        <row r="4800">
          <cell r="A4800" t="str">
            <v>IN</v>
          </cell>
          <cell r="D4800">
            <v>43106</v>
          </cell>
        </row>
        <row r="4801">
          <cell r="A4801" t="str">
            <v>IN</v>
          </cell>
          <cell r="D4801">
            <v>43255</v>
          </cell>
        </row>
        <row r="4802">
          <cell r="A4802" t="str">
            <v>ANZ</v>
          </cell>
          <cell r="D4802">
            <v>43369</v>
          </cell>
        </row>
        <row r="4803">
          <cell r="A4803" t="str">
            <v>ANZ</v>
          </cell>
          <cell r="D4803">
            <v>43187</v>
          </cell>
        </row>
        <row r="4804">
          <cell r="A4804" t="str">
            <v>ANZ</v>
          </cell>
          <cell r="D4804">
            <v>43294</v>
          </cell>
        </row>
        <row r="4805">
          <cell r="A4805" t="str">
            <v>ANZ</v>
          </cell>
          <cell r="D4805">
            <v>43244</v>
          </cell>
        </row>
        <row r="4806">
          <cell r="A4806" t="str">
            <v>ANZ</v>
          </cell>
          <cell r="D4806">
            <v>43289</v>
          </cell>
        </row>
        <row r="4807">
          <cell r="A4807" t="str">
            <v>ANZ</v>
          </cell>
          <cell r="D4807">
            <v>43240</v>
          </cell>
        </row>
        <row r="4808">
          <cell r="A4808" t="str">
            <v>ANZ</v>
          </cell>
          <cell r="D4808">
            <v>43341</v>
          </cell>
        </row>
        <row r="4809">
          <cell r="A4809" t="str">
            <v>IN</v>
          </cell>
          <cell r="D4809">
            <v>43124</v>
          </cell>
        </row>
        <row r="4810">
          <cell r="A4810" t="str">
            <v>IN</v>
          </cell>
          <cell r="D4810">
            <v>43271</v>
          </cell>
        </row>
        <row r="4811">
          <cell r="A4811" t="str">
            <v>ANZ</v>
          </cell>
          <cell r="D4811">
            <v>43439</v>
          </cell>
        </row>
        <row r="4812">
          <cell r="A4812" t="str">
            <v>IN</v>
          </cell>
          <cell r="D4812">
            <v>43288</v>
          </cell>
        </row>
        <row r="4813">
          <cell r="A4813" t="str">
            <v>IN</v>
          </cell>
          <cell r="D4813">
            <v>43371</v>
          </cell>
        </row>
        <row r="4814">
          <cell r="A4814" t="str">
            <v>IN</v>
          </cell>
          <cell r="D4814">
            <v>43384</v>
          </cell>
        </row>
        <row r="4815">
          <cell r="A4815" t="str">
            <v>ASEAN</v>
          </cell>
          <cell r="D4815">
            <v>43294</v>
          </cell>
        </row>
        <row r="4816">
          <cell r="A4816" t="str">
            <v>GC</v>
          </cell>
          <cell r="D4816">
            <v>43133</v>
          </cell>
        </row>
        <row r="4817">
          <cell r="A4817" t="str">
            <v>KR</v>
          </cell>
          <cell r="D4817">
            <v>43335</v>
          </cell>
        </row>
        <row r="4818">
          <cell r="A4818" t="str">
            <v>KR</v>
          </cell>
          <cell r="D4818">
            <v>43451</v>
          </cell>
        </row>
        <row r="4819">
          <cell r="A4819" t="str">
            <v>IN</v>
          </cell>
          <cell r="D4819">
            <v>43371</v>
          </cell>
        </row>
        <row r="4820">
          <cell r="A4820" t="str">
            <v>ASEAN</v>
          </cell>
          <cell r="D4820">
            <v>43364</v>
          </cell>
        </row>
        <row r="4821">
          <cell r="A4821" t="str">
            <v>ASEAN</v>
          </cell>
          <cell r="D4821">
            <v>43430</v>
          </cell>
        </row>
        <row r="4822">
          <cell r="A4822" t="str">
            <v>GC</v>
          </cell>
          <cell r="D4822">
            <v>43313</v>
          </cell>
        </row>
        <row r="4823">
          <cell r="A4823" t="str">
            <v>GC</v>
          </cell>
          <cell r="D4823">
            <v>43362</v>
          </cell>
        </row>
        <row r="4824">
          <cell r="A4824" t="str">
            <v>GC</v>
          </cell>
          <cell r="D4824">
            <v>43287</v>
          </cell>
        </row>
        <row r="4825">
          <cell r="A4825" t="str">
            <v>GC</v>
          </cell>
          <cell r="D4825">
            <v>43335</v>
          </cell>
        </row>
        <row r="4826">
          <cell r="A4826" t="str">
            <v>GC</v>
          </cell>
          <cell r="D4826">
            <v>43139</v>
          </cell>
        </row>
        <row r="4827">
          <cell r="A4827" t="str">
            <v>GC</v>
          </cell>
          <cell r="D4827">
            <v>43333</v>
          </cell>
        </row>
        <row r="4828">
          <cell r="A4828" t="str">
            <v>GC</v>
          </cell>
          <cell r="D4828">
            <v>43141</v>
          </cell>
        </row>
        <row r="4829">
          <cell r="A4829" t="str">
            <v>IN</v>
          </cell>
          <cell r="D4829">
            <v>43251</v>
          </cell>
        </row>
        <row r="4830">
          <cell r="A4830" t="str">
            <v>ANZ</v>
          </cell>
          <cell r="D4830">
            <v>43394</v>
          </cell>
        </row>
        <row r="4831">
          <cell r="A4831" t="str">
            <v>ANZ</v>
          </cell>
          <cell r="D4831">
            <v>43452</v>
          </cell>
        </row>
        <row r="4832">
          <cell r="A4832" t="str">
            <v>ANZ</v>
          </cell>
          <cell r="D4832">
            <v>43383</v>
          </cell>
        </row>
        <row r="4833">
          <cell r="A4833" t="str">
            <v>GC</v>
          </cell>
          <cell r="D4833">
            <v>43248</v>
          </cell>
        </row>
        <row r="4834">
          <cell r="A4834" t="str">
            <v>GC</v>
          </cell>
          <cell r="D4834">
            <v>43368</v>
          </cell>
        </row>
        <row r="4835">
          <cell r="A4835" t="str">
            <v>GC</v>
          </cell>
          <cell r="D4835">
            <v>43137</v>
          </cell>
        </row>
        <row r="4836">
          <cell r="A4836" t="str">
            <v>GC</v>
          </cell>
          <cell r="D4836">
            <v>43423</v>
          </cell>
        </row>
        <row r="4837">
          <cell r="A4837" t="str">
            <v>GC</v>
          </cell>
          <cell r="D4837">
            <v>43148</v>
          </cell>
        </row>
        <row r="4838">
          <cell r="A4838" t="str">
            <v>GC</v>
          </cell>
          <cell r="D4838">
            <v>43190</v>
          </cell>
        </row>
        <row r="4839">
          <cell r="A4839" t="str">
            <v>GC</v>
          </cell>
          <cell r="D4839">
            <v>43450</v>
          </cell>
        </row>
        <row r="4840">
          <cell r="A4840" t="str">
            <v>GC</v>
          </cell>
          <cell r="D4840">
            <v>43277</v>
          </cell>
        </row>
        <row r="4841">
          <cell r="A4841" t="str">
            <v>GC</v>
          </cell>
          <cell r="D4841">
            <v>43390</v>
          </cell>
        </row>
        <row r="4842">
          <cell r="A4842" t="str">
            <v>GC</v>
          </cell>
          <cell r="D4842">
            <v>43264</v>
          </cell>
        </row>
        <row r="4843">
          <cell r="A4843" t="str">
            <v>GC</v>
          </cell>
          <cell r="D4843">
            <v>43223</v>
          </cell>
        </row>
        <row r="4844">
          <cell r="A4844" t="str">
            <v>GC</v>
          </cell>
          <cell r="D4844">
            <v>43305</v>
          </cell>
        </row>
        <row r="4845">
          <cell r="A4845" t="str">
            <v>GC</v>
          </cell>
          <cell r="D4845">
            <v>43439</v>
          </cell>
        </row>
        <row r="4846">
          <cell r="A4846" t="str">
            <v>GC</v>
          </cell>
          <cell r="D4846">
            <v>43296</v>
          </cell>
        </row>
        <row r="4847">
          <cell r="A4847" t="str">
            <v>GC</v>
          </cell>
          <cell r="D4847">
            <v>43121</v>
          </cell>
        </row>
        <row r="4848">
          <cell r="A4848" t="str">
            <v>GC</v>
          </cell>
          <cell r="D4848">
            <v>43403</v>
          </cell>
        </row>
        <row r="4849">
          <cell r="A4849" t="str">
            <v>GC</v>
          </cell>
          <cell r="D4849">
            <v>43401</v>
          </cell>
        </row>
        <row r="4850">
          <cell r="A4850" t="str">
            <v>GC</v>
          </cell>
          <cell r="D4850">
            <v>43181</v>
          </cell>
        </row>
        <row r="4851">
          <cell r="A4851" t="str">
            <v>GC</v>
          </cell>
          <cell r="D4851">
            <v>43148</v>
          </cell>
        </row>
        <row r="4852">
          <cell r="A4852" t="str">
            <v>GC</v>
          </cell>
          <cell r="D4852">
            <v>43276</v>
          </cell>
        </row>
        <row r="4853">
          <cell r="A4853" t="str">
            <v>GC</v>
          </cell>
          <cell r="D4853">
            <v>43460</v>
          </cell>
        </row>
        <row r="4854">
          <cell r="A4854" t="str">
            <v>GC</v>
          </cell>
          <cell r="D4854">
            <v>43386</v>
          </cell>
        </row>
        <row r="4855">
          <cell r="A4855" t="str">
            <v>GC</v>
          </cell>
          <cell r="D4855">
            <v>43462</v>
          </cell>
        </row>
        <row r="4856">
          <cell r="A4856" t="str">
            <v>GC</v>
          </cell>
          <cell r="D4856">
            <v>43415</v>
          </cell>
        </row>
        <row r="4857">
          <cell r="A4857" t="str">
            <v>GC</v>
          </cell>
          <cell r="D4857">
            <v>43410</v>
          </cell>
        </row>
        <row r="4858">
          <cell r="A4858" t="str">
            <v>GC</v>
          </cell>
          <cell r="D4858">
            <v>43254</v>
          </cell>
        </row>
        <row r="4859">
          <cell r="A4859" t="str">
            <v>GC</v>
          </cell>
          <cell r="D4859">
            <v>43281</v>
          </cell>
        </row>
        <row r="4860">
          <cell r="A4860" t="str">
            <v>GC</v>
          </cell>
          <cell r="D4860">
            <v>43186</v>
          </cell>
        </row>
        <row r="4861">
          <cell r="A4861" t="str">
            <v>GC</v>
          </cell>
          <cell r="D4861">
            <v>43229</v>
          </cell>
        </row>
        <row r="4862">
          <cell r="A4862" t="str">
            <v>GC</v>
          </cell>
          <cell r="D4862">
            <v>43276</v>
          </cell>
        </row>
        <row r="4863">
          <cell r="A4863" t="str">
            <v>GC</v>
          </cell>
          <cell r="D4863">
            <v>43344</v>
          </cell>
        </row>
        <row r="4864">
          <cell r="A4864" t="str">
            <v>GC</v>
          </cell>
          <cell r="D4864">
            <v>43133</v>
          </cell>
        </row>
        <row r="4865">
          <cell r="A4865" t="str">
            <v>GC</v>
          </cell>
          <cell r="D4865">
            <v>43135</v>
          </cell>
        </row>
        <row r="4866">
          <cell r="A4866" t="str">
            <v>GC</v>
          </cell>
          <cell r="D4866">
            <v>43308</v>
          </cell>
        </row>
        <row r="4867">
          <cell r="A4867" t="str">
            <v>GC</v>
          </cell>
          <cell r="D4867">
            <v>43453</v>
          </cell>
        </row>
        <row r="4868">
          <cell r="A4868" t="str">
            <v>ANZ</v>
          </cell>
          <cell r="D4868">
            <v>43253</v>
          </cell>
        </row>
        <row r="4869">
          <cell r="A4869" t="str">
            <v>KR</v>
          </cell>
          <cell r="D4869">
            <v>43165</v>
          </cell>
        </row>
        <row r="4870">
          <cell r="A4870" t="str">
            <v>ASEAN</v>
          </cell>
          <cell r="D4870">
            <v>43121</v>
          </cell>
        </row>
        <row r="4871">
          <cell r="A4871" t="str">
            <v>GC</v>
          </cell>
          <cell r="D4871">
            <v>43134</v>
          </cell>
        </row>
        <row r="4872">
          <cell r="A4872" t="str">
            <v>GC</v>
          </cell>
          <cell r="D4872">
            <v>43202</v>
          </cell>
        </row>
        <row r="4873">
          <cell r="A4873" t="str">
            <v>GC</v>
          </cell>
          <cell r="D4873">
            <v>43318</v>
          </cell>
        </row>
        <row r="4874">
          <cell r="A4874" t="str">
            <v>IN</v>
          </cell>
          <cell r="D4874">
            <v>43211</v>
          </cell>
        </row>
        <row r="4875">
          <cell r="A4875" t="str">
            <v>IN</v>
          </cell>
          <cell r="D4875">
            <v>43393</v>
          </cell>
        </row>
        <row r="4876">
          <cell r="A4876" t="str">
            <v>IN</v>
          </cell>
          <cell r="D4876">
            <v>43231</v>
          </cell>
        </row>
        <row r="4877">
          <cell r="A4877" t="str">
            <v>IN</v>
          </cell>
          <cell r="D4877">
            <v>43200</v>
          </cell>
        </row>
        <row r="4878">
          <cell r="A4878" t="str">
            <v>GC</v>
          </cell>
          <cell r="D4878">
            <v>43424</v>
          </cell>
        </row>
        <row r="4879">
          <cell r="A4879" t="str">
            <v>IN</v>
          </cell>
          <cell r="D4879">
            <v>43394</v>
          </cell>
        </row>
        <row r="4880">
          <cell r="A4880" t="str">
            <v>KR</v>
          </cell>
          <cell r="D4880">
            <v>43418</v>
          </cell>
        </row>
        <row r="4881">
          <cell r="A4881" t="str">
            <v>GC</v>
          </cell>
          <cell r="D4881">
            <v>43439</v>
          </cell>
        </row>
        <row r="4882">
          <cell r="A4882" t="str">
            <v>GC</v>
          </cell>
          <cell r="D4882">
            <v>43126</v>
          </cell>
        </row>
        <row r="4883">
          <cell r="A4883" t="str">
            <v>KR</v>
          </cell>
          <cell r="D4883">
            <v>43408</v>
          </cell>
        </row>
        <row r="4884">
          <cell r="A4884" t="str">
            <v>KR</v>
          </cell>
          <cell r="D4884">
            <v>43229</v>
          </cell>
        </row>
        <row r="4885">
          <cell r="A4885" t="str">
            <v>GC</v>
          </cell>
          <cell r="D4885">
            <v>43229</v>
          </cell>
        </row>
        <row r="4886">
          <cell r="A4886" t="str">
            <v>GC</v>
          </cell>
          <cell r="D4886">
            <v>43146</v>
          </cell>
        </row>
        <row r="4887">
          <cell r="A4887" t="str">
            <v>GC</v>
          </cell>
          <cell r="D4887">
            <v>43439</v>
          </cell>
        </row>
        <row r="4888">
          <cell r="A4888" t="str">
            <v>GC</v>
          </cell>
          <cell r="D4888">
            <v>43302</v>
          </cell>
        </row>
        <row r="4889">
          <cell r="A4889" t="str">
            <v>GC</v>
          </cell>
          <cell r="D4889">
            <v>43211</v>
          </cell>
        </row>
        <row r="4890">
          <cell r="A4890" t="str">
            <v>GC</v>
          </cell>
          <cell r="D4890">
            <v>43119</v>
          </cell>
        </row>
        <row r="4891">
          <cell r="A4891" t="str">
            <v>GC</v>
          </cell>
          <cell r="D4891">
            <v>43370</v>
          </cell>
        </row>
        <row r="4892">
          <cell r="A4892" t="str">
            <v>IN</v>
          </cell>
          <cell r="D4892">
            <v>43296</v>
          </cell>
        </row>
        <row r="4893">
          <cell r="A4893" t="str">
            <v>IN</v>
          </cell>
          <cell r="D4893">
            <v>43332</v>
          </cell>
        </row>
        <row r="4894">
          <cell r="A4894" t="str">
            <v>GC</v>
          </cell>
          <cell r="D4894">
            <v>43211</v>
          </cell>
        </row>
        <row r="4895">
          <cell r="A4895" t="str">
            <v>GC</v>
          </cell>
          <cell r="D4895">
            <v>43432</v>
          </cell>
        </row>
        <row r="4896">
          <cell r="A4896" t="str">
            <v>GC</v>
          </cell>
          <cell r="D4896">
            <v>43320</v>
          </cell>
        </row>
        <row r="4897">
          <cell r="A4897" t="str">
            <v>ASEAN</v>
          </cell>
          <cell r="D4897">
            <v>43438</v>
          </cell>
        </row>
        <row r="4898">
          <cell r="A4898" t="str">
            <v>ASEAN</v>
          </cell>
          <cell r="D4898">
            <v>43244</v>
          </cell>
        </row>
        <row r="4899">
          <cell r="A4899" t="str">
            <v>KR</v>
          </cell>
          <cell r="D4899">
            <v>43140</v>
          </cell>
        </row>
        <row r="4900">
          <cell r="A4900" t="str">
            <v>IN</v>
          </cell>
          <cell r="D4900">
            <v>43117</v>
          </cell>
        </row>
        <row r="4901">
          <cell r="A4901" t="str">
            <v>ASEAN</v>
          </cell>
          <cell r="D4901">
            <v>43322</v>
          </cell>
        </row>
        <row r="4902">
          <cell r="A4902" t="str">
            <v>GC</v>
          </cell>
          <cell r="D4902">
            <v>43434</v>
          </cell>
        </row>
        <row r="4903">
          <cell r="A4903" t="str">
            <v>IN</v>
          </cell>
          <cell r="D4903">
            <v>43153</v>
          </cell>
        </row>
        <row r="4904">
          <cell r="A4904" t="str">
            <v>IN</v>
          </cell>
          <cell r="D4904">
            <v>43289</v>
          </cell>
        </row>
        <row r="4905">
          <cell r="A4905" t="str">
            <v>GC</v>
          </cell>
          <cell r="D4905">
            <v>43193</v>
          </cell>
        </row>
        <row r="4906">
          <cell r="A4906" t="str">
            <v>IN</v>
          </cell>
          <cell r="D4906">
            <v>43205</v>
          </cell>
        </row>
        <row r="4907">
          <cell r="A4907" t="str">
            <v>IN</v>
          </cell>
          <cell r="D4907">
            <v>43277</v>
          </cell>
        </row>
        <row r="4908">
          <cell r="A4908" t="str">
            <v>GC</v>
          </cell>
          <cell r="D4908">
            <v>43431</v>
          </cell>
        </row>
        <row r="4909">
          <cell r="A4909" t="str">
            <v>KR</v>
          </cell>
          <cell r="D4909">
            <v>43326</v>
          </cell>
        </row>
        <row r="4910">
          <cell r="A4910" t="str">
            <v>IN</v>
          </cell>
          <cell r="D4910">
            <v>43408</v>
          </cell>
        </row>
        <row r="4911">
          <cell r="A4911" t="str">
            <v>IN</v>
          </cell>
          <cell r="D4911">
            <v>43385</v>
          </cell>
        </row>
        <row r="4912">
          <cell r="A4912" t="str">
            <v>IN</v>
          </cell>
          <cell r="D4912">
            <v>43145</v>
          </cell>
        </row>
        <row r="4913">
          <cell r="A4913" t="str">
            <v>ANZ</v>
          </cell>
          <cell r="D4913">
            <v>43299</v>
          </cell>
        </row>
        <row r="4914">
          <cell r="A4914" t="str">
            <v>ASEAN</v>
          </cell>
          <cell r="D4914">
            <v>43282</v>
          </cell>
        </row>
        <row r="4915">
          <cell r="A4915" t="str">
            <v>GC</v>
          </cell>
          <cell r="D4915">
            <v>43226</v>
          </cell>
        </row>
        <row r="4916">
          <cell r="A4916" t="str">
            <v>GC</v>
          </cell>
          <cell r="D4916">
            <v>43259</v>
          </cell>
        </row>
        <row r="4917">
          <cell r="A4917" t="str">
            <v>ANZ</v>
          </cell>
          <cell r="D4917">
            <v>43140</v>
          </cell>
        </row>
        <row r="4918">
          <cell r="A4918" t="str">
            <v>GC</v>
          </cell>
          <cell r="D4918">
            <v>43126</v>
          </cell>
        </row>
        <row r="4919">
          <cell r="A4919" t="str">
            <v>IN</v>
          </cell>
          <cell r="D4919">
            <v>43388</v>
          </cell>
        </row>
        <row r="4920">
          <cell r="A4920" t="str">
            <v>ANZ</v>
          </cell>
          <cell r="D4920">
            <v>43454</v>
          </cell>
        </row>
        <row r="4921">
          <cell r="A4921" t="str">
            <v>ANZ</v>
          </cell>
          <cell r="D4921">
            <v>43202</v>
          </cell>
        </row>
        <row r="4922">
          <cell r="A4922" t="str">
            <v>GC</v>
          </cell>
          <cell r="D4922">
            <v>43199</v>
          </cell>
        </row>
        <row r="4923">
          <cell r="A4923" t="str">
            <v>GC</v>
          </cell>
          <cell r="D4923">
            <v>43461</v>
          </cell>
        </row>
        <row r="4924">
          <cell r="A4924" t="str">
            <v>GC</v>
          </cell>
          <cell r="D4924">
            <v>43431</v>
          </cell>
        </row>
        <row r="4925">
          <cell r="A4925" t="str">
            <v>GC</v>
          </cell>
          <cell r="D4925">
            <v>43174</v>
          </cell>
        </row>
        <row r="4926">
          <cell r="A4926" t="str">
            <v>ANZ</v>
          </cell>
          <cell r="D4926">
            <v>43276</v>
          </cell>
        </row>
        <row r="4927">
          <cell r="A4927" t="str">
            <v>ASEAN</v>
          </cell>
          <cell r="D4927">
            <v>43239</v>
          </cell>
        </row>
        <row r="4928">
          <cell r="A4928" t="str">
            <v>GC</v>
          </cell>
          <cell r="D4928">
            <v>43223</v>
          </cell>
        </row>
        <row r="4929">
          <cell r="A4929" t="str">
            <v>GC</v>
          </cell>
          <cell r="D4929">
            <v>43342</v>
          </cell>
        </row>
        <row r="4930">
          <cell r="A4930" t="str">
            <v>GC</v>
          </cell>
          <cell r="D4930">
            <v>43259</v>
          </cell>
        </row>
        <row r="4931">
          <cell r="A4931" t="str">
            <v>GC</v>
          </cell>
          <cell r="D4931">
            <v>43352</v>
          </cell>
        </row>
        <row r="4932">
          <cell r="A4932" t="str">
            <v>GC</v>
          </cell>
          <cell r="D4932">
            <v>43403</v>
          </cell>
        </row>
        <row r="4933">
          <cell r="A4933" t="str">
            <v>KR</v>
          </cell>
          <cell r="D4933">
            <v>43316</v>
          </cell>
        </row>
        <row r="4934">
          <cell r="A4934" t="str">
            <v>KR</v>
          </cell>
          <cell r="D4934">
            <v>43169</v>
          </cell>
        </row>
        <row r="4935">
          <cell r="A4935" t="str">
            <v>KR</v>
          </cell>
          <cell r="D4935">
            <v>43241</v>
          </cell>
        </row>
        <row r="4936">
          <cell r="A4936" t="str">
            <v>GC</v>
          </cell>
          <cell r="D4936">
            <v>43276</v>
          </cell>
        </row>
        <row r="4937">
          <cell r="A4937" t="str">
            <v>GC</v>
          </cell>
          <cell r="D4937">
            <v>43458</v>
          </cell>
        </row>
        <row r="4938">
          <cell r="A4938" t="str">
            <v>GC</v>
          </cell>
          <cell r="D4938">
            <v>43355</v>
          </cell>
        </row>
        <row r="4939">
          <cell r="A4939" t="str">
            <v>GC</v>
          </cell>
          <cell r="D4939">
            <v>43368</v>
          </cell>
        </row>
        <row r="4940">
          <cell r="A4940" t="str">
            <v>GC</v>
          </cell>
          <cell r="D4940">
            <v>43438</v>
          </cell>
        </row>
        <row r="4941">
          <cell r="A4941" t="str">
            <v>GC</v>
          </cell>
          <cell r="D4941">
            <v>43172</v>
          </cell>
        </row>
        <row r="4942">
          <cell r="A4942" t="str">
            <v>GC</v>
          </cell>
          <cell r="D4942">
            <v>43110</v>
          </cell>
        </row>
        <row r="4943">
          <cell r="A4943" t="str">
            <v>GC</v>
          </cell>
          <cell r="D4943">
            <v>43391</v>
          </cell>
        </row>
        <row r="4944">
          <cell r="A4944" t="str">
            <v>GC</v>
          </cell>
          <cell r="D4944">
            <v>43198</v>
          </cell>
        </row>
        <row r="4945">
          <cell r="A4945" t="str">
            <v>GC</v>
          </cell>
          <cell r="D4945">
            <v>43147</v>
          </cell>
        </row>
        <row r="4946">
          <cell r="A4946" t="str">
            <v>GC</v>
          </cell>
          <cell r="D4946">
            <v>43371</v>
          </cell>
        </row>
        <row r="4947">
          <cell r="A4947" t="str">
            <v>GC</v>
          </cell>
          <cell r="D4947">
            <v>43435</v>
          </cell>
        </row>
        <row r="4948">
          <cell r="A4948" t="str">
            <v>GC</v>
          </cell>
          <cell r="D4948">
            <v>43338</v>
          </cell>
        </row>
        <row r="4949">
          <cell r="A4949" t="str">
            <v>GC</v>
          </cell>
          <cell r="D4949">
            <v>43430</v>
          </cell>
        </row>
        <row r="4950">
          <cell r="A4950" t="str">
            <v>GC</v>
          </cell>
          <cell r="D4950">
            <v>43433</v>
          </cell>
        </row>
        <row r="4951">
          <cell r="A4951" t="str">
            <v>GC</v>
          </cell>
          <cell r="D4951">
            <v>43211</v>
          </cell>
        </row>
        <row r="4952">
          <cell r="A4952" t="str">
            <v>GC</v>
          </cell>
          <cell r="D4952">
            <v>43450</v>
          </cell>
        </row>
        <row r="4953">
          <cell r="A4953" t="str">
            <v>GC</v>
          </cell>
          <cell r="D4953">
            <v>43216</v>
          </cell>
        </row>
        <row r="4954">
          <cell r="A4954" t="str">
            <v>GC</v>
          </cell>
          <cell r="D4954">
            <v>43192</v>
          </cell>
        </row>
        <row r="4955">
          <cell r="A4955" t="str">
            <v>GC</v>
          </cell>
          <cell r="D4955">
            <v>43136</v>
          </cell>
        </row>
        <row r="4956">
          <cell r="A4956" t="str">
            <v>GC</v>
          </cell>
          <cell r="D4956">
            <v>43203</v>
          </cell>
        </row>
        <row r="4957">
          <cell r="A4957" t="str">
            <v>GC</v>
          </cell>
          <cell r="D4957">
            <v>43226</v>
          </cell>
        </row>
        <row r="4958">
          <cell r="A4958" t="str">
            <v>GC</v>
          </cell>
          <cell r="D4958">
            <v>43134</v>
          </cell>
        </row>
        <row r="4959">
          <cell r="A4959" t="str">
            <v>GC</v>
          </cell>
          <cell r="D4959">
            <v>43277</v>
          </cell>
        </row>
        <row r="4960">
          <cell r="A4960" t="str">
            <v>GC</v>
          </cell>
          <cell r="D4960">
            <v>43139</v>
          </cell>
        </row>
        <row r="4961">
          <cell r="A4961" t="str">
            <v>GC</v>
          </cell>
          <cell r="D4961">
            <v>43461</v>
          </cell>
        </row>
        <row r="4962">
          <cell r="A4962" t="str">
            <v>GC</v>
          </cell>
          <cell r="D4962">
            <v>43134</v>
          </cell>
        </row>
        <row r="4963">
          <cell r="A4963" t="str">
            <v>GC</v>
          </cell>
          <cell r="D4963">
            <v>43174</v>
          </cell>
        </row>
        <row r="4964">
          <cell r="A4964" t="str">
            <v>GC</v>
          </cell>
          <cell r="D4964">
            <v>43356</v>
          </cell>
        </row>
        <row r="4965">
          <cell r="A4965" t="str">
            <v>GC</v>
          </cell>
          <cell r="D4965">
            <v>43314</v>
          </cell>
        </row>
        <row r="4966">
          <cell r="A4966" t="str">
            <v>GC</v>
          </cell>
          <cell r="D4966">
            <v>43237</v>
          </cell>
        </row>
        <row r="4967">
          <cell r="A4967" t="str">
            <v>GC</v>
          </cell>
          <cell r="D4967">
            <v>43144</v>
          </cell>
        </row>
        <row r="4968">
          <cell r="A4968" t="str">
            <v>GC</v>
          </cell>
          <cell r="D4968">
            <v>43227</v>
          </cell>
        </row>
        <row r="4969">
          <cell r="A4969" t="str">
            <v>GC</v>
          </cell>
          <cell r="D4969">
            <v>43195</v>
          </cell>
        </row>
        <row r="4970">
          <cell r="A4970" t="str">
            <v>GC</v>
          </cell>
          <cell r="D4970">
            <v>43140</v>
          </cell>
        </row>
        <row r="4971">
          <cell r="A4971" t="str">
            <v>ANZ</v>
          </cell>
          <cell r="D4971">
            <v>43270</v>
          </cell>
        </row>
        <row r="4972">
          <cell r="A4972" t="str">
            <v>ANZ</v>
          </cell>
          <cell r="D4972">
            <v>43117</v>
          </cell>
        </row>
        <row r="4973">
          <cell r="A4973" t="str">
            <v>GC</v>
          </cell>
          <cell r="D4973">
            <v>43397</v>
          </cell>
        </row>
        <row r="4974">
          <cell r="A4974" t="str">
            <v>ANZ</v>
          </cell>
          <cell r="D4974">
            <v>43426</v>
          </cell>
        </row>
        <row r="4975">
          <cell r="A4975" t="str">
            <v>IN</v>
          </cell>
          <cell r="D4975">
            <v>43246</v>
          </cell>
        </row>
        <row r="4976">
          <cell r="A4976" t="str">
            <v>IN</v>
          </cell>
          <cell r="D4976">
            <v>43150</v>
          </cell>
        </row>
        <row r="4977">
          <cell r="A4977" t="str">
            <v>ASEAN</v>
          </cell>
          <cell r="D4977">
            <v>43286</v>
          </cell>
        </row>
        <row r="4978">
          <cell r="A4978" t="str">
            <v>ANZ</v>
          </cell>
          <cell r="D4978">
            <v>43342</v>
          </cell>
        </row>
        <row r="4979">
          <cell r="A4979" t="str">
            <v>ANZ</v>
          </cell>
          <cell r="D4979">
            <v>43352</v>
          </cell>
        </row>
        <row r="4980">
          <cell r="A4980" t="str">
            <v>GC</v>
          </cell>
          <cell r="D4980">
            <v>43355</v>
          </cell>
        </row>
        <row r="4981">
          <cell r="A4981" t="str">
            <v>GC</v>
          </cell>
          <cell r="D4981">
            <v>43465</v>
          </cell>
        </row>
        <row r="4982">
          <cell r="A4982" t="str">
            <v>GC</v>
          </cell>
          <cell r="D4982">
            <v>43332</v>
          </cell>
        </row>
        <row r="4983">
          <cell r="A4983" t="str">
            <v>GC</v>
          </cell>
          <cell r="D4983">
            <v>43282</v>
          </cell>
        </row>
        <row r="4984">
          <cell r="A4984" t="str">
            <v>IN</v>
          </cell>
          <cell r="D4984">
            <v>43160</v>
          </cell>
        </row>
        <row r="4985">
          <cell r="A4985" t="str">
            <v>GC</v>
          </cell>
          <cell r="D4985">
            <v>43330</v>
          </cell>
        </row>
        <row r="4986">
          <cell r="A4986" t="str">
            <v>KR</v>
          </cell>
          <cell r="D4986">
            <v>43418</v>
          </cell>
        </row>
        <row r="4987">
          <cell r="A4987" t="str">
            <v>GC</v>
          </cell>
          <cell r="D4987">
            <v>43190</v>
          </cell>
        </row>
        <row r="4988">
          <cell r="A4988" t="str">
            <v>GC</v>
          </cell>
          <cell r="D4988">
            <v>43455</v>
          </cell>
        </row>
        <row r="4989">
          <cell r="A4989" t="str">
            <v>GC</v>
          </cell>
          <cell r="D4989">
            <v>43308</v>
          </cell>
        </row>
        <row r="4990">
          <cell r="A4990" t="str">
            <v>IN</v>
          </cell>
          <cell r="D4990">
            <v>43456</v>
          </cell>
        </row>
        <row r="4991">
          <cell r="A4991" t="str">
            <v>IN</v>
          </cell>
          <cell r="D4991">
            <v>43217</v>
          </cell>
        </row>
        <row r="4992">
          <cell r="A4992" t="str">
            <v>IN</v>
          </cell>
          <cell r="D4992">
            <v>43190</v>
          </cell>
        </row>
        <row r="4993">
          <cell r="A4993" t="str">
            <v>ASEAN</v>
          </cell>
          <cell r="D4993">
            <v>43229</v>
          </cell>
        </row>
        <row r="4994">
          <cell r="A4994" t="str">
            <v>ASEAN</v>
          </cell>
          <cell r="D4994">
            <v>43253</v>
          </cell>
        </row>
        <row r="4995">
          <cell r="A4995" t="str">
            <v>IN</v>
          </cell>
          <cell r="D4995">
            <v>43378</v>
          </cell>
        </row>
        <row r="4996">
          <cell r="A4996" t="str">
            <v>IN</v>
          </cell>
          <cell r="D4996">
            <v>43234</v>
          </cell>
        </row>
        <row r="4997">
          <cell r="A4997" t="str">
            <v>ANZ</v>
          </cell>
          <cell r="D4997">
            <v>43213</v>
          </cell>
        </row>
        <row r="4998">
          <cell r="A4998" t="str">
            <v>ANZ</v>
          </cell>
          <cell r="D4998">
            <v>43172</v>
          </cell>
        </row>
        <row r="4999">
          <cell r="A4999" t="str">
            <v>ANZ</v>
          </cell>
          <cell r="D4999">
            <v>43254</v>
          </cell>
        </row>
        <row r="5000">
          <cell r="A5000" t="str">
            <v>ANZ</v>
          </cell>
          <cell r="D5000">
            <v>43361</v>
          </cell>
        </row>
        <row r="5001">
          <cell r="A5001" t="str">
            <v>ASEAN</v>
          </cell>
          <cell r="D5001">
            <v>43387</v>
          </cell>
        </row>
        <row r="5002">
          <cell r="A5002" t="str">
            <v>ANZ</v>
          </cell>
          <cell r="D5002">
            <v>43347</v>
          </cell>
        </row>
        <row r="5003">
          <cell r="A5003" t="str">
            <v>GC</v>
          </cell>
          <cell r="D5003">
            <v>43218</v>
          </cell>
        </row>
        <row r="5004">
          <cell r="A5004" t="str">
            <v>ASEAN</v>
          </cell>
          <cell r="D5004">
            <v>43433</v>
          </cell>
        </row>
        <row r="5005">
          <cell r="A5005" t="str">
            <v>GC</v>
          </cell>
          <cell r="D5005">
            <v>43125</v>
          </cell>
        </row>
        <row r="5006">
          <cell r="A5006" t="str">
            <v>KR</v>
          </cell>
          <cell r="D5006">
            <v>43213</v>
          </cell>
        </row>
        <row r="5007">
          <cell r="A5007" t="str">
            <v>ASEAN</v>
          </cell>
          <cell r="D5007">
            <v>43110</v>
          </cell>
        </row>
        <row r="5008">
          <cell r="A5008" t="str">
            <v>ASEAN</v>
          </cell>
          <cell r="D5008">
            <v>43462</v>
          </cell>
        </row>
        <row r="5009">
          <cell r="A5009" t="str">
            <v>IN</v>
          </cell>
          <cell r="D5009">
            <v>43206</v>
          </cell>
        </row>
        <row r="5010">
          <cell r="A5010" t="str">
            <v>IN</v>
          </cell>
          <cell r="D5010">
            <v>43295</v>
          </cell>
        </row>
        <row r="5011">
          <cell r="A5011" t="str">
            <v>IN</v>
          </cell>
          <cell r="D5011">
            <v>43445</v>
          </cell>
        </row>
        <row r="5012">
          <cell r="A5012" t="str">
            <v>IN</v>
          </cell>
          <cell r="D5012">
            <v>43154</v>
          </cell>
        </row>
        <row r="5013">
          <cell r="A5013" t="str">
            <v>GC</v>
          </cell>
          <cell r="D5013">
            <v>43400</v>
          </cell>
        </row>
        <row r="5014">
          <cell r="A5014" t="str">
            <v>GC</v>
          </cell>
          <cell r="D5014">
            <v>43408</v>
          </cell>
        </row>
        <row r="5015">
          <cell r="A5015" t="str">
            <v>GC</v>
          </cell>
          <cell r="D5015">
            <v>43220</v>
          </cell>
        </row>
        <row r="5016">
          <cell r="A5016" t="str">
            <v>GC</v>
          </cell>
          <cell r="D5016">
            <v>43183</v>
          </cell>
        </row>
        <row r="5017">
          <cell r="A5017" t="str">
            <v>ANZ</v>
          </cell>
          <cell r="D5017">
            <v>43282</v>
          </cell>
        </row>
        <row r="5018">
          <cell r="A5018" t="str">
            <v>GC</v>
          </cell>
          <cell r="D5018">
            <v>43359</v>
          </cell>
        </row>
        <row r="5019">
          <cell r="A5019" t="str">
            <v>GC</v>
          </cell>
          <cell r="D5019">
            <v>43135</v>
          </cell>
        </row>
        <row r="5020">
          <cell r="A5020" t="str">
            <v>GC</v>
          </cell>
          <cell r="D5020">
            <v>43166</v>
          </cell>
        </row>
        <row r="5021">
          <cell r="A5021" t="str">
            <v>GC</v>
          </cell>
          <cell r="D5021">
            <v>43182</v>
          </cell>
        </row>
        <row r="5022">
          <cell r="A5022" t="str">
            <v>ANZ</v>
          </cell>
          <cell r="D5022">
            <v>43310</v>
          </cell>
        </row>
        <row r="5023">
          <cell r="A5023" t="str">
            <v>KR</v>
          </cell>
          <cell r="D5023">
            <v>43406</v>
          </cell>
        </row>
        <row r="5024">
          <cell r="A5024" t="str">
            <v>GC</v>
          </cell>
          <cell r="D5024">
            <v>43137</v>
          </cell>
        </row>
        <row r="5025">
          <cell r="A5025" t="str">
            <v>GC</v>
          </cell>
          <cell r="D5025">
            <v>43436</v>
          </cell>
        </row>
        <row r="5026">
          <cell r="A5026" t="str">
            <v>GC</v>
          </cell>
          <cell r="D5026">
            <v>43193</v>
          </cell>
        </row>
        <row r="5027">
          <cell r="A5027" t="str">
            <v>GC</v>
          </cell>
          <cell r="D5027">
            <v>43438</v>
          </cell>
        </row>
        <row r="5028">
          <cell r="A5028" t="str">
            <v>GC</v>
          </cell>
          <cell r="D5028">
            <v>43344</v>
          </cell>
        </row>
        <row r="5029">
          <cell r="A5029" t="str">
            <v>KR</v>
          </cell>
          <cell r="D5029">
            <v>43112</v>
          </cell>
        </row>
        <row r="5030">
          <cell r="A5030" t="str">
            <v>KR</v>
          </cell>
          <cell r="D5030">
            <v>43128</v>
          </cell>
        </row>
        <row r="5031">
          <cell r="A5031" t="str">
            <v>KR</v>
          </cell>
          <cell r="D5031">
            <v>43281</v>
          </cell>
        </row>
        <row r="5032">
          <cell r="A5032" t="str">
            <v>IN</v>
          </cell>
          <cell r="D5032">
            <v>43373</v>
          </cell>
        </row>
        <row r="5033">
          <cell r="A5033" t="str">
            <v>IN</v>
          </cell>
          <cell r="D5033">
            <v>43127</v>
          </cell>
        </row>
        <row r="5034">
          <cell r="A5034" t="str">
            <v>IN</v>
          </cell>
          <cell r="D5034">
            <v>43361</v>
          </cell>
        </row>
        <row r="5035">
          <cell r="A5035" t="str">
            <v>GC</v>
          </cell>
          <cell r="D5035">
            <v>43362</v>
          </cell>
        </row>
        <row r="5036">
          <cell r="A5036" t="str">
            <v>ASEAN</v>
          </cell>
          <cell r="D5036">
            <v>43341</v>
          </cell>
        </row>
        <row r="5037">
          <cell r="A5037" t="str">
            <v>GC</v>
          </cell>
          <cell r="D5037">
            <v>43212</v>
          </cell>
        </row>
        <row r="5038">
          <cell r="A5038" t="str">
            <v>IN</v>
          </cell>
          <cell r="D5038">
            <v>43159</v>
          </cell>
        </row>
        <row r="5039">
          <cell r="A5039" t="str">
            <v>IN</v>
          </cell>
          <cell r="D5039">
            <v>43407</v>
          </cell>
        </row>
        <row r="5040">
          <cell r="A5040" t="str">
            <v>ASEAN</v>
          </cell>
          <cell r="D5040">
            <v>43414</v>
          </cell>
        </row>
        <row r="5041">
          <cell r="A5041" t="str">
            <v>GC</v>
          </cell>
          <cell r="D5041">
            <v>43219</v>
          </cell>
        </row>
        <row r="5042">
          <cell r="A5042" t="str">
            <v>IN</v>
          </cell>
          <cell r="D5042">
            <v>43343</v>
          </cell>
        </row>
        <row r="5043">
          <cell r="A5043" t="str">
            <v>IN</v>
          </cell>
          <cell r="D5043">
            <v>43128</v>
          </cell>
        </row>
        <row r="5044">
          <cell r="A5044" t="str">
            <v>IN</v>
          </cell>
          <cell r="D5044">
            <v>43371</v>
          </cell>
        </row>
        <row r="5045">
          <cell r="A5045" t="str">
            <v>ASEAN</v>
          </cell>
          <cell r="D5045">
            <v>43266</v>
          </cell>
        </row>
        <row r="5046">
          <cell r="A5046" t="str">
            <v>ASEAN</v>
          </cell>
          <cell r="D5046">
            <v>43277</v>
          </cell>
        </row>
        <row r="5047">
          <cell r="A5047" t="str">
            <v>ASEAN</v>
          </cell>
          <cell r="D5047">
            <v>43151</v>
          </cell>
        </row>
        <row r="5048">
          <cell r="A5048" t="str">
            <v>ANZ</v>
          </cell>
          <cell r="D5048">
            <v>43282</v>
          </cell>
        </row>
        <row r="5049">
          <cell r="A5049" t="str">
            <v>GC</v>
          </cell>
          <cell r="D5049">
            <v>43243</v>
          </cell>
        </row>
        <row r="5050">
          <cell r="A5050" t="str">
            <v>GC</v>
          </cell>
          <cell r="D5050">
            <v>43163</v>
          </cell>
        </row>
        <row r="5051">
          <cell r="A5051" t="str">
            <v>ASEAN</v>
          </cell>
          <cell r="D5051">
            <v>43230</v>
          </cell>
        </row>
        <row r="5052">
          <cell r="A5052" t="str">
            <v>KR</v>
          </cell>
          <cell r="D5052">
            <v>43312</v>
          </cell>
        </row>
        <row r="5053">
          <cell r="A5053" t="str">
            <v>IN</v>
          </cell>
          <cell r="D5053">
            <v>43196</v>
          </cell>
        </row>
        <row r="5054">
          <cell r="A5054" t="str">
            <v>IN</v>
          </cell>
          <cell r="D5054">
            <v>43289</v>
          </cell>
        </row>
        <row r="5055">
          <cell r="A5055" t="str">
            <v>ASEAN</v>
          </cell>
          <cell r="D5055">
            <v>43137</v>
          </cell>
        </row>
        <row r="5056">
          <cell r="A5056" t="str">
            <v>ANZ</v>
          </cell>
          <cell r="D5056">
            <v>43183</v>
          </cell>
        </row>
        <row r="5057">
          <cell r="A5057" t="str">
            <v>GC</v>
          </cell>
          <cell r="D5057">
            <v>43279</v>
          </cell>
        </row>
        <row r="5058">
          <cell r="A5058" t="str">
            <v>IN</v>
          </cell>
          <cell r="D5058">
            <v>43215</v>
          </cell>
        </row>
        <row r="5059">
          <cell r="A5059" t="str">
            <v>ANZ</v>
          </cell>
          <cell r="D5059">
            <v>43162</v>
          </cell>
        </row>
        <row r="5060">
          <cell r="A5060" t="str">
            <v>IN</v>
          </cell>
          <cell r="D5060">
            <v>43255</v>
          </cell>
        </row>
        <row r="5061">
          <cell r="A5061" t="str">
            <v>GC</v>
          </cell>
          <cell r="D5061">
            <v>43437</v>
          </cell>
        </row>
        <row r="5062">
          <cell r="A5062" t="str">
            <v>IN</v>
          </cell>
          <cell r="D5062">
            <v>43348</v>
          </cell>
        </row>
        <row r="5063">
          <cell r="A5063" t="str">
            <v>IN</v>
          </cell>
          <cell r="D5063">
            <v>43199</v>
          </cell>
        </row>
        <row r="5064">
          <cell r="A5064" t="str">
            <v>IN</v>
          </cell>
          <cell r="D5064">
            <v>43102</v>
          </cell>
        </row>
        <row r="5065">
          <cell r="A5065" t="str">
            <v>IN</v>
          </cell>
          <cell r="D5065">
            <v>43289</v>
          </cell>
        </row>
        <row r="5066">
          <cell r="A5066" t="str">
            <v>IN</v>
          </cell>
          <cell r="D5066">
            <v>43111</v>
          </cell>
        </row>
        <row r="5067">
          <cell r="A5067" t="str">
            <v>IN</v>
          </cell>
          <cell r="D5067">
            <v>43152</v>
          </cell>
        </row>
        <row r="5068">
          <cell r="A5068" t="str">
            <v>IN</v>
          </cell>
          <cell r="D5068">
            <v>43422</v>
          </cell>
        </row>
        <row r="5069">
          <cell r="A5069" t="str">
            <v>ASEAN</v>
          </cell>
          <cell r="D5069">
            <v>43431</v>
          </cell>
        </row>
        <row r="5070">
          <cell r="A5070" t="str">
            <v>ANZ</v>
          </cell>
          <cell r="D5070">
            <v>43206</v>
          </cell>
        </row>
        <row r="5071">
          <cell r="A5071" t="str">
            <v>ANZ</v>
          </cell>
          <cell r="D5071">
            <v>43136</v>
          </cell>
        </row>
        <row r="5072">
          <cell r="A5072" t="str">
            <v>IN</v>
          </cell>
          <cell r="D5072">
            <v>43384</v>
          </cell>
        </row>
        <row r="5073">
          <cell r="A5073" t="str">
            <v>ANZ</v>
          </cell>
          <cell r="D5073">
            <v>43251</v>
          </cell>
        </row>
        <row r="5074">
          <cell r="A5074" t="str">
            <v>ANZ</v>
          </cell>
          <cell r="D5074">
            <v>43199</v>
          </cell>
        </row>
        <row r="5075">
          <cell r="A5075" t="str">
            <v>ANZ</v>
          </cell>
          <cell r="D5075">
            <v>43285</v>
          </cell>
        </row>
        <row r="5076">
          <cell r="A5076" t="str">
            <v>IN</v>
          </cell>
          <cell r="D5076">
            <v>43207</v>
          </cell>
        </row>
        <row r="5077">
          <cell r="A5077" t="str">
            <v>IN</v>
          </cell>
          <cell r="D5077">
            <v>43263</v>
          </cell>
        </row>
        <row r="5078">
          <cell r="A5078" t="str">
            <v>IN</v>
          </cell>
          <cell r="D5078">
            <v>43293</v>
          </cell>
        </row>
        <row r="5079">
          <cell r="A5079" t="str">
            <v>IN</v>
          </cell>
          <cell r="D5079">
            <v>43378</v>
          </cell>
        </row>
        <row r="5080">
          <cell r="A5080" t="str">
            <v>ANZ</v>
          </cell>
          <cell r="D5080">
            <v>43150</v>
          </cell>
        </row>
        <row r="5081">
          <cell r="A5081" t="str">
            <v>ASEAN</v>
          </cell>
          <cell r="D5081">
            <v>43271</v>
          </cell>
        </row>
        <row r="5082">
          <cell r="A5082" t="str">
            <v>IN</v>
          </cell>
          <cell r="D5082">
            <v>43271</v>
          </cell>
        </row>
        <row r="5083">
          <cell r="A5083" t="str">
            <v>IN</v>
          </cell>
          <cell r="D5083">
            <v>43338</v>
          </cell>
        </row>
        <row r="5084">
          <cell r="A5084" t="str">
            <v>ASEAN</v>
          </cell>
          <cell r="D5084">
            <v>43149</v>
          </cell>
        </row>
        <row r="5085">
          <cell r="A5085" t="str">
            <v>IN</v>
          </cell>
          <cell r="D5085">
            <v>43147</v>
          </cell>
        </row>
        <row r="5086">
          <cell r="A5086" t="str">
            <v>ASEAN</v>
          </cell>
          <cell r="D5086">
            <v>43366</v>
          </cell>
        </row>
        <row r="5087">
          <cell r="A5087" t="str">
            <v>ASEAN</v>
          </cell>
          <cell r="D5087">
            <v>43285</v>
          </cell>
        </row>
        <row r="5088">
          <cell r="A5088" t="str">
            <v>ASEAN</v>
          </cell>
          <cell r="D5088">
            <v>43184</v>
          </cell>
        </row>
        <row r="5089">
          <cell r="A5089" t="str">
            <v>ANZ</v>
          </cell>
          <cell r="D5089">
            <v>43456</v>
          </cell>
        </row>
        <row r="5090">
          <cell r="A5090" t="str">
            <v>ASEAN</v>
          </cell>
          <cell r="D5090">
            <v>43106</v>
          </cell>
        </row>
        <row r="5091">
          <cell r="A5091" t="str">
            <v>ASEAN</v>
          </cell>
          <cell r="D5091">
            <v>43176</v>
          </cell>
        </row>
        <row r="5092">
          <cell r="A5092" t="str">
            <v>ASEAN</v>
          </cell>
          <cell r="D5092">
            <v>43277</v>
          </cell>
        </row>
        <row r="5093">
          <cell r="A5093" t="str">
            <v>ASEAN</v>
          </cell>
          <cell r="D5093">
            <v>43114</v>
          </cell>
        </row>
        <row r="5094">
          <cell r="A5094" t="str">
            <v>ASEAN</v>
          </cell>
          <cell r="D5094">
            <v>43102</v>
          </cell>
        </row>
        <row r="5095">
          <cell r="A5095" t="str">
            <v>ASEAN</v>
          </cell>
          <cell r="D5095">
            <v>43160</v>
          </cell>
        </row>
        <row r="5096">
          <cell r="A5096" t="str">
            <v>ASEAN</v>
          </cell>
          <cell r="D5096">
            <v>43303</v>
          </cell>
        </row>
        <row r="5097">
          <cell r="A5097" t="str">
            <v>ASEAN</v>
          </cell>
          <cell r="D5097">
            <v>43121</v>
          </cell>
        </row>
        <row r="5098">
          <cell r="A5098" t="str">
            <v>IN</v>
          </cell>
          <cell r="D5098">
            <v>43428</v>
          </cell>
        </row>
        <row r="5099">
          <cell r="A5099" t="str">
            <v>ANZ</v>
          </cell>
          <cell r="D5099">
            <v>43262</v>
          </cell>
        </row>
        <row r="5100">
          <cell r="A5100" t="str">
            <v>ASEAN</v>
          </cell>
          <cell r="D5100">
            <v>43130</v>
          </cell>
        </row>
        <row r="5101">
          <cell r="A5101" t="str">
            <v>IN</v>
          </cell>
          <cell r="D5101">
            <v>43280</v>
          </cell>
        </row>
        <row r="5102">
          <cell r="A5102" t="str">
            <v>GC</v>
          </cell>
          <cell r="D5102">
            <v>43398</v>
          </cell>
        </row>
        <row r="5103">
          <cell r="A5103" t="str">
            <v>ASEAN</v>
          </cell>
          <cell r="D5103">
            <v>43330</v>
          </cell>
        </row>
        <row r="5104">
          <cell r="A5104" t="str">
            <v>ASEAN</v>
          </cell>
          <cell r="D5104">
            <v>43427</v>
          </cell>
        </row>
        <row r="5105">
          <cell r="A5105" t="str">
            <v>IN</v>
          </cell>
          <cell r="D5105">
            <v>43318</v>
          </cell>
        </row>
        <row r="5106">
          <cell r="A5106" t="str">
            <v>IN</v>
          </cell>
          <cell r="D5106">
            <v>43417</v>
          </cell>
        </row>
        <row r="5107">
          <cell r="A5107" t="str">
            <v>GC</v>
          </cell>
          <cell r="D5107">
            <v>43436</v>
          </cell>
        </row>
        <row r="5108">
          <cell r="A5108" t="str">
            <v>IN</v>
          </cell>
          <cell r="D5108">
            <v>43352</v>
          </cell>
        </row>
        <row r="5109">
          <cell r="A5109" t="str">
            <v>IN</v>
          </cell>
          <cell r="D5109">
            <v>43430</v>
          </cell>
        </row>
        <row r="5110">
          <cell r="A5110" t="str">
            <v>IN</v>
          </cell>
          <cell r="D5110">
            <v>43109</v>
          </cell>
        </row>
        <row r="5111">
          <cell r="A5111" t="str">
            <v>IN</v>
          </cell>
          <cell r="D5111">
            <v>43245</v>
          </cell>
        </row>
        <row r="5112">
          <cell r="A5112" t="str">
            <v>IN</v>
          </cell>
          <cell r="D5112">
            <v>43420</v>
          </cell>
        </row>
        <row r="5113">
          <cell r="A5113" t="str">
            <v>IN</v>
          </cell>
          <cell r="D5113">
            <v>43282</v>
          </cell>
        </row>
        <row r="5114">
          <cell r="A5114" t="str">
            <v>IN</v>
          </cell>
          <cell r="D5114">
            <v>43419</v>
          </cell>
        </row>
        <row r="5115">
          <cell r="A5115" t="str">
            <v>IN</v>
          </cell>
          <cell r="D5115">
            <v>43386</v>
          </cell>
        </row>
        <row r="5116">
          <cell r="A5116" t="str">
            <v>ASEAN</v>
          </cell>
          <cell r="D5116">
            <v>43101</v>
          </cell>
        </row>
        <row r="5117">
          <cell r="A5117" t="str">
            <v>ANZ</v>
          </cell>
          <cell r="D5117">
            <v>43395</v>
          </cell>
        </row>
        <row r="5118">
          <cell r="A5118" t="str">
            <v>IN</v>
          </cell>
          <cell r="D5118">
            <v>43373</v>
          </cell>
        </row>
        <row r="5119">
          <cell r="A5119" t="str">
            <v>GC</v>
          </cell>
          <cell r="D5119">
            <v>43108</v>
          </cell>
        </row>
        <row r="5120">
          <cell r="A5120" t="str">
            <v>GC</v>
          </cell>
          <cell r="D5120">
            <v>43317</v>
          </cell>
        </row>
        <row r="5121">
          <cell r="A5121" t="str">
            <v>GC</v>
          </cell>
          <cell r="D5121">
            <v>43262</v>
          </cell>
        </row>
        <row r="5122">
          <cell r="A5122" t="str">
            <v>ASEAN</v>
          </cell>
          <cell r="D5122">
            <v>43115</v>
          </cell>
        </row>
        <row r="5123">
          <cell r="A5123" t="str">
            <v>IN</v>
          </cell>
          <cell r="D5123">
            <v>43202</v>
          </cell>
        </row>
        <row r="5124">
          <cell r="A5124" t="str">
            <v>IN</v>
          </cell>
          <cell r="D5124">
            <v>43292</v>
          </cell>
        </row>
        <row r="5125">
          <cell r="A5125" t="str">
            <v>IN</v>
          </cell>
          <cell r="D5125">
            <v>43119</v>
          </cell>
        </row>
        <row r="5126">
          <cell r="A5126" t="str">
            <v>IN</v>
          </cell>
          <cell r="D5126">
            <v>43137</v>
          </cell>
        </row>
        <row r="5127">
          <cell r="A5127" t="str">
            <v>IN</v>
          </cell>
          <cell r="D5127">
            <v>43439</v>
          </cell>
        </row>
        <row r="5128">
          <cell r="A5128" t="str">
            <v>ANZ</v>
          </cell>
          <cell r="D5128">
            <v>43318</v>
          </cell>
        </row>
        <row r="5129">
          <cell r="A5129" t="str">
            <v>ANZ</v>
          </cell>
          <cell r="D5129">
            <v>43446</v>
          </cell>
        </row>
        <row r="5130">
          <cell r="A5130" t="str">
            <v>ANZ</v>
          </cell>
          <cell r="D5130">
            <v>43428</v>
          </cell>
        </row>
        <row r="5131">
          <cell r="A5131" t="str">
            <v>GC</v>
          </cell>
          <cell r="D5131">
            <v>43438</v>
          </cell>
        </row>
        <row r="5132">
          <cell r="A5132" t="str">
            <v>IN</v>
          </cell>
          <cell r="D5132">
            <v>43346</v>
          </cell>
        </row>
        <row r="5133">
          <cell r="A5133" t="str">
            <v>IN</v>
          </cell>
          <cell r="D5133">
            <v>43364</v>
          </cell>
        </row>
        <row r="5134">
          <cell r="A5134" t="str">
            <v>IN</v>
          </cell>
          <cell r="D5134">
            <v>43356</v>
          </cell>
        </row>
        <row r="5135">
          <cell r="A5135" t="str">
            <v>IN</v>
          </cell>
          <cell r="D5135">
            <v>43189</v>
          </cell>
        </row>
        <row r="5136">
          <cell r="A5136" t="str">
            <v>GC</v>
          </cell>
          <cell r="D5136">
            <v>43142</v>
          </cell>
        </row>
        <row r="5137">
          <cell r="A5137" t="str">
            <v>ASEAN</v>
          </cell>
          <cell r="D5137">
            <v>43461</v>
          </cell>
        </row>
        <row r="5138">
          <cell r="A5138" t="str">
            <v>ANZ</v>
          </cell>
          <cell r="D5138">
            <v>43209</v>
          </cell>
        </row>
        <row r="5139">
          <cell r="A5139" t="str">
            <v>ASEAN</v>
          </cell>
          <cell r="D5139">
            <v>43351</v>
          </cell>
        </row>
        <row r="5140">
          <cell r="A5140" t="str">
            <v>ASEAN</v>
          </cell>
          <cell r="D5140">
            <v>43274</v>
          </cell>
        </row>
        <row r="5141">
          <cell r="A5141" t="str">
            <v>ANZ</v>
          </cell>
          <cell r="D5141">
            <v>43136</v>
          </cell>
        </row>
        <row r="5142">
          <cell r="A5142" t="str">
            <v>IN</v>
          </cell>
          <cell r="D5142">
            <v>43418</v>
          </cell>
        </row>
        <row r="5143">
          <cell r="A5143" t="str">
            <v>KR</v>
          </cell>
          <cell r="D5143">
            <v>43384</v>
          </cell>
        </row>
        <row r="5144">
          <cell r="A5144" t="str">
            <v>KR</v>
          </cell>
          <cell r="D5144">
            <v>43114</v>
          </cell>
        </row>
        <row r="5145">
          <cell r="A5145" t="str">
            <v>ASEAN</v>
          </cell>
          <cell r="D5145">
            <v>43393</v>
          </cell>
        </row>
        <row r="5146">
          <cell r="A5146" t="str">
            <v>ANZ</v>
          </cell>
          <cell r="D5146">
            <v>43128</v>
          </cell>
        </row>
        <row r="5147">
          <cell r="A5147" t="str">
            <v>IN</v>
          </cell>
          <cell r="D5147">
            <v>43435</v>
          </cell>
        </row>
        <row r="5148">
          <cell r="A5148" t="str">
            <v>ASEAN</v>
          </cell>
          <cell r="D5148">
            <v>43323</v>
          </cell>
        </row>
        <row r="5149">
          <cell r="A5149" t="str">
            <v>ASEAN</v>
          </cell>
          <cell r="D5149">
            <v>43460</v>
          </cell>
        </row>
        <row r="5150">
          <cell r="A5150" t="str">
            <v>ASEAN</v>
          </cell>
          <cell r="D5150">
            <v>43223</v>
          </cell>
        </row>
        <row r="5151">
          <cell r="A5151" t="str">
            <v>IN</v>
          </cell>
          <cell r="D5151">
            <v>43389</v>
          </cell>
        </row>
        <row r="5152">
          <cell r="A5152" t="str">
            <v>ASEAN</v>
          </cell>
          <cell r="D5152">
            <v>43202</v>
          </cell>
        </row>
        <row r="5153">
          <cell r="A5153" t="str">
            <v>IN</v>
          </cell>
          <cell r="D5153">
            <v>43178</v>
          </cell>
        </row>
        <row r="5154">
          <cell r="A5154" t="str">
            <v>GC</v>
          </cell>
          <cell r="D5154">
            <v>43285</v>
          </cell>
        </row>
        <row r="5155">
          <cell r="A5155" t="str">
            <v>GC</v>
          </cell>
          <cell r="D5155">
            <v>43236</v>
          </cell>
        </row>
        <row r="5156">
          <cell r="A5156" t="str">
            <v>GC</v>
          </cell>
          <cell r="D5156">
            <v>43152</v>
          </cell>
        </row>
        <row r="5157">
          <cell r="A5157" t="str">
            <v>ASEAN</v>
          </cell>
          <cell r="D5157">
            <v>43265</v>
          </cell>
        </row>
        <row r="5158">
          <cell r="A5158" t="str">
            <v>IN</v>
          </cell>
          <cell r="D5158">
            <v>43409</v>
          </cell>
        </row>
        <row r="5159">
          <cell r="A5159" t="str">
            <v>IN</v>
          </cell>
          <cell r="D5159">
            <v>43211</v>
          </cell>
        </row>
        <row r="5160">
          <cell r="A5160" t="str">
            <v>ASEAN</v>
          </cell>
          <cell r="D5160">
            <v>43388</v>
          </cell>
        </row>
        <row r="5161">
          <cell r="A5161" t="str">
            <v>IN</v>
          </cell>
          <cell r="D5161">
            <v>43330</v>
          </cell>
        </row>
        <row r="5162">
          <cell r="A5162" t="str">
            <v>IN</v>
          </cell>
          <cell r="D5162">
            <v>43275</v>
          </cell>
        </row>
        <row r="5163">
          <cell r="A5163" t="str">
            <v>GC</v>
          </cell>
          <cell r="D5163">
            <v>43371</v>
          </cell>
        </row>
        <row r="5164">
          <cell r="A5164" t="str">
            <v>GC</v>
          </cell>
          <cell r="D5164">
            <v>43133</v>
          </cell>
        </row>
        <row r="5165">
          <cell r="A5165" t="str">
            <v>ASEAN</v>
          </cell>
          <cell r="D5165">
            <v>43267</v>
          </cell>
        </row>
        <row r="5166">
          <cell r="A5166" t="str">
            <v>KR</v>
          </cell>
          <cell r="D5166">
            <v>43273</v>
          </cell>
        </row>
        <row r="5167">
          <cell r="A5167" t="str">
            <v>KR</v>
          </cell>
          <cell r="D5167">
            <v>43133</v>
          </cell>
        </row>
        <row r="5168">
          <cell r="A5168" t="str">
            <v>KR</v>
          </cell>
          <cell r="D5168">
            <v>43211</v>
          </cell>
        </row>
        <row r="5169">
          <cell r="A5169" t="str">
            <v>KR</v>
          </cell>
          <cell r="D5169">
            <v>43365</v>
          </cell>
        </row>
        <row r="5170">
          <cell r="A5170" t="str">
            <v>KR</v>
          </cell>
          <cell r="D5170">
            <v>43284</v>
          </cell>
        </row>
        <row r="5171">
          <cell r="A5171" t="str">
            <v>GC</v>
          </cell>
          <cell r="D5171">
            <v>43392</v>
          </cell>
        </row>
        <row r="5172">
          <cell r="A5172" t="str">
            <v>IN</v>
          </cell>
          <cell r="D5172">
            <v>43377</v>
          </cell>
        </row>
        <row r="5173">
          <cell r="A5173" t="str">
            <v>GC</v>
          </cell>
          <cell r="D5173">
            <v>43219</v>
          </cell>
        </row>
        <row r="5174">
          <cell r="A5174" t="str">
            <v>GC</v>
          </cell>
          <cell r="D5174">
            <v>43227</v>
          </cell>
        </row>
        <row r="5175">
          <cell r="A5175" t="str">
            <v>KR</v>
          </cell>
          <cell r="D5175">
            <v>43238</v>
          </cell>
        </row>
        <row r="5176">
          <cell r="A5176" t="str">
            <v>IN</v>
          </cell>
          <cell r="D5176">
            <v>43285</v>
          </cell>
        </row>
        <row r="5177">
          <cell r="A5177" t="str">
            <v>IN</v>
          </cell>
          <cell r="D5177">
            <v>43326</v>
          </cell>
        </row>
        <row r="5178">
          <cell r="A5178" t="str">
            <v>IN</v>
          </cell>
          <cell r="D5178">
            <v>43345</v>
          </cell>
        </row>
        <row r="5179">
          <cell r="A5179" t="str">
            <v>IN</v>
          </cell>
          <cell r="D5179">
            <v>43391</v>
          </cell>
        </row>
        <row r="5180">
          <cell r="A5180" t="str">
            <v>IN</v>
          </cell>
          <cell r="D5180">
            <v>43375</v>
          </cell>
        </row>
        <row r="5181">
          <cell r="A5181" t="str">
            <v>IN</v>
          </cell>
          <cell r="D5181">
            <v>43186</v>
          </cell>
        </row>
        <row r="5182">
          <cell r="A5182" t="str">
            <v>IN</v>
          </cell>
          <cell r="D5182">
            <v>43188</v>
          </cell>
        </row>
        <row r="5183">
          <cell r="A5183" t="str">
            <v>GC</v>
          </cell>
          <cell r="D5183">
            <v>43114</v>
          </cell>
        </row>
        <row r="5184">
          <cell r="A5184" t="str">
            <v>GC</v>
          </cell>
          <cell r="D5184">
            <v>43444</v>
          </cell>
        </row>
        <row r="5185">
          <cell r="A5185" t="str">
            <v>IN</v>
          </cell>
          <cell r="D5185">
            <v>43254</v>
          </cell>
        </row>
        <row r="5186">
          <cell r="A5186" t="str">
            <v>GC</v>
          </cell>
          <cell r="D5186">
            <v>43318</v>
          </cell>
        </row>
        <row r="5187">
          <cell r="A5187" t="str">
            <v>IN</v>
          </cell>
          <cell r="D5187">
            <v>43255</v>
          </cell>
        </row>
        <row r="5188">
          <cell r="A5188" t="str">
            <v>ASEAN</v>
          </cell>
          <cell r="D5188">
            <v>43164</v>
          </cell>
        </row>
        <row r="5189">
          <cell r="A5189" t="str">
            <v>IN</v>
          </cell>
          <cell r="D5189">
            <v>43143</v>
          </cell>
        </row>
        <row r="5190">
          <cell r="A5190" t="str">
            <v>IN</v>
          </cell>
          <cell r="D5190">
            <v>43260</v>
          </cell>
        </row>
        <row r="5191">
          <cell r="A5191" t="str">
            <v>IN</v>
          </cell>
          <cell r="D5191">
            <v>43187</v>
          </cell>
        </row>
        <row r="5192">
          <cell r="A5192" t="str">
            <v>GC</v>
          </cell>
          <cell r="D5192">
            <v>43309</v>
          </cell>
        </row>
        <row r="5193">
          <cell r="A5193" t="str">
            <v>GC</v>
          </cell>
          <cell r="D5193">
            <v>43329</v>
          </cell>
        </row>
        <row r="5194">
          <cell r="A5194" t="str">
            <v>GC</v>
          </cell>
          <cell r="D5194">
            <v>43200</v>
          </cell>
        </row>
        <row r="5195">
          <cell r="A5195" t="str">
            <v>GC</v>
          </cell>
          <cell r="D5195">
            <v>43124</v>
          </cell>
        </row>
        <row r="5196">
          <cell r="A5196" t="str">
            <v>IN</v>
          </cell>
          <cell r="D5196">
            <v>43240</v>
          </cell>
        </row>
        <row r="5197">
          <cell r="A5197" t="str">
            <v>IN</v>
          </cell>
          <cell r="D5197">
            <v>43109</v>
          </cell>
        </row>
        <row r="5198">
          <cell r="A5198" t="str">
            <v>GC</v>
          </cell>
          <cell r="D5198">
            <v>43113</v>
          </cell>
        </row>
        <row r="5199">
          <cell r="A5199" t="str">
            <v>ASEAN</v>
          </cell>
          <cell r="D5199">
            <v>43245</v>
          </cell>
        </row>
        <row r="5200">
          <cell r="A5200" t="str">
            <v>ASEAN</v>
          </cell>
          <cell r="D5200">
            <v>43271</v>
          </cell>
        </row>
        <row r="5201">
          <cell r="A5201" t="str">
            <v>ANZ</v>
          </cell>
          <cell r="D5201">
            <v>43324</v>
          </cell>
        </row>
        <row r="5202">
          <cell r="A5202" t="str">
            <v>GC</v>
          </cell>
          <cell r="D5202">
            <v>43101</v>
          </cell>
        </row>
        <row r="5203">
          <cell r="A5203" t="str">
            <v>GC</v>
          </cell>
          <cell r="D5203">
            <v>43437</v>
          </cell>
        </row>
        <row r="5204">
          <cell r="A5204" t="str">
            <v>ASEAN</v>
          </cell>
          <cell r="D5204">
            <v>43103</v>
          </cell>
        </row>
        <row r="5205">
          <cell r="A5205" t="str">
            <v>GC</v>
          </cell>
          <cell r="D5205">
            <v>43455</v>
          </cell>
        </row>
        <row r="5206">
          <cell r="A5206" t="str">
            <v>GC</v>
          </cell>
          <cell r="D5206">
            <v>43401</v>
          </cell>
        </row>
        <row r="5207">
          <cell r="A5207" t="str">
            <v>GC</v>
          </cell>
          <cell r="D5207">
            <v>43202</v>
          </cell>
        </row>
        <row r="5208">
          <cell r="A5208" t="str">
            <v>GC</v>
          </cell>
          <cell r="D5208">
            <v>43125</v>
          </cell>
        </row>
        <row r="5209">
          <cell r="A5209" t="str">
            <v>KR</v>
          </cell>
          <cell r="D5209">
            <v>43337</v>
          </cell>
        </row>
        <row r="5210">
          <cell r="A5210" t="str">
            <v>KR</v>
          </cell>
          <cell r="D5210">
            <v>43405</v>
          </cell>
        </row>
        <row r="5211">
          <cell r="A5211" t="str">
            <v>KR</v>
          </cell>
          <cell r="D5211">
            <v>43130</v>
          </cell>
        </row>
        <row r="5212">
          <cell r="A5212" t="str">
            <v>IN</v>
          </cell>
          <cell r="D5212">
            <v>43189</v>
          </cell>
        </row>
        <row r="5213">
          <cell r="A5213" t="str">
            <v>KR</v>
          </cell>
          <cell r="D5213">
            <v>43244</v>
          </cell>
        </row>
        <row r="5214">
          <cell r="A5214" t="str">
            <v>IN</v>
          </cell>
          <cell r="D5214">
            <v>43377</v>
          </cell>
        </row>
        <row r="5215">
          <cell r="A5215" t="str">
            <v>IN</v>
          </cell>
          <cell r="D5215">
            <v>43395</v>
          </cell>
        </row>
        <row r="5216">
          <cell r="A5216" t="str">
            <v>ASEAN</v>
          </cell>
          <cell r="D5216">
            <v>43214</v>
          </cell>
        </row>
        <row r="5217">
          <cell r="A5217" t="str">
            <v>GC</v>
          </cell>
          <cell r="D5217">
            <v>43429</v>
          </cell>
        </row>
        <row r="5218">
          <cell r="A5218" t="str">
            <v>GC</v>
          </cell>
          <cell r="D5218">
            <v>43287</v>
          </cell>
        </row>
        <row r="5219">
          <cell r="A5219" t="str">
            <v>GC</v>
          </cell>
          <cell r="D5219">
            <v>43311</v>
          </cell>
        </row>
        <row r="5220">
          <cell r="A5220" t="str">
            <v>IN</v>
          </cell>
          <cell r="D5220">
            <v>43285</v>
          </cell>
        </row>
        <row r="5221">
          <cell r="A5221" t="str">
            <v>GC</v>
          </cell>
          <cell r="D5221">
            <v>43107</v>
          </cell>
        </row>
        <row r="5222">
          <cell r="A5222" t="str">
            <v>GC</v>
          </cell>
          <cell r="D5222">
            <v>43186</v>
          </cell>
        </row>
        <row r="5223">
          <cell r="A5223" t="str">
            <v>ANZ</v>
          </cell>
          <cell r="D5223">
            <v>43190</v>
          </cell>
        </row>
        <row r="5224">
          <cell r="A5224" t="str">
            <v>KR</v>
          </cell>
          <cell r="D5224">
            <v>43158</v>
          </cell>
        </row>
        <row r="5225">
          <cell r="A5225" t="str">
            <v>GC</v>
          </cell>
          <cell r="D5225">
            <v>43391</v>
          </cell>
        </row>
        <row r="5226">
          <cell r="A5226" t="str">
            <v>GC</v>
          </cell>
          <cell r="D5226">
            <v>43146</v>
          </cell>
        </row>
        <row r="5227">
          <cell r="A5227" t="str">
            <v>GC</v>
          </cell>
          <cell r="D5227">
            <v>43418</v>
          </cell>
        </row>
        <row r="5228">
          <cell r="A5228" t="str">
            <v>GC</v>
          </cell>
          <cell r="D5228">
            <v>43281</v>
          </cell>
        </row>
        <row r="5229">
          <cell r="A5229" t="str">
            <v>GC</v>
          </cell>
          <cell r="D5229">
            <v>43392</v>
          </cell>
        </row>
        <row r="5230">
          <cell r="A5230" t="str">
            <v>GC</v>
          </cell>
          <cell r="D5230">
            <v>43123</v>
          </cell>
        </row>
        <row r="5231">
          <cell r="A5231" t="str">
            <v>ASEAN</v>
          </cell>
          <cell r="D5231">
            <v>43355</v>
          </cell>
        </row>
        <row r="5232">
          <cell r="A5232" t="str">
            <v>ASEAN</v>
          </cell>
          <cell r="D5232">
            <v>43198</v>
          </cell>
        </row>
        <row r="5233">
          <cell r="A5233" t="str">
            <v>GC</v>
          </cell>
          <cell r="D5233">
            <v>43465</v>
          </cell>
        </row>
        <row r="5234">
          <cell r="A5234" t="str">
            <v>GC</v>
          </cell>
          <cell r="D5234">
            <v>43382</v>
          </cell>
        </row>
        <row r="5235">
          <cell r="A5235" t="str">
            <v>GC</v>
          </cell>
          <cell r="D5235">
            <v>43294</v>
          </cell>
        </row>
        <row r="5236">
          <cell r="A5236" t="str">
            <v>GC</v>
          </cell>
          <cell r="D5236">
            <v>43301</v>
          </cell>
        </row>
        <row r="5237">
          <cell r="A5237" t="str">
            <v>GC</v>
          </cell>
          <cell r="D5237">
            <v>43163</v>
          </cell>
        </row>
        <row r="5238">
          <cell r="A5238" t="str">
            <v>ASEAN</v>
          </cell>
          <cell r="D5238">
            <v>43324</v>
          </cell>
        </row>
        <row r="5239">
          <cell r="A5239" t="str">
            <v>ASEAN</v>
          </cell>
          <cell r="D5239">
            <v>43219</v>
          </cell>
        </row>
        <row r="5240">
          <cell r="A5240" t="str">
            <v>IN</v>
          </cell>
          <cell r="D5240">
            <v>43242</v>
          </cell>
        </row>
        <row r="5241">
          <cell r="A5241" t="str">
            <v>IN</v>
          </cell>
          <cell r="D5241">
            <v>43445</v>
          </cell>
        </row>
        <row r="5242">
          <cell r="A5242" t="str">
            <v>KR</v>
          </cell>
          <cell r="D5242">
            <v>43191</v>
          </cell>
        </row>
        <row r="5243">
          <cell r="A5243" t="str">
            <v>KR</v>
          </cell>
          <cell r="D5243">
            <v>43150</v>
          </cell>
        </row>
        <row r="5244">
          <cell r="A5244" t="str">
            <v>IN</v>
          </cell>
          <cell r="D5244">
            <v>43244</v>
          </cell>
        </row>
        <row r="5245">
          <cell r="A5245" t="str">
            <v>GC</v>
          </cell>
          <cell r="D5245">
            <v>43173</v>
          </cell>
        </row>
        <row r="5246">
          <cell r="A5246" t="str">
            <v>GC</v>
          </cell>
          <cell r="D5246">
            <v>43253</v>
          </cell>
        </row>
        <row r="5247">
          <cell r="A5247" t="str">
            <v>GC</v>
          </cell>
          <cell r="D5247">
            <v>43248</v>
          </cell>
        </row>
        <row r="5248">
          <cell r="A5248" t="str">
            <v>GC</v>
          </cell>
          <cell r="D5248">
            <v>43404</v>
          </cell>
        </row>
        <row r="5249">
          <cell r="A5249" t="str">
            <v>IN</v>
          </cell>
          <cell r="D5249">
            <v>43131</v>
          </cell>
        </row>
        <row r="5250">
          <cell r="A5250" t="str">
            <v>ASEAN</v>
          </cell>
          <cell r="D5250">
            <v>43292</v>
          </cell>
        </row>
        <row r="5251">
          <cell r="A5251" t="str">
            <v>ANZ</v>
          </cell>
          <cell r="D5251">
            <v>43229</v>
          </cell>
        </row>
        <row r="5252">
          <cell r="A5252" t="str">
            <v>GC</v>
          </cell>
          <cell r="D5252">
            <v>43236</v>
          </cell>
        </row>
        <row r="5253">
          <cell r="A5253" t="str">
            <v>ASEAN</v>
          </cell>
          <cell r="D5253">
            <v>43415</v>
          </cell>
        </row>
        <row r="5254">
          <cell r="A5254" t="str">
            <v>ANZ</v>
          </cell>
          <cell r="D5254">
            <v>43113</v>
          </cell>
        </row>
        <row r="5255">
          <cell r="A5255" t="str">
            <v>GC</v>
          </cell>
          <cell r="D5255">
            <v>43177</v>
          </cell>
        </row>
        <row r="5256">
          <cell r="A5256" t="str">
            <v>KR</v>
          </cell>
          <cell r="D5256">
            <v>43374</v>
          </cell>
        </row>
        <row r="5257">
          <cell r="A5257" t="str">
            <v>ASEAN</v>
          </cell>
          <cell r="D5257">
            <v>43317</v>
          </cell>
        </row>
        <row r="5258">
          <cell r="A5258" t="str">
            <v>GC</v>
          </cell>
          <cell r="D5258">
            <v>43179</v>
          </cell>
        </row>
        <row r="5259">
          <cell r="A5259" t="str">
            <v>GC</v>
          </cell>
          <cell r="D5259">
            <v>43339</v>
          </cell>
        </row>
        <row r="5260">
          <cell r="A5260" t="str">
            <v>GC</v>
          </cell>
          <cell r="D5260">
            <v>43124</v>
          </cell>
        </row>
        <row r="5261">
          <cell r="A5261" t="str">
            <v>ANZ</v>
          </cell>
          <cell r="D5261">
            <v>43393</v>
          </cell>
        </row>
        <row r="5262">
          <cell r="A5262" t="str">
            <v>GC</v>
          </cell>
          <cell r="D5262">
            <v>43441</v>
          </cell>
        </row>
        <row r="5263">
          <cell r="A5263" t="str">
            <v>GC</v>
          </cell>
          <cell r="D5263">
            <v>43288</v>
          </cell>
        </row>
        <row r="5264">
          <cell r="A5264" t="str">
            <v>GC</v>
          </cell>
          <cell r="D5264">
            <v>43284</v>
          </cell>
        </row>
        <row r="5265">
          <cell r="A5265" t="str">
            <v>IN</v>
          </cell>
          <cell r="D5265">
            <v>43357</v>
          </cell>
        </row>
        <row r="5266">
          <cell r="A5266" t="str">
            <v>IN</v>
          </cell>
          <cell r="D5266">
            <v>43309</v>
          </cell>
        </row>
        <row r="5267">
          <cell r="A5267" t="str">
            <v>GC</v>
          </cell>
          <cell r="D5267">
            <v>43257</v>
          </cell>
        </row>
        <row r="5268">
          <cell r="A5268" t="str">
            <v>GC</v>
          </cell>
          <cell r="D5268">
            <v>43199</v>
          </cell>
        </row>
        <row r="5269">
          <cell r="A5269" t="str">
            <v>GC</v>
          </cell>
          <cell r="D5269">
            <v>43164</v>
          </cell>
        </row>
        <row r="5270">
          <cell r="A5270" t="str">
            <v>GC</v>
          </cell>
          <cell r="D5270">
            <v>43173</v>
          </cell>
        </row>
        <row r="5271">
          <cell r="A5271" t="str">
            <v>ASEAN</v>
          </cell>
          <cell r="D5271">
            <v>43144</v>
          </cell>
        </row>
        <row r="5272">
          <cell r="A5272" t="str">
            <v>ANZ</v>
          </cell>
          <cell r="D5272">
            <v>43167</v>
          </cell>
        </row>
        <row r="5273">
          <cell r="A5273" t="str">
            <v>GC</v>
          </cell>
          <cell r="D5273">
            <v>43222</v>
          </cell>
        </row>
        <row r="5274">
          <cell r="A5274" t="str">
            <v>ANZ</v>
          </cell>
          <cell r="D5274">
            <v>43294</v>
          </cell>
        </row>
        <row r="5275">
          <cell r="A5275" t="str">
            <v>ASEAN</v>
          </cell>
          <cell r="D5275">
            <v>43175</v>
          </cell>
        </row>
        <row r="5276">
          <cell r="A5276" t="str">
            <v>ANZ</v>
          </cell>
          <cell r="D5276">
            <v>43191</v>
          </cell>
        </row>
        <row r="5277">
          <cell r="A5277" t="str">
            <v>KR</v>
          </cell>
          <cell r="D5277">
            <v>43165</v>
          </cell>
        </row>
        <row r="5278">
          <cell r="A5278" t="str">
            <v>KR</v>
          </cell>
          <cell r="D5278">
            <v>43190</v>
          </cell>
        </row>
        <row r="5279">
          <cell r="A5279" t="str">
            <v>KR</v>
          </cell>
          <cell r="D5279">
            <v>43102</v>
          </cell>
        </row>
        <row r="5280">
          <cell r="A5280" t="str">
            <v>KR</v>
          </cell>
          <cell r="D5280">
            <v>43377</v>
          </cell>
        </row>
        <row r="5281">
          <cell r="A5281" t="str">
            <v>KR</v>
          </cell>
          <cell r="D5281">
            <v>43236</v>
          </cell>
        </row>
        <row r="5282">
          <cell r="A5282" t="str">
            <v>GC</v>
          </cell>
          <cell r="D5282">
            <v>43132</v>
          </cell>
        </row>
        <row r="5283">
          <cell r="A5283" t="str">
            <v>IN</v>
          </cell>
          <cell r="D5283">
            <v>43145</v>
          </cell>
        </row>
        <row r="5284">
          <cell r="A5284" t="str">
            <v>GC</v>
          </cell>
          <cell r="D5284">
            <v>43134</v>
          </cell>
        </row>
        <row r="5285">
          <cell r="A5285" t="str">
            <v>IN</v>
          </cell>
          <cell r="D5285">
            <v>43229</v>
          </cell>
        </row>
        <row r="5286">
          <cell r="A5286" t="str">
            <v>IN</v>
          </cell>
          <cell r="D5286">
            <v>43393</v>
          </cell>
        </row>
        <row r="5287">
          <cell r="A5287" t="str">
            <v>IN</v>
          </cell>
          <cell r="D5287">
            <v>43255</v>
          </cell>
        </row>
        <row r="5288">
          <cell r="A5288" t="str">
            <v>IN</v>
          </cell>
          <cell r="D5288">
            <v>43267</v>
          </cell>
        </row>
        <row r="5289">
          <cell r="A5289" t="str">
            <v>GC</v>
          </cell>
          <cell r="D5289">
            <v>43451</v>
          </cell>
        </row>
        <row r="5290">
          <cell r="A5290" t="str">
            <v>ANZ</v>
          </cell>
          <cell r="D5290">
            <v>43133</v>
          </cell>
        </row>
        <row r="5291">
          <cell r="A5291" t="str">
            <v>GC</v>
          </cell>
          <cell r="D5291">
            <v>43228</v>
          </cell>
        </row>
        <row r="5292">
          <cell r="A5292" t="str">
            <v>IN</v>
          </cell>
          <cell r="D5292">
            <v>43155</v>
          </cell>
        </row>
        <row r="5293">
          <cell r="A5293" t="str">
            <v>GC</v>
          </cell>
          <cell r="D5293">
            <v>43351</v>
          </cell>
        </row>
        <row r="5294">
          <cell r="A5294" t="str">
            <v>IN</v>
          </cell>
          <cell r="D5294">
            <v>43407</v>
          </cell>
        </row>
        <row r="5295">
          <cell r="A5295" t="str">
            <v>IN</v>
          </cell>
          <cell r="D5295">
            <v>43465</v>
          </cell>
        </row>
        <row r="5296">
          <cell r="A5296" t="str">
            <v>GC</v>
          </cell>
          <cell r="D5296">
            <v>43280</v>
          </cell>
        </row>
        <row r="5297">
          <cell r="A5297" t="str">
            <v>GC</v>
          </cell>
          <cell r="D5297">
            <v>43253</v>
          </cell>
        </row>
        <row r="5298">
          <cell r="A5298" t="str">
            <v>IN</v>
          </cell>
          <cell r="D5298">
            <v>43352</v>
          </cell>
        </row>
        <row r="5299">
          <cell r="A5299" t="str">
            <v>IN</v>
          </cell>
          <cell r="D5299">
            <v>43128</v>
          </cell>
        </row>
        <row r="5300">
          <cell r="A5300" t="str">
            <v>GC</v>
          </cell>
          <cell r="D5300">
            <v>43285</v>
          </cell>
        </row>
        <row r="5301">
          <cell r="A5301" t="str">
            <v>GC</v>
          </cell>
          <cell r="D5301">
            <v>43415</v>
          </cell>
        </row>
        <row r="5302">
          <cell r="A5302" t="str">
            <v>GC</v>
          </cell>
          <cell r="D5302">
            <v>43456</v>
          </cell>
        </row>
        <row r="5303">
          <cell r="A5303" t="str">
            <v>IN</v>
          </cell>
          <cell r="D5303">
            <v>43369</v>
          </cell>
        </row>
        <row r="5304">
          <cell r="A5304" t="str">
            <v>ANZ</v>
          </cell>
          <cell r="D5304">
            <v>43205</v>
          </cell>
        </row>
        <row r="5305">
          <cell r="A5305" t="str">
            <v>ANZ</v>
          </cell>
          <cell r="D5305">
            <v>43179</v>
          </cell>
        </row>
        <row r="5306">
          <cell r="A5306" t="str">
            <v>ASEAN</v>
          </cell>
          <cell r="D5306">
            <v>43432</v>
          </cell>
        </row>
        <row r="5307">
          <cell r="A5307" t="str">
            <v>ANZ</v>
          </cell>
          <cell r="D5307">
            <v>43314</v>
          </cell>
        </row>
        <row r="5308">
          <cell r="A5308" t="str">
            <v>GC</v>
          </cell>
          <cell r="D5308">
            <v>43375</v>
          </cell>
        </row>
        <row r="5309">
          <cell r="A5309" t="str">
            <v>ASEAN</v>
          </cell>
          <cell r="D5309">
            <v>43399</v>
          </cell>
        </row>
        <row r="5310">
          <cell r="A5310" t="str">
            <v>ASEAN</v>
          </cell>
          <cell r="D5310">
            <v>43365</v>
          </cell>
        </row>
        <row r="5311">
          <cell r="A5311" t="str">
            <v>ASEAN</v>
          </cell>
          <cell r="D5311">
            <v>43281</v>
          </cell>
        </row>
        <row r="5312">
          <cell r="A5312" t="str">
            <v>GC</v>
          </cell>
          <cell r="D5312">
            <v>43307</v>
          </cell>
        </row>
        <row r="5313">
          <cell r="A5313" t="str">
            <v>IN</v>
          </cell>
          <cell r="D5313">
            <v>43330</v>
          </cell>
        </row>
        <row r="5314">
          <cell r="A5314" t="str">
            <v>GC</v>
          </cell>
          <cell r="D5314">
            <v>43363</v>
          </cell>
        </row>
        <row r="5315">
          <cell r="A5315" t="str">
            <v>IN</v>
          </cell>
          <cell r="D5315">
            <v>43238</v>
          </cell>
        </row>
        <row r="5316">
          <cell r="A5316" t="str">
            <v>KR</v>
          </cell>
          <cell r="D5316">
            <v>43125</v>
          </cell>
        </row>
        <row r="5317">
          <cell r="A5317" t="str">
            <v>KR</v>
          </cell>
          <cell r="D5317">
            <v>43451</v>
          </cell>
        </row>
        <row r="5318">
          <cell r="A5318" t="str">
            <v>KR</v>
          </cell>
          <cell r="D5318">
            <v>43177</v>
          </cell>
        </row>
        <row r="5319">
          <cell r="A5319" t="str">
            <v>ASEAN</v>
          </cell>
          <cell r="D5319">
            <v>43316</v>
          </cell>
        </row>
        <row r="5320">
          <cell r="A5320" t="str">
            <v>ANZ</v>
          </cell>
          <cell r="D5320">
            <v>43179</v>
          </cell>
        </row>
        <row r="5321">
          <cell r="A5321" t="str">
            <v>GC</v>
          </cell>
          <cell r="D5321">
            <v>43427</v>
          </cell>
        </row>
        <row r="5322">
          <cell r="A5322" t="str">
            <v>GC</v>
          </cell>
          <cell r="D5322">
            <v>43137</v>
          </cell>
        </row>
        <row r="5323">
          <cell r="A5323" t="str">
            <v>GC</v>
          </cell>
          <cell r="D5323">
            <v>43218</v>
          </cell>
        </row>
        <row r="5324">
          <cell r="A5324" t="str">
            <v>GC</v>
          </cell>
          <cell r="D5324">
            <v>43121</v>
          </cell>
        </row>
        <row r="5325">
          <cell r="A5325" t="str">
            <v>GC</v>
          </cell>
          <cell r="D5325">
            <v>43339</v>
          </cell>
        </row>
        <row r="5326">
          <cell r="A5326" t="str">
            <v>IN</v>
          </cell>
          <cell r="D5326">
            <v>43177</v>
          </cell>
        </row>
        <row r="5327">
          <cell r="A5327" t="str">
            <v>IN</v>
          </cell>
          <cell r="D5327">
            <v>43361</v>
          </cell>
        </row>
        <row r="5328">
          <cell r="A5328" t="str">
            <v>GC</v>
          </cell>
          <cell r="D5328">
            <v>43137</v>
          </cell>
        </row>
        <row r="5329">
          <cell r="A5329" t="str">
            <v>KR</v>
          </cell>
          <cell r="D5329">
            <v>43243</v>
          </cell>
        </row>
        <row r="5330">
          <cell r="A5330" t="str">
            <v>GC</v>
          </cell>
          <cell r="D5330">
            <v>43204</v>
          </cell>
        </row>
        <row r="5331">
          <cell r="A5331" t="str">
            <v>GC</v>
          </cell>
          <cell r="D5331">
            <v>43378</v>
          </cell>
        </row>
        <row r="5332">
          <cell r="A5332" t="str">
            <v>GC</v>
          </cell>
          <cell r="D5332">
            <v>43437</v>
          </cell>
        </row>
        <row r="5333">
          <cell r="A5333" t="str">
            <v>IN</v>
          </cell>
          <cell r="D5333">
            <v>43125</v>
          </cell>
        </row>
        <row r="5334">
          <cell r="A5334" t="str">
            <v>IN</v>
          </cell>
          <cell r="D5334">
            <v>43412</v>
          </cell>
        </row>
        <row r="5335">
          <cell r="A5335" t="str">
            <v>ANZ</v>
          </cell>
          <cell r="D5335">
            <v>43378</v>
          </cell>
        </row>
        <row r="5336">
          <cell r="A5336" t="str">
            <v>GC</v>
          </cell>
          <cell r="D5336">
            <v>43373</v>
          </cell>
        </row>
        <row r="5337">
          <cell r="A5337" t="str">
            <v>ASEAN</v>
          </cell>
          <cell r="D5337">
            <v>43412</v>
          </cell>
        </row>
        <row r="5338">
          <cell r="A5338" t="str">
            <v>GC</v>
          </cell>
          <cell r="D5338">
            <v>43121</v>
          </cell>
        </row>
        <row r="5339">
          <cell r="A5339" t="str">
            <v>GC</v>
          </cell>
          <cell r="D5339">
            <v>43142</v>
          </cell>
        </row>
        <row r="5340">
          <cell r="A5340" t="str">
            <v>GC</v>
          </cell>
          <cell r="D5340">
            <v>43197</v>
          </cell>
        </row>
        <row r="5341">
          <cell r="A5341" t="str">
            <v>KR</v>
          </cell>
          <cell r="D5341">
            <v>43291</v>
          </cell>
        </row>
        <row r="5342">
          <cell r="A5342" t="str">
            <v>IN</v>
          </cell>
          <cell r="D5342">
            <v>43110</v>
          </cell>
        </row>
        <row r="5343">
          <cell r="A5343" t="str">
            <v>GC</v>
          </cell>
          <cell r="D5343">
            <v>43213</v>
          </cell>
        </row>
        <row r="5344">
          <cell r="A5344" t="str">
            <v>GC</v>
          </cell>
          <cell r="D5344">
            <v>43248</v>
          </cell>
        </row>
        <row r="5345">
          <cell r="A5345" t="str">
            <v>GC</v>
          </cell>
          <cell r="D5345">
            <v>43233</v>
          </cell>
        </row>
        <row r="5346">
          <cell r="A5346" t="str">
            <v>GC</v>
          </cell>
          <cell r="D5346">
            <v>43117</v>
          </cell>
        </row>
        <row r="5347">
          <cell r="A5347" t="str">
            <v>GC</v>
          </cell>
          <cell r="D5347">
            <v>43348</v>
          </cell>
        </row>
        <row r="5348">
          <cell r="A5348" t="str">
            <v>GC</v>
          </cell>
          <cell r="D5348">
            <v>43424</v>
          </cell>
        </row>
        <row r="5349">
          <cell r="A5349" t="str">
            <v>GC</v>
          </cell>
          <cell r="D5349">
            <v>43309</v>
          </cell>
        </row>
        <row r="5350">
          <cell r="A5350" t="str">
            <v>GC</v>
          </cell>
          <cell r="D5350">
            <v>43201</v>
          </cell>
        </row>
        <row r="5351">
          <cell r="A5351" t="str">
            <v>IN</v>
          </cell>
          <cell r="D5351">
            <v>43334</v>
          </cell>
        </row>
        <row r="5352">
          <cell r="A5352" t="str">
            <v>IN</v>
          </cell>
          <cell r="D5352">
            <v>43175</v>
          </cell>
        </row>
        <row r="5353">
          <cell r="A5353" t="str">
            <v>IN</v>
          </cell>
          <cell r="D5353">
            <v>43160</v>
          </cell>
        </row>
        <row r="5354">
          <cell r="A5354" t="str">
            <v>IN</v>
          </cell>
          <cell r="D5354">
            <v>43290</v>
          </cell>
        </row>
        <row r="5355">
          <cell r="A5355" t="str">
            <v>IN</v>
          </cell>
          <cell r="D5355">
            <v>43154</v>
          </cell>
        </row>
        <row r="5356">
          <cell r="A5356" t="str">
            <v>IN</v>
          </cell>
          <cell r="D5356">
            <v>43286</v>
          </cell>
        </row>
        <row r="5357">
          <cell r="A5357" t="str">
            <v>IN</v>
          </cell>
          <cell r="D5357">
            <v>43425</v>
          </cell>
        </row>
        <row r="5358">
          <cell r="A5358" t="str">
            <v>ASEAN</v>
          </cell>
          <cell r="D5358">
            <v>43459</v>
          </cell>
        </row>
        <row r="5359">
          <cell r="A5359" t="str">
            <v>IN</v>
          </cell>
          <cell r="D5359">
            <v>43198</v>
          </cell>
        </row>
        <row r="5360">
          <cell r="A5360" t="str">
            <v>GC</v>
          </cell>
          <cell r="D5360">
            <v>43372</v>
          </cell>
        </row>
        <row r="5361">
          <cell r="A5361" t="str">
            <v>GC</v>
          </cell>
          <cell r="D5361">
            <v>43290</v>
          </cell>
        </row>
        <row r="5362">
          <cell r="A5362" t="str">
            <v>GC</v>
          </cell>
          <cell r="D5362">
            <v>43220</v>
          </cell>
        </row>
        <row r="5363">
          <cell r="A5363" t="str">
            <v>GC</v>
          </cell>
          <cell r="D5363">
            <v>43334</v>
          </cell>
        </row>
        <row r="5364">
          <cell r="A5364" t="str">
            <v>GC</v>
          </cell>
          <cell r="D5364">
            <v>43429</v>
          </cell>
        </row>
        <row r="5365">
          <cell r="A5365" t="str">
            <v>GC</v>
          </cell>
          <cell r="D5365">
            <v>43199</v>
          </cell>
        </row>
        <row r="5366">
          <cell r="A5366" t="str">
            <v>ASEAN</v>
          </cell>
          <cell r="D5366">
            <v>43144</v>
          </cell>
        </row>
        <row r="5367">
          <cell r="A5367" t="str">
            <v>ANZ</v>
          </cell>
          <cell r="D5367">
            <v>43152</v>
          </cell>
        </row>
        <row r="5368">
          <cell r="A5368" t="str">
            <v>ANZ</v>
          </cell>
          <cell r="D5368">
            <v>43359</v>
          </cell>
        </row>
        <row r="5369">
          <cell r="A5369" t="str">
            <v>ANZ</v>
          </cell>
          <cell r="D5369">
            <v>43456</v>
          </cell>
        </row>
        <row r="5370">
          <cell r="A5370" t="str">
            <v>GC</v>
          </cell>
          <cell r="D5370">
            <v>43425</v>
          </cell>
        </row>
        <row r="5371">
          <cell r="A5371" t="str">
            <v>GC</v>
          </cell>
          <cell r="D5371">
            <v>43107</v>
          </cell>
        </row>
        <row r="5372">
          <cell r="A5372" t="str">
            <v>GC</v>
          </cell>
          <cell r="D5372">
            <v>43191</v>
          </cell>
        </row>
        <row r="5373">
          <cell r="A5373" t="str">
            <v>GC</v>
          </cell>
          <cell r="D5373">
            <v>43360</v>
          </cell>
        </row>
        <row r="5374">
          <cell r="A5374" t="str">
            <v>GC</v>
          </cell>
          <cell r="D5374">
            <v>43215</v>
          </cell>
        </row>
        <row r="5375">
          <cell r="A5375" t="str">
            <v>ASEAN</v>
          </cell>
          <cell r="D5375">
            <v>43149</v>
          </cell>
        </row>
        <row r="5376">
          <cell r="A5376" t="str">
            <v>IN</v>
          </cell>
          <cell r="D5376">
            <v>43366</v>
          </cell>
        </row>
        <row r="5377">
          <cell r="A5377" t="str">
            <v>ASEAN</v>
          </cell>
          <cell r="D5377">
            <v>43398</v>
          </cell>
        </row>
        <row r="5378">
          <cell r="A5378" t="str">
            <v>ANZ</v>
          </cell>
          <cell r="D5378">
            <v>43255</v>
          </cell>
        </row>
        <row r="5379">
          <cell r="A5379" t="str">
            <v>KR</v>
          </cell>
          <cell r="D5379">
            <v>43454</v>
          </cell>
        </row>
        <row r="5380">
          <cell r="A5380" t="str">
            <v>KR</v>
          </cell>
          <cell r="D5380">
            <v>43430</v>
          </cell>
        </row>
        <row r="5381">
          <cell r="A5381" t="str">
            <v>IN</v>
          </cell>
          <cell r="D5381">
            <v>43249</v>
          </cell>
        </row>
        <row r="5382">
          <cell r="A5382" t="str">
            <v>ANZ</v>
          </cell>
          <cell r="D5382">
            <v>43342</v>
          </cell>
        </row>
        <row r="5383">
          <cell r="A5383" t="str">
            <v>ANZ</v>
          </cell>
          <cell r="D5383">
            <v>43207</v>
          </cell>
        </row>
        <row r="5384">
          <cell r="A5384" t="str">
            <v>ANZ</v>
          </cell>
          <cell r="D5384">
            <v>43110</v>
          </cell>
        </row>
        <row r="5385">
          <cell r="A5385" t="str">
            <v>ANZ</v>
          </cell>
          <cell r="D5385">
            <v>43150</v>
          </cell>
        </row>
        <row r="5386">
          <cell r="A5386" t="str">
            <v>GC</v>
          </cell>
          <cell r="D5386">
            <v>43121</v>
          </cell>
        </row>
        <row r="5387">
          <cell r="A5387" t="str">
            <v>GC</v>
          </cell>
          <cell r="D5387">
            <v>43292</v>
          </cell>
        </row>
        <row r="5388">
          <cell r="A5388" t="str">
            <v>GC</v>
          </cell>
          <cell r="D5388">
            <v>43205</v>
          </cell>
        </row>
        <row r="5389">
          <cell r="A5389" t="str">
            <v>IN</v>
          </cell>
          <cell r="D5389">
            <v>43199</v>
          </cell>
        </row>
        <row r="5390">
          <cell r="A5390" t="str">
            <v>IN</v>
          </cell>
          <cell r="D5390">
            <v>43214</v>
          </cell>
        </row>
        <row r="5391">
          <cell r="A5391" t="str">
            <v>GC</v>
          </cell>
          <cell r="D5391">
            <v>43128</v>
          </cell>
        </row>
        <row r="5392">
          <cell r="A5392" t="str">
            <v>ANZ</v>
          </cell>
          <cell r="D5392">
            <v>43408</v>
          </cell>
        </row>
        <row r="5393">
          <cell r="A5393" t="str">
            <v>IN</v>
          </cell>
          <cell r="D5393">
            <v>43317</v>
          </cell>
        </row>
        <row r="5394">
          <cell r="A5394" t="str">
            <v>ANZ</v>
          </cell>
          <cell r="D5394">
            <v>43273</v>
          </cell>
        </row>
        <row r="5395">
          <cell r="A5395" t="str">
            <v>IN</v>
          </cell>
          <cell r="D5395">
            <v>43391</v>
          </cell>
        </row>
        <row r="5396">
          <cell r="A5396" t="str">
            <v>GC</v>
          </cell>
          <cell r="D5396">
            <v>43141</v>
          </cell>
        </row>
        <row r="5397">
          <cell r="A5397" t="str">
            <v>ANZ</v>
          </cell>
          <cell r="D5397">
            <v>43323</v>
          </cell>
        </row>
        <row r="5398">
          <cell r="A5398" t="str">
            <v>ANZ</v>
          </cell>
          <cell r="D5398">
            <v>43219</v>
          </cell>
        </row>
        <row r="5399">
          <cell r="A5399" t="str">
            <v>ANZ</v>
          </cell>
          <cell r="D5399">
            <v>43173</v>
          </cell>
        </row>
        <row r="5400">
          <cell r="A5400" t="str">
            <v>ANZ</v>
          </cell>
          <cell r="D5400">
            <v>43306</v>
          </cell>
        </row>
        <row r="5401">
          <cell r="A5401" t="str">
            <v>IN</v>
          </cell>
          <cell r="D5401">
            <v>43286</v>
          </cell>
        </row>
        <row r="5402">
          <cell r="A5402" t="str">
            <v>ANZ</v>
          </cell>
          <cell r="D5402">
            <v>43401</v>
          </cell>
        </row>
        <row r="5403">
          <cell r="A5403" t="str">
            <v>IN</v>
          </cell>
          <cell r="D5403">
            <v>43383</v>
          </cell>
        </row>
        <row r="5404">
          <cell r="A5404" t="str">
            <v>IN</v>
          </cell>
          <cell r="D5404">
            <v>43153</v>
          </cell>
        </row>
        <row r="5405">
          <cell r="A5405" t="str">
            <v>IN</v>
          </cell>
          <cell r="D5405">
            <v>43147</v>
          </cell>
        </row>
        <row r="5406">
          <cell r="A5406" t="str">
            <v>IN</v>
          </cell>
          <cell r="D5406">
            <v>43306</v>
          </cell>
        </row>
        <row r="5407">
          <cell r="A5407" t="str">
            <v>IN</v>
          </cell>
          <cell r="D5407">
            <v>43131</v>
          </cell>
        </row>
        <row r="5408">
          <cell r="A5408" t="str">
            <v>IN</v>
          </cell>
          <cell r="D5408">
            <v>43260</v>
          </cell>
        </row>
        <row r="5409">
          <cell r="A5409" t="str">
            <v>IN</v>
          </cell>
          <cell r="D5409">
            <v>43149</v>
          </cell>
        </row>
        <row r="5410">
          <cell r="A5410" t="str">
            <v>IN</v>
          </cell>
          <cell r="D5410">
            <v>43184</v>
          </cell>
        </row>
        <row r="5411">
          <cell r="A5411" t="str">
            <v>IN</v>
          </cell>
          <cell r="D5411">
            <v>43418</v>
          </cell>
        </row>
        <row r="5412">
          <cell r="A5412" t="str">
            <v>GC</v>
          </cell>
          <cell r="D5412">
            <v>43176</v>
          </cell>
        </row>
        <row r="5413">
          <cell r="A5413" t="str">
            <v>GC</v>
          </cell>
          <cell r="D5413">
            <v>43405</v>
          </cell>
        </row>
        <row r="5414">
          <cell r="A5414" t="str">
            <v>IN</v>
          </cell>
          <cell r="D5414">
            <v>43142</v>
          </cell>
        </row>
        <row r="5415">
          <cell r="A5415" t="str">
            <v>KR</v>
          </cell>
          <cell r="D5415">
            <v>43394</v>
          </cell>
        </row>
        <row r="5416">
          <cell r="A5416" t="str">
            <v>GC</v>
          </cell>
          <cell r="D5416">
            <v>43448</v>
          </cell>
        </row>
        <row r="5417">
          <cell r="A5417" t="str">
            <v>ASEAN</v>
          </cell>
          <cell r="D5417">
            <v>43377</v>
          </cell>
        </row>
        <row r="5418">
          <cell r="A5418" t="str">
            <v>GC</v>
          </cell>
          <cell r="D5418">
            <v>43161</v>
          </cell>
        </row>
        <row r="5419">
          <cell r="A5419" t="str">
            <v>IN</v>
          </cell>
          <cell r="D5419">
            <v>43457</v>
          </cell>
        </row>
        <row r="5420">
          <cell r="A5420" t="str">
            <v>IN</v>
          </cell>
          <cell r="D5420">
            <v>43430</v>
          </cell>
        </row>
        <row r="5421">
          <cell r="A5421" t="str">
            <v>GC</v>
          </cell>
          <cell r="D5421">
            <v>43459</v>
          </cell>
        </row>
        <row r="5422">
          <cell r="A5422" t="str">
            <v>GC</v>
          </cell>
          <cell r="D5422">
            <v>43416</v>
          </cell>
        </row>
        <row r="5423">
          <cell r="A5423" t="str">
            <v>KR</v>
          </cell>
          <cell r="D5423">
            <v>43118</v>
          </cell>
        </row>
        <row r="5424">
          <cell r="A5424" t="str">
            <v>IN</v>
          </cell>
          <cell r="D5424">
            <v>43370</v>
          </cell>
        </row>
        <row r="5425">
          <cell r="A5425" t="str">
            <v>IN</v>
          </cell>
          <cell r="D5425">
            <v>43131</v>
          </cell>
        </row>
        <row r="5426">
          <cell r="A5426" t="str">
            <v>IN</v>
          </cell>
          <cell r="D5426">
            <v>43113</v>
          </cell>
        </row>
        <row r="5427">
          <cell r="A5427" t="str">
            <v>IN</v>
          </cell>
          <cell r="D5427">
            <v>43214</v>
          </cell>
        </row>
        <row r="5428">
          <cell r="A5428" t="str">
            <v>IN</v>
          </cell>
          <cell r="D5428">
            <v>43204</v>
          </cell>
        </row>
        <row r="5429">
          <cell r="A5429" t="str">
            <v>GC</v>
          </cell>
          <cell r="D5429">
            <v>43389</v>
          </cell>
        </row>
        <row r="5430">
          <cell r="A5430" t="str">
            <v>ANZ</v>
          </cell>
          <cell r="D5430">
            <v>43106</v>
          </cell>
        </row>
        <row r="5431">
          <cell r="A5431" t="str">
            <v>ANZ</v>
          </cell>
          <cell r="D5431">
            <v>43354</v>
          </cell>
        </row>
        <row r="5432">
          <cell r="A5432" t="str">
            <v>GC</v>
          </cell>
          <cell r="D5432">
            <v>43188</v>
          </cell>
        </row>
        <row r="5433">
          <cell r="A5433" t="str">
            <v>ANZ</v>
          </cell>
          <cell r="D5433">
            <v>43429</v>
          </cell>
        </row>
        <row r="5434">
          <cell r="A5434" t="str">
            <v>GC</v>
          </cell>
          <cell r="D5434">
            <v>43297</v>
          </cell>
        </row>
        <row r="5435">
          <cell r="A5435" t="str">
            <v>IN</v>
          </cell>
          <cell r="D5435">
            <v>43318</v>
          </cell>
        </row>
        <row r="5436">
          <cell r="A5436" t="str">
            <v>IN</v>
          </cell>
          <cell r="D5436">
            <v>43390</v>
          </cell>
        </row>
        <row r="5437">
          <cell r="A5437" t="str">
            <v>GC</v>
          </cell>
          <cell r="D5437">
            <v>43139</v>
          </cell>
        </row>
        <row r="5438">
          <cell r="A5438" t="str">
            <v>GC</v>
          </cell>
          <cell r="D5438">
            <v>43255</v>
          </cell>
        </row>
        <row r="5439">
          <cell r="A5439" t="str">
            <v>IN</v>
          </cell>
          <cell r="D5439">
            <v>43211</v>
          </cell>
        </row>
        <row r="5440">
          <cell r="A5440" t="str">
            <v>GC</v>
          </cell>
          <cell r="D5440">
            <v>43269</v>
          </cell>
        </row>
        <row r="5441">
          <cell r="A5441" t="str">
            <v>GC</v>
          </cell>
          <cell r="D5441">
            <v>43204</v>
          </cell>
        </row>
        <row r="5442">
          <cell r="A5442" t="str">
            <v>ANZ</v>
          </cell>
          <cell r="D5442">
            <v>43336</v>
          </cell>
        </row>
        <row r="5443">
          <cell r="A5443" t="str">
            <v>GC</v>
          </cell>
          <cell r="D5443">
            <v>43366</v>
          </cell>
        </row>
        <row r="5444">
          <cell r="A5444" t="str">
            <v>GC</v>
          </cell>
          <cell r="D5444">
            <v>43349</v>
          </cell>
        </row>
        <row r="5445">
          <cell r="A5445" t="str">
            <v>IN</v>
          </cell>
          <cell r="D5445">
            <v>43305</v>
          </cell>
        </row>
        <row r="5446">
          <cell r="A5446" t="str">
            <v>IN</v>
          </cell>
          <cell r="D5446">
            <v>43406</v>
          </cell>
        </row>
        <row r="5447">
          <cell r="A5447" t="str">
            <v>GC</v>
          </cell>
          <cell r="D5447">
            <v>43386</v>
          </cell>
        </row>
        <row r="5448">
          <cell r="A5448" t="str">
            <v>ANZ</v>
          </cell>
          <cell r="D5448">
            <v>43415</v>
          </cell>
        </row>
        <row r="5449">
          <cell r="A5449" t="str">
            <v>IN</v>
          </cell>
          <cell r="D5449">
            <v>43139</v>
          </cell>
        </row>
        <row r="5450">
          <cell r="A5450" t="str">
            <v>IN</v>
          </cell>
          <cell r="D5450">
            <v>43253</v>
          </cell>
        </row>
        <row r="5451">
          <cell r="A5451" t="str">
            <v>IN</v>
          </cell>
          <cell r="D5451">
            <v>43447</v>
          </cell>
        </row>
        <row r="5452">
          <cell r="A5452" t="str">
            <v>GC</v>
          </cell>
          <cell r="D5452">
            <v>43416</v>
          </cell>
        </row>
        <row r="5453">
          <cell r="A5453" t="str">
            <v>IN</v>
          </cell>
          <cell r="D5453">
            <v>43429</v>
          </cell>
        </row>
        <row r="5454">
          <cell r="A5454" t="str">
            <v>ANZ</v>
          </cell>
          <cell r="D5454">
            <v>43453</v>
          </cell>
        </row>
        <row r="5455">
          <cell r="A5455" t="str">
            <v>GC</v>
          </cell>
          <cell r="D5455">
            <v>43288</v>
          </cell>
        </row>
        <row r="5456">
          <cell r="A5456" t="str">
            <v>IN</v>
          </cell>
          <cell r="D5456">
            <v>43243</v>
          </cell>
        </row>
        <row r="5457">
          <cell r="A5457" t="str">
            <v>GC</v>
          </cell>
          <cell r="D5457">
            <v>43108</v>
          </cell>
        </row>
        <row r="5458">
          <cell r="A5458" t="str">
            <v>IN</v>
          </cell>
          <cell r="D5458">
            <v>43207</v>
          </cell>
        </row>
        <row r="5459">
          <cell r="A5459" t="str">
            <v>ASEAN</v>
          </cell>
          <cell r="D5459">
            <v>43426</v>
          </cell>
        </row>
        <row r="5460">
          <cell r="A5460" t="str">
            <v>IN</v>
          </cell>
          <cell r="D5460">
            <v>43401</v>
          </cell>
        </row>
        <row r="5461">
          <cell r="A5461" t="str">
            <v>ASEAN</v>
          </cell>
          <cell r="D5461">
            <v>43232</v>
          </cell>
        </row>
        <row r="5462">
          <cell r="A5462" t="str">
            <v>IN</v>
          </cell>
          <cell r="D5462">
            <v>43115</v>
          </cell>
        </row>
        <row r="5463">
          <cell r="A5463" t="str">
            <v>ASEAN</v>
          </cell>
          <cell r="D5463">
            <v>43384</v>
          </cell>
        </row>
        <row r="5464">
          <cell r="A5464" t="str">
            <v>GC</v>
          </cell>
          <cell r="D5464">
            <v>43361</v>
          </cell>
        </row>
        <row r="5465">
          <cell r="A5465" t="str">
            <v>ASEAN</v>
          </cell>
          <cell r="D5465">
            <v>43109</v>
          </cell>
        </row>
        <row r="5466">
          <cell r="A5466" t="str">
            <v>ASEAN</v>
          </cell>
          <cell r="D5466">
            <v>43366</v>
          </cell>
        </row>
        <row r="5467">
          <cell r="A5467" t="str">
            <v>ANZ</v>
          </cell>
          <cell r="D5467">
            <v>43238</v>
          </cell>
        </row>
        <row r="5468">
          <cell r="A5468" t="str">
            <v>ASEAN</v>
          </cell>
          <cell r="D5468">
            <v>43341</v>
          </cell>
        </row>
        <row r="5469">
          <cell r="A5469" t="str">
            <v>ANZ</v>
          </cell>
          <cell r="D5469">
            <v>43242</v>
          </cell>
        </row>
        <row r="5470">
          <cell r="A5470" t="str">
            <v>ASEAN</v>
          </cell>
          <cell r="D5470">
            <v>43453</v>
          </cell>
        </row>
        <row r="5471">
          <cell r="A5471" t="str">
            <v>ASEAN</v>
          </cell>
          <cell r="D5471">
            <v>43134</v>
          </cell>
        </row>
        <row r="5472">
          <cell r="A5472" t="str">
            <v>IN</v>
          </cell>
          <cell r="D5472">
            <v>43173</v>
          </cell>
        </row>
        <row r="5473">
          <cell r="A5473" t="str">
            <v>IN</v>
          </cell>
          <cell r="D5473">
            <v>43111</v>
          </cell>
        </row>
        <row r="5474">
          <cell r="A5474" t="str">
            <v>IN</v>
          </cell>
          <cell r="D5474">
            <v>43259</v>
          </cell>
        </row>
        <row r="5475">
          <cell r="A5475" t="str">
            <v>ANZ</v>
          </cell>
          <cell r="D5475">
            <v>43247</v>
          </cell>
        </row>
        <row r="5476">
          <cell r="A5476" t="str">
            <v>ANZ</v>
          </cell>
          <cell r="D5476">
            <v>43430</v>
          </cell>
        </row>
        <row r="5477">
          <cell r="A5477" t="str">
            <v>ANZ</v>
          </cell>
          <cell r="D5477">
            <v>43420</v>
          </cell>
        </row>
        <row r="5478">
          <cell r="A5478" t="str">
            <v>ASEAN</v>
          </cell>
          <cell r="D5478">
            <v>43208</v>
          </cell>
        </row>
        <row r="5479">
          <cell r="A5479" t="str">
            <v>IN</v>
          </cell>
          <cell r="D5479">
            <v>43337</v>
          </cell>
        </row>
        <row r="5480">
          <cell r="A5480" t="str">
            <v>GC</v>
          </cell>
          <cell r="D5480">
            <v>43294</v>
          </cell>
        </row>
        <row r="5481">
          <cell r="A5481" t="str">
            <v>ANZ</v>
          </cell>
          <cell r="D5481">
            <v>43213</v>
          </cell>
        </row>
        <row r="5482">
          <cell r="A5482" t="str">
            <v>ANZ</v>
          </cell>
          <cell r="D5482">
            <v>43130</v>
          </cell>
        </row>
        <row r="5483">
          <cell r="A5483" t="str">
            <v>ANZ</v>
          </cell>
          <cell r="D5483">
            <v>43412</v>
          </cell>
        </row>
        <row r="5484">
          <cell r="A5484" t="str">
            <v>ANZ</v>
          </cell>
          <cell r="D5484">
            <v>43328</v>
          </cell>
        </row>
        <row r="5485">
          <cell r="A5485" t="str">
            <v>ANZ</v>
          </cell>
          <cell r="D5485">
            <v>43197</v>
          </cell>
        </row>
        <row r="5486">
          <cell r="A5486" t="str">
            <v>IN</v>
          </cell>
          <cell r="D5486">
            <v>43379</v>
          </cell>
        </row>
        <row r="5487">
          <cell r="A5487" t="str">
            <v>ASEAN</v>
          </cell>
          <cell r="D5487">
            <v>43224</v>
          </cell>
        </row>
        <row r="5488">
          <cell r="A5488" t="str">
            <v>ASEAN</v>
          </cell>
          <cell r="D5488">
            <v>43437</v>
          </cell>
        </row>
        <row r="5489">
          <cell r="A5489" t="str">
            <v>IN</v>
          </cell>
          <cell r="D5489">
            <v>43263</v>
          </cell>
        </row>
        <row r="5490">
          <cell r="A5490" t="str">
            <v>ANZ</v>
          </cell>
          <cell r="D5490">
            <v>43302</v>
          </cell>
        </row>
        <row r="5491">
          <cell r="A5491" t="str">
            <v>KR</v>
          </cell>
          <cell r="D5491">
            <v>43194</v>
          </cell>
        </row>
        <row r="5492">
          <cell r="A5492" t="str">
            <v>GC</v>
          </cell>
          <cell r="D5492">
            <v>43153</v>
          </cell>
        </row>
        <row r="5493">
          <cell r="A5493" t="str">
            <v>IN</v>
          </cell>
          <cell r="D5493">
            <v>43156</v>
          </cell>
        </row>
        <row r="5494">
          <cell r="A5494" t="str">
            <v>IN</v>
          </cell>
          <cell r="D5494">
            <v>43288</v>
          </cell>
        </row>
        <row r="5495">
          <cell r="A5495" t="str">
            <v>ASEAN</v>
          </cell>
          <cell r="D5495">
            <v>43196</v>
          </cell>
        </row>
        <row r="5496">
          <cell r="A5496" t="str">
            <v>GC</v>
          </cell>
          <cell r="D5496">
            <v>43169</v>
          </cell>
        </row>
        <row r="5497">
          <cell r="A5497" t="str">
            <v>GC</v>
          </cell>
          <cell r="D5497">
            <v>43461</v>
          </cell>
        </row>
        <row r="5498">
          <cell r="A5498" t="str">
            <v>GC</v>
          </cell>
          <cell r="D5498">
            <v>43203</v>
          </cell>
        </row>
        <row r="5499">
          <cell r="A5499" t="str">
            <v>IN</v>
          </cell>
          <cell r="D5499">
            <v>43451</v>
          </cell>
        </row>
        <row r="5500">
          <cell r="A5500" t="str">
            <v>IN</v>
          </cell>
          <cell r="D5500">
            <v>43287</v>
          </cell>
        </row>
        <row r="5501">
          <cell r="A5501" t="str">
            <v>IN</v>
          </cell>
          <cell r="D5501">
            <v>43211</v>
          </cell>
        </row>
        <row r="5502">
          <cell r="A5502" t="str">
            <v>ANZ</v>
          </cell>
          <cell r="D5502">
            <v>43285</v>
          </cell>
        </row>
        <row r="5503">
          <cell r="A5503" t="str">
            <v>GC</v>
          </cell>
          <cell r="D5503">
            <v>43234</v>
          </cell>
        </row>
        <row r="5504">
          <cell r="A5504" t="str">
            <v>GC</v>
          </cell>
          <cell r="D5504">
            <v>43322</v>
          </cell>
        </row>
        <row r="5505">
          <cell r="A5505" t="str">
            <v>ANZ</v>
          </cell>
          <cell r="D5505">
            <v>43335</v>
          </cell>
        </row>
        <row r="5506">
          <cell r="A5506" t="str">
            <v>GC</v>
          </cell>
          <cell r="D5506">
            <v>43430</v>
          </cell>
        </row>
        <row r="5507">
          <cell r="A5507" t="str">
            <v>KR</v>
          </cell>
          <cell r="D5507">
            <v>43105</v>
          </cell>
        </row>
        <row r="5508">
          <cell r="A5508" t="str">
            <v>GC</v>
          </cell>
          <cell r="D5508">
            <v>43407</v>
          </cell>
        </row>
        <row r="5509">
          <cell r="A5509" t="str">
            <v>IN</v>
          </cell>
          <cell r="D5509">
            <v>43201</v>
          </cell>
        </row>
        <row r="5510">
          <cell r="A5510" t="str">
            <v>IN</v>
          </cell>
          <cell r="D5510">
            <v>43461</v>
          </cell>
        </row>
        <row r="5511">
          <cell r="A5511" t="str">
            <v>GC</v>
          </cell>
          <cell r="D5511">
            <v>43243</v>
          </cell>
        </row>
        <row r="5512">
          <cell r="A5512" t="str">
            <v>IN</v>
          </cell>
          <cell r="D5512">
            <v>43452</v>
          </cell>
        </row>
        <row r="5513">
          <cell r="A5513" t="str">
            <v>IN</v>
          </cell>
          <cell r="D5513">
            <v>43394</v>
          </cell>
        </row>
        <row r="5514">
          <cell r="A5514" t="str">
            <v>GC</v>
          </cell>
          <cell r="D5514">
            <v>43294</v>
          </cell>
        </row>
        <row r="5515">
          <cell r="A5515" t="str">
            <v>GC</v>
          </cell>
          <cell r="D5515">
            <v>43247</v>
          </cell>
        </row>
        <row r="5516">
          <cell r="A5516" t="str">
            <v>GC</v>
          </cell>
          <cell r="D5516">
            <v>43289</v>
          </cell>
        </row>
        <row r="5517">
          <cell r="A5517" t="str">
            <v>GC</v>
          </cell>
          <cell r="D5517">
            <v>43233</v>
          </cell>
        </row>
        <row r="5518">
          <cell r="A5518" t="str">
            <v>GC</v>
          </cell>
          <cell r="D5518">
            <v>43250</v>
          </cell>
        </row>
        <row r="5519">
          <cell r="A5519" t="str">
            <v>IN</v>
          </cell>
          <cell r="D5519">
            <v>43111</v>
          </cell>
        </row>
        <row r="5520">
          <cell r="A5520" t="str">
            <v>IN</v>
          </cell>
          <cell r="D5520">
            <v>43465</v>
          </cell>
        </row>
        <row r="5521">
          <cell r="A5521" t="str">
            <v>GC</v>
          </cell>
          <cell r="D5521">
            <v>43321</v>
          </cell>
        </row>
        <row r="5522">
          <cell r="A5522" t="str">
            <v>GC</v>
          </cell>
          <cell r="D5522">
            <v>43186</v>
          </cell>
        </row>
        <row r="5523">
          <cell r="A5523" t="str">
            <v>ASEAN</v>
          </cell>
          <cell r="D5523">
            <v>43203</v>
          </cell>
        </row>
        <row r="5524">
          <cell r="A5524" t="str">
            <v>ASEAN</v>
          </cell>
          <cell r="D5524">
            <v>43463</v>
          </cell>
        </row>
        <row r="5525">
          <cell r="A5525" t="str">
            <v>ASEAN</v>
          </cell>
          <cell r="D5525">
            <v>43352</v>
          </cell>
        </row>
        <row r="5526">
          <cell r="A5526" t="str">
            <v>IN</v>
          </cell>
          <cell r="D5526">
            <v>43190</v>
          </cell>
        </row>
        <row r="5527">
          <cell r="A5527" t="str">
            <v>IN</v>
          </cell>
          <cell r="D5527">
            <v>43462</v>
          </cell>
        </row>
        <row r="5528">
          <cell r="A5528" t="str">
            <v>IN</v>
          </cell>
          <cell r="D5528">
            <v>43423</v>
          </cell>
        </row>
        <row r="5529">
          <cell r="A5529" t="str">
            <v>GC</v>
          </cell>
          <cell r="D5529">
            <v>43109</v>
          </cell>
        </row>
        <row r="5530">
          <cell r="A5530" t="str">
            <v>GC</v>
          </cell>
          <cell r="D5530">
            <v>43390</v>
          </cell>
        </row>
        <row r="5531">
          <cell r="A5531" t="str">
            <v>IN</v>
          </cell>
          <cell r="D5531">
            <v>43280</v>
          </cell>
        </row>
        <row r="5532">
          <cell r="A5532" t="str">
            <v>ASEAN</v>
          </cell>
          <cell r="D5532">
            <v>43197</v>
          </cell>
        </row>
        <row r="5533">
          <cell r="A5533" t="str">
            <v>GC</v>
          </cell>
          <cell r="D5533">
            <v>43318</v>
          </cell>
        </row>
        <row r="5534">
          <cell r="A5534" t="str">
            <v>IN</v>
          </cell>
          <cell r="D5534">
            <v>43145</v>
          </cell>
        </row>
        <row r="5535">
          <cell r="A5535" t="str">
            <v>ASEAN</v>
          </cell>
          <cell r="D5535">
            <v>43195</v>
          </cell>
        </row>
        <row r="5536">
          <cell r="A5536" t="str">
            <v>ASEAN</v>
          </cell>
          <cell r="D5536">
            <v>43439</v>
          </cell>
        </row>
        <row r="5537">
          <cell r="A5537" t="str">
            <v>GC</v>
          </cell>
          <cell r="D5537">
            <v>43201</v>
          </cell>
        </row>
        <row r="5538">
          <cell r="A5538" t="str">
            <v>ASEAN</v>
          </cell>
          <cell r="D5538">
            <v>43410</v>
          </cell>
        </row>
        <row r="5539">
          <cell r="A5539" t="str">
            <v>ASEAN</v>
          </cell>
          <cell r="D5539">
            <v>43254</v>
          </cell>
        </row>
        <row r="5540">
          <cell r="A5540" t="str">
            <v>ASEAN</v>
          </cell>
          <cell r="D5540">
            <v>43203</v>
          </cell>
        </row>
        <row r="5541">
          <cell r="A5541" t="str">
            <v>GC</v>
          </cell>
          <cell r="D5541">
            <v>43264</v>
          </cell>
        </row>
        <row r="5542">
          <cell r="A5542" t="str">
            <v>ASEAN</v>
          </cell>
          <cell r="D5542">
            <v>43266</v>
          </cell>
        </row>
        <row r="5543">
          <cell r="A5543" t="str">
            <v>IN</v>
          </cell>
          <cell r="D5543">
            <v>43336</v>
          </cell>
        </row>
        <row r="5544">
          <cell r="A5544" t="str">
            <v>IN</v>
          </cell>
          <cell r="D5544">
            <v>43214</v>
          </cell>
        </row>
        <row r="5545">
          <cell r="A5545" t="str">
            <v>IN</v>
          </cell>
          <cell r="D5545">
            <v>43463</v>
          </cell>
        </row>
        <row r="5546">
          <cell r="A5546" t="str">
            <v>IN</v>
          </cell>
          <cell r="D5546">
            <v>43349</v>
          </cell>
        </row>
        <row r="5547">
          <cell r="A5547" t="str">
            <v>GC</v>
          </cell>
          <cell r="D5547">
            <v>43409</v>
          </cell>
        </row>
        <row r="5548">
          <cell r="A5548" t="str">
            <v>IN</v>
          </cell>
          <cell r="D5548">
            <v>43377</v>
          </cell>
        </row>
        <row r="5549">
          <cell r="A5549" t="str">
            <v>IN</v>
          </cell>
          <cell r="D5549">
            <v>43368</v>
          </cell>
        </row>
        <row r="5550">
          <cell r="A5550" t="str">
            <v>GC</v>
          </cell>
          <cell r="D5550">
            <v>43349</v>
          </cell>
        </row>
        <row r="5551">
          <cell r="A5551" t="str">
            <v>IN</v>
          </cell>
          <cell r="D5551">
            <v>43431</v>
          </cell>
        </row>
        <row r="5552">
          <cell r="A5552" t="str">
            <v>GC</v>
          </cell>
          <cell r="D5552">
            <v>43231</v>
          </cell>
        </row>
        <row r="5553">
          <cell r="A5553" t="str">
            <v>KR</v>
          </cell>
          <cell r="D5553">
            <v>43417</v>
          </cell>
        </row>
        <row r="5554">
          <cell r="A5554" t="str">
            <v>IN</v>
          </cell>
          <cell r="D5554">
            <v>43282</v>
          </cell>
        </row>
        <row r="5555">
          <cell r="A5555" t="str">
            <v>GC</v>
          </cell>
          <cell r="D5555">
            <v>43409</v>
          </cell>
        </row>
        <row r="5556">
          <cell r="A5556" t="str">
            <v>GC</v>
          </cell>
          <cell r="D5556">
            <v>43161</v>
          </cell>
        </row>
        <row r="5557">
          <cell r="A5557" t="str">
            <v>GC</v>
          </cell>
          <cell r="D5557">
            <v>43103</v>
          </cell>
        </row>
        <row r="5558">
          <cell r="A5558" t="str">
            <v>KR</v>
          </cell>
          <cell r="D5558">
            <v>43421</v>
          </cell>
        </row>
        <row r="5559">
          <cell r="A5559" t="str">
            <v>GC</v>
          </cell>
          <cell r="D5559">
            <v>43170</v>
          </cell>
        </row>
        <row r="5560">
          <cell r="A5560" t="str">
            <v>IN</v>
          </cell>
          <cell r="D5560">
            <v>43412</v>
          </cell>
        </row>
        <row r="5561">
          <cell r="A5561" t="str">
            <v>GC</v>
          </cell>
          <cell r="D5561">
            <v>43321</v>
          </cell>
        </row>
        <row r="5562">
          <cell r="A5562" t="str">
            <v>GC</v>
          </cell>
          <cell r="D5562">
            <v>43112</v>
          </cell>
        </row>
        <row r="5563">
          <cell r="A5563" t="str">
            <v>ASEAN</v>
          </cell>
          <cell r="D5563">
            <v>43263</v>
          </cell>
        </row>
        <row r="5564">
          <cell r="A5564" t="str">
            <v>IN</v>
          </cell>
          <cell r="D5564">
            <v>43222</v>
          </cell>
        </row>
        <row r="5565">
          <cell r="A5565" t="str">
            <v>ANZ</v>
          </cell>
          <cell r="D5565">
            <v>43395</v>
          </cell>
        </row>
        <row r="5566">
          <cell r="A5566" t="str">
            <v>IN</v>
          </cell>
          <cell r="D5566">
            <v>43452</v>
          </cell>
        </row>
        <row r="5567">
          <cell r="A5567" t="str">
            <v>GC</v>
          </cell>
          <cell r="D5567">
            <v>43383</v>
          </cell>
        </row>
        <row r="5568">
          <cell r="A5568" t="str">
            <v>IN</v>
          </cell>
          <cell r="D5568">
            <v>43154</v>
          </cell>
        </row>
        <row r="5569">
          <cell r="A5569" t="str">
            <v>GC</v>
          </cell>
          <cell r="D5569">
            <v>43365</v>
          </cell>
        </row>
        <row r="5570">
          <cell r="A5570" t="str">
            <v>ANZ</v>
          </cell>
          <cell r="D5570">
            <v>43291</v>
          </cell>
        </row>
        <row r="5571">
          <cell r="A5571" t="str">
            <v>ANZ</v>
          </cell>
          <cell r="D5571">
            <v>43157</v>
          </cell>
        </row>
        <row r="5572">
          <cell r="A5572" t="str">
            <v>ASEAN</v>
          </cell>
          <cell r="D5572">
            <v>43189</v>
          </cell>
        </row>
        <row r="5573">
          <cell r="A5573" t="str">
            <v>ASEAN</v>
          </cell>
          <cell r="D5573">
            <v>43368</v>
          </cell>
        </row>
        <row r="5574">
          <cell r="A5574" t="str">
            <v>IN</v>
          </cell>
          <cell r="D5574">
            <v>43450</v>
          </cell>
        </row>
        <row r="5575">
          <cell r="A5575" t="str">
            <v>GC</v>
          </cell>
          <cell r="D5575">
            <v>43266</v>
          </cell>
        </row>
        <row r="5576">
          <cell r="A5576" t="str">
            <v>KR</v>
          </cell>
          <cell r="D5576">
            <v>43422</v>
          </cell>
        </row>
        <row r="5577">
          <cell r="A5577" t="str">
            <v>GC</v>
          </cell>
          <cell r="D5577">
            <v>43222</v>
          </cell>
        </row>
        <row r="5578">
          <cell r="A5578" t="str">
            <v>KR</v>
          </cell>
          <cell r="D5578">
            <v>43189</v>
          </cell>
        </row>
        <row r="5579">
          <cell r="A5579" t="str">
            <v>IN</v>
          </cell>
          <cell r="D5579">
            <v>43446</v>
          </cell>
        </row>
        <row r="5580">
          <cell r="A5580" t="str">
            <v>GC</v>
          </cell>
          <cell r="D5580">
            <v>43310</v>
          </cell>
        </row>
        <row r="5581">
          <cell r="A5581" t="str">
            <v>KR</v>
          </cell>
          <cell r="D5581">
            <v>43420</v>
          </cell>
        </row>
        <row r="5582">
          <cell r="A5582" t="str">
            <v>KR</v>
          </cell>
          <cell r="D5582">
            <v>43312</v>
          </cell>
        </row>
        <row r="5583">
          <cell r="A5583" t="str">
            <v>IN</v>
          </cell>
          <cell r="D5583">
            <v>43432</v>
          </cell>
        </row>
        <row r="5584">
          <cell r="A5584" t="str">
            <v>GC</v>
          </cell>
          <cell r="D5584">
            <v>43146</v>
          </cell>
        </row>
        <row r="5585">
          <cell r="A5585" t="str">
            <v>GC</v>
          </cell>
          <cell r="D5585">
            <v>43103</v>
          </cell>
        </row>
        <row r="5586">
          <cell r="A5586" t="str">
            <v>IN</v>
          </cell>
          <cell r="D5586">
            <v>43357</v>
          </cell>
        </row>
        <row r="5587">
          <cell r="A5587" t="str">
            <v>ASEAN</v>
          </cell>
          <cell r="D5587">
            <v>43131</v>
          </cell>
        </row>
        <row r="5588">
          <cell r="A5588" t="str">
            <v>GC</v>
          </cell>
          <cell r="D5588">
            <v>43119</v>
          </cell>
        </row>
        <row r="5589">
          <cell r="A5589" t="str">
            <v>GC</v>
          </cell>
          <cell r="D5589">
            <v>43432</v>
          </cell>
        </row>
        <row r="5590">
          <cell r="A5590" t="str">
            <v>ASEAN</v>
          </cell>
          <cell r="D5590">
            <v>43370</v>
          </cell>
        </row>
        <row r="5591">
          <cell r="A5591" t="str">
            <v>GC</v>
          </cell>
          <cell r="D5591">
            <v>43116</v>
          </cell>
        </row>
        <row r="5592">
          <cell r="A5592" t="str">
            <v>GC</v>
          </cell>
          <cell r="D5592">
            <v>43455</v>
          </cell>
        </row>
        <row r="5593">
          <cell r="A5593" t="str">
            <v>GC</v>
          </cell>
          <cell r="D5593">
            <v>43225</v>
          </cell>
        </row>
        <row r="5594">
          <cell r="A5594" t="str">
            <v>GC</v>
          </cell>
          <cell r="D5594">
            <v>43212</v>
          </cell>
        </row>
        <row r="5595">
          <cell r="A5595" t="str">
            <v>IN</v>
          </cell>
          <cell r="D5595">
            <v>43268</v>
          </cell>
        </row>
        <row r="5596">
          <cell r="A5596" t="str">
            <v>ANZ</v>
          </cell>
          <cell r="D5596">
            <v>43250</v>
          </cell>
        </row>
        <row r="5597">
          <cell r="A5597" t="str">
            <v>ASEAN</v>
          </cell>
          <cell r="D5597">
            <v>43236</v>
          </cell>
        </row>
        <row r="5598">
          <cell r="A5598" t="str">
            <v>GC</v>
          </cell>
          <cell r="D5598">
            <v>43181</v>
          </cell>
        </row>
        <row r="5599">
          <cell r="A5599" t="str">
            <v>IN</v>
          </cell>
          <cell r="D5599">
            <v>43120</v>
          </cell>
        </row>
        <row r="5600">
          <cell r="A5600" t="str">
            <v>GC</v>
          </cell>
          <cell r="D5600">
            <v>43102</v>
          </cell>
        </row>
        <row r="5601">
          <cell r="A5601" t="str">
            <v>GC</v>
          </cell>
          <cell r="D5601">
            <v>43148</v>
          </cell>
        </row>
        <row r="5602">
          <cell r="A5602" t="str">
            <v>GC</v>
          </cell>
          <cell r="D5602">
            <v>43203</v>
          </cell>
        </row>
        <row r="5603">
          <cell r="A5603" t="str">
            <v>GC</v>
          </cell>
          <cell r="D5603">
            <v>43105</v>
          </cell>
        </row>
        <row r="5604">
          <cell r="A5604" t="str">
            <v>GC</v>
          </cell>
          <cell r="D5604">
            <v>43400</v>
          </cell>
        </row>
        <row r="5605">
          <cell r="A5605" t="str">
            <v>GC</v>
          </cell>
          <cell r="D5605">
            <v>43136</v>
          </cell>
        </row>
        <row r="5606">
          <cell r="A5606" t="str">
            <v>GC</v>
          </cell>
          <cell r="D5606">
            <v>43293</v>
          </cell>
        </row>
        <row r="5607">
          <cell r="A5607" t="str">
            <v>ASEAN</v>
          </cell>
          <cell r="D5607">
            <v>43347</v>
          </cell>
        </row>
        <row r="5608">
          <cell r="A5608" t="str">
            <v>GC</v>
          </cell>
          <cell r="D5608">
            <v>43308</v>
          </cell>
        </row>
        <row r="5609">
          <cell r="A5609" t="str">
            <v>GC</v>
          </cell>
          <cell r="D5609">
            <v>43169</v>
          </cell>
        </row>
        <row r="5610">
          <cell r="A5610" t="str">
            <v>GC</v>
          </cell>
          <cell r="D5610">
            <v>43306</v>
          </cell>
        </row>
        <row r="5611">
          <cell r="A5611" t="str">
            <v>KR</v>
          </cell>
          <cell r="D5611">
            <v>43394</v>
          </cell>
        </row>
        <row r="5612">
          <cell r="A5612" t="str">
            <v>ASEAN</v>
          </cell>
          <cell r="D5612">
            <v>43263</v>
          </cell>
        </row>
        <row r="5613">
          <cell r="A5613" t="str">
            <v>IN</v>
          </cell>
          <cell r="D5613">
            <v>43223</v>
          </cell>
        </row>
        <row r="5614">
          <cell r="A5614" t="str">
            <v>IN</v>
          </cell>
          <cell r="D5614">
            <v>43338</v>
          </cell>
        </row>
        <row r="5615">
          <cell r="A5615" t="str">
            <v>KR</v>
          </cell>
          <cell r="D5615">
            <v>43255</v>
          </cell>
        </row>
        <row r="5616">
          <cell r="A5616" t="str">
            <v>GC</v>
          </cell>
          <cell r="D5616">
            <v>43200</v>
          </cell>
        </row>
        <row r="5617">
          <cell r="A5617" t="str">
            <v>GC</v>
          </cell>
          <cell r="D5617">
            <v>43396</v>
          </cell>
        </row>
        <row r="5618">
          <cell r="A5618" t="str">
            <v>GC</v>
          </cell>
          <cell r="D5618">
            <v>43230</v>
          </cell>
        </row>
        <row r="5619">
          <cell r="A5619" t="str">
            <v>GC</v>
          </cell>
          <cell r="D5619">
            <v>43379</v>
          </cell>
        </row>
        <row r="5620">
          <cell r="A5620" t="str">
            <v>GC</v>
          </cell>
          <cell r="D5620">
            <v>43251</v>
          </cell>
        </row>
        <row r="5621">
          <cell r="A5621" t="str">
            <v>GC</v>
          </cell>
          <cell r="D5621">
            <v>43364</v>
          </cell>
        </row>
        <row r="5622">
          <cell r="A5622" t="str">
            <v>GC</v>
          </cell>
          <cell r="D5622">
            <v>43456</v>
          </cell>
        </row>
        <row r="5623">
          <cell r="A5623" t="str">
            <v>GC</v>
          </cell>
          <cell r="D5623">
            <v>43457</v>
          </cell>
        </row>
        <row r="5624">
          <cell r="A5624" t="str">
            <v>GC</v>
          </cell>
          <cell r="D5624">
            <v>43192</v>
          </cell>
        </row>
        <row r="5625">
          <cell r="A5625" t="str">
            <v>IN</v>
          </cell>
          <cell r="D5625">
            <v>43465</v>
          </cell>
        </row>
        <row r="5626">
          <cell r="A5626" t="str">
            <v>GC</v>
          </cell>
          <cell r="D5626">
            <v>43314</v>
          </cell>
        </row>
        <row r="5627">
          <cell r="A5627" t="str">
            <v>GC</v>
          </cell>
          <cell r="D5627">
            <v>43240</v>
          </cell>
        </row>
        <row r="5628">
          <cell r="A5628" t="str">
            <v>GC</v>
          </cell>
          <cell r="D5628">
            <v>43399</v>
          </cell>
        </row>
        <row r="5629">
          <cell r="A5629" t="str">
            <v>IN</v>
          </cell>
          <cell r="D5629">
            <v>43111</v>
          </cell>
        </row>
        <row r="5630">
          <cell r="A5630" t="str">
            <v>IN</v>
          </cell>
          <cell r="D5630">
            <v>43167</v>
          </cell>
        </row>
        <row r="5631">
          <cell r="A5631" t="str">
            <v>IN</v>
          </cell>
          <cell r="D5631">
            <v>43118</v>
          </cell>
        </row>
        <row r="5632">
          <cell r="A5632" t="str">
            <v>GC</v>
          </cell>
          <cell r="D5632">
            <v>43464</v>
          </cell>
        </row>
        <row r="5633">
          <cell r="A5633" t="str">
            <v>ASEAN</v>
          </cell>
          <cell r="D5633">
            <v>43457</v>
          </cell>
        </row>
        <row r="5634">
          <cell r="A5634" t="str">
            <v>IN</v>
          </cell>
          <cell r="D5634">
            <v>43199</v>
          </cell>
        </row>
        <row r="5635">
          <cell r="A5635" t="str">
            <v>ASEAN</v>
          </cell>
          <cell r="D5635">
            <v>43146</v>
          </cell>
        </row>
        <row r="5636">
          <cell r="A5636" t="str">
            <v>GC</v>
          </cell>
          <cell r="D5636">
            <v>43377</v>
          </cell>
        </row>
        <row r="5637">
          <cell r="A5637" t="str">
            <v>ASEAN</v>
          </cell>
          <cell r="D5637">
            <v>43398</v>
          </cell>
        </row>
        <row r="5638">
          <cell r="A5638" t="str">
            <v>IN</v>
          </cell>
          <cell r="D5638">
            <v>43371</v>
          </cell>
        </row>
        <row r="5639">
          <cell r="A5639" t="str">
            <v>ANZ</v>
          </cell>
          <cell r="D5639">
            <v>43178</v>
          </cell>
        </row>
        <row r="5640">
          <cell r="A5640" t="str">
            <v>IN</v>
          </cell>
          <cell r="D5640">
            <v>43384</v>
          </cell>
        </row>
        <row r="5641">
          <cell r="A5641" t="str">
            <v>IN</v>
          </cell>
          <cell r="D5641">
            <v>43285</v>
          </cell>
        </row>
        <row r="5642">
          <cell r="A5642" t="str">
            <v>ANZ</v>
          </cell>
          <cell r="D5642">
            <v>43433</v>
          </cell>
        </row>
        <row r="5643">
          <cell r="A5643" t="str">
            <v>IN</v>
          </cell>
          <cell r="D5643">
            <v>43414</v>
          </cell>
        </row>
        <row r="5644">
          <cell r="A5644" t="str">
            <v>ASEAN</v>
          </cell>
          <cell r="D5644">
            <v>43226</v>
          </cell>
        </row>
        <row r="5645">
          <cell r="A5645" t="str">
            <v>ANZ</v>
          </cell>
          <cell r="D5645">
            <v>43327</v>
          </cell>
        </row>
        <row r="5646">
          <cell r="A5646" t="str">
            <v>ASEAN</v>
          </cell>
          <cell r="D5646">
            <v>43125</v>
          </cell>
        </row>
        <row r="5647">
          <cell r="A5647" t="str">
            <v>ASEAN</v>
          </cell>
          <cell r="D5647">
            <v>43451</v>
          </cell>
        </row>
        <row r="5648">
          <cell r="A5648" t="str">
            <v>ASEAN</v>
          </cell>
          <cell r="D5648">
            <v>43250</v>
          </cell>
        </row>
        <row r="5649">
          <cell r="A5649" t="str">
            <v>ANZ</v>
          </cell>
          <cell r="D5649">
            <v>43102</v>
          </cell>
        </row>
        <row r="5650">
          <cell r="A5650" t="str">
            <v>IN</v>
          </cell>
          <cell r="D5650">
            <v>43381</v>
          </cell>
        </row>
        <row r="5651">
          <cell r="A5651" t="str">
            <v>IN</v>
          </cell>
          <cell r="D5651">
            <v>43381</v>
          </cell>
        </row>
        <row r="5652">
          <cell r="A5652" t="str">
            <v>IN</v>
          </cell>
          <cell r="D5652">
            <v>43211</v>
          </cell>
        </row>
        <row r="5653">
          <cell r="A5653" t="str">
            <v>IN</v>
          </cell>
          <cell r="D5653">
            <v>43336</v>
          </cell>
        </row>
        <row r="5654">
          <cell r="A5654" t="str">
            <v>ASEAN</v>
          </cell>
          <cell r="D5654">
            <v>43101</v>
          </cell>
        </row>
        <row r="5655">
          <cell r="A5655" t="str">
            <v>ASEAN</v>
          </cell>
          <cell r="D5655">
            <v>43407</v>
          </cell>
        </row>
        <row r="5656">
          <cell r="A5656" t="str">
            <v>ASEAN</v>
          </cell>
          <cell r="D5656">
            <v>43419</v>
          </cell>
        </row>
        <row r="5657">
          <cell r="A5657" t="str">
            <v>ASEAN</v>
          </cell>
          <cell r="D5657">
            <v>43303</v>
          </cell>
        </row>
        <row r="5658">
          <cell r="A5658" t="str">
            <v>ASEAN</v>
          </cell>
          <cell r="D5658">
            <v>43208</v>
          </cell>
        </row>
        <row r="5659">
          <cell r="A5659" t="str">
            <v>IN</v>
          </cell>
          <cell r="D5659">
            <v>43119</v>
          </cell>
        </row>
        <row r="5660">
          <cell r="A5660" t="str">
            <v>IN</v>
          </cell>
          <cell r="D5660">
            <v>43161</v>
          </cell>
        </row>
        <row r="5661">
          <cell r="A5661" t="str">
            <v>ASEAN</v>
          </cell>
          <cell r="D5661">
            <v>43237</v>
          </cell>
        </row>
        <row r="5662">
          <cell r="A5662" t="str">
            <v>IN</v>
          </cell>
          <cell r="D5662">
            <v>43335</v>
          </cell>
        </row>
        <row r="5663">
          <cell r="A5663" t="str">
            <v>KR</v>
          </cell>
          <cell r="D5663">
            <v>43202</v>
          </cell>
        </row>
        <row r="5664">
          <cell r="A5664" t="str">
            <v>IN</v>
          </cell>
          <cell r="D5664">
            <v>43148</v>
          </cell>
        </row>
        <row r="5665">
          <cell r="A5665" t="str">
            <v>IN</v>
          </cell>
          <cell r="D5665">
            <v>43465</v>
          </cell>
        </row>
        <row r="5666">
          <cell r="A5666" t="str">
            <v>IN</v>
          </cell>
          <cell r="D5666">
            <v>43400</v>
          </cell>
        </row>
        <row r="5667">
          <cell r="A5667" t="str">
            <v>KR</v>
          </cell>
          <cell r="D5667">
            <v>43237</v>
          </cell>
        </row>
        <row r="5668">
          <cell r="A5668" t="str">
            <v>IN</v>
          </cell>
          <cell r="D5668">
            <v>43335</v>
          </cell>
        </row>
        <row r="5669">
          <cell r="A5669" t="str">
            <v>ANZ</v>
          </cell>
          <cell r="D5669">
            <v>43411</v>
          </cell>
        </row>
        <row r="5670">
          <cell r="A5670" t="str">
            <v>ASEAN</v>
          </cell>
          <cell r="D5670">
            <v>43296</v>
          </cell>
        </row>
        <row r="5671">
          <cell r="A5671" t="str">
            <v>GC</v>
          </cell>
          <cell r="D5671">
            <v>43406</v>
          </cell>
        </row>
        <row r="5672">
          <cell r="A5672" t="str">
            <v>GC</v>
          </cell>
          <cell r="D5672">
            <v>43291</v>
          </cell>
        </row>
        <row r="5673">
          <cell r="A5673" t="str">
            <v>GC</v>
          </cell>
          <cell r="D5673">
            <v>43170</v>
          </cell>
        </row>
        <row r="5674">
          <cell r="A5674" t="str">
            <v>ANZ</v>
          </cell>
          <cell r="D5674">
            <v>43203</v>
          </cell>
        </row>
        <row r="5675">
          <cell r="A5675" t="str">
            <v>ANZ</v>
          </cell>
          <cell r="D5675">
            <v>43315</v>
          </cell>
        </row>
        <row r="5676">
          <cell r="A5676" t="str">
            <v>ANZ</v>
          </cell>
          <cell r="D5676">
            <v>43462</v>
          </cell>
        </row>
        <row r="5677">
          <cell r="A5677" t="str">
            <v>GC</v>
          </cell>
          <cell r="D5677">
            <v>43418</v>
          </cell>
        </row>
        <row r="5678">
          <cell r="A5678" t="str">
            <v>IN</v>
          </cell>
          <cell r="D5678">
            <v>43287</v>
          </cell>
        </row>
        <row r="5679">
          <cell r="A5679" t="str">
            <v>IN</v>
          </cell>
          <cell r="D5679">
            <v>43259</v>
          </cell>
        </row>
        <row r="5680">
          <cell r="A5680" t="str">
            <v>GC</v>
          </cell>
          <cell r="D5680">
            <v>43173</v>
          </cell>
        </row>
        <row r="5681">
          <cell r="A5681" t="str">
            <v>ANZ</v>
          </cell>
          <cell r="D5681">
            <v>43417</v>
          </cell>
        </row>
        <row r="5682">
          <cell r="A5682" t="str">
            <v>ASEAN</v>
          </cell>
          <cell r="D5682">
            <v>43215</v>
          </cell>
        </row>
        <row r="5683">
          <cell r="A5683" t="str">
            <v>IN</v>
          </cell>
          <cell r="D5683">
            <v>43421</v>
          </cell>
        </row>
        <row r="5684">
          <cell r="A5684" t="str">
            <v>ASEAN</v>
          </cell>
          <cell r="D5684">
            <v>43334</v>
          </cell>
        </row>
        <row r="5685">
          <cell r="A5685" t="str">
            <v>IN</v>
          </cell>
          <cell r="D5685">
            <v>43416</v>
          </cell>
        </row>
        <row r="5686">
          <cell r="A5686" t="str">
            <v>IN</v>
          </cell>
          <cell r="D5686">
            <v>43115</v>
          </cell>
        </row>
        <row r="5687">
          <cell r="A5687" t="str">
            <v>KR</v>
          </cell>
          <cell r="D5687">
            <v>43262</v>
          </cell>
        </row>
        <row r="5688">
          <cell r="A5688" t="str">
            <v>GC</v>
          </cell>
          <cell r="D5688">
            <v>43406</v>
          </cell>
        </row>
        <row r="5689">
          <cell r="A5689" t="str">
            <v>IN</v>
          </cell>
          <cell r="D5689">
            <v>43240</v>
          </cell>
        </row>
        <row r="5690">
          <cell r="A5690" t="str">
            <v>IN</v>
          </cell>
          <cell r="D5690">
            <v>43383</v>
          </cell>
        </row>
        <row r="5691">
          <cell r="A5691" t="str">
            <v>IN</v>
          </cell>
          <cell r="D5691">
            <v>43140</v>
          </cell>
        </row>
        <row r="5692">
          <cell r="A5692" t="str">
            <v>IN</v>
          </cell>
          <cell r="D5692">
            <v>43159</v>
          </cell>
        </row>
        <row r="5693">
          <cell r="A5693" t="str">
            <v>GC</v>
          </cell>
          <cell r="D5693">
            <v>43266</v>
          </cell>
        </row>
        <row r="5694">
          <cell r="A5694" t="str">
            <v>GC</v>
          </cell>
          <cell r="D5694">
            <v>43328</v>
          </cell>
        </row>
        <row r="5695">
          <cell r="A5695" t="str">
            <v>GC</v>
          </cell>
          <cell r="D5695">
            <v>43106</v>
          </cell>
        </row>
        <row r="5696">
          <cell r="A5696" t="str">
            <v>GC</v>
          </cell>
          <cell r="D5696">
            <v>43444</v>
          </cell>
        </row>
        <row r="5697">
          <cell r="A5697" t="str">
            <v>ANZ</v>
          </cell>
          <cell r="D5697">
            <v>43340</v>
          </cell>
        </row>
        <row r="5698">
          <cell r="A5698" t="str">
            <v>IN</v>
          </cell>
          <cell r="D5698">
            <v>43269</v>
          </cell>
        </row>
        <row r="5699">
          <cell r="A5699" t="str">
            <v>GC</v>
          </cell>
          <cell r="D5699">
            <v>43410</v>
          </cell>
        </row>
        <row r="5700">
          <cell r="A5700" t="str">
            <v>GC</v>
          </cell>
          <cell r="D5700">
            <v>43447</v>
          </cell>
        </row>
        <row r="5701">
          <cell r="A5701" t="str">
            <v>IN</v>
          </cell>
          <cell r="D5701">
            <v>43404</v>
          </cell>
        </row>
        <row r="5702">
          <cell r="A5702" t="str">
            <v>GC</v>
          </cell>
          <cell r="D5702">
            <v>43409</v>
          </cell>
        </row>
        <row r="5703">
          <cell r="A5703" t="str">
            <v>GC</v>
          </cell>
          <cell r="D5703">
            <v>43405</v>
          </cell>
        </row>
        <row r="5704">
          <cell r="A5704" t="str">
            <v>IN</v>
          </cell>
          <cell r="D5704">
            <v>43224</v>
          </cell>
        </row>
        <row r="5705">
          <cell r="A5705" t="str">
            <v>ASEAN</v>
          </cell>
          <cell r="D5705">
            <v>43360</v>
          </cell>
        </row>
        <row r="5706">
          <cell r="A5706" t="str">
            <v>GC</v>
          </cell>
          <cell r="D5706">
            <v>43141</v>
          </cell>
        </row>
        <row r="5707">
          <cell r="A5707" t="str">
            <v>ASEAN</v>
          </cell>
          <cell r="D5707">
            <v>43416</v>
          </cell>
        </row>
        <row r="5708">
          <cell r="A5708" t="str">
            <v>GC</v>
          </cell>
          <cell r="D5708">
            <v>43439</v>
          </cell>
        </row>
        <row r="5709">
          <cell r="A5709" t="str">
            <v>IN</v>
          </cell>
          <cell r="D5709">
            <v>43445</v>
          </cell>
        </row>
        <row r="5710">
          <cell r="A5710" t="str">
            <v>IN</v>
          </cell>
          <cell r="D5710">
            <v>43355</v>
          </cell>
        </row>
        <row r="5711">
          <cell r="A5711" t="str">
            <v>ASEAN</v>
          </cell>
          <cell r="D5711">
            <v>43427</v>
          </cell>
        </row>
        <row r="5712">
          <cell r="A5712" t="str">
            <v>GC</v>
          </cell>
          <cell r="D5712">
            <v>43373</v>
          </cell>
        </row>
        <row r="5713">
          <cell r="A5713" t="str">
            <v>GC</v>
          </cell>
          <cell r="D5713">
            <v>43406</v>
          </cell>
        </row>
        <row r="5714">
          <cell r="A5714" t="str">
            <v>ASEAN</v>
          </cell>
          <cell r="D5714">
            <v>43406</v>
          </cell>
        </row>
        <row r="5715">
          <cell r="A5715" t="str">
            <v>ANZ</v>
          </cell>
          <cell r="D5715">
            <v>43226</v>
          </cell>
        </row>
        <row r="5716">
          <cell r="A5716" t="str">
            <v>GC</v>
          </cell>
          <cell r="D5716">
            <v>43118</v>
          </cell>
        </row>
        <row r="5717">
          <cell r="A5717" t="str">
            <v>KR</v>
          </cell>
          <cell r="D5717">
            <v>43164</v>
          </cell>
        </row>
        <row r="5718">
          <cell r="A5718" t="str">
            <v>ASEAN</v>
          </cell>
          <cell r="D5718">
            <v>43320</v>
          </cell>
        </row>
        <row r="5719">
          <cell r="A5719" t="str">
            <v>GC</v>
          </cell>
          <cell r="D5719">
            <v>43125</v>
          </cell>
        </row>
        <row r="5720">
          <cell r="A5720" t="str">
            <v>GC</v>
          </cell>
          <cell r="D5720">
            <v>43394</v>
          </cell>
        </row>
        <row r="5721">
          <cell r="A5721" t="str">
            <v>ASEAN</v>
          </cell>
          <cell r="D5721">
            <v>43344</v>
          </cell>
        </row>
        <row r="5722">
          <cell r="A5722" t="str">
            <v>IN</v>
          </cell>
          <cell r="D5722">
            <v>43434</v>
          </cell>
        </row>
        <row r="5723">
          <cell r="A5723" t="str">
            <v>GC</v>
          </cell>
          <cell r="D5723">
            <v>43199</v>
          </cell>
        </row>
        <row r="5724">
          <cell r="A5724" t="str">
            <v>GC</v>
          </cell>
          <cell r="D5724">
            <v>43222</v>
          </cell>
        </row>
        <row r="5725">
          <cell r="A5725" t="str">
            <v>GC</v>
          </cell>
          <cell r="D5725">
            <v>43293</v>
          </cell>
        </row>
        <row r="5726">
          <cell r="A5726" t="str">
            <v>IN</v>
          </cell>
          <cell r="D5726">
            <v>43423</v>
          </cell>
        </row>
        <row r="5727">
          <cell r="A5727" t="str">
            <v>GC</v>
          </cell>
          <cell r="D5727">
            <v>43275</v>
          </cell>
        </row>
        <row r="5728">
          <cell r="A5728" t="str">
            <v>IN</v>
          </cell>
          <cell r="D5728">
            <v>43246</v>
          </cell>
        </row>
        <row r="5729">
          <cell r="A5729" t="str">
            <v>ASEAN</v>
          </cell>
          <cell r="D5729">
            <v>43145</v>
          </cell>
        </row>
        <row r="5730">
          <cell r="A5730" t="str">
            <v>ASEAN</v>
          </cell>
          <cell r="D5730">
            <v>43318</v>
          </cell>
        </row>
        <row r="5731">
          <cell r="A5731" t="str">
            <v>GC</v>
          </cell>
          <cell r="D5731">
            <v>43203</v>
          </cell>
        </row>
        <row r="5732">
          <cell r="A5732" t="str">
            <v>GC</v>
          </cell>
          <cell r="D5732">
            <v>43376</v>
          </cell>
        </row>
        <row r="5733">
          <cell r="A5733" t="str">
            <v>GC</v>
          </cell>
          <cell r="D5733">
            <v>43334</v>
          </cell>
        </row>
        <row r="5734">
          <cell r="A5734" t="str">
            <v>GC</v>
          </cell>
          <cell r="D5734">
            <v>43111</v>
          </cell>
        </row>
        <row r="5735">
          <cell r="A5735" t="str">
            <v>GC</v>
          </cell>
          <cell r="D5735">
            <v>43227</v>
          </cell>
        </row>
        <row r="5736">
          <cell r="A5736" t="str">
            <v>KR</v>
          </cell>
          <cell r="D5736">
            <v>43229</v>
          </cell>
        </row>
        <row r="5737">
          <cell r="A5737" t="str">
            <v>GC</v>
          </cell>
          <cell r="D5737">
            <v>43407</v>
          </cell>
        </row>
        <row r="5738">
          <cell r="A5738" t="str">
            <v>GC</v>
          </cell>
          <cell r="D5738">
            <v>43454</v>
          </cell>
        </row>
        <row r="5739">
          <cell r="A5739" t="str">
            <v>IN</v>
          </cell>
          <cell r="D5739">
            <v>43212</v>
          </cell>
        </row>
        <row r="5740">
          <cell r="A5740" t="str">
            <v>IN</v>
          </cell>
          <cell r="D5740">
            <v>43391</v>
          </cell>
        </row>
        <row r="5741">
          <cell r="A5741" t="str">
            <v>GC</v>
          </cell>
          <cell r="D5741">
            <v>43254</v>
          </cell>
        </row>
        <row r="5742">
          <cell r="A5742" t="str">
            <v>GC</v>
          </cell>
          <cell r="D5742">
            <v>43226</v>
          </cell>
        </row>
        <row r="5743">
          <cell r="A5743" t="str">
            <v>GC</v>
          </cell>
          <cell r="D5743">
            <v>43364</v>
          </cell>
        </row>
        <row r="5744">
          <cell r="A5744" t="str">
            <v>GC</v>
          </cell>
          <cell r="D5744">
            <v>43168</v>
          </cell>
        </row>
        <row r="5745">
          <cell r="A5745" t="str">
            <v>GC</v>
          </cell>
          <cell r="D5745">
            <v>43153</v>
          </cell>
        </row>
        <row r="5746">
          <cell r="A5746" t="str">
            <v>GC</v>
          </cell>
          <cell r="D5746">
            <v>43114</v>
          </cell>
        </row>
        <row r="5747">
          <cell r="A5747" t="str">
            <v>GC</v>
          </cell>
          <cell r="D5747">
            <v>43229</v>
          </cell>
        </row>
        <row r="5748">
          <cell r="A5748" t="str">
            <v>ANZ</v>
          </cell>
          <cell r="D5748">
            <v>43212</v>
          </cell>
        </row>
        <row r="5749">
          <cell r="A5749" t="str">
            <v>ANZ</v>
          </cell>
          <cell r="D5749">
            <v>43286</v>
          </cell>
        </row>
        <row r="5750">
          <cell r="A5750" t="str">
            <v>ASEAN</v>
          </cell>
          <cell r="D5750">
            <v>43354</v>
          </cell>
        </row>
        <row r="5751">
          <cell r="A5751" t="str">
            <v>ASEAN</v>
          </cell>
          <cell r="D5751">
            <v>43463</v>
          </cell>
        </row>
        <row r="5752">
          <cell r="A5752" t="str">
            <v>IN</v>
          </cell>
          <cell r="D5752">
            <v>43119</v>
          </cell>
        </row>
        <row r="5753">
          <cell r="A5753" t="str">
            <v>ASEAN</v>
          </cell>
          <cell r="D5753">
            <v>43137</v>
          </cell>
        </row>
        <row r="5754">
          <cell r="A5754" t="str">
            <v>ASEAN</v>
          </cell>
          <cell r="D5754">
            <v>43335</v>
          </cell>
        </row>
        <row r="5755">
          <cell r="A5755" t="str">
            <v>GC</v>
          </cell>
          <cell r="D5755">
            <v>43346</v>
          </cell>
        </row>
        <row r="5756">
          <cell r="A5756" t="str">
            <v>IN</v>
          </cell>
          <cell r="D5756">
            <v>43164</v>
          </cell>
        </row>
        <row r="5757">
          <cell r="A5757" t="str">
            <v>GC</v>
          </cell>
          <cell r="D5757">
            <v>43435</v>
          </cell>
        </row>
        <row r="5758">
          <cell r="A5758" t="str">
            <v>IN</v>
          </cell>
          <cell r="D5758">
            <v>43305</v>
          </cell>
        </row>
        <row r="5759">
          <cell r="A5759" t="str">
            <v>IN</v>
          </cell>
          <cell r="D5759">
            <v>43200</v>
          </cell>
        </row>
        <row r="5760">
          <cell r="A5760" t="str">
            <v>ANZ</v>
          </cell>
          <cell r="D5760">
            <v>43150</v>
          </cell>
        </row>
        <row r="5761">
          <cell r="A5761" t="str">
            <v>GC</v>
          </cell>
          <cell r="D5761">
            <v>43340</v>
          </cell>
        </row>
        <row r="5762">
          <cell r="A5762" t="str">
            <v>KR</v>
          </cell>
          <cell r="D5762">
            <v>43323</v>
          </cell>
        </row>
        <row r="5763">
          <cell r="A5763" t="str">
            <v>KR</v>
          </cell>
          <cell r="D5763">
            <v>43365</v>
          </cell>
        </row>
        <row r="5764">
          <cell r="A5764" t="str">
            <v>IN</v>
          </cell>
          <cell r="D5764">
            <v>43183</v>
          </cell>
        </row>
        <row r="5765">
          <cell r="A5765" t="str">
            <v>GC</v>
          </cell>
          <cell r="D5765">
            <v>43167</v>
          </cell>
        </row>
        <row r="5766">
          <cell r="A5766" t="str">
            <v>IN</v>
          </cell>
          <cell r="D5766">
            <v>43227</v>
          </cell>
        </row>
        <row r="5767">
          <cell r="A5767" t="str">
            <v>IN</v>
          </cell>
          <cell r="D5767">
            <v>43227</v>
          </cell>
        </row>
        <row r="5768">
          <cell r="A5768" t="str">
            <v>KR</v>
          </cell>
          <cell r="D5768">
            <v>43212</v>
          </cell>
        </row>
        <row r="5769">
          <cell r="A5769" t="str">
            <v>ASEAN</v>
          </cell>
          <cell r="D5769">
            <v>43311</v>
          </cell>
        </row>
        <row r="5770">
          <cell r="A5770" t="str">
            <v>ASEAN</v>
          </cell>
          <cell r="D5770">
            <v>43324</v>
          </cell>
        </row>
        <row r="5771">
          <cell r="A5771" t="str">
            <v>GC</v>
          </cell>
          <cell r="D5771">
            <v>43464</v>
          </cell>
        </row>
        <row r="5772">
          <cell r="A5772" t="str">
            <v>GC</v>
          </cell>
          <cell r="D5772">
            <v>43362</v>
          </cell>
        </row>
        <row r="5773">
          <cell r="A5773" t="str">
            <v>GC</v>
          </cell>
          <cell r="D5773">
            <v>43385</v>
          </cell>
        </row>
        <row r="5774">
          <cell r="A5774" t="str">
            <v>ASEAN</v>
          </cell>
          <cell r="D5774">
            <v>43386</v>
          </cell>
        </row>
        <row r="5775">
          <cell r="A5775" t="str">
            <v>ANZ</v>
          </cell>
          <cell r="D5775">
            <v>43437</v>
          </cell>
        </row>
        <row r="5776">
          <cell r="A5776" t="str">
            <v>ASEAN</v>
          </cell>
          <cell r="D5776">
            <v>43190</v>
          </cell>
        </row>
        <row r="5777">
          <cell r="A5777" t="str">
            <v>ANZ</v>
          </cell>
          <cell r="D5777">
            <v>43464</v>
          </cell>
        </row>
        <row r="5778">
          <cell r="A5778" t="str">
            <v>ASEAN</v>
          </cell>
          <cell r="D5778">
            <v>43394</v>
          </cell>
        </row>
        <row r="5779">
          <cell r="A5779" t="str">
            <v>ANZ</v>
          </cell>
          <cell r="D5779">
            <v>43227</v>
          </cell>
        </row>
        <row r="5780">
          <cell r="A5780" t="str">
            <v>ASEAN</v>
          </cell>
          <cell r="D5780">
            <v>43186</v>
          </cell>
        </row>
        <row r="5781">
          <cell r="A5781" t="str">
            <v>ASEAN</v>
          </cell>
          <cell r="D5781">
            <v>43125</v>
          </cell>
        </row>
        <row r="5782">
          <cell r="A5782" t="str">
            <v>ASEAN</v>
          </cell>
          <cell r="D5782">
            <v>43165</v>
          </cell>
        </row>
        <row r="5783">
          <cell r="A5783" t="str">
            <v>ASEAN</v>
          </cell>
          <cell r="D5783">
            <v>43401</v>
          </cell>
        </row>
        <row r="5784">
          <cell r="A5784" t="str">
            <v>GC</v>
          </cell>
          <cell r="D5784">
            <v>43463</v>
          </cell>
        </row>
        <row r="5785">
          <cell r="A5785" t="str">
            <v>KR</v>
          </cell>
          <cell r="D5785">
            <v>43270</v>
          </cell>
        </row>
        <row r="5786">
          <cell r="A5786" t="str">
            <v>ANZ</v>
          </cell>
          <cell r="D5786">
            <v>43254</v>
          </cell>
        </row>
        <row r="5787">
          <cell r="A5787" t="str">
            <v>ASEAN</v>
          </cell>
          <cell r="D5787">
            <v>43424</v>
          </cell>
        </row>
        <row r="5788">
          <cell r="A5788" t="str">
            <v>GC</v>
          </cell>
          <cell r="D5788">
            <v>43260</v>
          </cell>
        </row>
        <row r="5789">
          <cell r="A5789" t="str">
            <v>GC</v>
          </cell>
          <cell r="D5789">
            <v>43268</v>
          </cell>
        </row>
        <row r="5790">
          <cell r="A5790" t="str">
            <v>GC</v>
          </cell>
          <cell r="D5790">
            <v>43391</v>
          </cell>
        </row>
        <row r="5791">
          <cell r="A5791" t="str">
            <v>IN</v>
          </cell>
          <cell r="D5791">
            <v>43337</v>
          </cell>
        </row>
        <row r="5792">
          <cell r="A5792" t="str">
            <v>GC</v>
          </cell>
          <cell r="D5792">
            <v>43179</v>
          </cell>
        </row>
        <row r="5793">
          <cell r="A5793" t="str">
            <v>IN</v>
          </cell>
          <cell r="D5793">
            <v>43149</v>
          </cell>
        </row>
        <row r="5794">
          <cell r="A5794" t="str">
            <v>IN</v>
          </cell>
          <cell r="D5794">
            <v>43453</v>
          </cell>
        </row>
        <row r="5795">
          <cell r="A5795" t="str">
            <v>GC</v>
          </cell>
          <cell r="D5795">
            <v>43465</v>
          </cell>
        </row>
        <row r="5796">
          <cell r="A5796" t="str">
            <v>GC</v>
          </cell>
          <cell r="D5796">
            <v>43439</v>
          </cell>
        </row>
        <row r="5797">
          <cell r="A5797" t="str">
            <v>ASEAN</v>
          </cell>
          <cell r="D5797">
            <v>43216</v>
          </cell>
        </row>
        <row r="5798">
          <cell r="A5798" t="str">
            <v>ASEAN</v>
          </cell>
          <cell r="D5798">
            <v>43338</v>
          </cell>
        </row>
        <row r="5799">
          <cell r="A5799" t="str">
            <v>ASEAN</v>
          </cell>
          <cell r="D5799">
            <v>43137</v>
          </cell>
        </row>
        <row r="5800">
          <cell r="A5800" t="str">
            <v>IN</v>
          </cell>
          <cell r="D5800">
            <v>43457</v>
          </cell>
        </row>
        <row r="5801">
          <cell r="A5801" t="str">
            <v>ASEAN</v>
          </cell>
          <cell r="D5801">
            <v>43345</v>
          </cell>
        </row>
        <row r="5802">
          <cell r="A5802" t="str">
            <v>GC</v>
          </cell>
          <cell r="D5802">
            <v>43262</v>
          </cell>
        </row>
        <row r="5803">
          <cell r="A5803" t="str">
            <v>GC</v>
          </cell>
          <cell r="D5803">
            <v>43231</v>
          </cell>
        </row>
        <row r="5804">
          <cell r="A5804" t="str">
            <v>IN</v>
          </cell>
          <cell r="D5804">
            <v>43261</v>
          </cell>
        </row>
        <row r="5805">
          <cell r="A5805" t="str">
            <v>GC</v>
          </cell>
          <cell r="D5805">
            <v>43121</v>
          </cell>
        </row>
        <row r="5806">
          <cell r="A5806" t="str">
            <v>GC</v>
          </cell>
          <cell r="D5806">
            <v>43444</v>
          </cell>
        </row>
        <row r="5807">
          <cell r="A5807" t="str">
            <v>GC</v>
          </cell>
          <cell r="D5807">
            <v>43345</v>
          </cell>
        </row>
        <row r="5808">
          <cell r="A5808" t="str">
            <v>IN</v>
          </cell>
          <cell r="D5808">
            <v>43251</v>
          </cell>
        </row>
        <row r="5809">
          <cell r="A5809" t="str">
            <v>GC</v>
          </cell>
          <cell r="D5809">
            <v>43203</v>
          </cell>
        </row>
        <row r="5810">
          <cell r="A5810" t="str">
            <v>GC</v>
          </cell>
          <cell r="D5810">
            <v>43122</v>
          </cell>
        </row>
        <row r="5811">
          <cell r="A5811" t="str">
            <v>GC</v>
          </cell>
          <cell r="D5811">
            <v>43200</v>
          </cell>
        </row>
        <row r="5812">
          <cell r="A5812" t="str">
            <v>ASEAN</v>
          </cell>
          <cell r="D5812">
            <v>43213</v>
          </cell>
        </row>
        <row r="5813">
          <cell r="A5813" t="str">
            <v>ASEAN</v>
          </cell>
          <cell r="D5813">
            <v>43363</v>
          </cell>
        </row>
        <row r="5814">
          <cell r="A5814" t="str">
            <v>GC</v>
          </cell>
          <cell r="D5814">
            <v>43286</v>
          </cell>
        </row>
        <row r="5815">
          <cell r="A5815" t="str">
            <v>GC</v>
          </cell>
          <cell r="D5815">
            <v>43229</v>
          </cell>
        </row>
        <row r="5816">
          <cell r="A5816" t="str">
            <v>GC</v>
          </cell>
          <cell r="D5816">
            <v>43157</v>
          </cell>
        </row>
        <row r="5817">
          <cell r="A5817" t="str">
            <v>GC</v>
          </cell>
          <cell r="D5817">
            <v>43112</v>
          </cell>
        </row>
        <row r="5818">
          <cell r="A5818" t="str">
            <v>GC</v>
          </cell>
          <cell r="D5818">
            <v>43274</v>
          </cell>
        </row>
        <row r="5819">
          <cell r="A5819" t="str">
            <v>GC</v>
          </cell>
          <cell r="D5819">
            <v>43142</v>
          </cell>
        </row>
        <row r="5820">
          <cell r="A5820" t="str">
            <v>ASEAN</v>
          </cell>
          <cell r="D5820">
            <v>43252</v>
          </cell>
        </row>
        <row r="5821">
          <cell r="A5821" t="str">
            <v>KR</v>
          </cell>
          <cell r="D5821">
            <v>43199</v>
          </cell>
        </row>
        <row r="5822">
          <cell r="A5822" t="str">
            <v>ASEAN</v>
          </cell>
          <cell r="D5822">
            <v>43341</v>
          </cell>
        </row>
        <row r="5823">
          <cell r="A5823" t="str">
            <v>GC</v>
          </cell>
          <cell r="D5823">
            <v>43240</v>
          </cell>
        </row>
        <row r="5824">
          <cell r="A5824" t="str">
            <v>ANZ</v>
          </cell>
          <cell r="D5824">
            <v>43440</v>
          </cell>
        </row>
        <row r="5825">
          <cell r="A5825" t="str">
            <v>ASEAN</v>
          </cell>
          <cell r="D5825">
            <v>43224</v>
          </cell>
        </row>
        <row r="5826">
          <cell r="A5826" t="str">
            <v>ASEAN</v>
          </cell>
          <cell r="D5826">
            <v>43278</v>
          </cell>
        </row>
        <row r="5827">
          <cell r="A5827" t="str">
            <v>GC</v>
          </cell>
          <cell r="D5827">
            <v>43384</v>
          </cell>
        </row>
        <row r="5828">
          <cell r="A5828" t="str">
            <v>IN</v>
          </cell>
          <cell r="D5828">
            <v>43387</v>
          </cell>
        </row>
        <row r="5829">
          <cell r="A5829" t="str">
            <v>IN</v>
          </cell>
          <cell r="D5829">
            <v>43152</v>
          </cell>
        </row>
        <row r="5830">
          <cell r="A5830" t="str">
            <v>IN</v>
          </cell>
          <cell r="D5830">
            <v>43418</v>
          </cell>
        </row>
        <row r="5831">
          <cell r="A5831" t="str">
            <v>GC</v>
          </cell>
          <cell r="D5831">
            <v>43395</v>
          </cell>
        </row>
        <row r="5832">
          <cell r="A5832" t="str">
            <v>GC</v>
          </cell>
          <cell r="D5832">
            <v>43330</v>
          </cell>
        </row>
        <row r="5833">
          <cell r="A5833" t="str">
            <v>GC</v>
          </cell>
          <cell r="D5833">
            <v>43156</v>
          </cell>
        </row>
        <row r="5834">
          <cell r="A5834" t="str">
            <v>GC</v>
          </cell>
          <cell r="D5834">
            <v>43127</v>
          </cell>
        </row>
        <row r="5835">
          <cell r="A5835" t="str">
            <v>GC</v>
          </cell>
          <cell r="D5835">
            <v>43180</v>
          </cell>
        </row>
        <row r="5836">
          <cell r="A5836" t="str">
            <v>GC</v>
          </cell>
          <cell r="D5836">
            <v>43456</v>
          </cell>
        </row>
        <row r="5837">
          <cell r="A5837" t="str">
            <v>GC</v>
          </cell>
          <cell r="D5837">
            <v>43304</v>
          </cell>
        </row>
        <row r="5838">
          <cell r="A5838" t="str">
            <v>GC</v>
          </cell>
          <cell r="D5838">
            <v>43118</v>
          </cell>
        </row>
        <row r="5839">
          <cell r="A5839" t="str">
            <v>ASEAN</v>
          </cell>
          <cell r="D5839">
            <v>43255</v>
          </cell>
        </row>
        <row r="5840">
          <cell r="A5840" t="str">
            <v>GC</v>
          </cell>
          <cell r="D5840">
            <v>43274</v>
          </cell>
        </row>
        <row r="5841">
          <cell r="A5841" t="str">
            <v>GC</v>
          </cell>
          <cell r="D5841">
            <v>43261</v>
          </cell>
        </row>
        <row r="5842">
          <cell r="A5842" t="str">
            <v>KR</v>
          </cell>
          <cell r="D5842">
            <v>43178</v>
          </cell>
        </row>
        <row r="5843">
          <cell r="A5843" t="str">
            <v>GC</v>
          </cell>
          <cell r="D5843">
            <v>43232</v>
          </cell>
        </row>
        <row r="5844">
          <cell r="A5844" t="str">
            <v>GC</v>
          </cell>
          <cell r="D5844">
            <v>43391</v>
          </cell>
        </row>
        <row r="5845">
          <cell r="A5845" t="str">
            <v>GC</v>
          </cell>
          <cell r="D5845">
            <v>43203</v>
          </cell>
        </row>
        <row r="5846">
          <cell r="A5846" t="str">
            <v>GC</v>
          </cell>
          <cell r="D5846">
            <v>43376</v>
          </cell>
        </row>
        <row r="5847">
          <cell r="A5847" t="str">
            <v>GC</v>
          </cell>
          <cell r="D5847">
            <v>43349</v>
          </cell>
        </row>
        <row r="5848">
          <cell r="A5848" t="str">
            <v>GC</v>
          </cell>
          <cell r="D5848">
            <v>43228</v>
          </cell>
        </row>
        <row r="5849">
          <cell r="A5849" t="str">
            <v>GC</v>
          </cell>
          <cell r="D5849">
            <v>43190</v>
          </cell>
        </row>
        <row r="5850">
          <cell r="A5850" t="str">
            <v>GC</v>
          </cell>
          <cell r="D5850">
            <v>43221</v>
          </cell>
        </row>
        <row r="5851">
          <cell r="A5851" t="str">
            <v>GC</v>
          </cell>
          <cell r="D5851">
            <v>43299</v>
          </cell>
        </row>
        <row r="5852">
          <cell r="A5852" t="str">
            <v>IN</v>
          </cell>
          <cell r="D5852">
            <v>43122</v>
          </cell>
        </row>
        <row r="5853">
          <cell r="A5853" t="str">
            <v>GC</v>
          </cell>
          <cell r="D5853">
            <v>43463</v>
          </cell>
        </row>
        <row r="5854">
          <cell r="A5854" t="str">
            <v>GC</v>
          </cell>
          <cell r="D5854">
            <v>43424</v>
          </cell>
        </row>
        <row r="5855">
          <cell r="A5855" t="str">
            <v>GC</v>
          </cell>
          <cell r="D5855">
            <v>43287</v>
          </cell>
        </row>
        <row r="5856">
          <cell r="A5856" t="str">
            <v>IN</v>
          </cell>
          <cell r="D5856">
            <v>43187</v>
          </cell>
        </row>
        <row r="5857">
          <cell r="A5857" t="str">
            <v>ANZ</v>
          </cell>
          <cell r="D5857">
            <v>43139</v>
          </cell>
        </row>
        <row r="5858">
          <cell r="A5858" t="str">
            <v>ANZ</v>
          </cell>
          <cell r="D5858">
            <v>43346</v>
          </cell>
        </row>
        <row r="5859">
          <cell r="A5859" t="str">
            <v>GC</v>
          </cell>
          <cell r="D5859">
            <v>43408</v>
          </cell>
        </row>
        <row r="5860">
          <cell r="A5860" t="str">
            <v>GC</v>
          </cell>
          <cell r="D5860">
            <v>43147</v>
          </cell>
        </row>
        <row r="5861">
          <cell r="A5861" t="str">
            <v>GC</v>
          </cell>
          <cell r="D5861">
            <v>43413</v>
          </cell>
        </row>
        <row r="5862">
          <cell r="A5862" t="str">
            <v>GC</v>
          </cell>
          <cell r="D5862">
            <v>43202</v>
          </cell>
        </row>
        <row r="5863">
          <cell r="A5863" t="str">
            <v>ASEAN</v>
          </cell>
          <cell r="D5863">
            <v>43188</v>
          </cell>
        </row>
        <row r="5864">
          <cell r="A5864" t="str">
            <v>ASEAN</v>
          </cell>
          <cell r="D5864">
            <v>43408</v>
          </cell>
        </row>
        <row r="5865">
          <cell r="A5865" t="str">
            <v>KR</v>
          </cell>
          <cell r="D5865">
            <v>43227</v>
          </cell>
        </row>
        <row r="5866">
          <cell r="A5866" t="str">
            <v>KR</v>
          </cell>
          <cell r="D5866">
            <v>43201</v>
          </cell>
        </row>
        <row r="5867">
          <cell r="A5867" t="str">
            <v>KR</v>
          </cell>
          <cell r="D5867">
            <v>43440</v>
          </cell>
        </row>
        <row r="5868">
          <cell r="A5868" t="str">
            <v>KR</v>
          </cell>
          <cell r="D5868">
            <v>43269</v>
          </cell>
        </row>
        <row r="5869">
          <cell r="A5869" t="str">
            <v>KR</v>
          </cell>
          <cell r="D5869">
            <v>43338</v>
          </cell>
        </row>
        <row r="5870">
          <cell r="A5870" t="str">
            <v>KR</v>
          </cell>
          <cell r="D5870">
            <v>43309</v>
          </cell>
        </row>
        <row r="5871">
          <cell r="A5871" t="str">
            <v>KR</v>
          </cell>
          <cell r="D5871">
            <v>43464</v>
          </cell>
        </row>
        <row r="5872">
          <cell r="A5872" t="str">
            <v>ASEAN</v>
          </cell>
          <cell r="D5872">
            <v>43333</v>
          </cell>
        </row>
        <row r="5873">
          <cell r="A5873" t="str">
            <v>ASEAN</v>
          </cell>
          <cell r="D5873">
            <v>43236</v>
          </cell>
        </row>
        <row r="5874">
          <cell r="A5874" t="str">
            <v>IN</v>
          </cell>
          <cell r="D5874">
            <v>43147</v>
          </cell>
        </row>
        <row r="5875">
          <cell r="A5875" t="str">
            <v>GC</v>
          </cell>
          <cell r="D5875">
            <v>43202</v>
          </cell>
        </row>
        <row r="5876">
          <cell r="A5876" t="str">
            <v>ANZ</v>
          </cell>
          <cell r="D5876">
            <v>43411</v>
          </cell>
        </row>
        <row r="5877">
          <cell r="A5877" t="str">
            <v>IN</v>
          </cell>
          <cell r="D5877">
            <v>43379</v>
          </cell>
        </row>
        <row r="5878">
          <cell r="A5878" t="str">
            <v>GC</v>
          </cell>
          <cell r="D5878">
            <v>43167</v>
          </cell>
        </row>
        <row r="5879">
          <cell r="A5879" t="str">
            <v>GC</v>
          </cell>
          <cell r="D5879">
            <v>43456</v>
          </cell>
        </row>
        <row r="5880">
          <cell r="A5880" t="str">
            <v>ANZ</v>
          </cell>
          <cell r="D5880">
            <v>43136</v>
          </cell>
        </row>
        <row r="5881">
          <cell r="A5881" t="str">
            <v>ANZ</v>
          </cell>
          <cell r="D5881">
            <v>43295</v>
          </cell>
        </row>
        <row r="5882">
          <cell r="A5882" t="str">
            <v>ANZ</v>
          </cell>
          <cell r="D5882">
            <v>43368</v>
          </cell>
        </row>
        <row r="5883">
          <cell r="A5883" t="str">
            <v>ANZ</v>
          </cell>
          <cell r="D5883">
            <v>43152</v>
          </cell>
        </row>
        <row r="5884">
          <cell r="A5884" t="str">
            <v>GC</v>
          </cell>
          <cell r="D5884">
            <v>43230</v>
          </cell>
        </row>
        <row r="5885">
          <cell r="A5885" t="str">
            <v>ANZ</v>
          </cell>
          <cell r="D5885">
            <v>43410</v>
          </cell>
        </row>
        <row r="5886">
          <cell r="A5886" t="str">
            <v>ANZ</v>
          </cell>
          <cell r="D5886">
            <v>43412</v>
          </cell>
        </row>
        <row r="5887">
          <cell r="A5887" t="str">
            <v>GC</v>
          </cell>
          <cell r="D5887">
            <v>43142</v>
          </cell>
        </row>
        <row r="5888">
          <cell r="A5888" t="str">
            <v>GC</v>
          </cell>
          <cell r="D5888">
            <v>43285</v>
          </cell>
        </row>
        <row r="5889">
          <cell r="A5889" t="str">
            <v>GC</v>
          </cell>
          <cell r="D5889">
            <v>43354</v>
          </cell>
        </row>
        <row r="5890">
          <cell r="A5890" t="str">
            <v>ASEAN</v>
          </cell>
          <cell r="D5890">
            <v>43228</v>
          </cell>
        </row>
        <row r="5891">
          <cell r="A5891" t="str">
            <v>ANZ</v>
          </cell>
          <cell r="D5891">
            <v>43230</v>
          </cell>
        </row>
        <row r="5892">
          <cell r="A5892" t="str">
            <v>GC</v>
          </cell>
          <cell r="D5892">
            <v>43455</v>
          </cell>
        </row>
        <row r="5893">
          <cell r="A5893" t="str">
            <v>IN</v>
          </cell>
          <cell r="D5893">
            <v>43437</v>
          </cell>
        </row>
        <row r="5894">
          <cell r="A5894" t="str">
            <v>ASEAN</v>
          </cell>
          <cell r="D5894">
            <v>43239</v>
          </cell>
        </row>
        <row r="5895">
          <cell r="A5895" t="str">
            <v>ANZ</v>
          </cell>
          <cell r="D5895">
            <v>43103</v>
          </cell>
        </row>
        <row r="5896">
          <cell r="A5896" t="str">
            <v>ANZ</v>
          </cell>
          <cell r="D5896">
            <v>43198</v>
          </cell>
        </row>
        <row r="5897">
          <cell r="A5897" t="str">
            <v>GC</v>
          </cell>
          <cell r="D5897">
            <v>43362</v>
          </cell>
        </row>
        <row r="5898">
          <cell r="A5898" t="str">
            <v>GC</v>
          </cell>
          <cell r="D5898">
            <v>43265</v>
          </cell>
        </row>
        <row r="5899">
          <cell r="A5899" t="str">
            <v>GC</v>
          </cell>
          <cell r="D5899">
            <v>43233</v>
          </cell>
        </row>
        <row r="5900">
          <cell r="A5900" t="str">
            <v>GC</v>
          </cell>
          <cell r="D5900">
            <v>43277</v>
          </cell>
        </row>
        <row r="5901">
          <cell r="A5901" t="str">
            <v>ANZ</v>
          </cell>
          <cell r="D5901">
            <v>43334</v>
          </cell>
        </row>
        <row r="5902">
          <cell r="A5902" t="str">
            <v>IN</v>
          </cell>
          <cell r="D5902">
            <v>43290</v>
          </cell>
        </row>
        <row r="5903">
          <cell r="A5903" t="str">
            <v>ASEAN</v>
          </cell>
          <cell r="D5903">
            <v>43234</v>
          </cell>
        </row>
        <row r="5904">
          <cell r="A5904" t="str">
            <v>ANZ</v>
          </cell>
          <cell r="D5904">
            <v>43336</v>
          </cell>
        </row>
        <row r="5905">
          <cell r="A5905" t="str">
            <v>GC</v>
          </cell>
          <cell r="D5905">
            <v>43262</v>
          </cell>
        </row>
        <row r="5906">
          <cell r="A5906" t="str">
            <v>GC</v>
          </cell>
          <cell r="D5906">
            <v>43105</v>
          </cell>
        </row>
        <row r="5907">
          <cell r="A5907" t="str">
            <v>ANZ</v>
          </cell>
          <cell r="D5907">
            <v>43351</v>
          </cell>
        </row>
        <row r="5908">
          <cell r="A5908" t="str">
            <v>GC</v>
          </cell>
          <cell r="D5908">
            <v>43416</v>
          </cell>
        </row>
        <row r="5909">
          <cell r="A5909" t="str">
            <v>GC</v>
          </cell>
          <cell r="D5909">
            <v>43379</v>
          </cell>
        </row>
        <row r="5910">
          <cell r="A5910" t="str">
            <v>GC</v>
          </cell>
          <cell r="D5910">
            <v>43156</v>
          </cell>
        </row>
        <row r="5911">
          <cell r="A5911" t="str">
            <v>GC</v>
          </cell>
          <cell r="D5911">
            <v>43417</v>
          </cell>
        </row>
        <row r="5912">
          <cell r="A5912" t="str">
            <v>GC</v>
          </cell>
          <cell r="D5912">
            <v>43184</v>
          </cell>
        </row>
        <row r="5913">
          <cell r="A5913" t="str">
            <v>GC</v>
          </cell>
          <cell r="D5913">
            <v>43336</v>
          </cell>
        </row>
        <row r="5914">
          <cell r="A5914" t="str">
            <v>IN</v>
          </cell>
          <cell r="D5914">
            <v>43375</v>
          </cell>
        </row>
        <row r="5915">
          <cell r="A5915" t="str">
            <v>IN</v>
          </cell>
          <cell r="D5915">
            <v>43396</v>
          </cell>
        </row>
        <row r="5916">
          <cell r="A5916" t="str">
            <v>IN</v>
          </cell>
          <cell r="D5916">
            <v>43256</v>
          </cell>
        </row>
        <row r="5917">
          <cell r="A5917" t="str">
            <v>IN</v>
          </cell>
          <cell r="D5917">
            <v>43113</v>
          </cell>
        </row>
        <row r="5918">
          <cell r="A5918" t="str">
            <v>ASEAN</v>
          </cell>
          <cell r="D5918">
            <v>43116</v>
          </cell>
        </row>
        <row r="5919">
          <cell r="A5919" t="str">
            <v>ASEAN</v>
          </cell>
          <cell r="D5919">
            <v>43154</v>
          </cell>
        </row>
        <row r="5920">
          <cell r="A5920" t="str">
            <v>IN</v>
          </cell>
          <cell r="D5920">
            <v>43285</v>
          </cell>
        </row>
        <row r="5921">
          <cell r="A5921" t="str">
            <v>GC</v>
          </cell>
          <cell r="D5921">
            <v>43134</v>
          </cell>
        </row>
        <row r="5922">
          <cell r="A5922" t="str">
            <v>ANZ</v>
          </cell>
          <cell r="D5922">
            <v>43314</v>
          </cell>
        </row>
        <row r="5923">
          <cell r="A5923" t="str">
            <v>IN</v>
          </cell>
          <cell r="D5923">
            <v>43140</v>
          </cell>
        </row>
        <row r="5924">
          <cell r="A5924" t="str">
            <v>KR</v>
          </cell>
          <cell r="D5924">
            <v>43188</v>
          </cell>
        </row>
        <row r="5925">
          <cell r="A5925" t="str">
            <v>KR</v>
          </cell>
          <cell r="D5925">
            <v>43398</v>
          </cell>
        </row>
        <row r="5926">
          <cell r="A5926" t="str">
            <v>KR</v>
          </cell>
          <cell r="D5926">
            <v>43113</v>
          </cell>
        </row>
        <row r="5927">
          <cell r="A5927" t="str">
            <v>KR</v>
          </cell>
          <cell r="D5927">
            <v>43137</v>
          </cell>
        </row>
        <row r="5928">
          <cell r="A5928" t="str">
            <v>ASEAN</v>
          </cell>
          <cell r="D5928">
            <v>43355</v>
          </cell>
        </row>
        <row r="5929">
          <cell r="A5929" t="str">
            <v>IN</v>
          </cell>
          <cell r="D5929">
            <v>43159</v>
          </cell>
        </row>
        <row r="5930">
          <cell r="A5930" t="str">
            <v>ASEAN</v>
          </cell>
          <cell r="D5930">
            <v>43259</v>
          </cell>
        </row>
        <row r="5931">
          <cell r="A5931" t="str">
            <v>GC</v>
          </cell>
          <cell r="D5931">
            <v>43310</v>
          </cell>
        </row>
        <row r="5932">
          <cell r="A5932" t="str">
            <v>GC</v>
          </cell>
          <cell r="D5932">
            <v>43249</v>
          </cell>
        </row>
        <row r="5933">
          <cell r="A5933" t="str">
            <v>GC</v>
          </cell>
          <cell r="D5933">
            <v>43427</v>
          </cell>
        </row>
        <row r="5934">
          <cell r="A5934" t="str">
            <v>GC</v>
          </cell>
          <cell r="D5934">
            <v>43344</v>
          </cell>
        </row>
        <row r="5935">
          <cell r="A5935" t="str">
            <v>GC</v>
          </cell>
          <cell r="D5935">
            <v>43339</v>
          </cell>
        </row>
        <row r="5936">
          <cell r="A5936" t="str">
            <v>GC</v>
          </cell>
          <cell r="D5936">
            <v>43266</v>
          </cell>
        </row>
        <row r="5937">
          <cell r="A5937" t="str">
            <v>GC</v>
          </cell>
          <cell r="D5937">
            <v>43160</v>
          </cell>
        </row>
        <row r="5938">
          <cell r="A5938" t="str">
            <v>GC</v>
          </cell>
          <cell r="D5938">
            <v>43245</v>
          </cell>
        </row>
        <row r="5939">
          <cell r="A5939" t="str">
            <v>GC</v>
          </cell>
          <cell r="D5939">
            <v>43143</v>
          </cell>
        </row>
        <row r="5940">
          <cell r="A5940" t="str">
            <v>GC</v>
          </cell>
          <cell r="D5940">
            <v>43323</v>
          </cell>
        </row>
        <row r="5941">
          <cell r="A5941" t="str">
            <v>GC</v>
          </cell>
          <cell r="D5941">
            <v>43328</v>
          </cell>
        </row>
        <row r="5942">
          <cell r="A5942" t="str">
            <v>GC</v>
          </cell>
          <cell r="D5942">
            <v>43418</v>
          </cell>
        </row>
        <row r="5943">
          <cell r="A5943" t="str">
            <v>GC</v>
          </cell>
          <cell r="D5943">
            <v>43440</v>
          </cell>
        </row>
        <row r="5944">
          <cell r="A5944" t="str">
            <v>GC</v>
          </cell>
          <cell r="D5944">
            <v>43167</v>
          </cell>
        </row>
        <row r="5945">
          <cell r="A5945" t="str">
            <v>ASEAN</v>
          </cell>
          <cell r="D5945">
            <v>43152</v>
          </cell>
        </row>
        <row r="5946">
          <cell r="A5946" t="str">
            <v>ASEAN</v>
          </cell>
          <cell r="D5946">
            <v>43284</v>
          </cell>
        </row>
        <row r="5947">
          <cell r="A5947" t="str">
            <v>IN</v>
          </cell>
          <cell r="D5947">
            <v>43465</v>
          </cell>
        </row>
        <row r="5948">
          <cell r="A5948" t="str">
            <v>IN</v>
          </cell>
          <cell r="D5948">
            <v>43338</v>
          </cell>
        </row>
        <row r="5949">
          <cell r="A5949" t="str">
            <v>IN</v>
          </cell>
          <cell r="D5949">
            <v>43407</v>
          </cell>
        </row>
        <row r="5950">
          <cell r="A5950" t="str">
            <v>ASEAN</v>
          </cell>
          <cell r="D5950">
            <v>43138</v>
          </cell>
        </row>
        <row r="5951">
          <cell r="A5951" t="str">
            <v>GC</v>
          </cell>
          <cell r="D5951">
            <v>43124</v>
          </cell>
        </row>
        <row r="5952">
          <cell r="A5952" t="str">
            <v>KR</v>
          </cell>
          <cell r="D5952">
            <v>43210</v>
          </cell>
        </row>
        <row r="5953">
          <cell r="A5953" t="str">
            <v>KR</v>
          </cell>
          <cell r="D5953">
            <v>43164</v>
          </cell>
        </row>
        <row r="5954">
          <cell r="A5954" t="str">
            <v>IN</v>
          </cell>
          <cell r="D5954">
            <v>43404</v>
          </cell>
        </row>
        <row r="5955">
          <cell r="A5955" t="str">
            <v>GC</v>
          </cell>
          <cell r="D5955">
            <v>43244</v>
          </cell>
        </row>
        <row r="5956">
          <cell r="A5956" t="str">
            <v>GC</v>
          </cell>
          <cell r="D5956">
            <v>43451</v>
          </cell>
        </row>
        <row r="5957">
          <cell r="A5957" t="str">
            <v>GC</v>
          </cell>
          <cell r="D5957">
            <v>43127</v>
          </cell>
        </row>
        <row r="5958">
          <cell r="A5958" t="str">
            <v>GC</v>
          </cell>
          <cell r="D5958">
            <v>43141</v>
          </cell>
        </row>
        <row r="5959">
          <cell r="A5959" t="str">
            <v>GC</v>
          </cell>
          <cell r="D5959">
            <v>43292</v>
          </cell>
        </row>
        <row r="5960">
          <cell r="A5960" t="str">
            <v>GC</v>
          </cell>
          <cell r="D5960">
            <v>43428</v>
          </cell>
        </row>
        <row r="5961">
          <cell r="A5961" t="str">
            <v>ASEAN</v>
          </cell>
          <cell r="D5961">
            <v>43246</v>
          </cell>
        </row>
        <row r="5962">
          <cell r="A5962" t="str">
            <v>GC</v>
          </cell>
          <cell r="D5962">
            <v>43432</v>
          </cell>
        </row>
        <row r="5963">
          <cell r="A5963" t="str">
            <v>GC</v>
          </cell>
          <cell r="D5963">
            <v>43120</v>
          </cell>
        </row>
        <row r="5964">
          <cell r="A5964" t="str">
            <v>KR</v>
          </cell>
          <cell r="D5964">
            <v>43159</v>
          </cell>
        </row>
        <row r="5965">
          <cell r="A5965" t="str">
            <v>GC</v>
          </cell>
          <cell r="D5965">
            <v>43266</v>
          </cell>
        </row>
        <row r="5966">
          <cell r="A5966" t="str">
            <v>GC</v>
          </cell>
          <cell r="D5966">
            <v>43298</v>
          </cell>
        </row>
        <row r="5967">
          <cell r="A5967" t="str">
            <v>GC</v>
          </cell>
          <cell r="D5967">
            <v>43199</v>
          </cell>
        </row>
        <row r="5968">
          <cell r="A5968" t="str">
            <v>ASEAN</v>
          </cell>
          <cell r="D5968">
            <v>43456</v>
          </cell>
        </row>
        <row r="5969">
          <cell r="A5969" t="str">
            <v>GC</v>
          </cell>
          <cell r="D5969">
            <v>43273</v>
          </cell>
        </row>
        <row r="5970">
          <cell r="A5970" t="str">
            <v>GC</v>
          </cell>
          <cell r="D5970">
            <v>43131</v>
          </cell>
        </row>
        <row r="5971">
          <cell r="A5971" t="str">
            <v>GC</v>
          </cell>
          <cell r="D5971">
            <v>43425</v>
          </cell>
        </row>
        <row r="5972">
          <cell r="A5972" t="str">
            <v>GC</v>
          </cell>
          <cell r="D5972">
            <v>43208</v>
          </cell>
        </row>
        <row r="5973">
          <cell r="A5973" t="str">
            <v>GC</v>
          </cell>
          <cell r="D5973">
            <v>43194</v>
          </cell>
        </row>
        <row r="5974">
          <cell r="A5974" t="str">
            <v>IN</v>
          </cell>
          <cell r="D5974">
            <v>43207</v>
          </cell>
        </row>
        <row r="5975">
          <cell r="A5975" t="str">
            <v>GC</v>
          </cell>
          <cell r="D5975">
            <v>43134</v>
          </cell>
        </row>
        <row r="5976">
          <cell r="A5976" t="str">
            <v>GC</v>
          </cell>
          <cell r="D5976">
            <v>43118</v>
          </cell>
        </row>
        <row r="5977">
          <cell r="A5977" t="str">
            <v>IN</v>
          </cell>
          <cell r="D5977">
            <v>43202</v>
          </cell>
        </row>
        <row r="5978">
          <cell r="A5978" t="str">
            <v>GC</v>
          </cell>
          <cell r="D5978">
            <v>43112</v>
          </cell>
        </row>
        <row r="5979">
          <cell r="A5979" t="str">
            <v>ASEAN</v>
          </cell>
          <cell r="D5979">
            <v>43335</v>
          </cell>
        </row>
        <row r="5980">
          <cell r="A5980" t="str">
            <v>ASEAN</v>
          </cell>
          <cell r="D5980">
            <v>43342</v>
          </cell>
        </row>
        <row r="5981">
          <cell r="A5981" t="str">
            <v>IN</v>
          </cell>
          <cell r="D5981">
            <v>43147</v>
          </cell>
        </row>
        <row r="5982">
          <cell r="A5982" t="str">
            <v>ASEAN</v>
          </cell>
          <cell r="D5982">
            <v>43279</v>
          </cell>
        </row>
        <row r="5983">
          <cell r="A5983" t="str">
            <v>ANZ</v>
          </cell>
          <cell r="D5983">
            <v>43305</v>
          </cell>
        </row>
        <row r="5984">
          <cell r="A5984" t="str">
            <v>GC</v>
          </cell>
          <cell r="D5984">
            <v>43142</v>
          </cell>
        </row>
        <row r="5985">
          <cell r="A5985" t="str">
            <v>ANZ</v>
          </cell>
          <cell r="D5985">
            <v>43312</v>
          </cell>
        </row>
        <row r="5986">
          <cell r="A5986" t="str">
            <v>KR</v>
          </cell>
          <cell r="D5986">
            <v>43237</v>
          </cell>
        </row>
        <row r="5987">
          <cell r="A5987" t="str">
            <v>KR</v>
          </cell>
          <cell r="D5987">
            <v>43202</v>
          </cell>
        </row>
        <row r="5988">
          <cell r="A5988" t="str">
            <v>KR</v>
          </cell>
          <cell r="D5988">
            <v>43349</v>
          </cell>
        </row>
        <row r="5989">
          <cell r="A5989" t="str">
            <v>IN</v>
          </cell>
          <cell r="D5989">
            <v>43461</v>
          </cell>
        </row>
        <row r="5990">
          <cell r="A5990" t="str">
            <v>GC</v>
          </cell>
          <cell r="D5990">
            <v>43282</v>
          </cell>
        </row>
        <row r="5991">
          <cell r="A5991" t="str">
            <v>GC</v>
          </cell>
          <cell r="D5991">
            <v>43119</v>
          </cell>
        </row>
        <row r="5992">
          <cell r="A5992" t="str">
            <v>GC</v>
          </cell>
          <cell r="D5992">
            <v>43368</v>
          </cell>
        </row>
        <row r="5993">
          <cell r="A5993" t="str">
            <v>GC</v>
          </cell>
          <cell r="D5993">
            <v>43421</v>
          </cell>
        </row>
        <row r="5994">
          <cell r="A5994" t="str">
            <v>ASEAN</v>
          </cell>
          <cell r="D5994">
            <v>43225</v>
          </cell>
        </row>
        <row r="5995">
          <cell r="A5995" t="str">
            <v>GC</v>
          </cell>
          <cell r="D5995">
            <v>43133</v>
          </cell>
        </row>
        <row r="5996">
          <cell r="A5996" t="str">
            <v>GC</v>
          </cell>
          <cell r="D5996">
            <v>43307</v>
          </cell>
        </row>
        <row r="5997">
          <cell r="A5997" t="str">
            <v>ASEAN</v>
          </cell>
          <cell r="D5997">
            <v>43246</v>
          </cell>
        </row>
        <row r="5998">
          <cell r="A5998" t="str">
            <v>ASEAN</v>
          </cell>
          <cell r="D5998">
            <v>43376</v>
          </cell>
        </row>
        <row r="5999">
          <cell r="A5999" t="str">
            <v>GC</v>
          </cell>
          <cell r="D5999">
            <v>43221</v>
          </cell>
        </row>
        <row r="6000">
          <cell r="A6000" t="str">
            <v>ANZ</v>
          </cell>
          <cell r="D6000">
            <v>43175</v>
          </cell>
        </row>
        <row r="6001">
          <cell r="A6001" t="str">
            <v>ANZ</v>
          </cell>
          <cell r="D6001">
            <v>43357</v>
          </cell>
        </row>
        <row r="6002">
          <cell r="A6002" t="str">
            <v>ANZ</v>
          </cell>
          <cell r="D6002">
            <v>43326</v>
          </cell>
        </row>
        <row r="6003">
          <cell r="A6003" t="str">
            <v>ANZ</v>
          </cell>
          <cell r="D6003">
            <v>43325</v>
          </cell>
        </row>
        <row r="6004">
          <cell r="A6004" t="str">
            <v>ANZ</v>
          </cell>
          <cell r="D6004">
            <v>43417</v>
          </cell>
        </row>
        <row r="6005">
          <cell r="A6005" t="str">
            <v>ANZ</v>
          </cell>
          <cell r="D6005">
            <v>43261</v>
          </cell>
        </row>
        <row r="6006">
          <cell r="A6006" t="str">
            <v>IN</v>
          </cell>
          <cell r="D6006">
            <v>43345</v>
          </cell>
        </row>
        <row r="6007">
          <cell r="A6007" t="str">
            <v>IN</v>
          </cell>
          <cell r="D6007">
            <v>43384</v>
          </cell>
        </row>
        <row r="6008">
          <cell r="A6008" t="str">
            <v>IN</v>
          </cell>
          <cell r="D6008">
            <v>43374</v>
          </cell>
        </row>
        <row r="6009">
          <cell r="A6009" t="str">
            <v>GC</v>
          </cell>
          <cell r="D6009">
            <v>43308</v>
          </cell>
        </row>
        <row r="6010">
          <cell r="A6010" t="str">
            <v>ANZ</v>
          </cell>
          <cell r="D6010">
            <v>43400</v>
          </cell>
        </row>
        <row r="6011">
          <cell r="A6011" t="str">
            <v>GC</v>
          </cell>
          <cell r="D6011">
            <v>43247</v>
          </cell>
        </row>
        <row r="6012">
          <cell r="A6012" t="str">
            <v>GC</v>
          </cell>
          <cell r="D6012">
            <v>43322</v>
          </cell>
        </row>
        <row r="6013">
          <cell r="A6013" t="str">
            <v>IN</v>
          </cell>
          <cell r="D6013">
            <v>43450</v>
          </cell>
        </row>
        <row r="6014">
          <cell r="A6014" t="str">
            <v>ASEAN</v>
          </cell>
          <cell r="D6014">
            <v>43132</v>
          </cell>
        </row>
        <row r="6015">
          <cell r="A6015" t="str">
            <v>IN</v>
          </cell>
          <cell r="D6015">
            <v>43188</v>
          </cell>
        </row>
        <row r="6016">
          <cell r="A6016" t="str">
            <v>IN</v>
          </cell>
          <cell r="D6016">
            <v>43196</v>
          </cell>
        </row>
        <row r="6017">
          <cell r="A6017" t="str">
            <v>IN</v>
          </cell>
          <cell r="D6017">
            <v>43173</v>
          </cell>
        </row>
        <row r="6018">
          <cell r="A6018" t="str">
            <v>IN</v>
          </cell>
          <cell r="D6018">
            <v>43270</v>
          </cell>
        </row>
        <row r="6019">
          <cell r="A6019" t="str">
            <v>IN</v>
          </cell>
          <cell r="D6019">
            <v>43369</v>
          </cell>
        </row>
        <row r="6020">
          <cell r="A6020" t="str">
            <v>IN</v>
          </cell>
          <cell r="D6020">
            <v>43389</v>
          </cell>
        </row>
        <row r="6021">
          <cell r="A6021" t="str">
            <v>IN</v>
          </cell>
          <cell r="D6021">
            <v>43433</v>
          </cell>
        </row>
        <row r="6022">
          <cell r="A6022" t="str">
            <v>IN</v>
          </cell>
          <cell r="D6022">
            <v>43253</v>
          </cell>
        </row>
        <row r="6023">
          <cell r="A6023" t="str">
            <v>IN</v>
          </cell>
          <cell r="D6023">
            <v>43395</v>
          </cell>
        </row>
        <row r="6024">
          <cell r="A6024" t="str">
            <v>IN</v>
          </cell>
          <cell r="D6024">
            <v>43408</v>
          </cell>
        </row>
        <row r="6025">
          <cell r="A6025" t="str">
            <v>IN</v>
          </cell>
          <cell r="D6025">
            <v>43335</v>
          </cell>
        </row>
        <row r="6026">
          <cell r="A6026" t="str">
            <v>IN</v>
          </cell>
          <cell r="D6026">
            <v>43163</v>
          </cell>
        </row>
        <row r="6027">
          <cell r="A6027" t="str">
            <v>IN</v>
          </cell>
          <cell r="D6027">
            <v>43336</v>
          </cell>
        </row>
        <row r="6028">
          <cell r="A6028" t="str">
            <v>GC</v>
          </cell>
          <cell r="D6028">
            <v>43391</v>
          </cell>
        </row>
        <row r="6029">
          <cell r="A6029" t="str">
            <v>GC</v>
          </cell>
          <cell r="D6029">
            <v>43278</v>
          </cell>
        </row>
        <row r="6030">
          <cell r="A6030" t="str">
            <v>ASEAN</v>
          </cell>
          <cell r="D6030">
            <v>43432</v>
          </cell>
        </row>
        <row r="6031">
          <cell r="A6031" t="str">
            <v>ASEAN</v>
          </cell>
          <cell r="D6031">
            <v>43366</v>
          </cell>
        </row>
        <row r="6032">
          <cell r="A6032" t="str">
            <v>IN</v>
          </cell>
          <cell r="D6032">
            <v>43250</v>
          </cell>
        </row>
        <row r="6033">
          <cell r="A6033" t="str">
            <v>IN</v>
          </cell>
          <cell r="D6033">
            <v>43191</v>
          </cell>
        </row>
        <row r="6034">
          <cell r="A6034" t="str">
            <v>IN</v>
          </cell>
          <cell r="D6034">
            <v>43407</v>
          </cell>
        </row>
        <row r="6035">
          <cell r="A6035" t="str">
            <v>IN</v>
          </cell>
          <cell r="D6035">
            <v>43350</v>
          </cell>
        </row>
        <row r="6036">
          <cell r="A6036" t="str">
            <v>ASEAN</v>
          </cell>
          <cell r="D6036">
            <v>43110</v>
          </cell>
        </row>
        <row r="6037">
          <cell r="A6037" t="str">
            <v>ASEAN</v>
          </cell>
          <cell r="D6037">
            <v>43129</v>
          </cell>
        </row>
        <row r="6038">
          <cell r="A6038" t="str">
            <v>ANZ</v>
          </cell>
          <cell r="D6038">
            <v>43385</v>
          </cell>
        </row>
        <row r="6039">
          <cell r="A6039" t="str">
            <v>ANZ</v>
          </cell>
          <cell r="D6039">
            <v>43436</v>
          </cell>
        </row>
        <row r="6040">
          <cell r="A6040" t="str">
            <v>ASEAN</v>
          </cell>
          <cell r="D6040">
            <v>43191</v>
          </cell>
        </row>
        <row r="6041">
          <cell r="A6041" t="str">
            <v>GC</v>
          </cell>
          <cell r="D6041">
            <v>43181</v>
          </cell>
        </row>
        <row r="6042">
          <cell r="A6042" t="str">
            <v>ASEAN</v>
          </cell>
          <cell r="D6042">
            <v>43112</v>
          </cell>
        </row>
        <row r="6043">
          <cell r="A6043" t="str">
            <v>ASEAN</v>
          </cell>
          <cell r="D6043">
            <v>43214</v>
          </cell>
        </row>
        <row r="6044">
          <cell r="A6044" t="str">
            <v>KR</v>
          </cell>
          <cell r="D6044">
            <v>43193</v>
          </cell>
        </row>
        <row r="6045">
          <cell r="A6045" t="str">
            <v>GC</v>
          </cell>
          <cell r="D6045">
            <v>43138</v>
          </cell>
        </row>
        <row r="6046">
          <cell r="A6046" t="str">
            <v>GC</v>
          </cell>
          <cell r="D6046">
            <v>43104</v>
          </cell>
        </row>
        <row r="6047">
          <cell r="A6047" t="str">
            <v>IN</v>
          </cell>
          <cell r="D6047">
            <v>43285</v>
          </cell>
        </row>
        <row r="6048">
          <cell r="A6048" t="str">
            <v>IN</v>
          </cell>
          <cell r="D6048">
            <v>43412</v>
          </cell>
        </row>
        <row r="6049">
          <cell r="A6049" t="str">
            <v>IN</v>
          </cell>
          <cell r="D6049">
            <v>43460</v>
          </cell>
        </row>
        <row r="6050">
          <cell r="A6050" t="str">
            <v>IN</v>
          </cell>
          <cell r="D6050">
            <v>43385</v>
          </cell>
        </row>
        <row r="6051">
          <cell r="A6051" t="str">
            <v>IN</v>
          </cell>
          <cell r="D6051">
            <v>43280</v>
          </cell>
        </row>
        <row r="6052">
          <cell r="A6052" t="str">
            <v>GC</v>
          </cell>
          <cell r="D6052">
            <v>43203</v>
          </cell>
        </row>
        <row r="6053">
          <cell r="A6053" t="str">
            <v>GC</v>
          </cell>
          <cell r="D6053">
            <v>43104</v>
          </cell>
        </row>
        <row r="6054">
          <cell r="A6054" t="str">
            <v>GC</v>
          </cell>
          <cell r="D6054">
            <v>43275</v>
          </cell>
        </row>
        <row r="6055">
          <cell r="A6055" t="str">
            <v>GC</v>
          </cell>
          <cell r="D6055">
            <v>43146</v>
          </cell>
        </row>
        <row r="6056">
          <cell r="A6056" t="str">
            <v>GC</v>
          </cell>
          <cell r="D6056">
            <v>43179</v>
          </cell>
        </row>
        <row r="6057">
          <cell r="A6057" t="str">
            <v>GC</v>
          </cell>
          <cell r="D6057">
            <v>43235</v>
          </cell>
        </row>
        <row r="6058">
          <cell r="A6058" t="str">
            <v>ANZ</v>
          </cell>
          <cell r="D6058">
            <v>43132</v>
          </cell>
        </row>
        <row r="6059">
          <cell r="A6059" t="str">
            <v>ASEAN</v>
          </cell>
          <cell r="D6059">
            <v>43144</v>
          </cell>
        </row>
        <row r="6060">
          <cell r="A6060" t="str">
            <v>IN</v>
          </cell>
          <cell r="D6060">
            <v>43106</v>
          </cell>
        </row>
        <row r="6061">
          <cell r="A6061" t="str">
            <v>GC</v>
          </cell>
          <cell r="D6061">
            <v>43288</v>
          </cell>
        </row>
        <row r="6062">
          <cell r="A6062" t="str">
            <v>IN</v>
          </cell>
          <cell r="D6062">
            <v>43112</v>
          </cell>
        </row>
        <row r="6063">
          <cell r="A6063" t="str">
            <v>IN</v>
          </cell>
          <cell r="D6063">
            <v>43193</v>
          </cell>
        </row>
        <row r="6064">
          <cell r="A6064" t="str">
            <v>GC</v>
          </cell>
          <cell r="D6064">
            <v>43367</v>
          </cell>
        </row>
        <row r="6065">
          <cell r="A6065" t="str">
            <v>GC</v>
          </cell>
          <cell r="D6065">
            <v>43383</v>
          </cell>
        </row>
        <row r="6066">
          <cell r="A6066" t="str">
            <v>GC</v>
          </cell>
          <cell r="D6066">
            <v>43259</v>
          </cell>
        </row>
        <row r="6067">
          <cell r="A6067" t="str">
            <v>GC</v>
          </cell>
          <cell r="D6067">
            <v>43401</v>
          </cell>
        </row>
        <row r="6068">
          <cell r="A6068" t="str">
            <v>GC</v>
          </cell>
          <cell r="D6068">
            <v>43430</v>
          </cell>
        </row>
        <row r="6069">
          <cell r="A6069" t="str">
            <v>IN</v>
          </cell>
          <cell r="D6069">
            <v>43461</v>
          </cell>
        </row>
        <row r="6070">
          <cell r="A6070" t="str">
            <v>IN</v>
          </cell>
          <cell r="D6070">
            <v>43150</v>
          </cell>
        </row>
        <row r="6071">
          <cell r="A6071" t="str">
            <v>IN</v>
          </cell>
          <cell r="D6071">
            <v>43152</v>
          </cell>
        </row>
        <row r="6072">
          <cell r="A6072" t="str">
            <v>ASEAN</v>
          </cell>
          <cell r="D6072">
            <v>43463</v>
          </cell>
        </row>
        <row r="6073">
          <cell r="A6073" t="str">
            <v>IN</v>
          </cell>
          <cell r="D6073">
            <v>43125</v>
          </cell>
        </row>
        <row r="6074">
          <cell r="A6074" t="str">
            <v>IN</v>
          </cell>
          <cell r="D6074">
            <v>43431</v>
          </cell>
        </row>
        <row r="6075">
          <cell r="A6075" t="str">
            <v>ASEAN</v>
          </cell>
          <cell r="D6075">
            <v>43342</v>
          </cell>
        </row>
        <row r="6076">
          <cell r="A6076" t="str">
            <v>ANZ</v>
          </cell>
          <cell r="D6076">
            <v>43258</v>
          </cell>
        </row>
        <row r="6077">
          <cell r="A6077" t="str">
            <v>ASEAN</v>
          </cell>
          <cell r="D6077">
            <v>43374</v>
          </cell>
        </row>
        <row r="6078">
          <cell r="A6078" t="str">
            <v>ASEAN</v>
          </cell>
          <cell r="D6078">
            <v>43313</v>
          </cell>
        </row>
        <row r="6079">
          <cell r="A6079" t="str">
            <v>KR</v>
          </cell>
          <cell r="D6079">
            <v>43407</v>
          </cell>
        </row>
        <row r="6080">
          <cell r="A6080" t="str">
            <v>KR</v>
          </cell>
          <cell r="D6080">
            <v>43191</v>
          </cell>
        </row>
        <row r="6081">
          <cell r="A6081" t="str">
            <v>KR</v>
          </cell>
          <cell r="D6081">
            <v>43151</v>
          </cell>
        </row>
        <row r="6082">
          <cell r="A6082" t="str">
            <v>ASEAN</v>
          </cell>
          <cell r="D6082">
            <v>43316</v>
          </cell>
        </row>
        <row r="6083">
          <cell r="A6083" t="str">
            <v>IN</v>
          </cell>
          <cell r="D6083">
            <v>43188</v>
          </cell>
        </row>
        <row r="6084">
          <cell r="A6084" t="str">
            <v>IN</v>
          </cell>
          <cell r="D6084">
            <v>43270</v>
          </cell>
        </row>
        <row r="6085">
          <cell r="A6085" t="str">
            <v>KR</v>
          </cell>
          <cell r="D6085">
            <v>43326</v>
          </cell>
        </row>
        <row r="6086">
          <cell r="A6086" t="str">
            <v>GC</v>
          </cell>
          <cell r="D6086">
            <v>43205</v>
          </cell>
        </row>
        <row r="6087">
          <cell r="A6087" t="str">
            <v>GC</v>
          </cell>
          <cell r="D6087">
            <v>43306</v>
          </cell>
        </row>
        <row r="6088">
          <cell r="A6088" t="str">
            <v>GC</v>
          </cell>
          <cell r="D6088">
            <v>43341</v>
          </cell>
        </row>
        <row r="6089">
          <cell r="A6089" t="str">
            <v>GC</v>
          </cell>
          <cell r="D6089">
            <v>43248</v>
          </cell>
        </row>
        <row r="6090">
          <cell r="A6090" t="str">
            <v>GC</v>
          </cell>
          <cell r="D6090">
            <v>43450</v>
          </cell>
        </row>
        <row r="6091">
          <cell r="A6091" t="str">
            <v>GC</v>
          </cell>
          <cell r="D6091">
            <v>43102</v>
          </cell>
        </row>
        <row r="6092">
          <cell r="A6092" t="str">
            <v>GC</v>
          </cell>
          <cell r="D6092">
            <v>43147</v>
          </cell>
        </row>
        <row r="6093">
          <cell r="A6093" t="str">
            <v>GC</v>
          </cell>
          <cell r="D6093">
            <v>43325</v>
          </cell>
        </row>
        <row r="6094">
          <cell r="A6094" t="str">
            <v>GC</v>
          </cell>
          <cell r="D6094">
            <v>43171</v>
          </cell>
        </row>
        <row r="6095">
          <cell r="A6095" t="str">
            <v>GC</v>
          </cell>
          <cell r="D6095">
            <v>43405</v>
          </cell>
        </row>
        <row r="6096">
          <cell r="A6096" t="str">
            <v>GC</v>
          </cell>
          <cell r="D6096">
            <v>43442</v>
          </cell>
        </row>
        <row r="6097">
          <cell r="A6097" t="str">
            <v>GC</v>
          </cell>
          <cell r="D6097">
            <v>43218</v>
          </cell>
        </row>
        <row r="6098">
          <cell r="A6098" t="str">
            <v>GC</v>
          </cell>
          <cell r="D6098">
            <v>43236</v>
          </cell>
        </row>
        <row r="6099">
          <cell r="A6099" t="str">
            <v>GC</v>
          </cell>
          <cell r="D6099">
            <v>43258</v>
          </cell>
        </row>
        <row r="6100">
          <cell r="A6100" t="str">
            <v>ASEAN</v>
          </cell>
          <cell r="D6100">
            <v>43380</v>
          </cell>
        </row>
        <row r="6101">
          <cell r="A6101" t="str">
            <v>GC</v>
          </cell>
          <cell r="D6101">
            <v>43214</v>
          </cell>
        </row>
        <row r="6102">
          <cell r="A6102" t="str">
            <v>GC</v>
          </cell>
          <cell r="D6102">
            <v>43237</v>
          </cell>
        </row>
        <row r="6103">
          <cell r="A6103" t="str">
            <v>GC</v>
          </cell>
          <cell r="D6103">
            <v>43360</v>
          </cell>
        </row>
        <row r="6104">
          <cell r="A6104" t="str">
            <v>GC</v>
          </cell>
          <cell r="D6104">
            <v>43206</v>
          </cell>
        </row>
        <row r="6105">
          <cell r="A6105" t="str">
            <v>GC</v>
          </cell>
          <cell r="D6105">
            <v>43358</v>
          </cell>
        </row>
        <row r="6106">
          <cell r="A6106" t="str">
            <v>GC</v>
          </cell>
          <cell r="D6106">
            <v>43353</v>
          </cell>
        </row>
        <row r="6107">
          <cell r="A6107" t="str">
            <v>GC</v>
          </cell>
          <cell r="D6107">
            <v>43431</v>
          </cell>
        </row>
        <row r="6108">
          <cell r="A6108" t="str">
            <v>GC</v>
          </cell>
          <cell r="D6108">
            <v>43178</v>
          </cell>
        </row>
        <row r="6109">
          <cell r="A6109" t="str">
            <v>GC</v>
          </cell>
          <cell r="D6109">
            <v>43331</v>
          </cell>
        </row>
        <row r="6110">
          <cell r="A6110" t="str">
            <v>ASEAN</v>
          </cell>
          <cell r="D6110">
            <v>43235</v>
          </cell>
        </row>
        <row r="6111">
          <cell r="A6111" t="str">
            <v>IN</v>
          </cell>
          <cell r="D6111">
            <v>43337</v>
          </cell>
        </row>
        <row r="6112">
          <cell r="A6112" t="str">
            <v>IN</v>
          </cell>
          <cell r="D6112">
            <v>43437</v>
          </cell>
        </row>
        <row r="6113">
          <cell r="A6113" t="str">
            <v>IN</v>
          </cell>
          <cell r="D6113">
            <v>43381</v>
          </cell>
        </row>
        <row r="6114">
          <cell r="A6114" t="str">
            <v>IN</v>
          </cell>
          <cell r="D6114">
            <v>43119</v>
          </cell>
        </row>
        <row r="6115">
          <cell r="A6115" t="str">
            <v>IN</v>
          </cell>
          <cell r="D6115">
            <v>43434</v>
          </cell>
        </row>
        <row r="6116">
          <cell r="A6116" t="str">
            <v>GC</v>
          </cell>
          <cell r="D6116">
            <v>43254</v>
          </cell>
        </row>
        <row r="6117">
          <cell r="A6117" t="str">
            <v>ASEAN</v>
          </cell>
          <cell r="D6117">
            <v>43402</v>
          </cell>
        </row>
        <row r="6118">
          <cell r="A6118" t="str">
            <v>ASEAN</v>
          </cell>
          <cell r="D6118">
            <v>43347</v>
          </cell>
        </row>
        <row r="6119">
          <cell r="A6119" t="str">
            <v>GC</v>
          </cell>
          <cell r="D6119">
            <v>43415</v>
          </cell>
        </row>
        <row r="6120">
          <cell r="A6120" t="str">
            <v>GC</v>
          </cell>
          <cell r="D6120">
            <v>43255</v>
          </cell>
        </row>
        <row r="6121">
          <cell r="A6121" t="str">
            <v>GC</v>
          </cell>
          <cell r="D6121">
            <v>43210</v>
          </cell>
        </row>
        <row r="6122">
          <cell r="A6122" t="str">
            <v>GC</v>
          </cell>
          <cell r="D6122">
            <v>43135</v>
          </cell>
        </row>
        <row r="6123">
          <cell r="A6123" t="str">
            <v>GC</v>
          </cell>
          <cell r="D6123">
            <v>43367</v>
          </cell>
        </row>
        <row r="6124">
          <cell r="A6124" t="str">
            <v>GC</v>
          </cell>
          <cell r="D6124">
            <v>43292</v>
          </cell>
        </row>
        <row r="6125">
          <cell r="A6125" t="str">
            <v>IN</v>
          </cell>
          <cell r="D6125">
            <v>43324</v>
          </cell>
        </row>
        <row r="6126">
          <cell r="A6126" t="str">
            <v>IN</v>
          </cell>
          <cell r="D6126">
            <v>43137</v>
          </cell>
        </row>
        <row r="6127">
          <cell r="A6127" t="str">
            <v>IN</v>
          </cell>
          <cell r="D6127">
            <v>43355</v>
          </cell>
        </row>
        <row r="6128">
          <cell r="A6128" t="str">
            <v>GC</v>
          </cell>
          <cell r="D6128">
            <v>43279</v>
          </cell>
        </row>
        <row r="6129">
          <cell r="A6129" t="str">
            <v>GC</v>
          </cell>
          <cell r="D6129">
            <v>43236</v>
          </cell>
        </row>
        <row r="6130">
          <cell r="A6130" t="str">
            <v>IN</v>
          </cell>
          <cell r="D6130">
            <v>43113</v>
          </cell>
        </row>
        <row r="6131">
          <cell r="A6131" t="str">
            <v>IN</v>
          </cell>
          <cell r="D6131">
            <v>43195</v>
          </cell>
        </row>
        <row r="6132">
          <cell r="A6132" t="str">
            <v>IN</v>
          </cell>
          <cell r="D6132">
            <v>43231</v>
          </cell>
        </row>
        <row r="6133">
          <cell r="A6133" t="str">
            <v>IN</v>
          </cell>
          <cell r="D6133">
            <v>43452</v>
          </cell>
        </row>
        <row r="6134">
          <cell r="A6134" t="str">
            <v>IN</v>
          </cell>
          <cell r="D6134">
            <v>43119</v>
          </cell>
        </row>
        <row r="6135">
          <cell r="A6135" t="str">
            <v>IN</v>
          </cell>
          <cell r="D6135">
            <v>43273</v>
          </cell>
        </row>
        <row r="6136">
          <cell r="A6136" t="str">
            <v>ASEAN</v>
          </cell>
          <cell r="D6136">
            <v>43271</v>
          </cell>
        </row>
        <row r="6137">
          <cell r="A6137" t="str">
            <v>GC</v>
          </cell>
          <cell r="D6137">
            <v>43121</v>
          </cell>
        </row>
        <row r="6138">
          <cell r="A6138" t="str">
            <v>IN</v>
          </cell>
          <cell r="D6138">
            <v>43296</v>
          </cell>
        </row>
        <row r="6139">
          <cell r="A6139" t="str">
            <v>IN</v>
          </cell>
          <cell r="D6139">
            <v>43153</v>
          </cell>
        </row>
        <row r="6140">
          <cell r="A6140" t="str">
            <v>IN</v>
          </cell>
          <cell r="D6140">
            <v>43159</v>
          </cell>
        </row>
        <row r="6141">
          <cell r="A6141" t="str">
            <v>IN</v>
          </cell>
          <cell r="D6141">
            <v>43103</v>
          </cell>
        </row>
        <row r="6142">
          <cell r="A6142" t="str">
            <v>IN</v>
          </cell>
          <cell r="D6142">
            <v>43391</v>
          </cell>
        </row>
        <row r="6143">
          <cell r="A6143" t="str">
            <v>IN</v>
          </cell>
          <cell r="D6143">
            <v>43106</v>
          </cell>
        </row>
        <row r="6144">
          <cell r="A6144" t="str">
            <v>IN</v>
          </cell>
          <cell r="D6144">
            <v>43217</v>
          </cell>
        </row>
        <row r="6145">
          <cell r="A6145" t="str">
            <v>IN</v>
          </cell>
          <cell r="D6145">
            <v>43324</v>
          </cell>
        </row>
        <row r="6146">
          <cell r="A6146" t="str">
            <v>ASEAN</v>
          </cell>
          <cell r="D6146">
            <v>43302</v>
          </cell>
        </row>
        <row r="6147">
          <cell r="A6147" t="str">
            <v>ASEAN</v>
          </cell>
          <cell r="D6147">
            <v>43428</v>
          </cell>
        </row>
        <row r="6148">
          <cell r="A6148" t="str">
            <v>ASEAN</v>
          </cell>
          <cell r="D6148">
            <v>43396</v>
          </cell>
        </row>
        <row r="6149">
          <cell r="A6149" t="str">
            <v>ANZ</v>
          </cell>
          <cell r="D6149">
            <v>43310</v>
          </cell>
        </row>
        <row r="6150">
          <cell r="A6150" t="str">
            <v>ANZ</v>
          </cell>
          <cell r="D6150">
            <v>43212</v>
          </cell>
        </row>
        <row r="6151">
          <cell r="A6151" t="str">
            <v>ANZ</v>
          </cell>
          <cell r="D6151">
            <v>43378</v>
          </cell>
        </row>
        <row r="6152">
          <cell r="A6152" t="str">
            <v>ANZ</v>
          </cell>
          <cell r="D6152">
            <v>43252</v>
          </cell>
        </row>
        <row r="6153">
          <cell r="A6153" t="str">
            <v>ANZ</v>
          </cell>
          <cell r="D6153">
            <v>43382</v>
          </cell>
        </row>
        <row r="6154">
          <cell r="A6154" t="str">
            <v>ASEAN</v>
          </cell>
          <cell r="D6154">
            <v>43221</v>
          </cell>
        </row>
        <row r="6155">
          <cell r="A6155" t="str">
            <v>ASEAN</v>
          </cell>
          <cell r="D6155">
            <v>43175</v>
          </cell>
        </row>
        <row r="6156">
          <cell r="A6156" t="str">
            <v>ANZ</v>
          </cell>
          <cell r="D6156">
            <v>43313</v>
          </cell>
        </row>
        <row r="6157">
          <cell r="A6157" t="str">
            <v>KR</v>
          </cell>
          <cell r="D6157">
            <v>43434</v>
          </cell>
        </row>
        <row r="6158">
          <cell r="A6158" t="str">
            <v>KR</v>
          </cell>
          <cell r="D6158">
            <v>43401</v>
          </cell>
        </row>
        <row r="6159">
          <cell r="A6159" t="str">
            <v>GC</v>
          </cell>
          <cell r="D6159">
            <v>43239</v>
          </cell>
        </row>
        <row r="6160">
          <cell r="A6160" t="str">
            <v>GC</v>
          </cell>
          <cell r="D6160">
            <v>43103</v>
          </cell>
        </row>
        <row r="6161">
          <cell r="A6161" t="str">
            <v>GC</v>
          </cell>
          <cell r="D6161">
            <v>43246</v>
          </cell>
        </row>
        <row r="6162">
          <cell r="A6162" t="str">
            <v>GC</v>
          </cell>
          <cell r="D6162">
            <v>43260</v>
          </cell>
        </row>
        <row r="6163">
          <cell r="A6163" t="str">
            <v>GC</v>
          </cell>
          <cell r="D6163">
            <v>43219</v>
          </cell>
        </row>
        <row r="6164">
          <cell r="A6164" t="str">
            <v>GC</v>
          </cell>
          <cell r="D6164">
            <v>43347</v>
          </cell>
        </row>
        <row r="6165">
          <cell r="A6165" t="str">
            <v>KR</v>
          </cell>
          <cell r="D6165">
            <v>43221</v>
          </cell>
        </row>
        <row r="6166">
          <cell r="A6166" t="str">
            <v>KR</v>
          </cell>
          <cell r="D6166">
            <v>43262</v>
          </cell>
        </row>
        <row r="6167">
          <cell r="A6167" t="str">
            <v>KR</v>
          </cell>
          <cell r="D6167">
            <v>43373</v>
          </cell>
        </row>
        <row r="6168">
          <cell r="A6168" t="str">
            <v>KR</v>
          </cell>
          <cell r="D6168">
            <v>43173</v>
          </cell>
        </row>
        <row r="6169">
          <cell r="A6169" t="str">
            <v>KR</v>
          </cell>
          <cell r="D6169">
            <v>43197</v>
          </cell>
        </row>
        <row r="6170">
          <cell r="A6170" t="str">
            <v>IN</v>
          </cell>
          <cell r="D6170">
            <v>43114</v>
          </cell>
        </row>
        <row r="6171">
          <cell r="A6171" t="str">
            <v>IN</v>
          </cell>
          <cell r="D6171">
            <v>43147</v>
          </cell>
        </row>
        <row r="6172">
          <cell r="A6172" t="str">
            <v>IN</v>
          </cell>
          <cell r="D6172">
            <v>43101</v>
          </cell>
        </row>
        <row r="6173">
          <cell r="A6173" t="str">
            <v>IN</v>
          </cell>
          <cell r="D6173">
            <v>43449</v>
          </cell>
        </row>
        <row r="6174">
          <cell r="A6174" t="str">
            <v>IN</v>
          </cell>
          <cell r="D6174">
            <v>43339</v>
          </cell>
        </row>
        <row r="6175">
          <cell r="A6175" t="str">
            <v>GC</v>
          </cell>
          <cell r="D6175">
            <v>43464</v>
          </cell>
        </row>
        <row r="6176">
          <cell r="A6176" t="str">
            <v>ANZ</v>
          </cell>
          <cell r="D6176">
            <v>43285</v>
          </cell>
        </row>
        <row r="6177">
          <cell r="A6177" t="str">
            <v>ASEAN</v>
          </cell>
          <cell r="D6177">
            <v>43214</v>
          </cell>
        </row>
        <row r="6178">
          <cell r="A6178" t="str">
            <v>GC</v>
          </cell>
          <cell r="D6178">
            <v>43379</v>
          </cell>
        </row>
        <row r="6179">
          <cell r="A6179" t="str">
            <v>GC</v>
          </cell>
          <cell r="D6179">
            <v>43462</v>
          </cell>
        </row>
        <row r="6180">
          <cell r="A6180" t="str">
            <v>IN</v>
          </cell>
          <cell r="D6180">
            <v>43198</v>
          </cell>
        </row>
        <row r="6181">
          <cell r="A6181" t="str">
            <v>ANZ</v>
          </cell>
          <cell r="D6181">
            <v>43336</v>
          </cell>
        </row>
        <row r="6182">
          <cell r="A6182" t="str">
            <v>ASEAN</v>
          </cell>
          <cell r="D6182">
            <v>43221</v>
          </cell>
        </row>
        <row r="6183">
          <cell r="A6183" t="str">
            <v>ASEAN</v>
          </cell>
          <cell r="D6183">
            <v>43155</v>
          </cell>
        </row>
        <row r="6184">
          <cell r="A6184" t="str">
            <v>ASEAN</v>
          </cell>
          <cell r="D6184">
            <v>43428</v>
          </cell>
        </row>
        <row r="6185">
          <cell r="A6185" t="str">
            <v>GC</v>
          </cell>
          <cell r="D6185">
            <v>43139</v>
          </cell>
        </row>
        <row r="6186">
          <cell r="A6186" t="str">
            <v>IN</v>
          </cell>
          <cell r="D6186">
            <v>43109</v>
          </cell>
        </row>
        <row r="6187">
          <cell r="A6187" t="str">
            <v>ASEAN</v>
          </cell>
          <cell r="D6187">
            <v>43264</v>
          </cell>
        </row>
        <row r="6188">
          <cell r="A6188" t="str">
            <v>IN</v>
          </cell>
          <cell r="D6188">
            <v>43362</v>
          </cell>
        </row>
        <row r="6189">
          <cell r="A6189" t="str">
            <v>IN</v>
          </cell>
          <cell r="D6189">
            <v>43160</v>
          </cell>
        </row>
        <row r="6190">
          <cell r="A6190" t="str">
            <v>ASEAN</v>
          </cell>
          <cell r="D6190">
            <v>43160</v>
          </cell>
        </row>
        <row r="6191">
          <cell r="A6191" t="str">
            <v>ASEAN</v>
          </cell>
          <cell r="D6191">
            <v>43189</v>
          </cell>
        </row>
        <row r="6192">
          <cell r="A6192" t="str">
            <v>ASEAN</v>
          </cell>
          <cell r="D6192">
            <v>43215</v>
          </cell>
        </row>
        <row r="6193">
          <cell r="A6193" t="str">
            <v>IN</v>
          </cell>
          <cell r="D6193">
            <v>43253</v>
          </cell>
        </row>
        <row r="6194">
          <cell r="A6194" t="str">
            <v>IN</v>
          </cell>
          <cell r="D6194">
            <v>43191</v>
          </cell>
        </row>
        <row r="6195">
          <cell r="A6195" t="str">
            <v>KR</v>
          </cell>
          <cell r="D6195">
            <v>43186</v>
          </cell>
        </row>
        <row r="6196">
          <cell r="A6196" t="str">
            <v>GC</v>
          </cell>
          <cell r="D6196">
            <v>43271</v>
          </cell>
        </row>
        <row r="6197">
          <cell r="A6197" t="str">
            <v>IN</v>
          </cell>
          <cell r="D6197">
            <v>43150</v>
          </cell>
        </row>
        <row r="6198">
          <cell r="A6198" t="str">
            <v>GC</v>
          </cell>
          <cell r="D6198">
            <v>43415</v>
          </cell>
        </row>
        <row r="6199">
          <cell r="A6199" t="str">
            <v>GC</v>
          </cell>
          <cell r="D6199">
            <v>43153</v>
          </cell>
        </row>
        <row r="6200">
          <cell r="A6200" t="str">
            <v>ASEAN</v>
          </cell>
          <cell r="D6200">
            <v>43121</v>
          </cell>
        </row>
        <row r="6201">
          <cell r="A6201" t="str">
            <v>GC</v>
          </cell>
          <cell r="D6201">
            <v>43390</v>
          </cell>
        </row>
        <row r="6202">
          <cell r="A6202" t="str">
            <v>IN</v>
          </cell>
          <cell r="D6202">
            <v>43215</v>
          </cell>
        </row>
        <row r="6203">
          <cell r="A6203" t="str">
            <v>IN</v>
          </cell>
          <cell r="D6203">
            <v>43271</v>
          </cell>
        </row>
        <row r="6204">
          <cell r="A6204" t="str">
            <v>ASEAN</v>
          </cell>
          <cell r="D6204">
            <v>43432</v>
          </cell>
        </row>
        <row r="6205">
          <cell r="A6205" t="str">
            <v>IN</v>
          </cell>
          <cell r="D6205">
            <v>43141</v>
          </cell>
        </row>
        <row r="6206">
          <cell r="A6206" t="str">
            <v>ANZ</v>
          </cell>
          <cell r="D6206">
            <v>43206</v>
          </cell>
        </row>
        <row r="6207">
          <cell r="A6207" t="str">
            <v>ASEAN</v>
          </cell>
          <cell r="D6207">
            <v>43204</v>
          </cell>
        </row>
        <row r="6208">
          <cell r="A6208" t="str">
            <v>ASEAN</v>
          </cell>
          <cell r="D6208">
            <v>43196</v>
          </cell>
        </row>
        <row r="6209">
          <cell r="A6209" t="str">
            <v>ASEAN</v>
          </cell>
          <cell r="D6209">
            <v>43183</v>
          </cell>
        </row>
        <row r="6210">
          <cell r="A6210" t="str">
            <v>GC</v>
          </cell>
          <cell r="D6210">
            <v>43140</v>
          </cell>
        </row>
        <row r="6211">
          <cell r="A6211" t="str">
            <v>ASEAN</v>
          </cell>
          <cell r="D6211">
            <v>43462</v>
          </cell>
        </row>
        <row r="6212">
          <cell r="A6212" t="str">
            <v>ASEAN</v>
          </cell>
          <cell r="D6212">
            <v>43285</v>
          </cell>
        </row>
        <row r="6213">
          <cell r="A6213" t="str">
            <v>ASEAN</v>
          </cell>
          <cell r="D6213">
            <v>43377</v>
          </cell>
        </row>
        <row r="6214">
          <cell r="A6214" t="str">
            <v>GC</v>
          </cell>
          <cell r="D6214">
            <v>43239</v>
          </cell>
        </row>
        <row r="6215">
          <cell r="A6215" t="str">
            <v>GC</v>
          </cell>
          <cell r="D6215">
            <v>43167</v>
          </cell>
        </row>
        <row r="6216">
          <cell r="A6216" t="str">
            <v>KR</v>
          </cell>
          <cell r="D6216">
            <v>43303</v>
          </cell>
        </row>
        <row r="6217">
          <cell r="A6217" t="str">
            <v>KR</v>
          </cell>
          <cell r="D6217">
            <v>43132</v>
          </cell>
        </row>
        <row r="6218">
          <cell r="A6218" t="str">
            <v>IN</v>
          </cell>
          <cell r="D6218">
            <v>43395</v>
          </cell>
        </row>
        <row r="6219">
          <cell r="A6219" t="str">
            <v>ASEAN</v>
          </cell>
          <cell r="D6219">
            <v>43129</v>
          </cell>
        </row>
        <row r="6220">
          <cell r="A6220" t="str">
            <v>ASEAN</v>
          </cell>
          <cell r="D6220">
            <v>43228</v>
          </cell>
        </row>
        <row r="6221">
          <cell r="A6221" t="str">
            <v>ASEAN</v>
          </cell>
          <cell r="D6221">
            <v>43272</v>
          </cell>
        </row>
        <row r="6222">
          <cell r="A6222" t="str">
            <v>GC</v>
          </cell>
          <cell r="D6222">
            <v>43439</v>
          </cell>
        </row>
        <row r="6223">
          <cell r="A6223" t="str">
            <v>ASEAN</v>
          </cell>
          <cell r="D6223">
            <v>43309</v>
          </cell>
        </row>
        <row r="6224">
          <cell r="A6224" t="str">
            <v>GC</v>
          </cell>
          <cell r="D6224">
            <v>43108</v>
          </cell>
        </row>
        <row r="6225">
          <cell r="A6225" t="str">
            <v>GC</v>
          </cell>
          <cell r="D6225">
            <v>43133</v>
          </cell>
        </row>
        <row r="6226">
          <cell r="A6226" t="str">
            <v>GC</v>
          </cell>
          <cell r="D6226">
            <v>43403</v>
          </cell>
        </row>
        <row r="6227">
          <cell r="A6227" t="str">
            <v>GC</v>
          </cell>
          <cell r="D6227">
            <v>43247</v>
          </cell>
        </row>
        <row r="6228">
          <cell r="A6228" t="str">
            <v>GC</v>
          </cell>
          <cell r="D6228">
            <v>43266</v>
          </cell>
        </row>
        <row r="6229">
          <cell r="A6229" t="str">
            <v>GC</v>
          </cell>
          <cell r="D6229">
            <v>43167</v>
          </cell>
        </row>
        <row r="6230">
          <cell r="A6230" t="str">
            <v>GC</v>
          </cell>
          <cell r="D6230">
            <v>43323</v>
          </cell>
        </row>
        <row r="6231">
          <cell r="A6231" t="str">
            <v>GC</v>
          </cell>
          <cell r="D6231">
            <v>43276</v>
          </cell>
        </row>
        <row r="6232">
          <cell r="A6232" t="str">
            <v>GC</v>
          </cell>
          <cell r="D6232">
            <v>43181</v>
          </cell>
        </row>
        <row r="6233">
          <cell r="A6233" t="str">
            <v>GC</v>
          </cell>
          <cell r="D6233">
            <v>43171</v>
          </cell>
        </row>
        <row r="6234">
          <cell r="A6234" t="str">
            <v>GC</v>
          </cell>
          <cell r="D6234">
            <v>43319</v>
          </cell>
        </row>
        <row r="6235">
          <cell r="A6235" t="str">
            <v>GC</v>
          </cell>
          <cell r="D6235">
            <v>43145</v>
          </cell>
        </row>
        <row r="6236">
          <cell r="A6236" t="str">
            <v>GC</v>
          </cell>
          <cell r="D6236">
            <v>43259</v>
          </cell>
        </row>
        <row r="6237">
          <cell r="A6237" t="str">
            <v>GC</v>
          </cell>
          <cell r="D6237">
            <v>43242</v>
          </cell>
        </row>
        <row r="6238">
          <cell r="A6238" t="str">
            <v>IN</v>
          </cell>
          <cell r="D6238">
            <v>43374</v>
          </cell>
        </row>
        <row r="6239">
          <cell r="A6239" t="str">
            <v>IN</v>
          </cell>
          <cell r="D6239">
            <v>43137</v>
          </cell>
        </row>
        <row r="6240">
          <cell r="A6240" t="str">
            <v>GC</v>
          </cell>
          <cell r="D6240">
            <v>43423</v>
          </cell>
        </row>
        <row r="6241">
          <cell r="A6241" t="str">
            <v>ANZ</v>
          </cell>
          <cell r="D6241">
            <v>43388</v>
          </cell>
        </row>
        <row r="6242">
          <cell r="A6242" t="str">
            <v>ASEAN</v>
          </cell>
          <cell r="D6242">
            <v>43276</v>
          </cell>
        </row>
        <row r="6243">
          <cell r="A6243" t="str">
            <v>ASEAN</v>
          </cell>
          <cell r="D6243">
            <v>43378</v>
          </cell>
        </row>
        <row r="6244">
          <cell r="A6244" t="str">
            <v>ANZ</v>
          </cell>
          <cell r="D6244">
            <v>43330</v>
          </cell>
        </row>
        <row r="6245">
          <cell r="A6245" t="str">
            <v>GC</v>
          </cell>
          <cell r="D6245">
            <v>43346</v>
          </cell>
        </row>
        <row r="6246">
          <cell r="A6246" t="str">
            <v>ASEAN</v>
          </cell>
          <cell r="D6246">
            <v>43225</v>
          </cell>
        </row>
        <row r="6247">
          <cell r="A6247" t="str">
            <v>ANZ</v>
          </cell>
          <cell r="D6247">
            <v>43260</v>
          </cell>
        </row>
        <row r="6248">
          <cell r="A6248" t="str">
            <v>ASEAN</v>
          </cell>
          <cell r="D6248">
            <v>43412</v>
          </cell>
        </row>
        <row r="6249">
          <cell r="A6249" t="str">
            <v>GC</v>
          </cell>
          <cell r="D6249">
            <v>43252</v>
          </cell>
        </row>
        <row r="6250">
          <cell r="A6250" t="str">
            <v>ANZ</v>
          </cell>
          <cell r="D6250">
            <v>43237</v>
          </cell>
        </row>
        <row r="6251">
          <cell r="A6251" t="str">
            <v>ASEAN</v>
          </cell>
          <cell r="D6251">
            <v>43267</v>
          </cell>
        </row>
        <row r="6252">
          <cell r="A6252" t="str">
            <v>ASEAN</v>
          </cell>
          <cell r="D6252">
            <v>43452</v>
          </cell>
        </row>
        <row r="6253">
          <cell r="A6253" t="str">
            <v>ASEAN</v>
          </cell>
          <cell r="D6253">
            <v>43390</v>
          </cell>
        </row>
        <row r="6254">
          <cell r="A6254" t="str">
            <v>ASEAN</v>
          </cell>
          <cell r="D6254">
            <v>43465</v>
          </cell>
        </row>
        <row r="6255">
          <cell r="A6255" t="str">
            <v>KR</v>
          </cell>
          <cell r="D6255">
            <v>43452</v>
          </cell>
        </row>
        <row r="6256">
          <cell r="A6256" t="str">
            <v>ASEAN</v>
          </cell>
          <cell r="D6256">
            <v>43254</v>
          </cell>
        </row>
        <row r="6257">
          <cell r="A6257" t="str">
            <v>IN</v>
          </cell>
          <cell r="D6257">
            <v>43222</v>
          </cell>
        </row>
        <row r="6258">
          <cell r="A6258" t="str">
            <v>GC</v>
          </cell>
          <cell r="D6258">
            <v>43383</v>
          </cell>
        </row>
        <row r="6259">
          <cell r="A6259" t="str">
            <v>ASEAN</v>
          </cell>
          <cell r="D6259">
            <v>43175</v>
          </cell>
        </row>
        <row r="6260">
          <cell r="A6260" t="str">
            <v>ASEAN</v>
          </cell>
          <cell r="D6260">
            <v>43203</v>
          </cell>
        </row>
        <row r="6261">
          <cell r="A6261" t="str">
            <v>ASEAN</v>
          </cell>
          <cell r="D6261">
            <v>43375</v>
          </cell>
        </row>
        <row r="6262">
          <cell r="A6262" t="str">
            <v>ASEAN</v>
          </cell>
          <cell r="D6262">
            <v>43194</v>
          </cell>
        </row>
        <row r="6263">
          <cell r="A6263" t="str">
            <v>ASEAN</v>
          </cell>
          <cell r="D6263">
            <v>43267</v>
          </cell>
        </row>
        <row r="6264">
          <cell r="A6264" t="str">
            <v>ASEAN</v>
          </cell>
          <cell r="D6264">
            <v>43321</v>
          </cell>
        </row>
        <row r="6265">
          <cell r="A6265" t="str">
            <v>ASEAN</v>
          </cell>
          <cell r="D6265">
            <v>43458</v>
          </cell>
        </row>
        <row r="6266">
          <cell r="A6266" t="str">
            <v>ASEAN</v>
          </cell>
          <cell r="D6266">
            <v>43307</v>
          </cell>
        </row>
        <row r="6267">
          <cell r="A6267" t="str">
            <v>ASEAN</v>
          </cell>
          <cell r="D6267">
            <v>43149</v>
          </cell>
        </row>
        <row r="6268">
          <cell r="A6268" t="str">
            <v>GC</v>
          </cell>
          <cell r="D6268">
            <v>43168</v>
          </cell>
        </row>
        <row r="6269">
          <cell r="A6269" t="str">
            <v>GC</v>
          </cell>
          <cell r="D6269">
            <v>43201</v>
          </cell>
        </row>
        <row r="6270">
          <cell r="A6270" t="str">
            <v>GC</v>
          </cell>
          <cell r="D6270">
            <v>43155</v>
          </cell>
        </row>
        <row r="6271">
          <cell r="A6271" t="str">
            <v>GC</v>
          </cell>
          <cell r="D6271">
            <v>43393</v>
          </cell>
        </row>
        <row r="6272">
          <cell r="A6272" t="str">
            <v>GC</v>
          </cell>
          <cell r="D6272">
            <v>43224</v>
          </cell>
        </row>
        <row r="6273">
          <cell r="A6273" t="str">
            <v>GC</v>
          </cell>
          <cell r="D6273">
            <v>43155</v>
          </cell>
        </row>
        <row r="6274">
          <cell r="A6274" t="str">
            <v>ASEAN</v>
          </cell>
          <cell r="D6274">
            <v>43281</v>
          </cell>
        </row>
        <row r="6275">
          <cell r="A6275" t="str">
            <v>IN</v>
          </cell>
          <cell r="D6275">
            <v>43326</v>
          </cell>
        </row>
        <row r="6276">
          <cell r="A6276" t="str">
            <v>ASEAN</v>
          </cell>
          <cell r="D6276">
            <v>43145</v>
          </cell>
        </row>
        <row r="6277">
          <cell r="A6277" t="str">
            <v>IN</v>
          </cell>
          <cell r="D6277">
            <v>43358</v>
          </cell>
        </row>
        <row r="6278">
          <cell r="A6278" t="str">
            <v>IN</v>
          </cell>
          <cell r="D6278">
            <v>43363</v>
          </cell>
        </row>
        <row r="6279">
          <cell r="A6279" t="str">
            <v>GC</v>
          </cell>
          <cell r="D6279">
            <v>43198</v>
          </cell>
        </row>
        <row r="6280">
          <cell r="A6280" t="str">
            <v>GC</v>
          </cell>
          <cell r="D6280">
            <v>43206</v>
          </cell>
        </row>
        <row r="6281">
          <cell r="A6281" t="str">
            <v>GC</v>
          </cell>
          <cell r="D6281">
            <v>43200</v>
          </cell>
        </row>
        <row r="6282">
          <cell r="A6282" t="str">
            <v>GC</v>
          </cell>
          <cell r="D6282">
            <v>43246</v>
          </cell>
        </row>
        <row r="6283">
          <cell r="A6283" t="str">
            <v>GC</v>
          </cell>
          <cell r="D6283">
            <v>43145</v>
          </cell>
        </row>
        <row r="6284">
          <cell r="A6284" t="str">
            <v>KR</v>
          </cell>
          <cell r="D6284">
            <v>43184</v>
          </cell>
        </row>
        <row r="6285">
          <cell r="A6285" t="str">
            <v>KR</v>
          </cell>
          <cell r="D6285">
            <v>43323</v>
          </cell>
        </row>
        <row r="6286">
          <cell r="A6286" t="str">
            <v>GC</v>
          </cell>
          <cell r="D6286">
            <v>43214</v>
          </cell>
        </row>
        <row r="6287">
          <cell r="A6287" t="str">
            <v>ASEAN</v>
          </cell>
          <cell r="D6287">
            <v>43395</v>
          </cell>
        </row>
        <row r="6288">
          <cell r="A6288" t="str">
            <v>ANZ</v>
          </cell>
          <cell r="D6288">
            <v>43404</v>
          </cell>
        </row>
        <row r="6289">
          <cell r="A6289" t="str">
            <v>ASEAN</v>
          </cell>
          <cell r="D6289">
            <v>43436</v>
          </cell>
        </row>
        <row r="6290">
          <cell r="A6290" t="str">
            <v>GC</v>
          </cell>
          <cell r="D6290">
            <v>43170</v>
          </cell>
        </row>
        <row r="6291">
          <cell r="A6291" t="str">
            <v>GC</v>
          </cell>
          <cell r="D6291">
            <v>43179</v>
          </cell>
        </row>
        <row r="6292">
          <cell r="A6292" t="str">
            <v>GC</v>
          </cell>
          <cell r="D6292">
            <v>43368</v>
          </cell>
        </row>
        <row r="6293">
          <cell r="A6293" t="str">
            <v>GC</v>
          </cell>
          <cell r="D6293">
            <v>43452</v>
          </cell>
        </row>
        <row r="6294">
          <cell r="A6294" t="str">
            <v>GC</v>
          </cell>
          <cell r="D6294">
            <v>43247</v>
          </cell>
        </row>
        <row r="6295">
          <cell r="A6295" t="str">
            <v>GC</v>
          </cell>
          <cell r="D6295">
            <v>43252</v>
          </cell>
        </row>
        <row r="6296">
          <cell r="A6296" t="str">
            <v>GC</v>
          </cell>
          <cell r="D6296">
            <v>43335</v>
          </cell>
        </row>
        <row r="6297">
          <cell r="A6297" t="str">
            <v>GC</v>
          </cell>
          <cell r="D6297">
            <v>43168</v>
          </cell>
        </row>
        <row r="6298">
          <cell r="A6298" t="str">
            <v>ANZ</v>
          </cell>
          <cell r="D6298">
            <v>43302</v>
          </cell>
        </row>
        <row r="6299">
          <cell r="A6299" t="str">
            <v>GC</v>
          </cell>
          <cell r="D6299">
            <v>43143</v>
          </cell>
        </row>
        <row r="6300">
          <cell r="A6300" t="str">
            <v>GC</v>
          </cell>
          <cell r="D6300">
            <v>43264</v>
          </cell>
        </row>
        <row r="6301">
          <cell r="A6301" t="str">
            <v>GC</v>
          </cell>
          <cell r="D6301">
            <v>43317</v>
          </cell>
        </row>
        <row r="6302">
          <cell r="A6302" t="str">
            <v>GC</v>
          </cell>
          <cell r="D6302">
            <v>43462</v>
          </cell>
        </row>
        <row r="6303">
          <cell r="A6303" t="str">
            <v>GC</v>
          </cell>
          <cell r="D6303">
            <v>43197</v>
          </cell>
        </row>
        <row r="6304">
          <cell r="A6304" t="str">
            <v>IN</v>
          </cell>
          <cell r="D6304">
            <v>43348</v>
          </cell>
        </row>
        <row r="6305">
          <cell r="A6305" t="str">
            <v>IN</v>
          </cell>
          <cell r="D6305">
            <v>43282</v>
          </cell>
        </row>
        <row r="6306">
          <cell r="A6306" t="str">
            <v>ASEAN</v>
          </cell>
          <cell r="D6306">
            <v>43410</v>
          </cell>
        </row>
        <row r="6307">
          <cell r="A6307" t="str">
            <v>ASEAN</v>
          </cell>
          <cell r="D6307">
            <v>43355</v>
          </cell>
        </row>
        <row r="6308">
          <cell r="A6308" t="str">
            <v>GC</v>
          </cell>
          <cell r="D6308">
            <v>43464</v>
          </cell>
        </row>
        <row r="6309">
          <cell r="A6309" t="str">
            <v>GC</v>
          </cell>
          <cell r="D6309">
            <v>43213</v>
          </cell>
        </row>
        <row r="6310">
          <cell r="A6310" t="str">
            <v>GC</v>
          </cell>
          <cell r="D6310">
            <v>43431</v>
          </cell>
        </row>
        <row r="6311">
          <cell r="A6311" t="str">
            <v>IN</v>
          </cell>
          <cell r="D6311">
            <v>43418</v>
          </cell>
        </row>
        <row r="6312">
          <cell r="A6312" t="str">
            <v>ASEAN</v>
          </cell>
          <cell r="D6312">
            <v>43333</v>
          </cell>
        </row>
        <row r="6313">
          <cell r="A6313" t="str">
            <v>IN</v>
          </cell>
          <cell r="D6313">
            <v>43323</v>
          </cell>
        </row>
        <row r="6314">
          <cell r="A6314" t="str">
            <v>GC</v>
          </cell>
          <cell r="D6314">
            <v>43421</v>
          </cell>
        </row>
        <row r="6315">
          <cell r="A6315" t="str">
            <v>KR</v>
          </cell>
          <cell r="D6315">
            <v>43323</v>
          </cell>
        </row>
        <row r="6316">
          <cell r="A6316" t="str">
            <v>GC</v>
          </cell>
          <cell r="D6316">
            <v>43236</v>
          </cell>
        </row>
        <row r="6317">
          <cell r="A6317" t="str">
            <v>GC</v>
          </cell>
          <cell r="D6317">
            <v>43367</v>
          </cell>
        </row>
        <row r="6318">
          <cell r="A6318" t="str">
            <v>ANZ</v>
          </cell>
          <cell r="D6318">
            <v>43384</v>
          </cell>
        </row>
        <row r="6319">
          <cell r="A6319" t="str">
            <v>ANZ</v>
          </cell>
          <cell r="D6319">
            <v>43402</v>
          </cell>
        </row>
        <row r="6320">
          <cell r="A6320" t="str">
            <v>ASEAN</v>
          </cell>
          <cell r="D6320">
            <v>43136</v>
          </cell>
        </row>
        <row r="6321">
          <cell r="A6321" t="str">
            <v>GC</v>
          </cell>
          <cell r="D6321">
            <v>43163</v>
          </cell>
        </row>
        <row r="6322">
          <cell r="A6322" t="str">
            <v>IN</v>
          </cell>
          <cell r="D6322">
            <v>43404</v>
          </cell>
        </row>
        <row r="6323">
          <cell r="A6323" t="str">
            <v>IN</v>
          </cell>
          <cell r="D6323">
            <v>43107</v>
          </cell>
        </row>
        <row r="6324">
          <cell r="A6324" t="str">
            <v>GC</v>
          </cell>
          <cell r="D6324">
            <v>43230</v>
          </cell>
        </row>
        <row r="6325">
          <cell r="A6325" t="str">
            <v>ASEAN</v>
          </cell>
          <cell r="D6325">
            <v>43398</v>
          </cell>
        </row>
        <row r="6326">
          <cell r="A6326" t="str">
            <v>GC</v>
          </cell>
          <cell r="D6326">
            <v>43144</v>
          </cell>
        </row>
        <row r="6327">
          <cell r="A6327" t="str">
            <v>GC</v>
          </cell>
          <cell r="D6327">
            <v>43252</v>
          </cell>
        </row>
        <row r="6328">
          <cell r="A6328" t="str">
            <v>ANZ</v>
          </cell>
          <cell r="D6328">
            <v>43199</v>
          </cell>
        </row>
        <row r="6329">
          <cell r="A6329" t="str">
            <v>GC</v>
          </cell>
          <cell r="D6329">
            <v>43150</v>
          </cell>
        </row>
        <row r="6330">
          <cell r="A6330" t="str">
            <v>GC</v>
          </cell>
          <cell r="D6330">
            <v>43306</v>
          </cell>
        </row>
        <row r="6331">
          <cell r="A6331" t="str">
            <v>GC</v>
          </cell>
          <cell r="D6331">
            <v>43369</v>
          </cell>
        </row>
        <row r="6332">
          <cell r="A6332" t="str">
            <v>GC</v>
          </cell>
          <cell r="D6332">
            <v>43108</v>
          </cell>
        </row>
        <row r="6333">
          <cell r="A6333" t="str">
            <v>GC</v>
          </cell>
          <cell r="D6333">
            <v>43278</v>
          </cell>
        </row>
        <row r="6334">
          <cell r="A6334" t="str">
            <v>GC</v>
          </cell>
          <cell r="D6334">
            <v>43301</v>
          </cell>
        </row>
        <row r="6335">
          <cell r="A6335" t="str">
            <v>GC</v>
          </cell>
          <cell r="D6335">
            <v>43324</v>
          </cell>
        </row>
        <row r="6336">
          <cell r="A6336" t="str">
            <v>GC</v>
          </cell>
          <cell r="D6336">
            <v>43113</v>
          </cell>
        </row>
        <row r="6337">
          <cell r="A6337" t="str">
            <v>GC</v>
          </cell>
          <cell r="D6337">
            <v>43319</v>
          </cell>
        </row>
        <row r="6338">
          <cell r="A6338" t="str">
            <v>GC</v>
          </cell>
          <cell r="D6338">
            <v>43140</v>
          </cell>
        </row>
        <row r="6339">
          <cell r="A6339" t="str">
            <v>GC</v>
          </cell>
          <cell r="D6339">
            <v>43194</v>
          </cell>
        </row>
        <row r="6340">
          <cell r="A6340" t="str">
            <v>GC</v>
          </cell>
          <cell r="D6340">
            <v>43251</v>
          </cell>
        </row>
        <row r="6341">
          <cell r="A6341" t="str">
            <v>IN</v>
          </cell>
          <cell r="D6341">
            <v>43231</v>
          </cell>
        </row>
        <row r="6342">
          <cell r="A6342" t="str">
            <v>IN</v>
          </cell>
          <cell r="D6342">
            <v>43273</v>
          </cell>
        </row>
        <row r="6343">
          <cell r="A6343" t="str">
            <v>KR</v>
          </cell>
          <cell r="D6343">
            <v>43195</v>
          </cell>
        </row>
        <row r="6344">
          <cell r="A6344" t="str">
            <v>KR</v>
          </cell>
          <cell r="D6344">
            <v>43159</v>
          </cell>
        </row>
        <row r="6345">
          <cell r="A6345" t="str">
            <v>KR</v>
          </cell>
          <cell r="D6345">
            <v>43144</v>
          </cell>
        </row>
        <row r="6346">
          <cell r="A6346" t="str">
            <v>KR</v>
          </cell>
          <cell r="D6346">
            <v>43349</v>
          </cell>
        </row>
        <row r="6347">
          <cell r="A6347" t="str">
            <v>KR</v>
          </cell>
          <cell r="D6347">
            <v>43274</v>
          </cell>
        </row>
        <row r="6348">
          <cell r="A6348" t="str">
            <v>KR</v>
          </cell>
          <cell r="D6348">
            <v>43412</v>
          </cell>
        </row>
        <row r="6349">
          <cell r="A6349" t="str">
            <v>KR</v>
          </cell>
          <cell r="D6349">
            <v>43310</v>
          </cell>
        </row>
        <row r="6350">
          <cell r="A6350" t="str">
            <v>KR</v>
          </cell>
          <cell r="D6350">
            <v>43113</v>
          </cell>
        </row>
        <row r="6351">
          <cell r="A6351" t="str">
            <v>IN</v>
          </cell>
          <cell r="D6351">
            <v>43410</v>
          </cell>
        </row>
        <row r="6352">
          <cell r="A6352" t="str">
            <v>KR</v>
          </cell>
          <cell r="D6352">
            <v>43427</v>
          </cell>
        </row>
        <row r="6353">
          <cell r="A6353" t="str">
            <v>GC</v>
          </cell>
          <cell r="D6353">
            <v>43395</v>
          </cell>
        </row>
        <row r="6354">
          <cell r="A6354" t="str">
            <v>IN</v>
          </cell>
          <cell r="D6354">
            <v>43227</v>
          </cell>
        </row>
        <row r="6355">
          <cell r="A6355" t="str">
            <v>GC</v>
          </cell>
          <cell r="D6355">
            <v>43342</v>
          </cell>
        </row>
        <row r="6356">
          <cell r="A6356" t="str">
            <v>IN</v>
          </cell>
          <cell r="D6356">
            <v>43437</v>
          </cell>
        </row>
        <row r="6357">
          <cell r="A6357" t="str">
            <v>GC</v>
          </cell>
          <cell r="D6357">
            <v>43269</v>
          </cell>
        </row>
        <row r="6358">
          <cell r="A6358" t="str">
            <v>ASEAN</v>
          </cell>
          <cell r="D6358">
            <v>43311</v>
          </cell>
        </row>
        <row r="6359">
          <cell r="A6359" t="str">
            <v>ASEAN</v>
          </cell>
          <cell r="D6359">
            <v>43148</v>
          </cell>
        </row>
        <row r="6360">
          <cell r="A6360" t="str">
            <v>ASEAN</v>
          </cell>
          <cell r="D6360">
            <v>43350</v>
          </cell>
        </row>
        <row r="6361">
          <cell r="A6361" t="str">
            <v>ASEAN</v>
          </cell>
          <cell r="D6361">
            <v>43105</v>
          </cell>
        </row>
        <row r="6362">
          <cell r="A6362" t="str">
            <v>IN</v>
          </cell>
          <cell r="D6362">
            <v>43387</v>
          </cell>
        </row>
        <row r="6363">
          <cell r="A6363" t="str">
            <v>ASEAN</v>
          </cell>
          <cell r="D6363">
            <v>43140</v>
          </cell>
        </row>
        <row r="6364">
          <cell r="A6364" t="str">
            <v>ASEAN</v>
          </cell>
          <cell r="D6364">
            <v>43458</v>
          </cell>
        </row>
        <row r="6365">
          <cell r="A6365" t="str">
            <v>ASEAN</v>
          </cell>
          <cell r="D6365">
            <v>43180</v>
          </cell>
        </row>
        <row r="6366">
          <cell r="A6366" t="str">
            <v>GC</v>
          </cell>
          <cell r="D6366">
            <v>43202</v>
          </cell>
        </row>
        <row r="6367">
          <cell r="A6367" t="str">
            <v>KR</v>
          </cell>
          <cell r="D6367">
            <v>43116</v>
          </cell>
        </row>
        <row r="6368">
          <cell r="A6368" t="str">
            <v>KR</v>
          </cell>
          <cell r="D6368">
            <v>43250</v>
          </cell>
        </row>
        <row r="6369">
          <cell r="A6369" t="str">
            <v>GC</v>
          </cell>
          <cell r="D6369">
            <v>43226</v>
          </cell>
        </row>
        <row r="6370">
          <cell r="A6370" t="str">
            <v>GC</v>
          </cell>
          <cell r="D6370">
            <v>43428</v>
          </cell>
        </row>
        <row r="6371">
          <cell r="A6371" t="str">
            <v>GC</v>
          </cell>
          <cell r="D6371">
            <v>43212</v>
          </cell>
        </row>
        <row r="6372">
          <cell r="A6372" t="str">
            <v>GC</v>
          </cell>
          <cell r="D6372">
            <v>43441</v>
          </cell>
        </row>
        <row r="6373">
          <cell r="A6373" t="str">
            <v>GC</v>
          </cell>
          <cell r="D6373">
            <v>43294</v>
          </cell>
        </row>
        <row r="6374">
          <cell r="A6374" t="str">
            <v>GC</v>
          </cell>
          <cell r="D6374">
            <v>43195</v>
          </cell>
        </row>
        <row r="6375">
          <cell r="A6375" t="str">
            <v>GC</v>
          </cell>
          <cell r="D6375">
            <v>43249</v>
          </cell>
        </row>
        <row r="6376">
          <cell r="A6376" t="str">
            <v>GC</v>
          </cell>
          <cell r="D6376">
            <v>43329</v>
          </cell>
        </row>
        <row r="6377">
          <cell r="A6377" t="str">
            <v>GC</v>
          </cell>
          <cell r="D6377">
            <v>43207</v>
          </cell>
        </row>
        <row r="6378">
          <cell r="A6378" t="str">
            <v>GC</v>
          </cell>
          <cell r="D6378">
            <v>43292</v>
          </cell>
        </row>
        <row r="6379">
          <cell r="A6379" t="str">
            <v>GC</v>
          </cell>
          <cell r="D6379">
            <v>43396</v>
          </cell>
        </row>
        <row r="6380">
          <cell r="A6380" t="str">
            <v>GC</v>
          </cell>
          <cell r="D6380">
            <v>43320</v>
          </cell>
        </row>
        <row r="6381">
          <cell r="A6381" t="str">
            <v>GC</v>
          </cell>
          <cell r="D6381">
            <v>43212</v>
          </cell>
        </row>
        <row r="6382">
          <cell r="A6382" t="str">
            <v>GC</v>
          </cell>
          <cell r="D6382">
            <v>43456</v>
          </cell>
        </row>
        <row r="6383">
          <cell r="A6383" t="str">
            <v>GC</v>
          </cell>
          <cell r="D6383">
            <v>43235</v>
          </cell>
        </row>
        <row r="6384">
          <cell r="A6384" t="str">
            <v>GC</v>
          </cell>
          <cell r="D6384">
            <v>43110</v>
          </cell>
        </row>
        <row r="6385">
          <cell r="A6385" t="str">
            <v>GC</v>
          </cell>
          <cell r="D6385">
            <v>43367</v>
          </cell>
        </row>
        <row r="6386">
          <cell r="A6386" t="str">
            <v>GC</v>
          </cell>
          <cell r="D6386">
            <v>43171</v>
          </cell>
        </row>
        <row r="6387">
          <cell r="A6387" t="str">
            <v>GC</v>
          </cell>
          <cell r="D6387">
            <v>43105</v>
          </cell>
        </row>
        <row r="6388">
          <cell r="A6388" t="str">
            <v>GC</v>
          </cell>
          <cell r="D6388">
            <v>43441</v>
          </cell>
        </row>
        <row r="6389">
          <cell r="A6389" t="str">
            <v>GC</v>
          </cell>
          <cell r="D6389">
            <v>43136</v>
          </cell>
        </row>
        <row r="6390">
          <cell r="A6390" t="str">
            <v>GC</v>
          </cell>
          <cell r="D6390">
            <v>43345</v>
          </cell>
        </row>
        <row r="6391">
          <cell r="A6391" t="str">
            <v>GC</v>
          </cell>
          <cell r="D6391">
            <v>43156</v>
          </cell>
        </row>
        <row r="6392">
          <cell r="A6392" t="str">
            <v>GC</v>
          </cell>
          <cell r="D6392">
            <v>43384</v>
          </cell>
        </row>
        <row r="6393">
          <cell r="A6393" t="str">
            <v>GC</v>
          </cell>
          <cell r="D6393">
            <v>43386</v>
          </cell>
        </row>
        <row r="6394">
          <cell r="A6394" t="str">
            <v>GC</v>
          </cell>
          <cell r="D6394">
            <v>43236</v>
          </cell>
        </row>
        <row r="6395">
          <cell r="A6395" t="str">
            <v>GC</v>
          </cell>
          <cell r="D6395">
            <v>43462</v>
          </cell>
        </row>
        <row r="6396">
          <cell r="A6396" t="str">
            <v>GC</v>
          </cell>
          <cell r="D6396">
            <v>43378</v>
          </cell>
        </row>
        <row r="6397">
          <cell r="A6397" t="str">
            <v>IN</v>
          </cell>
          <cell r="D6397">
            <v>43199</v>
          </cell>
        </row>
        <row r="6398">
          <cell r="A6398" t="str">
            <v>ANZ</v>
          </cell>
          <cell r="D6398">
            <v>43114</v>
          </cell>
        </row>
        <row r="6399">
          <cell r="A6399" t="str">
            <v>ASEAN</v>
          </cell>
          <cell r="D6399">
            <v>43180</v>
          </cell>
        </row>
        <row r="6400">
          <cell r="A6400" t="str">
            <v>ASEAN</v>
          </cell>
          <cell r="D6400">
            <v>43177</v>
          </cell>
        </row>
        <row r="6401">
          <cell r="A6401" t="str">
            <v>ASEAN</v>
          </cell>
          <cell r="D6401">
            <v>43222</v>
          </cell>
        </row>
        <row r="6402">
          <cell r="A6402" t="str">
            <v>KR</v>
          </cell>
          <cell r="D6402">
            <v>43107</v>
          </cell>
        </row>
        <row r="6403">
          <cell r="A6403" t="str">
            <v>GC</v>
          </cell>
          <cell r="D6403">
            <v>43105</v>
          </cell>
        </row>
        <row r="6404">
          <cell r="A6404" t="str">
            <v>GC</v>
          </cell>
          <cell r="D6404">
            <v>43360</v>
          </cell>
        </row>
        <row r="6405">
          <cell r="A6405" t="str">
            <v>GC</v>
          </cell>
          <cell r="D6405">
            <v>43349</v>
          </cell>
        </row>
        <row r="6406">
          <cell r="A6406" t="str">
            <v>GC</v>
          </cell>
          <cell r="D6406">
            <v>43322</v>
          </cell>
        </row>
        <row r="6407">
          <cell r="A6407" t="str">
            <v>GC</v>
          </cell>
          <cell r="D6407">
            <v>43371</v>
          </cell>
        </row>
        <row r="6408">
          <cell r="A6408" t="str">
            <v>GC</v>
          </cell>
          <cell r="D6408">
            <v>43197</v>
          </cell>
        </row>
        <row r="6409">
          <cell r="A6409" t="str">
            <v>GC</v>
          </cell>
          <cell r="D6409">
            <v>43312</v>
          </cell>
        </row>
        <row r="6410">
          <cell r="A6410" t="str">
            <v>GC</v>
          </cell>
          <cell r="D6410">
            <v>43261</v>
          </cell>
        </row>
        <row r="6411">
          <cell r="A6411" t="str">
            <v>GC</v>
          </cell>
          <cell r="D6411">
            <v>43200</v>
          </cell>
        </row>
        <row r="6412">
          <cell r="A6412" t="str">
            <v>GC</v>
          </cell>
          <cell r="D6412">
            <v>43156</v>
          </cell>
        </row>
        <row r="6413">
          <cell r="A6413" t="str">
            <v>GC</v>
          </cell>
          <cell r="D6413">
            <v>43124</v>
          </cell>
        </row>
        <row r="6414">
          <cell r="A6414" t="str">
            <v>GC</v>
          </cell>
          <cell r="D6414">
            <v>43292</v>
          </cell>
        </row>
        <row r="6415">
          <cell r="A6415" t="str">
            <v>GC</v>
          </cell>
          <cell r="D6415">
            <v>43255</v>
          </cell>
        </row>
        <row r="6416">
          <cell r="A6416" t="str">
            <v>GC</v>
          </cell>
          <cell r="D6416">
            <v>43145</v>
          </cell>
        </row>
        <row r="6417">
          <cell r="A6417" t="str">
            <v>GC</v>
          </cell>
          <cell r="D6417">
            <v>43214</v>
          </cell>
        </row>
        <row r="6418">
          <cell r="A6418" t="str">
            <v>GC</v>
          </cell>
          <cell r="D6418">
            <v>43311</v>
          </cell>
        </row>
        <row r="6419">
          <cell r="A6419" t="str">
            <v>GC</v>
          </cell>
          <cell r="D6419">
            <v>43351</v>
          </cell>
        </row>
        <row r="6420">
          <cell r="A6420" t="str">
            <v>GC</v>
          </cell>
          <cell r="D6420">
            <v>43402</v>
          </cell>
        </row>
        <row r="6421">
          <cell r="A6421" t="str">
            <v>GC</v>
          </cell>
          <cell r="D6421">
            <v>43240</v>
          </cell>
        </row>
        <row r="6422">
          <cell r="A6422" t="str">
            <v>GC</v>
          </cell>
          <cell r="D6422">
            <v>43257</v>
          </cell>
        </row>
        <row r="6423">
          <cell r="A6423" t="str">
            <v>GC</v>
          </cell>
          <cell r="D6423">
            <v>43410</v>
          </cell>
        </row>
        <row r="6424">
          <cell r="A6424" t="str">
            <v>GC</v>
          </cell>
          <cell r="D6424">
            <v>43297</v>
          </cell>
        </row>
        <row r="6425">
          <cell r="A6425" t="str">
            <v>GC</v>
          </cell>
          <cell r="D6425">
            <v>43274</v>
          </cell>
        </row>
        <row r="6426">
          <cell r="A6426" t="str">
            <v>GC</v>
          </cell>
          <cell r="D6426">
            <v>43209</v>
          </cell>
        </row>
        <row r="6427">
          <cell r="A6427" t="str">
            <v>GC</v>
          </cell>
          <cell r="D6427">
            <v>43257</v>
          </cell>
        </row>
        <row r="6428">
          <cell r="A6428" t="str">
            <v>GC</v>
          </cell>
          <cell r="D6428">
            <v>43122</v>
          </cell>
        </row>
        <row r="6429">
          <cell r="A6429" t="str">
            <v>GC</v>
          </cell>
          <cell r="D6429">
            <v>43415</v>
          </cell>
        </row>
        <row r="6430">
          <cell r="A6430" t="str">
            <v>ASEAN</v>
          </cell>
          <cell r="D6430">
            <v>43180</v>
          </cell>
        </row>
        <row r="6431">
          <cell r="A6431" t="str">
            <v>IN</v>
          </cell>
          <cell r="D6431">
            <v>43371</v>
          </cell>
        </row>
        <row r="6432">
          <cell r="A6432" t="str">
            <v>GC</v>
          </cell>
          <cell r="D6432">
            <v>43219</v>
          </cell>
        </row>
        <row r="6433">
          <cell r="A6433" t="str">
            <v>GC</v>
          </cell>
          <cell r="D6433">
            <v>43112</v>
          </cell>
        </row>
        <row r="6434">
          <cell r="A6434" t="str">
            <v>GC</v>
          </cell>
          <cell r="D6434">
            <v>43362</v>
          </cell>
        </row>
        <row r="6435">
          <cell r="A6435" t="str">
            <v>GC</v>
          </cell>
          <cell r="D6435">
            <v>43193</v>
          </cell>
        </row>
        <row r="6436">
          <cell r="A6436" t="str">
            <v>GC</v>
          </cell>
          <cell r="D6436">
            <v>43122</v>
          </cell>
        </row>
        <row r="6437">
          <cell r="A6437" t="str">
            <v>GC</v>
          </cell>
          <cell r="D6437">
            <v>43324</v>
          </cell>
        </row>
        <row r="6438">
          <cell r="A6438" t="str">
            <v>GC</v>
          </cell>
          <cell r="D6438">
            <v>43324</v>
          </cell>
        </row>
        <row r="6439">
          <cell r="A6439" t="str">
            <v>GC</v>
          </cell>
          <cell r="D6439">
            <v>43239</v>
          </cell>
        </row>
        <row r="6440">
          <cell r="A6440" t="str">
            <v>GC</v>
          </cell>
          <cell r="D6440">
            <v>43160</v>
          </cell>
        </row>
        <row r="6441">
          <cell r="A6441" t="str">
            <v>ANZ</v>
          </cell>
          <cell r="D6441">
            <v>43248</v>
          </cell>
        </row>
        <row r="6442">
          <cell r="A6442" t="str">
            <v>ANZ</v>
          </cell>
          <cell r="D6442">
            <v>43135</v>
          </cell>
        </row>
        <row r="6443">
          <cell r="A6443" t="str">
            <v>ASEAN</v>
          </cell>
          <cell r="D6443">
            <v>43298</v>
          </cell>
        </row>
        <row r="6444">
          <cell r="A6444" t="str">
            <v>ANZ</v>
          </cell>
          <cell r="D6444">
            <v>43135</v>
          </cell>
        </row>
        <row r="6445">
          <cell r="A6445" t="str">
            <v>GC</v>
          </cell>
          <cell r="D6445">
            <v>43391</v>
          </cell>
        </row>
        <row r="6446">
          <cell r="A6446" t="str">
            <v>GC</v>
          </cell>
          <cell r="D6446">
            <v>43363</v>
          </cell>
        </row>
        <row r="6447">
          <cell r="A6447" t="str">
            <v>GC</v>
          </cell>
          <cell r="D6447">
            <v>43205</v>
          </cell>
        </row>
        <row r="6448">
          <cell r="A6448" t="str">
            <v>GC</v>
          </cell>
          <cell r="D6448">
            <v>43380</v>
          </cell>
        </row>
        <row r="6449">
          <cell r="A6449" t="str">
            <v>GC</v>
          </cell>
          <cell r="D6449">
            <v>43316</v>
          </cell>
        </row>
        <row r="6450">
          <cell r="A6450" t="str">
            <v>GC</v>
          </cell>
          <cell r="D6450">
            <v>43360</v>
          </cell>
        </row>
        <row r="6451">
          <cell r="A6451" t="str">
            <v>GC</v>
          </cell>
          <cell r="D6451">
            <v>43443</v>
          </cell>
        </row>
        <row r="6452">
          <cell r="A6452" t="str">
            <v>GC</v>
          </cell>
          <cell r="D6452">
            <v>43311</v>
          </cell>
        </row>
        <row r="6453">
          <cell r="A6453" t="str">
            <v>GC</v>
          </cell>
          <cell r="D6453">
            <v>43278</v>
          </cell>
        </row>
        <row r="6454">
          <cell r="A6454" t="str">
            <v>GC</v>
          </cell>
          <cell r="D6454">
            <v>43117</v>
          </cell>
        </row>
        <row r="6455">
          <cell r="A6455" t="str">
            <v>GC</v>
          </cell>
          <cell r="D6455">
            <v>43124</v>
          </cell>
        </row>
        <row r="6456">
          <cell r="A6456" t="str">
            <v>GC</v>
          </cell>
          <cell r="D6456">
            <v>43463</v>
          </cell>
        </row>
        <row r="6457">
          <cell r="A6457" t="str">
            <v>GC</v>
          </cell>
          <cell r="D6457">
            <v>43283</v>
          </cell>
        </row>
        <row r="6458">
          <cell r="A6458" t="str">
            <v>GC</v>
          </cell>
          <cell r="D6458">
            <v>43210</v>
          </cell>
        </row>
        <row r="6459">
          <cell r="A6459" t="str">
            <v>GC</v>
          </cell>
          <cell r="D6459">
            <v>43192</v>
          </cell>
        </row>
        <row r="6460">
          <cell r="A6460" t="str">
            <v>ANZ</v>
          </cell>
          <cell r="D6460">
            <v>43459</v>
          </cell>
        </row>
        <row r="6461">
          <cell r="A6461" t="str">
            <v>GC</v>
          </cell>
          <cell r="D6461">
            <v>43376</v>
          </cell>
        </row>
        <row r="6462">
          <cell r="A6462" t="str">
            <v>GC</v>
          </cell>
          <cell r="D6462">
            <v>43382</v>
          </cell>
        </row>
        <row r="6463">
          <cell r="A6463" t="str">
            <v>GC</v>
          </cell>
          <cell r="D6463">
            <v>43144</v>
          </cell>
        </row>
        <row r="6464">
          <cell r="A6464" t="str">
            <v>GC</v>
          </cell>
          <cell r="D6464">
            <v>43162</v>
          </cell>
        </row>
        <row r="6465">
          <cell r="A6465" t="str">
            <v>GC</v>
          </cell>
          <cell r="D6465">
            <v>43442</v>
          </cell>
        </row>
        <row r="6466">
          <cell r="A6466" t="str">
            <v>GC</v>
          </cell>
          <cell r="D6466">
            <v>43139</v>
          </cell>
        </row>
        <row r="6467">
          <cell r="A6467" t="str">
            <v>GC</v>
          </cell>
          <cell r="D6467">
            <v>43329</v>
          </cell>
        </row>
        <row r="6468">
          <cell r="A6468" t="str">
            <v>GC</v>
          </cell>
          <cell r="D6468">
            <v>43264</v>
          </cell>
        </row>
        <row r="6469">
          <cell r="A6469" t="str">
            <v>GC</v>
          </cell>
          <cell r="D6469">
            <v>43449</v>
          </cell>
        </row>
        <row r="6470">
          <cell r="A6470" t="str">
            <v>GC</v>
          </cell>
          <cell r="D6470">
            <v>43343</v>
          </cell>
        </row>
        <row r="6471">
          <cell r="A6471" t="str">
            <v>GC</v>
          </cell>
          <cell r="D6471">
            <v>43266</v>
          </cell>
        </row>
        <row r="6472">
          <cell r="A6472" t="str">
            <v>GC</v>
          </cell>
          <cell r="D6472">
            <v>43135</v>
          </cell>
        </row>
        <row r="6473">
          <cell r="A6473" t="str">
            <v>GC</v>
          </cell>
          <cell r="D6473">
            <v>43247</v>
          </cell>
        </row>
        <row r="6474">
          <cell r="A6474" t="str">
            <v>GC</v>
          </cell>
          <cell r="D6474">
            <v>43117</v>
          </cell>
        </row>
        <row r="6475">
          <cell r="A6475" t="str">
            <v>GC</v>
          </cell>
          <cell r="D6475">
            <v>43239</v>
          </cell>
        </row>
        <row r="6476">
          <cell r="A6476" t="str">
            <v>GC</v>
          </cell>
          <cell r="D6476">
            <v>43101</v>
          </cell>
        </row>
        <row r="6477">
          <cell r="A6477" t="str">
            <v>GC</v>
          </cell>
          <cell r="D6477">
            <v>43443</v>
          </cell>
        </row>
        <row r="6478">
          <cell r="A6478" t="str">
            <v>GC</v>
          </cell>
          <cell r="D6478">
            <v>43422</v>
          </cell>
        </row>
        <row r="6479">
          <cell r="A6479" t="str">
            <v>GC</v>
          </cell>
          <cell r="D6479">
            <v>43269</v>
          </cell>
        </row>
        <row r="6480">
          <cell r="A6480" t="str">
            <v>GC</v>
          </cell>
          <cell r="D6480">
            <v>43364</v>
          </cell>
        </row>
        <row r="6481">
          <cell r="A6481" t="str">
            <v>GC</v>
          </cell>
          <cell r="D6481">
            <v>43110</v>
          </cell>
        </row>
        <row r="6482">
          <cell r="A6482" t="str">
            <v>GC</v>
          </cell>
          <cell r="D6482">
            <v>43281</v>
          </cell>
        </row>
        <row r="6483">
          <cell r="A6483" t="str">
            <v>GC</v>
          </cell>
          <cell r="D6483">
            <v>43402</v>
          </cell>
        </row>
        <row r="6484">
          <cell r="A6484" t="str">
            <v>GC</v>
          </cell>
          <cell r="D6484">
            <v>43368</v>
          </cell>
        </row>
        <row r="6485">
          <cell r="A6485" t="str">
            <v>GC</v>
          </cell>
          <cell r="D6485">
            <v>43346</v>
          </cell>
        </row>
        <row r="6486">
          <cell r="A6486" t="str">
            <v>GC</v>
          </cell>
          <cell r="D6486">
            <v>43198</v>
          </cell>
        </row>
        <row r="6487">
          <cell r="A6487" t="str">
            <v>ASEAN</v>
          </cell>
          <cell r="D6487">
            <v>43355</v>
          </cell>
        </row>
        <row r="6488">
          <cell r="A6488" t="str">
            <v>GC</v>
          </cell>
          <cell r="D6488">
            <v>43184</v>
          </cell>
        </row>
        <row r="6489">
          <cell r="A6489" t="str">
            <v>ANZ</v>
          </cell>
          <cell r="D6489">
            <v>43158</v>
          </cell>
        </row>
        <row r="6490">
          <cell r="A6490" t="str">
            <v>GC</v>
          </cell>
          <cell r="D6490">
            <v>43406</v>
          </cell>
        </row>
        <row r="6491">
          <cell r="A6491" t="str">
            <v>GC</v>
          </cell>
          <cell r="D6491">
            <v>43164</v>
          </cell>
        </row>
        <row r="6492">
          <cell r="A6492" t="str">
            <v>ANZ</v>
          </cell>
          <cell r="D6492">
            <v>43312</v>
          </cell>
        </row>
        <row r="6493">
          <cell r="A6493" t="str">
            <v>ASEAN</v>
          </cell>
          <cell r="D6493">
            <v>43443</v>
          </cell>
        </row>
        <row r="6494">
          <cell r="A6494" t="str">
            <v>ASEAN</v>
          </cell>
          <cell r="D6494">
            <v>43230</v>
          </cell>
        </row>
        <row r="6495">
          <cell r="A6495" t="str">
            <v>IN</v>
          </cell>
          <cell r="D6495">
            <v>43291</v>
          </cell>
        </row>
        <row r="6496">
          <cell r="A6496" t="str">
            <v>IN</v>
          </cell>
          <cell r="D6496">
            <v>43320</v>
          </cell>
        </row>
        <row r="6497">
          <cell r="A6497" t="str">
            <v>ANZ</v>
          </cell>
          <cell r="D6497">
            <v>43376</v>
          </cell>
        </row>
        <row r="6498">
          <cell r="A6498" t="str">
            <v>GC</v>
          </cell>
          <cell r="D6498">
            <v>43444</v>
          </cell>
        </row>
        <row r="6499">
          <cell r="A6499" t="str">
            <v>IN</v>
          </cell>
          <cell r="D6499">
            <v>43394</v>
          </cell>
        </row>
        <row r="6500">
          <cell r="A6500" t="str">
            <v>GC</v>
          </cell>
          <cell r="D6500">
            <v>43389</v>
          </cell>
        </row>
        <row r="6501">
          <cell r="A6501" t="str">
            <v>GC</v>
          </cell>
          <cell r="D6501">
            <v>43413</v>
          </cell>
        </row>
        <row r="6502">
          <cell r="A6502" t="str">
            <v>GC</v>
          </cell>
          <cell r="D6502">
            <v>43412</v>
          </cell>
        </row>
        <row r="6503">
          <cell r="A6503" t="str">
            <v>GC</v>
          </cell>
          <cell r="D6503">
            <v>43107</v>
          </cell>
        </row>
        <row r="6504">
          <cell r="A6504" t="str">
            <v>ASEAN</v>
          </cell>
          <cell r="D6504">
            <v>43197</v>
          </cell>
        </row>
        <row r="6505">
          <cell r="A6505" t="str">
            <v>ASEAN</v>
          </cell>
          <cell r="D6505">
            <v>43305</v>
          </cell>
        </row>
        <row r="6506">
          <cell r="A6506" t="str">
            <v>IN</v>
          </cell>
          <cell r="D6506">
            <v>43311</v>
          </cell>
        </row>
        <row r="6507">
          <cell r="A6507" t="str">
            <v>IN</v>
          </cell>
          <cell r="D6507">
            <v>43129</v>
          </cell>
        </row>
        <row r="6508">
          <cell r="A6508" t="str">
            <v>ANZ</v>
          </cell>
          <cell r="D6508">
            <v>43155</v>
          </cell>
        </row>
        <row r="6509">
          <cell r="A6509" t="str">
            <v>GC</v>
          </cell>
          <cell r="D6509">
            <v>43141</v>
          </cell>
        </row>
        <row r="6510">
          <cell r="A6510" t="str">
            <v>ANZ</v>
          </cell>
          <cell r="D6510">
            <v>43201</v>
          </cell>
        </row>
        <row r="6511">
          <cell r="A6511" t="str">
            <v>ANZ</v>
          </cell>
          <cell r="D6511">
            <v>43222</v>
          </cell>
        </row>
        <row r="6512">
          <cell r="A6512" t="str">
            <v>GC</v>
          </cell>
          <cell r="D6512">
            <v>43107</v>
          </cell>
        </row>
        <row r="6513">
          <cell r="A6513" t="str">
            <v>GC</v>
          </cell>
          <cell r="D6513">
            <v>43403</v>
          </cell>
        </row>
        <row r="6514">
          <cell r="A6514" t="str">
            <v>GC</v>
          </cell>
          <cell r="D6514">
            <v>43414</v>
          </cell>
        </row>
        <row r="6515">
          <cell r="A6515" t="str">
            <v>GC</v>
          </cell>
          <cell r="D6515">
            <v>43414</v>
          </cell>
        </row>
        <row r="6516">
          <cell r="A6516" t="str">
            <v>GC</v>
          </cell>
          <cell r="D6516">
            <v>43277</v>
          </cell>
        </row>
        <row r="6517">
          <cell r="A6517" t="str">
            <v>GC</v>
          </cell>
          <cell r="D6517">
            <v>43278</v>
          </cell>
        </row>
        <row r="6518">
          <cell r="A6518" t="str">
            <v>GC</v>
          </cell>
          <cell r="D6518">
            <v>43260</v>
          </cell>
        </row>
        <row r="6519">
          <cell r="A6519" t="str">
            <v>IN</v>
          </cell>
          <cell r="D6519">
            <v>43247</v>
          </cell>
        </row>
        <row r="6520">
          <cell r="A6520" t="str">
            <v>ASEAN</v>
          </cell>
          <cell r="D6520">
            <v>43276</v>
          </cell>
        </row>
        <row r="6521">
          <cell r="A6521" t="str">
            <v>ASEAN</v>
          </cell>
          <cell r="D6521">
            <v>43306</v>
          </cell>
        </row>
        <row r="6522">
          <cell r="A6522" t="str">
            <v>ASEAN</v>
          </cell>
          <cell r="D6522">
            <v>43247</v>
          </cell>
        </row>
        <row r="6523">
          <cell r="A6523" t="str">
            <v>ANZ</v>
          </cell>
          <cell r="D6523">
            <v>43401</v>
          </cell>
        </row>
        <row r="6524">
          <cell r="A6524" t="str">
            <v>ANZ</v>
          </cell>
          <cell r="D6524">
            <v>43172</v>
          </cell>
        </row>
        <row r="6525">
          <cell r="A6525" t="str">
            <v>IN</v>
          </cell>
          <cell r="D6525">
            <v>43349</v>
          </cell>
        </row>
        <row r="6526">
          <cell r="A6526" t="str">
            <v>ANZ</v>
          </cell>
          <cell r="D6526">
            <v>43197</v>
          </cell>
        </row>
        <row r="6527">
          <cell r="A6527" t="str">
            <v>GC</v>
          </cell>
          <cell r="D6527">
            <v>43139</v>
          </cell>
        </row>
        <row r="6528">
          <cell r="A6528" t="str">
            <v>GC</v>
          </cell>
          <cell r="D6528">
            <v>43290</v>
          </cell>
        </row>
        <row r="6529">
          <cell r="A6529" t="str">
            <v>GC</v>
          </cell>
          <cell r="D6529">
            <v>43427</v>
          </cell>
        </row>
        <row r="6530">
          <cell r="A6530" t="str">
            <v>ASEAN</v>
          </cell>
          <cell r="D6530">
            <v>43317</v>
          </cell>
        </row>
        <row r="6531">
          <cell r="A6531" t="str">
            <v>ASEAN</v>
          </cell>
          <cell r="D6531">
            <v>43428</v>
          </cell>
        </row>
        <row r="6532">
          <cell r="A6532" t="str">
            <v>IN</v>
          </cell>
          <cell r="D6532">
            <v>43421</v>
          </cell>
        </row>
        <row r="6533">
          <cell r="A6533" t="str">
            <v>ASEAN</v>
          </cell>
          <cell r="D6533">
            <v>43291</v>
          </cell>
        </row>
        <row r="6534">
          <cell r="A6534" t="str">
            <v>ANZ</v>
          </cell>
          <cell r="D6534">
            <v>43171</v>
          </cell>
        </row>
        <row r="6535">
          <cell r="A6535" t="str">
            <v>ANZ</v>
          </cell>
          <cell r="D6535">
            <v>43286</v>
          </cell>
        </row>
        <row r="6536">
          <cell r="A6536" t="str">
            <v>IN</v>
          </cell>
          <cell r="D6536">
            <v>43268</v>
          </cell>
        </row>
        <row r="6537">
          <cell r="A6537" t="str">
            <v>KR</v>
          </cell>
          <cell r="D6537">
            <v>43226</v>
          </cell>
        </row>
        <row r="6538">
          <cell r="A6538" t="str">
            <v>ASEAN</v>
          </cell>
          <cell r="D6538">
            <v>43334</v>
          </cell>
        </row>
        <row r="6539">
          <cell r="A6539" t="str">
            <v>KR</v>
          </cell>
          <cell r="D6539">
            <v>43269</v>
          </cell>
        </row>
        <row r="6540">
          <cell r="A6540" t="str">
            <v>KR</v>
          </cell>
          <cell r="D6540">
            <v>43225</v>
          </cell>
        </row>
        <row r="6541">
          <cell r="A6541" t="str">
            <v>KR</v>
          </cell>
          <cell r="D6541">
            <v>43463</v>
          </cell>
        </row>
        <row r="6542">
          <cell r="A6542" t="str">
            <v>IN</v>
          </cell>
          <cell r="D6542">
            <v>43219</v>
          </cell>
        </row>
        <row r="6543">
          <cell r="A6543" t="str">
            <v>ANZ</v>
          </cell>
          <cell r="D6543">
            <v>43455</v>
          </cell>
        </row>
        <row r="6544">
          <cell r="A6544" t="str">
            <v>ANZ</v>
          </cell>
          <cell r="D6544">
            <v>43203</v>
          </cell>
        </row>
        <row r="6545">
          <cell r="A6545" t="str">
            <v>KR</v>
          </cell>
          <cell r="D6545">
            <v>43107</v>
          </cell>
        </row>
        <row r="6546">
          <cell r="A6546" t="str">
            <v>KR</v>
          </cell>
          <cell r="D6546">
            <v>43183</v>
          </cell>
        </row>
        <row r="6547">
          <cell r="A6547" t="str">
            <v>KR</v>
          </cell>
          <cell r="D6547">
            <v>43113</v>
          </cell>
        </row>
        <row r="6548">
          <cell r="A6548" t="str">
            <v>KR</v>
          </cell>
          <cell r="D6548">
            <v>43282</v>
          </cell>
        </row>
        <row r="6549">
          <cell r="A6549" t="str">
            <v>KR</v>
          </cell>
          <cell r="D6549">
            <v>43161</v>
          </cell>
        </row>
        <row r="6550">
          <cell r="A6550" t="str">
            <v>KR</v>
          </cell>
          <cell r="D6550">
            <v>43440</v>
          </cell>
        </row>
        <row r="6551">
          <cell r="A6551" t="str">
            <v>IN</v>
          </cell>
          <cell r="D6551">
            <v>43323</v>
          </cell>
        </row>
        <row r="6552">
          <cell r="A6552" t="str">
            <v>GC</v>
          </cell>
          <cell r="D6552">
            <v>43343</v>
          </cell>
        </row>
        <row r="6553">
          <cell r="A6553" t="str">
            <v>GC</v>
          </cell>
          <cell r="D6553">
            <v>43294</v>
          </cell>
        </row>
        <row r="6554">
          <cell r="A6554" t="str">
            <v>GC</v>
          </cell>
          <cell r="D6554">
            <v>43201</v>
          </cell>
        </row>
        <row r="6555">
          <cell r="A6555" t="str">
            <v>GC</v>
          </cell>
          <cell r="D6555">
            <v>43182</v>
          </cell>
        </row>
        <row r="6556">
          <cell r="A6556" t="str">
            <v>GC</v>
          </cell>
          <cell r="D6556">
            <v>43372</v>
          </cell>
        </row>
        <row r="6557">
          <cell r="A6557" t="str">
            <v>GC</v>
          </cell>
          <cell r="D6557">
            <v>43218</v>
          </cell>
        </row>
        <row r="6558">
          <cell r="A6558" t="str">
            <v>GC</v>
          </cell>
          <cell r="D6558">
            <v>43273</v>
          </cell>
        </row>
        <row r="6559">
          <cell r="A6559" t="str">
            <v>GC</v>
          </cell>
          <cell r="D6559">
            <v>43365</v>
          </cell>
        </row>
        <row r="6560">
          <cell r="A6560" t="str">
            <v>IN</v>
          </cell>
          <cell r="D6560">
            <v>43205</v>
          </cell>
        </row>
        <row r="6561">
          <cell r="A6561" t="str">
            <v>IN</v>
          </cell>
          <cell r="D6561">
            <v>43386</v>
          </cell>
        </row>
        <row r="6562">
          <cell r="A6562" t="str">
            <v>IN</v>
          </cell>
          <cell r="D6562">
            <v>43238</v>
          </cell>
        </row>
        <row r="6563">
          <cell r="A6563" t="str">
            <v>ASEAN</v>
          </cell>
          <cell r="D6563">
            <v>43422</v>
          </cell>
        </row>
        <row r="6564">
          <cell r="A6564" t="str">
            <v>ASEAN</v>
          </cell>
          <cell r="D6564">
            <v>43183</v>
          </cell>
        </row>
        <row r="6565">
          <cell r="A6565" t="str">
            <v>ASEAN</v>
          </cell>
          <cell r="D6565">
            <v>43400</v>
          </cell>
        </row>
        <row r="6566">
          <cell r="A6566" t="str">
            <v>GC</v>
          </cell>
          <cell r="D6566">
            <v>43362</v>
          </cell>
        </row>
        <row r="6567">
          <cell r="A6567" t="str">
            <v>GC</v>
          </cell>
          <cell r="D6567">
            <v>43197</v>
          </cell>
        </row>
        <row r="6568">
          <cell r="A6568" t="str">
            <v>GC</v>
          </cell>
          <cell r="D6568">
            <v>43435</v>
          </cell>
        </row>
        <row r="6569">
          <cell r="A6569" t="str">
            <v>GC</v>
          </cell>
          <cell r="D6569">
            <v>43110</v>
          </cell>
        </row>
        <row r="6570">
          <cell r="A6570" t="str">
            <v>GC</v>
          </cell>
          <cell r="D6570">
            <v>43432</v>
          </cell>
        </row>
        <row r="6571">
          <cell r="A6571" t="str">
            <v>GC</v>
          </cell>
          <cell r="D6571">
            <v>43124</v>
          </cell>
        </row>
        <row r="6572">
          <cell r="A6572" t="str">
            <v>ANZ</v>
          </cell>
          <cell r="D6572">
            <v>43376</v>
          </cell>
        </row>
        <row r="6573">
          <cell r="A6573" t="str">
            <v>ANZ</v>
          </cell>
          <cell r="D6573">
            <v>43334</v>
          </cell>
        </row>
        <row r="6574">
          <cell r="A6574" t="str">
            <v>ANZ</v>
          </cell>
          <cell r="D6574">
            <v>43439</v>
          </cell>
        </row>
        <row r="6575">
          <cell r="A6575" t="str">
            <v>IN</v>
          </cell>
          <cell r="D6575">
            <v>43386</v>
          </cell>
        </row>
        <row r="6576">
          <cell r="A6576" t="str">
            <v>ANZ</v>
          </cell>
          <cell r="D6576">
            <v>43459</v>
          </cell>
        </row>
        <row r="6577">
          <cell r="A6577" t="str">
            <v>IN</v>
          </cell>
          <cell r="D6577">
            <v>43204</v>
          </cell>
        </row>
        <row r="6578">
          <cell r="A6578" t="str">
            <v>ASEAN</v>
          </cell>
          <cell r="D6578">
            <v>43335</v>
          </cell>
        </row>
        <row r="6579">
          <cell r="A6579" t="str">
            <v>GC</v>
          </cell>
          <cell r="D6579">
            <v>43122</v>
          </cell>
        </row>
        <row r="6580">
          <cell r="A6580" t="str">
            <v>GC</v>
          </cell>
          <cell r="D6580">
            <v>43126</v>
          </cell>
        </row>
        <row r="6581">
          <cell r="A6581" t="str">
            <v>IN</v>
          </cell>
          <cell r="D6581">
            <v>43123</v>
          </cell>
        </row>
        <row r="6582">
          <cell r="A6582" t="str">
            <v>IN</v>
          </cell>
          <cell r="D6582">
            <v>43171</v>
          </cell>
        </row>
        <row r="6583">
          <cell r="A6583" t="str">
            <v>IN</v>
          </cell>
          <cell r="D6583">
            <v>43341</v>
          </cell>
        </row>
        <row r="6584">
          <cell r="A6584" t="str">
            <v>GC</v>
          </cell>
          <cell r="D6584">
            <v>43401</v>
          </cell>
        </row>
        <row r="6585">
          <cell r="A6585" t="str">
            <v>GC</v>
          </cell>
          <cell r="D6585">
            <v>43200</v>
          </cell>
        </row>
        <row r="6586">
          <cell r="A6586" t="str">
            <v>IN</v>
          </cell>
          <cell r="D6586">
            <v>43227</v>
          </cell>
        </row>
        <row r="6587">
          <cell r="A6587" t="str">
            <v>GC</v>
          </cell>
          <cell r="D6587">
            <v>43396</v>
          </cell>
        </row>
        <row r="6588">
          <cell r="A6588" t="str">
            <v>ANZ</v>
          </cell>
          <cell r="D6588">
            <v>43353</v>
          </cell>
        </row>
        <row r="6589">
          <cell r="A6589" t="str">
            <v>ASEAN</v>
          </cell>
          <cell r="D6589">
            <v>43211</v>
          </cell>
        </row>
        <row r="6590">
          <cell r="A6590" t="str">
            <v>ASEAN</v>
          </cell>
          <cell r="D6590">
            <v>43317</v>
          </cell>
        </row>
        <row r="6591">
          <cell r="A6591" t="str">
            <v>ASEAN</v>
          </cell>
          <cell r="D6591">
            <v>43159</v>
          </cell>
        </row>
        <row r="6592">
          <cell r="A6592" t="str">
            <v>ASEAN</v>
          </cell>
          <cell r="D6592">
            <v>43404</v>
          </cell>
        </row>
        <row r="6593">
          <cell r="A6593" t="str">
            <v>ASEAN</v>
          </cell>
          <cell r="D6593">
            <v>43431</v>
          </cell>
        </row>
        <row r="6594">
          <cell r="A6594" t="str">
            <v>GC</v>
          </cell>
          <cell r="D6594">
            <v>43274</v>
          </cell>
        </row>
        <row r="6595">
          <cell r="A6595" t="str">
            <v>GC</v>
          </cell>
          <cell r="D6595">
            <v>43310</v>
          </cell>
        </row>
        <row r="6596">
          <cell r="A6596" t="str">
            <v>ASEAN</v>
          </cell>
          <cell r="D6596">
            <v>43128</v>
          </cell>
        </row>
        <row r="6597">
          <cell r="A6597" t="str">
            <v>IN</v>
          </cell>
          <cell r="D6597">
            <v>43130</v>
          </cell>
        </row>
        <row r="6598">
          <cell r="A6598" t="str">
            <v>ASEAN</v>
          </cell>
          <cell r="D6598">
            <v>43125</v>
          </cell>
        </row>
        <row r="6599">
          <cell r="A6599" t="str">
            <v>IN</v>
          </cell>
          <cell r="D6599">
            <v>43186</v>
          </cell>
        </row>
        <row r="6600">
          <cell r="A6600" t="str">
            <v>GC</v>
          </cell>
          <cell r="D6600">
            <v>43138</v>
          </cell>
        </row>
        <row r="6601">
          <cell r="A6601" t="str">
            <v>GC</v>
          </cell>
          <cell r="D6601">
            <v>43133</v>
          </cell>
        </row>
        <row r="6602">
          <cell r="A6602" t="str">
            <v>GC</v>
          </cell>
          <cell r="D6602">
            <v>43317</v>
          </cell>
        </row>
        <row r="6603">
          <cell r="A6603" t="str">
            <v>GC</v>
          </cell>
          <cell r="D6603">
            <v>43392</v>
          </cell>
        </row>
        <row r="6604">
          <cell r="A6604" t="str">
            <v>ANZ</v>
          </cell>
          <cell r="D6604">
            <v>43293</v>
          </cell>
        </row>
        <row r="6605">
          <cell r="A6605" t="str">
            <v>GC</v>
          </cell>
          <cell r="D6605">
            <v>43332</v>
          </cell>
        </row>
        <row r="6606">
          <cell r="A6606" t="str">
            <v>GC</v>
          </cell>
          <cell r="D6606">
            <v>43117</v>
          </cell>
        </row>
        <row r="6607">
          <cell r="A6607" t="str">
            <v>KR</v>
          </cell>
          <cell r="D6607">
            <v>43400</v>
          </cell>
        </row>
        <row r="6608">
          <cell r="A6608" t="str">
            <v>KR</v>
          </cell>
          <cell r="D6608">
            <v>43354</v>
          </cell>
        </row>
        <row r="6609">
          <cell r="A6609" t="str">
            <v>ANZ</v>
          </cell>
          <cell r="D6609">
            <v>43292</v>
          </cell>
        </row>
        <row r="6610">
          <cell r="A6610" t="str">
            <v>IN</v>
          </cell>
          <cell r="D6610">
            <v>43102</v>
          </cell>
        </row>
        <row r="6611">
          <cell r="A6611" t="str">
            <v>GC</v>
          </cell>
          <cell r="D6611">
            <v>43421</v>
          </cell>
        </row>
        <row r="6612">
          <cell r="A6612" t="str">
            <v>IN</v>
          </cell>
          <cell r="D6612">
            <v>43282</v>
          </cell>
        </row>
        <row r="6613">
          <cell r="A6613" t="str">
            <v>GC</v>
          </cell>
          <cell r="D6613">
            <v>43378</v>
          </cell>
        </row>
        <row r="6614">
          <cell r="A6614" t="str">
            <v>GC</v>
          </cell>
          <cell r="D6614">
            <v>43118</v>
          </cell>
        </row>
        <row r="6615">
          <cell r="A6615" t="str">
            <v>GC</v>
          </cell>
          <cell r="D6615">
            <v>43272</v>
          </cell>
        </row>
        <row r="6616">
          <cell r="A6616" t="str">
            <v>GC</v>
          </cell>
          <cell r="D6616">
            <v>43251</v>
          </cell>
        </row>
        <row r="6617">
          <cell r="A6617" t="str">
            <v>GC</v>
          </cell>
          <cell r="D6617">
            <v>43364</v>
          </cell>
        </row>
        <row r="6618">
          <cell r="A6618" t="str">
            <v>ASEAN</v>
          </cell>
          <cell r="D6618">
            <v>43396</v>
          </cell>
        </row>
        <row r="6619">
          <cell r="A6619" t="str">
            <v>KR</v>
          </cell>
          <cell r="D6619">
            <v>43211</v>
          </cell>
        </row>
        <row r="6620">
          <cell r="A6620" t="str">
            <v>KR</v>
          </cell>
          <cell r="D6620">
            <v>43423</v>
          </cell>
        </row>
        <row r="6621">
          <cell r="A6621" t="str">
            <v>GC</v>
          </cell>
          <cell r="D6621">
            <v>43452</v>
          </cell>
        </row>
        <row r="6622">
          <cell r="A6622" t="str">
            <v>GC</v>
          </cell>
          <cell r="D6622">
            <v>43122</v>
          </cell>
        </row>
        <row r="6623">
          <cell r="A6623" t="str">
            <v>GC</v>
          </cell>
          <cell r="D6623">
            <v>43111</v>
          </cell>
        </row>
        <row r="6624">
          <cell r="A6624" t="str">
            <v>ASEAN</v>
          </cell>
          <cell r="D6624">
            <v>43145</v>
          </cell>
        </row>
        <row r="6625">
          <cell r="A6625" t="str">
            <v>IN</v>
          </cell>
          <cell r="D6625">
            <v>43317</v>
          </cell>
        </row>
        <row r="6626">
          <cell r="A6626" t="str">
            <v>ANZ</v>
          </cell>
          <cell r="D6626">
            <v>43190</v>
          </cell>
        </row>
        <row r="6627">
          <cell r="A6627" t="str">
            <v>GC</v>
          </cell>
          <cell r="D6627">
            <v>43195</v>
          </cell>
        </row>
        <row r="6628">
          <cell r="A6628" t="str">
            <v>GC</v>
          </cell>
          <cell r="D6628">
            <v>43419</v>
          </cell>
        </row>
        <row r="6629">
          <cell r="A6629" t="str">
            <v>GC</v>
          </cell>
          <cell r="D6629">
            <v>43355</v>
          </cell>
        </row>
        <row r="6630">
          <cell r="A6630" t="str">
            <v>GC</v>
          </cell>
          <cell r="D6630">
            <v>43154</v>
          </cell>
        </row>
        <row r="6631">
          <cell r="A6631" t="str">
            <v>GC</v>
          </cell>
          <cell r="D6631">
            <v>43213</v>
          </cell>
        </row>
        <row r="6632">
          <cell r="A6632" t="str">
            <v>GC</v>
          </cell>
          <cell r="D6632">
            <v>43359</v>
          </cell>
        </row>
        <row r="6633">
          <cell r="A6633" t="str">
            <v>IN</v>
          </cell>
          <cell r="D6633">
            <v>43257</v>
          </cell>
        </row>
        <row r="6634">
          <cell r="A6634" t="str">
            <v>ANZ</v>
          </cell>
          <cell r="D6634">
            <v>43104</v>
          </cell>
        </row>
        <row r="6635">
          <cell r="A6635" t="str">
            <v>IN</v>
          </cell>
          <cell r="D6635">
            <v>43184</v>
          </cell>
        </row>
        <row r="6636">
          <cell r="A6636" t="str">
            <v>ASEAN</v>
          </cell>
          <cell r="D6636">
            <v>43165</v>
          </cell>
        </row>
        <row r="6637">
          <cell r="A6637" t="str">
            <v>GC</v>
          </cell>
          <cell r="D6637">
            <v>43381</v>
          </cell>
        </row>
        <row r="6638">
          <cell r="A6638" t="str">
            <v>GC</v>
          </cell>
          <cell r="D6638">
            <v>43231</v>
          </cell>
        </row>
        <row r="6639">
          <cell r="A6639" t="str">
            <v>GC</v>
          </cell>
          <cell r="D6639">
            <v>43275</v>
          </cell>
        </row>
        <row r="6640">
          <cell r="A6640" t="str">
            <v>GC</v>
          </cell>
          <cell r="D6640">
            <v>43118</v>
          </cell>
        </row>
        <row r="6641">
          <cell r="A6641" t="str">
            <v>IN</v>
          </cell>
          <cell r="D6641">
            <v>43226</v>
          </cell>
        </row>
        <row r="6642">
          <cell r="A6642" t="str">
            <v>IN</v>
          </cell>
          <cell r="D6642">
            <v>43374</v>
          </cell>
        </row>
        <row r="6643">
          <cell r="A6643" t="str">
            <v>IN</v>
          </cell>
          <cell r="D6643">
            <v>43263</v>
          </cell>
        </row>
        <row r="6644">
          <cell r="A6644" t="str">
            <v>IN</v>
          </cell>
          <cell r="D6644">
            <v>43303</v>
          </cell>
        </row>
        <row r="6645">
          <cell r="A6645" t="str">
            <v>GC</v>
          </cell>
          <cell r="D6645">
            <v>43396</v>
          </cell>
        </row>
        <row r="6646">
          <cell r="A6646" t="str">
            <v>GC</v>
          </cell>
          <cell r="D6646">
            <v>43200</v>
          </cell>
        </row>
        <row r="6647">
          <cell r="A6647" t="str">
            <v>GC</v>
          </cell>
          <cell r="D6647">
            <v>43414</v>
          </cell>
        </row>
        <row r="6648">
          <cell r="A6648" t="str">
            <v>GC</v>
          </cell>
          <cell r="D6648">
            <v>43115</v>
          </cell>
        </row>
        <row r="6649">
          <cell r="A6649" t="str">
            <v>GC</v>
          </cell>
          <cell r="D6649">
            <v>43368</v>
          </cell>
        </row>
        <row r="6650">
          <cell r="A6650" t="str">
            <v>IN</v>
          </cell>
          <cell r="D6650">
            <v>43263</v>
          </cell>
        </row>
        <row r="6651">
          <cell r="A6651" t="str">
            <v>ANZ</v>
          </cell>
          <cell r="D6651">
            <v>43395</v>
          </cell>
        </row>
        <row r="6652">
          <cell r="A6652" t="str">
            <v>GC</v>
          </cell>
          <cell r="D6652">
            <v>43209</v>
          </cell>
        </row>
        <row r="6653">
          <cell r="A6653" t="str">
            <v>GC</v>
          </cell>
          <cell r="D6653">
            <v>43325</v>
          </cell>
        </row>
        <row r="6654">
          <cell r="A6654" t="str">
            <v>GC</v>
          </cell>
          <cell r="D6654">
            <v>43355</v>
          </cell>
        </row>
        <row r="6655">
          <cell r="A6655" t="str">
            <v>GC</v>
          </cell>
          <cell r="D6655">
            <v>43134</v>
          </cell>
        </row>
        <row r="6656">
          <cell r="A6656" t="str">
            <v>GC</v>
          </cell>
          <cell r="D6656">
            <v>43270</v>
          </cell>
        </row>
        <row r="6657">
          <cell r="A6657" t="str">
            <v>GC</v>
          </cell>
          <cell r="D6657">
            <v>43114</v>
          </cell>
        </row>
        <row r="6658">
          <cell r="A6658" t="str">
            <v>ANZ</v>
          </cell>
          <cell r="D6658">
            <v>43303</v>
          </cell>
        </row>
        <row r="6659">
          <cell r="A6659" t="str">
            <v>ANZ</v>
          </cell>
          <cell r="D6659">
            <v>43185</v>
          </cell>
        </row>
        <row r="6660">
          <cell r="A6660" t="str">
            <v>GC</v>
          </cell>
          <cell r="D6660">
            <v>43260</v>
          </cell>
        </row>
        <row r="6661">
          <cell r="A6661" t="str">
            <v>GC</v>
          </cell>
          <cell r="D6661">
            <v>43138</v>
          </cell>
        </row>
        <row r="6662">
          <cell r="A6662" t="str">
            <v>GC</v>
          </cell>
          <cell r="D6662">
            <v>43336</v>
          </cell>
        </row>
        <row r="6663">
          <cell r="A6663" t="str">
            <v>GC</v>
          </cell>
          <cell r="D6663">
            <v>43273</v>
          </cell>
        </row>
        <row r="6664">
          <cell r="A6664" t="str">
            <v>GC</v>
          </cell>
          <cell r="D6664">
            <v>43137</v>
          </cell>
        </row>
        <row r="6665">
          <cell r="A6665" t="str">
            <v>IN</v>
          </cell>
          <cell r="D6665">
            <v>43104</v>
          </cell>
        </row>
        <row r="6666">
          <cell r="A6666" t="str">
            <v>IN</v>
          </cell>
          <cell r="D6666">
            <v>43141</v>
          </cell>
        </row>
        <row r="6667">
          <cell r="A6667" t="str">
            <v>IN</v>
          </cell>
          <cell r="D6667">
            <v>43432</v>
          </cell>
        </row>
        <row r="6668">
          <cell r="A6668" t="str">
            <v>ASEAN</v>
          </cell>
          <cell r="D6668">
            <v>43179</v>
          </cell>
        </row>
        <row r="6669">
          <cell r="A6669" t="str">
            <v>IN</v>
          </cell>
          <cell r="D6669">
            <v>43145</v>
          </cell>
        </row>
        <row r="6670">
          <cell r="A6670" t="str">
            <v>ASEAN</v>
          </cell>
          <cell r="D6670">
            <v>43448</v>
          </cell>
        </row>
        <row r="6671">
          <cell r="A6671" t="str">
            <v>ANZ</v>
          </cell>
          <cell r="D6671">
            <v>43327</v>
          </cell>
        </row>
        <row r="6672">
          <cell r="A6672" t="str">
            <v>ANZ</v>
          </cell>
          <cell r="D6672">
            <v>43213</v>
          </cell>
        </row>
        <row r="6673">
          <cell r="A6673" t="str">
            <v>ASEAN</v>
          </cell>
          <cell r="D6673">
            <v>43436</v>
          </cell>
        </row>
        <row r="6674">
          <cell r="A6674" t="str">
            <v>GC</v>
          </cell>
          <cell r="D6674">
            <v>43372</v>
          </cell>
        </row>
        <row r="6675">
          <cell r="A6675" t="str">
            <v>GC</v>
          </cell>
          <cell r="D6675">
            <v>43348</v>
          </cell>
        </row>
        <row r="6676">
          <cell r="A6676" t="str">
            <v>GC</v>
          </cell>
          <cell r="D6676">
            <v>43283</v>
          </cell>
        </row>
        <row r="6677">
          <cell r="A6677" t="str">
            <v>ANZ</v>
          </cell>
          <cell r="D6677">
            <v>43251</v>
          </cell>
        </row>
        <row r="6678">
          <cell r="A6678" t="str">
            <v>ANZ</v>
          </cell>
          <cell r="D6678">
            <v>43331</v>
          </cell>
        </row>
        <row r="6679">
          <cell r="A6679" t="str">
            <v>IN</v>
          </cell>
          <cell r="D6679">
            <v>43429</v>
          </cell>
        </row>
        <row r="6680">
          <cell r="A6680" t="str">
            <v>KR</v>
          </cell>
          <cell r="D6680">
            <v>43410</v>
          </cell>
        </row>
        <row r="6681">
          <cell r="A6681" t="str">
            <v>GC</v>
          </cell>
          <cell r="D6681">
            <v>43208</v>
          </cell>
        </row>
        <row r="6682">
          <cell r="A6682" t="str">
            <v>GC</v>
          </cell>
          <cell r="D6682">
            <v>43222</v>
          </cell>
        </row>
        <row r="6683">
          <cell r="A6683" t="str">
            <v>GC</v>
          </cell>
          <cell r="D6683">
            <v>43242</v>
          </cell>
        </row>
        <row r="6684">
          <cell r="A6684" t="str">
            <v>GC</v>
          </cell>
          <cell r="D6684">
            <v>43339</v>
          </cell>
        </row>
        <row r="6685">
          <cell r="A6685" t="str">
            <v>GC</v>
          </cell>
          <cell r="D6685">
            <v>43130</v>
          </cell>
        </row>
        <row r="6686">
          <cell r="A6686" t="str">
            <v>IN</v>
          </cell>
          <cell r="D6686">
            <v>43172</v>
          </cell>
        </row>
        <row r="6687">
          <cell r="A6687" t="str">
            <v>IN</v>
          </cell>
          <cell r="D6687">
            <v>43337</v>
          </cell>
        </row>
        <row r="6688">
          <cell r="A6688" t="str">
            <v>IN</v>
          </cell>
          <cell r="D6688">
            <v>43437</v>
          </cell>
        </row>
        <row r="6689">
          <cell r="A6689" t="str">
            <v>GC</v>
          </cell>
          <cell r="D6689">
            <v>43107</v>
          </cell>
        </row>
        <row r="6690">
          <cell r="A6690" t="str">
            <v>ANZ</v>
          </cell>
          <cell r="D6690">
            <v>43462</v>
          </cell>
        </row>
        <row r="6691">
          <cell r="A6691" t="str">
            <v>GC</v>
          </cell>
          <cell r="D6691">
            <v>43209</v>
          </cell>
        </row>
        <row r="6692">
          <cell r="A6692" t="str">
            <v>ASEAN</v>
          </cell>
          <cell r="D6692">
            <v>43298</v>
          </cell>
        </row>
        <row r="6693">
          <cell r="A6693" t="str">
            <v>IN</v>
          </cell>
          <cell r="D6693">
            <v>43397</v>
          </cell>
        </row>
        <row r="6694">
          <cell r="A6694" t="str">
            <v>ASEAN</v>
          </cell>
          <cell r="D6694">
            <v>43147</v>
          </cell>
        </row>
        <row r="6695">
          <cell r="A6695" t="str">
            <v>IN</v>
          </cell>
          <cell r="D6695">
            <v>43287</v>
          </cell>
        </row>
        <row r="6696">
          <cell r="A6696" t="str">
            <v>ANZ</v>
          </cell>
          <cell r="D6696">
            <v>43409</v>
          </cell>
        </row>
        <row r="6697">
          <cell r="A6697" t="str">
            <v>GC</v>
          </cell>
          <cell r="D6697">
            <v>43242</v>
          </cell>
        </row>
        <row r="6698">
          <cell r="A6698" t="str">
            <v>GC</v>
          </cell>
          <cell r="D6698">
            <v>43153</v>
          </cell>
        </row>
        <row r="6699">
          <cell r="A6699" t="str">
            <v>GC</v>
          </cell>
          <cell r="D6699">
            <v>43293</v>
          </cell>
        </row>
        <row r="6700">
          <cell r="A6700" t="str">
            <v>IN</v>
          </cell>
          <cell r="D6700">
            <v>43350</v>
          </cell>
        </row>
        <row r="6701">
          <cell r="A6701" t="str">
            <v>GC</v>
          </cell>
          <cell r="D6701">
            <v>43157</v>
          </cell>
        </row>
        <row r="6702">
          <cell r="A6702" t="str">
            <v>ANZ</v>
          </cell>
          <cell r="D6702">
            <v>43129</v>
          </cell>
        </row>
        <row r="6703">
          <cell r="A6703" t="str">
            <v>ANZ</v>
          </cell>
          <cell r="D6703">
            <v>43461</v>
          </cell>
        </row>
        <row r="6704">
          <cell r="A6704" t="str">
            <v>GC</v>
          </cell>
          <cell r="D6704">
            <v>43297</v>
          </cell>
        </row>
        <row r="6705">
          <cell r="A6705" t="str">
            <v>GC</v>
          </cell>
          <cell r="D6705">
            <v>43352</v>
          </cell>
        </row>
        <row r="6706">
          <cell r="A6706" t="str">
            <v>GC</v>
          </cell>
          <cell r="D6706">
            <v>43384</v>
          </cell>
        </row>
        <row r="6707">
          <cell r="A6707" t="str">
            <v>IN</v>
          </cell>
          <cell r="D6707">
            <v>43412</v>
          </cell>
        </row>
        <row r="6708">
          <cell r="A6708" t="str">
            <v>GC</v>
          </cell>
          <cell r="D6708">
            <v>43223</v>
          </cell>
        </row>
        <row r="6709">
          <cell r="A6709" t="str">
            <v>GC</v>
          </cell>
          <cell r="D6709">
            <v>43134</v>
          </cell>
        </row>
        <row r="6710">
          <cell r="A6710" t="str">
            <v>ASEAN</v>
          </cell>
          <cell r="D6710">
            <v>43406</v>
          </cell>
        </row>
        <row r="6711">
          <cell r="A6711" t="str">
            <v>ANZ</v>
          </cell>
          <cell r="D6711">
            <v>43328</v>
          </cell>
        </row>
        <row r="6712">
          <cell r="A6712" t="str">
            <v>GC</v>
          </cell>
          <cell r="D6712">
            <v>43138</v>
          </cell>
        </row>
        <row r="6713">
          <cell r="A6713" t="str">
            <v>IN</v>
          </cell>
          <cell r="D6713">
            <v>43144</v>
          </cell>
        </row>
        <row r="6714">
          <cell r="A6714" t="str">
            <v>KR</v>
          </cell>
          <cell r="D6714">
            <v>43227</v>
          </cell>
        </row>
        <row r="6715">
          <cell r="A6715" t="str">
            <v>KR</v>
          </cell>
          <cell r="D6715">
            <v>43191</v>
          </cell>
        </row>
        <row r="6716">
          <cell r="A6716" t="str">
            <v>KR</v>
          </cell>
          <cell r="D6716">
            <v>43439</v>
          </cell>
        </row>
        <row r="6717">
          <cell r="A6717" t="str">
            <v>KR</v>
          </cell>
          <cell r="D6717">
            <v>43462</v>
          </cell>
        </row>
        <row r="6718">
          <cell r="A6718" t="str">
            <v>KR</v>
          </cell>
          <cell r="D6718">
            <v>43400</v>
          </cell>
        </row>
        <row r="6719">
          <cell r="A6719" t="str">
            <v>IN</v>
          </cell>
          <cell r="D6719">
            <v>43323</v>
          </cell>
        </row>
        <row r="6720">
          <cell r="A6720" t="str">
            <v>GC</v>
          </cell>
          <cell r="D6720">
            <v>43406</v>
          </cell>
        </row>
        <row r="6721">
          <cell r="A6721" t="str">
            <v>IN</v>
          </cell>
          <cell r="D6721">
            <v>43405</v>
          </cell>
        </row>
        <row r="6722">
          <cell r="A6722" t="str">
            <v>ANZ</v>
          </cell>
          <cell r="D6722">
            <v>43385</v>
          </cell>
        </row>
        <row r="6723">
          <cell r="A6723" t="str">
            <v>ANZ</v>
          </cell>
          <cell r="D6723">
            <v>43300</v>
          </cell>
        </row>
        <row r="6724">
          <cell r="A6724" t="str">
            <v>GC</v>
          </cell>
          <cell r="D6724">
            <v>43440</v>
          </cell>
        </row>
        <row r="6725">
          <cell r="A6725" t="str">
            <v>ANZ</v>
          </cell>
          <cell r="D6725">
            <v>43227</v>
          </cell>
        </row>
        <row r="6726">
          <cell r="A6726" t="str">
            <v>ANZ</v>
          </cell>
          <cell r="D6726">
            <v>43334</v>
          </cell>
        </row>
        <row r="6727">
          <cell r="A6727" t="str">
            <v>GC</v>
          </cell>
          <cell r="D6727">
            <v>43419</v>
          </cell>
        </row>
        <row r="6728">
          <cell r="A6728" t="str">
            <v>ANZ</v>
          </cell>
          <cell r="D6728">
            <v>43226</v>
          </cell>
        </row>
        <row r="6729">
          <cell r="A6729" t="str">
            <v>IN</v>
          </cell>
          <cell r="D6729">
            <v>43322</v>
          </cell>
        </row>
        <row r="6730">
          <cell r="A6730" t="str">
            <v>GC</v>
          </cell>
          <cell r="D6730">
            <v>43445</v>
          </cell>
        </row>
        <row r="6731">
          <cell r="A6731" t="str">
            <v>ANZ</v>
          </cell>
          <cell r="D6731">
            <v>43272</v>
          </cell>
        </row>
        <row r="6732">
          <cell r="A6732" t="str">
            <v>GC</v>
          </cell>
          <cell r="D6732">
            <v>43428</v>
          </cell>
        </row>
        <row r="6733">
          <cell r="A6733" t="str">
            <v>ASEAN</v>
          </cell>
          <cell r="D6733">
            <v>43337</v>
          </cell>
        </row>
        <row r="6734">
          <cell r="A6734" t="str">
            <v>ASEAN</v>
          </cell>
          <cell r="D6734">
            <v>43320</v>
          </cell>
        </row>
        <row r="6735">
          <cell r="A6735" t="str">
            <v>ANZ</v>
          </cell>
          <cell r="D6735">
            <v>43437</v>
          </cell>
        </row>
        <row r="6736">
          <cell r="A6736" t="str">
            <v>ANZ</v>
          </cell>
          <cell r="D6736">
            <v>43168</v>
          </cell>
        </row>
        <row r="6737">
          <cell r="A6737" t="str">
            <v>IN</v>
          </cell>
          <cell r="D6737">
            <v>43386</v>
          </cell>
        </row>
        <row r="6738">
          <cell r="A6738" t="str">
            <v>ANZ</v>
          </cell>
          <cell r="D6738">
            <v>43140</v>
          </cell>
        </row>
        <row r="6739">
          <cell r="A6739" t="str">
            <v>GC</v>
          </cell>
          <cell r="D6739">
            <v>43213</v>
          </cell>
        </row>
        <row r="6740">
          <cell r="A6740" t="str">
            <v>ASEAN</v>
          </cell>
          <cell r="D6740">
            <v>43173</v>
          </cell>
        </row>
        <row r="6741">
          <cell r="A6741" t="str">
            <v>IN</v>
          </cell>
          <cell r="D6741">
            <v>43255</v>
          </cell>
        </row>
        <row r="6742">
          <cell r="A6742" t="str">
            <v>IN</v>
          </cell>
          <cell r="D6742">
            <v>43285</v>
          </cell>
        </row>
        <row r="6743">
          <cell r="A6743" t="str">
            <v>ASEAN</v>
          </cell>
          <cell r="D6743">
            <v>43413</v>
          </cell>
        </row>
        <row r="6744">
          <cell r="A6744" t="str">
            <v>GC</v>
          </cell>
          <cell r="D6744">
            <v>43141</v>
          </cell>
        </row>
        <row r="6745">
          <cell r="A6745" t="str">
            <v>GC</v>
          </cell>
          <cell r="D6745">
            <v>43453</v>
          </cell>
        </row>
        <row r="6746">
          <cell r="A6746" t="str">
            <v>ANZ</v>
          </cell>
          <cell r="D6746">
            <v>43120</v>
          </cell>
        </row>
        <row r="6747">
          <cell r="A6747" t="str">
            <v>GC</v>
          </cell>
          <cell r="D6747">
            <v>43189</v>
          </cell>
        </row>
        <row r="6748">
          <cell r="A6748" t="str">
            <v>GC</v>
          </cell>
          <cell r="D6748">
            <v>43188</v>
          </cell>
        </row>
        <row r="6749">
          <cell r="A6749" t="str">
            <v>GC</v>
          </cell>
          <cell r="D6749">
            <v>43326</v>
          </cell>
        </row>
        <row r="6750">
          <cell r="A6750" t="str">
            <v>GC</v>
          </cell>
          <cell r="D6750">
            <v>43212</v>
          </cell>
        </row>
        <row r="6751">
          <cell r="A6751" t="str">
            <v>ASEAN</v>
          </cell>
          <cell r="D6751">
            <v>43262</v>
          </cell>
        </row>
        <row r="6752">
          <cell r="A6752" t="str">
            <v>IN</v>
          </cell>
          <cell r="D6752">
            <v>43266</v>
          </cell>
        </row>
        <row r="6753">
          <cell r="A6753" t="str">
            <v>GC</v>
          </cell>
          <cell r="D6753">
            <v>43417</v>
          </cell>
        </row>
        <row r="6754">
          <cell r="A6754" t="str">
            <v>GC</v>
          </cell>
          <cell r="D6754">
            <v>43444</v>
          </cell>
        </row>
        <row r="6755">
          <cell r="A6755" t="str">
            <v>GC</v>
          </cell>
          <cell r="D6755">
            <v>43232</v>
          </cell>
        </row>
        <row r="6756">
          <cell r="A6756" t="str">
            <v>GC</v>
          </cell>
          <cell r="D6756">
            <v>43363</v>
          </cell>
        </row>
        <row r="6757">
          <cell r="A6757" t="str">
            <v>GC</v>
          </cell>
          <cell r="D6757">
            <v>43135</v>
          </cell>
        </row>
        <row r="6758">
          <cell r="A6758" t="str">
            <v>GC</v>
          </cell>
          <cell r="D6758">
            <v>43357</v>
          </cell>
        </row>
        <row r="6759">
          <cell r="A6759" t="str">
            <v>GC</v>
          </cell>
          <cell r="D6759">
            <v>43134</v>
          </cell>
        </row>
        <row r="6760">
          <cell r="A6760" t="str">
            <v>IN</v>
          </cell>
          <cell r="D6760">
            <v>43105</v>
          </cell>
        </row>
        <row r="6761">
          <cell r="A6761" t="str">
            <v>GC</v>
          </cell>
          <cell r="D6761">
            <v>43221</v>
          </cell>
        </row>
        <row r="6762">
          <cell r="A6762" t="str">
            <v>GC</v>
          </cell>
          <cell r="D6762">
            <v>43149</v>
          </cell>
        </row>
        <row r="6763">
          <cell r="A6763" t="str">
            <v>KR</v>
          </cell>
          <cell r="D6763">
            <v>43282</v>
          </cell>
        </row>
        <row r="6764">
          <cell r="A6764" t="str">
            <v>ASEAN</v>
          </cell>
          <cell r="D6764">
            <v>43363</v>
          </cell>
        </row>
        <row r="6765">
          <cell r="A6765" t="str">
            <v>IN</v>
          </cell>
          <cell r="D6765">
            <v>43412</v>
          </cell>
        </row>
        <row r="6766">
          <cell r="A6766" t="str">
            <v>GC</v>
          </cell>
          <cell r="D6766">
            <v>43409</v>
          </cell>
        </row>
        <row r="6767">
          <cell r="A6767" t="str">
            <v>ASEAN</v>
          </cell>
          <cell r="D6767">
            <v>43246</v>
          </cell>
        </row>
        <row r="6768">
          <cell r="A6768" t="str">
            <v>GC</v>
          </cell>
          <cell r="D6768">
            <v>43117</v>
          </cell>
        </row>
        <row r="6769">
          <cell r="A6769" t="str">
            <v>ASEAN</v>
          </cell>
          <cell r="D6769">
            <v>43163</v>
          </cell>
        </row>
        <row r="6770">
          <cell r="A6770" t="str">
            <v>ASEAN</v>
          </cell>
          <cell r="D6770">
            <v>43296</v>
          </cell>
        </row>
        <row r="6771">
          <cell r="A6771" t="str">
            <v>GC</v>
          </cell>
          <cell r="D6771">
            <v>43181</v>
          </cell>
        </row>
        <row r="6772">
          <cell r="A6772" t="str">
            <v>GC</v>
          </cell>
          <cell r="D6772">
            <v>43215</v>
          </cell>
        </row>
        <row r="6773">
          <cell r="A6773" t="str">
            <v>ASEAN</v>
          </cell>
          <cell r="D6773">
            <v>43376</v>
          </cell>
        </row>
        <row r="6774">
          <cell r="A6774" t="str">
            <v>IN</v>
          </cell>
          <cell r="D6774">
            <v>43401</v>
          </cell>
        </row>
        <row r="6775">
          <cell r="A6775" t="str">
            <v>GC</v>
          </cell>
          <cell r="D6775">
            <v>43148</v>
          </cell>
        </row>
        <row r="6776">
          <cell r="A6776" t="str">
            <v>KR</v>
          </cell>
          <cell r="D6776">
            <v>43239</v>
          </cell>
        </row>
        <row r="6777">
          <cell r="A6777" t="str">
            <v>GC</v>
          </cell>
          <cell r="D6777">
            <v>43368</v>
          </cell>
        </row>
        <row r="6778">
          <cell r="A6778" t="str">
            <v>GC</v>
          </cell>
          <cell r="D6778">
            <v>43456</v>
          </cell>
        </row>
        <row r="6779">
          <cell r="A6779" t="str">
            <v>IN</v>
          </cell>
          <cell r="D6779">
            <v>43307</v>
          </cell>
        </row>
        <row r="6780">
          <cell r="A6780" t="str">
            <v>IN</v>
          </cell>
          <cell r="D6780">
            <v>43181</v>
          </cell>
        </row>
        <row r="6781">
          <cell r="A6781" t="str">
            <v>IN</v>
          </cell>
          <cell r="D6781">
            <v>43139</v>
          </cell>
        </row>
        <row r="6782">
          <cell r="A6782" t="str">
            <v>IN</v>
          </cell>
          <cell r="D6782">
            <v>43210</v>
          </cell>
        </row>
        <row r="6783">
          <cell r="A6783" t="str">
            <v>ASEAN</v>
          </cell>
          <cell r="D6783">
            <v>43393</v>
          </cell>
        </row>
        <row r="6784">
          <cell r="A6784" t="str">
            <v>IN</v>
          </cell>
          <cell r="D6784">
            <v>43114</v>
          </cell>
        </row>
        <row r="6785">
          <cell r="A6785" t="str">
            <v>GC</v>
          </cell>
          <cell r="D6785">
            <v>43287</v>
          </cell>
        </row>
        <row r="6786">
          <cell r="A6786" t="str">
            <v>GC</v>
          </cell>
          <cell r="D6786">
            <v>43266</v>
          </cell>
        </row>
        <row r="6787">
          <cell r="A6787" t="str">
            <v>ASEAN</v>
          </cell>
          <cell r="D6787">
            <v>43334</v>
          </cell>
        </row>
        <row r="6788">
          <cell r="A6788" t="str">
            <v>GC</v>
          </cell>
          <cell r="D6788">
            <v>43278</v>
          </cell>
        </row>
        <row r="6789">
          <cell r="A6789" t="str">
            <v>GC</v>
          </cell>
          <cell r="D6789">
            <v>43279</v>
          </cell>
        </row>
        <row r="6790">
          <cell r="A6790" t="str">
            <v>GC</v>
          </cell>
          <cell r="D6790">
            <v>43226</v>
          </cell>
        </row>
        <row r="6791">
          <cell r="A6791" t="str">
            <v>GC</v>
          </cell>
          <cell r="D6791">
            <v>43426</v>
          </cell>
        </row>
        <row r="6792">
          <cell r="A6792" t="str">
            <v>GC</v>
          </cell>
          <cell r="D6792">
            <v>43209</v>
          </cell>
        </row>
        <row r="6793">
          <cell r="A6793" t="str">
            <v>GC</v>
          </cell>
          <cell r="D6793">
            <v>43465</v>
          </cell>
        </row>
        <row r="6794">
          <cell r="A6794" t="str">
            <v>GC</v>
          </cell>
          <cell r="D6794">
            <v>43180</v>
          </cell>
        </row>
        <row r="6795">
          <cell r="A6795" t="str">
            <v>ANZ</v>
          </cell>
          <cell r="D6795">
            <v>43305</v>
          </cell>
        </row>
        <row r="6796">
          <cell r="A6796" t="str">
            <v>ANZ</v>
          </cell>
          <cell r="D6796">
            <v>43179</v>
          </cell>
        </row>
        <row r="6797">
          <cell r="A6797" t="str">
            <v>ANZ</v>
          </cell>
          <cell r="D6797">
            <v>43108</v>
          </cell>
        </row>
        <row r="6798">
          <cell r="A6798" t="str">
            <v>ANZ</v>
          </cell>
          <cell r="D6798">
            <v>43255</v>
          </cell>
        </row>
        <row r="6799">
          <cell r="A6799" t="str">
            <v>ANZ</v>
          </cell>
          <cell r="D6799">
            <v>43393</v>
          </cell>
        </row>
        <row r="6800">
          <cell r="A6800" t="str">
            <v>ANZ</v>
          </cell>
          <cell r="D6800">
            <v>43383</v>
          </cell>
        </row>
        <row r="6801">
          <cell r="A6801" t="str">
            <v>GC</v>
          </cell>
          <cell r="D6801">
            <v>43319</v>
          </cell>
        </row>
        <row r="6802">
          <cell r="A6802" t="str">
            <v>GC</v>
          </cell>
          <cell r="D6802">
            <v>43255</v>
          </cell>
        </row>
        <row r="6803">
          <cell r="A6803" t="str">
            <v>GC</v>
          </cell>
          <cell r="D6803">
            <v>43334</v>
          </cell>
        </row>
        <row r="6804">
          <cell r="A6804" t="str">
            <v>GC</v>
          </cell>
          <cell r="D6804">
            <v>43241</v>
          </cell>
        </row>
        <row r="6805">
          <cell r="A6805" t="str">
            <v>GC</v>
          </cell>
          <cell r="D6805">
            <v>43246</v>
          </cell>
        </row>
        <row r="6806">
          <cell r="A6806" t="str">
            <v>GC</v>
          </cell>
          <cell r="D6806">
            <v>43144</v>
          </cell>
        </row>
        <row r="6807">
          <cell r="A6807" t="str">
            <v>GC</v>
          </cell>
          <cell r="D6807">
            <v>43362</v>
          </cell>
        </row>
        <row r="6808">
          <cell r="A6808" t="str">
            <v>GC</v>
          </cell>
          <cell r="D6808">
            <v>43160</v>
          </cell>
        </row>
        <row r="6809">
          <cell r="A6809" t="str">
            <v>GC</v>
          </cell>
          <cell r="D6809">
            <v>43266</v>
          </cell>
        </row>
        <row r="6810">
          <cell r="A6810" t="str">
            <v>GC</v>
          </cell>
          <cell r="D6810">
            <v>43347</v>
          </cell>
        </row>
        <row r="6811">
          <cell r="A6811" t="str">
            <v>GC</v>
          </cell>
          <cell r="D6811">
            <v>43410</v>
          </cell>
        </row>
        <row r="6812">
          <cell r="A6812" t="str">
            <v>ANZ</v>
          </cell>
          <cell r="D6812">
            <v>43268</v>
          </cell>
        </row>
        <row r="6813">
          <cell r="A6813" t="str">
            <v>ANZ</v>
          </cell>
          <cell r="D6813">
            <v>43107</v>
          </cell>
        </row>
        <row r="6814">
          <cell r="A6814" t="str">
            <v>GC</v>
          </cell>
          <cell r="D6814">
            <v>43372</v>
          </cell>
        </row>
        <row r="6815">
          <cell r="A6815" t="str">
            <v>GC</v>
          </cell>
          <cell r="D6815">
            <v>43156</v>
          </cell>
        </row>
        <row r="6816">
          <cell r="A6816" t="str">
            <v>GC</v>
          </cell>
          <cell r="D6816">
            <v>43443</v>
          </cell>
        </row>
        <row r="6817">
          <cell r="A6817" t="str">
            <v>GC</v>
          </cell>
          <cell r="D6817">
            <v>43259</v>
          </cell>
        </row>
        <row r="6818">
          <cell r="A6818" t="str">
            <v>GC</v>
          </cell>
          <cell r="D6818">
            <v>43333</v>
          </cell>
        </row>
        <row r="6819">
          <cell r="A6819" t="str">
            <v>GC</v>
          </cell>
          <cell r="D6819">
            <v>43413</v>
          </cell>
        </row>
        <row r="6820">
          <cell r="A6820" t="str">
            <v>GC</v>
          </cell>
          <cell r="D6820">
            <v>43458</v>
          </cell>
        </row>
        <row r="6821">
          <cell r="A6821" t="str">
            <v>GC</v>
          </cell>
          <cell r="D6821">
            <v>43379</v>
          </cell>
        </row>
        <row r="6822">
          <cell r="A6822" t="str">
            <v>GC</v>
          </cell>
          <cell r="D6822">
            <v>43300</v>
          </cell>
        </row>
        <row r="6823">
          <cell r="A6823" t="str">
            <v>KR</v>
          </cell>
          <cell r="D6823">
            <v>43295</v>
          </cell>
        </row>
        <row r="6824">
          <cell r="A6824" t="str">
            <v>KR</v>
          </cell>
          <cell r="D6824">
            <v>43280</v>
          </cell>
        </row>
        <row r="6825">
          <cell r="A6825" t="str">
            <v>KR</v>
          </cell>
          <cell r="D6825">
            <v>43170</v>
          </cell>
        </row>
        <row r="6826">
          <cell r="A6826" t="str">
            <v>IN</v>
          </cell>
          <cell r="D6826">
            <v>43212</v>
          </cell>
        </row>
        <row r="6827">
          <cell r="A6827" t="str">
            <v>IN</v>
          </cell>
          <cell r="D6827">
            <v>43153</v>
          </cell>
        </row>
        <row r="6828">
          <cell r="A6828" t="str">
            <v>IN</v>
          </cell>
          <cell r="D6828">
            <v>43398</v>
          </cell>
        </row>
        <row r="6829">
          <cell r="A6829" t="str">
            <v>GC</v>
          </cell>
          <cell r="D6829">
            <v>43413</v>
          </cell>
        </row>
        <row r="6830">
          <cell r="A6830" t="str">
            <v>ANZ</v>
          </cell>
          <cell r="D6830">
            <v>43163</v>
          </cell>
        </row>
        <row r="6831">
          <cell r="A6831" t="str">
            <v>ASEAN</v>
          </cell>
          <cell r="D6831">
            <v>43115</v>
          </cell>
        </row>
        <row r="6832">
          <cell r="A6832" t="str">
            <v>GC</v>
          </cell>
          <cell r="D6832">
            <v>43140</v>
          </cell>
        </row>
        <row r="6833">
          <cell r="A6833" t="str">
            <v>ASEAN</v>
          </cell>
          <cell r="D6833">
            <v>43344</v>
          </cell>
        </row>
        <row r="6834">
          <cell r="A6834" t="str">
            <v>GC</v>
          </cell>
          <cell r="D6834">
            <v>43425</v>
          </cell>
        </row>
        <row r="6835">
          <cell r="A6835" t="str">
            <v>ASEAN</v>
          </cell>
          <cell r="D6835">
            <v>43172</v>
          </cell>
        </row>
        <row r="6836">
          <cell r="A6836" t="str">
            <v>KR</v>
          </cell>
          <cell r="D6836">
            <v>43207</v>
          </cell>
        </row>
        <row r="6837">
          <cell r="A6837" t="str">
            <v>GC</v>
          </cell>
          <cell r="D6837">
            <v>43143</v>
          </cell>
        </row>
        <row r="6838">
          <cell r="A6838" t="str">
            <v>ASEAN</v>
          </cell>
          <cell r="D6838">
            <v>43285</v>
          </cell>
        </row>
        <row r="6839">
          <cell r="A6839" t="str">
            <v>ASEAN</v>
          </cell>
          <cell r="D6839">
            <v>43424</v>
          </cell>
        </row>
        <row r="6840">
          <cell r="A6840" t="str">
            <v>IN</v>
          </cell>
          <cell r="D6840">
            <v>43356</v>
          </cell>
        </row>
        <row r="6841">
          <cell r="A6841" t="str">
            <v>KR</v>
          </cell>
          <cell r="D6841">
            <v>43180</v>
          </cell>
        </row>
        <row r="6842">
          <cell r="A6842" t="str">
            <v>GC</v>
          </cell>
          <cell r="D6842">
            <v>43431</v>
          </cell>
        </row>
        <row r="6843">
          <cell r="A6843" t="str">
            <v>GC</v>
          </cell>
          <cell r="D6843">
            <v>43155</v>
          </cell>
        </row>
        <row r="6844">
          <cell r="A6844" t="str">
            <v>GC</v>
          </cell>
          <cell r="D6844">
            <v>43163</v>
          </cell>
        </row>
        <row r="6845">
          <cell r="A6845" t="str">
            <v>GC</v>
          </cell>
          <cell r="D6845">
            <v>43209</v>
          </cell>
        </row>
        <row r="6846">
          <cell r="A6846" t="str">
            <v>GC</v>
          </cell>
          <cell r="D6846">
            <v>43133</v>
          </cell>
        </row>
        <row r="6847">
          <cell r="A6847" t="str">
            <v>GC</v>
          </cell>
          <cell r="D6847">
            <v>43236</v>
          </cell>
        </row>
        <row r="6848">
          <cell r="A6848" t="str">
            <v>GC</v>
          </cell>
          <cell r="D6848">
            <v>43121</v>
          </cell>
        </row>
        <row r="6849">
          <cell r="A6849" t="str">
            <v>GC</v>
          </cell>
          <cell r="D6849">
            <v>43194</v>
          </cell>
        </row>
        <row r="6850">
          <cell r="A6850" t="str">
            <v>GC</v>
          </cell>
          <cell r="D6850">
            <v>43350</v>
          </cell>
        </row>
        <row r="6851">
          <cell r="A6851" t="str">
            <v>GC</v>
          </cell>
          <cell r="D6851">
            <v>43431</v>
          </cell>
        </row>
        <row r="6852">
          <cell r="A6852" t="str">
            <v>IN</v>
          </cell>
          <cell r="D6852">
            <v>43350</v>
          </cell>
        </row>
        <row r="6853">
          <cell r="A6853" t="str">
            <v>GC</v>
          </cell>
          <cell r="D6853">
            <v>43266</v>
          </cell>
        </row>
        <row r="6854">
          <cell r="A6854" t="str">
            <v>GC</v>
          </cell>
          <cell r="D6854">
            <v>43320</v>
          </cell>
        </row>
        <row r="6855">
          <cell r="A6855" t="str">
            <v>ASEAN</v>
          </cell>
          <cell r="D6855">
            <v>43235</v>
          </cell>
        </row>
        <row r="6856">
          <cell r="A6856" t="str">
            <v>GC</v>
          </cell>
          <cell r="D6856">
            <v>43399</v>
          </cell>
        </row>
        <row r="6857">
          <cell r="A6857" t="str">
            <v>GC</v>
          </cell>
          <cell r="D6857">
            <v>43370</v>
          </cell>
        </row>
        <row r="6858">
          <cell r="A6858" t="str">
            <v>GC</v>
          </cell>
          <cell r="D6858">
            <v>43408</v>
          </cell>
        </row>
        <row r="6859">
          <cell r="A6859" t="str">
            <v>GC</v>
          </cell>
          <cell r="D6859">
            <v>43363</v>
          </cell>
        </row>
        <row r="6860">
          <cell r="A6860" t="str">
            <v>GC</v>
          </cell>
          <cell r="D6860">
            <v>43268</v>
          </cell>
        </row>
        <row r="6861">
          <cell r="A6861" t="str">
            <v>GC</v>
          </cell>
          <cell r="D6861">
            <v>43119</v>
          </cell>
        </row>
        <row r="6862">
          <cell r="A6862" t="str">
            <v>IN</v>
          </cell>
          <cell r="D6862">
            <v>43128</v>
          </cell>
        </row>
        <row r="6863">
          <cell r="A6863" t="str">
            <v>GC</v>
          </cell>
          <cell r="D6863">
            <v>43149</v>
          </cell>
        </row>
        <row r="6864">
          <cell r="A6864" t="str">
            <v>GC</v>
          </cell>
          <cell r="D6864">
            <v>43255</v>
          </cell>
        </row>
        <row r="6865">
          <cell r="A6865" t="str">
            <v>GC</v>
          </cell>
          <cell r="D6865">
            <v>43246</v>
          </cell>
        </row>
        <row r="6866">
          <cell r="A6866" t="str">
            <v>GC</v>
          </cell>
          <cell r="D6866">
            <v>43221</v>
          </cell>
        </row>
        <row r="6867">
          <cell r="A6867" t="str">
            <v>GC</v>
          </cell>
          <cell r="D6867">
            <v>43455</v>
          </cell>
        </row>
        <row r="6868">
          <cell r="A6868" t="str">
            <v>GC</v>
          </cell>
          <cell r="D6868">
            <v>43193</v>
          </cell>
        </row>
        <row r="6869">
          <cell r="A6869" t="str">
            <v>IN</v>
          </cell>
          <cell r="D6869">
            <v>43137</v>
          </cell>
        </row>
        <row r="6870">
          <cell r="A6870" t="str">
            <v>IN</v>
          </cell>
          <cell r="D6870">
            <v>43458</v>
          </cell>
        </row>
        <row r="6871">
          <cell r="A6871" t="str">
            <v>IN</v>
          </cell>
          <cell r="D6871">
            <v>43265</v>
          </cell>
        </row>
        <row r="6872">
          <cell r="A6872" t="str">
            <v>IN</v>
          </cell>
          <cell r="D6872">
            <v>43320</v>
          </cell>
        </row>
        <row r="6873">
          <cell r="A6873" t="str">
            <v>IN</v>
          </cell>
          <cell r="D6873">
            <v>43451</v>
          </cell>
        </row>
        <row r="6874">
          <cell r="A6874" t="str">
            <v>IN</v>
          </cell>
          <cell r="D6874">
            <v>43389</v>
          </cell>
        </row>
        <row r="6875">
          <cell r="A6875" t="str">
            <v>ASEAN</v>
          </cell>
          <cell r="D6875">
            <v>43410</v>
          </cell>
        </row>
        <row r="6876">
          <cell r="A6876" t="str">
            <v>GC</v>
          </cell>
          <cell r="D6876">
            <v>43104</v>
          </cell>
        </row>
        <row r="6877">
          <cell r="A6877" t="str">
            <v>KR</v>
          </cell>
          <cell r="D6877">
            <v>43300</v>
          </cell>
        </row>
        <row r="6878">
          <cell r="A6878" t="str">
            <v>IN</v>
          </cell>
          <cell r="D6878">
            <v>43311</v>
          </cell>
        </row>
        <row r="6879">
          <cell r="A6879" t="str">
            <v>ASEAN</v>
          </cell>
          <cell r="D6879">
            <v>43392</v>
          </cell>
        </row>
        <row r="6880">
          <cell r="A6880" t="str">
            <v>GC</v>
          </cell>
          <cell r="D6880">
            <v>43219</v>
          </cell>
        </row>
        <row r="6881">
          <cell r="A6881" t="str">
            <v>GC</v>
          </cell>
          <cell r="D6881">
            <v>43142</v>
          </cell>
        </row>
        <row r="6882">
          <cell r="A6882" t="str">
            <v>ASEAN</v>
          </cell>
          <cell r="D6882">
            <v>43405</v>
          </cell>
        </row>
        <row r="6883">
          <cell r="A6883" t="str">
            <v>GC</v>
          </cell>
          <cell r="D6883">
            <v>43405</v>
          </cell>
        </row>
        <row r="6884">
          <cell r="A6884" t="str">
            <v>GC</v>
          </cell>
          <cell r="D6884">
            <v>43281</v>
          </cell>
        </row>
        <row r="6885">
          <cell r="A6885" t="str">
            <v>GC</v>
          </cell>
          <cell r="D6885">
            <v>43284</v>
          </cell>
        </row>
        <row r="6886">
          <cell r="A6886" t="str">
            <v>GC</v>
          </cell>
          <cell r="D6886">
            <v>43429</v>
          </cell>
        </row>
        <row r="6887">
          <cell r="A6887" t="str">
            <v>GC</v>
          </cell>
          <cell r="D6887">
            <v>43141</v>
          </cell>
        </row>
        <row r="6888">
          <cell r="A6888" t="str">
            <v>GC</v>
          </cell>
          <cell r="D6888">
            <v>43435</v>
          </cell>
        </row>
        <row r="6889">
          <cell r="A6889" t="str">
            <v>GC</v>
          </cell>
          <cell r="D6889">
            <v>43287</v>
          </cell>
        </row>
        <row r="6890">
          <cell r="A6890" t="str">
            <v>GC</v>
          </cell>
          <cell r="D6890">
            <v>43117</v>
          </cell>
        </row>
        <row r="6891">
          <cell r="A6891" t="str">
            <v>GC</v>
          </cell>
          <cell r="D6891">
            <v>43183</v>
          </cell>
        </row>
        <row r="6892">
          <cell r="A6892" t="str">
            <v>GC</v>
          </cell>
          <cell r="D6892">
            <v>43369</v>
          </cell>
        </row>
        <row r="6893">
          <cell r="A6893" t="str">
            <v>KR</v>
          </cell>
          <cell r="D6893">
            <v>43352</v>
          </cell>
        </row>
        <row r="6894">
          <cell r="A6894" t="str">
            <v>GC</v>
          </cell>
          <cell r="D6894">
            <v>43174</v>
          </cell>
        </row>
        <row r="6895">
          <cell r="A6895" t="str">
            <v>GC</v>
          </cell>
          <cell r="D6895">
            <v>43278</v>
          </cell>
        </row>
        <row r="6896">
          <cell r="A6896" t="str">
            <v>GC</v>
          </cell>
          <cell r="D6896">
            <v>43281</v>
          </cell>
        </row>
        <row r="6897">
          <cell r="A6897" t="str">
            <v>GC</v>
          </cell>
          <cell r="D6897">
            <v>43277</v>
          </cell>
        </row>
        <row r="6898">
          <cell r="A6898" t="str">
            <v>KR</v>
          </cell>
          <cell r="D6898">
            <v>43309</v>
          </cell>
        </row>
        <row r="6899">
          <cell r="A6899" t="str">
            <v>KR</v>
          </cell>
          <cell r="D6899">
            <v>43321</v>
          </cell>
        </row>
        <row r="6900">
          <cell r="A6900" t="str">
            <v>ANZ</v>
          </cell>
          <cell r="D6900">
            <v>43101</v>
          </cell>
        </row>
        <row r="6901">
          <cell r="A6901" t="str">
            <v>GC</v>
          </cell>
          <cell r="D6901">
            <v>43353</v>
          </cell>
        </row>
        <row r="6902">
          <cell r="A6902" t="str">
            <v>GC</v>
          </cell>
          <cell r="D6902">
            <v>43384</v>
          </cell>
        </row>
        <row r="6903">
          <cell r="A6903" t="str">
            <v>ASEAN</v>
          </cell>
          <cell r="D6903">
            <v>43230</v>
          </cell>
        </row>
        <row r="6904">
          <cell r="A6904" t="str">
            <v>IN</v>
          </cell>
          <cell r="D6904">
            <v>43156</v>
          </cell>
        </row>
        <row r="6905">
          <cell r="A6905" t="str">
            <v>IN</v>
          </cell>
          <cell r="D6905">
            <v>43398</v>
          </cell>
        </row>
        <row r="6906">
          <cell r="A6906" t="str">
            <v>KR</v>
          </cell>
          <cell r="D6906">
            <v>43336</v>
          </cell>
        </row>
        <row r="6907">
          <cell r="A6907" t="str">
            <v>KR</v>
          </cell>
          <cell r="D6907">
            <v>43343</v>
          </cell>
        </row>
        <row r="6908">
          <cell r="A6908" t="str">
            <v>GC</v>
          </cell>
          <cell r="D6908">
            <v>43145</v>
          </cell>
        </row>
        <row r="6909">
          <cell r="A6909" t="str">
            <v>IN</v>
          </cell>
          <cell r="D6909">
            <v>43196</v>
          </cell>
        </row>
        <row r="6910">
          <cell r="A6910" t="str">
            <v>ASEAN</v>
          </cell>
          <cell r="D6910">
            <v>43422</v>
          </cell>
        </row>
        <row r="6911">
          <cell r="A6911" t="str">
            <v>GC</v>
          </cell>
          <cell r="D6911">
            <v>43403</v>
          </cell>
        </row>
        <row r="6912">
          <cell r="A6912" t="str">
            <v>GC</v>
          </cell>
          <cell r="D6912">
            <v>43248</v>
          </cell>
        </row>
        <row r="6913">
          <cell r="A6913" t="str">
            <v>ANZ</v>
          </cell>
          <cell r="D6913">
            <v>43232</v>
          </cell>
        </row>
        <row r="6914">
          <cell r="A6914" t="str">
            <v>GC</v>
          </cell>
          <cell r="D6914">
            <v>43129</v>
          </cell>
        </row>
        <row r="6915">
          <cell r="A6915" t="str">
            <v>IN</v>
          </cell>
          <cell r="D6915">
            <v>43429</v>
          </cell>
        </row>
        <row r="6916">
          <cell r="A6916" t="str">
            <v>GC</v>
          </cell>
          <cell r="D6916">
            <v>43150</v>
          </cell>
        </row>
        <row r="6917">
          <cell r="A6917" t="str">
            <v>ASEAN</v>
          </cell>
          <cell r="D6917">
            <v>43419</v>
          </cell>
        </row>
        <row r="6918">
          <cell r="A6918" t="str">
            <v>IN</v>
          </cell>
          <cell r="D6918">
            <v>43414</v>
          </cell>
        </row>
        <row r="6919">
          <cell r="A6919" t="str">
            <v>IN</v>
          </cell>
          <cell r="D6919">
            <v>43192</v>
          </cell>
        </row>
        <row r="6920">
          <cell r="A6920" t="str">
            <v>ANZ</v>
          </cell>
          <cell r="D6920">
            <v>43208</v>
          </cell>
        </row>
        <row r="6921">
          <cell r="A6921" t="str">
            <v>ANZ</v>
          </cell>
          <cell r="D6921">
            <v>43200</v>
          </cell>
        </row>
        <row r="6922">
          <cell r="A6922" t="str">
            <v>GC</v>
          </cell>
          <cell r="D6922">
            <v>43230</v>
          </cell>
        </row>
        <row r="6923">
          <cell r="A6923" t="str">
            <v>ASEAN</v>
          </cell>
          <cell r="D6923">
            <v>43274</v>
          </cell>
        </row>
        <row r="6924">
          <cell r="A6924" t="str">
            <v>IN</v>
          </cell>
          <cell r="D6924">
            <v>43104</v>
          </cell>
        </row>
        <row r="6925">
          <cell r="A6925" t="str">
            <v>KR</v>
          </cell>
          <cell r="D6925">
            <v>43450</v>
          </cell>
        </row>
        <row r="6926">
          <cell r="A6926" t="str">
            <v>ANZ</v>
          </cell>
          <cell r="D6926">
            <v>43359</v>
          </cell>
        </row>
        <row r="6927">
          <cell r="A6927" t="str">
            <v>ANZ</v>
          </cell>
          <cell r="D6927">
            <v>43182</v>
          </cell>
        </row>
        <row r="6928">
          <cell r="A6928" t="str">
            <v>ANZ</v>
          </cell>
          <cell r="D6928">
            <v>43252</v>
          </cell>
        </row>
        <row r="6929">
          <cell r="A6929" t="str">
            <v>IN</v>
          </cell>
          <cell r="D6929">
            <v>43294</v>
          </cell>
        </row>
        <row r="6930">
          <cell r="A6930" t="str">
            <v>GC</v>
          </cell>
          <cell r="D6930">
            <v>43360</v>
          </cell>
        </row>
        <row r="6931">
          <cell r="A6931" t="str">
            <v>GC</v>
          </cell>
          <cell r="D6931">
            <v>43108</v>
          </cell>
        </row>
        <row r="6932">
          <cell r="A6932" t="str">
            <v>GC</v>
          </cell>
          <cell r="D6932">
            <v>43443</v>
          </cell>
        </row>
        <row r="6933">
          <cell r="A6933" t="str">
            <v>GC</v>
          </cell>
          <cell r="D6933">
            <v>43262</v>
          </cell>
        </row>
        <row r="6934">
          <cell r="A6934" t="str">
            <v>IN</v>
          </cell>
          <cell r="D6934">
            <v>43353</v>
          </cell>
        </row>
        <row r="6935">
          <cell r="A6935" t="str">
            <v>ASEAN</v>
          </cell>
          <cell r="D6935">
            <v>43428</v>
          </cell>
        </row>
        <row r="6936">
          <cell r="A6936" t="str">
            <v>ASEAN</v>
          </cell>
          <cell r="D6936">
            <v>43346</v>
          </cell>
        </row>
        <row r="6937">
          <cell r="A6937" t="str">
            <v>ANZ</v>
          </cell>
          <cell r="D6937">
            <v>43460</v>
          </cell>
        </row>
        <row r="6938">
          <cell r="A6938" t="str">
            <v>ASEAN</v>
          </cell>
          <cell r="D6938">
            <v>43266</v>
          </cell>
        </row>
        <row r="6939">
          <cell r="A6939" t="str">
            <v>IN</v>
          </cell>
          <cell r="D6939">
            <v>43224</v>
          </cell>
        </row>
        <row r="6940">
          <cell r="A6940" t="str">
            <v>GC</v>
          </cell>
          <cell r="D6940">
            <v>43104</v>
          </cell>
        </row>
        <row r="6941">
          <cell r="A6941" t="str">
            <v>GC</v>
          </cell>
          <cell r="D6941">
            <v>43119</v>
          </cell>
        </row>
        <row r="6942">
          <cell r="A6942" t="str">
            <v>GC</v>
          </cell>
          <cell r="D6942">
            <v>43317</v>
          </cell>
        </row>
        <row r="6943">
          <cell r="A6943" t="str">
            <v>ASEAN</v>
          </cell>
          <cell r="D6943">
            <v>43363</v>
          </cell>
        </row>
        <row r="6944">
          <cell r="A6944" t="str">
            <v>IN</v>
          </cell>
          <cell r="D6944">
            <v>43153</v>
          </cell>
        </row>
        <row r="6945">
          <cell r="A6945" t="str">
            <v>IN</v>
          </cell>
          <cell r="D6945">
            <v>43369</v>
          </cell>
        </row>
        <row r="6946">
          <cell r="A6946" t="str">
            <v>IN</v>
          </cell>
          <cell r="D6946">
            <v>43136</v>
          </cell>
        </row>
        <row r="6947">
          <cell r="A6947" t="str">
            <v>GC</v>
          </cell>
          <cell r="D6947">
            <v>43359</v>
          </cell>
        </row>
        <row r="6948">
          <cell r="A6948" t="str">
            <v>IN</v>
          </cell>
          <cell r="D6948">
            <v>43138</v>
          </cell>
        </row>
        <row r="6949">
          <cell r="A6949" t="str">
            <v>IN</v>
          </cell>
          <cell r="D6949">
            <v>43354</v>
          </cell>
        </row>
        <row r="6950">
          <cell r="A6950" t="str">
            <v>ANZ</v>
          </cell>
          <cell r="D6950">
            <v>43157</v>
          </cell>
        </row>
        <row r="6951">
          <cell r="A6951" t="str">
            <v>ANZ</v>
          </cell>
          <cell r="D6951">
            <v>43302</v>
          </cell>
        </row>
        <row r="6952">
          <cell r="A6952" t="str">
            <v>ANZ</v>
          </cell>
          <cell r="D6952">
            <v>43174</v>
          </cell>
        </row>
        <row r="6953">
          <cell r="A6953" t="str">
            <v>ASEAN</v>
          </cell>
          <cell r="D6953">
            <v>43120</v>
          </cell>
        </row>
        <row r="6954">
          <cell r="A6954" t="str">
            <v>ASEAN</v>
          </cell>
          <cell r="D6954">
            <v>43441</v>
          </cell>
        </row>
        <row r="6955">
          <cell r="A6955" t="str">
            <v>KR</v>
          </cell>
          <cell r="D6955">
            <v>43348</v>
          </cell>
        </row>
        <row r="6956">
          <cell r="A6956" t="str">
            <v>GC</v>
          </cell>
          <cell r="D6956">
            <v>43250</v>
          </cell>
        </row>
        <row r="6957">
          <cell r="A6957" t="str">
            <v>ANZ</v>
          </cell>
          <cell r="D6957">
            <v>43305</v>
          </cell>
        </row>
        <row r="6958">
          <cell r="A6958" t="str">
            <v>ANZ</v>
          </cell>
          <cell r="D6958">
            <v>43196</v>
          </cell>
        </row>
        <row r="6959">
          <cell r="A6959" t="str">
            <v>GC</v>
          </cell>
          <cell r="D6959">
            <v>43368</v>
          </cell>
        </row>
        <row r="6960">
          <cell r="A6960" t="str">
            <v>GC</v>
          </cell>
          <cell r="D6960">
            <v>43379</v>
          </cell>
        </row>
        <row r="6961">
          <cell r="A6961" t="str">
            <v>GC</v>
          </cell>
          <cell r="D6961">
            <v>43298</v>
          </cell>
        </row>
        <row r="6962">
          <cell r="A6962" t="str">
            <v>ASEAN</v>
          </cell>
          <cell r="D6962">
            <v>43451</v>
          </cell>
        </row>
        <row r="6963">
          <cell r="A6963" t="str">
            <v>ASEAN</v>
          </cell>
          <cell r="D6963">
            <v>43356</v>
          </cell>
        </row>
        <row r="6964">
          <cell r="A6964" t="str">
            <v>GC</v>
          </cell>
          <cell r="D6964">
            <v>43280</v>
          </cell>
        </row>
        <row r="6965">
          <cell r="A6965" t="str">
            <v>GC</v>
          </cell>
          <cell r="D6965">
            <v>43141</v>
          </cell>
        </row>
        <row r="6966">
          <cell r="A6966" t="str">
            <v>GC</v>
          </cell>
          <cell r="D6966">
            <v>43206</v>
          </cell>
        </row>
        <row r="6967">
          <cell r="A6967" t="str">
            <v>GC</v>
          </cell>
          <cell r="D6967">
            <v>43160</v>
          </cell>
        </row>
        <row r="6968">
          <cell r="A6968" t="str">
            <v>GC</v>
          </cell>
          <cell r="D6968">
            <v>43235</v>
          </cell>
        </row>
        <row r="6969">
          <cell r="A6969" t="str">
            <v>GC</v>
          </cell>
          <cell r="D6969">
            <v>43288</v>
          </cell>
        </row>
        <row r="6970">
          <cell r="A6970" t="str">
            <v>IN</v>
          </cell>
          <cell r="D6970">
            <v>43246</v>
          </cell>
        </row>
        <row r="6971">
          <cell r="A6971" t="str">
            <v>GC</v>
          </cell>
          <cell r="D6971">
            <v>43423</v>
          </cell>
        </row>
        <row r="6972">
          <cell r="A6972" t="str">
            <v>IN</v>
          </cell>
          <cell r="D6972">
            <v>43168</v>
          </cell>
        </row>
        <row r="6973">
          <cell r="A6973" t="str">
            <v>IN</v>
          </cell>
          <cell r="D6973">
            <v>43190</v>
          </cell>
        </row>
        <row r="6974">
          <cell r="A6974" t="str">
            <v>ASEAN</v>
          </cell>
          <cell r="D6974">
            <v>43318</v>
          </cell>
        </row>
        <row r="6975">
          <cell r="A6975" t="str">
            <v>ASEAN</v>
          </cell>
          <cell r="D6975">
            <v>43412</v>
          </cell>
        </row>
        <row r="6976">
          <cell r="A6976" t="str">
            <v>IN</v>
          </cell>
          <cell r="D6976">
            <v>43185</v>
          </cell>
        </row>
        <row r="6977">
          <cell r="A6977" t="str">
            <v>ANZ</v>
          </cell>
          <cell r="D6977">
            <v>43107</v>
          </cell>
        </row>
        <row r="6978">
          <cell r="A6978" t="str">
            <v>IN</v>
          </cell>
          <cell r="D6978">
            <v>43401</v>
          </cell>
        </row>
        <row r="6979">
          <cell r="A6979" t="str">
            <v>GC</v>
          </cell>
          <cell r="D6979">
            <v>43440</v>
          </cell>
        </row>
        <row r="6980">
          <cell r="A6980" t="str">
            <v>GC</v>
          </cell>
          <cell r="D6980">
            <v>43133</v>
          </cell>
        </row>
        <row r="6981">
          <cell r="A6981" t="str">
            <v>GC</v>
          </cell>
          <cell r="D6981">
            <v>43101</v>
          </cell>
        </row>
        <row r="6982">
          <cell r="A6982" t="str">
            <v>GC</v>
          </cell>
          <cell r="D6982">
            <v>43307</v>
          </cell>
        </row>
        <row r="6983">
          <cell r="A6983" t="str">
            <v>GC</v>
          </cell>
          <cell r="D6983">
            <v>43373</v>
          </cell>
        </row>
        <row r="6984">
          <cell r="A6984" t="str">
            <v>GC</v>
          </cell>
          <cell r="D6984">
            <v>43134</v>
          </cell>
        </row>
        <row r="6985">
          <cell r="A6985" t="str">
            <v>GC</v>
          </cell>
          <cell r="D6985">
            <v>43145</v>
          </cell>
        </row>
        <row r="6986">
          <cell r="A6986" t="str">
            <v>GC</v>
          </cell>
          <cell r="D6986">
            <v>43413</v>
          </cell>
        </row>
        <row r="6987">
          <cell r="A6987" t="str">
            <v>GC</v>
          </cell>
          <cell r="D6987">
            <v>43342</v>
          </cell>
        </row>
        <row r="6988">
          <cell r="A6988" t="str">
            <v>GC</v>
          </cell>
          <cell r="D6988">
            <v>43223</v>
          </cell>
        </row>
        <row r="6989">
          <cell r="A6989" t="str">
            <v>GC</v>
          </cell>
          <cell r="D6989">
            <v>43277</v>
          </cell>
        </row>
        <row r="6990">
          <cell r="A6990" t="str">
            <v>GC</v>
          </cell>
          <cell r="D6990">
            <v>43458</v>
          </cell>
        </row>
        <row r="6991">
          <cell r="A6991" t="str">
            <v>GC</v>
          </cell>
          <cell r="D6991">
            <v>43216</v>
          </cell>
        </row>
        <row r="6992">
          <cell r="A6992" t="str">
            <v>GC</v>
          </cell>
          <cell r="D6992">
            <v>43455</v>
          </cell>
        </row>
        <row r="6993">
          <cell r="A6993" t="str">
            <v>GC</v>
          </cell>
          <cell r="D6993">
            <v>43252</v>
          </cell>
        </row>
        <row r="6994">
          <cell r="A6994" t="str">
            <v>ASEAN</v>
          </cell>
          <cell r="D6994">
            <v>43147</v>
          </cell>
        </row>
        <row r="6995">
          <cell r="A6995" t="str">
            <v>ASEAN</v>
          </cell>
          <cell r="D6995">
            <v>43268</v>
          </cell>
        </row>
        <row r="6996">
          <cell r="A6996" t="str">
            <v>ASEAN</v>
          </cell>
          <cell r="D6996">
            <v>43411</v>
          </cell>
        </row>
        <row r="6997">
          <cell r="A6997" t="str">
            <v>GC</v>
          </cell>
          <cell r="D6997">
            <v>43430</v>
          </cell>
        </row>
        <row r="6998">
          <cell r="A6998" t="str">
            <v>GC</v>
          </cell>
          <cell r="D6998">
            <v>43304</v>
          </cell>
        </row>
        <row r="6999">
          <cell r="A6999" t="str">
            <v>ANZ</v>
          </cell>
          <cell r="D6999">
            <v>43414</v>
          </cell>
        </row>
        <row r="7000">
          <cell r="A7000" t="str">
            <v>ASEAN</v>
          </cell>
          <cell r="D7000">
            <v>43111</v>
          </cell>
        </row>
        <row r="7001">
          <cell r="A7001" t="str">
            <v>GC</v>
          </cell>
          <cell r="D7001">
            <v>43427</v>
          </cell>
        </row>
        <row r="7002">
          <cell r="A7002" t="str">
            <v>GC</v>
          </cell>
          <cell r="D7002">
            <v>43165</v>
          </cell>
        </row>
        <row r="7003">
          <cell r="A7003" t="str">
            <v>GC</v>
          </cell>
          <cell r="D7003">
            <v>43202</v>
          </cell>
        </row>
        <row r="7004">
          <cell r="A7004" t="str">
            <v>GC</v>
          </cell>
          <cell r="D7004">
            <v>43256</v>
          </cell>
        </row>
        <row r="7005">
          <cell r="A7005" t="str">
            <v>GC</v>
          </cell>
          <cell r="D7005">
            <v>43113</v>
          </cell>
        </row>
        <row r="7006">
          <cell r="A7006" t="str">
            <v>GC</v>
          </cell>
          <cell r="D7006">
            <v>43153</v>
          </cell>
        </row>
        <row r="7007">
          <cell r="A7007" t="str">
            <v>GC</v>
          </cell>
          <cell r="D7007">
            <v>43149</v>
          </cell>
        </row>
        <row r="7008">
          <cell r="A7008" t="str">
            <v>GC</v>
          </cell>
          <cell r="D7008">
            <v>43164</v>
          </cell>
        </row>
        <row r="7009">
          <cell r="A7009" t="str">
            <v>GC</v>
          </cell>
          <cell r="D7009">
            <v>43150</v>
          </cell>
        </row>
        <row r="7010">
          <cell r="A7010" t="str">
            <v>IN</v>
          </cell>
          <cell r="D7010">
            <v>43103</v>
          </cell>
        </row>
        <row r="7011">
          <cell r="A7011" t="str">
            <v>IN</v>
          </cell>
          <cell r="D7011">
            <v>43340</v>
          </cell>
        </row>
        <row r="7012">
          <cell r="A7012" t="str">
            <v>IN</v>
          </cell>
          <cell r="D7012">
            <v>43222</v>
          </cell>
        </row>
        <row r="7013">
          <cell r="A7013" t="str">
            <v>IN</v>
          </cell>
          <cell r="D7013">
            <v>43362</v>
          </cell>
        </row>
        <row r="7014">
          <cell r="A7014" t="str">
            <v>IN</v>
          </cell>
          <cell r="D7014">
            <v>43211</v>
          </cell>
        </row>
        <row r="7015">
          <cell r="A7015" t="str">
            <v>ANZ</v>
          </cell>
          <cell r="D7015">
            <v>43157</v>
          </cell>
        </row>
        <row r="7016">
          <cell r="A7016" t="str">
            <v>ANZ</v>
          </cell>
          <cell r="D7016">
            <v>43128</v>
          </cell>
        </row>
        <row r="7017">
          <cell r="A7017" t="str">
            <v>IN</v>
          </cell>
          <cell r="D7017">
            <v>43159</v>
          </cell>
        </row>
        <row r="7018">
          <cell r="A7018" t="str">
            <v>ASEAN</v>
          </cell>
          <cell r="D7018">
            <v>43264</v>
          </cell>
        </row>
        <row r="7019">
          <cell r="A7019" t="str">
            <v>GC</v>
          </cell>
          <cell r="D7019">
            <v>43203</v>
          </cell>
        </row>
        <row r="7020">
          <cell r="A7020" t="str">
            <v>GC</v>
          </cell>
          <cell r="D7020">
            <v>43326</v>
          </cell>
        </row>
        <row r="7021">
          <cell r="A7021" t="str">
            <v>GC</v>
          </cell>
          <cell r="D7021">
            <v>43279</v>
          </cell>
        </row>
        <row r="7022">
          <cell r="A7022" t="str">
            <v>GC</v>
          </cell>
          <cell r="D7022">
            <v>43275</v>
          </cell>
        </row>
        <row r="7023">
          <cell r="A7023" t="str">
            <v>GC</v>
          </cell>
          <cell r="D7023">
            <v>43239</v>
          </cell>
        </row>
        <row r="7024">
          <cell r="A7024" t="str">
            <v>GC</v>
          </cell>
          <cell r="D7024">
            <v>43118</v>
          </cell>
        </row>
        <row r="7025">
          <cell r="A7025" t="str">
            <v>GC</v>
          </cell>
          <cell r="D7025">
            <v>43426</v>
          </cell>
        </row>
        <row r="7026">
          <cell r="A7026" t="str">
            <v>IN</v>
          </cell>
          <cell r="D7026">
            <v>43266</v>
          </cell>
        </row>
        <row r="7027">
          <cell r="A7027" t="str">
            <v>ASEAN</v>
          </cell>
          <cell r="D7027">
            <v>43207</v>
          </cell>
        </row>
        <row r="7028">
          <cell r="A7028" t="str">
            <v>IN</v>
          </cell>
          <cell r="D7028">
            <v>43141</v>
          </cell>
        </row>
        <row r="7029">
          <cell r="A7029" t="str">
            <v>ANZ</v>
          </cell>
          <cell r="D7029">
            <v>43264</v>
          </cell>
        </row>
        <row r="7030">
          <cell r="A7030" t="str">
            <v>IN</v>
          </cell>
          <cell r="D7030">
            <v>43204</v>
          </cell>
        </row>
        <row r="7031">
          <cell r="A7031" t="str">
            <v>ANZ</v>
          </cell>
          <cell r="D7031">
            <v>43284</v>
          </cell>
        </row>
        <row r="7032">
          <cell r="A7032" t="str">
            <v>GC</v>
          </cell>
          <cell r="D7032">
            <v>43136</v>
          </cell>
        </row>
        <row r="7033">
          <cell r="A7033" t="str">
            <v>GC</v>
          </cell>
          <cell r="D7033">
            <v>43244</v>
          </cell>
        </row>
        <row r="7034">
          <cell r="A7034" t="str">
            <v>ANZ</v>
          </cell>
          <cell r="D7034">
            <v>43202</v>
          </cell>
        </row>
        <row r="7035">
          <cell r="A7035" t="str">
            <v>ANZ</v>
          </cell>
          <cell r="D7035">
            <v>43356</v>
          </cell>
        </row>
        <row r="7036">
          <cell r="A7036" t="str">
            <v>GC</v>
          </cell>
          <cell r="D7036">
            <v>43395</v>
          </cell>
        </row>
        <row r="7037">
          <cell r="A7037" t="str">
            <v>GC</v>
          </cell>
          <cell r="D7037">
            <v>43142</v>
          </cell>
        </row>
        <row r="7038">
          <cell r="A7038" t="str">
            <v>GC</v>
          </cell>
          <cell r="D7038">
            <v>43364</v>
          </cell>
        </row>
        <row r="7039">
          <cell r="A7039" t="str">
            <v>ANZ</v>
          </cell>
          <cell r="D7039">
            <v>43114</v>
          </cell>
        </row>
        <row r="7040">
          <cell r="A7040" t="str">
            <v>IN</v>
          </cell>
          <cell r="D7040">
            <v>43215</v>
          </cell>
        </row>
        <row r="7041">
          <cell r="A7041" t="str">
            <v>IN</v>
          </cell>
          <cell r="D7041">
            <v>43289</v>
          </cell>
        </row>
        <row r="7042">
          <cell r="A7042" t="str">
            <v>GC</v>
          </cell>
          <cell r="D7042">
            <v>43349</v>
          </cell>
        </row>
        <row r="7043">
          <cell r="A7043" t="str">
            <v>GC</v>
          </cell>
          <cell r="D7043">
            <v>43127</v>
          </cell>
        </row>
        <row r="7044">
          <cell r="A7044" t="str">
            <v>GC</v>
          </cell>
          <cell r="D7044">
            <v>43360</v>
          </cell>
        </row>
        <row r="7045">
          <cell r="A7045" t="str">
            <v>GC</v>
          </cell>
          <cell r="D7045">
            <v>43283</v>
          </cell>
        </row>
        <row r="7046">
          <cell r="A7046" t="str">
            <v>GC</v>
          </cell>
          <cell r="D7046">
            <v>43245</v>
          </cell>
        </row>
        <row r="7047">
          <cell r="A7047" t="str">
            <v>ASEAN</v>
          </cell>
          <cell r="D7047">
            <v>43211</v>
          </cell>
        </row>
        <row r="7048">
          <cell r="A7048" t="str">
            <v>IN</v>
          </cell>
          <cell r="D7048">
            <v>43209</v>
          </cell>
        </row>
        <row r="7049">
          <cell r="A7049" t="str">
            <v>ASEAN</v>
          </cell>
          <cell r="D7049">
            <v>43435</v>
          </cell>
        </row>
        <row r="7050">
          <cell r="A7050" t="str">
            <v>ASEAN</v>
          </cell>
          <cell r="D7050">
            <v>43101</v>
          </cell>
        </row>
        <row r="7051">
          <cell r="A7051" t="str">
            <v>ASEAN</v>
          </cell>
          <cell r="D7051">
            <v>43391</v>
          </cell>
        </row>
        <row r="7052">
          <cell r="A7052" t="str">
            <v>ASEAN</v>
          </cell>
          <cell r="D7052">
            <v>43463</v>
          </cell>
        </row>
        <row r="7053">
          <cell r="A7053" t="str">
            <v>ASEAN</v>
          </cell>
          <cell r="D7053">
            <v>43167</v>
          </cell>
        </row>
        <row r="7054">
          <cell r="A7054" t="str">
            <v>ASEAN</v>
          </cell>
          <cell r="D7054">
            <v>43294</v>
          </cell>
        </row>
        <row r="7055">
          <cell r="A7055" t="str">
            <v>ASEAN</v>
          </cell>
          <cell r="D7055">
            <v>43133</v>
          </cell>
        </row>
        <row r="7056">
          <cell r="A7056" t="str">
            <v>ASEAN</v>
          </cell>
          <cell r="D7056">
            <v>43278</v>
          </cell>
        </row>
        <row r="7057">
          <cell r="A7057" t="str">
            <v>ASEAN</v>
          </cell>
          <cell r="D7057">
            <v>43294</v>
          </cell>
        </row>
        <row r="7058">
          <cell r="A7058" t="str">
            <v>ANZ</v>
          </cell>
          <cell r="D7058">
            <v>43253</v>
          </cell>
        </row>
        <row r="7059">
          <cell r="A7059" t="str">
            <v>GC</v>
          </cell>
          <cell r="D7059">
            <v>43314</v>
          </cell>
        </row>
        <row r="7060">
          <cell r="A7060" t="str">
            <v>ASEAN</v>
          </cell>
          <cell r="D7060">
            <v>43331</v>
          </cell>
        </row>
        <row r="7061">
          <cell r="A7061" t="str">
            <v>ANZ</v>
          </cell>
          <cell r="D7061">
            <v>43218</v>
          </cell>
        </row>
        <row r="7062">
          <cell r="A7062" t="str">
            <v>GC</v>
          </cell>
          <cell r="D7062">
            <v>43210</v>
          </cell>
        </row>
        <row r="7063">
          <cell r="A7063" t="str">
            <v>GC</v>
          </cell>
          <cell r="D7063">
            <v>43441</v>
          </cell>
        </row>
        <row r="7064">
          <cell r="A7064" t="str">
            <v>GC</v>
          </cell>
          <cell r="D7064">
            <v>43199</v>
          </cell>
        </row>
        <row r="7065">
          <cell r="A7065" t="str">
            <v>GC</v>
          </cell>
          <cell r="D7065">
            <v>43164</v>
          </cell>
        </row>
        <row r="7066">
          <cell r="A7066" t="str">
            <v>GC</v>
          </cell>
          <cell r="D7066">
            <v>43362</v>
          </cell>
        </row>
        <row r="7067">
          <cell r="A7067" t="str">
            <v>GC</v>
          </cell>
          <cell r="D7067">
            <v>43351</v>
          </cell>
        </row>
        <row r="7068">
          <cell r="A7068" t="str">
            <v>GC</v>
          </cell>
          <cell r="D7068">
            <v>43301</v>
          </cell>
        </row>
        <row r="7069">
          <cell r="A7069" t="str">
            <v>GC</v>
          </cell>
          <cell r="D7069">
            <v>43172</v>
          </cell>
        </row>
        <row r="7070">
          <cell r="A7070" t="str">
            <v>ASEAN</v>
          </cell>
          <cell r="D7070">
            <v>43325</v>
          </cell>
        </row>
        <row r="7071">
          <cell r="A7071" t="str">
            <v>GC</v>
          </cell>
          <cell r="D7071">
            <v>43402</v>
          </cell>
        </row>
        <row r="7072">
          <cell r="A7072" t="str">
            <v>GC</v>
          </cell>
          <cell r="D7072">
            <v>43405</v>
          </cell>
        </row>
        <row r="7073">
          <cell r="A7073" t="str">
            <v>GC</v>
          </cell>
          <cell r="D7073">
            <v>43272</v>
          </cell>
        </row>
        <row r="7074">
          <cell r="A7074" t="str">
            <v>GC</v>
          </cell>
          <cell r="D7074">
            <v>43450</v>
          </cell>
        </row>
        <row r="7075">
          <cell r="A7075" t="str">
            <v>GC</v>
          </cell>
          <cell r="D7075">
            <v>43272</v>
          </cell>
        </row>
        <row r="7076">
          <cell r="A7076" t="str">
            <v>GC</v>
          </cell>
          <cell r="D7076">
            <v>43401</v>
          </cell>
        </row>
        <row r="7077">
          <cell r="A7077" t="str">
            <v>GC</v>
          </cell>
          <cell r="D7077">
            <v>43255</v>
          </cell>
        </row>
        <row r="7078">
          <cell r="A7078" t="str">
            <v>GC</v>
          </cell>
          <cell r="D7078">
            <v>43433</v>
          </cell>
        </row>
        <row r="7079">
          <cell r="A7079" t="str">
            <v>GC</v>
          </cell>
          <cell r="D7079">
            <v>43191</v>
          </cell>
        </row>
        <row r="7080">
          <cell r="A7080" t="str">
            <v>GC</v>
          </cell>
          <cell r="D7080">
            <v>43425</v>
          </cell>
        </row>
        <row r="7081">
          <cell r="A7081" t="str">
            <v>GC</v>
          </cell>
          <cell r="D7081">
            <v>43209</v>
          </cell>
        </row>
        <row r="7082">
          <cell r="A7082" t="str">
            <v>GC</v>
          </cell>
          <cell r="D7082">
            <v>43183</v>
          </cell>
        </row>
        <row r="7083">
          <cell r="A7083" t="str">
            <v>GC</v>
          </cell>
          <cell r="D7083">
            <v>43334</v>
          </cell>
        </row>
        <row r="7084">
          <cell r="A7084" t="str">
            <v>GC</v>
          </cell>
          <cell r="D7084">
            <v>43235</v>
          </cell>
        </row>
        <row r="7085">
          <cell r="A7085" t="str">
            <v>GC</v>
          </cell>
          <cell r="D7085">
            <v>43322</v>
          </cell>
        </row>
        <row r="7086">
          <cell r="A7086" t="str">
            <v>GC</v>
          </cell>
          <cell r="D7086">
            <v>43190</v>
          </cell>
        </row>
        <row r="7087">
          <cell r="A7087" t="str">
            <v>IN</v>
          </cell>
          <cell r="D7087">
            <v>43138</v>
          </cell>
        </row>
        <row r="7088">
          <cell r="A7088" t="str">
            <v>IN</v>
          </cell>
          <cell r="D7088">
            <v>43457</v>
          </cell>
        </row>
        <row r="7089">
          <cell r="A7089" t="str">
            <v>GC</v>
          </cell>
          <cell r="D7089">
            <v>43226</v>
          </cell>
        </row>
        <row r="7090">
          <cell r="A7090" t="str">
            <v>ASEAN</v>
          </cell>
          <cell r="D7090">
            <v>43327</v>
          </cell>
        </row>
        <row r="7091">
          <cell r="A7091" t="str">
            <v>IN</v>
          </cell>
          <cell r="D7091">
            <v>43181</v>
          </cell>
        </row>
        <row r="7092">
          <cell r="A7092" t="str">
            <v>ANZ</v>
          </cell>
          <cell r="D7092">
            <v>43301</v>
          </cell>
        </row>
        <row r="7093">
          <cell r="A7093" t="str">
            <v>ANZ</v>
          </cell>
          <cell r="D7093">
            <v>43263</v>
          </cell>
        </row>
        <row r="7094">
          <cell r="A7094" t="str">
            <v>ANZ</v>
          </cell>
          <cell r="D7094">
            <v>43165</v>
          </cell>
        </row>
        <row r="7095">
          <cell r="A7095" t="str">
            <v>ANZ</v>
          </cell>
          <cell r="D7095">
            <v>43269</v>
          </cell>
        </row>
        <row r="7096">
          <cell r="A7096" t="str">
            <v>IN</v>
          </cell>
          <cell r="D7096">
            <v>43197</v>
          </cell>
        </row>
        <row r="7097">
          <cell r="A7097" t="str">
            <v>ANZ</v>
          </cell>
          <cell r="D7097">
            <v>43241</v>
          </cell>
        </row>
        <row r="7098">
          <cell r="A7098" t="str">
            <v>ANZ</v>
          </cell>
          <cell r="D7098">
            <v>43394</v>
          </cell>
        </row>
        <row r="7099">
          <cell r="A7099" t="str">
            <v>ASEAN</v>
          </cell>
          <cell r="D7099">
            <v>43349</v>
          </cell>
        </row>
        <row r="7100">
          <cell r="A7100" t="str">
            <v>GC</v>
          </cell>
          <cell r="D7100">
            <v>43462</v>
          </cell>
        </row>
        <row r="7101">
          <cell r="A7101" t="str">
            <v>IN</v>
          </cell>
          <cell r="D7101">
            <v>43366</v>
          </cell>
        </row>
        <row r="7102">
          <cell r="A7102" t="str">
            <v>KR</v>
          </cell>
          <cell r="D7102">
            <v>43384</v>
          </cell>
        </row>
        <row r="7103">
          <cell r="A7103" t="str">
            <v>GC</v>
          </cell>
          <cell r="D7103">
            <v>43130</v>
          </cell>
        </row>
        <row r="7104">
          <cell r="A7104" t="str">
            <v>GC</v>
          </cell>
          <cell r="D7104">
            <v>43462</v>
          </cell>
        </row>
        <row r="7105">
          <cell r="A7105" t="str">
            <v>GC</v>
          </cell>
          <cell r="D7105">
            <v>43365</v>
          </cell>
        </row>
        <row r="7106">
          <cell r="A7106" t="str">
            <v>GC</v>
          </cell>
          <cell r="D7106">
            <v>43340</v>
          </cell>
        </row>
        <row r="7107">
          <cell r="A7107" t="str">
            <v>ASEAN</v>
          </cell>
          <cell r="D7107">
            <v>43328</v>
          </cell>
        </row>
        <row r="7108">
          <cell r="A7108" t="str">
            <v>GC</v>
          </cell>
          <cell r="D7108">
            <v>43451</v>
          </cell>
        </row>
        <row r="7109">
          <cell r="A7109" t="str">
            <v>IN</v>
          </cell>
          <cell r="D7109">
            <v>43365</v>
          </cell>
        </row>
        <row r="7110">
          <cell r="A7110" t="str">
            <v>IN</v>
          </cell>
          <cell r="D7110">
            <v>43250</v>
          </cell>
        </row>
        <row r="7111">
          <cell r="A7111" t="str">
            <v>IN</v>
          </cell>
          <cell r="D7111">
            <v>43161</v>
          </cell>
        </row>
        <row r="7112">
          <cell r="A7112" t="str">
            <v>IN</v>
          </cell>
          <cell r="D7112">
            <v>43265</v>
          </cell>
        </row>
        <row r="7113">
          <cell r="A7113" t="str">
            <v>IN</v>
          </cell>
          <cell r="D7113">
            <v>43225</v>
          </cell>
        </row>
        <row r="7114">
          <cell r="A7114" t="str">
            <v>GC</v>
          </cell>
          <cell r="D7114">
            <v>43387</v>
          </cell>
        </row>
        <row r="7115">
          <cell r="A7115" t="str">
            <v>KR</v>
          </cell>
          <cell r="D7115">
            <v>43299</v>
          </cell>
        </row>
        <row r="7116">
          <cell r="A7116" t="str">
            <v>ANZ</v>
          </cell>
          <cell r="D7116">
            <v>43425</v>
          </cell>
        </row>
        <row r="7117">
          <cell r="A7117" t="str">
            <v>ANZ</v>
          </cell>
          <cell r="D7117">
            <v>43375</v>
          </cell>
        </row>
        <row r="7118">
          <cell r="A7118" t="str">
            <v>ASEAN</v>
          </cell>
          <cell r="D7118">
            <v>43352</v>
          </cell>
        </row>
        <row r="7119">
          <cell r="A7119" t="str">
            <v>GC</v>
          </cell>
          <cell r="D7119">
            <v>43314</v>
          </cell>
        </row>
        <row r="7120">
          <cell r="A7120" t="str">
            <v>ANZ</v>
          </cell>
          <cell r="D7120">
            <v>43364</v>
          </cell>
        </row>
        <row r="7121">
          <cell r="A7121" t="str">
            <v>ASEAN</v>
          </cell>
          <cell r="D7121">
            <v>43155</v>
          </cell>
        </row>
        <row r="7122">
          <cell r="A7122" t="str">
            <v>ANZ</v>
          </cell>
          <cell r="D7122">
            <v>43412</v>
          </cell>
        </row>
        <row r="7123">
          <cell r="A7123" t="str">
            <v>GC</v>
          </cell>
          <cell r="D7123">
            <v>43123</v>
          </cell>
        </row>
        <row r="7124">
          <cell r="A7124" t="str">
            <v>GC</v>
          </cell>
          <cell r="D7124">
            <v>43242</v>
          </cell>
        </row>
        <row r="7125">
          <cell r="A7125" t="str">
            <v>GC</v>
          </cell>
          <cell r="D7125">
            <v>43257</v>
          </cell>
        </row>
        <row r="7126">
          <cell r="A7126" t="str">
            <v>GC</v>
          </cell>
          <cell r="D7126">
            <v>43120</v>
          </cell>
        </row>
        <row r="7127">
          <cell r="A7127" t="str">
            <v>GC</v>
          </cell>
          <cell r="D7127">
            <v>43135</v>
          </cell>
        </row>
        <row r="7128">
          <cell r="A7128" t="str">
            <v>ASEAN</v>
          </cell>
          <cell r="D7128">
            <v>43144</v>
          </cell>
        </row>
        <row r="7129">
          <cell r="A7129" t="str">
            <v>GC</v>
          </cell>
          <cell r="D7129">
            <v>43378</v>
          </cell>
        </row>
        <row r="7130">
          <cell r="A7130" t="str">
            <v>GC</v>
          </cell>
          <cell r="D7130">
            <v>43264</v>
          </cell>
        </row>
        <row r="7131">
          <cell r="A7131" t="str">
            <v>KR</v>
          </cell>
          <cell r="D7131">
            <v>43297</v>
          </cell>
        </row>
        <row r="7132">
          <cell r="A7132" t="str">
            <v>GC</v>
          </cell>
          <cell r="D7132">
            <v>43215</v>
          </cell>
        </row>
        <row r="7133">
          <cell r="A7133" t="str">
            <v>GC</v>
          </cell>
          <cell r="D7133">
            <v>43247</v>
          </cell>
        </row>
        <row r="7134">
          <cell r="A7134" t="str">
            <v>GC</v>
          </cell>
          <cell r="D7134">
            <v>43109</v>
          </cell>
        </row>
        <row r="7135">
          <cell r="A7135" t="str">
            <v>GC</v>
          </cell>
          <cell r="D7135">
            <v>43460</v>
          </cell>
        </row>
        <row r="7136">
          <cell r="A7136" t="str">
            <v>GC</v>
          </cell>
          <cell r="D7136">
            <v>43136</v>
          </cell>
        </row>
        <row r="7137">
          <cell r="A7137" t="str">
            <v>KR</v>
          </cell>
          <cell r="D7137">
            <v>43285</v>
          </cell>
        </row>
        <row r="7138">
          <cell r="A7138" t="str">
            <v>IN</v>
          </cell>
          <cell r="D7138">
            <v>43163</v>
          </cell>
        </row>
        <row r="7139">
          <cell r="A7139" t="str">
            <v>ANZ</v>
          </cell>
          <cell r="D7139">
            <v>43365</v>
          </cell>
        </row>
        <row r="7140">
          <cell r="A7140" t="str">
            <v>GC</v>
          </cell>
          <cell r="D7140">
            <v>43252</v>
          </cell>
        </row>
        <row r="7141">
          <cell r="A7141" t="str">
            <v>GC</v>
          </cell>
          <cell r="D7141">
            <v>43403</v>
          </cell>
        </row>
        <row r="7142">
          <cell r="A7142" t="str">
            <v>IN</v>
          </cell>
          <cell r="D7142">
            <v>43386</v>
          </cell>
        </row>
        <row r="7143">
          <cell r="A7143" t="str">
            <v>GC</v>
          </cell>
          <cell r="D7143">
            <v>43165</v>
          </cell>
        </row>
        <row r="7144">
          <cell r="A7144" t="str">
            <v>GC</v>
          </cell>
          <cell r="D7144">
            <v>43230</v>
          </cell>
        </row>
        <row r="7145">
          <cell r="A7145" t="str">
            <v>GC</v>
          </cell>
          <cell r="D7145">
            <v>43438</v>
          </cell>
        </row>
        <row r="7146">
          <cell r="A7146" t="str">
            <v>IN</v>
          </cell>
          <cell r="D7146">
            <v>43169</v>
          </cell>
        </row>
        <row r="7147">
          <cell r="A7147" t="str">
            <v>GC</v>
          </cell>
          <cell r="D7147">
            <v>43292</v>
          </cell>
        </row>
        <row r="7148">
          <cell r="A7148" t="str">
            <v>GC</v>
          </cell>
          <cell r="D7148">
            <v>43327</v>
          </cell>
        </row>
        <row r="7149">
          <cell r="A7149" t="str">
            <v>GC</v>
          </cell>
          <cell r="D7149">
            <v>43256</v>
          </cell>
        </row>
        <row r="7150">
          <cell r="A7150" t="str">
            <v>GC</v>
          </cell>
          <cell r="D7150">
            <v>43162</v>
          </cell>
        </row>
        <row r="7151">
          <cell r="A7151" t="str">
            <v>GC</v>
          </cell>
          <cell r="D7151">
            <v>43251</v>
          </cell>
        </row>
        <row r="7152">
          <cell r="A7152" t="str">
            <v>GC</v>
          </cell>
          <cell r="D7152">
            <v>43225</v>
          </cell>
        </row>
        <row r="7153">
          <cell r="A7153" t="str">
            <v>GC</v>
          </cell>
          <cell r="D7153">
            <v>43297</v>
          </cell>
        </row>
        <row r="7154">
          <cell r="A7154" t="str">
            <v>GC</v>
          </cell>
          <cell r="D7154">
            <v>43148</v>
          </cell>
        </row>
        <row r="7155">
          <cell r="A7155" t="str">
            <v>GC</v>
          </cell>
          <cell r="D7155">
            <v>43121</v>
          </cell>
        </row>
        <row r="7156">
          <cell r="A7156" t="str">
            <v>GC</v>
          </cell>
          <cell r="D7156">
            <v>43359</v>
          </cell>
        </row>
        <row r="7157">
          <cell r="A7157" t="str">
            <v>GC</v>
          </cell>
          <cell r="D7157">
            <v>43195</v>
          </cell>
        </row>
        <row r="7158">
          <cell r="A7158" t="str">
            <v>GC</v>
          </cell>
          <cell r="D7158">
            <v>43347</v>
          </cell>
        </row>
        <row r="7159">
          <cell r="A7159" t="str">
            <v>IN</v>
          </cell>
          <cell r="D7159">
            <v>43137</v>
          </cell>
        </row>
        <row r="7160">
          <cell r="A7160" t="str">
            <v>ANZ</v>
          </cell>
          <cell r="D7160">
            <v>43288</v>
          </cell>
        </row>
        <row r="7161">
          <cell r="A7161" t="str">
            <v>IN</v>
          </cell>
          <cell r="D7161">
            <v>43396</v>
          </cell>
        </row>
        <row r="7162">
          <cell r="A7162" t="str">
            <v>ANZ</v>
          </cell>
          <cell r="D7162">
            <v>43155</v>
          </cell>
        </row>
        <row r="7163">
          <cell r="A7163" t="str">
            <v>ANZ</v>
          </cell>
          <cell r="D7163">
            <v>43309</v>
          </cell>
        </row>
        <row r="7164">
          <cell r="A7164" t="str">
            <v>GC</v>
          </cell>
          <cell r="D7164">
            <v>43436</v>
          </cell>
        </row>
        <row r="7165">
          <cell r="A7165" t="str">
            <v>ANZ</v>
          </cell>
          <cell r="D7165">
            <v>43455</v>
          </cell>
        </row>
        <row r="7166">
          <cell r="A7166" t="str">
            <v>GC</v>
          </cell>
          <cell r="D7166">
            <v>43136</v>
          </cell>
        </row>
        <row r="7167">
          <cell r="A7167" t="str">
            <v>GC</v>
          </cell>
          <cell r="D7167">
            <v>43380</v>
          </cell>
        </row>
        <row r="7168">
          <cell r="A7168" t="str">
            <v>IN</v>
          </cell>
          <cell r="D7168">
            <v>43302</v>
          </cell>
        </row>
        <row r="7169">
          <cell r="A7169" t="str">
            <v>GC</v>
          </cell>
          <cell r="D7169">
            <v>43169</v>
          </cell>
        </row>
        <row r="7170">
          <cell r="A7170" t="str">
            <v>GC</v>
          </cell>
          <cell r="D7170">
            <v>43180</v>
          </cell>
        </row>
        <row r="7171">
          <cell r="A7171" t="str">
            <v>GC</v>
          </cell>
          <cell r="D7171">
            <v>43205</v>
          </cell>
        </row>
        <row r="7172">
          <cell r="A7172" t="str">
            <v>GC</v>
          </cell>
          <cell r="D7172">
            <v>43113</v>
          </cell>
        </row>
        <row r="7173">
          <cell r="A7173" t="str">
            <v>ANZ</v>
          </cell>
          <cell r="D7173">
            <v>43365</v>
          </cell>
        </row>
        <row r="7174">
          <cell r="A7174" t="str">
            <v>GC</v>
          </cell>
          <cell r="D7174">
            <v>43356</v>
          </cell>
        </row>
        <row r="7175">
          <cell r="A7175" t="str">
            <v>KR</v>
          </cell>
          <cell r="D7175">
            <v>43437</v>
          </cell>
        </row>
        <row r="7176">
          <cell r="A7176" t="str">
            <v>KR</v>
          </cell>
          <cell r="D7176">
            <v>43312</v>
          </cell>
        </row>
        <row r="7177">
          <cell r="A7177" t="str">
            <v>IN</v>
          </cell>
          <cell r="D7177">
            <v>43350</v>
          </cell>
        </row>
        <row r="7178">
          <cell r="A7178" t="str">
            <v>GC</v>
          </cell>
          <cell r="D7178">
            <v>43267</v>
          </cell>
        </row>
        <row r="7179">
          <cell r="A7179" t="str">
            <v>GC</v>
          </cell>
          <cell r="D7179">
            <v>43143</v>
          </cell>
        </row>
        <row r="7180">
          <cell r="A7180" t="str">
            <v>GC</v>
          </cell>
          <cell r="D7180">
            <v>43199</v>
          </cell>
        </row>
        <row r="7181">
          <cell r="A7181" t="str">
            <v>GC</v>
          </cell>
          <cell r="D7181">
            <v>43365</v>
          </cell>
        </row>
        <row r="7182">
          <cell r="A7182" t="str">
            <v>GC</v>
          </cell>
          <cell r="D7182">
            <v>43393</v>
          </cell>
        </row>
        <row r="7183">
          <cell r="A7183" t="str">
            <v>GC</v>
          </cell>
          <cell r="D7183">
            <v>43377</v>
          </cell>
        </row>
        <row r="7184">
          <cell r="A7184" t="str">
            <v>GC</v>
          </cell>
          <cell r="D7184">
            <v>43162</v>
          </cell>
        </row>
        <row r="7185">
          <cell r="A7185" t="str">
            <v>GC</v>
          </cell>
          <cell r="D7185">
            <v>43332</v>
          </cell>
        </row>
        <row r="7186">
          <cell r="A7186" t="str">
            <v>GC</v>
          </cell>
          <cell r="D7186">
            <v>43322</v>
          </cell>
        </row>
        <row r="7187">
          <cell r="A7187" t="str">
            <v>ASEAN</v>
          </cell>
          <cell r="D7187">
            <v>43170</v>
          </cell>
        </row>
        <row r="7188">
          <cell r="A7188" t="str">
            <v>GC</v>
          </cell>
          <cell r="D7188">
            <v>43133</v>
          </cell>
        </row>
        <row r="7189">
          <cell r="A7189" t="str">
            <v>GC</v>
          </cell>
          <cell r="D7189">
            <v>43180</v>
          </cell>
        </row>
        <row r="7190">
          <cell r="A7190" t="str">
            <v>GC</v>
          </cell>
          <cell r="D7190">
            <v>43312</v>
          </cell>
        </row>
        <row r="7191">
          <cell r="A7191" t="str">
            <v>GC</v>
          </cell>
          <cell r="D7191">
            <v>43173</v>
          </cell>
        </row>
        <row r="7192">
          <cell r="A7192" t="str">
            <v>GC</v>
          </cell>
          <cell r="D7192">
            <v>43242</v>
          </cell>
        </row>
        <row r="7193">
          <cell r="A7193" t="str">
            <v>GC</v>
          </cell>
          <cell r="D7193">
            <v>43205</v>
          </cell>
        </row>
        <row r="7194">
          <cell r="A7194" t="str">
            <v>GC</v>
          </cell>
          <cell r="D7194">
            <v>43340</v>
          </cell>
        </row>
        <row r="7195">
          <cell r="A7195" t="str">
            <v>GC</v>
          </cell>
          <cell r="D7195">
            <v>43287</v>
          </cell>
        </row>
        <row r="7196">
          <cell r="A7196" t="str">
            <v>IN</v>
          </cell>
          <cell r="D7196">
            <v>43246</v>
          </cell>
        </row>
        <row r="7197">
          <cell r="A7197" t="str">
            <v>GC</v>
          </cell>
          <cell r="D7197">
            <v>43217</v>
          </cell>
        </row>
        <row r="7198">
          <cell r="A7198" t="str">
            <v>GC</v>
          </cell>
          <cell r="D7198">
            <v>43204</v>
          </cell>
        </row>
        <row r="7199">
          <cell r="A7199" t="str">
            <v>IN</v>
          </cell>
          <cell r="D7199">
            <v>43371</v>
          </cell>
        </row>
        <row r="7200">
          <cell r="A7200" t="str">
            <v>GC</v>
          </cell>
          <cell r="D7200">
            <v>43287</v>
          </cell>
        </row>
        <row r="7201">
          <cell r="A7201" t="str">
            <v>GC</v>
          </cell>
          <cell r="D7201">
            <v>43204</v>
          </cell>
        </row>
        <row r="7202">
          <cell r="A7202" t="str">
            <v>IN</v>
          </cell>
          <cell r="D7202">
            <v>43174</v>
          </cell>
        </row>
        <row r="7203">
          <cell r="A7203" t="str">
            <v>IN</v>
          </cell>
          <cell r="D7203">
            <v>43465</v>
          </cell>
        </row>
        <row r="7204">
          <cell r="A7204" t="str">
            <v>GC</v>
          </cell>
          <cell r="D7204">
            <v>43245</v>
          </cell>
        </row>
        <row r="7205">
          <cell r="A7205" t="str">
            <v>GC</v>
          </cell>
          <cell r="D7205">
            <v>43196</v>
          </cell>
        </row>
        <row r="7206">
          <cell r="A7206" t="str">
            <v>GC</v>
          </cell>
          <cell r="D7206">
            <v>43258</v>
          </cell>
        </row>
        <row r="7207">
          <cell r="A7207" t="str">
            <v>GC</v>
          </cell>
          <cell r="D7207">
            <v>43273</v>
          </cell>
        </row>
        <row r="7208">
          <cell r="A7208" t="str">
            <v>GC</v>
          </cell>
          <cell r="D7208">
            <v>43297</v>
          </cell>
        </row>
        <row r="7209">
          <cell r="A7209" t="str">
            <v>GC</v>
          </cell>
          <cell r="D7209">
            <v>43240</v>
          </cell>
        </row>
        <row r="7210">
          <cell r="A7210" t="str">
            <v>GC</v>
          </cell>
          <cell r="D7210">
            <v>43216</v>
          </cell>
        </row>
        <row r="7211">
          <cell r="A7211" t="str">
            <v>GC</v>
          </cell>
          <cell r="D7211">
            <v>43432</v>
          </cell>
        </row>
        <row r="7212">
          <cell r="A7212" t="str">
            <v>GC</v>
          </cell>
          <cell r="D7212">
            <v>43395</v>
          </cell>
        </row>
        <row r="7213">
          <cell r="A7213" t="str">
            <v>GC</v>
          </cell>
          <cell r="D7213">
            <v>43158</v>
          </cell>
        </row>
        <row r="7214">
          <cell r="A7214" t="str">
            <v>GC</v>
          </cell>
          <cell r="D7214">
            <v>43308</v>
          </cell>
        </row>
        <row r="7215">
          <cell r="A7215" t="str">
            <v>GC</v>
          </cell>
          <cell r="D7215">
            <v>43259</v>
          </cell>
        </row>
        <row r="7216">
          <cell r="A7216" t="str">
            <v>GC</v>
          </cell>
          <cell r="D7216">
            <v>43152</v>
          </cell>
        </row>
        <row r="7217">
          <cell r="A7217" t="str">
            <v>GC</v>
          </cell>
          <cell r="D7217">
            <v>43144</v>
          </cell>
        </row>
        <row r="7218">
          <cell r="A7218" t="str">
            <v>ANZ</v>
          </cell>
          <cell r="D7218">
            <v>43171</v>
          </cell>
        </row>
        <row r="7219">
          <cell r="A7219" t="str">
            <v>ANZ</v>
          </cell>
          <cell r="D7219">
            <v>43250</v>
          </cell>
        </row>
        <row r="7220">
          <cell r="A7220" t="str">
            <v>GC</v>
          </cell>
          <cell r="D7220">
            <v>43396</v>
          </cell>
        </row>
        <row r="7221">
          <cell r="A7221" t="str">
            <v>ANZ</v>
          </cell>
          <cell r="D7221">
            <v>43257</v>
          </cell>
        </row>
        <row r="7222">
          <cell r="A7222" t="str">
            <v>GC</v>
          </cell>
          <cell r="D7222">
            <v>43370</v>
          </cell>
        </row>
        <row r="7223">
          <cell r="A7223" t="str">
            <v>GC</v>
          </cell>
          <cell r="D7223">
            <v>43420</v>
          </cell>
        </row>
        <row r="7224">
          <cell r="A7224" t="str">
            <v>GC</v>
          </cell>
          <cell r="D7224">
            <v>43354</v>
          </cell>
        </row>
        <row r="7225">
          <cell r="A7225" t="str">
            <v>ASEAN</v>
          </cell>
          <cell r="D7225">
            <v>43130</v>
          </cell>
        </row>
        <row r="7226">
          <cell r="A7226" t="str">
            <v>ASEAN</v>
          </cell>
          <cell r="D7226">
            <v>43422</v>
          </cell>
        </row>
        <row r="7227">
          <cell r="A7227" t="str">
            <v>GC</v>
          </cell>
          <cell r="D7227">
            <v>43439</v>
          </cell>
        </row>
        <row r="7228">
          <cell r="A7228" t="str">
            <v>GC</v>
          </cell>
          <cell r="D7228">
            <v>43451</v>
          </cell>
        </row>
        <row r="7229">
          <cell r="A7229" t="str">
            <v>GC</v>
          </cell>
          <cell r="D7229">
            <v>43269</v>
          </cell>
        </row>
        <row r="7230">
          <cell r="A7230" t="str">
            <v>GC</v>
          </cell>
          <cell r="D7230">
            <v>43361</v>
          </cell>
        </row>
        <row r="7231">
          <cell r="A7231" t="str">
            <v>GC</v>
          </cell>
          <cell r="D7231">
            <v>43389</v>
          </cell>
        </row>
        <row r="7232">
          <cell r="A7232" t="str">
            <v>IN</v>
          </cell>
          <cell r="D7232">
            <v>43387</v>
          </cell>
        </row>
        <row r="7233">
          <cell r="A7233" t="str">
            <v>GC</v>
          </cell>
          <cell r="D7233">
            <v>43194</v>
          </cell>
        </row>
        <row r="7234">
          <cell r="A7234" t="str">
            <v>GC</v>
          </cell>
          <cell r="D7234">
            <v>43119</v>
          </cell>
        </row>
        <row r="7235">
          <cell r="A7235" t="str">
            <v>GC</v>
          </cell>
          <cell r="D7235">
            <v>43155</v>
          </cell>
        </row>
        <row r="7236">
          <cell r="A7236" t="str">
            <v>GC</v>
          </cell>
          <cell r="D7236">
            <v>43130</v>
          </cell>
        </row>
        <row r="7237">
          <cell r="A7237" t="str">
            <v>GC</v>
          </cell>
          <cell r="D7237">
            <v>43196</v>
          </cell>
        </row>
        <row r="7238">
          <cell r="A7238" t="str">
            <v>KR</v>
          </cell>
          <cell r="D7238">
            <v>43325</v>
          </cell>
        </row>
        <row r="7239">
          <cell r="A7239" t="str">
            <v>KR</v>
          </cell>
          <cell r="D7239">
            <v>43463</v>
          </cell>
        </row>
        <row r="7240">
          <cell r="A7240" t="str">
            <v>IN</v>
          </cell>
          <cell r="D7240">
            <v>43129</v>
          </cell>
        </row>
        <row r="7241">
          <cell r="A7241" t="str">
            <v>GC</v>
          </cell>
          <cell r="D7241">
            <v>43117</v>
          </cell>
        </row>
        <row r="7242">
          <cell r="A7242" t="str">
            <v>ANZ</v>
          </cell>
          <cell r="D7242">
            <v>43225</v>
          </cell>
        </row>
        <row r="7243">
          <cell r="A7243" t="str">
            <v>GC</v>
          </cell>
          <cell r="D7243">
            <v>43184</v>
          </cell>
        </row>
        <row r="7244">
          <cell r="A7244" t="str">
            <v>GC</v>
          </cell>
          <cell r="D7244">
            <v>43407</v>
          </cell>
        </row>
        <row r="7245">
          <cell r="A7245" t="str">
            <v>GC</v>
          </cell>
          <cell r="D7245">
            <v>43259</v>
          </cell>
        </row>
        <row r="7246">
          <cell r="A7246" t="str">
            <v>ANZ</v>
          </cell>
          <cell r="D7246">
            <v>43441</v>
          </cell>
        </row>
        <row r="7247">
          <cell r="A7247" t="str">
            <v>GC</v>
          </cell>
          <cell r="D7247">
            <v>43394</v>
          </cell>
        </row>
        <row r="7248">
          <cell r="A7248" t="str">
            <v>GC</v>
          </cell>
          <cell r="D7248">
            <v>43254</v>
          </cell>
        </row>
        <row r="7249">
          <cell r="A7249" t="str">
            <v>GC</v>
          </cell>
          <cell r="D7249">
            <v>43418</v>
          </cell>
        </row>
        <row r="7250">
          <cell r="A7250" t="str">
            <v>GC</v>
          </cell>
          <cell r="D7250">
            <v>43266</v>
          </cell>
        </row>
        <row r="7251">
          <cell r="A7251" t="str">
            <v>GC</v>
          </cell>
          <cell r="D7251">
            <v>43222</v>
          </cell>
        </row>
        <row r="7252">
          <cell r="A7252" t="str">
            <v>GC</v>
          </cell>
          <cell r="D7252">
            <v>43160</v>
          </cell>
        </row>
        <row r="7253">
          <cell r="A7253" t="str">
            <v>GC</v>
          </cell>
          <cell r="D7253">
            <v>43294</v>
          </cell>
        </row>
        <row r="7254">
          <cell r="A7254" t="str">
            <v>GC</v>
          </cell>
          <cell r="D7254">
            <v>43188</v>
          </cell>
        </row>
        <row r="7255">
          <cell r="A7255" t="str">
            <v>GC</v>
          </cell>
          <cell r="D7255">
            <v>43370</v>
          </cell>
        </row>
        <row r="7256">
          <cell r="A7256" t="str">
            <v>ASEAN</v>
          </cell>
          <cell r="D7256">
            <v>43179</v>
          </cell>
        </row>
        <row r="7257">
          <cell r="A7257" t="str">
            <v>GC</v>
          </cell>
          <cell r="D7257">
            <v>43390</v>
          </cell>
        </row>
        <row r="7258">
          <cell r="A7258" t="str">
            <v>GC</v>
          </cell>
          <cell r="D7258">
            <v>43287</v>
          </cell>
        </row>
        <row r="7259">
          <cell r="A7259" t="str">
            <v>GC</v>
          </cell>
          <cell r="D7259">
            <v>43277</v>
          </cell>
        </row>
        <row r="7260">
          <cell r="A7260" t="str">
            <v>GC</v>
          </cell>
          <cell r="D7260">
            <v>43446</v>
          </cell>
        </row>
        <row r="7261">
          <cell r="A7261" t="str">
            <v>IN</v>
          </cell>
          <cell r="D7261">
            <v>43232</v>
          </cell>
        </row>
        <row r="7262">
          <cell r="A7262" t="str">
            <v>IN</v>
          </cell>
          <cell r="D7262">
            <v>43195</v>
          </cell>
        </row>
        <row r="7263">
          <cell r="A7263" t="str">
            <v>ANZ</v>
          </cell>
          <cell r="D7263">
            <v>43175</v>
          </cell>
        </row>
        <row r="7264">
          <cell r="A7264" t="str">
            <v>GC</v>
          </cell>
          <cell r="D7264">
            <v>43245</v>
          </cell>
        </row>
        <row r="7265">
          <cell r="A7265" t="str">
            <v>GC</v>
          </cell>
          <cell r="D7265">
            <v>43347</v>
          </cell>
        </row>
        <row r="7266">
          <cell r="A7266" t="str">
            <v>GC</v>
          </cell>
          <cell r="D7266">
            <v>43302</v>
          </cell>
        </row>
        <row r="7267">
          <cell r="A7267" t="str">
            <v>ANZ</v>
          </cell>
          <cell r="D7267">
            <v>43174</v>
          </cell>
        </row>
        <row r="7268">
          <cell r="A7268" t="str">
            <v>ASEAN</v>
          </cell>
          <cell r="D7268">
            <v>43254</v>
          </cell>
        </row>
        <row r="7269">
          <cell r="A7269" t="str">
            <v>GC</v>
          </cell>
          <cell r="D7269">
            <v>43126</v>
          </cell>
        </row>
        <row r="7270">
          <cell r="A7270" t="str">
            <v>GC</v>
          </cell>
          <cell r="D7270">
            <v>43367</v>
          </cell>
        </row>
        <row r="7271">
          <cell r="A7271" t="str">
            <v>GC</v>
          </cell>
          <cell r="D7271">
            <v>43305</v>
          </cell>
        </row>
        <row r="7272">
          <cell r="A7272" t="str">
            <v>GC</v>
          </cell>
          <cell r="D7272">
            <v>43300</v>
          </cell>
        </row>
        <row r="7273">
          <cell r="A7273" t="str">
            <v>GC</v>
          </cell>
          <cell r="D7273">
            <v>43289</v>
          </cell>
        </row>
        <row r="7274">
          <cell r="A7274" t="str">
            <v>GC</v>
          </cell>
          <cell r="D7274">
            <v>43349</v>
          </cell>
        </row>
        <row r="7275">
          <cell r="A7275" t="str">
            <v>GC</v>
          </cell>
          <cell r="D7275">
            <v>43247</v>
          </cell>
        </row>
        <row r="7276">
          <cell r="A7276" t="str">
            <v>GC</v>
          </cell>
          <cell r="D7276">
            <v>43272</v>
          </cell>
        </row>
        <row r="7277">
          <cell r="A7277" t="str">
            <v>GC</v>
          </cell>
          <cell r="D7277">
            <v>43321</v>
          </cell>
        </row>
        <row r="7278">
          <cell r="A7278" t="str">
            <v>GC</v>
          </cell>
          <cell r="D7278">
            <v>43236</v>
          </cell>
        </row>
        <row r="7279">
          <cell r="A7279" t="str">
            <v>KR</v>
          </cell>
          <cell r="D7279">
            <v>43117</v>
          </cell>
        </row>
        <row r="7280">
          <cell r="A7280" t="str">
            <v>ANZ</v>
          </cell>
          <cell r="D7280">
            <v>43271</v>
          </cell>
        </row>
        <row r="7281">
          <cell r="A7281" t="str">
            <v>ANZ</v>
          </cell>
          <cell r="D7281">
            <v>43335</v>
          </cell>
        </row>
        <row r="7282">
          <cell r="A7282" t="str">
            <v>ANZ</v>
          </cell>
          <cell r="D7282">
            <v>43213</v>
          </cell>
        </row>
        <row r="7283">
          <cell r="A7283" t="str">
            <v>ASEAN</v>
          </cell>
          <cell r="D7283">
            <v>43152</v>
          </cell>
        </row>
        <row r="7284">
          <cell r="A7284" t="str">
            <v>ASEAN</v>
          </cell>
          <cell r="D7284">
            <v>43191</v>
          </cell>
        </row>
        <row r="7285">
          <cell r="A7285" t="str">
            <v>ASEAN</v>
          </cell>
          <cell r="D7285">
            <v>43447</v>
          </cell>
        </row>
        <row r="7286">
          <cell r="A7286" t="str">
            <v>IN</v>
          </cell>
          <cell r="D7286">
            <v>43366</v>
          </cell>
        </row>
        <row r="7287">
          <cell r="A7287" t="str">
            <v>GC</v>
          </cell>
          <cell r="D7287">
            <v>43376</v>
          </cell>
        </row>
        <row r="7288">
          <cell r="A7288" t="str">
            <v>GC</v>
          </cell>
          <cell r="D7288">
            <v>43337</v>
          </cell>
        </row>
        <row r="7289">
          <cell r="A7289" t="str">
            <v>GC</v>
          </cell>
          <cell r="D7289">
            <v>43123</v>
          </cell>
        </row>
        <row r="7290">
          <cell r="A7290" t="str">
            <v>ANZ</v>
          </cell>
          <cell r="D7290">
            <v>43439</v>
          </cell>
        </row>
        <row r="7291">
          <cell r="A7291" t="str">
            <v>ANZ</v>
          </cell>
          <cell r="D7291">
            <v>43337</v>
          </cell>
        </row>
        <row r="7292">
          <cell r="A7292" t="str">
            <v>ANZ</v>
          </cell>
          <cell r="D7292">
            <v>43104</v>
          </cell>
        </row>
        <row r="7293">
          <cell r="A7293" t="str">
            <v>KR</v>
          </cell>
          <cell r="D7293">
            <v>43341</v>
          </cell>
        </row>
        <row r="7294">
          <cell r="A7294" t="str">
            <v>IN</v>
          </cell>
          <cell r="D7294">
            <v>43188</v>
          </cell>
        </row>
        <row r="7295">
          <cell r="A7295" t="str">
            <v>ASEAN</v>
          </cell>
          <cell r="D7295">
            <v>43375</v>
          </cell>
        </row>
        <row r="7296">
          <cell r="A7296" t="str">
            <v>IN</v>
          </cell>
          <cell r="D7296">
            <v>43369</v>
          </cell>
        </row>
        <row r="7297">
          <cell r="A7297" t="str">
            <v>ASEAN</v>
          </cell>
          <cell r="D7297">
            <v>43450</v>
          </cell>
        </row>
        <row r="7298">
          <cell r="A7298" t="str">
            <v>GC</v>
          </cell>
          <cell r="D7298">
            <v>43409</v>
          </cell>
        </row>
        <row r="7299">
          <cell r="A7299" t="str">
            <v>GC</v>
          </cell>
          <cell r="D7299">
            <v>43150</v>
          </cell>
        </row>
        <row r="7300">
          <cell r="A7300" t="str">
            <v>GC</v>
          </cell>
          <cell r="D7300">
            <v>43323</v>
          </cell>
        </row>
        <row r="7301">
          <cell r="A7301" t="str">
            <v>GC</v>
          </cell>
          <cell r="D7301">
            <v>43391</v>
          </cell>
        </row>
        <row r="7302">
          <cell r="A7302" t="str">
            <v>IN</v>
          </cell>
          <cell r="D7302">
            <v>43165</v>
          </cell>
        </row>
        <row r="7303">
          <cell r="A7303" t="str">
            <v>GC</v>
          </cell>
          <cell r="D7303">
            <v>43177</v>
          </cell>
        </row>
        <row r="7304">
          <cell r="A7304" t="str">
            <v>GC</v>
          </cell>
          <cell r="D7304">
            <v>43249</v>
          </cell>
        </row>
        <row r="7305">
          <cell r="A7305" t="str">
            <v>GC</v>
          </cell>
          <cell r="D7305">
            <v>43282</v>
          </cell>
        </row>
        <row r="7306">
          <cell r="A7306" t="str">
            <v>GC</v>
          </cell>
          <cell r="D7306">
            <v>43292</v>
          </cell>
        </row>
        <row r="7307">
          <cell r="A7307" t="str">
            <v>GC</v>
          </cell>
          <cell r="D7307">
            <v>43340</v>
          </cell>
        </row>
        <row r="7308">
          <cell r="A7308" t="str">
            <v>GC</v>
          </cell>
          <cell r="D7308">
            <v>43258</v>
          </cell>
        </row>
        <row r="7309">
          <cell r="A7309" t="str">
            <v>GC</v>
          </cell>
          <cell r="D7309">
            <v>43119</v>
          </cell>
        </row>
        <row r="7310">
          <cell r="A7310" t="str">
            <v>GC</v>
          </cell>
          <cell r="D7310">
            <v>43355</v>
          </cell>
        </row>
        <row r="7311">
          <cell r="A7311" t="str">
            <v>GC</v>
          </cell>
          <cell r="D7311">
            <v>43219</v>
          </cell>
        </row>
        <row r="7312">
          <cell r="A7312" t="str">
            <v>GC</v>
          </cell>
          <cell r="D7312">
            <v>43384</v>
          </cell>
        </row>
        <row r="7313">
          <cell r="A7313" t="str">
            <v>ASEAN</v>
          </cell>
          <cell r="D7313">
            <v>43228</v>
          </cell>
        </row>
        <row r="7314">
          <cell r="A7314" t="str">
            <v>ASEAN</v>
          </cell>
          <cell r="D7314">
            <v>43263</v>
          </cell>
        </row>
        <row r="7315">
          <cell r="A7315" t="str">
            <v>ASEAN</v>
          </cell>
          <cell r="D7315">
            <v>43102</v>
          </cell>
        </row>
        <row r="7316">
          <cell r="A7316" t="str">
            <v>ANZ</v>
          </cell>
          <cell r="D7316">
            <v>43335</v>
          </cell>
        </row>
        <row r="7317">
          <cell r="A7317" t="str">
            <v>ANZ</v>
          </cell>
          <cell r="D7317">
            <v>43201</v>
          </cell>
        </row>
        <row r="7318">
          <cell r="A7318" t="str">
            <v>ASEAN</v>
          </cell>
          <cell r="D7318">
            <v>43181</v>
          </cell>
        </row>
        <row r="7319">
          <cell r="A7319" t="str">
            <v>IN</v>
          </cell>
          <cell r="D7319">
            <v>43291</v>
          </cell>
        </row>
        <row r="7320">
          <cell r="A7320" t="str">
            <v>GC</v>
          </cell>
          <cell r="D7320">
            <v>43361</v>
          </cell>
        </row>
        <row r="7321">
          <cell r="A7321" t="str">
            <v>ASEAN</v>
          </cell>
          <cell r="D7321">
            <v>43127</v>
          </cell>
        </row>
        <row r="7322">
          <cell r="A7322" t="str">
            <v>ASEAN</v>
          </cell>
          <cell r="D7322">
            <v>43251</v>
          </cell>
        </row>
        <row r="7323">
          <cell r="A7323" t="str">
            <v>ASEAN</v>
          </cell>
          <cell r="D7323">
            <v>43258</v>
          </cell>
        </row>
        <row r="7324">
          <cell r="A7324" t="str">
            <v>ANZ</v>
          </cell>
          <cell r="D7324">
            <v>43292</v>
          </cell>
        </row>
        <row r="7325">
          <cell r="A7325" t="str">
            <v>IN</v>
          </cell>
          <cell r="D7325">
            <v>43427</v>
          </cell>
        </row>
        <row r="7326">
          <cell r="A7326" t="str">
            <v>GC</v>
          </cell>
          <cell r="D7326">
            <v>43355</v>
          </cell>
        </row>
        <row r="7327">
          <cell r="A7327" t="str">
            <v>ANZ</v>
          </cell>
          <cell r="D7327">
            <v>43176</v>
          </cell>
        </row>
        <row r="7328">
          <cell r="A7328" t="str">
            <v>GC</v>
          </cell>
          <cell r="D7328">
            <v>43449</v>
          </cell>
        </row>
        <row r="7329">
          <cell r="A7329" t="str">
            <v>GC</v>
          </cell>
          <cell r="D7329">
            <v>43231</v>
          </cell>
        </row>
        <row r="7330">
          <cell r="A7330" t="str">
            <v>GC</v>
          </cell>
          <cell r="D7330">
            <v>43170</v>
          </cell>
        </row>
        <row r="7331">
          <cell r="A7331" t="str">
            <v>ANZ</v>
          </cell>
          <cell r="D7331">
            <v>43279</v>
          </cell>
        </row>
        <row r="7332">
          <cell r="A7332" t="str">
            <v>ANZ</v>
          </cell>
          <cell r="D7332">
            <v>43421</v>
          </cell>
        </row>
        <row r="7333">
          <cell r="A7333" t="str">
            <v>GC</v>
          </cell>
          <cell r="D7333">
            <v>43313</v>
          </cell>
        </row>
        <row r="7334">
          <cell r="A7334" t="str">
            <v>ANZ</v>
          </cell>
          <cell r="D7334">
            <v>43184</v>
          </cell>
        </row>
        <row r="7335">
          <cell r="A7335" t="str">
            <v>ANZ</v>
          </cell>
          <cell r="D7335">
            <v>43197</v>
          </cell>
        </row>
        <row r="7336">
          <cell r="A7336" t="str">
            <v>GC</v>
          </cell>
          <cell r="D7336">
            <v>43291</v>
          </cell>
        </row>
        <row r="7337">
          <cell r="A7337" t="str">
            <v>GC</v>
          </cell>
          <cell r="D7337">
            <v>43253</v>
          </cell>
        </row>
        <row r="7338">
          <cell r="A7338" t="str">
            <v>ANZ</v>
          </cell>
          <cell r="D7338">
            <v>43123</v>
          </cell>
        </row>
        <row r="7339">
          <cell r="A7339" t="str">
            <v>KR</v>
          </cell>
          <cell r="D7339">
            <v>43244</v>
          </cell>
        </row>
        <row r="7340">
          <cell r="A7340" t="str">
            <v>KR</v>
          </cell>
          <cell r="D7340">
            <v>43399</v>
          </cell>
        </row>
        <row r="7341">
          <cell r="A7341" t="str">
            <v>GC</v>
          </cell>
          <cell r="D7341">
            <v>43183</v>
          </cell>
        </row>
        <row r="7342">
          <cell r="A7342" t="str">
            <v>GC</v>
          </cell>
          <cell r="D7342">
            <v>43448</v>
          </cell>
        </row>
        <row r="7343">
          <cell r="A7343" t="str">
            <v>GC</v>
          </cell>
          <cell r="D7343">
            <v>43234</v>
          </cell>
        </row>
        <row r="7344">
          <cell r="A7344" t="str">
            <v>GC</v>
          </cell>
          <cell r="D7344">
            <v>43463</v>
          </cell>
        </row>
        <row r="7345">
          <cell r="A7345" t="str">
            <v>GC</v>
          </cell>
          <cell r="D7345">
            <v>43166</v>
          </cell>
        </row>
        <row r="7346">
          <cell r="A7346" t="str">
            <v>GC</v>
          </cell>
          <cell r="D7346">
            <v>43367</v>
          </cell>
        </row>
        <row r="7347">
          <cell r="A7347" t="str">
            <v>GC</v>
          </cell>
          <cell r="D7347">
            <v>43450</v>
          </cell>
        </row>
        <row r="7348">
          <cell r="A7348" t="str">
            <v>GC</v>
          </cell>
          <cell r="D7348">
            <v>43151</v>
          </cell>
        </row>
        <row r="7349">
          <cell r="A7349" t="str">
            <v>KR</v>
          </cell>
          <cell r="D7349">
            <v>43118</v>
          </cell>
        </row>
        <row r="7350">
          <cell r="A7350" t="str">
            <v>KR</v>
          </cell>
          <cell r="D7350">
            <v>43217</v>
          </cell>
        </row>
        <row r="7351">
          <cell r="A7351" t="str">
            <v>KR</v>
          </cell>
          <cell r="D7351">
            <v>43291</v>
          </cell>
        </row>
        <row r="7352">
          <cell r="A7352" t="str">
            <v>ANZ</v>
          </cell>
          <cell r="D7352">
            <v>43154</v>
          </cell>
        </row>
        <row r="7353">
          <cell r="A7353" t="str">
            <v>GC</v>
          </cell>
          <cell r="D7353">
            <v>43294</v>
          </cell>
        </row>
        <row r="7354">
          <cell r="A7354" t="str">
            <v>ANZ</v>
          </cell>
          <cell r="D7354">
            <v>43186</v>
          </cell>
        </row>
        <row r="7355">
          <cell r="A7355" t="str">
            <v>GC</v>
          </cell>
          <cell r="D7355">
            <v>43306</v>
          </cell>
        </row>
        <row r="7356">
          <cell r="A7356" t="str">
            <v>IN</v>
          </cell>
          <cell r="D7356">
            <v>43446</v>
          </cell>
        </row>
        <row r="7357">
          <cell r="A7357" t="str">
            <v>GC</v>
          </cell>
          <cell r="D7357">
            <v>43318</v>
          </cell>
        </row>
        <row r="7358">
          <cell r="A7358" t="str">
            <v>IN</v>
          </cell>
          <cell r="D7358">
            <v>43257</v>
          </cell>
        </row>
        <row r="7359">
          <cell r="A7359" t="str">
            <v>GC</v>
          </cell>
          <cell r="D7359">
            <v>43232</v>
          </cell>
        </row>
        <row r="7360">
          <cell r="A7360" t="str">
            <v>GC</v>
          </cell>
          <cell r="D7360">
            <v>43218</v>
          </cell>
        </row>
        <row r="7361">
          <cell r="A7361" t="str">
            <v>GC</v>
          </cell>
          <cell r="D7361">
            <v>43141</v>
          </cell>
        </row>
        <row r="7362">
          <cell r="A7362" t="str">
            <v>GC</v>
          </cell>
          <cell r="D7362">
            <v>43401</v>
          </cell>
        </row>
        <row r="7363">
          <cell r="A7363" t="str">
            <v>GC</v>
          </cell>
          <cell r="D7363">
            <v>43307</v>
          </cell>
        </row>
        <row r="7364">
          <cell r="A7364" t="str">
            <v>GC</v>
          </cell>
          <cell r="D7364">
            <v>43188</v>
          </cell>
        </row>
        <row r="7365">
          <cell r="A7365" t="str">
            <v>GC</v>
          </cell>
          <cell r="D7365">
            <v>43296</v>
          </cell>
        </row>
        <row r="7366">
          <cell r="A7366" t="str">
            <v>GC</v>
          </cell>
          <cell r="D7366">
            <v>43426</v>
          </cell>
        </row>
        <row r="7367">
          <cell r="A7367" t="str">
            <v>ASEAN</v>
          </cell>
          <cell r="D7367">
            <v>43152</v>
          </cell>
        </row>
        <row r="7368">
          <cell r="A7368" t="str">
            <v>IN</v>
          </cell>
          <cell r="D7368">
            <v>43249</v>
          </cell>
        </row>
        <row r="7369">
          <cell r="A7369" t="str">
            <v>GC</v>
          </cell>
          <cell r="D7369">
            <v>43198</v>
          </cell>
        </row>
        <row r="7370">
          <cell r="A7370" t="str">
            <v>IN</v>
          </cell>
          <cell r="D7370">
            <v>43296</v>
          </cell>
        </row>
        <row r="7371">
          <cell r="A7371" t="str">
            <v>GC</v>
          </cell>
          <cell r="D7371">
            <v>43222</v>
          </cell>
        </row>
        <row r="7372">
          <cell r="A7372" t="str">
            <v>GC</v>
          </cell>
          <cell r="D7372">
            <v>43177</v>
          </cell>
        </row>
        <row r="7373">
          <cell r="A7373" t="str">
            <v>IN</v>
          </cell>
          <cell r="D7373">
            <v>43401</v>
          </cell>
        </row>
        <row r="7374">
          <cell r="A7374" t="str">
            <v>GC</v>
          </cell>
          <cell r="D7374">
            <v>43381</v>
          </cell>
        </row>
        <row r="7375">
          <cell r="A7375" t="str">
            <v>GC</v>
          </cell>
          <cell r="D7375">
            <v>43192</v>
          </cell>
        </row>
        <row r="7376">
          <cell r="A7376" t="str">
            <v>GC</v>
          </cell>
          <cell r="D7376">
            <v>43379</v>
          </cell>
        </row>
        <row r="7377">
          <cell r="A7377" t="str">
            <v>GC</v>
          </cell>
          <cell r="D7377">
            <v>43230</v>
          </cell>
        </row>
        <row r="7378">
          <cell r="A7378" t="str">
            <v>GC</v>
          </cell>
          <cell r="D7378">
            <v>43440</v>
          </cell>
        </row>
        <row r="7379">
          <cell r="A7379" t="str">
            <v>GC</v>
          </cell>
          <cell r="D7379">
            <v>43348</v>
          </cell>
        </row>
        <row r="7380">
          <cell r="A7380" t="str">
            <v>GC</v>
          </cell>
          <cell r="D7380">
            <v>43295</v>
          </cell>
        </row>
        <row r="7381">
          <cell r="A7381" t="str">
            <v>GC</v>
          </cell>
          <cell r="D7381">
            <v>43346</v>
          </cell>
        </row>
        <row r="7382">
          <cell r="A7382" t="str">
            <v>GC</v>
          </cell>
          <cell r="D7382">
            <v>43327</v>
          </cell>
        </row>
        <row r="7383">
          <cell r="A7383" t="str">
            <v>GC</v>
          </cell>
          <cell r="D7383">
            <v>43335</v>
          </cell>
        </row>
        <row r="7384">
          <cell r="A7384" t="str">
            <v>GC</v>
          </cell>
          <cell r="D7384">
            <v>43121</v>
          </cell>
        </row>
        <row r="7385">
          <cell r="A7385" t="str">
            <v>ASEAN</v>
          </cell>
          <cell r="D7385">
            <v>43456</v>
          </cell>
        </row>
        <row r="7386">
          <cell r="A7386" t="str">
            <v>IN</v>
          </cell>
          <cell r="D7386">
            <v>43197</v>
          </cell>
        </row>
        <row r="7387">
          <cell r="A7387" t="str">
            <v>GC</v>
          </cell>
          <cell r="D7387">
            <v>43132</v>
          </cell>
        </row>
        <row r="7388">
          <cell r="A7388" t="str">
            <v>ANZ</v>
          </cell>
          <cell r="D7388">
            <v>43337</v>
          </cell>
        </row>
        <row r="7389">
          <cell r="A7389" t="str">
            <v>IN</v>
          </cell>
          <cell r="D7389">
            <v>43311</v>
          </cell>
        </row>
        <row r="7390">
          <cell r="A7390" t="str">
            <v>IN</v>
          </cell>
          <cell r="D7390">
            <v>43451</v>
          </cell>
        </row>
        <row r="7391">
          <cell r="A7391" t="str">
            <v>GC</v>
          </cell>
          <cell r="D7391">
            <v>43163</v>
          </cell>
        </row>
        <row r="7392">
          <cell r="A7392" t="str">
            <v>GC</v>
          </cell>
          <cell r="D7392">
            <v>43380</v>
          </cell>
        </row>
        <row r="7393">
          <cell r="A7393" t="str">
            <v>ASEAN</v>
          </cell>
          <cell r="D7393">
            <v>43292</v>
          </cell>
        </row>
        <row r="7394">
          <cell r="A7394" t="str">
            <v>ASEAN</v>
          </cell>
          <cell r="D7394">
            <v>43248</v>
          </cell>
        </row>
        <row r="7395">
          <cell r="A7395" t="str">
            <v>ASEAN</v>
          </cell>
          <cell r="D7395">
            <v>43163</v>
          </cell>
        </row>
        <row r="7396">
          <cell r="A7396" t="str">
            <v>ANZ</v>
          </cell>
          <cell r="D7396">
            <v>43301</v>
          </cell>
        </row>
        <row r="7397">
          <cell r="A7397" t="str">
            <v>GC</v>
          </cell>
          <cell r="D7397">
            <v>43248</v>
          </cell>
        </row>
        <row r="7398">
          <cell r="A7398" t="str">
            <v>GC</v>
          </cell>
          <cell r="D7398">
            <v>43326</v>
          </cell>
        </row>
        <row r="7399">
          <cell r="A7399" t="str">
            <v>GC</v>
          </cell>
          <cell r="D7399">
            <v>43362</v>
          </cell>
        </row>
        <row r="7400">
          <cell r="A7400" t="str">
            <v>GC</v>
          </cell>
          <cell r="D7400">
            <v>43418</v>
          </cell>
        </row>
        <row r="7401">
          <cell r="A7401" t="str">
            <v>GC</v>
          </cell>
          <cell r="D7401">
            <v>43110</v>
          </cell>
        </row>
        <row r="7402">
          <cell r="A7402" t="str">
            <v>GC</v>
          </cell>
          <cell r="D7402">
            <v>43343</v>
          </cell>
        </row>
        <row r="7403">
          <cell r="A7403" t="str">
            <v>IN</v>
          </cell>
          <cell r="D7403">
            <v>43405</v>
          </cell>
        </row>
        <row r="7404">
          <cell r="A7404" t="str">
            <v>ASEAN</v>
          </cell>
          <cell r="D7404">
            <v>43385</v>
          </cell>
        </row>
        <row r="7405">
          <cell r="A7405" t="str">
            <v>GC</v>
          </cell>
          <cell r="D7405">
            <v>43391</v>
          </cell>
        </row>
        <row r="7406">
          <cell r="A7406" t="str">
            <v>GC</v>
          </cell>
          <cell r="D7406">
            <v>43402</v>
          </cell>
        </row>
        <row r="7407">
          <cell r="A7407" t="str">
            <v>IN</v>
          </cell>
          <cell r="D7407">
            <v>43224</v>
          </cell>
        </row>
        <row r="7408">
          <cell r="A7408" t="str">
            <v>IN</v>
          </cell>
          <cell r="D7408">
            <v>43167</v>
          </cell>
        </row>
        <row r="7409">
          <cell r="A7409" t="str">
            <v>GC</v>
          </cell>
          <cell r="D7409">
            <v>43266</v>
          </cell>
        </row>
        <row r="7410">
          <cell r="A7410" t="str">
            <v>GC</v>
          </cell>
          <cell r="D7410">
            <v>43269</v>
          </cell>
        </row>
        <row r="7411">
          <cell r="A7411" t="str">
            <v>GC</v>
          </cell>
          <cell r="D7411">
            <v>43418</v>
          </cell>
        </row>
        <row r="7412">
          <cell r="A7412" t="str">
            <v>GC</v>
          </cell>
          <cell r="D7412">
            <v>43302</v>
          </cell>
        </row>
        <row r="7413">
          <cell r="A7413" t="str">
            <v>ASEAN</v>
          </cell>
          <cell r="D7413">
            <v>43200</v>
          </cell>
        </row>
        <row r="7414">
          <cell r="A7414" t="str">
            <v>ASEAN</v>
          </cell>
          <cell r="D7414">
            <v>43419</v>
          </cell>
        </row>
        <row r="7415">
          <cell r="A7415" t="str">
            <v>ASEAN</v>
          </cell>
          <cell r="D7415">
            <v>43417</v>
          </cell>
        </row>
        <row r="7416">
          <cell r="A7416" t="str">
            <v>ASEAN</v>
          </cell>
          <cell r="D7416">
            <v>43114</v>
          </cell>
        </row>
        <row r="7417">
          <cell r="A7417" t="str">
            <v>ASEAN</v>
          </cell>
          <cell r="D7417">
            <v>43344</v>
          </cell>
        </row>
        <row r="7418">
          <cell r="A7418" t="str">
            <v>ASEAN</v>
          </cell>
          <cell r="D7418">
            <v>43147</v>
          </cell>
        </row>
        <row r="7419">
          <cell r="A7419" t="str">
            <v>GC</v>
          </cell>
          <cell r="D7419">
            <v>43147</v>
          </cell>
        </row>
        <row r="7420">
          <cell r="A7420" t="str">
            <v>KR</v>
          </cell>
          <cell r="D7420">
            <v>43103</v>
          </cell>
        </row>
        <row r="7421">
          <cell r="A7421" t="str">
            <v>GC</v>
          </cell>
          <cell r="D7421">
            <v>43209</v>
          </cell>
        </row>
        <row r="7422">
          <cell r="A7422" t="str">
            <v>GC</v>
          </cell>
          <cell r="D7422">
            <v>43271</v>
          </cell>
        </row>
        <row r="7423">
          <cell r="A7423" t="str">
            <v>ASEAN</v>
          </cell>
          <cell r="D7423">
            <v>43400</v>
          </cell>
        </row>
        <row r="7424">
          <cell r="A7424" t="str">
            <v>ASEAN</v>
          </cell>
          <cell r="D7424">
            <v>43384</v>
          </cell>
        </row>
        <row r="7425">
          <cell r="A7425" t="str">
            <v>GC</v>
          </cell>
          <cell r="D7425">
            <v>43233</v>
          </cell>
        </row>
        <row r="7426">
          <cell r="A7426" t="str">
            <v>IN</v>
          </cell>
          <cell r="D7426">
            <v>43197</v>
          </cell>
        </row>
        <row r="7427">
          <cell r="A7427" t="str">
            <v>ANZ</v>
          </cell>
          <cell r="D7427">
            <v>43420</v>
          </cell>
        </row>
        <row r="7428">
          <cell r="A7428" t="str">
            <v>ASEAN</v>
          </cell>
          <cell r="D7428">
            <v>43331</v>
          </cell>
        </row>
        <row r="7429">
          <cell r="A7429" t="str">
            <v>IN</v>
          </cell>
          <cell r="D7429">
            <v>43325</v>
          </cell>
        </row>
        <row r="7430">
          <cell r="A7430" t="str">
            <v>IN</v>
          </cell>
          <cell r="D7430">
            <v>43328</v>
          </cell>
        </row>
        <row r="7431">
          <cell r="A7431" t="str">
            <v>ASEAN</v>
          </cell>
          <cell r="D7431">
            <v>43408</v>
          </cell>
        </row>
        <row r="7432">
          <cell r="A7432" t="str">
            <v>ANZ</v>
          </cell>
          <cell r="D7432">
            <v>43423</v>
          </cell>
        </row>
        <row r="7433">
          <cell r="A7433" t="str">
            <v>IN</v>
          </cell>
          <cell r="D7433">
            <v>43104</v>
          </cell>
        </row>
        <row r="7434">
          <cell r="A7434" t="str">
            <v>ASEAN</v>
          </cell>
          <cell r="D7434">
            <v>43340</v>
          </cell>
        </row>
        <row r="7435">
          <cell r="A7435" t="str">
            <v>GC</v>
          </cell>
          <cell r="D7435">
            <v>43171</v>
          </cell>
        </row>
        <row r="7436">
          <cell r="A7436" t="str">
            <v>GC</v>
          </cell>
          <cell r="D7436">
            <v>43174</v>
          </cell>
        </row>
        <row r="7437">
          <cell r="A7437" t="str">
            <v>GC</v>
          </cell>
          <cell r="D7437">
            <v>43248</v>
          </cell>
        </row>
        <row r="7438">
          <cell r="A7438" t="str">
            <v>GC</v>
          </cell>
          <cell r="D7438">
            <v>43454</v>
          </cell>
        </row>
        <row r="7439">
          <cell r="A7439" t="str">
            <v>GC</v>
          </cell>
          <cell r="D7439">
            <v>43441</v>
          </cell>
        </row>
        <row r="7440">
          <cell r="A7440" t="str">
            <v>GC</v>
          </cell>
          <cell r="D7440">
            <v>43177</v>
          </cell>
        </row>
        <row r="7441">
          <cell r="A7441" t="str">
            <v>GC</v>
          </cell>
          <cell r="D7441">
            <v>43294</v>
          </cell>
        </row>
        <row r="7442">
          <cell r="A7442" t="str">
            <v>ASEAN</v>
          </cell>
          <cell r="D7442">
            <v>43447</v>
          </cell>
        </row>
        <row r="7443">
          <cell r="A7443" t="str">
            <v>ANZ</v>
          </cell>
          <cell r="D7443">
            <v>43283</v>
          </cell>
        </row>
        <row r="7444">
          <cell r="A7444" t="str">
            <v>ANZ</v>
          </cell>
          <cell r="D7444">
            <v>43319</v>
          </cell>
        </row>
        <row r="7445">
          <cell r="A7445" t="str">
            <v>GC</v>
          </cell>
          <cell r="D7445">
            <v>43137</v>
          </cell>
        </row>
        <row r="7446">
          <cell r="A7446" t="str">
            <v>GC</v>
          </cell>
          <cell r="D7446">
            <v>43231</v>
          </cell>
        </row>
        <row r="7447">
          <cell r="A7447" t="str">
            <v>GC</v>
          </cell>
          <cell r="D7447">
            <v>43304</v>
          </cell>
        </row>
        <row r="7448">
          <cell r="A7448" t="str">
            <v>ASEAN</v>
          </cell>
          <cell r="D7448">
            <v>43236</v>
          </cell>
        </row>
        <row r="7449">
          <cell r="A7449" t="str">
            <v>GC</v>
          </cell>
          <cell r="D7449">
            <v>43122</v>
          </cell>
        </row>
        <row r="7450">
          <cell r="A7450" t="str">
            <v>ASEAN</v>
          </cell>
          <cell r="D7450">
            <v>43184</v>
          </cell>
        </row>
        <row r="7451">
          <cell r="A7451" t="str">
            <v>ANZ</v>
          </cell>
          <cell r="D7451">
            <v>43293</v>
          </cell>
        </row>
        <row r="7452">
          <cell r="A7452" t="str">
            <v>KR</v>
          </cell>
          <cell r="D7452">
            <v>43246</v>
          </cell>
        </row>
        <row r="7453">
          <cell r="A7453" t="str">
            <v>KR</v>
          </cell>
          <cell r="D7453">
            <v>43262</v>
          </cell>
        </row>
        <row r="7454">
          <cell r="A7454" t="str">
            <v>GC</v>
          </cell>
          <cell r="D7454">
            <v>43332</v>
          </cell>
        </row>
        <row r="7455">
          <cell r="A7455" t="str">
            <v>GC</v>
          </cell>
          <cell r="D7455">
            <v>43115</v>
          </cell>
        </row>
        <row r="7456">
          <cell r="A7456" t="str">
            <v>GC</v>
          </cell>
          <cell r="D7456">
            <v>43266</v>
          </cell>
        </row>
        <row r="7457">
          <cell r="A7457" t="str">
            <v>ANZ</v>
          </cell>
          <cell r="D7457">
            <v>43209</v>
          </cell>
        </row>
        <row r="7458">
          <cell r="A7458" t="str">
            <v>IN</v>
          </cell>
          <cell r="D7458">
            <v>43369</v>
          </cell>
        </row>
        <row r="7459">
          <cell r="A7459" t="str">
            <v>IN</v>
          </cell>
          <cell r="D7459">
            <v>43131</v>
          </cell>
        </row>
        <row r="7460">
          <cell r="A7460" t="str">
            <v>GC</v>
          </cell>
          <cell r="D7460">
            <v>43324</v>
          </cell>
        </row>
        <row r="7461">
          <cell r="A7461" t="str">
            <v>GC</v>
          </cell>
          <cell r="D7461">
            <v>43207</v>
          </cell>
        </row>
        <row r="7462">
          <cell r="A7462" t="str">
            <v>GC</v>
          </cell>
          <cell r="D7462">
            <v>43356</v>
          </cell>
        </row>
        <row r="7463">
          <cell r="A7463" t="str">
            <v>ASEAN</v>
          </cell>
          <cell r="D7463">
            <v>43186</v>
          </cell>
        </row>
        <row r="7464">
          <cell r="A7464" t="str">
            <v>ASEAN</v>
          </cell>
          <cell r="D7464">
            <v>43194</v>
          </cell>
        </row>
        <row r="7465">
          <cell r="A7465" t="str">
            <v>GC</v>
          </cell>
          <cell r="D7465">
            <v>43351</v>
          </cell>
        </row>
        <row r="7466">
          <cell r="A7466" t="str">
            <v>IN</v>
          </cell>
          <cell r="D7466">
            <v>43161</v>
          </cell>
        </row>
        <row r="7467">
          <cell r="A7467" t="str">
            <v>IN</v>
          </cell>
          <cell r="D7467">
            <v>43108</v>
          </cell>
        </row>
        <row r="7468">
          <cell r="A7468" t="str">
            <v>IN</v>
          </cell>
          <cell r="D7468">
            <v>43317</v>
          </cell>
        </row>
        <row r="7469">
          <cell r="A7469" t="str">
            <v>IN</v>
          </cell>
          <cell r="D7469">
            <v>43106</v>
          </cell>
        </row>
        <row r="7470">
          <cell r="A7470" t="str">
            <v>ANZ</v>
          </cell>
          <cell r="D7470">
            <v>43403</v>
          </cell>
        </row>
        <row r="7471">
          <cell r="A7471" t="str">
            <v>ASEAN</v>
          </cell>
          <cell r="D7471">
            <v>43424</v>
          </cell>
        </row>
        <row r="7472">
          <cell r="A7472" t="str">
            <v>IN</v>
          </cell>
          <cell r="D7472">
            <v>43163</v>
          </cell>
        </row>
        <row r="7473">
          <cell r="A7473" t="str">
            <v>IN</v>
          </cell>
          <cell r="D7473">
            <v>43422</v>
          </cell>
        </row>
        <row r="7474">
          <cell r="A7474" t="str">
            <v>ASEAN</v>
          </cell>
          <cell r="D7474">
            <v>43222</v>
          </cell>
        </row>
        <row r="7475">
          <cell r="A7475" t="str">
            <v>GC</v>
          </cell>
          <cell r="D7475">
            <v>43128</v>
          </cell>
        </row>
        <row r="7476">
          <cell r="A7476" t="str">
            <v>GC</v>
          </cell>
          <cell r="D7476">
            <v>43325</v>
          </cell>
        </row>
        <row r="7477">
          <cell r="A7477" t="str">
            <v>IN</v>
          </cell>
          <cell r="D7477">
            <v>43346</v>
          </cell>
        </row>
        <row r="7478">
          <cell r="A7478" t="str">
            <v>GC</v>
          </cell>
          <cell r="D7478">
            <v>43336</v>
          </cell>
        </row>
        <row r="7479">
          <cell r="A7479" t="str">
            <v>KR</v>
          </cell>
          <cell r="D7479">
            <v>43402</v>
          </cell>
        </row>
        <row r="7480">
          <cell r="A7480" t="str">
            <v>KR</v>
          </cell>
          <cell r="D7480">
            <v>43377</v>
          </cell>
        </row>
        <row r="7481">
          <cell r="A7481" t="str">
            <v>IN</v>
          </cell>
          <cell r="D7481">
            <v>43121</v>
          </cell>
        </row>
        <row r="7482">
          <cell r="A7482" t="str">
            <v>ASEAN</v>
          </cell>
          <cell r="D7482">
            <v>43155</v>
          </cell>
        </row>
        <row r="7483">
          <cell r="A7483" t="str">
            <v>GC</v>
          </cell>
          <cell r="D7483">
            <v>43255</v>
          </cell>
        </row>
        <row r="7484">
          <cell r="A7484" t="str">
            <v>IN</v>
          </cell>
          <cell r="D7484">
            <v>43384</v>
          </cell>
        </row>
        <row r="7485">
          <cell r="A7485" t="str">
            <v>ANZ</v>
          </cell>
          <cell r="D7485">
            <v>43312</v>
          </cell>
        </row>
        <row r="7486">
          <cell r="A7486" t="str">
            <v>KR</v>
          </cell>
          <cell r="D7486">
            <v>43114</v>
          </cell>
        </row>
        <row r="7487">
          <cell r="A7487" t="str">
            <v>ANZ</v>
          </cell>
          <cell r="D7487">
            <v>43165</v>
          </cell>
        </row>
        <row r="7488">
          <cell r="A7488" t="str">
            <v>GC</v>
          </cell>
          <cell r="D7488">
            <v>43372</v>
          </cell>
        </row>
        <row r="7489">
          <cell r="A7489" t="str">
            <v>ANZ</v>
          </cell>
          <cell r="D7489">
            <v>43368</v>
          </cell>
        </row>
        <row r="7490">
          <cell r="A7490" t="str">
            <v>IN</v>
          </cell>
          <cell r="D7490">
            <v>43310</v>
          </cell>
        </row>
        <row r="7491">
          <cell r="A7491" t="str">
            <v>GC</v>
          </cell>
          <cell r="D7491">
            <v>43204</v>
          </cell>
        </row>
        <row r="7492">
          <cell r="A7492" t="str">
            <v>IN</v>
          </cell>
          <cell r="D7492">
            <v>43115</v>
          </cell>
        </row>
        <row r="7493">
          <cell r="A7493" t="str">
            <v>GC</v>
          </cell>
          <cell r="D7493">
            <v>43309</v>
          </cell>
        </row>
        <row r="7494">
          <cell r="A7494" t="str">
            <v>KR</v>
          </cell>
          <cell r="D7494">
            <v>43384</v>
          </cell>
        </row>
        <row r="7495">
          <cell r="A7495" t="str">
            <v>ANZ</v>
          </cell>
          <cell r="D7495">
            <v>43234</v>
          </cell>
        </row>
        <row r="7496">
          <cell r="A7496" t="str">
            <v>IN</v>
          </cell>
          <cell r="D7496">
            <v>43211</v>
          </cell>
        </row>
        <row r="7497">
          <cell r="A7497" t="str">
            <v>ANZ</v>
          </cell>
          <cell r="D7497">
            <v>43377</v>
          </cell>
        </row>
        <row r="7498">
          <cell r="A7498" t="str">
            <v>ANZ</v>
          </cell>
          <cell r="D7498">
            <v>43396</v>
          </cell>
        </row>
        <row r="7499">
          <cell r="A7499" t="str">
            <v>GC</v>
          </cell>
          <cell r="D7499">
            <v>43312</v>
          </cell>
        </row>
        <row r="7500">
          <cell r="A7500" t="str">
            <v>ANZ</v>
          </cell>
          <cell r="D7500">
            <v>43394</v>
          </cell>
        </row>
        <row r="7501">
          <cell r="A7501" t="str">
            <v>ASEAN</v>
          </cell>
          <cell r="D7501">
            <v>43246</v>
          </cell>
        </row>
        <row r="7502">
          <cell r="A7502" t="str">
            <v>ASEAN</v>
          </cell>
          <cell r="D7502">
            <v>43425</v>
          </cell>
        </row>
        <row r="7503">
          <cell r="A7503" t="str">
            <v>ASEAN</v>
          </cell>
          <cell r="D7503">
            <v>43354</v>
          </cell>
        </row>
        <row r="7504">
          <cell r="A7504" t="str">
            <v>IN</v>
          </cell>
          <cell r="D7504">
            <v>43287</v>
          </cell>
        </row>
        <row r="7505">
          <cell r="A7505" t="str">
            <v>GC</v>
          </cell>
          <cell r="D7505">
            <v>43212</v>
          </cell>
        </row>
        <row r="7506">
          <cell r="A7506" t="str">
            <v>GC</v>
          </cell>
          <cell r="D7506">
            <v>43286</v>
          </cell>
        </row>
        <row r="7507">
          <cell r="A7507" t="str">
            <v>GC</v>
          </cell>
          <cell r="D7507">
            <v>43362</v>
          </cell>
        </row>
        <row r="7508">
          <cell r="A7508" t="str">
            <v>GC</v>
          </cell>
          <cell r="D7508">
            <v>43103</v>
          </cell>
        </row>
        <row r="7509">
          <cell r="A7509" t="str">
            <v>IN</v>
          </cell>
          <cell r="D7509">
            <v>43344</v>
          </cell>
        </row>
        <row r="7510">
          <cell r="A7510" t="str">
            <v>GC</v>
          </cell>
          <cell r="D7510">
            <v>43132</v>
          </cell>
        </row>
        <row r="7511">
          <cell r="A7511" t="str">
            <v>IN</v>
          </cell>
          <cell r="D7511">
            <v>43349</v>
          </cell>
        </row>
        <row r="7512">
          <cell r="A7512" t="str">
            <v>ANZ</v>
          </cell>
          <cell r="D7512">
            <v>43442</v>
          </cell>
        </row>
        <row r="7513">
          <cell r="A7513" t="str">
            <v>ASEAN</v>
          </cell>
          <cell r="D7513">
            <v>43238</v>
          </cell>
        </row>
        <row r="7514">
          <cell r="A7514" t="str">
            <v>ASEAN</v>
          </cell>
          <cell r="D7514">
            <v>43458</v>
          </cell>
        </row>
        <row r="7515">
          <cell r="A7515" t="str">
            <v>GC</v>
          </cell>
          <cell r="D7515">
            <v>43283</v>
          </cell>
        </row>
        <row r="7516">
          <cell r="A7516" t="str">
            <v>KR</v>
          </cell>
          <cell r="D7516">
            <v>43355</v>
          </cell>
        </row>
        <row r="7517">
          <cell r="A7517" t="str">
            <v>GC</v>
          </cell>
          <cell r="D7517">
            <v>43162</v>
          </cell>
        </row>
        <row r="7518">
          <cell r="A7518" t="str">
            <v>ASEAN</v>
          </cell>
          <cell r="D7518">
            <v>43316</v>
          </cell>
        </row>
        <row r="7519">
          <cell r="A7519" t="str">
            <v>ANZ</v>
          </cell>
          <cell r="D7519">
            <v>43303</v>
          </cell>
        </row>
        <row r="7520">
          <cell r="A7520" t="str">
            <v>ANZ</v>
          </cell>
          <cell r="D7520">
            <v>43169</v>
          </cell>
        </row>
        <row r="7521">
          <cell r="A7521" t="str">
            <v>ANZ</v>
          </cell>
          <cell r="D7521">
            <v>43127</v>
          </cell>
        </row>
        <row r="7522">
          <cell r="A7522" t="str">
            <v>IN</v>
          </cell>
          <cell r="D7522">
            <v>43463</v>
          </cell>
        </row>
        <row r="7523">
          <cell r="A7523" t="str">
            <v>GC</v>
          </cell>
          <cell r="D7523">
            <v>43221</v>
          </cell>
        </row>
        <row r="7524">
          <cell r="A7524" t="str">
            <v>GC</v>
          </cell>
          <cell r="D7524">
            <v>43254</v>
          </cell>
        </row>
        <row r="7525">
          <cell r="A7525" t="str">
            <v>ANZ</v>
          </cell>
          <cell r="D7525">
            <v>43312</v>
          </cell>
        </row>
        <row r="7526">
          <cell r="A7526" t="str">
            <v>GC</v>
          </cell>
          <cell r="D7526">
            <v>43173</v>
          </cell>
        </row>
        <row r="7527">
          <cell r="A7527" t="str">
            <v>GC</v>
          </cell>
          <cell r="D7527">
            <v>43274</v>
          </cell>
        </row>
        <row r="7528">
          <cell r="A7528" t="str">
            <v>GC</v>
          </cell>
          <cell r="D7528">
            <v>43305</v>
          </cell>
        </row>
        <row r="7529">
          <cell r="A7529" t="str">
            <v>GC</v>
          </cell>
          <cell r="D7529">
            <v>43286</v>
          </cell>
        </row>
        <row r="7530">
          <cell r="A7530" t="str">
            <v>IN</v>
          </cell>
          <cell r="D7530">
            <v>43148</v>
          </cell>
        </row>
        <row r="7531">
          <cell r="A7531" t="str">
            <v>ANZ</v>
          </cell>
          <cell r="D7531">
            <v>43402</v>
          </cell>
        </row>
        <row r="7532">
          <cell r="A7532" t="str">
            <v>ASEAN</v>
          </cell>
          <cell r="D7532">
            <v>43158</v>
          </cell>
        </row>
        <row r="7533">
          <cell r="A7533" t="str">
            <v>ASEAN</v>
          </cell>
          <cell r="D7533">
            <v>43189</v>
          </cell>
        </row>
        <row r="7534">
          <cell r="A7534" t="str">
            <v>IN</v>
          </cell>
          <cell r="D7534">
            <v>43201</v>
          </cell>
        </row>
        <row r="7535">
          <cell r="A7535" t="str">
            <v>ASEAN</v>
          </cell>
          <cell r="D7535">
            <v>43401</v>
          </cell>
        </row>
        <row r="7536">
          <cell r="A7536" t="str">
            <v>ASEAN</v>
          </cell>
          <cell r="D7536">
            <v>43423</v>
          </cell>
        </row>
        <row r="7537">
          <cell r="A7537" t="str">
            <v>GC</v>
          </cell>
          <cell r="D7537">
            <v>43153</v>
          </cell>
        </row>
        <row r="7538">
          <cell r="A7538" t="str">
            <v>GC</v>
          </cell>
          <cell r="D7538">
            <v>43381</v>
          </cell>
        </row>
        <row r="7539">
          <cell r="A7539" t="str">
            <v>GC</v>
          </cell>
          <cell r="D7539">
            <v>43280</v>
          </cell>
        </row>
        <row r="7540">
          <cell r="A7540" t="str">
            <v>IN</v>
          </cell>
          <cell r="D7540">
            <v>43269</v>
          </cell>
        </row>
        <row r="7541">
          <cell r="A7541" t="str">
            <v>GC</v>
          </cell>
          <cell r="D7541">
            <v>43271</v>
          </cell>
        </row>
        <row r="7542">
          <cell r="A7542" t="str">
            <v>KR</v>
          </cell>
          <cell r="D7542">
            <v>43450</v>
          </cell>
        </row>
        <row r="7543">
          <cell r="A7543" t="str">
            <v>GC</v>
          </cell>
          <cell r="D7543">
            <v>43374</v>
          </cell>
        </row>
        <row r="7544">
          <cell r="A7544" t="str">
            <v>GC</v>
          </cell>
          <cell r="D7544">
            <v>43345</v>
          </cell>
        </row>
        <row r="7545">
          <cell r="A7545" t="str">
            <v>ASEAN</v>
          </cell>
          <cell r="D7545">
            <v>43145</v>
          </cell>
        </row>
        <row r="7546">
          <cell r="A7546" t="str">
            <v>IN</v>
          </cell>
          <cell r="D7546">
            <v>43333</v>
          </cell>
        </row>
        <row r="7547">
          <cell r="A7547" t="str">
            <v>GC</v>
          </cell>
          <cell r="D7547">
            <v>43289</v>
          </cell>
        </row>
        <row r="7548">
          <cell r="A7548" t="str">
            <v>GC</v>
          </cell>
          <cell r="D7548">
            <v>43376</v>
          </cell>
        </row>
        <row r="7549">
          <cell r="A7549" t="str">
            <v>GC</v>
          </cell>
          <cell r="D7549">
            <v>43456</v>
          </cell>
        </row>
        <row r="7550">
          <cell r="A7550" t="str">
            <v>GC</v>
          </cell>
          <cell r="D7550">
            <v>43390</v>
          </cell>
        </row>
        <row r="7551">
          <cell r="A7551" t="str">
            <v>GC</v>
          </cell>
          <cell r="D7551">
            <v>43251</v>
          </cell>
        </row>
        <row r="7552">
          <cell r="A7552" t="str">
            <v>GC</v>
          </cell>
          <cell r="D7552">
            <v>43333</v>
          </cell>
        </row>
        <row r="7553">
          <cell r="A7553" t="str">
            <v>GC</v>
          </cell>
          <cell r="D7553">
            <v>43417</v>
          </cell>
        </row>
        <row r="7554">
          <cell r="A7554" t="str">
            <v>GC</v>
          </cell>
          <cell r="D7554">
            <v>43283</v>
          </cell>
        </row>
        <row r="7555">
          <cell r="A7555" t="str">
            <v>GC</v>
          </cell>
          <cell r="D7555">
            <v>43187</v>
          </cell>
        </row>
        <row r="7556">
          <cell r="A7556" t="str">
            <v>GC</v>
          </cell>
          <cell r="D7556">
            <v>43140</v>
          </cell>
        </row>
        <row r="7557">
          <cell r="A7557" t="str">
            <v>ASEAN</v>
          </cell>
          <cell r="D7557">
            <v>43246</v>
          </cell>
        </row>
        <row r="7558">
          <cell r="A7558" t="str">
            <v>ASEAN</v>
          </cell>
          <cell r="D7558">
            <v>43135</v>
          </cell>
        </row>
        <row r="7559">
          <cell r="A7559" t="str">
            <v>GC</v>
          </cell>
          <cell r="D7559">
            <v>43265</v>
          </cell>
        </row>
        <row r="7560">
          <cell r="A7560" t="str">
            <v>GC</v>
          </cell>
          <cell r="D7560">
            <v>43317</v>
          </cell>
        </row>
        <row r="7561">
          <cell r="A7561" t="str">
            <v>GC</v>
          </cell>
          <cell r="D7561">
            <v>43212</v>
          </cell>
        </row>
        <row r="7562">
          <cell r="A7562" t="str">
            <v>IN</v>
          </cell>
          <cell r="D7562">
            <v>43170</v>
          </cell>
        </row>
        <row r="7563">
          <cell r="A7563" t="str">
            <v>GC</v>
          </cell>
          <cell r="D7563">
            <v>43109</v>
          </cell>
        </row>
        <row r="7564">
          <cell r="A7564" t="str">
            <v>GC</v>
          </cell>
          <cell r="D7564">
            <v>43145</v>
          </cell>
        </row>
        <row r="7565">
          <cell r="A7565" t="str">
            <v>GC</v>
          </cell>
          <cell r="D7565">
            <v>43155</v>
          </cell>
        </row>
        <row r="7566">
          <cell r="A7566" t="str">
            <v>GC</v>
          </cell>
          <cell r="D7566">
            <v>43189</v>
          </cell>
        </row>
        <row r="7567">
          <cell r="A7567" t="str">
            <v>ASEAN</v>
          </cell>
          <cell r="D7567">
            <v>43158</v>
          </cell>
        </row>
        <row r="7568">
          <cell r="A7568" t="str">
            <v>GC</v>
          </cell>
          <cell r="D7568">
            <v>43173</v>
          </cell>
        </row>
        <row r="7569">
          <cell r="A7569" t="str">
            <v>GC</v>
          </cell>
          <cell r="D7569">
            <v>43106</v>
          </cell>
        </row>
        <row r="7570">
          <cell r="A7570" t="str">
            <v>GC</v>
          </cell>
          <cell r="D7570">
            <v>43209</v>
          </cell>
        </row>
        <row r="7571">
          <cell r="A7571" t="str">
            <v>GC</v>
          </cell>
          <cell r="D7571">
            <v>43443</v>
          </cell>
        </row>
        <row r="7572">
          <cell r="A7572" t="str">
            <v>GC</v>
          </cell>
          <cell r="D7572">
            <v>43412</v>
          </cell>
        </row>
        <row r="7573">
          <cell r="A7573" t="str">
            <v>GC</v>
          </cell>
          <cell r="D7573">
            <v>43161</v>
          </cell>
        </row>
        <row r="7574">
          <cell r="A7574" t="str">
            <v>GC</v>
          </cell>
          <cell r="D7574">
            <v>43142</v>
          </cell>
        </row>
        <row r="7575">
          <cell r="A7575" t="str">
            <v>GC</v>
          </cell>
          <cell r="D7575">
            <v>43190</v>
          </cell>
        </row>
        <row r="7576">
          <cell r="A7576" t="str">
            <v>GC</v>
          </cell>
          <cell r="D7576">
            <v>43334</v>
          </cell>
        </row>
        <row r="7577">
          <cell r="A7577" t="str">
            <v>ASEAN</v>
          </cell>
          <cell r="D7577">
            <v>43107</v>
          </cell>
        </row>
        <row r="7578">
          <cell r="A7578" t="str">
            <v>ASEAN</v>
          </cell>
          <cell r="D7578">
            <v>43305</v>
          </cell>
        </row>
        <row r="7579">
          <cell r="A7579" t="str">
            <v>GC</v>
          </cell>
          <cell r="D7579">
            <v>43393</v>
          </cell>
        </row>
        <row r="7580">
          <cell r="A7580" t="str">
            <v>GC</v>
          </cell>
          <cell r="D7580">
            <v>43296</v>
          </cell>
        </row>
        <row r="7581">
          <cell r="A7581" t="str">
            <v>GC</v>
          </cell>
          <cell r="D7581">
            <v>43149</v>
          </cell>
        </row>
        <row r="7582">
          <cell r="A7582" t="str">
            <v>ASEAN</v>
          </cell>
          <cell r="D7582">
            <v>43266</v>
          </cell>
        </row>
        <row r="7583">
          <cell r="A7583" t="str">
            <v>GC</v>
          </cell>
          <cell r="D7583">
            <v>43380</v>
          </cell>
        </row>
        <row r="7584">
          <cell r="A7584" t="str">
            <v>ASEAN</v>
          </cell>
          <cell r="D7584">
            <v>43124</v>
          </cell>
        </row>
        <row r="7585">
          <cell r="A7585" t="str">
            <v>ANZ</v>
          </cell>
          <cell r="D7585">
            <v>43334</v>
          </cell>
        </row>
        <row r="7586">
          <cell r="A7586" t="str">
            <v>GC</v>
          </cell>
          <cell r="D7586">
            <v>43388</v>
          </cell>
        </row>
        <row r="7587">
          <cell r="A7587" t="str">
            <v>GC</v>
          </cell>
          <cell r="D7587">
            <v>43170</v>
          </cell>
        </row>
        <row r="7588">
          <cell r="A7588" t="str">
            <v>GC</v>
          </cell>
          <cell r="D7588">
            <v>43453</v>
          </cell>
        </row>
        <row r="7589">
          <cell r="A7589" t="str">
            <v>GC</v>
          </cell>
          <cell r="D7589">
            <v>43128</v>
          </cell>
        </row>
        <row r="7590">
          <cell r="A7590" t="str">
            <v>GC</v>
          </cell>
          <cell r="D7590">
            <v>43425</v>
          </cell>
        </row>
        <row r="7591">
          <cell r="A7591" t="str">
            <v>ANZ</v>
          </cell>
          <cell r="D7591">
            <v>43435</v>
          </cell>
        </row>
        <row r="7592">
          <cell r="A7592" t="str">
            <v>ANZ</v>
          </cell>
          <cell r="D7592">
            <v>43157</v>
          </cell>
        </row>
        <row r="7593">
          <cell r="A7593" t="str">
            <v>GC</v>
          </cell>
          <cell r="D7593">
            <v>43219</v>
          </cell>
        </row>
        <row r="7594">
          <cell r="A7594" t="str">
            <v>ASEAN</v>
          </cell>
          <cell r="D7594">
            <v>43397</v>
          </cell>
        </row>
        <row r="7595">
          <cell r="A7595" t="str">
            <v>GC</v>
          </cell>
          <cell r="D7595">
            <v>43150</v>
          </cell>
        </row>
        <row r="7596">
          <cell r="A7596" t="str">
            <v>ASEAN</v>
          </cell>
          <cell r="D7596">
            <v>43353</v>
          </cell>
        </row>
        <row r="7597">
          <cell r="A7597" t="str">
            <v>ASEAN</v>
          </cell>
          <cell r="D7597">
            <v>43293</v>
          </cell>
        </row>
        <row r="7598">
          <cell r="A7598" t="str">
            <v>KR</v>
          </cell>
          <cell r="D7598">
            <v>43125</v>
          </cell>
        </row>
        <row r="7599">
          <cell r="A7599" t="str">
            <v>GC</v>
          </cell>
          <cell r="D7599">
            <v>43446</v>
          </cell>
        </row>
        <row r="7600">
          <cell r="A7600" t="str">
            <v>GC</v>
          </cell>
          <cell r="D7600">
            <v>43383</v>
          </cell>
        </row>
        <row r="7601">
          <cell r="A7601" t="str">
            <v>GC</v>
          </cell>
          <cell r="D7601">
            <v>43390</v>
          </cell>
        </row>
        <row r="7602">
          <cell r="A7602" t="str">
            <v>ASEAN</v>
          </cell>
          <cell r="D7602">
            <v>43186</v>
          </cell>
        </row>
        <row r="7603">
          <cell r="A7603" t="str">
            <v>GC</v>
          </cell>
          <cell r="D7603">
            <v>43422</v>
          </cell>
        </row>
        <row r="7604">
          <cell r="A7604" t="str">
            <v>GC</v>
          </cell>
          <cell r="D7604">
            <v>43323</v>
          </cell>
        </row>
        <row r="7605">
          <cell r="A7605" t="str">
            <v>ASEAN</v>
          </cell>
          <cell r="D7605">
            <v>43251</v>
          </cell>
        </row>
        <row r="7606">
          <cell r="A7606" t="str">
            <v>ASEAN</v>
          </cell>
          <cell r="D7606">
            <v>43313</v>
          </cell>
        </row>
        <row r="7607">
          <cell r="A7607" t="str">
            <v>ASEAN</v>
          </cell>
          <cell r="D7607">
            <v>43347</v>
          </cell>
        </row>
        <row r="7608">
          <cell r="A7608" t="str">
            <v>ANZ</v>
          </cell>
          <cell r="D7608">
            <v>43115</v>
          </cell>
        </row>
        <row r="7609">
          <cell r="A7609" t="str">
            <v>ANZ</v>
          </cell>
          <cell r="D7609">
            <v>43373</v>
          </cell>
        </row>
        <row r="7610">
          <cell r="A7610" t="str">
            <v>GC</v>
          </cell>
          <cell r="D7610">
            <v>43135</v>
          </cell>
        </row>
        <row r="7611">
          <cell r="A7611" t="str">
            <v>GC</v>
          </cell>
          <cell r="D7611">
            <v>43385</v>
          </cell>
        </row>
        <row r="7612">
          <cell r="A7612" t="str">
            <v>ASEAN</v>
          </cell>
          <cell r="D7612">
            <v>43119</v>
          </cell>
        </row>
        <row r="7613">
          <cell r="A7613" t="str">
            <v>GC</v>
          </cell>
          <cell r="D7613">
            <v>43344</v>
          </cell>
        </row>
        <row r="7614">
          <cell r="A7614" t="str">
            <v>ASEAN</v>
          </cell>
          <cell r="D7614">
            <v>43182</v>
          </cell>
        </row>
        <row r="7615">
          <cell r="A7615" t="str">
            <v>ASEAN</v>
          </cell>
          <cell r="D7615">
            <v>43429</v>
          </cell>
        </row>
        <row r="7616">
          <cell r="A7616" t="str">
            <v>ASEAN</v>
          </cell>
          <cell r="D7616">
            <v>43425</v>
          </cell>
        </row>
        <row r="7617">
          <cell r="A7617" t="str">
            <v>IN</v>
          </cell>
          <cell r="D7617">
            <v>43388</v>
          </cell>
        </row>
        <row r="7618">
          <cell r="A7618" t="str">
            <v>IN</v>
          </cell>
          <cell r="D7618">
            <v>43222</v>
          </cell>
        </row>
        <row r="7619">
          <cell r="A7619" t="str">
            <v>GC</v>
          </cell>
          <cell r="D7619">
            <v>43108</v>
          </cell>
        </row>
        <row r="7620">
          <cell r="A7620" t="str">
            <v>ANZ</v>
          </cell>
          <cell r="D7620">
            <v>43295</v>
          </cell>
        </row>
        <row r="7621">
          <cell r="A7621" t="str">
            <v>GC</v>
          </cell>
          <cell r="D7621">
            <v>43186</v>
          </cell>
        </row>
        <row r="7622">
          <cell r="A7622" t="str">
            <v>GC</v>
          </cell>
          <cell r="D7622">
            <v>43261</v>
          </cell>
        </row>
        <row r="7623">
          <cell r="A7623" t="str">
            <v>IN</v>
          </cell>
          <cell r="D7623">
            <v>43322</v>
          </cell>
        </row>
        <row r="7624">
          <cell r="A7624" t="str">
            <v>ANZ</v>
          </cell>
          <cell r="D7624">
            <v>43464</v>
          </cell>
        </row>
        <row r="7625">
          <cell r="A7625" t="str">
            <v>GC</v>
          </cell>
          <cell r="D7625">
            <v>43344</v>
          </cell>
        </row>
        <row r="7626">
          <cell r="A7626" t="str">
            <v>ASEAN</v>
          </cell>
          <cell r="D7626">
            <v>43453</v>
          </cell>
        </row>
        <row r="7627">
          <cell r="A7627" t="str">
            <v>GC</v>
          </cell>
          <cell r="D7627">
            <v>43292</v>
          </cell>
        </row>
        <row r="7628">
          <cell r="A7628" t="str">
            <v>GC</v>
          </cell>
          <cell r="D7628">
            <v>43281</v>
          </cell>
        </row>
        <row r="7629">
          <cell r="A7629" t="str">
            <v>ANZ</v>
          </cell>
          <cell r="D7629">
            <v>43186</v>
          </cell>
        </row>
        <row r="7630">
          <cell r="A7630" t="str">
            <v>IN</v>
          </cell>
          <cell r="D7630">
            <v>43374</v>
          </cell>
        </row>
        <row r="7631">
          <cell r="A7631" t="str">
            <v>GC</v>
          </cell>
          <cell r="D7631">
            <v>43301</v>
          </cell>
        </row>
        <row r="7632">
          <cell r="A7632" t="str">
            <v>IN</v>
          </cell>
          <cell r="D7632">
            <v>43180</v>
          </cell>
        </row>
        <row r="7633">
          <cell r="A7633" t="str">
            <v>ASEAN</v>
          </cell>
          <cell r="D7633">
            <v>43379</v>
          </cell>
        </row>
        <row r="7634">
          <cell r="A7634" t="str">
            <v>IN</v>
          </cell>
          <cell r="D7634">
            <v>43217</v>
          </cell>
        </row>
        <row r="7635">
          <cell r="A7635" t="str">
            <v>KR</v>
          </cell>
          <cell r="D7635">
            <v>43333</v>
          </cell>
        </row>
        <row r="7636">
          <cell r="A7636" t="str">
            <v>ASEAN</v>
          </cell>
          <cell r="D7636">
            <v>43137</v>
          </cell>
        </row>
        <row r="7637">
          <cell r="A7637" t="str">
            <v>ANZ</v>
          </cell>
          <cell r="D7637">
            <v>43384</v>
          </cell>
        </row>
        <row r="7638">
          <cell r="A7638" t="str">
            <v>GC</v>
          </cell>
          <cell r="D7638">
            <v>43418</v>
          </cell>
        </row>
        <row r="7639">
          <cell r="A7639" t="str">
            <v>GC</v>
          </cell>
          <cell r="D7639">
            <v>43193</v>
          </cell>
        </row>
        <row r="7640">
          <cell r="A7640" t="str">
            <v>ANZ</v>
          </cell>
          <cell r="D7640">
            <v>43209</v>
          </cell>
        </row>
        <row r="7641">
          <cell r="A7641" t="str">
            <v>KR</v>
          </cell>
          <cell r="D7641">
            <v>43320</v>
          </cell>
        </row>
        <row r="7642">
          <cell r="A7642" t="str">
            <v>ASEAN</v>
          </cell>
          <cell r="D7642">
            <v>43235</v>
          </cell>
        </row>
        <row r="7643">
          <cell r="A7643" t="str">
            <v>IN</v>
          </cell>
          <cell r="D7643">
            <v>43192</v>
          </cell>
        </row>
        <row r="7644">
          <cell r="A7644" t="str">
            <v>ANZ</v>
          </cell>
          <cell r="D7644">
            <v>43249</v>
          </cell>
        </row>
        <row r="7645">
          <cell r="A7645" t="str">
            <v>ANZ</v>
          </cell>
          <cell r="D7645">
            <v>43155</v>
          </cell>
        </row>
        <row r="7646">
          <cell r="A7646" t="str">
            <v>ANZ</v>
          </cell>
          <cell r="D7646">
            <v>43275</v>
          </cell>
        </row>
        <row r="7647">
          <cell r="A7647" t="str">
            <v>ANZ</v>
          </cell>
          <cell r="D7647">
            <v>43309</v>
          </cell>
        </row>
        <row r="7648">
          <cell r="A7648" t="str">
            <v>ANZ</v>
          </cell>
          <cell r="D7648">
            <v>43102</v>
          </cell>
        </row>
        <row r="7649">
          <cell r="A7649" t="str">
            <v>ANZ</v>
          </cell>
          <cell r="D7649">
            <v>43461</v>
          </cell>
        </row>
        <row r="7650">
          <cell r="A7650" t="str">
            <v>GC</v>
          </cell>
          <cell r="D7650">
            <v>43224</v>
          </cell>
        </row>
        <row r="7651">
          <cell r="A7651" t="str">
            <v>ANZ</v>
          </cell>
          <cell r="D7651">
            <v>43247</v>
          </cell>
        </row>
        <row r="7652">
          <cell r="A7652" t="str">
            <v>IN</v>
          </cell>
          <cell r="D7652">
            <v>43219</v>
          </cell>
        </row>
        <row r="7653">
          <cell r="A7653" t="str">
            <v>GC</v>
          </cell>
          <cell r="D7653">
            <v>43166</v>
          </cell>
        </row>
        <row r="7654">
          <cell r="A7654" t="str">
            <v>ANZ</v>
          </cell>
          <cell r="D7654">
            <v>43346</v>
          </cell>
        </row>
        <row r="7655">
          <cell r="A7655" t="str">
            <v>GC</v>
          </cell>
          <cell r="D7655">
            <v>43122</v>
          </cell>
        </row>
        <row r="7656">
          <cell r="A7656" t="str">
            <v>GC</v>
          </cell>
          <cell r="D7656">
            <v>43262</v>
          </cell>
        </row>
        <row r="7657">
          <cell r="A7657" t="str">
            <v>GC</v>
          </cell>
          <cell r="D7657">
            <v>43427</v>
          </cell>
        </row>
        <row r="7658">
          <cell r="A7658" t="str">
            <v>GC</v>
          </cell>
          <cell r="D7658">
            <v>43120</v>
          </cell>
        </row>
        <row r="7659">
          <cell r="A7659" t="str">
            <v>KR</v>
          </cell>
          <cell r="D7659">
            <v>43301</v>
          </cell>
        </row>
        <row r="7660">
          <cell r="A7660" t="str">
            <v>ASEAN</v>
          </cell>
          <cell r="D7660">
            <v>43306</v>
          </cell>
        </row>
        <row r="7661">
          <cell r="A7661" t="str">
            <v>GC</v>
          </cell>
          <cell r="D7661">
            <v>43441</v>
          </cell>
        </row>
        <row r="7662">
          <cell r="A7662" t="str">
            <v>ASEAN</v>
          </cell>
          <cell r="D7662">
            <v>43107</v>
          </cell>
        </row>
        <row r="7663">
          <cell r="A7663" t="str">
            <v>KR</v>
          </cell>
          <cell r="D7663">
            <v>43440</v>
          </cell>
        </row>
        <row r="7664">
          <cell r="A7664" t="str">
            <v>GC</v>
          </cell>
          <cell r="D7664">
            <v>43353</v>
          </cell>
        </row>
        <row r="7665">
          <cell r="A7665" t="str">
            <v>GC</v>
          </cell>
          <cell r="D7665">
            <v>43410</v>
          </cell>
        </row>
        <row r="7666">
          <cell r="A7666" t="str">
            <v>GC</v>
          </cell>
          <cell r="D7666">
            <v>43433</v>
          </cell>
        </row>
        <row r="7667">
          <cell r="A7667" t="str">
            <v>GC</v>
          </cell>
          <cell r="D7667">
            <v>43427</v>
          </cell>
        </row>
        <row r="7668">
          <cell r="A7668" t="str">
            <v>GC</v>
          </cell>
          <cell r="D7668">
            <v>43359</v>
          </cell>
        </row>
        <row r="7669">
          <cell r="A7669" t="str">
            <v>ASEAN</v>
          </cell>
          <cell r="D7669">
            <v>43165</v>
          </cell>
        </row>
        <row r="7670">
          <cell r="A7670" t="str">
            <v>ASEAN</v>
          </cell>
          <cell r="D7670">
            <v>43158</v>
          </cell>
        </row>
        <row r="7671">
          <cell r="A7671" t="str">
            <v>IN</v>
          </cell>
          <cell r="D7671">
            <v>43220</v>
          </cell>
        </row>
        <row r="7672">
          <cell r="A7672" t="str">
            <v>ASEAN</v>
          </cell>
          <cell r="D7672">
            <v>43193</v>
          </cell>
        </row>
        <row r="7673">
          <cell r="A7673" t="str">
            <v>KR</v>
          </cell>
          <cell r="D7673">
            <v>43128</v>
          </cell>
        </row>
        <row r="7674">
          <cell r="A7674" t="str">
            <v>GC</v>
          </cell>
          <cell r="D7674">
            <v>43327</v>
          </cell>
        </row>
        <row r="7675">
          <cell r="A7675" t="str">
            <v>KR</v>
          </cell>
          <cell r="D7675">
            <v>43361</v>
          </cell>
        </row>
        <row r="7676">
          <cell r="A7676" t="str">
            <v>GC</v>
          </cell>
          <cell r="D7676">
            <v>43343</v>
          </cell>
        </row>
        <row r="7677">
          <cell r="A7677" t="str">
            <v>GC</v>
          </cell>
          <cell r="D7677">
            <v>43180</v>
          </cell>
        </row>
        <row r="7678">
          <cell r="A7678" t="str">
            <v>GC</v>
          </cell>
          <cell r="D7678">
            <v>43257</v>
          </cell>
        </row>
        <row r="7679">
          <cell r="A7679" t="str">
            <v>GC</v>
          </cell>
          <cell r="D7679">
            <v>43266</v>
          </cell>
        </row>
        <row r="7680">
          <cell r="A7680" t="str">
            <v>GC</v>
          </cell>
          <cell r="D7680">
            <v>43188</v>
          </cell>
        </row>
        <row r="7681">
          <cell r="A7681" t="str">
            <v>GC</v>
          </cell>
          <cell r="D7681">
            <v>43173</v>
          </cell>
        </row>
        <row r="7682">
          <cell r="A7682" t="str">
            <v>GC</v>
          </cell>
          <cell r="D7682">
            <v>43458</v>
          </cell>
        </row>
        <row r="7683">
          <cell r="A7683" t="str">
            <v>GC</v>
          </cell>
          <cell r="D7683">
            <v>43199</v>
          </cell>
        </row>
        <row r="7684">
          <cell r="A7684" t="str">
            <v>KR</v>
          </cell>
          <cell r="D7684">
            <v>43457</v>
          </cell>
        </row>
        <row r="7685">
          <cell r="A7685" t="str">
            <v>IN</v>
          </cell>
          <cell r="D7685">
            <v>43269</v>
          </cell>
        </row>
        <row r="7686">
          <cell r="A7686" t="str">
            <v>GC</v>
          </cell>
          <cell r="D7686">
            <v>43291</v>
          </cell>
        </row>
        <row r="7687">
          <cell r="A7687" t="str">
            <v>IN</v>
          </cell>
          <cell r="D7687">
            <v>43431</v>
          </cell>
        </row>
        <row r="7688">
          <cell r="A7688" t="str">
            <v>IN</v>
          </cell>
          <cell r="D7688">
            <v>43140</v>
          </cell>
        </row>
        <row r="7689">
          <cell r="A7689" t="str">
            <v>GC</v>
          </cell>
          <cell r="D7689">
            <v>43290</v>
          </cell>
        </row>
        <row r="7690">
          <cell r="A7690" t="str">
            <v>GC</v>
          </cell>
          <cell r="D7690">
            <v>43251</v>
          </cell>
        </row>
        <row r="7691">
          <cell r="A7691" t="str">
            <v>GC</v>
          </cell>
          <cell r="D7691">
            <v>43121</v>
          </cell>
        </row>
        <row r="7692">
          <cell r="A7692" t="str">
            <v>GC</v>
          </cell>
          <cell r="D7692">
            <v>43259</v>
          </cell>
        </row>
        <row r="7693">
          <cell r="A7693" t="str">
            <v>GC</v>
          </cell>
          <cell r="D7693">
            <v>43266</v>
          </cell>
        </row>
        <row r="7694">
          <cell r="A7694" t="str">
            <v>IN</v>
          </cell>
          <cell r="D7694">
            <v>43239</v>
          </cell>
        </row>
        <row r="7695">
          <cell r="A7695" t="str">
            <v>GC</v>
          </cell>
          <cell r="D7695">
            <v>43149</v>
          </cell>
        </row>
        <row r="7696">
          <cell r="A7696" t="str">
            <v>ASEAN</v>
          </cell>
          <cell r="D7696">
            <v>43286</v>
          </cell>
        </row>
        <row r="7697">
          <cell r="A7697" t="str">
            <v>GC</v>
          </cell>
          <cell r="D7697">
            <v>43208</v>
          </cell>
        </row>
        <row r="7698">
          <cell r="A7698" t="str">
            <v>GC</v>
          </cell>
          <cell r="D7698">
            <v>43253</v>
          </cell>
        </row>
        <row r="7699">
          <cell r="A7699" t="str">
            <v>ANZ</v>
          </cell>
          <cell r="D7699">
            <v>43452</v>
          </cell>
        </row>
        <row r="7700">
          <cell r="A7700" t="str">
            <v>GC</v>
          </cell>
          <cell r="D7700">
            <v>43133</v>
          </cell>
        </row>
        <row r="7701">
          <cell r="A7701" t="str">
            <v>GC</v>
          </cell>
          <cell r="D7701">
            <v>43225</v>
          </cell>
        </row>
        <row r="7702">
          <cell r="A7702" t="str">
            <v>GC</v>
          </cell>
          <cell r="D7702">
            <v>43204</v>
          </cell>
        </row>
        <row r="7703">
          <cell r="A7703" t="str">
            <v>GC</v>
          </cell>
          <cell r="D7703">
            <v>43237</v>
          </cell>
        </row>
        <row r="7704">
          <cell r="A7704" t="str">
            <v>GC</v>
          </cell>
          <cell r="D7704">
            <v>43361</v>
          </cell>
        </row>
        <row r="7705">
          <cell r="A7705" t="str">
            <v>ASEAN</v>
          </cell>
          <cell r="D7705">
            <v>43244</v>
          </cell>
        </row>
        <row r="7706">
          <cell r="A7706" t="str">
            <v>GC</v>
          </cell>
          <cell r="D7706">
            <v>43333</v>
          </cell>
        </row>
        <row r="7707">
          <cell r="A7707" t="str">
            <v>IN</v>
          </cell>
          <cell r="D7707">
            <v>43420</v>
          </cell>
        </row>
        <row r="7708">
          <cell r="A7708" t="str">
            <v>ASEAN</v>
          </cell>
          <cell r="D7708">
            <v>43327</v>
          </cell>
        </row>
        <row r="7709">
          <cell r="A7709" t="str">
            <v>GC</v>
          </cell>
          <cell r="D7709">
            <v>43123</v>
          </cell>
        </row>
        <row r="7710">
          <cell r="A7710" t="str">
            <v>ANZ</v>
          </cell>
          <cell r="D7710">
            <v>43293</v>
          </cell>
        </row>
        <row r="7711">
          <cell r="A7711" t="str">
            <v>ASEAN</v>
          </cell>
          <cell r="D7711">
            <v>43169</v>
          </cell>
        </row>
        <row r="7712">
          <cell r="A7712" t="str">
            <v>KR</v>
          </cell>
          <cell r="D7712">
            <v>43300</v>
          </cell>
        </row>
        <row r="7713">
          <cell r="A7713" t="str">
            <v>KR</v>
          </cell>
          <cell r="D7713">
            <v>43364</v>
          </cell>
        </row>
        <row r="7714">
          <cell r="A7714" t="str">
            <v>ASEAN</v>
          </cell>
          <cell r="D7714">
            <v>43425</v>
          </cell>
        </row>
        <row r="7715">
          <cell r="A7715" t="str">
            <v>GC</v>
          </cell>
          <cell r="D7715">
            <v>43153</v>
          </cell>
        </row>
        <row r="7716">
          <cell r="A7716" t="str">
            <v>GC</v>
          </cell>
          <cell r="D7716">
            <v>43383</v>
          </cell>
        </row>
        <row r="7717">
          <cell r="A7717" t="str">
            <v>ANZ</v>
          </cell>
          <cell r="D7717">
            <v>43244</v>
          </cell>
        </row>
        <row r="7718">
          <cell r="A7718" t="str">
            <v>GC</v>
          </cell>
          <cell r="D7718">
            <v>43418</v>
          </cell>
        </row>
        <row r="7719">
          <cell r="A7719" t="str">
            <v>GC</v>
          </cell>
          <cell r="D7719">
            <v>43148</v>
          </cell>
        </row>
        <row r="7720">
          <cell r="A7720" t="str">
            <v>GC</v>
          </cell>
          <cell r="D7720">
            <v>43285</v>
          </cell>
        </row>
        <row r="7721">
          <cell r="A7721" t="str">
            <v>GC</v>
          </cell>
          <cell r="D7721">
            <v>43429</v>
          </cell>
        </row>
        <row r="7722">
          <cell r="A7722" t="str">
            <v>IN</v>
          </cell>
          <cell r="D7722">
            <v>43116</v>
          </cell>
        </row>
        <row r="7723">
          <cell r="A7723" t="str">
            <v>ANZ</v>
          </cell>
          <cell r="D7723">
            <v>43347</v>
          </cell>
        </row>
        <row r="7724">
          <cell r="A7724" t="str">
            <v>GC</v>
          </cell>
          <cell r="D7724">
            <v>43428</v>
          </cell>
        </row>
        <row r="7725">
          <cell r="A7725" t="str">
            <v>GC</v>
          </cell>
          <cell r="D7725">
            <v>43352</v>
          </cell>
        </row>
        <row r="7726">
          <cell r="A7726" t="str">
            <v>GC</v>
          </cell>
          <cell r="D7726">
            <v>43311</v>
          </cell>
        </row>
        <row r="7727">
          <cell r="A7727" t="str">
            <v>IN</v>
          </cell>
          <cell r="D7727">
            <v>43119</v>
          </cell>
        </row>
        <row r="7728">
          <cell r="A7728" t="str">
            <v>GC</v>
          </cell>
          <cell r="D7728">
            <v>43220</v>
          </cell>
        </row>
        <row r="7729">
          <cell r="A7729" t="str">
            <v>GC</v>
          </cell>
          <cell r="D7729">
            <v>43149</v>
          </cell>
        </row>
        <row r="7730">
          <cell r="A7730" t="str">
            <v>ANZ</v>
          </cell>
          <cell r="D7730">
            <v>43139</v>
          </cell>
        </row>
        <row r="7731">
          <cell r="A7731" t="str">
            <v>GC</v>
          </cell>
          <cell r="D7731">
            <v>43133</v>
          </cell>
        </row>
        <row r="7732">
          <cell r="A7732" t="str">
            <v>GC</v>
          </cell>
          <cell r="D7732">
            <v>43177</v>
          </cell>
        </row>
        <row r="7733">
          <cell r="A7733" t="str">
            <v>ANZ</v>
          </cell>
          <cell r="D7733">
            <v>43395</v>
          </cell>
        </row>
        <row r="7734">
          <cell r="A7734" t="str">
            <v>ASEAN</v>
          </cell>
          <cell r="D7734">
            <v>43172</v>
          </cell>
        </row>
        <row r="7735">
          <cell r="A7735" t="str">
            <v>ASEAN</v>
          </cell>
          <cell r="D7735">
            <v>43171</v>
          </cell>
        </row>
        <row r="7736">
          <cell r="A7736" t="str">
            <v>GC</v>
          </cell>
          <cell r="D7736">
            <v>43463</v>
          </cell>
        </row>
        <row r="7737">
          <cell r="A7737" t="str">
            <v>GC</v>
          </cell>
          <cell r="D7737">
            <v>43156</v>
          </cell>
        </row>
        <row r="7738">
          <cell r="A7738" t="str">
            <v>ASEAN</v>
          </cell>
          <cell r="D7738">
            <v>43102</v>
          </cell>
        </row>
        <row r="7739">
          <cell r="A7739" t="str">
            <v>GC</v>
          </cell>
          <cell r="D7739">
            <v>43216</v>
          </cell>
        </row>
        <row r="7740">
          <cell r="A7740" t="str">
            <v>IN</v>
          </cell>
          <cell r="D7740">
            <v>43161</v>
          </cell>
        </row>
        <row r="7741">
          <cell r="A7741" t="str">
            <v>ANZ</v>
          </cell>
          <cell r="D7741">
            <v>43428</v>
          </cell>
        </row>
        <row r="7742">
          <cell r="A7742" t="str">
            <v>GC</v>
          </cell>
          <cell r="D7742">
            <v>43232</v>
          </cell>
        </row>
        <row r="7743">
          <cell r="A7743" t="str">
            <v>GC</v>
          </cell>
          <cell r="D7743">
            <v>43119</v>
          </cell>
        </row>
        <row r="7744">
          <cell r="A7744" t="str">
            <v>KR</v>
          </cell>
          <cell r="D7744">
            <v>43365</v>
          </cell>
        </row>
        <row r="7745">
          <cell r="A7745" t="str">
            <v>KR</v>
          </cell>
          <cell r="D7745">
            <v>43164</v>
          </cell>
        </row>
        <row r="7746">
          <cell r="A7746" t="str">
            <v>ANZ</v>
          </cell>
          <cell r="D7746">
            <v>43291</v>
          </cell>
        </row>
        <row r="7747">
          <cell r="A7747" t="str">
            <v>GC</v>
          </cell>
          <cell r="D7747">
            <v>43424</v>
          </cell>
        </row>
        <row r="7748">
          <cell r="A7748" t="str">
            <v>GC</v>
          </cell>
          <cell r="D7748">
            <v>43380</v>
          </cell>
        </row>
        <row r="7749">
          <cell r="A7749" t="str">
            <v>GC</v>
          </cell>
          <cell r="D7749">
            <v>43110</v>
          </cell>
        </row>
        <row r="7750">
          <cell r="A7750" t="str">
            <v>GC</v>
          </cell>
          <cell r="D7750">
            <v>43381</v>
          </cell>
        </row>
        <row r="7751">
          <cell r="A7751" t="str">
            <v>GC</v>
          </cell>
          <cell r="D7751">
            <v>43118</v>
          </cell>
        </row>
        <row r="7752">
          <cell r="A7752" t="str">
            <v>ASEAN</v>
          </cell>
          <cell r="D7752">
            <v>43140</v>
          </cell>
        </row>
        <row r="7753">
          <cell r="A7753" t="str">
            <v>GC</v>
          </cell>
          <cell r="D7753">
            <v>43285</v>
          </cell>
        </row>
        <row r="7754">
          <cell r="A7754" t="str">
            <v>GC</v>
          </cell>
          <cell r="D7754">
            <v>43255</v>
          </cell>
        </row>
        <row r="7755">
          <cell r="A7755" t="str">
            <v>GC</v>
          </cell>
          <cell r="D7755">
            <v>43402</v>
          </cell>
        </row>
        <row r="7756">
          <cell r="A7756" t="str">
            <v>IN</v>
          </cell>
          <cell r="D7756">
            <v>43328</v>
          </cell>
        </row>
        <row r="7757">
          <cell r="A7757" t="str">
            <v>GC</v>
          </cell>
          <cell r="D7757">
            <v>43180</v>
          </cell>
        </row>
        <row r="7758">
          <cell r="A7758" t="str">
            <v>GC</v>
          </cell>
          <cell r="D7758">
            <v>43174</v>
          </cell>
        </row>
        <row r="7759">
          <cell r="A7759" t="str">
            <v>GC</v>
          </cell>
          <cell r="D7759">
            <v>43102</v>
          </cell>
        </row>
        <row r="7760">
          <cell r="A7760" t="str">
            <v>GC</v>
          </cell>
          <cell r="D7760">
            <v>43139</v>
          </cell>
        </row>
        <row r="7761">
          <cell r="A7761" t="str">
            <v>GC</v>
          </cell>
          <cell r="D7761">
            <v>43227</v>
          </cell>
        </row>
        <row r="7762">
          <cell r="A7762" t="str">
            <v>ANZ</v>
          </cell>
          <cell r="D7762">
            <v>43330</v>
          </cell>
        </row>
        <row r="7763">
          <cell r="A7763" t="str">
            <v>IN</v>
          </cell>
          <cell r="D7763">
            <v>43369</v>
          </cell>
        </row>
        <row r="7764">
          <cell r="A7764" t="str">
            <v>GC</v>
          </cell>
          <cell r="D7764">
            <v>43255</v>
          </cell>
        </row>
        <row r="7765">
          <cell r="A7765" t="str">
            <v>IN</v>
          </cell>
          <cell r="D7765">
            <v>43348</v>
          </cell>
        </row>
        <row r="7766">
          <cell r="A7766" t="str">
            <v>IN</v>
          </cell>
          <cell r="D7766">
            <v>43393</v>
          </cell>
        </row>
        <row r="7767">
          <cell r="A7767" t="str">
            <v>GC</v>
          </cell>
          <cell r="D7767">
            <v>43347</v>
          </cell>
        </row>
        <row r="7768">
          <cell r="A7768" t="str">
            <v>ASEAN</v>
          </cell>
          <cell r="D7768">
            <v>43325</v>
          </cell>
        </row>
        <row r="7769">
          <cell r="A7769" t="str">
            <v>KR</v>
          </cell>
          <cell r="D7769">
            <v>43459</v>
          </cell>
        </row>
        <row r="7770">
          <cell r="A7770" t="str">
            <v>GC</v>
          </cell>
          <cell r="D7770">
            <v>43103</v>
          </cell>
        </row>
        <row r="7771">
          <cell r="A7771" t="str">
            <v>KR</v>
          </cell>
          <cell r="D7771">
            <v>43125</v>
          </cell>
        </row>
        <row r="7772">
          <cell r="A7772" t="str">
            <v>ASEAN</v>
          </cell>
          <cell r="D7772">
            <v>43213</v>
          </cell>
        </row>
        <row r="7773">
          <cell r="A7773" t="str">
            <v>GC</v>
          </cell>
          <cell r="D7773">
            <v>43357</v>
          </cell>
        </row>
        <row r="7774">
          <cell r="A7774" t="str">
            <v>ANZ</v>
          </cell>
          <cell r="D7774">
            <v>43374</v>
          </cell>
        </row>
        <row r="7775">
          <cell r="A7775" t="str">
            <v>ASEAN</v>
          </cell>
          <cell r="D7775">
            <v>43460</v>
          </cell>
        </row>
        <row r="7776">
          <cell r="A7776" t="str">
            <v>GC</v>
          </cell>
          <cell r="D7776">
            <v>43385</v>
          </cell>
        </row>
        <row r="7777">
          <cell r="A7777" t="str">
            <v>ASEAN</v>
          </cell>
          <cell r="D7777">
            <v>43327</v>
          </cell>
        </row>
        <row r="7778">
          <cell r="A7778" t="str">
            <v>GC</v>
          </cell>
          <cell r="D7778">
            <v>43227</v>
          </cell>
        </row>
        <row r="7779">
          <cell r="A7779" t="str">
            <v>GC</v>
          </cell>
          <cell r="D7779">
            <v>43244</v>
          </cell>
        </row>
        <row r="7780">
          <cell r="A7780" t="str">
            <v>GC</v>
          </cell>
          <cell r="D7780">
            <v>43310</v>
          </cell>
        </row>
        <row r="7781">
          <cell r="A7781" t="str">
            <v>IN</v>
          </cell>
          <cell r="D7781">
            <v>43132</v>
          </cell>
        </row>
        <row r="7782">
          <cell r="A7782" t="str">
            <v>GC</v>
          </cell>
          <cell r="D7782">
            <v>43204</v>
          </cell>
        </row>
        <row r="7783">
          <cell r="A7783" t="str">
            <v>GC</v>
          </cell>
          <cell r="D7783">
            <v>43434</v>
          </cell>
        </row>
        <row r="7784">
          <cell r="A7784" t="str">
            <v>GC</v>
          </cell>
          <cell r="D7784">
            <v>43244</v>
          </cell>
        </row>
        <row r="7785">
          <cell r="A7785" t="str">
            <v>ANZ</v>
          </cell>
          <cell r="D7785">
            <v>43216</v>
          </cell>
        </row>
        <row r="7786">
          <cell r="A7786" t="str">
            <v>GC</v>
          </cell>
          <cell r="D7786">
            <v>43176</v>
          </cell>
        </row>
        <row r="7787">
          <cell r="A7787" t="str">
            <v>KR</v>
          </cell>
          <cell r="D7787">
            <v>43349</v>
          </cell>
        </row>
        <row r="7788">
          <cell r="A7788" t="str">
            <v>GC</v>
          </cell>
          <cell r="D7788">
            <v>43370</v>
          </cell>
        </row>
        <row r="7789">
          <cell r="A7789" t="str">
            <v>GC</v>
          </cell>
          <cell r="D7789">
            <v>43432</v>
          </cell>
        </row>
        <row r="7790">
          <cell r="A7790" t="str">
            <v>GC</v>
          </cell>
          <cell r="D7790">
            <v>43432</v>
          </cell>
        </row>
        <row r="7791">
          <cell r="A7791" t="str">
            <v>GC</v>
          </cell>
          <cell r="D7791">
            <v>43393</v>
          </cell>
        </row>
        <row r="7792">
          <cell r="A7792" t="str">
            <v>IN</v>
          </cell>
          <cell r="D7792">
            <v>43191</v>
          </cell>
        </row>
        <row r="7793">
          <cell r="A7793" t="str">
            <v>IN</v>
          </cell>
          <cell r="D7793">
            <v>43309</v>
          </cell>
        </row>
        <row r="7794">
          <cell r="A7794" t="str">
            <v>GC</v>
          </cell>
          <cell r="D7794">
            <v>43120</v>
          </cell>
        </row>
        <row r="7795">
          <cell r="A7795" t="str">
            <v>GC</v>
          </cell>
          <cell r="D7795">
            <v>43346</v>
          </cell>
        </row>
        <row r="7796">
          <cell r="A7796" t="str">
            <v>GC</v>
          </cell>
          <cell r="D7796">
            <v>43358</v>
          </cell>
        </row>
        <row r="7797">
          <cell r="A7797" t="str">
            <v>GC</v>
          </cell>
          <cell r="D7797">
            <v>43136</v>
          </cell>
        </row>
        <row r="7798">
          <cell r="A7798" t="str">
            <v>GC</v>
          </cell>
          <cell r="D7798">
            <v>43363</v>
          </cell>
        </row>
        <row r="7799">
          <cell r="A7799" t="str">
            <v>GC</v>
          </cell>
          <cell r="D7799">
            <v>43154</v>
          </cell>
        </row>
        <row r="7800">
          <cell r="A7800" t="str">
            <v>GC</v>
          </cell>
          <cell r="D7800">
            <v>43169</v>
          </cell>
        </row>
        <row r="7801">
          <cell r="A7801" t="str">
            <v>GC</v>
          </cell>
          <cell r="D7801">
            <v>43311</v>
          </cell>
        </row>
        <row r="7802">
          <cell r="A7802" t="str">
            <v>ANZ</v>
          </cell>
          <cell r="D7802">
            <v>43338</v>
          </cell>
        </row>
        <row r="7803">
          <cell r="A7803" t="str">
            <v>ANZ</v>
          </cell>
          <cell r="D7803">
            <v>43269</v>
          </cell>
        </row>
        <row r="7804">
          <cell r="A7804" t="str">
            <v>ANZ</v>
          </cell>
          <cell r="D7804">
            <v>43349</v>
          </cell>
        </row>
        <row r="7805">
          <cell r="A7805" t="str">
            <v>IN</v>
          </cell>
          <cell r="D7805">
            <v>43385</v>
          </cell>
        </row>
        <row r="7806">
          <cell r="A7806" t="str">
            <v>GC</v>
          </cell>
          <cell r="D7806">
            <v>43318</v>
          </cell>
        </row>
        <row r="7807">
          <cell r="A7807" t="str">
            <v>GC</v>
          </cell>
          <cell r="D7807">
            <v>43313</v>
          </cell>
        </row>
        <row r="7808">
          <cell r="A7808" t="str">
            <v>KR</v>
          </cell>
          <cell r="D7808">
            <v>43310</v>
          </cell>
        </row>
        <row r="7809">
          <cell r="A7809" t="str">
            <v>IN</v>
          </cell>
          <cell r="D7809">
            <v>43403</v>
          </cell>
        </row>
        <row r="7810">
          <cell r="A7810" t="str">
            <v>IN</v>
          </cell>
          <cell r="D7810">
            <v>43248</v>
          </cell>
        </row>
        <row r="7811">
          <cell r="A7811" t="str">
            <v>GC</v>
          </cell>
          <cell r="D7811">
            <v>43118</v>
          </cell>
        </row>
        <row r="7812">
          <cell r="A7812" t="str">
            <v>GC</v>
          </cell>
          <cell r="D7812">
            <v>43162</v>
          </cell>
        </row>
        <row r="7813">
          <cell r="A7813" t="str">
            <v>GC</v>
          </cell>
          <cell r="D7813">
            <v>43458</v>
          </cell>
        </row>
        <row r="7814">
          <cell r="A7814" t="str">
            <v>GC</v>
          </cell>
          <cell r="D7814">
            <v>43445</v>
          </cell>
        </row>
        <row r="7815">
          <cell r="A7815" t="str">
            <v>GC</v>
          </cell>
          <cell r="D7815">
            <v>43303</v>
          </cell>
        </row>
        <row r="7816">
          <cell r="A7816" t="str">
            <v>GC</v>
          </cell>
          <cell r="D7816">
            <v>43371</v>
          </cell>
        </row>
        <row r="7817">
          <cell r="A7817" t="str">
            <v>ASEAN</v>
          </cell>
          <cell r="D7817">
            <v>43204</v>
          </cell>
        </row>
        <row r="7818">
          <cell r="A7818" t="str">
            <v>GC</v>
          </cell>
          <cell r="D7818">
            <v>43108</v>
          </cell>
        </row>
        <row r="7819">
          <cell r="A7819" t="str">
            <v>GC</v>
          </cell>
          <cell r="D7819">
            <v>43448</v>
          </cell>
        </row>
        <row r="7820">
          <cell r="A7820" t="str">
            <v>GC</v>
          </cell>
          <cell r="D7820">
            <v>43433</v>
          </cell>
        </row>
        <row r="7821">
          <cell r="A7821" t="str">
            <v>GC</v>
          </cell>
          <cell r="D7821">
            <v>43458</v>
          </cell>
        </row>
        <row r="7822">
          <cell r="A7822" t="str">
            <v>IN</v>
          </cell>
          <cell r="D7822">
            <v>43140</v>
          </cell>
        </row>
        <row r="7823">
          <cell r="A7823" t="str">
            <v>GC</v>
          </cell>
          <cell r="D7823">
            <v>43324</v>
          </cell>
        </row>
        <row r="7824">
          <cell r="A7824" t="str">
            <v>GC</v>
          </cell>
          <cell r="D7824">
            <v>43380</v>
          </cell>
        </row>
        <row r="7825">
          <cell r="A7825" t="str">
            <v>GC</v>
          </cell>
          <cell r="D7825">
            <v>43110</v>
          </cell>
        </row>
        <row r="7826">
          <cell r="A7826" t="str">
            <v>ANZ</v>
          </cell>
          <cell r="D7826">
            <v>43373</v>
          </cell>
        </row>
        <row r="7827">
          <cell r="A7827" t="str">
            <v>ASEAN</v>
          </cell>
          <cell r="D7827">
            <v>43124</v>
          </cell>
        </row>
        <row r="7828">
          <cell r="A7828" t="str">
            <v>GC</v>
          </cell>
          <cell r="D7828">
            <v>43306</v>
          </cell>
        </row>
        <row r="7829">
          <cell r="A7829" t="str">
            <v>IN</v>
          </cell>
          <cell r="D7829">
            <v>43142</v>
          </cell>
        </row>
        <row r="7830">
          <cell r="A7830" t="str">
            <v>GC</v>
          </cell>
          <cell r="D7830">
            <v>43248</v>
          </cell>
        </row>
        <row r="7831">
          <cell r="A7831" t="str">
            <v>ASEAN</v>
          </cell>
          <cell r="D7831">
            <v>43400</v>
          </cell>
        </row>
        <row r="7832">
          <cell r="A7832" t="str">
            <v>GC</v>
          </cell>
          <cell r="D7832">
            <v>43251</v>
          </cell>
        </row>
        <row r="7833">
          <cell r="A7833" t="str">
            <v>GC</v>
          </cell>
          <cell r="D7833">
            <v>43255</v>
          </cell>
        </row>
        <row r="7834">
          <cell r="A7834" t="str">
            <v>GC</v>
          </cell>
          <cell r="D7834">
            <v>43441</v>
          </cell>
        </row>
        <row r="7835">
          <cell r="A7835" t="str">
            <v>GC</v>
          </cell>
          <cell r="D7835">
            <v>43331</v>
          </cell>
        </row>
        <row r="7836">
          <cell r="A7836" t="str">
            <v>GC</v>
          </cell>
          <cell r="D7836">
            <v>43411</v>
          </cell>
        </row>
        <row r="7837">
          <cell r="A7837" t="str">
            <v>ANZ</v>
          </cell>
          <cell r="D7837">
            <v>43290</v>
          </cell>
        </row>
        <row r="7838">
          <cell r="A7838" t="str">
            <v>ASEAN</v>
          </cell>
          <cell r="D7838">
            <v>43217</v>
          </cell>
        </row>
        <row r="7839">
          <cell r="A7839" t="str">
            <v>IN</v>
          </cell>
          <cell r="D7839">
            <v>43180</v>
          </cell>
        </row>
        <row r="7840">
          <cell r="A7840" t="str">
            <v>ANZ</v>
          </cell>
          <cell r="D7840">
            <v>43362</v>
          </cell>
        </row>
        <row r="7841">
          <cell r="A7841" t="str">
            <v>ASEAN</v>
          </cell>
          <cell r="D7841">
            <v>43455</v>
          </cell>
        </row>
        <row r="7842">
          <cell r="A7842" t="str">
            <v>GC</v>
          </cell>
          <cell r="D7842">
            <v>43119</v>
          </cell>
        </row>
        <row r="7843">
          <cell r="A7843" t="str">
            <v>ANZ</v>
          </cell>
          <cell r="D7843">
            <v>43243</v>
          </cell>
        </row>
        <row r="7844">
          <cell r="A7844" t="str">
            <v>ANZ</v>
          </cell>
          <cell r="D7844">
            <v>43259</v>
          </cell>
        </row>
        <row r="7845">
          <cell r="A7845" t="str">
            <v>ASEAN</v>
          </cell>
          <cell r="D7845">
            <v>43170</v>
          </cell>
        </row>
        <row r="7846">
          <cell r="A7846" t="str">
            <v>ASEAN</v>
          </cell>
          <cell r="D7846">
            <v>43164</v>
          </cell>
        </row>
        <row r="7847">
          <cell r="A7847" t="str">
            <v>ASEAN</v>
          </cell>
          <cell r="D7847">
            <v>43440</v>
          </cell>
        </row>
        <row r="7848">
          <cell r="A7848" t="str">
            <v>IN</v>
          </cell>
          <cell r="D7848">
            <v>43276</v>
          </cell>
        </row>
        <row r="7849">
          <cell r="A7849" t="str">
            <v>ANZ</v>
          </cell>
          <cell r="D7849">
            <v>43249</v>
          </cell>
        </row>
        <row r="7850">
          <cell r="A7850" t="str">
            <v>GC</v>
          </cell>
          <cell r="D7850">
            <v>43347</v>
          </cell>
        </row>
        <row r="7851">
          <cell r="A7851" t="str">
            <v>GC</v>
          </cell>
          <cell r="D7851">
            <v>43171</v>
          </cell>
        </row>
        <row r="7852">
          <cell r="A7852" t="str">
            <v>GC</v>
          </cell>
          <cell r="D7852">
            <v>43139</v>
          </cell>
        </row>
        <row r="7853">
          <cell r="A7853" t="str">
            <v>GC</v>
          </cell>
          <cell r="D7853">
            <v>43412</v>
          </cell>
        </row>
        <row r="7854">
          <cell r="A7854" t="str">
            <v>GC</v>
          </cell>
          <cell r="D7854">
            <v>43286</v>
          </cell>
        </row>
        <row r="7855">
          <cell r="A7855" t="str">
            <v>GC</v>
          </cell>
          <cell r="D7855">
            <v>43389</v>
          </cell>
        </row>
        <row r="7856">
          <cell r="A7856" t="str">
            <v>GC</v>
          </cell>
          <cell r="D7856">
            <v>43384</v>
          </cell>
        </row>
        <row r="7857">
          <cell r="A7857" t="str">
            <v>GC</v>
          </cell>
          <cell r="D7857">
            <v>43410</v>
          </cell>
        </row>
        <row r="7858">
          <cell r="A7858" t="str">
            <v>IN</v>
          </cell>
          <cell r="D7858">
            <v>43414</v>
          </cell>
        </row>
        <row r="7859">
          <cell r="A7859" t="str">
            <v>ANZ</v>
          </cell>
          <cell r="D7859">
            <v>43352</v>
          </cell>
        </row>
        <row r="7860">
          <cell r="A7860" t="str">
            <v>ANZ</v>
          </cell>
          <cell r="D7860">
            <v>43244</v>
          </cell>
        </row>
        <row r="7861">
          <cell r="A7861" t="str">
            <v>IN</v>
          </cell>
          <cell r="D7861">
            <v>43350</v>
          </cell>
        </row>
        <row r="7862">
          <cell r="A7862" t="str">
            <v>KR</v>
          </cell>
          <cell r="D7862">
            <v>43254</v>
          </cell>
        </row>
        <row r="7863">
          <cell r="A7863" t="str">
            <v>ANZ</v>
          </cell>
          <cell r="D7863">
            <v>43420</v>
          </cell>
        </row>
        <row r="7864">
          <cell r="A7864" t="str">
            <v>ASEAN</v>
          </cell>
          <cell r="D7864">
            <v>43217</v>
          </cell>
        </row>
        <row r="7865">
          <cell r="A7865" t="str">
            <v>ASEAN</v>
          </cell>
          <cell r="D7865">
            <v>43255</v>
          </cell>
        </row>
        <row r="7866">
          <cell r="A7866" t="str">
            <v>GC</v>
          </cell>
          <cell r="D7866">
            <v>43322</v>
          </cell>
        </row>
        <row r="7867">
          <cell r="A7867" t="str">
            <v>GC</v>
          </cell>
          <cell r="D7867">
            <v>43361</v>
          </cell>
        </row>
        <row r="7868">
          <cell r="A7868" t="str">
            <v>GC</v>
          </cell>
          <cell r="D7868">
            <v>43445</v>
          </cell>
        </row>
        <row r="7869">
          <cell r="A7869" t="str">
            <v>GC</v>
          </cell>
          <cell r="D7869">
            <v>43429</v>
          </cell>
        </row>
        <row r="7870">
          <cell r="A7870" t="str">
            <v>ASEAN</v>
          </cell>
          <cell r="D7870">
            <v>43320</v>
          </cell>
        </row>
        <row r="7871">
          <cell r="A7871" t="str">
            <v>ASEAN</v>
          </cell>
          <cell r="D7871">
            <v>43395</v>
          </cell>
        </row>
        <row r="7872">
          <cell r="A7872" t="str">
            <v>GC</v>
          </cell>
          <cell r="D7872">
            <v>43228</v>
          </cell>
        </row>
        <row r="7873">
          <cell r="A7873" t="str">
            <v>ASEAN</v>
          </cell>
          <cell r="D7873">
            <v>43201</v>
          </cell>
        </row>
        <row r="7874">
          <cell r="A7874" t="str">
            <v>GC</v>
          </cell>
          <cell r="D7874">
            <v>43248</v>
          </cell>
        </row>
        <row r="7875">
          <cell r="A7875" t="str">
            <v>GC</v>
          </cell>
          <cell r="D7875">
            <v>43396</v>
          </cell>
        </row>
        <row r="7876">
          <cell r="A7876" t="str">
            <v>IN</v>
          </cell>
          <cell r="D7876">
            <v>43223</v>
          </cell>
        </row>
        <row r="7877">
          <cell r="A7877" t="str">
            <v>GC</v>
          </cell>
          <cell r="D7877">
            <v>43318</v>
          </cell>
        </row>
        <row r="7878">
          <cell r="A7878" t="str">
            <v>KR</v>
          </cell>
          <cell r="D7878">
            <v>43368</v>
          </cell>
        </row>
        <row r="7879">
          <cell r="A7879" t="str">
            <v>KR</v>
          </cell>
          <cell r="D7879">
            <v>43124</v>
          </cell>
        </row>
        <row r="7880">
          <cell r="A7880" t="str">
            <v>KR</v>
          </cell>
          <cell r="D7880">
            <v>43106</v>
          </cell>
        </row>
        <row r="7881">
          <cell r="A7881" t="str">
            <v>KR</v>
          </cell>
          <cell r="D7881">
            <v>43194</v>
          </cell>
        </row>
        <row r="7882">
          <cell r="A7882" t="str">
            <v>ASEAN</v>
          </cell>
          <cell r="D7882">
            <v>43105</v>
          </cell>
        </row>
        <row r="7883">
          <cell r="A7883" t="str">
            <v>GC</v>
          </cell>
          <cell r="D7883">
            <v>43264</v>
          </cell>
        </row>
        <row r="7884">
          <cell r="A7884" t="str">
            <v>GC</v>
          </cell>
          <cell r="D7884">
            <v>43400</v>
          </cell>
        </row>
        <row r="7885">
          <cell r="A7885" t="str">
            <v>GC</v>
          </cell>
          <cell r="D7885">
            <v>43157</v>
          </cell>
        </row>
        <row r="7886">
          <cell r="A7886" t="str">
            <v>GC</v>
          </cell>
          <cell r="D7886">
            <v>43395</v>
          </cell>
        </row>
        <row r="7887">
          <cell r="A7887" t="str">
            <v>GC</v>
          </cell>
          <cell r="D7887">
            <v>43414</v>
          </cell>
        </row>
        <row r="7888">
          <cell r="A7888" t="str">
            <v>GC</v>
          </cell>
          <cell r="D7888">
            <v>43267</v>
          </cell>
        </row>
        <row r="7889">
          <cell r="A7889" t="str">
            <v>GC</v>
          </cell>
          <cell r="D7889">
            <v>43121</v>
          </cell>
        </row>
        <row r="7890">
          <cell r="A7890" t="str">
            <v>GC</v>
          </cell>
          <cell r="D7890">
            <v>43168</v>
          </cell>
        </row>
        <row r="7891">
          <cell r="A7891" t="str">
            <v>GC</v>
          </cell>
          <cell r="D7891">
            <v>43268</v>
          </cell>
        </row>
        <row r="7892">
          <cell r="A7892" t="str">
            <v>GC</v>
          </cell>
          <cell r="D7892">
            <v>43110</v>
          </cell>
        </row>
        <row r="7893">
          <cell r="A7893" t="str">
            <v>GC</v>
          </cell>
          <cell r="D7893">
            <v>43344</v>
          </cell>
        </row>
        <row r="7894">
          <cell r="A7894" t="str">
            <v>ASEAN</v>
          </cell>
          <cell r="D7894">
            <v>43214</v>
          </cell>
        </row>
        <row r="7895">
          <cell r="A7895" t="str">
            <v>ASEAN</v>
          </cell>
          <cell r="D7895">
            <v>43339</v>
          </cell>
        </row>
        <row r="7896">
          <cell r="A7896" t="str">
            <v>ASEAN</v>
          </cell>
          <cell r="D7896">
            <v>43266</v>
          </cell>
        </row>
        <row r="7897">
          <cell r="A7897" t="str">
            <v>ASEAN</v>
          </cell>
          <cell r="D7897">
            <v>43106</v>
          </cell>
        </row>
        <row r="7898">
          <cell r="A7898" t="str">
            <v>GC</v>
          </cell>
          <cell r="D7898">
            <v>43306</v>
          </cell>
        </row>
        <row r="7899">
          <cell r="A7899" t="str">
            <v>GC</v>
          </cell>
          <cell r="D7899">
            <v>43111</v>
          </cell>
        </row>
        <row r="7900">
          <cell r="A7900" t="str">
            <v>ANZ</v>
          </cell>
          <cell r="D7900">
            <v>43121</v>
          </cell>
        </row>
        <row r="7901">
          <cell r="A7901" t="str">
            <v>GC</v>
          </cell>
          <cell r="D7901">
            <v>43436</v>
          </cell>
        </row>
        <row r="7902">
          <cell r="A7902" t="str">
            <v>GC</v>
          </cell>
          <cell r="D7902">
            <v>43425</v>
          </cell>
        </row>
        <row r="7903">
          <cell r="A7903" t="str">
            <v>GC</v>
          </cell>
          <cell r="D7903">
            <v>43162</v>
          </cell>
        </row>
        <row r="7904">
          <cell r="A7904" t="str">
            <v>ANZ</v>
          </cell>
          <cell r="D7904">
            <v>43171</v>
          </cell>
        </row>
        <row r="7905">
          <cell r="A7905" t="str">
            <v>ANZ</v>
          </cell>
          <cell r="D7905">
            <v>43160</v>
          </cell>
        </row>
        <row r="7906">
          <cell r="A7906" t="str">
            <v>IN</v>
          </cell>
          <cell r="D7906">
            <v>43448</v>
          </cell>
        </row>
        <row r="7907">
          <cell r="A7907" t="str">
            <v>ASEAN</v>
          </cell>
          <cell r="D7907">
            <v>43418</v>
          </cell>
        </row>
        <row r="7908">
          <cell r="A7908" t="str">
            <v>IN</v>
          </cell>
          <cell r="D7908">
            <v>43333</v>
          </cell>
        </row>
        <row r="7909">
          <cell r="A7909" t="str">
            <v>GC</v>
          </cell>
          <cell r="D7909">
            <v>43429</v>
          </cell>
        </row>
        <row r="7910">
          <cell r="A7910" t="str">
            <v>ASEAN</v>
          </cell>
          <cell r="D7910">
            <v>43367</v>
          </cell>
        </row>
        <row r="7911">
          <cell r="A7911" t="str">
            <v>ASEAN</v>
          </cell>
          <cell r="D7911">
            <v>43453</v>
          </cell>
        </row>
        <row r="7912">
          <cell r="A7912" t="str">
            <v>ASEAN</v>
          </cell>
          <cell r="D7912">
            <v>43329</v>
          </cell>
        </row>
        <row r="7913">
          <cell r="A7913" t="str">
            <v>GC</v>
          </cell>
          <cell r="D7913">
            <v>43312</v>
          </cell>
        </row>
        <row r="7914">
          <cell r="A7914" t="str">
            <v>GC</v>
          </cell>
          <cell r="D7914">
            <v>43415</v>
          </cell>
        </row>
        <row r="7915">
          <cell r="A7915" t="str">
            <v>ANZ</v>
          </cell>
          <cell r="D7915">
            <v>43338</v>
          </cell>
        </row>
        <row r="7916">
          <cell r="A7916" t="str">
            <v>IN</v>
          </cell>
          <cell r="D7916">
            <v>43137</v>
          </cell>
        </row>
        <row r="7917">
          <cell r="A7917" t="str">
            <v>ASEAN</v>
          </cell>
          <cell r="D7917">
            <v>43214</v>
          </cell>
        </row>
        <row r="7918">
          <cell r="A7918" t="str">
            <v>GC</v>
          </cell>
          <cell r="D7918">
            <v>43126</v>
          </cell>
        </row>
        <row r="7919">
          <cell r="A7919" t="str">
            <v>ANZ</v>
          </cell>
          <cell r="D7919">
            <v>43328</v>
          </cell>
        </row>
        <row r="7920">
          <cell r="A7920" t="str">
            <v>GC</v>
          </cell>
          <cell r="D7920">
            <v>43325</v>
          </cell>
        </row>
        <row r="7921">
          <cell r="A7921" t="str">
            <v>ANZ</v>
          </cell>
          <cell r="D7921">
            <v>43445</v>
          </cell>
        </row>
        <row r="7922">
          <cell r="A7922" t="str">
            <v>ASEAN</v>
          </cell>
          <cell r="D7922">
            <v>43364</v>
          </cell>
        </row>
        <row r="7923">
          <cell r="A7923" t="str">
            <v>KR</v>
          </cell>
          <cell r="D7923">
            <v>43422</v>
          </cell>
        </row>
        <row r="7924">
          <cell r="A7924" t="str">
            <v>IN</v>
          </cell>
          <cell r="D7924">
            <v>43331</v>
          </cell>
        </row>
        <row r="7925">
          <cell r="A7925" t="str">
            <v>GC</v>
          </cell>
          <cell r="D7925">
            <v>43416</v>
          </cell>
        </row>
        <row r="7926">
          <cell r="A7926" t="str">
            <v>GC</v>
          </cell>
          <cell r="D7926">
            <v>43113</v>
          </cell>
        </row>
        <row r="7927">
          <cell r="A7927" t="str">
            <v>ANZ</v>
          </cell>
          <cell r="D7927">
            <v>43401</v>
          </cell>
        </row>
        <row r="7928">
          <cell r="A7928" t="str">
            <v>GC</v>
          </cell>
          <cell r="D7928">
            <v>43201</v>
          </cell>
        </row>
        <row r="7929">
          <cell r="A7929" t="str">
            <v>GC</v>
          </cell>
          <cell r="D7929">
            <v>43120</v>
          </cell>
        </row>
        <row r="7930">
          <cell r="A7930" t="str">
            <v>GC</v>
          </cell>
          <cell r="D7930">
            <v>43285</v>
          </cell>
        </row>
        <row r="7931">
          <cell r="A7931" t="str">
            <v>ANZ</v>
          </cell>
          <cell r="D7931">
            <v>43368</v>
          </cell>
        </row>
        <row r="7932">
          <cell r="A7932" t="str">
            <v>IN</v>
          </cell>
          <cell r="D7932">
            <v>43205</v>
          </cell>
        </row>
        <row r="7933">
          <cell r="A7933" t="str">
            <v>GC</v>
          </cell>
          <cell r="D7933">
            <v>43309</v>
          </cell>
        </row>
        <row r="7934">
          <cell r="A7934" t="str">
            <v>ASEAN</v>
          </cell>
          <cell r="D7934">
            <v>43178</v>
          </cell>
        </row>
        <row r="7935">
          <cell r="A7935" t="str">
            <v>IN</v>
          </cell>
          <cell r="D7935">
            <v>43331</v>
          </cell>
        </row>
        <row r="7936">
          <cell r="A7936" t="str">
            <v>GC</v>
          </cell>
          <cell r="D7936">
            <v>43174</v>
          </cell>
        </row>
        <row r="7937">
          <cell r="A7937" t="str">
            <v>ANZ</v>
          </cell>
          <cell r="D7937">
            <v>43395</v>
          </cell>
        </row>
        <row r="7938">
          <cell r="A7938" t="str">
            <v>IN</v>
          </cell>
          <cell r="D7938">
            <v>43117</v>
          </cell>
        </row>
        <row r="7939">
          <cell r="A7939" t="str">
            <v>IN</v>
          </cell>
          <cell r="D7939">
            <v>43449</v>
          </cell>
        </row>
        <row r="7940">
          <cell r="A7940" t="str">
            <v>ASEAN</v>
          </cell>
          <cell r="D7940">
            <v>43250</v>
          </cell>
        </row>
        <row r="7941">
          <cell r="A7941" t="str">
            <v>ANZ</v>
          </cell>
          <cell r="D7941">
            <v>43303</v>
          </cell>
        </row>
        <row r="7942">
          <cell r="A7942" t="str">
            <v>GC</v>
          </cell>
          <cell r="D7942">
            <v>43197</v>
          </cell>
        </row>
        <row r="7943">
          <cell r="A7943" t="str">
            <v>IN</v>
          </cell>
          <cell r="D7943">
            <v>43353</v>
          </cell>
        </row>
        <row r="7944">
          <cell r="A7944" t="str">
            <v>GC</v>
          </cell>
          <cell r="D7944">
            <v>43141</v>
          </cell>
        </row>
        <row r="7945">
          <cell r="A7945" t="str">
            <v>ANZ</v>
          </cell>
          <cell r="D7945">
            <v>43177</v>
          </cell>
        </row>
        <row r="7946">
          <cell r="A7946" t="str">
            <v>GC</v>
          </cell>
          <cell r="D7946">
            <v>43200</v>
          </cell>
        </row>
        <row r="7947">
          <cell r="A7947" t="str">
            <v>GC</v>
          </cell>
          <cell r="D7947">
            <v>43182</v>
          </cell>
        </row>
        <row r="7948">
          <cell r="A7948" t="str">
            <v>GC</v>
          </cell>
          <cell r="D7948">
            <v>43303</v>
          </cell>
        </row>
        <row r="7949">
          <cell r="A7949" t="str">
            <v>IN</v>
          </cell>
          <cell r="D7949">
            <v>43266</v>
          </cell>
        </row>
        <row r="7950">
          <cell r="A7950" t="str">
            <v>IN</v>
          </cell>
          <cell r="D7950">
            <v>43276</v>
          </cell>
        </row>
        <row r="7951">
          <cell r="A7951" t="str">
            <v>ANZ</v>
          </cell>
          <cell r="D7951">
            <v>43437</v>
          </cell>
        </row>
        <row r="7952">
          <cell r="A7952" t="str">
            <v>IN</v>
          </cell>
          <cell r="D7952">
            <v>43417</v>
          </cell>
        </row>
        <row r="7953">
          <cell r="A7953" t="str">
            <v>IN</v>
          </cell>
          <cell r="D7953">
            <v>43182</v>
          </cell>
        </row>
        <row r="7954">
          <cell r="A7954" t="str">
            <v>IN</v>
          </cell>
          <cell r="D7954">
            <v>43421</v>
          </cell>
        </row>
        <row r="7955">
          <cell r="A7955" t="str">
            <v>IN</v>
          </cell>
          <cell r="D7955">
            <v>43156</v>
          </cell>
        </row>
        <row r="7956">
          <cell r="A7956" t="str">
            <v>IN</v>
          </cell>
          <cell r="D7956">
            <v>43391</v>
          </cell>
        </row>
        <row r="7957">
          <cell r="A7957" t="str">
            <v>ASEAN</v>
          </cell>
          <cell r="D7957">
            <v>43272</v>
          </cell>
        </row>
        <row r="7958">
          <cell r="A7958" t="str">
            <v>GC</v>
          </cell>
          <cell r="D7958">
            <v>43103</v>
          </cell>
        </row>
        <row r="7959">
          <cell r="A7959" t="str">
            <v>GC</v>
          </cell>
          <cell r="D7959">
            <v>43440</v>
          </cell>
        </row>
        <row r="7960">
          <cell r="A7960" t="str">
            <v>ASEAN</v>
          </cell>
          <cell r="D7960">
            <v>43210</v>
          </cell>
        </row>
        <row r="7961">
          <cell r="A7961" t="str">
            <v>ANZ</v>
          </cell>
          <cell r="D7961">
            <v>43116</v>
          </cell>
        </row>
        <row r="7962">
          <cell r="A7962" t="str">
            <v>ASEAN</v>
          </cell>
          <cell r="D7962">
            <v>43232</v>
          </cell>
        </row>
        <row r="7963">
          <cell r="A7963" t="str">
            <v>ANZ</v>
          </cell>
          <cell r="D7963">
            <v>43182</v>
          </cell>
        </row>
        <row r="7964">
          <cell r="A7964" t="str">
            <v>ANZ</v>
          </cell>
          <cell r="D7964">
            <v>43173</v>
          </cell>
        </row>
        <row r="7965">
          <cell r="A7965" t="str">
            <v>ANZ</v>
          </cell>
          <cell r="D7965">
            <v>43438</v>
          </cell>
        </row>
        <row r="7966">
          <cell r="A7966" t="str">
            <v>ANZ</v>
          </cell>
          <cell r="D7966">
            <v>43426</v>
          </cell>
        </row>
        <row r="7967">
          <cell r="A7967" t="str">
            <v>IN</v>
          </cell>
          <cell r="D7967">
            <v>43148</v>
          </cell>
        </row>
        <row r="7968">
          <cell r="A7968" t="str">
            <v>IN</v>
          </cell>
          <cell r="D7968">
            <v>43452</v>
          </cell>
        </row>
        <row r="7969">
          <cell r="A7969" t="str">
            <v>IN</v>
          </cell>
          <cell r="D7969">
            <v>43187</v>
          </cell>
        </row>
        <row r="7970">
          <cell r="A7970" t="str">
            <v>IN</v>
          </cell>
          <cell r="D7970">
            <v>43267</v>
          </cell>
        </row>
        <row r="7971">
          <cell r="A7971" t="str">
            <v>IN</v>
          </cell>
          <cell r="D7971">
            <v>43447</v>
          </cell>
        </row>
        <row r="7972">
          <cell r="A7972" t="str">
            <v>GC</v>
          </cell>
          <cell r="D7972">
            <v>43342</v>
          </cell>
        </row>
        <row r="7973">
          <cell r="A7973" t="str">
            <v>GC</v>
          </cell>
          <cell r="D7973">
            <v>43288</v>
          </cell>
        </row>
        <row r="7974">
          <cell r="A7974" t="str">
            <v>GC</v>
          </cell>
          <cell r="D7974">
            <v>43329</v>
          </cell>
        </row>
        <row r="7975">
          <cell r="A7975" t="str">
            <v>IN</v>
          </cell>
          <cell r="D7975">
            <v>43208</v>
          </cell>
        </row>
        <row r="7976">
          <cell r="A7976" t="str">
            <v>IN</v>
          </cell>
          <cell r="D7976">
            <v>43307</v>
          </cell>
        </row>
        <row r="7977">
          <cell r="A7977" t="str">
            <v>IN</v>
          </cell>
          <cell r="D7977">
            <v>43224</v>
          </cell>
        </row>
        <row r="7978">
          <cell r="A7978" t="str">
            <v>ANZ</v>
          </cell>
          <cell r="D7978">
            <v>43171</v>
          </cell>
        </row>
        <row r="7979">
          <cell r="A7979" t="str">
            <v>ANZ</v>
          </cell>
          <cell r="D7979">
            <v>43426</v>
          </cell>
        </row>
        <row r="7980">
          <cell r="A7980" t="str">
            <v>GC</v>
          </cell>
          <cell r="D7980">
            <v>43431</v>
          </cell>
        </row>
        <row r="7981">
          <cell r="A7981" t="str">
            <v>ASEAN</v>
          </cell>
          <cell r="D7981">
            <v>43316</v>
          </cell>
        </row>
        <row r="7982">
          <cell r="A7982" t="str">
            <v>ASEAN</v>
          </cell>
          <cell r="D7982">
            <v>43189</v>
          </cell>
        </row>
        <row r="7983">
          <cell r="A7983" t="str">
            <v>GC</v>
          </cell>
          <cell r="D7983">
            <v>43425</v>
          </cell>
        </row>
        <row r="7984">
          <cell r="A7984" t="str">
            <v>IN</v>
          </cell>
          <cell r="D7984">
            <v>43361</v>
          </cell>
        </row>
        <row r="7985">
          <cell r="A7985" t="str">
            <v>IN</v>
          </cell>
          <cell r="D7985">
            <v>43142</v>
          </cell>
        </row>
        <row r="7986">
          <cell r="A7986" t="str">
            <v>GC</v>
          </cell>
          <cell r="D7986">
            <v>43324</v>
          </cell>
        </row>
        <row r="7987">
          <cell r="A7987" t="str">
            <v>IN</v>
          </cell>
          <cell r="D7987">
            <v>43141</v>
          </cell>
        </row>
        <row r="7988">
          <cell r="A7988" t="str">
            <v>ANZ</v>
          </cell>
          <cell r="D7988">
            <v>43223</v>
          </cell>
        </row>
        <row r="7989">
          <cell r="A7989" t="str">
            <v>ASEAN</v>
          </cell>
          <cell r="D7989">
            <v>43388</v>
          </cell>
        </row>
        <row r="7990">
          <cell r="A7990" t="str">
            <v>IN</v>
          </cell>
          <cell r="D7990">
            <v>43104</v>
          </cell>
        </row>
        <row r="7991">
          <cell r="A7991" t="str">
            <v>IN</v>
          </cell>
          <cell r="D7991">
            <v>43445</v>
          </cell>
        </row>
        <row r="7992">
          <cell r="A7992" t="str">
            <v>IN</v>
          </cell>
          <cell r="D7992">
            <v>43359</v>
          </cell>
        </row>
        <row r="7993">
          <cell r="A7993" t="str">
            <v>IN</v>
          </cell>
          <cell r="D7993">
            <v>43397</v>
          </cell>
        </row>
        <row r="7994">
          <cell r="A7994" t="str">
            <v>GC</v>
          </cell>
          <cell r="D7994">
            <v>43139</v>
          </cell>
        </row>
        <row r="7995">
          <cell r="A7995" t="str">
            <v>GC</v>
          </cell>
          <cell r="D7995">
            <v>43260</v>
          </cell>
        </row>
        <row r="7996">
          <cell r="A7996" t="str">
            <v>GC</v>
          </cell>
          <cell r="D7996">
            <v>43437</v>
          </cell>
        </row>
        <row r="7997">
          <cell r="A7997" t="str">
            <v>GC</v>
          </cell>
          <cell r="D7997">
            <v>43105</v>
          </cell>
        </row>
        <row r="7998">
          <cell r="A7998" t="str">
            <v>GC</v>
          </cell>
          <cell r="D7998">
            <v>43398</v>
          </cell>
        </row>
        <row r="7999">
          <cell r="A7999" t="str">
            <v>GC</v>
          </cell>
          <cell r="D7999">
            <v>43185</v>
          </cell>
        </row>
        <row r="8000">
          <cell r="A8000" t="str">
            <v>GC</v>
          </cell>
          <cell r="D8000">
            <v>43224</v>
          </cell>
        </row>
        <row r="8001">
          <cell r="A8001" t="str">
            <v>GC</v>
          </cell>
          <cell r="D8001">
            <v>43445</v>
          </cell>
        </row>
        <row r="8002">
          <cell r="A8002" t="str">
            <v>GC</v>
          </cell>
          <cell r="D8002">
            <v>43277</v>
          </cell>
        </row>
        <row r="8003">
          <cell r="A8003" t="str">
            <v>GC</v>
          </cell>
          <cell r="D8003">
            <v>43373</v>
          </cell>
        </row>
        <row r="8004">
          <cell r="A8004" t="str">
            <v>GC</v>
          </cell>
          <cell r="D8004">
            <v>43447</v>
          </cell>
        </row>
        <row r="8005">
          <cell r="A8005" t="str">
            <v>GC</v>
          </cell>
          <cell r="D8005">
            <v>43457</v>
          </cell>
        </row>
        <row r="8006">
          <cell r="A8006" t="str">
            <v>IN</v>
          </cell>
          <cell r="D8006">
            <v>43164</v>
          </cell>
        </row>
        <row r="8007">
          <cell r="A8007" t="str">
            <v>IN</v>
          </cell>
          <cell r="D8007">
            <v>43102</v>
          </cell>
        </row>
        <row r="8008">
          <cell r="A8008" t="str">
            <v>GC</v>
          </cell>
          <cell r="D8008">
            <v>43456</v>
          </cell>
        </row>
        <row r="8009">
          <cell r="A8009" t="str">
            <v>GC</v>
          </cell>
          <cell r="D8009">
            <v>43299</v>
          </cell>
        </row>
        <row r="8010">
          <cell r="A8010" t="str">
            <v>GC</v>
          </cell>
          <cell r="D8010">
            <v>43268</v>
          </cell>
        </row>
        <row r="8011">
          <cell r="A8011" t="str">
            <v>ASEAN</v>
          </cell>
          <cell r="D8011">
            <v>43460</v>
          </cell>
        </row>
        <row r="8012">
          <cell r="A8012" t="str">
            <v>ANZ</v>
          </cell>
          <cell r="D8012">
            <v>43196</v>
          </cell>
        </row>
        <row r="8013">
          <cell r="A8013" t="str">
            <v>GC</v>
          </cell>
          <cell r="D8013">
            <v>43358</v>
          </cell>
        </row>
        <row r="8014">
          <cell r="A8014" t="str">
            <v>GC</v>
          </cell>
          <cell r="D8014">
            <v>43318</v>
          </cell>
        </row>
        <row r="8015">
          <cell r="A8015" t="str">
            <v>GC</v>
          </cell>
          <cell r="D8015">
            <v>43218</v>
          </cell>
        </row>
        <row r="8016">
          <cell r="A8016" t="str">
            <v>IN</v>
          </cell>
          <cell r="D8016">
            <v>43342</v>
          </cell>
        </row>
        <row r="8017">
          <cell r="A8017" t="str">
            <v>IN</v>
          </cell>
          <cell r="D8017">
            <v>43294</v>
          </cell>
        </row>
        <row r="8018">
          <cell r="A8018" t="str">
            <v>ASEAN</v>
          </cell>
          <cell r="D8018">
            <v>43152</v>
          </cell>
        </row>
        <row r="8019">
          <cell r="A8019" t="str">
            <v>ASEAN</v>
          </cell>
          <cell r="D8019">
            <v>43189</v>
          </cell>
        </row>
        <row r="8020">
          <cell r="A8020" t="str">
            <v>ANZ</v>
          </cell>
          <cell r="D8020">
            <v>43397</v>
          </cell>
        </row>
        <row r="8021">
          <cell r="A8021" t="str">
            <v>ANZ</v>
          </cell>
          <cell r="D8021">
            <v>43354</v>
          </cell>
        </row>
        <row r="8022">
          <cell r="A8022" t="str">
            <v>ASEAN</v>
          </cell>
          <cell r="D8022">
            <v>43271</v>
          </cell>
        </row>
        <row r="8023">
          <cell r="A8023" t="str">
            <v>ASEAN</v>
          </cell>
          <cell r="D8023">
            <v>43277</v>
          </cell>
        </row>
        <row r="8024">
          <cell r="A8024" t="str">
            <v>ANZ</v>
          </cell>
          <cell r="D8024">
            <v>43134</v>
          </cell>
        </row>
        <row r="8025">
          <cell r="A8025" t="str">
            <v>KR</v>
          </cell>
          <cell r="D8025">
            <v>43151</v>
          </cell>
        </row>
        <row r="8026">
          <cell r="A8026" t="str">
            <v>ANZ</v>
          </cell>
          <cell r="D8026">
            <v>43272</v>
          </cell>
        </row>
        <row r="8027">
          <cell r="A8027" t="str">
            <v>GC</v>
          </cell>
          <cell r="D8027">
            <v>43304</v>
          </cell>
        </row>
        <row r="8028">
          <cell r="A8028" t="str">
            <v>KR</v>
          </cell>
          <cell r="D8028">
            <v>43226</v>
          </cell>
        </row>
        <row r="8029">
          <cell r="A8029" t="str">
            <v>KR</v>
          </cell>
          <cell r="D8029">
            <v>43173</v>
          </cell>
        </row>
        <row r="8030">
          <cell r="A8030" t="str">
            <v>ASEAN</v>
          </cell>
          <cell r="D8030">
            <v>43428</v>
          </cell>
        </row>
        <row r="8031">
          <cell r="A8031" t="str">
            <v>IN</v>
          </cell>
          <cell r="D8031">
            <v>43291</v>
          </cell>
        </row>
        <row r="8032">
          <cell r="A8032" t="str">
            <v>IN</v>
          </cell>
          <cell r="D8032">
            <v>43331</v>
          </cell>
        </row>
        <row r="8033">
          <cell r="A8033" t="str">
            <v>IN</v>
          </cell>
          <cell r="D8033">
            <v>43228</v>
          </cell>
        </row>
        <row r="8034">
          <cell r="A8034" t="str">
            <v>IN</v>
          </cell>
          <cell r="D8034">
            <v>43219</v>
          </cell>
        </row>
        <row r="8035">
          <cell r="A8035" t="str">
            <v>ANZ</v>
          </cell>
          <cell r="D8035">
            <v>43431</v>
          </cell>
        </row>
        <row r="8036">
          <cell r="A8036" t="str">
            <v>ASEAN</v>
          </cell>
          <cell r="D8036">
            <v>43133</v>
          </cell>
        </row>
        <row r="8037">
          <cell r="A8037" t="str">
            <v>ASEAN</v>
          </cell>
          <cell r="D8037">
            <v>43190</v>
          </cell>
        </row>
        <row r="8038">
          <cell r="A8038" t="str">
            <v>ASEAN</v>
          </cell>
          <cell r="D8038">
            <v>43408</v>
          </cell>
        </row>
        <row r="8039">
          <cell r="A8039" t="str">
            <v>ASEAN</v>
          </cell>
          <cell r="D8039">
            <v>43203</v>
          </cell>
        </row>
        <row r="8040">
          <cell r="A8040" t="str">
            <v>ANZ</v>
          </cell>
          <cell r="D8040">
            <v>43202</v>
          </cell>
        </row>
        <row r="8041">
          <cell r="A8041" t="str">
            <v>GC</v>
          </cell>
          <cell r="D8041">
            <v>43420</v>
          </cell>
        </row>
        <row r="8042">
          <cell r="A8042" t="str">
            <v>ASEAN</v>
          </cell>
          <cell r="D8042">
            <v>43202</v>
          </cell>
        </row>
        <row r="8043">
          <cell r="A8043" t="str">
            <v>ASEAN</v>
          </cell>
          <cell r="D8043">
            <v>43312</v>
          </cell>
        </row>
        <row r="8044">
          <cell r="A8044" t="str">
            <v>IN</v>
          </cell>
          <cell r="D8044">
            <v>43413</v>
          </cell>
        </row>
        <row r="8045">
          <cell r="A8045" t="str">
            <v>GC</v>
          </cell>
          <cell r="D8045">
            <v>43452</v>
          </cell>
        </row>
        <row r="8046">
          <cell r="A8046" t="str">
            <v>GC</v>
          </cell>
          <cell r="D8046">
            <v>43444</v>
          </cell>
        </row>
        <row r="8047">
          <cell r="A8047" t="str">
            <v>IN</v>
          </cell>
          <cell r="D8047">
            <v>43258</v>
          </cell>
        </row>
        <row r="8048">
          <cell r="A8048" t="str">
            <v>GC</v>
          </cell>
          <cell r="D8048">
            <v>43105</v>
          </cell>
        </row>
        <row r="8049">
          <cell r="A8049" t="str">
            <v>GC</v>
          </cell>
          <cell r="D8049">
            <v>43427</v>
          </cell>
        </row>
        <row r="8050">
          <cell r="A8050" t="str">
            <v>GC</v>
          </cell>
          <cell r="D8050">
            <v>43379</v>
          </cell>
        </row>
        <row r="8051">
          <cell r="A8051" t="str">
            <v>IN</v>
          </cell>
          <cell r="D8051">
            <v>43427</v>
          </cell>
        </row>
        <row r="8052">
          <cell r="A8052" t="str">
            <v>GC</v>
          </cell>
          <cell r="D8052">
            <v>43182</v>
          </cell>
        </row>
        <row r="8053">
          <cell r="A8053" t="str">
            <v>GC</v>
          </cell>
          <cell r="D8053">
            <v>43411</v>
          </cell>
        </row>
        <row r="8054">
          <cell r="A8054" t="str">
            <v>GC</v>
          </cell>
          <cell r="D8054">
            <v>43441</v>
          </cell>
        </row>
        <row r="8055">
          <cell r="A8055" t="str">
            <v>GC</v>
          </cell>
          <cell r="D8055">
            <v>43241</v>
          </cell>
        </row>
        <row r="8056">
          <cell r="A8056" t="str">
            <v>GC</v>
          </cell>
          <cell r="D8056">
            <v>43326</v>
          </cell>
        </row>
        <row r="8057">
          <cell r="A8057" t="str">
            <v>GC</v>
          </cell>
          <cell r="D8057">
            <v>43147</v>
          </cell>
        </row>
        <row r="8058">
          <cell r="A8058" t="str">
            <v>GC</v>
          </cell>
          <cell r="D8058">
            <v>43434</v>
          </cell>
        </row>
        <row r="8059">
          <cell r="A8059" t="str">
            <v>GC</v>
          </cell>
          <cell r="D8059">
            <v>43200</v>
          </cell>
        </row>
        <row r="8060">
          <cell r="A8060" t="str">
            <v>GC</v>
          </cell>
          <cell r="D8060">
            <v>43445</v>
          </cell>
        </row>
        <row r="8061">
          <cell r="A8061" t="str">
            <v>IN</v>
          </cell>
          <cell r="D8061">
            <v>43421</v>
          </cell>
        </row>
        <row r="8062">
          <cell r="A8062" t="str">
            <v>GC</v>
          </cell>
          <cell r="D8062">
            <v>43226</v>
          </cell>
        </row>
        <row r="8063">
          <cell r="A8063" t="str">
            <v>GC</v>
          </cell>
          <cell r="D8063">
            <v>43443</v>
          </cell>
        </row>
        <row r="8064">
          <cell r="A8064" t="str">
            <v>GC</v>
          </cell>
          <cell r="D8064">
            <v>43300</v>
          </cell>
        </row>
        <row r="8065">
          <cell r="A8065" t="str">
            <v>GC</v>
          </cell>
          <cell r="D8065">
            <v>43260</v>
          </cell>
        </row>
        <row r="8066">
          <cell r="A8066" t="str">
            <v>ASEAN</v>
          </cell>
          <cell r="D8066">
            <v>43421</v>
          </cell>
        </row>
        <row r="8067">
          <cell r="A8067" t="str">
            <v>IN</v>
          </cell>
          <cell r="D8067">
            <v>43263</v>
          </cell>
        </row>
        <row r="8068">
          <cell r="A8068" t="str">
            <v>IN</v>
          </cell>
          <cell r="D8068">
            <v>43271</v>
          </cell>
        </row>
        <row r="8069">
          <cell r="A8069" t="str">
            <v>ANZ</v>
          </cell>
          <cell r="D8069">
            <v>43132</v>
          </cell>
        </row>
        <row r="8070">
          <cell r="A8070" t="str">
            <v>ASEAN</v>
          </cell>
          <cell r="D8070">
            <v>43245</v>
          </cell>
        </row>
        <row r="8071">
          <cell r="A8071" t="str">
            <v>GC</v>
          </cell>
          <cell r="D8071">
            <v>43458</v>
          </cell>
        </row>
        <row r="8072">
          <cell r="A8072" t="str">
            <v>ANZ</v>
          </cell>
          <cell r="D8072">
            <v>43378</v>
          </cell>
        </row>
        <row r="8073">
          <cell r="A8073" t="str">
            <v>IN</v>
          </cell>
          <cell r="D8073">
            <v>43302</v>
          </cell>
        </row>
        <row r="8074">
          <cell r="A8074" t="str">
            <v>GC</v>
          </cell>
          <cell r="D8074">
            <v>43387</v>
          </cell>
        </row>
        <row r="8075">
          <cell r="A8075" t="str">
            <v>ASEAN</v>
          </cell>
          <cell r="D8075">
            <v>43227</v>
          </cell>
        </row>
        <row r="8076">
          <cell r="A8076" t="str">
            <v>IN</v>
          </cell>
          <cell r="D8076">
            <v>43229</v>
          </cell>
        </row>
        <row r="8077">
          <cell r="A8077" t="str">
            <v>ANZ</v>
          </cell>
          <cell r="D8077">
            <v>43368</v>
          </cell>
        </row>
        <row r="8078">
          <cell r="A8078" t="str">
            <v>ANZ</v>
          </cell>
          <cell r="D8078">
            <v>43111</v>
          </cell>
        </row>
        <row r="8079">
          <cell r="A8079" t="str">
            <v>ASEAN</v>
          </cell>
          <cell r="D8079">
            <v>43127</v>
          </cell>
        </row>
        <row r="8080">
          <cell r="A8080" t="str">
            <v>ANZ</v>
          </cell>
          <cell r="D8080">
            <v>43179</v>
          </cell>
        </row>
        <row r="8081">
          <cell r="A8081" t="str">
            <v>ANZ</v>
          </cell>
          <cell r="D8081">
            <v>43130</v>
          </cell>
        </row>
        <row r="8082">
          <cell r="A8082" t="str">
            <v>IN</v>
          </cell>
          <cell r="D8082">
            <v>43163</v>
          </cell>
        </row>
        <row r="8083">
          <cell r="A8083" t="str">
            <v>IN</v>
          </cell>
          <cell r="D8083">
            <v>43359</v>
          </cell>
        </row>
        <row r="8084">
          <cell r="A8084" t="str">
            <v>IN</v>
          </cell>
          <cell r="D8084">
            <v>43130</v>
          </cell>
        </row>
        <row r="8085">
          <cell r="A8085" t="str">
            <v>IN</v>
          </cell>
          <cell r="D8085">
            <v>43320</v>
          </cell>
        </row>
        <row r="8086">
          <cell r="A8086" t="str">
            <v>IN</v>
          </cell>
          <cell r="D8086">
            <v>43366</v>
          </cell>
        </row>
        <row r="8087">
          <cell r="A8087" t="str">
            <v>IN</v>
          </cell>
          <cell r="D8087">
            <v>43346</v>
          </cell>
        </row>
        <row r="8088">
          <cell r="A8088" t="str">
            <v>IN</v>
          </cell>
          <cell r="D8088">
            <v>43290</v>
          </cell>
        </row>
        <row r="8089">
          <cell r="A8089" t="str">
            <v>IN</v>
          </cell>
          <cell r="D8089">
            <v>43191</v>
          </cell>
        </row>
        <row r="8090">
          <cell r="A8090" t="str">
            <v>IN</v>
          </cell>
          <cell r="D8090">
            <v>43220</v>
          </cell>
        </row>
        <row r="8091">
          <cell r="A8091" t="str">
            <v>IN</v>
          </cell>
          <cell r="D8091">
            <v>43368</v>
          </cell>
        </row>
        <row r="8092">
          <cell r="A8092" t="str">
            <v>IN</v>
          </cell>
          <cell r="D8092">
            <v>43372</v>
          </cell>
        </row>
        <row r="8093">
          <cell r="A8093" t="str">
            <v>IN</v>
          </cell>
          <cell r="D8093">
            <v>43345</v>
          </cell>
        </row>
        <row r="8094">
          <cell r="A8094" t="str">
            <v>IN</v>
          </cell>
          <cell r="D8094">
            <v>43144</v>
          </cell>
        </row>
        <row r="8095">
          <cell r="A8095" t="str">
            <v>ANZ</v>
          </cell>
          <cell r="D8095">
            <v>43262</v>
          </cell>
        </row>
        <row r="8096">
          <cell r="A8096" t="str">
            <v>GC</v>
          </cell>
          <cell r="D8096">
            <v>43431</v>
          </cell>
        </row>
        <row r="8097">
          <cell r="A8097" t="str">
            <v>GC</v>
          </cell>
          <cell r="D8097">
            <v>43363</v>
          </cell>
        </row>
        <row r="8098">
          <cell r="A8098" t="str">
            <v>GC</v>
          </cell>
          <cell r="D8098">
            <v>43368</v>
          </cell>
        </row>
        <row r="8099">
          <cell r="A8099" t="str">
            <v>IN</v>
          </cell>
          <cell r="D8099">
            <v>43155</v>
          </cell>
        </row>
        <row r="8100">
          <cell r="A8100" t="str">
            <v>IN</v>
          </cell>
          <cell r="D8100">
            <v>43217</v>
          </cell>
        </row>
        <row r="8101">
          <cell r="A8101" t="str">
            <v>IN</v>
          </cell>
          <cell r="D8101">
            <v>43428</v>
          </cell>
        </row>
        <row r="8102">
          <cell r="A8102" t="str">
            <v>GC</v>
          </cell>
          <cell r="D8102">
            <v>43301</v>
          </cell>
        </row>
        <row r="8103">
          <cell r="A8103" t="str">
            <v>GC</v>
          </cell>
          <cell r="D8103">
            <v>43364</v>
          </cell>
        </row>
        <row r="8104">
          <cell r="A8104" t="str">
            <v>ASEAN</v>
          </cell>
          <cell r="D8104">
            <v>43420</v>
          </cell>
        </row>
        <row r="8105">
          <cell r="A8105" t="str">
            <v>ANZ</v>
          </cell>
          <cell r="D8105">
            <v>43246</v>
          </cell>
        </row>
        <row r="8106">
          <cell r="A8106" t="str">
            <v>ANZ</v>
          </cell>
          <cell r="D8106">
            <v>43349</v>
          </cell>
        </row>
        <row r="8107">
          <cell r="A8107" t="str">
            <v>ASEAN</v>
          </cell>
          <cell r="D8107">
            <v>43186</v>
          </cell>
        </row>
        <row r="8108">
          <cell r="A8108" t="str">
            <v>IN</v>
          </cell>
          <cell r="D8108">
            <v>43176</v>
          </cell>
        </row>
        <row r="8109">
          <cell r="A8109" t="str">
            <v>GC</v>
          </cell>
          <cell r="D8109">
            <v>43349</v>
          </cell>
        </row>
        <row r="8110">
          <cell r="A8110" t="str">
            <v>ANZ</v>
          </cell>
          <cell r="D8110">
            <v>43347</v>
          </cell>
        </row>
        <row r="8111">
          <cell r="A8111" t="str">
            <v>GC</v>
          </cell>
          <cell r="D8111">
            <v>43357</v>
          </cell>
        </row>
        <row r="8112">
          <cell r="A8112" t="str">
            <v>GC</v>
          </cell>
          <cell r="D8112">
            <v>43156</v>
          </cell>
        </row>
        <row r="8113">
          <cell r="A8113" t="str">
            <v>ASEAN</v>
          </cell>
          <cell r="D8113">
            <v>43183</v>
          </cell>
        </row>
        <row r="8114">
          <cell r="A8114" t="str">
            <v>ANZ</v>
          </cell>
          <cell r="D8114">
            <v>43201</v>
          </cell>
        </row>
        <row r="8115">
          <cell r="A8115" t="str">
            <v>ASEAN</v>
          </cell>
          <cell r="D8115">
            <v>43375</v>
          </cell>
        </row>
        <row r="8116">
          <cell r="A8116" t="str">
            <v>ASEAN</v>
          </cell>
          <cell r="D8116">
            <v>43348</v>
          </cell>
        </row>
        <row r="8117">
          <cell r="A8117" t="str">
            <v>ASEAN</v>
          </cell>
          <cell r="D8117">
            <v>43330</v>
          </cell>
        </row>
        <row r="8118">
          <cell r="A8118" t="str">
            <v>GC</v>
          </cell>
          <cell r="D8118">
            <v>43410</v>
          </cell>
        </row>
        <row r="8119">
          <cell r="A8119" t="str">
            <v>ANZ</v>
          </cell>
          <cell r="D8119">
            <v>43158</v>
          </cell>
        </row>
        <row r="8120">
          <cell r="A8120" t="str">
            <v>IN</v>
          </cell>
          <cell r="D8120">
            <v>43241</v>
          </cell>
        </row>
        <row r="8121">
          <cell r="A8121" t="str">
            <v>ANZ</v>
          </cell>
          <cell r="D8121">
            <v>43373</v>
          </cell>
        </row>
        <row r="8122">
          <cell r="A8122" t="str">
            <v>ANZ</v>
          </cell>
          <cell r="D8122">
            <v>43185</v>
          </cell>
        </row>
        <row r="8123">
          <cell r="A8123" t="str">
            <v>ASEAN</v>
          </cell>
          <cell r="D8123">
            <v>43267</v>
          </cell>
        </row>
        <row r="8124">
          <cell r="A8124" t="str">
            <v>ANZ</v>
          </cell>
          <cell r="D8124">
            <v>43167</v>
          </cell>
        </row>
        <row r="8125">
          <cell r="A8125" t="str">
            <v>GC</v>
          </cell>
          <cell r="D8125">
            <v>43447</v>
          </cell>
        </row>
        <row r="8126">
          <cell r="A8126" t="str">
            <v>GC</v>
          </cell>
          <cell r="D8126">
            <v>43295</v>
          </cell>
        </row>
        <row r="8127">
          <cell r="A8127" t="str">
            <v>GC</v>
          </cell>
          <cell r="D8127">
            <v>43137</v>
          </cell>
        </row>
        <row r="8128">
          <cell r="A8128" t="str">
            <v>ANZ</v>
          </cell>
          <cell r="D8128">
            <v>43299</v>
          </cell>
        </row>
        <row r="8129">
          <cell r="A8129" t="str">
            <v>ASEAN</v>
          </cell>
          <cell r="D8129">
            <v>43343</v>
          </cell>
        </row>
        <row r="8130">
          <cell r="A8130" t="str">
            <v>ASEAN</v>
          </cell>
          <cell r="D8130">
            <v>43158</v>
          </cell>
        </row>
        <row r="8131">
          <cell r="A8131" t="str">
            <v>GC</v>
          </cell>
          <cell r="D8131">
            <v>43258</v>
          </cell>
        </row>
        <row r="8132">
          <cell r="A8132" t="str">
            <v>ANZ</v>
          </cell>
          <cell r="D8132">
            <v>43387</v>
          </cell>
        </row>
        <row r="8133">
          <cell r="A8133" t="str">
            <v>GC</v>
          </cell>
          <cell r="D8133">
            <v>43129</v>
          </cell>
        </row>
        <row r="8134">
          <cell r="A8134" t="str">
            <v>GC</v>
          </cell>
          <cell r="D8134">
            <v>43406</v>
          </cell>
        </row>
        <row r="8135">
          <cell r="A8135" t="str">
            <v>GC</v>
          </cell>
          <cell r="D8135">
            <v>43357</v>
          </cell>
        </row>
        <row r="8136">
          <cell r="A8136" t="str">
            <v>ANZ</v>
          </cell>
          <cell r="D8136">
            <v>43179</v>
          </cell>
        </row>
        <row r="8137">
          <cell r="A8137" t="str">
            <v>ANZ</v>
          </cell>
          <cell r="D8137">
            <v>43422</v>
          </cell>
        </row>
        <row r="8138">
          <cell r="A8138" t="str">
            <v>GC</v>
          </cell>
          <cell r="D8138">
            <v>43447</v>
          </cell>
        </row>
        <row r="8139">
          <cell r="A8139" t="str">
            <v>ASEAN</v>
          </cell>
          <cell r="D8139">
            <v>43369</v>
          </cell>
        </row>
        <row r="8140">
          <cell r="A8140" t="str">
            <v>ASEAN</v>
          </cell>
          <cell r="D8140">
            <v>43311</v>
          </cell>
        </row>
        <row r="8141">
          <cell r="A8141" t="str">
            <v>ASEAN</v>
          </cell>
          <cell r="D8141">
            <v>43317</v>
          </cell>
        </row>
        <row r="8142">
          <cell r="A8142" t="str">
            <v>GC</v>
          </cell>
          <cell r="D8142">
            <v>43126</v>
          </cell>
        </row>
        <row r="8143">
          <cell r="A8143" t="str">
            <v>GC</v>
          </cell>
          <cell r="D8143">
            <v>43379</v>
          </cell>
        </row>
        <row r="8144">
          <cell r="A8144" t="str">
            <v>GC</v>
          </cell>
          <cell r="D8144">
            <v>43294</v>
          </cell>
        </row>
        <row r="8145">
          <cell r="A8145" t="str">
            <v>GC</v>
          </cell>
          <cell r="D8145">
            <v>43108</v>
          </cell>
        </row>
        <row r="8146">
          <cell r="A8146" t="str">
            <v>ASEAN</v>
          </cell>
          <cell r="D8146">
            <v>43294</v>
          </cell>
        </row>
        <row r="8147">
          <cell r="A8147" t="str">
            <v>ASEAN</v>
          </cell>
          <cell r="D8147">
            <v>43456</v>
          </cell>
        </row>
        <row r="8148">
          <cell r="A8148" t="str">
            <v>GC</v>
          </cell>
          <cell r="D8148">
            <v>43463</v>
          </cell>
        </row>
        <row r="8149">
          <cell r="A8149" t="str">
            <v>GC</v>
          </cell>
          <cell r="D8149">
            <v>43111</v>
          </cell>
        </row>
        <row r="8150">
          <cell r="A8150" t="str">
            <v>GC</v>
          </cell>
          <cell r="D8150">
            <v>43111</v>
          </cell>
        </row>
        <row r="8151">
          <cell r="A8151" t="str">
            <v>ANZ</v>
          </cell>
          <cell r="D8151">
            <v>43315</v>
          </cell>
        </row>
        <row r="8152">
          <cell r="A8152" t="str">
            <v>GC</v>
          </cell>
          <cell r="D8152">
            <v>43349</v>
          </cell>
        </row>
        <row r="8153">
          <cell r="A8153" t="str">
            <v>ANZ</v>
          </cell>
          <cell r="D8153">
            <v>43131</v>
          </cell>
        </row>
        <row r="8154">
          <cell r="A8154" t="str">
            <v>IN</v>
          </cell>
          <cell r="D8154">
            <v>43333</v>
          </cell>
        </row>
        <row r="8155">
          <cell r="A8155" t="str">
            <v>IN</v>
          </cell>
          <cell r="D8155">
            <v>43207</v>
          </cell>
        </row>
        <row r="8156">
          <cell r="A8156" t="str">
            <v>IN</v>
          </cell>
          <cell r="D8156">
            <v>43206</v>
          </cell>
        </row>
        <row r="8157">
          <cell r="A8157" t="str">
            <v>ANZ</v>
          </cell>
          <cell r="D8157">
            <v>43341</v>
          </cell>
        </row>
        <row r="8158">
          <cell r="A8158" t="str">
            <v>ANZ</v>
          </cell>
          <cell r="D8158">
            <v>43164</v>
          </cell>
        </row>
        <row r="8159">
          <cell r="A8159" t="str">
            <v>ANZ</v>
          </cell>
          <cell r="D8159">
            <v>43441</v>
          </cell>
        </row>
        <row r="8160">
          <cell r="A8160" t="str">
            <v>GC</v>
          </cell>
          <cell r="D8160">
            <v>43335</v>
          </cell>
        </row>
        <row r="8161">
          <cell r="A8161" t="str">
            <v>GC</v>
          </cell>
          <cell r="D8161">
            <v>43444</v>
          </cell>
        </row>
        <row r="8162">
          <cell r="A8162" t="str">
            <v>GC</v>
          </cell>
          <cell r="D8162">
            <v>43355</v>
          </cell>
        </row>
        <row r="8163">
          <cell r="A8163" t="str">
            <v>ASEAN</v>
          </cell>
          <cell r="D8163">
            <v>43130</v>
          </cell>
        </row>
        <row r="8164">
          <cell r="A8164" t="str">
            <v>GC</v>
          </cell>
          <cell r="D8164">
            <v>43429</v>
          </cell>
        </row>
        <row r="8165">
          <cell r="A8165" t="str">
            <v>ANZ</v>
          </cell>
          <cell r="D8165">
            <v>43273</v>
          </cell>
        </row>
        <row r="8166">
          <cell r="A8166" t="str">
            <v>ASEAN</v>
          </cell>
          <cell r="D8166">
            <v>43125</v>
          </cell>
        </row>
        <row r="8167">
          <cell r="A8167" t="str">
            <v>ASEAN</v>
          </cell>
          <cell r="D8167">
            <v>43223</v>
          </cell>
        </row>
        <row r="8168">
          <cell r="A8168" t="str">
            <v>ASEAN</v>
          </cell>
          <cell r="D8168">
            <v>43108</v>
          </cell>
        </row>
        <row r="8169">
          <cell r="A8169" t="str">
            <v>IN</v>
          </cell>
          <cell r="D8169">
            <v>43104</v>
          </cell>
        </row>
        <row r="8170">
          <cell r="A8170" t="str">
            <v>ASEAN</v>
          </cell>
          <cell r="D8170">
            <v>43208</v>
          </cell>
        </row>
        <row r="8171">
          <cell r="A8171" t="str">
            <v>ASEAN</v>
          </cell>
          <cell r="D8171">
            <v>43303</v>
          </cell>
        </row>
        <row r="8172">
          <cell r="A8172" t="str">
            <v>ASEAN</v>
          </cell>
          <cell r="D8172">
            <v>43418</v>
          </cell>
        </row>
        <row r="8173">
          <cell r="A8173" t="str">
            <v>ASEAN</v>
          </cell>
          <cell r="D8173">
            <v>43204</v>
          </cell>
        </row>
        <row r="8174">
          <cell r="A8174" t="str">
            <v>ANZ</v>
          </cell>
          <cell r="D8174">
            <v>43448</v>
          </cell>
        </row>
        <row r="8175">
          <cell r="A8175" t="str">
            <v>GC</v>
          </cell>
          <cell r="D8175">
            <v>43277</v>
          </cell>
        </row>
        <row r="8176">
          <cell r="A8176" t="str">
            <v>GC</v>
          </cell>
          <cell r="D8176">
            <v>43331</v>
          </cell>
        </row>
        <row r="8177">
          <cell r="A8177" t="str">
            <v>IN</v>
          </cell>
          <cell r="D8177">
            <v>43257</v>
          </cell>
        </row>
        <row r="8178">
          <cell r="A8178" t="str">
            <v>GC</v>
          </cell>
          <cell r="D8178">
            <v>43118</v>
          </cell>
        </row>
        <row r="8179">
          <cell r="A8179" t="str">
            <v>ASEAN</v>
          </cell>
          <cell r="D8179">
            <v>43366</v>
          </cell>
        </row>
        <row r="8180">
          <cell r="A8180" t="str">
            <v>ASEAN</v>
          </cell>
          <cell r="D8180">
            <v>43233</v>
          </cell>
        </row>
        <row r="8181">
          <cell r="A8181" t="str">
            <v>ANZ</v>
          </cell>
          <cell r="D8181">
            <v>43464</v>
          </cell>
        </row>
        <row r="8182">
          <cell r="A8182" t="str">
            <v>ASEAN</v>
          </cell>
          <cell r="D8182">
            <v>43295</v>
          </cell>
        </row>
        <row r="8183">
          <cell r="A8183" t="str">
            <v>ANZ</v>
          </cell>
          <cell r="D8183">
            <v>43360</v>
          </cell>
        </row>
        <row r="8184">
          <cell r="A8184" t="str">
            <v>ANZ</v>
          </cell>
          <cell r="D8184">
            <v>43128</v>
          </cell>
        </row>
        <row r="8185">
          <cell r="A8185" t="str">
            <v>GC</v>
          </cell>
          <cell r="D8185">
            <v>43387</v>
          </cell>
        </row>
        <row r="8186">
          <cell r="A8186" t="str">
            <v>GC</v>
          </cell>
          <cell r="D8186">
            <v>43406</v>
          </cell>
        </row>
        <row r="8187">
          <cell r="A8187" t="str">
            <v>GC</v>
          </cell>
          <cell r="D8187">
            <v>43261</v>
          </cell>
        </row>
        <row r="8188">
          <cell r="A8188" t="str">
            <v>ANZ</v>
          </cell>
          <cell r="D8188">
            <v>43295</v>
          </cell>
        </row>
        <row r="8189">
          <cell r="A8189" t="str">
            <v>ANZ</v>
          </cell>
          <cell r="D8189">
            <v>43262</v>
          </cell>
        </row>
        <row r="8190">
          <cell r="A8190" t="str">
            <v>GC</v>
          </cell>
          <cell r="D8190">
            <v>43449</v>
          </cell>
        </row>
        <row r="8191">
          <cell r="A8191" t="str">
            <v>KR</v>
          </cell>
          <cell r="D8191">
            <v>43379</v>
          </cell>
        </row>
        <row r="8192">
          <cell r="A8192" t="str">
            <v>GC</v>
          </cell>
          <cell r="D8192">
            <v>43410</v>
          </cell>
        </row>
        <row r="8193">
          <cell r="A8193" t="str">
            <v>GC</v>
          </cell>
          <cell r="D8193">
            <v>43196</v>
          </cell>
        </row>
        <row r="8194">
          <cell r="A8194" t="str">
            <v>GC</v>
          </cell>
          <cell r="D8194">
            <v>43340</v>
          </cell>
        </row>
        <row r="8195">
          <cell r="A8195" t="str">
            <v>GC</v>
          </cell>
          <cell r="D8195">
            <v>43429</v>
          </cell>
        </row>
        <row r="8196">
          <cell r="A8196" t="str">
            <v>GC</v>
          </cell>
          <cell r="D8196">
            <v>43364</v>
          </cell>
        </row>
        <row r="8197">
          <cell r="A8197" t="str">
            <v>GC</v>
          </cell>
          <cell r="D8197">
            <v>43252</v>
          </cell>
        </row>
        <row r="8198">
          <cell r="A8198" t="str">
            <v>GC</v>
          </cell>
          <cell r="D8198">
            <v>43291</v>
          </cell>
        </row>
        <row r="8199">
          <cell r="A8199" t="str">
            <v>GC</v>
          </cell>
          <cell r="D8199">
            <v>43418</v>
          </cell>
        </row>
        <row r="8200">
          <cell r="A8200" t="str">
            <v>GC</v>
          </cell>
          <cell r="D8200">
            <v>43423</v>
          </cell>
        </row>
        <row r="8201">
          <cell r="A8201" t="str">
            <v>GC</v>
          </cell>
          <cell r="D8201">
            <v>43457</v>
          </cell>
        </row>
        <row r="8202">
          <cell r="A8202" t="str">
            <v>GC</v>
          </cell>
          <cell r="D8202">
            <v>43218</v>
          </cell>
        </row>
        <row r="8203">
          <cell r="A8203" t="str">
            <v>GC</v>
          </cell>
          <cell r="D8203">
            <v>43304</v>
          </cell>
        </row>
        <row r="8204">
          <cell r="A8204" t="str">
            <v>GC</v>
          </cell>
          <cell r="D8204">
            <v>43106</v>
          </cell>
        </row>
        <row r="8205">
          <cell r="A8205" t="str">
            <v>GC</v>
          </cell>
          <cell r="D8205">
            <v>43323</v>
          </cell>
        </row>
        <row r="8206">
          <cell r="A8206" t="str">
            <v>GC</v>
          </cell>
          <cell r="D8206">
            <v>43114</v>
          </cell>
        </row>
        <row r="8207">
          <cell r="A8207" t="str">
            <v>GC</v>
          </cell>
          <cell r="D8207">
            <v>43409</v>
          </cell>
        </row>
        <row r="8208">
          <cell r="A8208" t="str">
            <v>GC</v>
          </cell>
          <cell r="D8208">
            <v>43128</v>
          </cell>
        </row>
        <row r="8209">
          <cell r="A8209" t="str">
            <v>GC</v>
          </cell>
          <cell r="D8209">
            <v>43303</v>
          </cell>
        </row>
        <row r="8210">
          <cell r="A8210" t="str">
            <v>ASEAN</v>
          </cell>
          <cell r="D8210">
            <v>43328</v>
          </cell>
        </row>
        <row r="8211">
          <cell r="A8211" t="str">
            <v>KR</v>
          </cell>
          <cell r="D8211">
            <v>43444</v>
          </cell>
        </row>
        <row r="8212">
          <cell r="A8212" t="str">
            <v>KR</v>
          </cell>
          <cell r="D8212">
            <v>43218</v>
          </cell>
        </row>
        <row r="8213">
          <cell r="A8213" t="str">
            <v>ANZ</v>
          </cell>
          <cell r="D8213">
            <v>43111</v>
          </cell>
        </row>
        <row r="8214">
          <cell r="A8214" t="str">
            <v>KR</v>
          </cell>
          <cell r="D8214">
            <v>43304</v>
          </cell>
        </row>
        <row r="8215">
          <cell r="A8215" t="str">
            <v>KR</v>
          </cell>
          <cell r="D8215">
            <v>43282</v>
          </cell>
        </row>
        <row r="8216">
          <cell r="A8216" t="str">
            <v>KR</v>
          </cell>
          <cell r="D8216">
            <v>43449</v>
          </cell>
        </row>
        <row r="8217">
          <cell r="A8217" t="str">
            <v>KR</v>
          </cell>
          <cell r="D8217">
            <v>43333</v>
          </cell>
        </row>
        <row r="8218">
          <cell r="A8218" t="str">
            <v>KR</v>
          </cell>
          <cell r="D8218">
            <v>43285</v>
          </cell>
        </row>
        <row r="8219">
          <cell r="A8219" t="str">
            <v>IN</v>
          </cell>
          <cell r="D8219">
            <v>43297</v>
          </cell>
        </row>
        <row r="8220">
          <cell r="A8220" t="str">
            <v>IN</v>
          </cell>
          <cell r="D8220">
            <v>43286</v>
          </cell>
        </row>
        <row r="8221">
          <cell r="A8221" t="str">
            <v>ASEAN</v>
          </cell>
          <cell r="D8221">
            <v>43414</v>
          </cell>
        </row>
        <row r="8222">
          <cell r="A8222" t="str">
            <v>ASEAN</v>
          </cell>
          <cell r="D8222">
            <v>43241</v>
          </cell>
        </row>
        <row r="8223">
          <cell r="A8223" t="str">
            <v>ASEAN</v>
          </cell>
          <cell r="D8223">
            <v>43308</v>
          </cell>
        </row>
        <row r="8224">
          <cell r="A8224" t="str">
            <v>GC</v>
          </cell>
          <cell r="D8224">
            <v>43230</v>
          </cell>
        </row>
        <row r="8225">
          <cell r="A8225" t="str">
            <v>GC</v>
          </cell>
          <cell r="D8225">
            <v>43319</v>
          </cell>
        </row>
        <row r="8226">
          <cell r="A8226" t="str">
            <v>IN</v>
          </cell>
          <cell r="D8226">
            <v>43333</v>
          </cell>
        </row>
        <row r="8227">
          <cell r="A8227" t="str">
            <v>GC</v>
          </cell>
          <cell r="D8227">
            <v>43379</v>
          </cell>
        </row>
        <row r="8228">
          <cell r="A8228" t="str">
            <v>ASEAN</v>
          </cell>
          <cell r="D8228">
            <v>43293</v>
          </cell>
        </row>
        <row r="8229">
          <cell r="A8229" t="str">
            <v>ANZ</v>
          </cell>
          <cell r="D8229">
            <v>43110</v>
          </cell>
        </row>
        <row r="8230">
          <cell r="A8230" t="str">
            <v>ANZ</v>
          </cell>
          <cell r="D8230">
            <v>43304</v>
          </cell>
        </row>
        <row r="8231">
          <cell r="A8231" t="str">
            <v>ANZ</v>
          </cell>
          <cell r="D8231">
            <v>43377</v>
          </cell>
        </row>
        <row r="8232">
          <cell r="A8232" t="str">
            <v>GC</v>
          </cell>
          <cell r="D8232">
            <v>43166</v>
          </cell>
        </row>
        <row r="8233">
          <cell r="A8233" t="str">
            <v>ANZ</v>
          </cell>
          <cell r="D8233">
            <v>43433</v>
          </cell>
        </row>
        <row r="8234">
          <cell r="A8234" t="str">
            <v>ANZ</v>
          </cell>
          <cell r="D8234">
            <v>43139</v>
          </cell>
        </row>
        <row r="8235">
          <cell r="A8235" t="str">
            <v>ANZ</v>
          </cell>
          <cell r="D8235">
            <v>43423</v>
          </cell>
        </row>
        <row r="8236">
          <cell r="A8236" t="str">
            <v>ANZ</v>
          </cell>
          <cell r="D8236">
            <v>43244</v>
          </cell>
        </row>
        <row r="8237">
          <cell r="A8237" t="str">
            <v>ANZ</v>
          </cell>
          <cell r="D8237">
            <v>43437</v>
          </cell>
        </row>
        <row r="8238">
          <cell r="A8238" t="str">
            <v>ANZ</v>
          </cell>
          <cell r="D8238">
            <v>43329</v>
          </cell>
        </row>
        <row r="8239">
          <cell r="A8239" t="str">
            <v>ANZ</v>
          </cell>
          <cell r="D8239">
            <v>43427</v>
          </cell>
        </row>
        <row r="8240">
          <cell r="A8240" t="str">
            <v>GC</v>
          </cell>
          <cell r="D8240">
            <v>43434</v>
          </cell>
        </row>
        <row r="8241">
          <cell r="A8241" t="str">
            <v>GC</v>
          </cell>
          <cell r="D8241">
            <v>43402</v>
          </cell>
        </row>
        <row r="8242">
          <cell r="A8242" t="str">
            <v>GC</v>
          </cell>
          <cell r="D8242">
            <v>43360</v>
          </cell>
        </row>
        <row r="8243">
          <cell r="A8243" t="str">
            <v>IN</v>
          </cell>
          <cell r="D8243">
            <v>43387</v>
          </cell>
        </row>
        <row r="8244">
          <cell r="A8244" t="str">
            <v>ASEAN</v>
          </cell>
          <cell r="D8244">
            <v>43386</v>
          </cell>
        </row>
        <row r="8245">
          <cell r="A8245" t="str">
            <v>ANZ</v>
          </cell>
          <cell r="D8245">
            <v>43248</v>
          </cell>
        </row>
        <row r="8246">
          <cell r="A8246" t="str">
            <v>ANZ</v>
          </cell>
          <cell r="D8246">
            <v>43441</v>
          </cell>
        </row>
        <row r="8247">
          <cell r="A8247" t="str">
            <v>ANZ</v>
          </cell>
          <cell r="D8247">
            <v>43198</v>
          </cell>
        </row>
        <row r="8248">
          <cell r="A8248" t="str">
            <v>ANZ</v>
          </cell>
          <cell r="D8248">
            <v>43387</v>
          </cell>
        </row>
        <row r="8249">
          <cell r="A8249" t="str">
            <v>ANZ</v>
          </cell>
          <cell r="D8249">
            <v>43388</v>
          </cell>
        </row>
        <row r="8250">
          <cell r="A8250" t="str">
            <v>GC</v>
          </cell>
          <cell r="D8250">
            <v>43384</v>
          </cell>
        </row>
        <row r="8251">
          <cell r="A8251" t="str">
            <v>GC</v>
          </cell>
          <cell r="D8251">
            <v>43414</v>
          </cell>
        </row>
        <row r="8252">
          <cell r="A8252" t="str">
            <v>ASEAN</v>
          </cell>
          <cell r="D8252">
            <v>43353</v>
          </cell>
        </row>
        <row r="8253">
          <cell r="A8253" t="str">
            <v>ANZ</v>
          </cell>
          <cell r="D8253">
            <v>43238</v>
          </cell>
        </row>
        <row r="8254">
          <cell r="A8254" t="str">
            <v>IN</v>
          </cell>
          <cell r="D8254">
            <v>43352</v>
          </cell>
        </row>
        <row r="8255">
          <cell r="A8255" t="str">
            <v>ASEAN</v>
          </cell>
          <cell r="D8255">
            <v>43395</v>
          </cell>
        </row>
        <row r="8256">
          <cell r="A8256" t="str">
            <v>GC</v>
          </cell>
          <cell r="D8256">
            <v>43143</v>
          </cell>
        </row>
        <row r="8257">
          <cell r="A8257" t="str">
            <v>ASEAN</v>
          </cell>
          <cell r="D8257">
            <v>43230</v>
          </cell>
        </row>
        <row r="8258">
          <cell r="A8258" t="str">
            <v>IN</v>
          </cell>
          <cell r="D8258">
            <v>43216</v>
          </cell>
        </row>
        <row r="8259">
          <cell r="A8259" t="str">
            <v>ASEAN</v>
          </cell>
          <cell r="D8259">
            <v>43328</v>
          </cell>
        </row>
        <row r="8260">
          <cell r="A8260" t="str">
            <v>ANZ</v>
          </cell>
          <cell r="D8260">
            <v>43190</v>
          </cell>
        </row>
        <row r="8261">
          <cell r="A8261" t="str">
            <v>ANZ</v>
          </cell>
          <cell r="D8261">
            <v>43217</v>
          </cell>
        </row>
        <row r="8262">
          <cell r="A8262" t="str">
            <v>ANZ</v>
          </cell>
          <cell r="D8262">
            <v>43341</v>
          </cell>
        </row>
        <row r="8263">
          <cell r="A8263" t="str">
            <v>ANZ</v>
          </cell>
          <cell r="D8263">
            <v>43159</v>
          </cell>
        </row>
        <row r="8264">
          <cell r="A8264" t="str">
            <v>ASEAN</v>
          </cell>
          <cell r="D8264">
            <v>43349</v>
          </cell>
        </row>
        <row r="8265">
          <cell r="A8265" t="str">
            <v>GC</v>
          </cell>
          <cell r="D8265">
            <v>43157</v>
          </cell>
        </row>
        <row r="8266">
          <cell r="A8266" t="str">
            <v>GC</v>
          </cell>
          <cell r="D8266">
            <v>43205</v>
          </cell>
        </row>
        <row r="8267">
          <cell r="A8267" t="str">
            <v>ASEAN</v>
          </cell>
          <cell r="D8267">
            <v>43103</v>
          </cell>
        </row>
        <row r="8268">
          <cell r="A8268" t="str">
            <v>ANZ</v>
          </cell>
          <cell r="D8268">
            <v>43152</v>
          </cell>
        </row>
        <row r="8269">
          <cell r="A8269" t="str">
            <v>GC</v>
          </cell>
          <cell r="D8269">
            <v>43235</v>
          </cell>
        </row>
        <row r="8270">
          <cell r="A8270" t="str">
            <v>ASEAN</v>
          </cell>
          <cell r="D8270">
            <v>43193</v>
          </cell>
        </row>
        <row r="8271">
          <cell r="A8271" t="str">
            <v>ANZ</v>
          </cell>
          <cell r="D8271">
            <v>43292</v>
          </cell>
        </row>
        <row r="8272">
          <cell r="A8272" t="str">
            <v>GC</v>
          </cell>
          <cell r="D8272">
            <v>43420</v>
          </cell>
        </row>
        <row r="8273">
          <cell r="A8273" t="str">
            <v>IN</v>
          </cell>
          <cell r="D8273">
            <v>43263</v>
          </cell>
        </row>
        <row r="8274">
          <cell r="A8274" t="str">
            <v>ANZ</v>
          </cell>
          <cell r="D8274">
            <v>43322</v>
          </cell>
        </row>
        <row r="8275">
          <cell r="A8275" t="str">
            <v>GC</v>
          </cell>
          <cell r="D8275">
            <v>43358</v>
          </cell>
        </row>
        <row r="8276">
          <cell r="A8276" t="str">
            <v>GC</v>
          </cell>
          <cell r="D8276">
            <v>43143</v>
          </cell>
        </row>
        <row r="8277">
          <cell r="A8277" t="str">
            <v>GC</v>
          </cell>
          <cell r="D8277">
            <v>43249</v>
          </cell>
        </row>
        <row r="8278">
          <cell r="A8278" t="str">
            <v>IN</v>
          </cell>
          <cell r="D8278">
            <v>43253</v>
          </cell>
        </row>
        <row r="8279">
          <cell r="A8279" t="str">
            <v>ANZ</v>
          </cell>
          <cell r="D8279">
            <v>43427</v>
          </cell>
        </row>
        <row r="8280">
          <cell r="A8280" t="str">
            <v>ASEAN</v>
          </cell>
          <cell r="D8280">
            <v>43210</v>
          </cell>
        </row>
        <row r="8281">
          <cell r="A8281" t="str">
            <v>ASEAN</v>
          </cell>
          <cell r="D8281">
            <v>43264</v>
          </cell>
        </row>
        <row r="8282">
          <cell r="A8282" t="str">
            <v>GC</v>
          </cell>
          <cell r="D8282">
            <v>43235</v>
          </cell>
        </row>
        <row r="8283">
          <cell r="A8283" t="str">
            <v>ASEAN</v>
          </cell>
          <cell r="D8283">
            <v>43378</v>
          </cell>
        </row>
        <row r="8284">
          <cell r="A8284" t="str">
            <v>ASEAN</v>
          </cell>
          <cell r="D8284">
            <v>43159</v>
          </cell>
        </row>
        <row r="8285">
          <cell r="A8285" t="str">
            <v>ANZ</v>
          </cell>
          <cell r="D8285">
            <v>43365</v>
          </cell>
        </row>
        <row r="8286">
          <cell r="A8286" t="str">
            <v>GC</v>
          </cell>
          <cell r="D8286">
            <v>43160</v>
          </cell>
        </row>
        <row r="8287">
          <cell r="A8287" t="str">
            <v>ASEAN</v>
          </cell>
          <cell r="D8287">
            <v>43253</v>
          </cell>
        </row>
        <row r="8288">
          <cell r="A8288" t="str">
            <v>ASEAN</v>
          </cell>
          <cell r="D8288">
            <v>43353</v>
          </cell>
        </row>
        <row r="8289">
          <cell r="A8289" t="str">
            <v>ASEAN</v>
          </cell>
          <cell r="D8289">
            <v>43133</v>
          </cell>
        </row>
        <row r="8290">
          <cell r="A8290" t="str">
            <v>ASEAN</v>
          </cell>
          <cell r="D8290">
            <v>43194</v>
          </cell>
        </row>
        <row r="8291">
          <cell r="A8291" t="str">
            <v>ASEAN</v>
          </cell>
          <cell r="D8291">
            <v>43215</v>
          </cell>
        </row>
        <row r="8292">
          <cell r="A8292" t="str">
            <v>GC</v>
          </cell>
          <cell r="D8292">
            <v>43180</v>
          </cell>
        </row>
        <row r="8293">
          <cell r="A8293" t="str">
            <v>GC</v>
          </cell>
          <cell r="D8293">
            <v>43152</v>
          </cell>
        </row>
        <row r="8294">
          <cell r="A8294" t="str">
            <v>GC</v>
          </cell>
          <cell r="D8294">
            <v>43379</v>
          </cell>
        </row>
        <row r="8295">
          <cell r="A8295" t="str">
            <v>GC</v>
          </cell>
          <cell r="D8295">
            <v>43244</v>
          </cell>
        </row>
        <row r="8296">
          <cell r="A8296" t="str">
            <v>GC</v>
          </cell>
          <cell r="D8296">
            <v>43417</v>
          </cell>
        </row>
        <row r="8297">
          <cell r="A8297" t="str">
            <v>GC</v>
          </cell>
          <cell r="D8297">
            <v>43287</v>
          </cell>
        </row>
        <row r="8298">
          <cell r="A8298" t="str">
            <v>IN</v>
          </cell>
          <cell r="D8298">
            <v>43278</v>
          </cell>
        </row>
        <row r="8299">
          <cell r="A8299" t="str">
            <v>GC</v>
          </cell>
          <cell r="D8299">
            <v>43192</v>
          </cell>
        </row>
        <row r="8300">
          <cell r="A8300" t="str">
            <v>GC</v>
          </cell>
          <cell r="D8300">
            <v>43364</v>
          </cell>
        </row>
        <row r="8301">
          <cell r="A8301" t="str">
            <v>GC</v>
          </cell>
          <cell r="D8301">
            <v>43446</v>
          </cell>
        </row>
        <row r="8302">
          <cell r="A8302" t="str">
            <v>GC</v>
          </cell>
          <cell r="D8302">
            <v>43450</v>
          </cell>
        </row>
        <row r="8303">
          <cell r="A8303" t="str">
            <v>GC</v>
          </cell>
          <cell r="D8303">
            <v>43131</v>
          </cell>
        </row>
        <row r="8304">
          <cell r="A8304" t="str">
            <v>GC</v>
          </cell>
          <cell r="D8304">
            <v>43352</v>
          </cell>
        </row>
        <row r="8305">
          <cell r="A8305" t="str">
            <v>GC</v>
          </cell>
          <cell r="D8305">
            <v>43209</v>
          </cell>
        </row>
        <row r="8306">
          <cell r="A8306" t="str">
            <v>GC</v>
          </cell>
          <cell r="D8306">
            <v>43149</v>
          </cell>
        </row>
        <row r="8307">
          <cell r="A8307" t="str">
            <v>GC</v>
          </cell>
          <cell r="D8307">
            <v>43398</v>
          </cell>
        </row>
        <row r="8308">
          <cell r="A8308" t="str">
            <v>GC</v>
          </cell>
          <cell r="D8308">
            <v>43280</v>
          </cell>
        </row>
        <row r="8309">
          <cell r="A8309" t="str">
            <v>ASEAN</v>
          </cell>
          <cell r="D8309">
            <v>43331</v>
          </cell>
        </row>
        <row r="8310">
          <cell r="A8310" t="str">
            <v>ASEAN</v>
          </cell>
          <cell r="D8310">
            <v>43289</v>
          </cell>
        </row>
        <row r="8311">
          <cell r="A8311" t="str">
            <v>IN</v>
          </cell>
          <cell r="D8311">
            <v>43163</v>
          </cell>
        </row>
        <row r="8312">
          <cell r="A8312" t="str">
            <v>IN</v>
          </cell>
          <cell r="D8312">
            <v>43308</v>
          </cell>
        </row>
        <row r="8313">
          <cell r="A8313" t="str">
            <v>GC</v>
          </cell>
          <cell r="D8313">
            <v>43311</v>
          </cell>
        </row>
        <row r="8314">
          <cell r="A8314" t="str">
            <v>IN</v>
          </cell>
          <cell r="D8314">
            <v>43227</v>
          </cell>
        </row>
        <row r="8315">
          <cell r="A8315" t="str">
            <v>KR</v>
          </cell>
          <cell r="D8315">
            <v>43316</v>
          </cell>
        </row>
        <row r="8316">
          <cell r="A8316" t="str">
            <v>KR</v>
          </cell>
          <cell r="D8316">
            <v>43137</v>
          </cell>
        </row>
        <row r="8317">
          <cell r="A8317" t="str">
            <v>IN</v>
          </cell>
          <cell r="D8317">
            <v>43366</v>
          </cell>
        </row>
        <row r="8318">
          <cell r="A8318" t="str">
            <v>ASEAN</v>
          </cell>
          <cell r="D8318">
            <v>43308</v>
          </cell>
        </row>
        <row r="8319">
          <cell r="A8319" t="str">
            <v>GC</v>
          </cell>
          <cell r="D8319">
            <v>43376</v>
          </cell>
        </row>
        <row r="8320">
          <cell r="A8320" t="str">
            <v>ASEAN</v>
          </cell>
          <cell r="D8320">
            <v>43397</v>
          </cell>
        </row>
        <row r="8321">
          <cell r="A8321" t="str">
            <v>GC</v>
          </cell>
          <cell r="D8321">
            <v>43144</v>
          </cell>
        </row>
        <row r="8322">
          <cell r="A8322" t="str">
            <v>ASEAN</v>
          </cell>
          <cell r="D8322">
            <v>43136</v>
          </cell>
        </row>
        <row r="8323">
          <cell r="A8323" t="str">
            <v>ANZ</v>
          </cell>
          <cell r="D8323">
            <v>43117</v>
          </cell>
        </row>
        <row r="8324">
          <cell r="A8324" t="str">
            <v>ANZ</v>
          </cell>
          <cell r="D8324">
            <v>43386</v>
          </cell>
        </row>
        <row r="8325">
          <cell r="A8325" t="str">
            <v>ANZ</v>
          </cell>
          <cell r="D8325">
            <v>43319</v>
          </cell>
        </row>
        <row r="8326">
          <cell r="A8326" t="str">
            <v>ASEAN</v>
          </cell>
          <cell r="D8326">
            <v>43163</v>
          </cell>
        </row>
        <row r="8327">
          <cell r="A8327" t="str">
            <v>ASEAN</v>
          </cell>
          <cell r="D8327">
            <v>43240</v>
          </cell>
        </row>
        <row r="8328">
          <cell r="A8328" t="str">
            <v>ANZ</v>
          </cell>
          <cell r="D8328">
            <v>43458</v>
          </cell>
        </row>
        <row r="8329">
          <cell r="A8329" t="str">
            <v>GC</v>
          </cell>
          <cell r="D8329">
            <v>43371</v>
          </cell>
        </row>
        <row r="8330">
          <cell r="A8330" t="str">
            <v>IN</v>
          </cell>
          <cell r="D8330">
            <v>43172</v>
          </cell>
        </row>
        <row r="8331">
          <cell r="A8331" t="str">
            <v>KR</v>
          </cell>
          <cell r="D8331">
            <v>43225</v>
          </cell>
        </row>
        <row r="8332">
          <cell r="A8332" t="str">
            <v>IN</v>
          </cell>
          <cell r="D8332">
            <v>43454</v>
          </cell>
        </row>
        <row r="8333">
          <cell r="A8333" t="str">
            <v>IN</v>
          </cell>
          <cell r="D8333">
            <v>43355</v>
          </cell>
        </row>
        <row r="8334">
          <cell r="A8334" t="str">
            <v>GC</v>
          </cell>
          <cell r="D8334">
            <v>43102</v>
          </cell>
        </row>
        <row r="8335">
          <cell r="A8335" t="str">
            <v>ASEAN</v>
          </cell>
          <cell r="D8335">
            <v>43279</v>
          </cell>
        </row>
        <row r="8336">
          <cell r="A8336" t="str">
            <v>ASEAN</v>
          </cell>
          <cell r="D8336">
            <v>43116</v>
          </cell>
        </row>
        <row r="8337">
          <cell r="A8337" t="str">
            <v>IN</v>
          </cell>
          <cell r="D8337">
            <v>43398</v>
          </cell>
        </row>
        <row r="8338">
          <cell r="A8338" t="str">
            <v>GC</v>
          </cell>
          <cell r="D8338">
            <v>43206</v>
          </cell>
        </row>
        <row r="8339">
          <cell r="A8339" t="str">
            <v>ASEAN</v>
          </cell>
          <cell r="D8339">
            <v>43181</v>
          </cell>
        </row>
        <row r="8340">
          <cell r="A8340" t="str">
            <v>ASEAN</v>
          </cell>
          <cell r="D8340">
            <v>43240</v>
          </cell>
        </row>
        <row r="8341">
          <cell r="A8341" t="str">
            <v>ASEAN</v>
          </cell>
          <cell r="D8341">
            <v>43464</v>
          </cell>
        </row>
        <row r="8342">
          <cell r="A8342" t="str">
            <v>ASEAN</v>
          </cell>
          <cell r="D8342">
            <v>43174</v>
          </cell>
        </row>
        <row r="8343">
          <cell r="A8343" t="str">
            <v>ASEAN</v>
          </cell>
          <cell r="D8343">
            <v>43353</v>
          </cell>
        </row>
        <row r="8344">
          <cell r="A8344" t="str">
            <v>ASEAN</v>
          </cell>
          <cell r="D8344">
            <v>43367</v>
          </cell>
        </row>
        <row r="8345">
          <cell r="A8345" t="str">
            <v>ASEAN</v>
          </cell>
          <cell r="D8345">
            <v>43175</v>
          </cell>
        </row>
        <row r="8346">
          <cell r="A8346" t="str">
            <v>GC</v>
          </cell>
          <cell r="D8346">
            <v>43221</v>
          </cell>
        </row>
        <row r="8347">
          <cell r="A8347" t="str">
            <v>IN</v>
          </cell>
          <cell r="D8347">
            <v>43328</v>
          </cell>
        </row>
        <row r="8348">
          <cell r="A8348" t="str">
            <v>ANZ</v>
          </cell>
          <cell r="D8348">
            <v>43411</v>
          </cell>
        </row>
        <row r="8349">
          <cell r="A8349" t="str">
            <v>IN</v>
          </cell>
          <cell r="D8349">
            <v>43343</v>
          </cell>
        </row>
        <row r="8350">
          <cell r="A8350" t="str">
            <v>ASEAN</v>
          </cell>
          <cell r="D8350">
            <v>43453</v>
          </cell>
        </row>
        <row r="8351">
          <cell r="A8351" t="str">
            <v>ASEAN</v>
          </cell>
          <cell r="D8351">
            <v>43366</v>
          </cell>
        </row>
        <row r="8352">
          <cell r="A8352" t="str">
            <v>ASEAN</v>
          </cell>
          <cell r="D8352">
            <v>43106</v>
          </cell>
        </row>
        <row r="8353">
          <cell r="A8353" t="str">
            <v>GC</v>
          </cell>
          <cell r="D8353">
            <v>43392</v>
          </cell>
        </row>
        <row r="8354">
          <cell r="A8354" t="str">
            <v>GC</v>
          </cell>
          <cell r="D8354">
            <v>43139</v>
          </cell>
        </row>
        <row r="8355">
          <cell r="A8355" t="str">
            <v>GC</v>
          </cell>
          <cell r="D8355">
            <v>43367</v>
          </cell>
        </row>
        <row r="8356">
          <cell r="A8356" t="str">
            <v>GC</v>
          </cell>
          <cell r="D8356">
            <v>43434</v>
          </cell>
        </row>
        <row r="8357">
          <cell r="A8357" t="str">
            <v>GC</v>
          </cell>
          <cell r="D8357">
            <v>43368</v>
          </cell>
        </row>
        <row r="8358">
          <cell r="A8358" t="str">
            <v>ASEAN</v>
          </cell>
          <cell r="D8358">
            <v>43119</v>
          </cell>
        </row>
        <row r="8359">
          <cell r="A8359" t="str">
            <v>ASEAN</v>
          </cell>
          <cell r="D8359">
            <v>43346</v>
          </cell>
        </row>
        <row r="8360">
          <cell r="A8360" t="str">
            <v>GC</v>
          </cell>
          <cell r="D8360">
            <v>43303</v>
          </cell>
        </row>
        <row r="8361">
          <cell r="A8361" t="str">
            <v>IN</v>
          </cell>
          <cell r="D8361">
            <v>43362</v>
          </cell>
        </row>
        <row r="8362">
          <cell r="A8362" t="str">
            <v>ANZ</v>
          </cell>
          <cell r="D8362">
            <v>43346</v>
          </cell>
        </row>
        <row r="8363">
          <cell r="A8363" t="str">
            <v>GC</v>
          </cell>
          <cell r="D8363">
            <v>43450</v>
          </cell>
        </row>
        <row r="8364">
          <cell r="A8364" t="str">
            <v>ASEAN</v>
          </cell>
          <cell r="D8364">
            <v>43128</v>
          </cell>
        </row>
        <row r="8365">
          <cell r="A8365" t="str">
            <v>ASEAN</v>
          </cell>
          <cell r="D8365">
            <v>43294</v>
          </cell>
        </row>
        <row r="8366">
          <cell r="A8366" t="str">
            <v>IN</v>
          </cell>
          <cell r="D8366">
            <v>43429</v>
          </cell>
        </row>
        <row r="8367">
          <cell r="A8367" t="str">
            <v>ASEAN</v>
          </cell>
          <cell r="D8367">
            <v>43212</v>
          </cell>
        </row>
        <row r="8368">
          <cell r="A8368" t="str">
            <v>GC</v>
          </cell>
          <cell r="D8368">
            <v>43352</v>
          </cell>
        </row>
        <row r="8369">
          <cell r="A8369" t="str">
            <v>IN</v>
          </cell>
          <cell r="D8369">
            <v>43213</v>
          </cell>
        </row>
        <row r="8370">
          <cell r="A8370" t="str">
            <v>ASEAN</v>
          </cell>
          <cell r="D8370">
            <v>43253</v>
          </cell>
        </row>
        <row r="8371">
          <cell r="A8371" t="str">
            <v>ASEAN</v>
          </cell>
          <cell r="D8371">
            <v>43418</v>
          </cell>
        </row>
        <row r="8372">
          <cell r="A8372" t="str">
            <v>ASEAN</v>
          </cell>
          <cell r="D8372">
            <v>43261</v>
          </cell>
        </row>
        <row r="8373">
          <cell r="A8373" t="str">
            <v>IN</v>
          </cell>
          <cell r="D8373">
            <v>43359</v>
          </cell>
        </row>
        <row r="8374">
          <cell r="A8374" t="str">
            <v>GC</v>
          </cell>
          <cell r="D8374">
            <v>43101</v>
          </cell>
        </row>
        <row r="8375">
          <cell r="A8375" t="str">
            <v>GC</v>
          </cell>
          <cell r="D8375">
            <v>43315</v>
          </cell>
        </row>
        <row r="8376">
          <cell r="A8376" t="str">
            <v>ASEAN</v>
          </cell>
          <cell r="D8376">
            <v>43204</v>
          </cell>
        </row>
        <row r="8377">
          <cell r="A8377" t="str">
            <v>GC</v>
          </cell>
          <cell r="D8377">
            <v>43204</v>
          </cell>
        </row>
        <row r="8378">
          <cell r="A8378" t="str">
            <v>KR</v>
          </cell>
          <cell r="D8378">
            <v>43399</v>
          </cell>
        </row>
        <row r="8379">
          <cell r="A8379" t="str">
            <v>ASEAN</v>
          </cell>
          <cell r="D8379">
            <v>43449</v>
          </cell>
        </row>
        <row r="8380">
          <cell r="A8380" t="str">
            <v>ASEAN</v>
          </cell>
          <cell r="D8380">
            <v>43381</v>
          </cell>
        </row>
        <row r="8381">
          <cell r="A8381" t="str">
            <v>ASEAN</v>
          </cell>
          <cell r="D8381">
            <v>43248</v>
          </cell>
        </row>
        <row r="8382">
          <cell r="A8382" t="str">
            <v>ASEAN</v>
          </cell>
          <cell r="D8382">
            <v>43438</v>
          </cell>
        </row>
        <row r="8383">
          <cell r="A8383" t="str">
            <v>ASEAN</v>
          </cell>
          <cell r="D8383">
            <v>43442</v>
          </cell>
        </row>
        <row r="8384">
          <cell r="A8384" t="str">
            <v>GC</v>
          </cell>
          <cell r="D8384">
            <v>43263</v>
          </cell>
        </row>
        <row r="8385">
          <cell r="A8385" t="str">
            <v>GC</v>
          </cell>
          <cell r="D8385">
            <v>43406</v>
          </cell>
        </row>
        <row r="8386">
          <cell r="A8386" t="str">
            <v>IN</v>
          </cell>
          <cell r="D8386">
            <v>43440</v>
          </cell>
        </row>
        <row r="8387">
          <cell r="A8387" t="str">
            <v>ASEAN</v>
          </cell>
          <cell r="D8387">
            <v>43231</v>
          </cell>
        </row>
        <row r="8388">
          <cell r="A8388" t="str">
            <v>ASEAN</v>
          </cell>
          <cell r="D8388">
            <v>43240</v>
          </cell>
        </row>
        <row r="8389">
          <cell r="A8389" t="str">
            <v>IN</v>
          </cell>
          <cell r="D8389">
            <v>43286</v>
          </cell>
        </row>
        <row r="8390">
          <cell r="A8390" t="str">
            <v>ASEAN</v>
          </cell>
          <cell r="D8390">
            <v>43157</v>
          </cell>
        </row>
        <row r="8391">
          <cell r="A8391" t="str">
            <v>ANZ</v>
          </cell>
          <cell r="D8391">
            <v>43377</v>
          </cell>
        </row>
        <row r="8392">
          <cell r="A8392" t="str">
            <v>IN</v>
          </cell>
          <cell r="D8392">
            <v>43247</v>
          </cell>
        </row>
        <row r="8393">
          <cell r="A8393" t="str">
            <v>IN</v>
          </cell>
          <cell r="D8393">
            <v>43445</v>
          </cell>
        </row>
        <row r="8394">
          <cell r="A8394" t="str">
            <v>GC</v>
          </cell>
          <cell r="D8394">
            <v>43364</v>
          </cell>
        </row>
        <row r="8395">
          <cell r="A8395" t="str">
            <v>GC</v>
          </cell>
          <cell r="D8395">
            <v>43196</v>
          </cell>
        </row>
        <row r="8396">
          <cell r="A8396" t="str">
            <v>GC</v>
          </cell>
          <cell r="D8396">
            <v>43346</v>
          </cell>
        </row>
        <row r="8397">
          <cell r="A8397" t="str">
            <v>GC</v>
          </cell>
          <cell r="D8397">
            <v>43133</v>
          </cell>
        </row>
        <row r="8398">
          <cell r="A8398" t="str">
            <v>GC</v>
          </cell>
          <cell r="D8398">
            <v>43114</v>
          </cell>
        </row>
        <row r="8399">
          <cell r="A8399" t="str">
            <v>GC</v>
          </cell>
          <cell r="D8399">
            <v>43242</v>
          </cell>
        </row>
        <row r="8400">
          <cell r="A8400" t="str">
            <v>GC</v>
          </cell>
          <cell r="D8400">
            <v>43216</v>
          </cell>
        </row>
        <row r="8401">
          <cell r="A8401" t="str">
            <v>GC</v>
          </cell>
          <cell r="D8401">
            <v>43186</v>
          </cell>
        </row>
        <row r="8402">
          <cell r="A8402" t="str">
            <v>GC</v>
          </cell>
          <cell r="D8402">
            <v>43321</v>
          </cell>
        </row>
        <row r="8403">
          <cell r="A8403" t="str">
            <v>GC</v>
          </cell>
          <cell r="D8403">
            <v>43410</v>
          </cell>
        </row>
        <row r="8404">
          <cell r="A8404" t="str">
            <v>IN</v>
          </cell>
          <cell r="D8404">
            <v>43380</v>
          </cell>
        </row>
        <row r="8405">
          <cell r="A8405" t="str">
            <v>ANZ</v>
          </cell>
          <cell r="D8405">
            <v>43196</v>
          </cell>
        </row>
        <row r="8406">
          <cell r="A8406" t="str">
            <v>GC</v>
          </cell>
          <cell r="D8406">
            <v>43264</v>
          </cell>
        </row>
        <row r="8407">
          <cell r="A8407" t="str">
            <v>IN</v>
          </cell>
          <cell r="D8407">
            <v>43230</v>
          </cell>
        </row>
        <row r="8408">
          <cell r="A8408" t="str">
            <v>IN</v>
          </cell>
          <cell r="D8408">
            <v>43411</v>
          </cell>
        </row>
        <row r="8409">
          <cell r="A8409" t="str">
            <v>IN</v>
          </cell>
          <cell r="D8409">
            <v>43250</v>
          </cell>
        </row>
        <row r="8410">
          <cell r="A8410" t="str">
            <v>GC</v>
          </cell>
          <cell r="D8410">
            <v>43105</v>
          </cell>
        </row>
        <row r="8411">
          <cell r="A8411" t="str">
            <v>GC</v>
          </cell>
          <cell r="D8411">
            <v>43132</v>
          </cell>
        </row>
        <row r="8412">
          <cell r="A8412" t="str">
            <v>GC</v>
          </cell>
          <cell r="D8412">
            <v>43173</v>
          </cell>
        </row>
        <row r="8413">
          <cell r="A8413" t="str">
            <v>GC</v>
          </cell>
          <cell r="D8413">
            <v>43202</v>
          </cell>
        </row>
        <row r="8414">
          <cell r="A8414" t="str">
            <v>ASEAN</v>
          </cell>
          <cell r="D8414">
            <v>43139</v>
          </cell>
        </row>
        <row r="8415">
          <cell r="A8415" t="str">
            <v>IN</v>
          </cell>
          <cell r="D8415">
            <v>43203</v>
          </cell>
        </row>
        <row r="8416">
          <cell r="A8416" t="str">
            <v>IN</v>
          </cell>
          <cell r="D8416">
            <v>43126</v>
          </cell>
        </row>
        <row r="8417">
          <cell r="A8417" t="str">
            <v>ASEAN</v>
          </cell>
          <cell r="D8417">
            <v>43178</v>
          </cell>
        </row>
        <row r="8418">
          <cell r="A8418" t="str">
            <v>ASEAN</v>
          </cell>
          <cell r="D8418">
            <v>43147</v>
          </cell>
        </row>
        <row r="8419">
          <cell r="A8419" t="str">
            <v>ASEAN</v>
          </cell>
          <cell r="D8419">
            <v>43174</v>
          </cell>
        </row>
        <row r="8420">
          <cell r="A8420" t="str">
            <v>ANZ</v>
          </cell>
          <cell r="D8420">
            <v>43388</v>
          </cell>
        </row>
        <row r="8421">
          <cell r="A8421" t="str">
            <v>ASEAN</v>
          </cell>
          <cell r="D8421">
            <v>43104</v>
          </cell>
        </row>
        <row r="8422">
          <cell r="A8422" t="str">
            <v>IN</v>
          </cell>
          <cell r="D8422">
            <v>43101</v>
          </cell>
        </row>
        <row r="8423">
          <cell r="A8423" t="str">
            <v>GC</v>
          </cell>
          <cell r="D8423">
            <v>43123</v>
          </cell>
        </row>
        <row r="8424">
          <cell r="A8424" t="str">
            <v>GC</v>
          </cell>
          <cell r="D8424">
            <v>43148</v>
          </cell>
        </row>
        <row r="8425">
          <cell r="A8425" t="str">
            <v>IN</v>
          </cell>
          <cell r="D8425">
            <v>43118</v>
          </cell>
        </row>
        <row r="8426">
          <cell r="A8426" t="str">
            <v>GC</v>
          </cell>
          <cell r="D8426">
            <v>43344</v>
          </cell>
        </row>
        <row r="8427">
          <cell r="A8427" t="str">
            <v>ASEAN</v>
          </cell>
          <cell r="D8427">
            <v>43423</v>
          </cell>
        </row>
        <row r="8428">
          <cell r="A8428" t="str">
            <v>ASEAN</v>
          </cell>
          <cell r="D8428">
            <v>43127</v>
          </cell>
        </row>
        <row r="8429">
          <cell r="A8429" t="str">
            <v>ASEAN</v>
          </cell>
          <cell r="D8429">
            <v>43200</v>
          </cell>
        </row>
        <row r="8430">
          <cell r="A8430" t="str">
            <v>KR</v>
          </cell>
          <cell r="D8430">
            <v>43336</v>
          </cell>
        </row>
        <row r="8431">
          <cell r="A8431" t="str">
            <v>KR</v>
          </cell>
          <cell r="D8431">
            <v>43421</v>
          </cell>
        </row>
        <row r="8432">
          <cell r="A8432" t="str">
            <v>ASEAN</v>
          </cell>
          <cell r="D8432">
            <v>43113</v>
          </cell>
        </row>
        <row r="8433">
          <cell r="A8433" t="str">
            <v>GC</v>
          </cell>
          <cell r="D8433">
            <v>43258</v>
          </cell>
        </row>
        <row r="8434">
          <cell r="A8434" t="str">
            <v>GC</v>
          </cell>
          <cell r="D8434">
            <v>43394</v>
          </cell>
        </row>
        <row r="8435">
          <cell r="A8435" t="str">
            <v>GC</v>
          </cell>
          <cell r="D8435">
            <v>43130</v>
          </cell>
        </row>
        <row r="8436">
          <cell r="A8436" t="str">
            <v>ASEAN</v>
          </cell>
          <cell r="D8436">
            <v>43294</v>
          </cell>
        </row>
        <row r="8437">
          <cell r="A8437" t="str">
            <v>IN</v>
          </cell>
          <cell r="D8437">
            <v>43338</v>
          </cell>
        </row>
        <row r="8438">
          <cell r="A8438" t="str">
            <v>ASEAN</v>
          </cell>
          <cell r="D8438">
            <v>43254</v>
          </cell>
        </row>
        <row r="8439">
          <cell r="A8439" t="str">
            <v>ANZ</v>
          </cell>
          <cell r="D8439">
            <v>43211</v>
          </cell>
        </row>
        <row r="8440">
          <cell r="A8440" t="str">
            <v>GC</v>
          </cell>
          <cell r="D8440">
            <v>43117</v>
          </cell>
        </row>
        <row r="8441">
          <cell r="A8441" t="str">
            <v>ANZ</v>
          </cell>
          <cell r="D8441">
            <v>43333</v>
          </cell>
        </row>
        <row r="8442">
          <cell r="A8442" t="str">
            <v>ANZ</v>
          </cell>
          <cell r="D8442">
            <v>43102</v>
          </cell>
        </row>
        <row r="8443">
          <cell r="A8443" t="str">
            <v>ANZ</v>
          </cell>
          <cell r="D8443">
            <v>43291</v>
          </cell>
        </row>
        <row r="8444">
          <cell r="A8444" t="str">
            <v>ANZ</v>
          </cell>
          <cell r="D8444">
            <v>43119</v>
          </cell>
        </row>
        <row r="8445">
          <cell r="A8445" t="str">
            <v>IN</v>
          </cell>
          <cell r="D8445">
            <v>43433</v>
          </cell>
        </row>
        <row r="8446">
          <cell r="A8446" t="str">
            <v>GC</v>
          </cell>
          <cell r="D8446">
            <v>43201</v>
          </cell>
        </row>
        <row r="8447">
          <cell r="A8447" t="str">
            <v>ASEAN</v>
          </cell>
          <cell r="D8447">
            <v>43239</v>
          </cell>
        </row>
        <row r="8448">
          <cell r="A8448" t="str">
            <v>IN</v>
          </cell>
          <cell r="D8448">
            <v>43185</v>
          </cell>
        </row>
        <row r="8449">
          <cell r="A8449" t="str">
            <v>ANZ</v>
          </cell>
          <cell r="D8449">
            <v>43421</v>
          </cell>
        </row>
        <row r="8450">
          <cell r="A8450" t="str">
            <v>ANZ</v>
          </cell>
          <cell r="D8450">
            <v>43115</v>
          </cell>
        </row>
        <row r="8451">
          <cell r="A8451" t="str">
            <v>ANZ</v>
          </cell>
          <cell r="D8451">
            <v>43157</v>
          </cell>
        </row>
        <row r="8452">
          <cell r="A8452" t="str">
            <v>IN</v>
          </cell>
          <cell r="D8452">
            <v>43109</v>
          </cell>
        </row>
        <row r="8453">
          <cell r="A8453" t="str">
            <v>GC</v>
          </cell>
          <cell r="D8453">
            <v>43325</v>
          </cell>
        </row>
        <row r="8454">
          <cell r="A8454" t="str">
            <v>ASEAN</v>
          </cell>
          <cell r="D8454">
            <v>43362</v>
          </cell>
        </row>
        <row r="8455">
          <cell r="A8455" t="str">
            <v>GC</v>
          </cell>
          <cell r="D8455">
            <v>43142</v>
          </cell>
        </row>
        <row r="8456">
          <cell r="A8456" t="str">
            <v>GC</v>
          </cell>
          <cell r="D8456">
            <v>43296</v>
          </cell>
        </row>
        <row r="8457">
          <cell r="A8457" t="str">
            <v>GC</v>
          </cell>
          <cell r="D8457">
            <v>43269</v>
          </cell>
        </row>
        <row r="8458">
          <cell r="A8458" t="str">
            <v>GC</v>
          </cell>
          <cell r="D8458">
            <v>43267</v>
          </cell>
        </row>
        <row r="8459">
          <cell r="A8459" t="str">
            <v>GC</v>
          </cell>
          <cell r="D8459">
            <v>43209</v>
          </cell>
        </row>
        <row r="8460">
          <cell r="A8460" t="str">
            <v>GC</v>
          </cell>
          <cell r="D8460">
            <v>43288</v>
          </cell>
        </row>
        <row r="8461">
          <cell r="A8461" t="str">
            <v>IN</v>
          </cell>
          <cell r="D8461">
            <v>43120</v>
          </cell>
        </row>
        <row r="8462">
          <cell r="A8462" t="str">
            <v>GC</v>
          </cell>
          <cell r="D8462">
            <v>43273</v>
          </cell>
        </row>
        <row r="8463">
          <cell r="A8463" t="str">
            <v>ANZ</v>
          </cell>
          <cell r="D8463">
            <v>43416</v>
          </cell>
        </row>
        <row r="8464">
          <cell r="A8464" t="str">
            <v>ASEAN</v>
          </cell>
          <cell r="D8464">
            <v>43407</v>
          </cell>
        </row>
        <row r="8465">
          <cell r="A8465" t="str">
            <v>GC</v>
          </cell>
          <cell r="D8465">
            <v>43339</v>
          </cell>
        </row>
        <row r="8466">
          <cell r="A8466" t="str">
            <v>GC</v>
          </cell>
          <cell r="D8466">
            <v>43415</v>
          </cell>
        </row>
        <row r="8467">
          <cell r="A8467" t="str">
            <v>ANZ</v>
          </cell>
          <cell r="D8467">
            <v>43385</v>
          </cell>
        </row>
        <row r="8468">
          <cell r="A8468" t="str">
            <v>ASEAN</v>
          </cell>
          <cell r="D8468">
            <v>43269</v>
          </cell>
        </row>
        <row r="8469">
          <cell r="A8469" t="str">
            <v>GC</v>
          </cell>
          <cell r="D8469">
            <v>43161</v>
          </cell>
        </row>
        <row r="8470">
          <cell r="A8470" t="str">
            <v>IN</v>
          </cell>
          <cell r="D8470">
            <v>43463</v>
          </cell>
        </row>
        <row r="8471">
          <cell r="A8471" t="str">
            <v>IN</v>
          </cell>
          <cell r="D8471">
            <v>43453</v>
          </cell>
        </row>
        <row r="8472">
          <cell r="A8472" t="str">
            <v>ANZ</v>
          </cell>
          <cell r="D8472">
            <v>43445</v>
          </cell>
        </row>
        <row r="8473">
          <cell r="A8473" t="str">
            <v>ANZ</v>
          </cell>
          <cell r="D8473">
            <v>43456</v>
          </cell>
        </row>
        <row r="8474">
          <cell r="A8474" t="str">
            <v>ANZ</v>
          </cell>
          <cell r="D8474">
            <v>43297</v>
          </cell>
        </row>
        <row r="8475">
          <cell r="A8475" t="str">
            <v>ANZ</v>
          </cell>
          <cell r="D8475">
            <v>43324</v>
          </cell>
        </row>
        <row r="8476">
          <cell r="A8476" t="str">
            <v>ASEAN</v>
          </cell>
          <cell r="D8476">
            <v>43123</v>
          </cell>
        </row>
        <row r="8477">
          <cell r="A8477" t="str">
            <v>GC</v>
          </cell>
          <cell r="D8477">
            <v>43122</v>
          </cell>
        </row>
        <row r="8478">
          <cell r="A8478" t="str">
            <v>GC</v>
          </cell>
          <cell r="D8478">
            <v>43226</v>
          </cell>
        </row>
        <row r="8479">
          <cell r="A8479" t="str">
            <v>GC</v>
          </cell>
          <cell r="D8479">
            <v>43165</v>
          </cell>
        </row>
        <row r="8480">
          <cell r="A8480" t="str">
            <v>GC</v>
          </cell>
          <cell r="D8480">
            <v>43119</v>
          </cell>
        </row>
        <row r="8481">
          <cell r="A8481" t="str">
            <v>GC</v>
          </cell>
          <cell r="D8481">
            <v>43324</v>
          </cell>
        </row>
        <row r="8482">
          <cell r="A8482" t="str">
            <v>GC</v>
          </cell>
          <cell r="D8482">
            <v>43106</v>
          </cell>
        </row>
        <row r="8483">
          <cell r="A8483" t="str">
            <v>KR</v>
          </cell>
          <cell r="D8483">
            <v>43232</v>
          </cell>
        </row>
        <row r="8484">
          <cell r="A8484" t="str">
            <v>KR</v>
          </cell>
          <cell r="D8484">
            <v>43453</v>
          </cell>
        </row>
        <row r="8485">
          <cell r="A8485" t="str">
            <v>KR</v>
          </cell>
          <cell r="D8485">
            <v>43203</v>
          </cell>
        </row>
        <row r="8486">
          <cell r="A8486" t="str">
            <v>GC</v>
          </cell>
          <cell r="D8486">
            <v>43302</v>
          </cell>
        </row>
        <row r="8487">
          <cell r="A8487" t="str">
            <v>GC</v>
          </cell>
          <cell r="D8487">
            <v>43132</v>
          </cell>
        </row>
        <row r="8488">
          <cell r="A8488" t="str">
            <v>GC</v>
          </cell>
          <cell r="D8488">
            <v>43170</v>
          </cell>
        </row>
        <row r="8489">
          <cell r="A8489" t="str">
            <v>GC</v>
          </cell>
          <cell r="D8489">
            <v>43185</v>
          </cell>
        </row>
        <row r="8490">
          <cell r="A8490" t="str">
            <v>GC</v>
          </cell>
          <cell r="D8490">
            <v>43193</v>
          </cell>
        </row>
        <row r="8491">
          <cell r="A8491" t="str">
            <v>GC</v>
          </cell>
          <cell r="D8491">
            <v>43129</v>
          </cell>
        </row>
        <row r="8492">
          <cell r="A8492" t="str">
            <v>GC</v>
          </cell>
          <cell r="D8492">
            <v>43241</v>
          </cell>
        </row>
        <row r="8493">
          <cell r="A8493" t="str">
            <v>IN</v>
          </cell>
          <cell r="D8493">
            <v>43288</v>
          </cell>
        </row>
        <row r="8494">
          <cell r="A8494" t="str">
            <v>GC</v>
          </cell>
          <cell r="D8494">
            <v>43128</v>
          </cell>
        </row>
        <row r="8495">
          <cell r="A8495" t="str">
            <v>ANZ</v>
          </cell>
          <cell r="D8495">
            <v>43219</v>
          </cell>
        </row>
        <row r="8496">
          <cell r="A8496" t="str">
            <v>ANZ</v>
          </cell>
          <cell r="D8496">
            <v>43143</v>
          </cell>
        </row>
        <row r="8497">
          <cell r="A8497" t="str">
            <v>ANZ</v>
          </cell>
          <cell r="D8497">
            <v>43454</v>
          </cell>
        </row>
        <row r="8498">
          <cell r="A8498" t="str">
            <v>ANZ</v>
          </cell>
          <cell r="D8498">
            <v>43336</v>
          </cell>
        </row>
        <row r="8499">
          <cell r="A8499" t="str">
            <v>GC</v>
          </cell>
          <cell r="D8499">
            <v>43249</v>
          </cell>
        </row>
        <row r="8500">
          <cell r="A8500" t="str">
            <v>GC</v>
          </cell>
          <cell r="D8500">
            <v>43252</v>
          </cell>
        </row>
        <row r="8501">
          <cell r="A8501" t="str">
            <v>GC</v>
          </cell>
          <cell r="D8501">
            <v>43357</v>
          </cell>
        </row>
        <row r="8502">
          <cell r="A8502" t="str">
            <v>GC</v>
          </cell>
          <cell r="D8502">
            <v>43144</v>
          </cell>
        </row>
        <row r="8503">
          <cell r="A8503" t="str">
            <v>GC</v>
          </cell>
          <cell r="D8503">
            <v>43421</v>
          </cell>
        </row>
        <row r="8504">
          <cell r="A8504" t="str">
            <v>GC</v>
          </cell>
          <cell r="D8504">
            <v>43146</v>
          </cell>
        </row>
        <row r="8505">
          <cell r="A8505" t="str">
            <v>GC</v>
          </cell>
          <cell r="D8505">
            <v>43270</v>
          </cell>
        </row>
        <row r="8506">
          <cell r="A8506" t="str">
            <v>GC</v>
          </cell>
          <cell r="D8506">
            <v>43346</v>
          </cell>
        </row>
        <row r="8507">
          <cell r="A8507" t="str">
            <v>GC</v>
          </cell>
          <cell r="D8507">
            <v>43439</v>
          </cell>
        </row>
        <row r="8508">
          <cell r="A8508" t="str">
            <v>KR</v>
          </cell>
          <cell r="D8508">
            <v>43309</v>
          </cell>
        </row>
        <row r="8509">
          <cell r="A8509" t="str">
            <v>GC</v>
          </cell>
          <cell r="D8509">
            <v>43408</v>
          </cell>
        </row>
        <row r="8510">
          <cell r="A8510" t="str">
            <v>GC</v>
          </cell>
          <cell r="D8510">
            <v>43278</v>
          </cell>
        </row>
        <row r="8511">
          <cell r="A8511" t="str">
            <v>ANZ</v>
          </cell>
          <cell r="D8511">
            <v>43252</v>
          </cell>
        </row>
        <row r="8512">
          <cell r="A8512" t="str">
            <v>ANZ</v>
          </cell>
          <cell r="D8512">
            <v>43129</v>
          </cell>
        </row>
        <row r="8513">
          <cell r="A8513" t="str">
            <v>ANZ</v>
          </cell>
          <cell r="D8513">
            <v>43310</v>
          </cell>
        </row>
        <row r="8514">
          <cell r="A8514" t="str">
            <v>ANZ</v>
          </cell>
          <cell r="D8514">
            <v>43443</v>
          </cell>
        </row>
        <row r="8515">
          <cell r="A8515" t="str">
            <v>GC</v>
          </cell>
          <cell r="D8515">
            <v>43333</v>
          </cell>
        </row>
        <row r="8516">
          <cell r="A8516" t="str">
            <v>IN</v>
          </cell>
          <cell r="D8516">
            <v>43297</v>
          </cell>
        </row>
        <row r="8517">
          <cell r="A8517" t="str">
            <v>GC</v>
          </cell>
          <cell r="D8517">
            <v>43401</v>
          </cell>
        </row>
        <row r="8518">
          <cell r="A8518" t="str">
            <v>GC</v>
          </cell>
          <cell r="D8518">
            <v>43301</v>
          </cell>
        </row>
        <row r="8519">
          <cell r="A8519" t="str">
            <v>GC</v>
          </cell>
          <cell r="D8519">
            <v>43264</v>
          </cell>
        </row>
        <row r="8520">
          <cell r="A8520" t="str">
            <v>GC</v>
          </cell>
          <cell r="D8520">
            <v>43248</v>
          </cell>
        </row>
        <row r="8521">
          <cell r="A8521" t="str">
            <v>IN</v>
          </cell>
          <cell r="D8521">
            <v>43322</v>
          </cell>
        </row>
        <row r="8522">
          <cell r="A8522" t="str">
            <v>IN</v>
          </cell>
          <cell r="D8522">
            <v>43279</v>
          </cell>
        </row>
        <row r="8523">
          <cell r="A8523" t="str">
            <v>GC</v>
          </cell>
          <cell r="D8523">
            <v>43332</v>
          </cell>
        </row>
        <row r="8524">
          <cell r="A8524" t="str">
            <v>GC</v>
          </cell>
          <cell r="D8524">
            <v>43289</v>
          </cell>
        </row>
        <row r="8525">
          <cell r="A8525" t="str">
            <v>GC</v>
          </cell>
          <cell r="D8525">
            <v>43335</v>
          </cell>
        </row>
        <row r="8526">
          <cell r="A8526" t="str">
            <v>ANZ</v>
          </cell>
          <cell r="D8526">
            <v>43335</v>
          </cell>
        </row>
        <row r="8527">
          <cell r="A8527" t="str">
            <v>ANZ</v>
          </cell>
          <cell r="D8527">
            <v>43204</v>
          </cell>
        </row>
        <row r="8528">
          <cell r="A8528" t="str">
            <v>ANZ</v>
          </cell>
          <cell r="D8528">
            <v>43227</v>
          </cell>
        </row>
        <row r="8529">
          <cell r="A8529" t="str">
            <v>ANZ</v>
          </cell>
          <cell r="D8529">
            <v>43202</v>
          </cell>
        </row>
        <row r="8530">
          <cell r="A8530" t="str">
            <v>ANZ</v>
          </cell>
          <cell r="D8530">
            <v>43401</v>
          </cell>
        </row>
        <row r="8531">
          <cell r="A8531" t="str">
            <v>ANZ</v>
          </cell>
          <cell r="D8531">
            <v>43266</v>
          </cell>
        </row>
        <row r="8532">
          <cell r="A8532" t="str">
            <v>GC</v>
          </cell>
          <cell r="D8532">
            <v>43394</v>
          </cell>
        </row>
        <row r="8533">
          <cell r="A8533" t="str">
            <v>ANZ</v>
          </cell>
          <cell r="D8533">
            <v>43339</v>
          </cell>
        </row>
        <row r="8534">
          <cell r="A8534" t="str">
            <v>GC</v>
          </cell>
          <cell r="D8534">
            <v>43442</v>
          </cell>
        </row>
        <row r="8535">
          <cell r="A8535" t="str">
            <v>IN</v>
          </cell>
          <cell r="D8535">
            <v>43164</v>
          </cell>
        </row>
        <row r="8536">
          <cell r="A8536" t="str">
            <v>GC</v>
          </cell>
          <cell r="D8536">
            <v>43351</v>
          </cell>
        </row>
        <row r="8537">
          <cell r="A8537" t="str">
            <v>GC</v>
          </cell>
          <cell r="D8537">
            <v>43310</v>
          </cell>
        </row>
        <row r="8538">
          <cell r="A8538" t="str">
            <v>ANZ</v>
          </cell>
          <cell r="D8538">
            <v>43136</v>
          </cell>
        </row>
        <row r="8539">
          <cell r="A8539" t="str">
            <v>KR</v>
          </cell>
          <cell r="D8539">
            <v>43240</v>
          </cell>
        </row>
        <row r="8540">
          <cell r="A8540" t="str">
            <v>ANZ</v>
          </cell>
          <cell r="D8540">
            <v>43192</v>
          </cell>
        </row>
        <row r="8541">
          <cell r="A8541" t="str">
            <v>ASEAN</v>
          </cell>
          <cell r="D8541">
            <v>43421</v>
          </cell>
        </row>
        <row r="8542">
          <cell r="A8542" t="str">
            <v>GC</v>
          </cell>
          <cell r="D8542">
            <v>43231</v>
          </cell>
        </row>
        <row r="8543">
          <cell r="A8543" t="str">
            <v>KR</v>
          </cell>
          <cell r="D8543">
            <v>43145</v>
          </cell>
        </row>
        <row r="8544">
          <cell r="A8544" t="str">
            <v>IN</v>
          </cell>
          <cell r="D8544">
            <v>43241</v>
          </cell>
        </row>
        <row r="8545">
          <cell r="A8545" t="str">
            <v>IN</v>
          </cell>
          <cell r="D8545">
            <v>43280</v>
          </cell>
        </row>
        <row r="8546">
          <cell r="A8546" t="str">
            <v>IN</v>
          </cell>
          <cell r="D8546">
            <v>43328</v>
          </cell>
        </row>
        <row r="8547">
          <cell r="A8547" t="str">
            <v>IN</v>
          </cell>
          <cell r="D8547">
            <v>43230</v>
          </cell>
        </row>
        <row r="8548">
          <cell r="A8548" t="str">
            <v>ANZ</v>
          </cell>
          <cell r="D8548">
            <v>43454</v>
          </cell>
        </row>
        <row r="8549">
          <cell r="A8549" t="str">
            <v>ANZ</v>
          </cell>
          <cell r="D8549">
            <v>43254</v>
          </cell>
        </row>
        <row r="8550">
          <cell r="A8550" t="str">
            <v>GC</v>
          </cell>
          <cell r="D8550">
            <v>43147</v>
          </cell>
        </row>
        <row r="8551">
          <cell r="A8551" t="str">
            <v>GC</v>
          </cell>
          <cell r="D8551">
            <v>43118</v>
          </cell>
        </row>
        <row r="8552">
          <cell r="A8552" t="str">
            <v>GC</v>
          </cell>
          <cell r="D8552">
            <v>43212</v>
          </cell>
        </row>
        <row r="8553">
          <cell r="A8553" t="str">
            <v>GC</v>
          </cell>
          <cell r="D8553">
            <v>43337</v>
          </cell>
        </row>
        <row r="8554">
          <cell r="A8554" t="str">
            <v>GC</v>
          </cell>
          <cell r="D8554">
            <v>43163</v>
          </cell>
        </row>
        <row r="8555">
          <cell r="A8555" t="str">
            <v>GC</v>
          </cell>
          <cell r="D8555">
            <v>43123</v>
          </cell>
        </row>
        <row r="8556">
          <cell r="A8556" t="str">
            <v>GC</v>
          </cell>
          <cell r="D8556">
            <v>43122</v>
          </cell>
        </row>
        <row r="8557">
          <cell r="A8557" t="str">
            <v>ANZ</v>
          </cell>
          <cell r="D8557">
            <v>43111</v>
          </cell>
        </row>
        <row r="8558">
          <cell r="A8558" t="str">
            <v>GC</v>
          </cell>
          <cell r="D8558">
            <v>43259</v>
          </cell>
        </row>
        <row r="8559">
          <cell r="A8559" t="str">
            <v>GC</v>
          </cell>
          <cell r="D8559">
            <v>43296</v>
          </cell>
        </row>
        <row r="8560">
          <cell r="A8560" t="str">
            <v>GC</v>
          </cell>
          <cell r="D8560">
            <v>43186</v>
          </cell>
        </row>
        <row r="8561">
          <cell r="A8561" t="str">
            <v>GC</v>
          </cell>
          <cell r="D8561">
            <v>43121</v>
          </cell>
        </row>
        <row r="8562">
          <cell r="A8562" t="str">
            <v>GC</v>
          </cell>
          <cell r="D8562">
            <v>43207</v>
          </cell>
        </row>
        <row r="8563">
          <cell r="A8563" t="str">
            <v>GC</v>
          </cell>
          <cell r="D8563">
            <v>43123</v>
          </cell>
        </row>
        <row r="8564">
          <cell r="A8564" t="str">
            <v>ASEAN</v>
          </cell>
          <cell r="D8564">
            <v>43182</v>
          </cell>
        </row>
        <row r="8565">
          <cell r="A8565" t="str">
            <v>GC</v>
          </cell>
          <cell r="D8565">
            <v>43449</v>
          </cell>
        </row>
        <row r="8566">
          <cell r="A8566" t="str">
            <v>ASEAN</v>
          </cell>
          <cell r="D8566">
            <v>43423</v>
          </cell>
        </row>
        <row r="8567">
          <cell r="A8567" t="str">
            <v>GC</v>
          </cell>
          <cell r="D8567">
            <v>43188</v>
          </cell>
        </row>
        <row r="8568">
          <cell r="A8568" t="str">
            <v>GC</v>
          </cell>
          <cell r="D8568">
            <v>43195</v>
          </cell>
        </row>
        <row r="8569">
          <cell r="A8569" t="str">
            <v>ASEAN</v>
          </cell>
          <cell r="D8569">
            <v>43421</v>
          </cell>
        </row>
        <row r="8570">
          <cell r="A8570" t="str">
            <v>KR</v>
          </cell>
          <cell r="D8570">
            <v>43450</v>
          </cell>
        </row>
        <row r="8571">
          <cell r="A8571" t="str">
            <v>ASEAN</v>
          </cell>
          <cell r="D8571">
            <v>43397</v>
          </cell>
        </row>
        <row r="8572">
          <cell r="A8572" t="str">
            <v>GC</v>
          </cell>
          <cell r="D8572">
            <v>43367</v>
          </cell>
        </row>
        <row r="8573">
          <cell r="A8573" t="str">
            <v>GC</v>
          </cell>
          <cell r="D8573">
            <v>43367</v>
          </cell>
        </row>
        <row r="8574">
          <cell r="A8574" t="str">
            <v>ANZ</v>
          </cell>
          <cell r="D8574">
            <v>43162</v>
          </cell>
        </row>
        <row r="8575">
          <cell r="A8575" t="str">
            <v>ANZ</v>
          </cell>
          <cell r="D8575">
            <v>43217</v>
          </cell>
        </row>
        <row r="8576">
          <cell r="A8576" t="str">
            <v>ANZ</v>
          </cell>
          <cell r="D8576">
            <v>43434</v>
          </cell>
        </row>
        <row r="8577">
          <cell r="A8577" t="str">
            <v>IN</v>
          </cell>
          <cell r="D8577">
            <v>43447</v>
          </cell>
        </row>
        <row r="8578">
          <cell r="A8578" t="str">
            <v>ASEAN</v>
          </cell>
          <cell r="D8578">
            <v>43257</v>
          </cell>
        </row>
        <row r="8579">
          <cell r="A8579" t="str">
            <v>ASEAN</v>
          </cell>
          <cell r="D8579">
            <v>43189</v>
          </cell>
        </row>
        <row r="8580">
          <cell r="A8580" t="str">
            <v>GC</v>
          </cell>
          <cell r="D8580">
            <v>43192</v>
          </cell>
        </row>
        <row r="8581">
          <cell r="A8581" t="str">
            <v>ANZ</v>
          </cell>
          <cell r="D8581">
            <v>43265</v>
          </cell>
        </row>
        <row r="8582">
          <cell r="A8582" t="str">
            <v>ANZ</v>
          </cell>
          <cell r="D8582">
            <v>43346</v>
          </cell>
        </row>
        <row r="8583">
          <cell r="A8583" t="str">
            <v>ANZ</v>
          </cell>
          <cell r="D8583">
            <v>43365</v>
          </cell>
        </row>
        <row r="8584">
          <cell r="A8584" t="str">
            <v>ANZ</v>
          </cell>
          <cell r="D8584">
            <v>43314</v>
          </cell>
        </row>
        <row r="8585">
          <cell r="A8585" t="str">
            <v>ANZ</v>
          </cell>
          <cell r="D8585">
            <v>43171</v>
          </cell>
        </row>
        <row r="8586">
          <cell r="A8586" t="str">
            <v>GC</v>
          </cell>
          <cell r="D8586">
            <v>43390</v>
          </cell>
        </row>
        <row r="8587">
          <cell r="A8587" t="str">
            <v>ANZ</v>
          </cell>
          <cell r="D8587">
            <v>43386</v>
          </cell>
        </row>
        <row r="8588">
          <cell r="A8588" t="str">
            <v>IN</v>
          </cell>
          <cell r="D8588">
            <v>43400</v>
          </cell>
        </row>
        <row r="8589">
          <cell r="A8589" t="str">
            <v>KR</v>
          </cell>
          <cell r="D8589">
            <v>43335</v>
          </cell>
        </row>
        <row r="8590">
          <cell r="A8590" t="str">
            <v>IN</v>
          </cell>
          <cell r="D8590">
            <v>43141</v>
          </cell>
        </row>
        <row r="8591">
          <cell r="A8591" t="str">
            <v>ASEAN</v>
          </cell>
          <cell r="D8591">
            <v>43135</v>
          </cell>
        </row>
        <row r="8592">
          <cell r="A8592" t="str">
            <v>IN</v>
          </cell>
          <cell r="D8592">
            <v>43330</v>
          </cell>
        </row>
        <row r="8593">
          <cell r="A8593" t="str">
            <v>GC</v>
          </cell>
          <cell r="D8593">
            <v>43215</v>
          </cell>
        </row>
        <row r="8594">
          <cell r="A8594" t="str">
            <v>GC</v>
          </cell>
          <cell r="D8594">
            <v>43448</v>
          </cell>
        </row>
        <row r="8595">
          <cell r="A8595" t="str">
            <v>ASEAN</v>
          </cell>
          <cell r="D8595">
            <v>43339</v>
          </cell>
        </row>
        <row r="8596">
          <cell r="A8596" t="str">
            <v>GC</v>
          </cell>
          <cell r="D8596">
            <v>43170</v>
          </cell>
        </row>
        <row r="8597">
          <cell r="A8597" t="str">
            <v>IN</v>
          </cell>
          <cell r="D8597">
            <v>43320</v>
          </cell>
        </row>
        <row r="8598">
          <cell r="A8598" t="str">
            <v>ANZ</v>
          </cell>
          <cell r="D8598">
            <v>43310</v>
          </cell>
        </row>
        <row r="8599">
          <cell r="A8599" t="str">
            <v>GC</v>
          </cell>
          <cell r="D8599">
            <v>43343</v>
          </cell>
        </row>
        <row r="8600">
          <cell r="A8600" t="str">
            <v>GC</v>
          </cell>
          <cell r="D8600">
            <v>43178</v>
          </cell>
        </row>
        <row r="8601">
          <cell r="A8601" t="str">
            <v>GC</v>
          </cell>
          <cell r="D8601">
            <v>43320</v>
          </cell>
        </row>
        <row r="8602">
          <cell r="A8602" t="str">
            <v>ASEAN</v>
          </cell>
          <cell r="D8602">
            <v>43130</v>
          </cell>
        </row>
        <row r="8603">
          <cell r="A8603" t="str">
            <v>GC</v>
          </cell>
          <cell r="D8603">
            <v>43462</v>
          </cell>
        </row>
        <row r="8604">
          <cell r="A8604" t="str">
            <v>GC</v>
          </cell>
          <cell r="D8604">
            <v>43328</v>
          </cell>
        </row>
        <row r="8605">
          <cell r="A8605" t="str">
            <v>GC</v>
          </cell>
          <cell r="D8605">
            <v>43402</v>
          </cell>
        </row>
        <row r="8606">
          <cell r="A8606" t="str">
            <v>ANZ</v>
          </cell>
          <cell r="D8606">
            <v>43205</v>
          </cell>
        </row>
        <row r="8607">
          <cell r="A8607" t="str">
            <v>ASEAN</v>
          </cell>
          <cell r="D8607">
            <v>43116</v>
          </cell>
        </row>
        <row r="8608">
          <cell r="A8608" t="str">
            <v>ASEAN</v>
          </cell>
          <cell r="D8608">
            <v>43117</v>
          </cell>
        </row>
        <row r="8609">
          <cell r="A8609" t="str">
            <v>ASEAN</v>
          </cell>
          <cell r="D8609">
            <v>43271</v>
          </cell>
        </row>
        <row r="8610">
          <cell r="A8610" t="str">
            <v>ASEAN</v>
          </cell>
          <cell r="D8610">
            <v>43256</v>
          </cell>
        </row>
        <row r="8611">
          <cell r="A8611" t="str">
            <v>KR</v>
          </cell>
          <cell r="D8611">
            <v>43462</v>
          </cell>
        </row>
        <row r="8612">
          <cell r="A8612" t="str">
            <v>KR</v>
          </cell>
          <cell r="D8612">
            <v>43303</v>
          </cell>
        </row>
        <row r="8613">
          <cell r="A8613" t="str">
            <v>KR</v>
          </cell>
          <cell r="D8613">
            <v>43318</v>
          </cell>
        </row>
        <row r="8614">
          <cell r="A8614" t="str">
            <v>KR</v>
          </cell>
          <cell r="D8614">
            <v>43176</v>
          </cell>
        </row>
        <row r="8615">
          <cell r="A8615" t="str">
            <v>KR</v>
          </cell>
          <cell r="D8615">
            <v>43429</v>
          </cell>
        </row>
        <row r="8616">
          <cell r="A8616" t="str">
            <v>ASEAN</v>
          </cell>
          <cell r="D8616">
            <v>43458</v>
          </cell>
        </row>
        <row r="8617">
          <cell r="A8617" t="str">
            <v>IN</v>
          </cell>
          <cell r="D8617">
            <v>43161</v>
          </cell>
        </row>
        <row r="8618">
          <cell r="A8618" t="str">
            <v>ASEAN</v>
          </cell>
          <cell r="D8618">
            <v>43226</v>
          </cell>
        </row>
        <row r="8619">
          <cell r="A8619" t="str">
            <v>ASEAN</v>
          </cell>
          <cell r="D8619">
            <v>43118</v>
          </cell>
        </row>
        <row r="8620">
          <cell r="A8620" t="str">
            <v>IN</v>
          </cell>
          <cell r="D8620">
            <v>43404</v>
          </cell>
        </row>
        <row r="8621">
          <cell r="A8621" t="str">
            <v>ASEAN</v>
          </cell>
          <cell r="D8621">
            <v>43441</v>
          </cell>
        </row>
        <row r="8622">
          <cell r="A8622" t="str">
            <v>KR</v>
          </cell>
          <cell r="D8622">
            <v>43176</v>
          </cell>
        </row>
        <row r="8623">
          <cell r="A8623" t="str">
            <v>GC</v>
          </cell>
          <cell r="D8623">
            <v>43425</v>
          </cell>
        </row>
        <row r="8624">
          <cell r="A8624" t="str">
            <v>ANZ</v>
          </cell>
          <cell r="D8624">
            <v>43447</v>
          </cell>
        </row>
        <row r="8625">
          <cell r="A8625" t="str">
            <v>IN</v>
          </cell>
          <cell r="D8625">
            <v>43420</v>
          </cell>
        </row>
        <row r="8626">
          <cell r="A8626" t="str">
            <v>IN</v>
          </cell>
          <cell r="D8626">
            <v>43205</v>
          </cell>
        </row>
        <row r="8627">
          <cell r="A8627" t="str">
            <v>IN</v>
          </cell>
          <cell r="D8627">
            <v>43310</v>
          </cell>
        </row>
        <row r="8628">
          <cell r="A8628" t="str">
            <v>ANZ</v>
          </cell>
          <cell r="D8628">
            <v>43221</v>
          </cell>
        </row>
        <row r="8629">
          <cell r="A8629" t="str">
            <v>ANZ</v>
          </cell>
          <cell r="D8629">
            <v>43133</v>
          </cell>
        </row>
        <row r="8630">
          <cell r="A8630" t="str">
            <v>IN</v>
          </cell>
          <cell r="D8630">
            <v>43315</v>
          </cell>
        </row>
        <row r="8631">
          <cell r="A8631" t="str">
            <v>ANZ</v>
          </cell>
          <cell r="D8631">
            <v>43310</v>
          </cell>
        </row>
        <row r="8632">
          <cell r="A8632" t="str">
            <v>IN</v>
          </cell>
          <cell r="D8632">
            <v>43445</v>
          </cell>
        </row>
        <row r="8633">
          <cell r="A8633" t="str">
            <v>ASEAN</v>
          </cell>
          <cell r="D8633">
            <v>43404</v>
          </cell>
        </row>
        <row r="8634">
          <cell r="A8634" t="str">
            <v>ANZ</v>
          </cell>
          <cell r="D8634">
            <v>43328</v>
          </cell>
        </row>
        <row r="8635">
          <cell r="A8635" t="str">
            <v>GC</v>
          </cell>
          <cell r="D8635">
            <v>43116</v>
          </cell>
        </row>
        <row r="8636">
          <cell r="A8636" t="str">
            <v>ASEAN</v>
          </cell>
          <cell r="D8636">
            <v>43216</v>
          </cell>
        </row>
        <row r="8637">
          <cell r="A8637" t="str">
            <v>ANZ</v>
          </cell>
          <cell r="D8637">
            <v>43344</v>
          </cell>
        </row>
        <row r="8638">
          <cell r="A8638" t="str">
            <v>GC</v>
          </cell>
          <cell r="D8638">
            <v>43384</v>
          </cell>
        </row>
        <row r="8639">
          <cell r="A8639" t="str">
            <v>GC</v>
          </cell>
          <cell r="D8639">
            <v>43381</v>
          </cell>
        </row>
        <row r="8640">
          <cell r="A8640" t="str">
            <v>GC</v>
          </cell>
          <cell r="D8640">
            <v>43338</v>
          </cell>
        </row>
        <row r="8641">
          <cell r="A8641" t="str">
            <v>GC</v>
          </cell>
          <cell r="D8641">
            <v>43291</v>
          </cell>
        </row>
        <row r="8642">
          <cell r="A8642" t="str">
            <v>GC</v>
          </cell>
          <cell r="D8642">
            <v>43163</v>
          </cell>
        </row>
        <row r="8643">
          <cell r="A8643" t="str">
            <v>GC</v>
          </cell>
          <cell r="D8643">
            <v>43160</v>
          </cell>
        </row>
        <row r="8644">
          <cell r="A8644" t="str">
            <v>GC</v>
          </cell>
          <cell r="D8644">
            <v>43334</v>
          </cell>
        </row>
        <row r="8645">
          <cell r="A8645" t="str">
            <v>ASEAN</v>
          </cell>
          <cell r="D8645">
            <v>43440</v>
          </cell>
        </row>
        <row r="8646">
          <cell r="A8646" t="str">
            <v>GC</v>
          </cell>
          <cell r="D8646">
            <v>43458</v>
          </cell>
        </row>
        <row r="8647">
          <cell r="A8647" t="str">
            <v>GC</v>
          </cell>
          <cell r="D8647">
            <v>43265</v>
          </cell>
        </row>
        <row r="8648">
          <cell r="A8648" t="str">
            <v>ANZ</v>
          </cell>
          <cell r="D8648">
            <v>43120</v>
          </cell>
        </row>
        <row r="8649">
          <cell r="A8649" t="str">
            <v>IN</v>
          </cell>
          <cell r="D8649">
            <v>43360</v>
          </cell>
        </row>
        <row r="8650">
          <cell r="A8650" t="str">
            <v>GC</v>
          </cell>
          <cell r="D8650">
            <v>43447</v>
          </cell>
        </row>
        <row r="8651">
          <cell r="A8651" t="str">
            <v>KR</v>
          </cell>
          <cell r="D8651">
            <v>43296</v>
          </cell>
        </row>
        <row r="8652">
          <cell r="A8652" t="str">
            <v>ANZ</v>
          </cell>
          <cell r="D8652">
            <v>43142</v>
          </cell>
        </row>
        <row r="8653">
          <cell r="A8653" t="str">
            <v>ASEAN</v>
          </cell>
          <cell r="D8653">
            <v>43328</v>
          </cell>
        </row>
        <row r="8654">
          <cell r="A8654" t="str">
            <v>ASEAN</v>
          </cell>
          <cell r="D8654">
            <v>43359</v>
          </cell>
        </row>
        <row r="8655">
          <cell r="A8655" t="str">
            <v>GC</v>
          </cell>
          <cell r="D8655">
            <v>43115</v>
          </cell>
        </row>
        <row r="8656">
          <cell r="A8656" t="str">
            <v>GC</v>
          </cell>
          <cell r="D8656">
            <v>43459</v>
          </cell>
        </row>
        <row r="8657">
          <cell r="A8657" t="str">
            <v>GC</v>
          </cell>
          <cell r="D8657">
            <v>43356</v>
          </cell>
        </row>
        <row r="8658">
          <cell r="A8658" t="str">
            <v>ANZ</v>
          </cell>
          <cell r="D8658">
            <v>43449</v>
          </cell>
        </row>
        <row r="8659">
          <cell r="A8659" t="str">
            <v>GC</v>
          </cell>
          <cell r="D8659">
            <v>43294</v>
          </cell>
        </row>
        <row r="8660">
          <cell r="A8660" t="str">
            <v>GC</v>
          </cell>
          <cell r="D8660">
            <v>43360</v>
          </cell>
        </row>
        <row r="8661">
          <cell r="A8661" t="str">
            <v>KR</v>
          </cell>
          <cell r="D8661">
            <v>43414</v>
          </cell>
        </row>
        <row r="8662">
          <cell r="A8662" t="str">
            <v>ANZ</v>
          </cell>
          <cell r="D8662">
            <v>43415</v>
          </cell>
        </row>
        <row r="8663">
          <cell r="A8663" t="str">
            <v>ASEAN</v>
          </cell>
          <cell r="D8663">
            <v>43314</v>
          </cell>
        </row>
        <row r="8664">
          <cell r="A8664" t="str">
            <v>KR</v>
          </cell>
          <cell r="D8664">
            <v>43251</v>
          </cell>
        </row>
        <row r="8665">
          <cell r="A8665" t="str">
            <v>GC</v>
          </cell>
          <cell r="D8665">
            <v>43110</v>
          </cell>
        </row>
        <row r="8666">
          <cell r="A8666" t="str">
            <v>ASEAN</v>
          </cell>
          <cell r="D8666">
            <v>43228</v>
          </cell>
        </row>
        <row r="8667">
          <cell r="A8667" t="str">
            <v>GC</v>
          </cell>
          <cell r="D8667">
            <v>43337</v>
          </cell>
        </row>
        <row r="8668">
          <cell r="A8668" t="str">
            <v>ANZ</v>
          </cell>
          <cell r="D8668">
            <v>43126</v>
          </cell>
        </row>
        <row r="8669">
          <cell r="A8669" t="str">
            <v>ASEAN</v>
          </cell>
          <cell r="D8669">
            <v>43388</v>
          </cell>
        </row>
        <row r="8670">
          <cell r="A8670" t="str">
            <v>ASEAN</v>
          </cell>
          <cell r="D8670">
            <v>43285</v>
          </cell>
        </row>
        <row r="8671">
          <cell r="A8671" t="str">
            <v>KR</v>
          </cell>
          <cell r="D8671">
            <v>43210</v>
          </cell>
        </row>
        <row r="8672">
          <cell r="A8672" t="str">
            <v>GC</v>
          </cell>
          <cell r="D8672">
            <v>43115</v>
          </cell>
        </row>
        <row r="8673">
          <cell r="A8673" t="str">
            <v>ASEAN</v>
          </cell>
          <cell r="D8673">
            <v>43246</v>
          </cell>
        </row>
        <row r="8674">
          <cell r="A8674" t="str">
            <v>ASEAN</v>
          </cell>
          <cell r="D8674">
            <v>43180</v>
          </cell>
        </row>
        <row r="8675">
          <cell r="A8675" t="str">
            <v>ASEAN</v>
          </cell>
          <cell r="D8675">
            <v>43421</v>
          </cell>
        </row>
        <row r="8676">
          <cell r="A8676" t="str">
            <v>GC</v>
          </cell>
          <cell r="D8676">
            <v>43369</v>
          </cell>
        </row>
        <row r="8677">
          <cell r="A8677" t="str">
            <v>IN</v>
          </cell>
          <cell r="D8677">
            <v>43265</v>
          </cell>
        </row>
        <row r="8678">
          <cell r="A8678" t="str">
            <v>KR</v>
          </cell>
          <cell r="D8678">
            <v>43141</v>
          </cell>
        </row>
        <row r="8679">
          <cell r="A8679" t="str">
            <v>GC</v>
          </cell>
          <cell r="D8679">
            <v>43304</v>
          </cell>
        </row>
        <row r="8680">
          <cell r="A8680" t="str">
            <v>GC</v>
          </cell>
          <cell r="D8680">
            <v>43358</v>
          </cell>
        </row>
        <row r="8681">
          <cell r="A8681" t="str">
            <v>GC</v>
          </cell>
          <cell r="D8681">
            <v>43431</v>
          </cell>
        </row>
        <row r="8682">
          <cell r="A8682" t="str">
            <v>ASEAN</v>
          </cell>
          <cell r="D8682">
            <v>43106</v>
          </cell>
        </row>
        <row r="8683">
          <cell r="A8683" t="str">
            <v>GC</v>
          </cell>
          <cell r="D8683">
            <v>43296</v>
          </cell>
        </row>
        <row r="8684">
          <cell r="A8684" t="str">
            <v>KR</v>
          </cell>
          <cell r="D8684">
            <v>43308</v>
          </cell>
        </row>
        <row r="8685">
          <cell r="A8685" t="str">
            <v>KR</v>
          </cell>
          <cell r="D8685">
            <v>43286</v>
          </cell>
        </row>
        <row r="8686">
          <cell r="A8686" t="str">
            <v>GC</v>
          </cell>
          <cell r="D8686">
            <v>43190</v>
          </cell>
        </row>
        <row r="8687">
          <cell r="A8687" t="str">
            <v>GC</v>
          </cell>
          <cell r="D8687">
            <v>43326</v>
          </cell>
        </row>
        <row r="8688">
          <cell r="A8688" t="str">
            <v>ASEAN</v>
          </cell>
          <cell r="D8688">
            <v>43122</v>
          </cell>
        </row>
        <row r="8689">
          <cell r="A8689" t="str">
            <v>ASEAN</v>
          </cell>
          <cell r="D8689">
            <v>43452</v>
          </cell>
        </row>
        <row r="8690">
          <cell r="A8690" t="str">
            <v>ASEAN</v>
          </cell>
          <cell r="D8690">
            <v>43294</v>
          </cell>
        </row>
        <row r="8691">
          <cell r="A8691" t="str">
            <v>GC</v>
          </cell>
          <cell r="D8691">
            <v>43332</v>
          </cell>
        </row>
        <row r="8692">
          <cell r="A8692" t="str">
            <v>GC</v>
          </cell>
          <cell r="D8692">
            <v>43247</v>
          </cell>
        </row>
        <row r="8693">
          <cell r="A8693" t="str">
            <v>GC</v>
          </cell>
          <cell r="D8693">
            <v>43363</v>
          </cell>
        </row>
        <row r="8694">
          <cell r="A8694" t="str">
            <v>ASEAN</v>
          </cell>
          <cell r="D8694">
            <v>43368</v>
          </cell>
        </row>
        <row r="8695">
          <cell r="A8695" t="str">
            <v>GC</v>
          </cell>
          <cell r="D8695">
            <v>43398</v>
          </cell>
        </row>
        <row r="8696">
          <cell r="A8696" t="str">
            <v>ANZ</v>
          </cell>
          <cell r="D8696">
            <v>43389</v>
          </cell>
        </row>
        <row r="8697">
          <cell r="A8697" t="str">
            <v>ANZ</v>
          </cell>
          <cell r="D8697">
            <v>43321</v>
          </cell>
        </row>
        <row r="8698">
          <cell r="A8698" t="str">
            <v>ANZ</v>
          </cell>
          <cell r="D8698">
            <v>43446</v>
          </cell>
        </row>
        <row r="8699">
          <cell r="A8699" t="str">
            <v>ASEAN</v>
          </cell>
          <cell r="D8699">
            <v>43263</v>
          </cell>
        </row>
        <row r="8700">
          <cell r="A8700" t="str">
            <v>ASEAN</v>
          </cell>
          <cell r="D8700">
            <v>43387</v>
          </cell>
        </row>
        <row r="8701">
          <cell r="A8701" t="str">
            <v>GC</v>
          </cell>
          <cell r="D8701">
            <v>43445</v>
          </cell>
        </row>
        <row r="8702">
          <cell r="A8702" t="str">
            <v>ANZ</v>
          </cell>
          <cell r="D8702">
            <v>43341</v>
          </cell>
        </row>
        <row r="8703">
          <cell r="A8703" t="str">
            <v>KR</v>
          </cell>
          <cell r="D8703">
            <v>43328</v>
          </cell>
        </row>
        <row r="8704">
          <cell r="A8704" t="str">
            <v>GC</v>
          </cell>
          <cell r="D8704">
            <v>43250</v>
          </cell>
        </row>
        <row r="8705">
          <cell r="A8705" t="str">
            <v>KR</v>
          </cell>
          <cell r="D8705">
            <v>43201</v>
          </cell>
        </row>
        <row r="8706">
          <cell r="A8706" t="str">
            <v>ANZ</v>
          </cell>
          <cell r="D8706">
            <v>43276</v>
          </cell>
        </row>
        <row r="8707">
          <cell r="A8707" t="str">
            <v>ANZ</v>
          </cell>
          <cell r="D8707">
            <v>43308</v>
          </cell>
        </row>
        <row r="8708">
          <cell r="A8708" t="str">
            <v>ASEAN</v>
          </cell>
          <cell r="D8708">
            <v>43368</v>
          </cell>
        </row>
        <row r="8709">
          <cell r="A8709" t="str">
            <v>GC</v>
          </cell>
          <cell r="D8709">
            <v>43368</v>
          </cell>
        </row>
        <row r="8710">
          <cell r="A8710" t="str">
            <v>GC</v>
          </cell>
          <cell r="D8710">
            <v>43132</v>
          </cell>
        </row>
        <row r="8711">
          <cell r="A8711" t="str">
            <v>KR</v>
          </cell>
          <cell r="D8711">
            <v>43336</v>
          </cell>
        </row>
        <row r="8712">
          <cell r="A8712" t="str">
            <v>KR</v>
          </cell>
          <cell r="D8712">
            <v>43136</v>
          </cell>
        </row>
        <row r="8713">
          <cell r="A8713" t="str">
            <v>KR</v>
          </cell>
          <cell r="D8713">
            <v>43465</v>
          </cell>
        </row>
        <row r="8714">
          <cell r="A8714" t="str">
            <v>GC</v>
          </cell>
          <cell r="D8714">
            <v>43120</v>
          </cell>
        </row>
        <row r="8715">
          <cell r="A8715" t="str">
            <v>GC</v>
          </cell>
          <cell r="D8715">
            <v>43248</v>
          </cell>
        </row>
        <row r="8716">
          <cell r="A8716" t="str">
            <v>GC</v>
          </cell>
          <cell r="D8716">
            <v>43291</v>
          </cell>
        </row>
        <row r="8717">
          <cell r="A8717" t="str">
            <v>GC</v>
          </cell>
          <cell r="D8717">
            <v>43394</v>
          </cell>
        </row>
        <row r="8718">
          <cell r="A8718" t="str">
            <v>ASEAN</v>
          </cell>
          <cell r="D8718">
            <v>43449</v>
          </cell>
        </row>
        <row r="8719">
          <cell r="A8719" t="str">
            <v>KR</v>
          </cell>
          <cell r="D8719">
            <v>43170</v>
          </cell>
        </row>
        <row r="8720">
          <cell r="A8720" t="str">
            <v>ASEAN</v>
          </cell>
          <cell r="D8720">
            <v>43407</v>
          </cell>
        </row>
        <row r="8721">
          <cell r="A8721" t="str">
            <v>GC</v>
          </cell>
          <cell r="D8721">
            <v>43112</v>
          </cell>
        </row>
        <row r="8722">
          <cell r="A8722" t="str">
            <v>GC</v>
          </cell>
          <cell r="D8722">
            <v>43386</v>
          </cell>
        </row>
        <row r="8723">
          <cell r="A8723" t="str">
            <v>GC</v>
          </cell>
          <cell r="D8723">
            <v>43435</v>
          </cell>
        </row>
        <row r="8724">
          <cell r="A8724" t="str">
            <v>GC</v>
          </cell>
          <cell r="D8724">
            <v>43398</v>
          </cell>
        </row>
        <row r="8725">
          <cell r="A8725" t="str">
            <v>GC</v>
          </cell>
          <cell r="D8725">
            <v>43349</v>
          </cell>
        </row>
        <row r="8726">
          <cell r="A8726" t="str">
            <v>GC</v>
          </cell>
          <cell r="D8726">
            <v>43392</v>
          </cell>
        </row>
        <row r="8727">
          <cell r="A8727" t="str">
            <v>GC</v>
          </cell>
          <cell r="D8727">
            <v>43404</v>
          </cell>
        </row>
        <row r="8728">
          <cell r="A8728" t="str">
            <v>KR</v>
          </cell>
          <cell r="D8728">
            <v>43417</v>
          </cell>
        </row>
        <row r="8729">
          <cell r="A8729" t="str">
            <v>GC</v>
          </cell>
          <cell r="D8729">
            <v>43206</v>
          </cell>
        </row>
        <row r="8730">
          <cell r="A8730" t="str">
            <v>GC</v>
          </cell>
          <cell r="D8730">
            <v>43106</v>
          </cell>
        </row>
        <row r="8731">
          <cell r="A8731" t="str">
            <v>GC</v>
          </cell>
          <cell r="D8731">
            <v>43464</v>
          </cell>
        </row>
        <row r="8732">
          <cell r="A8732" t="str">
            <v>GC</v>
          </cell>
          <cell r="D8732">
            <v>43446</v>
          </cell>
        </row>
        <row r="8733">
          <cell r="A8733" t="str">
            <v>ANZ</v>
          </cell>
          <cell r="D8733">
            <v>43365</v>
          </cell>
        </row>
        <row r="8734">
          <cell r="A8734" t="str">
            <v>GC</v>
          </cell>
          <cell r="D8734">
            <v>43442</v>
          </cell>
        </row>
        <row r="8735">
          <cell r="A8735" t="str">
            <v>ANZ</v>
          </cell>
          <cell r="D8735">
            <v>43348</v>
          </cell>
        </row>
        <row r="8736">
          <cell r="A8736" t="str">
            <v>ANZ</v>
          </cell>
          <cell r="D8736">
            <v>43137</v>
          </cell>
        </row>
        <row r="8737">
          <cell r="A8737" t="str">
            <v>KR</v>
          </cell>
          <cell r="D8737">
            <v>43359</v>
          </cell>
        </row>
        <row r="8738">
          <cell r="A8738" t="str">
            <v>ASEAN</v>
          </cell>
          <cell r="D8738">
            <v>43401</v>
          </cell>
        </row>
        <row r="8739">
          <cell r="A8739" t="str">
            <v>KR</v>
          </cell>
          <cell r="D8739">
            <v>43435</v>
          </cell>
        </row>
        <row r="8740">
          <cell r="A8740" t="str">
            <v>GC</v>
          </cell>
          <cell r="D8740">
            <v>43350</v>
          </cell>
        </row>
        <row r="8741">
          <cell r="A8741" t="str">
            <v>KR</v>
          </cell>
          <cell r="D8741">
            <v>43119</v>
          </cell>
        </row>
        <row r="8742">
          <cell r="A8742" t="str">
            <v>KR</v>
          </cell>
          <cell r="D8742">
            <v>43254</v>
          </cell>
        </row>
        <row r="8743">
          <cell r="A8743" t="str">
            <v>GC</v>
          </cell>
          <cell r="D8743">
            <v>43440</v>
          </cell>
        </row>
        <row r="8744">
          <cell r="A8744" t="str">
            <v>GC</v>
          </cell>
          <cell r="D8744">
            <v>43105</v>
          </cell>
        </row>
        <row r="8745">
          <cell r="A8745" t="str">
            <v>ANZ</v>
          </cell>
          <cell r="D8745">
            <v>43293</v>
          </cell>
        </row>
        <row r="8746">
          <cell r="A8746" t="str">
            <v>GC</v>
          </cell>
          <cell r="D8746">
            <v>43325</v>
          </cell>
        </row>
        <row r="8747">
          <cell r="A8747" t="str">
            <v>GC</v>
          </cell>
          <cell r="D8747">
            <v>43245</v>
          </cell>
        </row>
        <row r="8748">
          <cell r="A8748" t="str">
            <v>ASEAN</v>
          </cell>
          <cell r="D8748">
            <v>43356</v>
          </cell>
        </row>
        <row r="8749">
          <cell r="A8749" t="str">
            <v>GC</v>
          </cell>
          <cell r="D8749">
            <v>43226</v>
          </cell>
        </row>
        <row r="8750">
          <cell r="A8750" t="str">
            <v>GC</v>
          </cell>
          <cell r="D8750">
            <v>43285</v>
          </cell>
        </row>
        <row r="8751">
          <cell r="A8751" t="str">
            <v>GC</v>
          </cell>
          <cell r="D8751">
            <v>43202</v>
          </cell>
        </row>
        <row r="8752">
          <cell r="A8752" t="str">
            <v>GC</v>
          </cell>
          <cell r="D8752">
            <v>43355</v>
          </cell>
        </row>
        <row r="8753">
          <cell r="A8753" t="str">
            <v>GC</v>
          </cell>
          <cell r="D8753">
            <v>43367</v>
          </cell>
        </row>
        <row r="8754">
          <cell r="A8754" t="str">
            <v>ANZ</v>
          </cell>
          <cell r="D8754">
            <v>43328</v>
          </cell>
        </row>
        <row r="8755">
          <cell r="A8755" t="str">
            <v>KR</v>
          </cell>
          <cell r="D8755">
            <v>43250</v>
          </cell>
        </row>
        <row r="8756">
          <cell r="A8756" t="str">
            <v>ASEAN</v>
          </cell>
          <cell r="D8756">
            <v>43231</v>
          </cell>
        </row>
        <row r="8757">
          <cell r="A8757" t="str">
            <v>ANZ</v>
          </cell>
          <cell r="D8757">
            <v>43278</v>
          </cell>
        </row>
        <row r="8758">
          <cell r="A8758" t="str">
            <v>KR</v>
          </cell>
          <cell r="D8758">
            <v>43239</v>
          </cell>
        </row>
        <row r="8759">
          <cell r="A8759" t="str">
            <v>ANZ</v>
          </cell>
          <cell r="D8759">
            <v>43137</v>
          </cell>
        </row>
        <row r="8760">
          <cell r="A8760" t="str">
            <v>GC</v>
          </cell>
          <cell r="D8760">
            <v>43455</v>
          </cell>
        </row>
        <row r="8761">
          <cell r="A8761" t="str">
            <v>ANZ</v>
          </cell>
          <cell r="D8761">
            <v>43365</v>
          </cell>
        </row>
        <row r="8762">
          <cell r="A8762" t="str">
            <v>GC</v>
          </cell>
          <cell r="D8762">
            <v>43238</v>
          </cell>
        </row>
        <row r="8763">
          <cell r="A8763" t="str">
            <v>ANZ</v>
          </cell>
          <cell r="D8763">
            <v>43453</v>
          </cell>
        </row>
        <row r="8764">
          <cell r="A8764" t="str">
            <v>GC</v>
          </cell>
          <cell r="D8764">
            <v>43128</v>
          </cell>
        </row>
        <row r="8765">
          <cell r="A8765" t="str">
            <v>KR</v>
          </cell>
          <cell r="D8765">
            <v>43216</v>
          </cell>
        </row>
        <row r="8766">
          <cell r="A8766" t="str">
            <v>GC</v>
          </cell>
          <cell r="D8766">
            <v>43299</v>
          </cell>
        </row>
        <row r="8767">
          <cell r="A8767" t="str">
            <v>KR</v>
          </cell>
          <cell r="D8767">
            <v>43243</v>
          </cell>
        </row>
        <row r="8768">
          <cell r="A8768" t="str">
            <v>GC</v>
          </cell>
          <cell r="D8768">
            <v>43210</v>
          </cell>
        </row>
        <row r="8769">
          <cell r="A8769" t="str">
            <v>GC</v>
          </cell>
          <cell r="D8769">
            <v>43118</v>
          </cell>
        </row>
        <row r="8770">
          <cell r="A8770" t="str">
            <v>GC</v>
          </cell>
          <cell r="D8770">
            <v>43402</v>
          </cell>
        </row>
        <row r="8771">
          <cell r="A8771" t="str">
            <v>KR</v>
          </cell>
          <cell r="D8771">
            <v>43309</v>
          </cell>
        </row>
        <row r="8772">
          <cell r="A8772" t="str">
            <v>ANZ</v>
          </cell>
          <cell r="D8772">
            <v>43332</v>
          </cell>
        </row>
        <row r="8773">
          <cell r="A8773" t="str">
            <v>KR</v>
          </cell>
          <cell r="D8773">
            <v>43313</v>
          </cell>
        </row>
        <row r="8774">
          <cell r="A8774" t="str">
            <v>GC</v>
          </cell>
          <cell r="D8774">
            <v>43348</v>
          </cell>
        </row>
        <row r="8775">
          <cell r="A8775" t="str">
            <v>KR</v>
          </cell>
          <cell r="D8775">
            <v>43411</v>
          </cell>
        </row>
        <row r="8776">
          <cell r="A8776" t="str">
            <v>GC</v>
          </cell>
          <cell r="D8776">
            <v>43126</v>
          </cell>
        </row>
        <row r="8777">
          <cell r="A8777" t="str">
            <v>GC</v>
          </cell>
          <cell r="D8777">
            <v>43146</v>
          </cell>
        </row>
        <row r="8778">
          <cell r="A8778" t="str">
            <v>ASEAN</v>
          </cell>
          <cell r="D8778">
            <v>43233</v>
          </cell>
        </row>
        <row r="8779">
          <cell r="A8779" t="str">
            <v>GC</v>
          </cell>
          <cell r="D8779">
            <v>43196</v>
          </cell>
        </row>
        <row r="8780">
          <cell r="A8780" t="str">
            <v>GC</v>
          </cell>
          <cell r="D8780">
            <v>43212</v>
          </cell>
        </row>
        <row r="8781">
          <cell r="A8781" t="str">
            <v>ASEAN</v>
          </cell>
          <cell r="D8781">
            <v>43302</v>
          </cell>
        </row>
        <row r="8782">
          <cell r="A8782" t="str">
            <v>ASEAN</v>
          </cell>
          <cell r="D8782">
            <v>43413</v>
          </cell>
        </row>
        <row r="8783">
          <cell r="A8783" t="str">
            <v>ANZ</v>
          </cell>
          <cell r="D8783">
            <v>43375</v>
          </cell>
        </row>
        <row r="8784">
          <cell r="A8784" t="str">
            <v>ASEAN</v>
          </cell>
          <cell r="D8784">
            <v>43369</v>
          </cell>
        </row>
        <row r="8785">
          <cell r="A8785" t="str">
            <v>ASEAN</v>
          </cell>
          <cell r="D8785">
            <v>43257</v>
          </cell>
        </row>
        <row r="8786">
          <cell r="A8786" t="str">
            <v>ANZ</v>
          </cell>
          <cell r="D8786">
            <v>43283</v>
          </cell>
        </row>
        <row r="8787">
          <cell r="A8787" t="str">
            <v>ANZ</v>
          </cell>
          <cell r="D8787">
            <v>43363</v>
          </cell>
        </row>
        <row r="8788">
          <cell r="A8788" t="str">
            <v>GC</v>
          </cell>
          <cell r="D8788">
            <v>43169</v>
          </cell>
        </row>
        <row r="8789">
          <cell r="A8789" t="str">
            <v>ASEAN</v>
          </cell>
          <cell r="D8789">
            <v>43224</v>
          </cell>
        </row>
        <row r="8790">
          <cell r="A8790" t="str">
            <v>GC</v>
          </cell>
          <cell r="D8790">
            <v>43313</v>
          </cell>
        </row>
        <row r="8791">
          <cell r="A8791" t="str">
            <v>KR</v>
          </cell>
          <cell r="D8791">
            <v>43465</v>
          </cell>
        </row>
        <row r="8792">
          <cell r="A8792" t="str">
            <v>KR</v>
          </cell>
          <cell r="D8792">
            <v>43130</v>
          </cell>
        </row>
        <row r="8793">
          <cell r="A8793" t="str">
            <v>ANZ</v>
          </cell>
          <cell r="D8793">
            <v>43406</v>
          </cell>
        </row>
        <row r="8794">
          <cell r="A8794" t="str">
            <v>GC</v>
          </cell>
          <cell r="D8794">
            <v>43311</v>
          </cell>
        </row>
        <row r="8795">
          <cell r="A8795" t="str">
            <v>KR</v>
          </cell>
          <cell r="D8795">
            <v>43251</v>
          </cell>
        </row>
        <row r="8796">
          <cell r="A8796" t="str">
            <v>ASEAN</v>
          </cell>
          <cell r="D8796">
            <v>43258</v>
          </cell>
        </row>
        <row r="8797">
          <cell r="A8797" t="str">
            <v>ANZ</v>
          </cell>
          <cell r="D8797">
            <v>43203</v>
          </cell>
        </row>
        <row r="8798">
          <cell r="A8798" t="str">
            <v>ASEAN</v>
          </cell>
          <cell r="D8798">
            <v>43410</v>
          </cell>
        </row>
        <row r="8799">
          <cell r="A8799" t="str">
            <v>ASEAN</v>
          </cell>
          <cell r="D8799">
            <v>43200</v>
          </cell>
        </row>
        <row r="8800">
          <cell r="A8800" t="str">
            <v>ASEAN</v>
          </cell>
          <cell r="D8800">
            <v>43461</v>
          </cell>
        </row>
        <row r="8801">
          <cell r="A8801" t="str">
            <v>ANZ</v>
          </cell>
          <cell r="D8801">
            <v>43114</v>
          </cell>
        </row>
        <row r="8802">
          <cell r="A8802" t="str">
            <v>GC</v>
          </cell>
          <cell r="D8802">
            <v>43272</v>
          </cell>
        </row>
        <row r="8803">
          <cell r="A8803" t="str">
            <v>GC</v>
          </cell>
          <cell r="D8803">
            <v>43312</v>
          </cell>
        </row>
        <row r="8804">
          <cell r="A8804" t="str">
            <v>ASEAN</v>
          </cell>
          <cell r="D8804">
            <v>43245</v>
          </cell>
        </row>
        <row r="8805">
          <cell r="A8805" t="str">
            <v>GC</v>
          </cell>
          <cell r="D8805">
            <v>43460</v>
          </cell>
        </row>
        <row r="8806">
          <cell r="A8806" t="str">
            <v>ANZ</v>
          </cell>
          <cell r="D8806">
            <v>43407</v>
          </cell>
        </row>
        <row r="8807">
          <cell r="A8807" t="str">
            <v>ASEAN</v>
          </cell>
          <cell r="D8807">
            <v>43161</v>
          </cell>
        </row>
        <row r="8808">
          <cell r="A8808" t="str">
            <v>KR</v>
          </cell>
          <cell r="D8808">
            <v>43444</v>
          </cell>
        </row>
        <row r="8809">
          <cell r="A8809" t="str">
            <v>GC</v>
          </cell>
          <cell r="D8809">
            <v>43187</v>
          </cell>
        </row>
        <row r="8810">
          <cell r="A8810" t="str">
            <v>GC</v>
          </cell>
          <cell r="D8810">
            <v>43160</v>
          </cell>
        </row>
        <row r="8811">
          <cell r="A8811" t="str">
            <v>ANZ</v>
          </cell>
          <cell r="D8811">
            <v>43387</v>
          </cell>
        </row>
        <row r="8812">
          <cell r="A8812" t="str">
            <v>ANZ</v>
          </cell>
          <cell r="D8812">
            <v>43325</v>
          </cell>
        </row>
        <row r="8813">
          <cell r="A8813" t="str">
            <v>GC</v>
          </cell>
          <cell r="D8813">
            <v>43421</v>
          </cell>
        </row>
        <row r="8814">
          <cell r="A8814" t="str">
            <v>KR</v>
          </cell>
          <cell r="D8814">
            <v>43256</v>
          </cell>
        </row>
        <row r="8815">
          <cell r="A8815" t="str">
            <v>ANZ</v>
          </cell>
          <cell r="D8815">
            <v>43125</v>
          </cell>
        </row>
        <row r="8816">
          <cell r="A8816" t="str">
            <v>ASEAN</v>
          </cell>
          <cell r="D8816">
            <v>43241</v>
          </cell>
        </row>
        <row r="8817">
          <cell r="A8817" t="str">
            <v>ASEAN</v>
          </cell>
          <cell r="D8817">
            <v>43149</v>
          </cell>
        </row>
        <row r="8818">
          <cell r="A8818" t="str">
            <v>ASEAN</v>
          </cell>
          <cell r="D8818">
            <v>43168</v>
          </cell>
        </row>
        <row r="8819">
          <cell r="A8819" t="str">
            <v>ASEAN</v>
          </cell>
          <cell r="D8819">
            <v>43434</v>
          </cell>
        </row>
        <row r="8820">
          <cell r="A8820" t="str">
            <v>IN</v>
          </cell>
          <cell r="D8820">
            <v>43443</v>
          </cell>
        </row>
        <row r="8821">
          <cell r="A8821" t="str">
            <v>ANZ</v>
          </cell>
          <cell r="D8821">
            <v>43249</v>
          </cell>
        </row>
        <row r="8822">
          <cell r="A8822" t="str">
            <v>ASEAN</v>
          </cell>
          <cell r="D8822">
            <v>43245</v>
          </cell>
        </row>
        <row r="8823">
          <cell r="A8823" t="str">
            <v>ASEAN</v>
          </cell>
          <cell r="D8823">
            <v>43198</v>
          </cell>
        </row>
        <row r="8824">
          <cell r="A8824" t="str">
            <v>ASEAN</v>
          </cell>
          <cell r="D8824">
            <v>43397</v>
          </cell>
        </row>
        <row r="8825">
          <cell r="A8825" t="str">
            <v>KR</v>
          </cell>
          <cell r="D8825">
            <v>43192</v>
          </cell>
        </row>
        <row r="8826">
          <cell r="A8826" t="str">
            <v>ANZ</v>
          </cell>
          <cell r="D8826">
            <v>43404</v>
          </cell>
        </row>
        <row r="8827">
          <cell r="A8827" t="str">
            <v>ASEAN</v>
          </cell>
          <cell r="D8827">
            <v>43134</v>
          </cell>
        </row>
        <row r="8828">
          <cell r="A8828" t="str">
            <v>ANZ</v>
          </cell>
          <cell r="D8828">
            <v>43194</v>
          </cell>
        </row>
        <row r="8829">
          <cell r="A8829" t="str">
            <v>ASEAN</v>
          </cell>
          <cell r="D8829">
            <v>43343</v>
          </cell>
        </row>
        <row r="8830">
          <cell r="A8830" t="str">
            <v>KR</v>
          </cell>
          <cell r="D8830">
            <v>43359</v>
          </cell>
        </row>
        <row r="8831">
          <cell r="A8831" t="str">
            <v>ASEAN</v>
          </cell>
          <cell r="D8831">
            <v>43402</v>
          </cell>
        </row>
        <row r="8832">
          <cell r="A8832" t="str">
            <v>ANZ</v>
          </cell>
          <cell r="D8832">
            <v>43387</v>
          </cell>
        </row>
        <row r="8833">
          <cell r="A8833" t="str">
            <v>ANZ</v>
          </cell>
          <cell r="D8833">
            <v>43454</v>
          </cell>
        </row>
        <row r="8834">
          <cell r="A8834" t="str">
            <v>ASEAN</v>
          </cell>
          <cell r="D8834">
            <v>43152</v>
          </cell>
        </row>
        <row r="8835">
          <cell r="A8835" t="str">
            <v>ANZ</v>
          </cell>
          <cell r="D8835">
            <v>43406</v>
          </cell>
        </row>
        <row r="8836">
          <cell r="A8836" t="str">
            <v>ANZ</v>
          </cell>
          <cell r="D8836">
            <v>43223</v>
          </cell>
        </row>
        <row r="8837">
          <cell r="A8837" t="str">
            <v>GC</v>
          </cell>
          <cell r="D8837">
            <v>43441</v>
          </cell>
        </row>
        <row r="8838">
          <cell r="A8838" t="str">
            <v>KR</v>
          </cell>
          <cell r="D8838">
            <v>43157</v>
          </cell>
        </row>
        <row r="8839">
          <cell r="A8839" t="str">
            <v>KR</v>
          </cell>
          <cell r="D8839">
            <v>43122</v>
          </cell>
        </row>
        <row r="8840">
          <cell r="A8840" t="str">
            <v>ASEAN</v>
          </cell>
          <cell r="D8840">
            <v>43433</v>
          </cell>
        </row>
        <row r="8841">
          <cell r="A8841" t="str">
            <v>KR</v>
          </cell>
          <cell r="D8841">
            <v>43213</v>
          </cell>
        </row>
        <row r="8842">
          <cell r="A8842" t="str">
            <v>KR</v>
          </cell>
          <cell r="D8842">
            <v>43111</v>
          </cell>
        </row>
        <row r="8843">
          <cell r="A8843" t="str">
            <v>IN</v>
          </cell>
          <cell r="D8843">
            <v>43371</v>
          </cell>
        </row>
        <row r="8844">
          <cell r="A8844" t="str">
            <v>ANZ</v>
          </cell>
          <cell r="D8844">
            <v>43200</v>
          </cell>
        </row>
        <row r="8845">
          <cell r="A8845" t="str">
            <v>ANZ</v>
          </cell>
          <cell r="D8845">
            <v>43171</v>
          </cell>
        </row>
        <row r="8846">
          <cell r="A8846" t="str">
            <v>GC</v>
          </cell>
          <cell r="D8846">
            <v>43236</v>
          </cell>
        </row>
        <row r="8847">
          <cell r="A8847" t="str">
            <v>ASEAN</v>
          </cell>
          <cell r="D8847">
            <v>43343</v>
          </cell>
        </row>
        <row r="8848">
          <cell r="A8848" t="str">
            <v>KR</v>
          </cell>
          <cell r="D8848">
            <v>43465</v>
          </cell>
        </row>
        <row r="8849">
          <cell r="A8849" t="str">
            <v>ASEAN</v>
          </cell>
          <cell r="D8849">
            <v>43461</v>
          </cell>
        </row>
        <row r="8850">
          <cell r="A8850" t="str">
            <v>GC</v>
          </cell>
          <cell r="D8850">
            <v>43402</v>
          </cell>
        </row>
        <row r="8851">
          <cell r="A8851" t="str">
            <v>GC</v>
          </cell>
          <cell r="D8851">
            <v>43451</v>
          </cell>
        </row>
        <row r="8852">
          <cell r="A8852" t="str">
            <v>GC</v>
          </cell>
          <cell r="D8852">
            <v>43258</v>
          </cell>
        </row>
        <row r="8853">
          <cell r="A8853" t="str">
            <v>ANZ</v>
          </cell>
          <cell r="D8853">
            <v>43348</v>
          </cell>
        </row>
        <row r="8854">
          <cell r="A8854" t="str">
            <v>GC</v>
          </cell>
          <cell r="D8854">
            <v>43434</v>
          </cell>
        </row>
        <row r="8855">
          <cell r="A8855" t="str">
            <v>GC</v>
          </cell>
          <cell r="D8855">
            <v>43162</v>
          </cell>
        </row>
        <row r="8856">
          <cell r="A8856" t="str">
            <v>ANZ</v>
          </cell>
          <cell r="D8856">
            <v>43231</v>
          </cell>
        </row>
        <row r="8857">
          <cell r="A8857" t="str">
            <v>ASEAN</v>
          </cell>
          <cell r="D8857">
            <v>43175</v>
          </cell>
        </row>
        <row r="8858">
          <cell r="A8858" t="str">
            <v>ANZ</v>
          </cell>
          <cell r="D8858">
            <v>43218</v>
          </cell>
        </row>
        <row r="8859">
          <cell r="A8859" t="str">
            <v>ANZ</v>
          </cell>
          <cell r="D8859">
            <v>43263</v>
          </cell>
        </row>
        <row r="8860">
          <cell r="A8860" t="str">
            <v>ANZ</v>
          </cell>
          <cell r="D8860">
            <v>43283</v>
          </cell>
        </row>
        <row r="8861">
          <cell r="A8861" t="str">
            <v>KR</v>
          </cell>
          <cell r="D8861">
            <v>43163</v>
          </cell>
        </row>
        <row r="8862">
          <cell r="A8862" t="str">
            <v>ANZ</v>
          </cell>
          <cell r="D8862">
            <v>43382</v>
          </cell>
        </row>
        <row r="8863">
          <cell r="A8863" t="str">
            <v>ASEAN</v>
          </cell>
          <cell r="D8863">
            <v>43240</v>
          </cell>
        </row>
        <row r="8864">
          <cell r="A8864" t="str">
            <v>ASEAN</v>
          </cell>
          <cell r="D8864">
            <v>43255</v>
          </cell>
        </row>
        <row r="8865">
          <cell r="A8865" t="str">
            <v>KR</v>
          </cell>
          <cell r="D8865">
            <v>43405</v>
          </cell>
        </row>
        <row r="8866">
          <cell r="A8866" t="str">
            <v>KR</v>
          </cell>
          <cell r="D8866">
            <v>43434</v>
          </cell>
        </row>
        <row r="8867">
          <cell r="A8867" t="str">
            <v>ANZ</v>
          </cell>
          <cell r="D8867">
            <v>43304</v>
          </cell>
        </row>
        <row r="8868">
          <cell r="A8868" t="str">
            <v>GC</v>
          </cell>
          <cell r="D8868">
            <v>43104</v>
          </cell>
        </row>
        <row r="8869">
          <cell r="A8869" t="str">
            <v>GC</v>
          </cell>
          <cell r="D8869">
            <v>43437</v>
          </cell>
        </row>
        <row r="8870">
          <cell r="A8870" t="str">
            <v>GC</v>
          </cell>
          <cell r="D8870">
            <v>43105</v>
          </cell>
        </row>
        <row r="8871">
          <cell r="A8871" t="str">
            <v>ASEAN</v>
          </cell>
          <cell r="D8871">
            <v>43437</v>
          </cell>
        </row>
        <row r="8872">
          <cell r="A8872" t="str">
            <v>ANZ</v>
          </cell>
          <cell r="D8872">
            <v>43381</v>
          </cell>
        </row>
        <row r="8873">
          <cell r="A8873" t="str">
            <v>ASEAN</v>
          </cell>
          <cell r="D8873">
            <v>43219</v>
          </cell>
        </row>
        <row r="8874">
          <cell r="A8874" t="str">
            <v>ANZ</v>
          </cell>
          <cell r="D8874">
            <v>43135</v>
          </cell>
        </row>
        <row r="8875">
          <cell r="A8875" t="str">
            <v>GC</v>
          </cell>
          <cell r="D8875">
            <v>43101</v>
          </cell>
        </row>
        <row r="8876">
          <cell r="A8876" t="str">
            <v>KR</v>
          </cell>
          <cell r="D8876">
            <v>43109</v>
          </cell>
        </row>
        <row r="8877">
          <cell r="A8877" t="str">
            <v>KR</v>
          </cell>
          <cell r="D8877">
            <v>43321</v>
          </cell>
        </row>
        <row r="8878">
          <cell r="A8878" t="str">
            <v>KR</v>
          </cell>
          <cell r="D8878">
            <v>43335</v>
          </cell>
        </row>
        <row r="8879">
          <cell r="A8879" t="str">
            <v>KR</v>
          </cell>
          <cell r="D8879">
            <v>43462</v>
          </cell>
        </row>
        <row r="8880">
          <cell r="A8880" t="str">
            <v>KR</v>
          </cell>
          <cell r="D8880">
            <v>43138</v>
          </cell>
        </row>
        <row r="8881">
          <cell r="A8881" t="str">
            <v>KR</v>
          </cell>
          <cell r="D8881">
            <v>43163</v>
          </cell>
        </row>
        <row r="8882">
          <cell r="A8882" t="str">
            <v>KR</v>
          </cell>
          <cell r="D8882">
            <v>43182</v>
          </cell>
        </row>
        <row r="8883">
          <cell r="A8883" t="str">
            <v>KR</v>
          </cell>
          <cell r="D8883">
            <v>43388</v>
          </cell>
        </row>
        <row r="8884">
          <cell r="A8884" t="str">
            <v>ANZ</v>
          </cell>
          <cell r="D8884">
            <v>43437</v>
          </cell>
        </row>
        <row r="8885">
          <cell r="A8885" t="str">
            <v>ANZ</v>
          </cell>
          <cell r="D8885">
            <v>43340</v>
          </cell>
        </row>
        <row r="8886">
          <cell r="A8886" t="str">
            <v>KR</v>
          </cell>
          <cell r="D8886">
            <v>43223</v>
          </cell>
        </row>
        <row r="8887">
          <cell r="A8887" t="str">
            <v>KR</v>
          </cell>
          <cell r="D8887">
            <v>43151</v>
          </cell>
        </row>
        <row r="8888">
          <cell r="A8888" t="str">
            <v>KR</v>
          </cell>
          <cell r="D8888">
            <v>43334</v>
          </cell>
        </row>
        <row r="8889">
          <cell r="A8889" t="str">
            <v>GC</v>
          </cell>
          <cell r="D8889">
            <v>43440</v>
          </cell>
        </row>
        <row r="8890">
          <cell r="A8890" t="str">
            <v>KR</v>
          </cell>
          <cell r="D8890">
            <v>43197</v>
          </cell>
        </row>
        <row r="8891">
          <cell r="A8891" t="str">
            <v>GC</v>
          </cell>
          <cell r="D8891">
            <v>43442</v>
          </cell>
        </row>
        <row r="8892">
          <cell r="A8892" t="str">
            <v>GC</v>
          </cell>
          <cell r="D8892">
            <v>43374</v>
          </cell>
        </row>
        <row r="8893">
          <cell r="A8893" t="str">
            <v>ASEAN</v>
          </cell>
          <cell r="D8893">
            <v>43207</v>
          </cell>
        </row>
        <row r="8894">
          <cell r="A8894" t="str">
            <v>GC</v>
          </cell>
          <cell r="D8894">
            <v>43371</v>
          </cell>
        </row>
        <row r="8895">
          <cell r="A8895" t="str">
            <v>KR</v>
          </cell>
          <cell r="D8895">
            <v>43229</v>
          </cell>
        </row>
        <row r="8896">
          <cell r="A8896" t="str">
            <v>KR</v>
          </cell>
          <cell r="D8896">
            <v>43172</v>
          </cell>
        </row>
        <row r="8897">
          <cell r="A8897" t="str">
            <v>KR</v>
          </cell>
          <cell r="D8897">
            <v>43415</v>
          </cell>
        </row>
        <row r="8898">
          <cell r="A8898" t="str">
            <v>ASEAN</v>
          </cell>
          <cell r="D8898">
            <v>43352</v>
          </cell>
        </row>
        <row r="8899">
          <cell r="A8899" t="str">
            <v>GC</v>
          </cell>
          <cell r="D8899">
            <v>43437</v>
          </cell>
        </row>
        <row r="8900">
          <cell r="A8900" t="str">
            <v>GC</v>
          </cell>
          <cell r="D8900">
            <v>43260</v>
          </cell>
        </row>
        <row r="8901">
          <cell r="A8901" t="str">
            <v>KR</v>
          </cell>
          <cell r="D8901">
            <v>43436</v>
          </cell>
        </row>
        <row r="8902">
          <cell r="A8902" t="str">
            <v>KR</v>
          </cell>
          <cell r="D8902">
            <v>43389</v>
          </cell>
        </row>
        <row r="8903">
          <cell r="A8903" t="str">
            <v>ANZ</v>
          </cell>
          <cell r="D8903">
            <v>43141</v>
          </cell>
        </row>
        <row r="8904">
          <cell r="A8904" t="str">
            <v>GC</v>
          </cell>
          <cell r="D8904">
            <v>43198</v>
          </cell>
        </row>
        <row r="8905">
          <cell r="A8905" t="str">
            <v>ASEAN</v>
          </cell>
          <cell r="D8905">
            <v>43230</v>
          </cell>
        </row>
        <row r="8906">
          <cell r="A8906" t="str">
            <v>KR</v>
          </cell>
          <cell r="D8906">
            <v>43418</v>
          </cell>
        </row>
        <row r="8907">
          <cell r="A8907" t="str">
            <v>ASEAN</v>
          </cell>
          <cell r="D8907">
            <v>43199</v>
          </cell>
        </row>
        <row r="8908">
          <cell r="A8908" t="str">
            <v>GC</v>
          </cell>
          <cell r="D8908">
            <v>43109</v>
          </cell>
        </row>
        <row r="8909">
          <cell r="A8909" t="str">
            <v>GC</v>
          </cell>
          <cell r="D8909">
            <v>43236</v>
          </cell>
        </row>
        <row r="8910">
          <cell r="A8910" t="str">
            <v>IN</v>
          </cell>
          <cell r="D8910">
            <v>43340</v>
          </cell>
        </row>
        <row r="8911">
          <cell r="A8911" t="str">
            <v>ANZ</v>
          </cell>
          <cell r="D8911">
            <v>43309</v>
          </cell>
        </row>
        <row r="8912">
          <cell r="A8912" t="str">
            <v>ANZ</v>
          </cell>
          <cell r="D8912">
            <v>43346</v>
          </cell>
        </row>
        <row r="8913">
          <cell r="A8913" t="str">
            <v>IN</v>
          </cell>
          <cell r="D8913">
            <v>43257</v>
          </cell>
        </row>
        <row r="8914">
          <cell r="A8914" t="str">
            <v>IN</v>
          </cell>
          <cell r="D8914">
            <v>43197</v>
          </cell>
        </row>
        <row r="8915">
          <cell r="A8915" t="str">
            <v>IN</v>
          </cell>
          <cell r="D8915">
            <v>43264</v>
          </cell>
        </row>
        <row r="8916">
          <cell r="A8916" t="str">
            <v>IN</v>
          </cell>
          <cell r="D8916">
            <v>43176</v>
          </cell>
        </row>
        <row r="8917">
          <cell r="A8917" t="str">
            <v>IN</v>
          </cell>
          <cell r="D8917">
            <v>43429</v>
          </cell>
        </row>
        <row r="8918">
          <cell r="A8918" t="str">
            <v>IN</v>
          </cell>
          <cell r="D8918">
            <v>43367</v>
          </cell>
        </row>
        <row r="8919">
          <cell r="A8919" t="str">
            <v>IN</v>
          </cell>
          <cell r="D8919">
            <v>43116</v>
          </cell>
        </row>
        <row r="8920">
          <cell r="A8920" t="str">
            <v>IN</v>
          </cell>
          <cell r="D8920">
            <v>43215</v>
          </cell>
        </row>
        <row r="8921">
          <cell r="A8921" t="str">
            <v>IN</v>
          </cell>
          <cell r="D8921">
            <v>43330</v>
          </cell>
        </row>
        <row r="8922">
          <cell r="A8922" t="str">
            <v>IN</v>
          </cell>
          <cell r="D8922">
            <v>43258</v>
          </cell>
        </row>
        <row r="8923">
          <cell r="A8923" t="str">
            <v>IN</v>
          </cell>
          <cell r="D8923">
            <v>43259</v>
          </cell>
        </row>
        <row r="8924">
          <cell r="A8924" t="str">
            <v>IN</v>
          </cell>
          <cell r="D8924">
            <v>43430</v>
          </cell>
        </row>
        <row r="8925">
          <cell r="A8925" t="str">
            <v>IN</v>
          </cell>
          <cell r="D8925">
            <v>43249</v>
          </cell>
        </row>
        <row r="8926">
          <cell r="A8926" t="str">
            <v>IN</v>
          </cell>
          <cell r="D8926">
            <v>43356</v>
          </cell>
        </row>
        <row r="8927">
          <cell r="A8927" t="str">
            <v>IN</v>
          </cell>
          <cell r="D8927">
            <v>43179</v>
          </cell>
        </row>
        <row r="8928">
          <cell r="A8928" t="str">
            <v>GC</v>
          </cell>
          <cell r="D8928">
            <v>43372</v>
          </cell>
        </row>
        <row r="8929">
          <cell r="A8929" t="str">
            <v>ANZ</v>
          </cell>
          <cell r="D8929">
            <v>43420</v>
          </cell>
        </row>
        <row r="8930">
          <cell r="A8930" t="str">
            <v>IN</v>
          </cell>
          <cell r="D8930">
            <v>43348</v>
          </cell>
        </row>
        <row r="8931">
          <cell r="A8931" t="str">
            <v>IN</v>
          </cell>
          <cell r="D8931">
            <v>43298</v>
          </cell>
        </row>
        <row r="8932">
          <cell r="A8932" t="str">
            <v>ANZ</v>
          </cell>
          <cell r="D8932">
            <v>43116</v>
          </cell>
        </row>
        <row r="8933">
          <cell r="A8933" t="str">
            <v>IN</v>
          </cell>
          <cell r="D8933">
            <v>43160</v>
          </cell>
        </row>
        <row r="8934">
          <cell r="A8934" t="str">
            <v>ANZ</v>
          </cell>
          <cell r="D8934">
            <v>43172</v>
          </cell>
        </row>
        <row r="8935">
          <cell r="A8935" t="str">
            <v>ANZ</v>
          </cell>
          <cell r="D8935">
            <v>43112</v>
          </cell>
        </row>
        <row r="8936">
          <cell r="A8936" t="str">
            <v>IN</v>
          </cell>
          <cell r="D8936">
            <v>43342</v>
          </cell>
        </row>
        <row r="8937">
          <cell r="A8937" t="str">
            <v>ANZ</v>
          </cell>
          <cell r="D8937">
            <v>43242</v>
          </cell>
        </row>
        <row r="8938">
          <cell r="A8938" t="str">
            <v>IN</v>
          </cell>
          <cell r="D8938">
            <v>43460</v>
          </cell>
        </row>
        <row r="8939">
          <cell r="A8939" t="str">
            <v>GC</v>
          </cell>
          <cell r="D8939">
            <v>43263</v>
          </cell>
        </row>
        <row r="8940">
          <cell r="A8940" t="str">
            <v>IN</v>
          </cell>
          <cell r="D8940">
            <v>43398</v>
          </cell>
        </row>
        <row r="8941">
          <cell r="A8941" t="str">
            <v>ASEAN</v>
          </cell>
          <cell r="D8941">
            <v>43140</v>
          </cell>
        </row>
        <row r="8942">
          <cell r="A8942" t="str">
            <v>ASEAN</v>
          </cell>
          <cell r="D8942">
            <v>43299</v>
          </cell>
        </row>
        <row r="8943">
          <cell r="A8943" t="str">
            <v>IN</v>
          </cell>
          <cell r="D8943">
            <v>43279</v>
          </cell>
        </row>
        <row r="8944">
          <cell r="A8944" t="str">
            <v>IN</v>
          </cell>
          <cell r="D8944">
            <v>43407</v>
          </cell>
        </row>
        <row r="8945">
          <cell r="A8945" t="str">
            <v>IN</v>
          </cell>
          <cell r="D8945">
            <v>43164</v>
          </cell>
        </row>
        <row r="8946">
          <cell r="A8946" t="str">
            <v>IN</v>
          </cell>
          <cell r="D8946">
            <v>43264</v>
          </cell>
        </row>
        <row r="8947">
          <cell r="A8947" t="str">
            <v>IN</v>
          </cell>
          <cell r="D8947">
            <v>43111</v>
          </cell>
        </row>
        <row r="8948">
          <cell r="A8948" t="str">
            <v>IN</v>
          </cell>
          <cell r="D8948">
            <v>43282</v>
          </cell>
        </row>
        <row r="8949">
          <cell r="A8949" t="str">
            <v>IN</v>
          </cell>
          <cell r="D8949">
            <v>43388</v>
          </cell>
        </row>
        <row r="8950">
          <cell r="A8950" t="str">
            <v>IN</v>
          </cell>
          <cell r="D8950">
            <v>43403</v>
          </cell>
        </row>
        <row r="8951">
          <cell r="A8951" t="str">
            <v>IN</v>
          </cell>
          <cell r="D8951">
            <v>43216</v>
          </cell>
        </row>
        <row r="8952">
          <cell r="A8952" t="str">
            <v>IN</v>
          </cell>
          <cell r="D8952">
            <v>43128</v>
          </cell>
        </row>
        <row r="8953">
          <cell r="A8953" t="str">
            <v>IN</v>
          </cell>
          <cell r="D8953">
            <v>43266</v>
          </cell>
        </row>
        <row r="8954">
          <cell r="A8954" t="str">
            <v>IN</v>
          </cell>
          <cell r="D8954">
            <v>43170</v>
          </cell>
        </row>
        <row r="8955">
          <cell r="A8955" t="str">
            <v>IN</v>
          </cell>
          <cell r="D8955">
            <v>43464</v>
          </cell>
        </row>
        <row r="8956">
          <cell r="A8956" t="str">
            <v>IN</v>
          </cell>
          <cell r="D8956">
            <v>43249</v>
          </cell>
        </row>
        <row r="8957">
          <cell r="A8957" t="str">
            <v>IN</v>
          </cell>
          <cell r="D8957">
            <v>43256</v>
          </cell>
        </row>
        <row r="8958">
          <cell r="A8958" t="str">
            <v>IN</v>
          </cell>
          <cell r="D8958">
            <v>43185</v>
          </cell>
        </row>
        <row r="8959">
          <cell r="A8959" t="str">
            <v>IN</v>
          </cell>
          <cell r="D8959">
            <v>43226</v>
          </cell>
        </row>
        <row r="8960">
          <cell r="A8960" t="str">
            <v>IN</v>
          </cell>
          <cell r="D8960">
            <v>43102</v>
          </cell>
        </row>
        <row r="8961">
          <cell r="A8961" t="str">
            <v>IN</v>
          </cell>
          <cell r="D8961">
            <v>43409</v>
          </cell>
        </row>
        <row r="8962">
          <cell r="A8962" t="str">
            <v>IN</v>
          </cell>
          <cell r="D8962">
            <v>43236</v>
          </cell>
        </row>
        <row r="8963">
          <cell r="A8963" t="str">
            <v>IN</v>
          </cell>
          <cell r="D8963">
            <v>43252</v>
          </cell>
        </row>
        <row r="8964">
          <cell r="A8964" t="str">
            <v>IN</v>
          </cell>
          <cell r="D8964">
            <v>43355</v>
          </cell>
        </row>
        <row r="8965">
          <cell r="A8965" t="str">
            <v>IN</v>
          </cell>
          <cell r="D8965">
            <v>43102</v>
          </cell>
        </row>
        <row r="8966">
          <cell r="A8966" t="str">
            <v>IN</v>
          </cell>
          <cell r="D8966">
            <v>43264</v>
          </cell>
        </row>
        <row r="8967">
          <cell r="A8967" t="str">
            <v>IN</v>
          </cell>
          <cell r="D8967">
            <v>43245</v>
          </cell>
        </row>
        <row r="8968">
          <cell r="A8968" t="str">
            <v>IN</v>
          </cell>
          <cell r="D8968">
            <v>43323</v>
          </cell>
        </row>
        <row r="8969">
          <cell r="A8969" t="str">
            <v>IN</v>
          </cell>
          <cell r="D8969">
            <v>43365</v>
          </cell>
        </row>
        <row r="8970">
          <cell r="A8970" t="str">
            <v>ASEAN</v>
          </cell>
          <cell r="D8970">
            <v>43385</v>
          </cell>
        </row>
        <row r="8971">
          <cell r="A8971" t="str">
            <v>ANZ</v>
          </cell>
          <cell r="D8971">
            <v>43263</v>
          </cell>
        </row>
        <row r="8972">
          <cell r="A8972" t="str">
            <v>IN</v>
          </cell>
          <cell r="D8972">
            <v>43344</v>
          </cell>
        </row>
        <row r="8973">
          <cell r="A8973" t="str">
            <v>IN</v>
          </cell>
          <cell r="D8973">
            <v>43426</v>
          </cell>
        </row>
        <row r="8974">
          <cell r="A8974" t="str">
            <v>IN</v>
          </cell>
          <cell r="D8974">
            <v>43334</v>
          </cell>
        </row>
        <row r="8975">
          <cell r="A8975" t="str">
            <v>ASEAN</v>
          </cell>
          <cell r="D8975">
            <v>43320</v>
          </cell>
        </row>
        <row r="8976">
          <cell r="A8976" t="str">
            <v>IN</v>
          </cell>
          <cell r="D8976">
            <v>43128</v>
          </cell>
        </row>
        <row r="8977">
          <cell r="A8977" t="str">
            <v>IN</v>
          </cell>
          <cell r="D8977">
            <v>43352</v>
          </cell>
        </row>
        <row r="8978">
          <cell r="A8978" t="str">
            <v>IN</v>
          </cell>
          <cell r="D8978">
            <v>43395</v>
          </cell>
        </row>
        <row r="8979">
          <cell r="A8979" t="str">
            <v>ASEAN</v>
          </cell>
          <cell r="D8979">
            <v>43105</v>
          </cell>
        </row>
        <row r="8980">
          <cell r="A8980" t="str">
            <v>ASEAN</v>
          </cell>
          <cell r="D8980">
            <v>43202</v>
          </cell>
        </row>
        <row r="8981">
          <cell r="A8981" t="str">
            <v>IN</v>
          </cell>
          <cell r="D8981">
            <v>43367</v>
          </cell>
        </row>
        <row r="8982">
          <cell r="A8982" t="str">
            <v>IN</v>
          </cell>
          <cell r="D8982">
            <v>43217</v>
          </cell>
        </row>
        <row r="8983">
          <cell r="A8983" t="str">
            <v>IN</v>
          </cell>
          <cell r="D8983">
            <v>43172</v>
          </cell>
        </row>
        <row r="8984">
          <cell r="A8984" t="str">
            <v>IN</v>
          </cell>
          <cell r="D8984">
            <v>43407</v>
          </cell>
        </row>
        <row r="8985">
          <cell r="A8985" t="str">
            <v>IN</v>
          </cell>
          <cell r="D8985">
            <v>43278</v>
          </cell>
        </row>
        <row r="8986">
          <cell r="A8986" t="str">
            <v>IN</v>
          </cell>
          <cell r="D8986">
            <v>43428</v>
          </cell>
        </row>
        <row r="8987">
          <cell r="A8987" t="str">
            <v>IN</v>
          </cell>
          <cell r="D8987">
            <v>43258</v>
          </cell>
        </row>
        <row r="8988">
          <cell r="A8988" t="str">
            <v>IN</v>
          </cell>
          <cell r="D8988">
            <v>43230</v>
          </cell>
        </row>
        <row r="8989">
          <cell r="A8989" t="str">
            <v>IN</v>
          </cell>
          <cell r="D8989">
            <v>43267</v>
          </cell>
        </row>
        <row r="8990">
          <cell r="A8990" t="str">
            <v>IN</v>
          </cell>
          <cell r="D8990">
            <v>43149</v>
          </cell>
        </row>
        <row r="8991">
          <cell r="A8991" t="str">
            <v>IN</v>
          </cell>
          <cell r="D8991">
            <v>43285</v>
          </cell>
        </row>
        <row r="8992">
          <cell r="A8992" t="str">
            <v>IN</v>
          </cell>
          <cell r="D8992">
            <v>43267</v>
          </cell>
        </row>
        <row r="8993">
          <cell r="A8993" t="str">
            <v>IN</v>
          </cell>
          <cell r="D8993">
            <v>43430</v>
          </cell>
        </row>
        <row r="8994">
          <cell r="A8994" t="str">
            <v>IN</v>
          </cell>
          <cell r="D8994">
            <v>43377</v>
          </cell>
        </row>
        <row r="8995">
          <cell r="A8995" t="str">
            <v>IN</v>
          </cell>
          <cell r="D8995">
            <v>43113</v>
          </cell>
        </row>
        <row r="8996">
          <cell r="A8996" t="str">
            <v>GC</v>
          </cell>
          <cell r="D8996">
            <v>43117</v>
          </cell>
        </row>
        <row r="8997">
          <cell r="A8997" t="str">
            <v>IN</v>
          </cell>
          <cell r="D8997">
            <v>43371</v>
          </cell>
        </row>
        <row r="8998">
          <cell r="A8998" t="str">
            <v>IN</v>
          </cell>
          <cell r="D8998">
            <v>43161</v>
          </cell>
        </row>
        <row r="8999">
          <cell r="A8999" t="str">
            <v>ASEAN</v>
          </cell>
          <cell r="D8999">
            <v>43379</v>
          </cell>
        </row>
        <row r="9000">
          <cell r="A9000" t="str">
            <v>ANZ</v>
          </cell>
          <cell r="D9000">
            <v>43412</v>
          </cell>
        </row>
        <row r="9001">
          <cell r="A9001" t="str">
            <v>GC</v>
          </cell>
          <cell r="D9001">
            <v>43211</v>
          </cell>
        </row>
        <row r="9002">
          <cell r="A9002" t="str">
            <v>IN</v>
          </cell>
          <cell r="D9002">
            <v>43128</v>
          </cell>
        </row>
        <row r="9003">
          <cell r="A9003" t="str">
            <v>IN</v>
          </cell>
          <cell r="D9003">
            <v>43159</v>
          </cell>
        </row>
        <row r="9004">
          <cell r="A9004" t="str">
            <v>GC</v>
          </cell>
          <cell r="D9004">
            <v>43301</v>
          </cell>
        </row>
        <row r="9005">
          <cell r="A9005" t="str">
            <v>ASEAN</v>
          </cell>
          <cell r="D9005">
            <v>43356</v>
          </cell>
        </row>
        <row r="9006">
          <cell r="A9006" t="str">
            <v>GC</v>
          </cell>
          <cell r="D9006">
            <v>43129</v>
          </cell>
        </row>
        <row r="9007">
          <cell r="A9007" t="str">
            <v>ANZ</v>
          </cell>
          <cell r="D9007">
            <v>43255</v>
          </cell>
        </row>
        <row r="9008">
          <cell r="A9008" t="str">
            <v>ANZ</v>
          </cell>
          <cell r="D9008">
            <v>43273</v>
          </cell>
        </row>
        <row r="9009">
          <cell r="A9009" t="str">
            <v>ASEAN</v>
          </cell>
          <cell r="D9009">
            <v>43241</v>
          </cell>
        </row>
        <row r="9010">
          <cell r="A9010" t="str">
            <v>GC</v>
          </cell>
          <cell r="D9010">
            <v>43226</v>
          </cell>
        </row>
        <row r="9011">
          <cell r="A9011" t="str">
            <v>IN</v>
          </cell>
          <cell r="D9011">
            <v>43177</v>
          </cell>
        </row>
        <row r="9012">
          <cell r="A9012" t="str">
            <v>GC</v>
          </cell>
          <cell r="D9012">
            <v>43371</v>
          </cell>
        </row>
        <row r="9013">
          <cell r="A9013" t="str">
            <v>ASEAN</v>
          </cell>
          <cell r="D9013">
            <v>43192</v>
          </cell>
        </row>
        <row r="9014">
          <cell r="A9014" t="str">
            <v>ASEAN</v>
          </cell>
          <cell r="D9014">
            <v>43217</v>
          </cell>
        </row>
        <row r="9015">
          <cell r="A9015" t="str">
            <v>ASEAN</v>
          </cell>
          <cell r="D9015">
            <v>43252</v>
          </cell>
        </row>
        <row r="9016">
          <cell r="A9016" t="str">
            <v>ANZ</v>
          </cell>
          <cell r="D9016">
            <v>43393</v>
          </cell>
        </row>
        <row r="9017">
          <cell r="A9017" t="str">
            <v>GC</v>
          </cell>
          <cell r="D9017">
            <v>43329</v>
          </cell>
        </row>
        <row r="9018">
          <cell r="A9018" t="str">
            <v>ASEAN</v>
          </cell>
          <cell r="D9018">
            <v>43436</v>
          </cell>
        </row>
        <row r="9019">
          <cell r="A9019" t="str">
            <v>GC</v>
          </cell>
          <cell r="D9019">
            <v>43231</v>
          </cell>
        </row>
        <row r="9020">
          <cell r="A9020" t="str">
            <v>ASEAN</v>
          </cell>
          <cell r="D9020">
            <v>43148</v>
          </cell>
        </row>
        <row r="9021">
          <cell r="A9021" t="str">
            <v>GC</v>
          </cell>
          <cell r="D9021">
            <v>43398</v>
          </cell>
        </row>
        <row r="9022">
          <cell r="A9022" t="str">
            <v>ANZ</v>
          </cell>
          <cell r="D9022">
            <v>43175</v>
          </cell>
        </row>
        <row r="9023">
          <cell r="A9023" t="str">
            <v>ASEAN</v>
          </cell>
          <cell r="D9023">
            <v>43132</v>
          </cell>
        </row>
        <row r="9024">
          <cell r="A9024" t="str">
            <v>ASEAN</v>
          </cell>
          <cell r="D9024">
            <v>43285</v>
          </cell>
        </row>
        <row r="9025">
          <cell r="A9025" t="str">
            <v>ASEAN</v>
          </cell>
          <cell r="D9025">
            <v>43202</v>
          </cell>
        </row>
        <row r="9026">
          <cell r="A9026" t="str">
            <v>ASEAN</v>
          </cell>
          <cell r="D9026">
            <v>43322</v>
          </cell>
        </row>
        <row r="9027">
          <cell r="A9027" t="str">
            <v>ANZ</v>
          </cell>
          <cell r="D9027">
            <v>43170</v>
          </cell>
        </row>
        <row r="9028">
          <cell r="A9028" t="str">
            <v>ASEAN</v>
          </cell>
          <cell r="D9028">
            <v>43410</v>
          </cell>
        </row>
        <row r="9029">
          <cell r="A9029" t="str">
            <v>ANZ</v>
          </cell>
          <cell r="D9029">
            <v>43200</v>
          </cell>
        </row>
        <row r="9030">
          <cell r="A9030" t="str">
            <v>ASEAN</v>
          </cell>
          <cell r="D9030">
            <v>43356</v>
          </cell>
        </row>
        <row r="9031">
          <cell r="A9031" t="str">
            <v>IN</v>
          </cell>
          <cell r="D9031">
            <v>43249</v>
          </cell>
        </row>
        <row r="9032">
          <cell r="A9032" t="str">
            <v>ANZ</v>
          </cell>
          <cell r="D9032">
            <v>43291</v>
          </cell>
        </row>
        <row r="9033">
          <cell r="A9033" t="str">
            <v>ANZ</v>
          </cell>
          <cell r="D9033">
            <v>43245</v>
          </cell>
        </row>
        <row r="9034">
          <cell r="A9034" t="str">
            <v>ANZ</v>
          </cell>
          <cell r="D9034">
            <v>43445</v>
          </cell>
        </row>
        <row r="9035">
          <cell r="A9035" t="str">
            <v>ASEAN</v>
          </cell>
          <cell r="D9035">
            <v>43278</v>
          </cell>
        </row>
        <row r="9036">
          <cell r="A9036" t="str">
            <v>GC</v>
          </cell>
          <cell r="D9036">
            <v>43226</v>
          </cell>
        </row>
        <row r="9037">
          <cell r="A9037" t="str">
            <v>IN</v>
          </cell>
          <cell r="D9037">
            <v>43310</v>
          </cell>
        </row>
        <row r="9038">
          <cell r="A9038" t="str">
            <v>ANZ</v>
          </cell>
          <cell r="D9038">
            <v>43210</v>
          </cell>
        </row>
        <row r="9039">
          <cell r="A9039" t="str">
            <v>ANZ</v>
          </cell>
          <cell r="D9039">
            <v>43179</v>
          </cell>
        </row>
        <row r="9040">
          <cell r="A9040" t="str">
            <v>IN</v>
          </cell>
          <cell r="D9040">
            <v>43441</v>
          </cell>
        </row>
        <row r="9041">
          <cell r="A9041" t="str">
            <v>ASEAN</v>
          </cell>
          <cell r="D9041">
            <v>43444</v>
          </cell>
        </row>
        <row r="9042">
          <cell r="A9042" t="str">
            <v>ANZ</v>
          </cell>
          <cell r="D9042">
            <v>43420</v>
          </cell>
        </row>
        <row r="9043">
          <cell r="A9043" t="str">
            <v>ASEAN</v>
          </cell>
          <cell r="D9043">
            <v>43267</v>
          </cell>
        </row>
        <row r="9044">
          <cell r="A9044" t="str">
            <v>IN</v>
          </cell>
          <cell r="D9044">
            <v>43433</v>
          </cell>
        </row>
        <row r="9045">
          <cell r="A9045" t="str">
            <v>GC</v>
          </cell>
          <cell r="D9045">
            <v>43117</v>
          </cell>
        </row>
        <row r="9046">
          <cell r="A9046" t="str">
            <v>IN</v>
          </cell>
          <cell r="D9046">
            <v>43202</v>
          </cell>
        </row>
        <row r="9047">
          <cell r="A9047" t="str">
            <v>ASEAN</v>
          </cell>
          <cell r="D9047">
            <v>43154</v>
          </cell>
        </row>
        <row r="9048">
          <cell r="A9048" t="str">
            <v>ASEAN</v>
          </cell>
          <cell r="D9048">
            <v>43406</v>
          </cell>
        </row>
        <row r="9049">
          <cell r="A9049" t="str">
            <v>ASEAN</v>
          </cell>
          <cell r="D9049">
            <v>43168</v>
          </cell>
        </row>
        <row r="9050">
          <cell r="A9050" t="str">
            <v>ASEAN</v>
          </cell>
          <cell r="D9050">
            <v>43440</v>
          </cell>
        </row>
        <row r="9051">
          <cell r="A9051" t="str">
            <v>ASEAN</v>
          </cell>
          <cell r="D9051">
            <v>43278</v>
          </cell>
        </row>
        <row r="9052">
          <cell r="A9052" t="str">
            <v>ANZ</v>
          </cell>
          <cell r="D9052">
            <v>43209</v>
          </cell>
        </row>
        <row r="9053">
          <cell r="A9053" t="str">
            <v>ANZ</v>
          </cell>
          <cell r="D9053">
            <v>43145</v>
          </cell>
        </row>
        <row r="9054">
          <cell r="A9054" t="str">
            <v>ANZ</v>
          </cell>
          <cell r="D9054">
            <v>43408</v>
          </cell>
        </row>
        <row r="9055">
          <cell r="A9055" t="str">
            <v>GC</v>
          </cell>
          <cell r="D9055">
            <v>43212</v>
          </cell>
        </row>
        <row r="9056">
          <cell r="A9056" t="str">
            <v>ANZ</v>
          </cell>
          <cell r="D9056">
            <v>43240</v>
          </cell>
        </row>
        <row r="9057">
          <cell r="A9057" t="str">
            <v>ANZ</v>
          </cell>
          <cell r="D9057">
            <v>43315</v>
          </cell>
        </row>
        <row r="9058">
          <cell r="A9058" t="str">
            <v>ASEAN</v>
          </cell>
          <cell r="D9058">
            <v>43432</v>
          </cell>
        </row>
        <row r="9059">
          <cell r="A9059" t="str">
            <v>IN</v>
          </cell>
          <cell r="D9059">
            <v>43261</v>
          </cell>
        </row>
        <row r="9060">
          <cell r="A9060" t="str">
            <v>IN</v>
          </cell>
          <cell r="D9060">
            <v>43406</v>
          </cell>
        </row>
        <row r="9061">
          <cell r="A9061" t="str">
            <v>IN</v>
          </cell>
          <cell r="D9061">
            <v>43249</v>
          </cell>
        </row>
        <row r="9062">
          <cell r="A9062" t="str">
            <v>IN</v>
          </cell>
          <cell r="D9062">
            <v>43103</v>
          </cell>
        </row>
        <row r="9063">
          <cell r="A9063" t="str">
            <v>IN</v>
          </cell>
          <cell r="D9063">
            <v>43369</v>
          </cell>
        </row>
        <row r="9064">
          <cell r="A9064" t="str">
            <v>IN</v>
          </cell>
          <cell r="D9064">
            <v>43218</v>
          </cell>
        </row>
        <row r="9065">
          <cell r="A9065" t="str">
            <v>IN</v>
          </cell>
          <cell r="D9065">
            <v>43197</v>
          </cell>
        </row>
        <row r="9066">
          <cell r="A9066" t="str">
            <v>IN</v>
          </cell>
          <cell r="D9066">
            <v>43198</v>
          </cell>
        </row>
        <row r="9067">
          <cell r="A9067" t="str">
            <v>IN</v>
          </cell>
          <cell r="D9067">
            <v>43376</v>
          </cell>
        </row>
        <row r="9068">
          <cell r="A9068" t="str">
            <v>IN</v>
          </cell>
          <cell r="D9068">
            <v>43409</v>
          </cell>
        </row>
        <row r="9069">
          <cell r="A9069" t="str">
            <v>IN</v>
          </cell>
          <cell r="D9069">
            <v>43353</v>
          </cell>
        </row>
        <row r="9070">
          <cell r="A9070" t="str">
            <v>IN</v>
          </cell>
          <cell r="D9070">
            <v>43330</v>
          </cell>
        </row>
        <row r="9071">
          <cell r="A9071" t="str">
            <v>IN</v>
          </cell>
          <cell r="D9071">
            <v>43215</v>
          </cell>
        </row>
        <row r="9072">
          <cell r="A9072" t="str">
            <v>IN</v>
          </cell>
          <cell r="D9072">
            <v>43158</v>
          </cell>
        </row>
        <row r="9073">
          <cell r="A9073" t="str">
            <v>ASEAN</v>
          </cell>
          <cell r="D9073">
            <v>43101</v>
          </cell>
        </row>
        <row r="9074">
          <cell r="A9074" t="str">
            <v>IN</v>
          </cell>
          <cell r="D9074">
            <v>43348</v>
          </cell>
        </row>
        <row r="9075">
          <cell r="A9075" t="str">
            <v>IN</v>
          </cell>
          <cell r="D9075">
            <v>43354</v>
          </cell>
        </row>
        <row r="9076">
          <cell r="A9076" t="str">
            <v>IN</v>
          </cell>
          <cell r="D9076">
            <v>43293</v>
          </cell>
        </row>
        <row r="9077">
          <cell r="A9077" t="str">
            <v>IN</v>
          </cell>
          <cell r="D9077">
            <v>43283</v>
          </cell>
        </row>
        <row r="9078">
          <cell r="A9078" t="str">
            <v>GC</v>
          </cell>
          <cell r="D9078">
            <v>43167</v>
          </cell>
        </row>
        <row r="9079">
          <cell r="A9079" t="str">
            <v>IN</v>
          </cell>
          <cell r="D9079">
            <v>43101</v>
          </cell>
        </row>
        <row r="9080">
          <cell r="A9080" t="str">
            <v>ASEAN</v>
          </cell>
          <cell r="D9080">
            <v>43159</v>
          </cell>
        </row>
        <row r="9081">
          <cell r="A9081" t="str">
            <v>ASEAN</v>
          </cell>
          <cell r="D9081">
            <v>43393</v>
          </cell>
        </row>
        <row r="9082">
          <cell r="A9082" t="str">
            <v>GC</v>
          </cell>
          <cell r="D9082">
            <v>43379</v>
          </cell>
        </row>
        <row r="9083">
          <cell r="A9083" t="str">
            <v>ASEAN</v>
          </cell>
          <cell r="D9083">
            <v>43146</v>
          </cell>
        </row>
        <row r="9084">
          <cell r="A9084" t="str">
            <v>IN</v>
          </cell>
          <cell r="D9084">
            <v>43433</v>
          </cell>
        </row>
        <row r="9085">
          <cell r="A9085" t="str">
            <v>IN</v>
          </cell>
          <cell r="D9085">
            <v>43157</v>
          </cell>
        </row>
        <row r="9086">
          <cell r="A9086" t="str">
            <v>IN</v>
          </cell>
          <cell r="D9086">
            <v>43115</v>
          </cell>
        </row>
        <row r="9087">
          <cell r="A9087" t="str">
            <v>IN</v>
          </cell>
          <cell r="D9087">
            <v>43321</v>
          </cell>
        </row>
        <row r="9088">
          <cell r="A9088" t="str">
            <v>IN</v>
          </cell>
          <cell r="D9088">
            <v>43161</v>
          </cell>
        </row>
        <row r="9089">
          <cell r="A9089" t="str">
            <v>IN</v>
          </cell>
          <cell r="D9089">
            <v>43454</v>
          </cell>
        </row>
        <row r="9090">
          <cell r="A9090" t="str">
            <v>IN</v>
          </cell>
          <cell r="D9090">
            <v>43178</v>
          </cell>
        </row>
        <row r="9091">
          <cell r="A9091" t="str">
            <v>IN</v>
          </cell>
          <cell r="D9091">
            <v>43424</v>
          </cell>
        </row>
        <row r="9092">
          <cell r="A9092" t="str">
            <v>ANZ</v>
          </cell>
          <cell r="D9092">
            <v>43150</v>
          </cell>
        </row>
        <row r="9093">
          <cell r="A9093" t="str">
            <v>GC</v>
          </cell>
          <cell r="D9093">
            <v>43321</v>
          </cell>
        </row>
        <row r="9094">
          <cell r="A9094" t="str">
            <v>GC</v>
          </cell>
          <cell r="D9094">
            <v>43332</v>
          </cell>
        </row>
        <row r="9095">
          <cell r="A9095" t="str">
            <v>GC</v>
          </cell>
          <cell r="D9095">
            <v>43435</v>
          </cell>
        </row>
        <row r="9096">
          <cell r="A9096" t="str">
            <v>GC</v>
          </cell>
          <cell r="D9096">
            <v>43246</v>
          </cell>
        </row>
        <row r="9097">
          <cell r="A9097" t="str">
            <v>ASEAN</v>
          </cell>
          <cell r="D9097">
            <v>43346</v>
          </cell>
        </row>
        <row r="9098">
          <cell r="A9098" t="str">
            <v>ANZ</v>
          </cell>
          <cell r="D9098">
            <v>43351</v>
          </cell>
        </row>
        <row r="9099">
          <cell r="A9099" t="str">
            <v>ANZ</v>
          </cell>
          <cell r="D9099">
            <v>43335</v>
          </cell>
        </row>
        <row r="9100">
          <cell r="A9100" t="str">
            <v>GC</v>
          </cell>
          <cell r="D9100">
            <v>43253</v>
          </cell>
        </row>
        <row r="9101">
          <cell r="A9101" t="str">
            <v>ASEAN</v>
          </cell>
          <cell r="D9101">
            <v>43111</v>
          </cell>
        </row>
        <row r="9102">
          <cell r="A9102" t="str">
            <v>GC</v>
          </cell>
          <cell r="D9102">
            <v>43200</v>
          </cell>
        </row>
        <row r="9103">
          <cell r="A9103" t="str">
            <v>ASEAN</v>
          </cell>
          <cell r="D9103">
            <v>43462</v>
          </cell>
        </row>
        <row r="9104">
          <cell r="A9104" t="str">
            <v>ASEAN</v>
          </cell>
          <cell r="D9104">
            <v>43388</v>
          </cell>
        </row>
        <row r="9105">
          <cell r="A9105" t="str">
            <v>GC</v>
          </cell>
          <cell r="D9105">
            <v>43146</v>
          </cell>
        </row>
        <row r="9106">
          <cell r="A9106" t="str">
            <v>ANZ</v>
          </cell>
          <cell r="D9106">
            <v>43118</v>
          </cell>
        </row>
        <row r="9107">
          <cell r="A9107" t="str">
            <v>IN</v>
          </cell>
          <cell r="D9107">
            <v>43139</v>
          </cell>
        </row>
        <row r="9108">
          <cell r="A9108" t="str">
            <v>ANZ</v>
          </cell>
          <cell r="D9108">
            <v>43145</v>
          </cell>
        </row>
        <row r="9109">
          <cell r="A9109" t="str">
            <v>ASEAN</v>
          </cell>
          <cell r="D9109">
            <v>43446</v>
          </cell>
        </row>
        <row r="9110">
          <cell r="A9110" t="str">
            <v>GC</v>
          </cell>
          <cell r="D9110">
            <v>43180</v>
          </cell>
        </row>
        <row r="9111">
          <cell r="A9111" t="str">
            <v>IN</v>
          </cell>
          <cell r="D9111">
            <v>43317</v>
          </cell>
        </row>
        <row r="9112">
          <cell r="A9112" t="str">
            <v>GC</v>
          </cell>
          <cell r="D9112">
            <v>43377</v>
          </cell>
        </row>
        <row r="9113">
          <cell r="A9113" t="str">
            <v>GC</v>
          </cell>
          <cell r="D9113">
            <v>43280</v>
          </cell>
        </row>
        <row r="9114">
          <cell r="A9114" t="str">
            <v>ASEAN</v>
          </cell>
          <cell r="D9114">
            <v>43126</v>
          </cell>
        </row>
        <row r="9115">
          <cell r="A9115" t="str">
            <v>IN</v>
          </cell>
          <cell r="D9115">
            <v>43125</v>
          </cell>
        </row>
        <row r="9116">
          <cell r="A9116" t="str">
            <v>IN</v>
          </cell>
          <cell r="D9116">
            <v>43401</v>
          </cell>
        </row>
        <row r="9117">
          <cell r="A9117" t="str">
            <v>ASEAN</v>
          </cell>
          <cell r="D9117">
            <v>43299</v>
          </cell>
        </row>
        <row r="9118">
          <cell r="A9118" t="str">
            <v>KR</v>
          </cell>
          <cell r="D9118">
            <v>43362</v>
          </cell>
        </row>
        <row r="9119">
          <cell r="A9119" t="str">
            <v>KR</v>
          </cell>
          <cell r="D9119">
            <v>43378</v>
          </cell>
        </row>
        <row r="9120">
          <cell r="A9120" t="str">
            <v>KR</v>
          </cell>
          <cell r="D9120">
            <v>43180</v>
          </cell>
        </row>
        <row r="9121">
          <cell r="A9121" t="str">
            <v>GC</v>
          </cell>
          <cell r="D9121">
            <v>43388</v>
          </cell>
        </row>
        <row r="9122">
          <cell r="A9122" t="str">
            <v>IN</v>
          </cell>
          <cell r="D9122">
            <v>43420</v>
          </cell>
        </row>
        <row r="9123">
          <cell r="A9123" t="str">
            <v>GC</v>
          </cell>
          <cell r="D9123">
            <v>43241</v>
          </cell>
        </row>
        <row r="9124">
          <cell r="A9124" t="str">
            <v>GC</v>
          </cell>
          <cell r="D9124">
            <v>43388</v>
          </cell>
        </row>
        <row r="9125">
          <cell r="A9125" t="str">
            <v>ASEAN</v>
          </cell>
          <cell r="D9125">
            <v>43263</v>
          </cell>
        </row>
        <row r="9126">
          <cell r="A9126" t="str">
            <v>ANZ</v>
          </cell>
          <cell r="D9126">
            <v>43446</v>
          </cell>
        </row>
        <row r="9127">
          <cell r="A9127" t="str">
            <v>KR</v>
          </cell>
          <cell r="D9127">
            <v>43271</v>
          </cell>
        </row>
        <row r="9128">
          <cell r="A9128" t="str">
            <v>GC</v>
          </cell>
          <cell r="D9128">
            <v>43412</v>
          </cell>
        </row>
        <row r="9129">
          <cell r="A9129" t="str">
            <v>ASEAN</v>
          </cell>
          <cell r="D9129">
            <v>43457</v>
          </cell>
        </row>
        <row r="9130">
          <cell r="A9130" t="str">
            <v>ANZ</v>
          </cell>
          <cell r="D9130">
            <v>43350</v>
          </cell>
        </row>
        <row r="9131">
          <cell r="A9131" t="str">
            <v>GC</v>
          </cell>
          <cell r="D9131">
            <v>43121</v>
          </cell>
        </row>
        <row r="9132">
          <cell r="A9132" t="str">
            <v>GC</v>
          </cell>
          <cell r="D9132">
            <v>43108</v>
          </cell>
        </row>
        <row r="9133">
          <cell r="A9133" t="str">
            <v>GC</v>
          </cell>
          <cell r="D9133">
            <v>43416</v>
          </cell>
        </row>
        <row r="9134">
          <cell r="A9134" t="str">
            <v>ANZ</v>
          </cell>
          <cell r="D9134">
            <v>43404</v>
          </cell>
        </row>
        <row r="9135">
          <cell r="A9135" t="str">
            <v>IN</v>
          </cell>
          <cell r="D9135">
            <v>43258</v>
          </cell>
        </row>
        <row r="9136">
          <cell r="A9136" t="str">
            <v>IN</v>
          </cell>
          <cell r="D9136">
            <v>43183</v>
          </cell>
        </row>
        <row r="9137">
          <cell r="A9137" t="str">
            <v>GC</v>
          </cell>
          <cell r="D9137">
            <v>43385</v>
          </cell>
        </row>
        <row r="9138">
          <cell r="A9138" t="str">
            <v>KR</v>
          </cell>
          <cell r="D9138">
            <v>43169</v>
          </cell>
        </row>
        <row r="9139">
          <cell r="A9139" t="str">
            <v>ASEAN</v>
          </cell>
          <cell r="D9139">
            <v>43412</v>
          </cell>
        </row>
        <row r="9140">
          <cell r="A9140" t="str">
            <v>IN</v>
          </cell>
          <cell r="D9140">
            <v>43133</v>
          </cell>
        </row>
        <row r="9141">
          <cell r="A9141" t="str">
            <v>GC</v>
          </cell>
          <cell r="D9141">
            <v>43173</v>
          </cell>
        </row>
        <row r="9142">
          <cell r="A9142" t="str">
            <v>GC</v>
          </cell>
          <cell r="D9142">
            <v>43456</v>
          </cell>
        </row>
        <row r="9143">
          <cell r="A9143" t="str">
            <v>IN</v>
          </cell>
          <cell r="D9143">
            <v>43110</v>
          </cell>
        </row>
        <row r="9144">
          <cell r="A9144" t="str">
            <v>GC</v>
          </cell>
          <cell r="D9144">
            <v>43454</v>
          </cell>
        </row>
        <row r="9145">
          <cell r="A9145" t="str">
            <v>GC</v>
          </cell>
          <cell r="D9145">
            <v>43200</v>
          </cell>
        </row>
        <row r="9146">
          <cell r="A9146" t="str">
            <v>GC</v>
          </cell>
          <cell r="D9146">
            <v>43452</v>
          </cell>
        </row>
        <row r="9147">
          <cell r="A9147" t="str">
            <v>GC</v>
          </cell>
          <cell r="D9147">
            <v>43441</v>
          </cell>
        </row>
        <row r="9148">
          <cell r="A9148" t="str">
            <v>GC</v>
          </cell>
          <cell r="D9148">
            <v>43280</v>
          </cell>
        </row>
        <row r="9149">
          <cell r="A9149" t="str">
            <v>IN</v>
          </cell>
          <cell r="D9149">
            <v>43415</v>
          </cell>
        </row>
        <row r="9150">
          <cell r="A9150" t="str">
            <v>KR</v>
          </cell>
          <cell r="D9150">
            <v>43409</v>
          </cell>
        </row>
        <row r="9151">
          <cell r="A9151" t="str">
            <v>IN</v>
          </cell>
          <cell r="D9151">
            <v>43328</v>
          </cell>
        </row>
        <row r="9152">
          <cell r="A9152" t="str">
            <v>GC</v>
          </cell>
          <cell r="D9152">
            <v>43328</v>
          </cell>
        </row>
        <row r="9153">
          <cell r="A9153" t="str">
            <v>GC</v>
          </cell>
          <cell r="D9153">
            <v>43184</v>
          </cell>
        </row>
        <row r="9154">
          <cell r="A9154" t="str">
            <v>GC</v>
          </cell>
          <cell r="D9154">
            <v>43280</v>
          </cell>
        </row>
        <row r="9155">
          <cell r="A9155" t="str">
            <v>GC</v>
          </cell>
          <cell r="D9155">
            <v>43424</v>
          </cell>
        </row>
        <row r="9156">
          <cell r="A9156" t="str">
            <v>ASEAN</v>
          </cell>
          <cell r="D9156">
            <v>43417</v>
          </cell>
        </row>
        <row r="9157">
          <cell r="A9157" t="str">
            <v>ASEAN</v>
          </cell>
          <cell r="D9157">
            <v>43337</v>
          </cell>
        </row>
        <row r="9158">
          <cell r="A9158" t="str">
            <v>ASEAN</v>
          </cell>
          <cell r="D9158">
            <v>43460</v>
          </cell>
        </row>
        <row r="9159">
          <cell r="A9159" t="str">
            <v>ANZ</v>
          </cell>
          <cell r="D9159">
            <v>43353</v>
          </cell>
        </row>
        <row r="9160">
          <cell r="A9160" t="str">
            <v>GC</v>
          </cell>
          <cell r="D9160">
            <v>43368</v>
          </cell>
        </row>
        <row r="9161">
          <cell r="A9161" t="str">
            <v>GC</v>
          </cell>
          <cell r="D9161">
            <v>43205</v>
          </cell>
        </row>
        <row r="9162">
          <cell r="A9162" t="str">
            <v>IN</v>
          </cell>
          <cell r="D9162">
            <v>43122</v>
          </cell>
        </row>
        <row r="9163">
          <cell r="A9163" t="str">
            <v>ANZ</v>
          </cell>
          <cell r="D9163">
            <v>43243</v>
          </cell>
        </row>
        <row r="9164">
          <cell r="A9164" t="str">
            <v>ASEAN</v>
          </cell>
          <cell r="D9164">
            <v>43337</v>
          </cell>
        </row>
        <row r="9165">
          <cell r="A9165" t="str">
            <v>GC</v>
          </cell>
          <cell r="D9165">
            <v>43321</v>
          </cell>
        </row>
        <row r="9166">
          <cell r="A9166" t="str">
            <v>IN</v>
          </cell>
          <cell r="D9166">
            <v>43348</v>
          </cell>
        </row>
        <row r="9167">
          <cell r="A9167" t="str">
            <v>GC</v>
          </cell>
          <cell r="D9167">
            <v>43144</v>
          </cell>
        </row>
        <row r="9168">
          <cell r="A9168" t="str">
            <v>GC</v>
          </cell>
          <cell r="D9168">
            <v>43135</v>
          </cell>
        </row>
        <row r="9169">
          <cell r="A9169" t="str">
            <v>GC</v>
          </cell>
          <cell r="D9169">
            <v>43186</v>
          </cell>
        </row>
        <row r="9170">
          <cell r="A9170" t="str">
            <v>GC</v>
          </cell>
          <cell r="D9170">
            <v>43235</v>
          </cell>
        </row>
        <row r="9171">
          <cell r="A9171" t="str">
            <v>GC</v>
          </cell>
          <cell r="D9171">
            <v>43201</v>
          </cell>
        </row>
        <row r="9172">
          <cell r="A9172" t="str">
            <v>GC</v>
          </cell>
          <cell r="D9172">
            <v>43111</v>
          </cell>
        </row>
        <row r="9173">
          <cell r="A9173" t="str">
            <v>IN</v>
          </cell>
          <cell r="D9173">
            <v>43308</v>
          </cell>
        </row>
        <row r="9174">
          <cell r="A9174" t="str">
            <v>ASEAN</v>
          </cell>
          <cell r="D9174">
            <v>43349</v>
          </cell>
        </row>
        <row r="9175">
          <cell r="A9175" t="str">
            <v>KR</v>
          </cell>
          <cell r="D9175">
            <v>43169</v>
          </cell>
        </row>
        <row r="9176">
          <cell r="A9176" t="str">
            <v>GC</v>
          </cell>
          <cell r="D9176">
            <v>43235</v>
          </cell>
        </row>
        <row r="9177">
          <cell r="A9177" t="str">
            <v>ASEAN</v>
          </cell>
          <cell r="D9177">
            <v>43256</v>
          </cell>
        </row>
        <row r="9178">
          <cell r="A9178" t="str">
            <v>ASEAN</v>
          </cell>
          <cell r="D9178">
            <v>43388</v>
          </cell>
        </row>
        <row r="9179">
          <cell r="A9179" t="str">
            <v>ASEAN</v>
          </cell>
          <cell r="D9179">
            <v>43401</v>
          </cell>
        </row>
        <row r="9180">
          <cell r="A9180" t="str">
            <v>ASEAN</v>
          </cell>
          <cell r="D9180">
            <v>43202</v>
          </cell>
        </row>
        <row r="9181">
          <cell r="A9181" t="str">
            <v>ASEAN</v>
          </cell>
          <cell r="D9181">
            <v>43352</v>
          </cell>
        </row>
        <row r="9182">
          <cell r="A9182" t="str">
            <v>GC</v>
          </cell>
          <cell r="D9182">
            <v>43328</v>
          </cell>
        </row>
        <row r="9183">
          <cell r="A9183" t="str">
            <v>GC</v>
          </cell>
          <cell r="D9183">
            <v>43312</v>
          </cell>
        </row>
        <row r="9184">
          <cell r="A9184" t="str">
            <v>ASEAN</v>
          </cell>
          <cell r="D9184">
            <v>43256</v>
          </cell>
        </row>
        <row r="9185">
          <cell r="A9185" t="str">
            <v>GC</v>
          </cell>
          <cell r="D9185">
            <v>43308</v>
          </cell>
        </row>
        <row r="9186">
          <cell r="A9186" t="str">
            <v>GC</v>
          </cell>
          <cell r="D9186">
            <v>43438</v>
          </cell>
        </row>
        <row r="9187">
          <cell r="A9187" t="str">
            <v>IN</v>
          </cell>
          <cell r="D9187">
            <v>43150</v>
          </cell>
        </row>
        <row r="9188">
          <cell r="A9188" t="str">
            <v>IN</v>
          </cell>
          <cell r="D9188">
            <v>43171</v>
          </cell>
        </row>
        <row r="9189">
          <cell r="A9189" t="str">
            <v>IN</v>
          </cell>
          <cell r="D9189">
            <v>43379</v>
          </cell>
        </row>
        <row r="9190">
          <cell r="A9190" t="str">
            <v>IN</v>
          </cell>
          <cell r="D9190">
            <v>43201</v>
          </cell>
        </row>
        <row r="9191">
          <cell r="A9191" t="str">
            <v>IN</v>
          </cell>
          <cell r="D9191">
            <v>43222</v>
          </cell>
        </row>
        <row r="9192">
          <cell r="A9192" t="str">
            <v>GC</v>
          </cell>
          <cell r="D9192">
            <v>43427</v>
          </cell>
        </row>
        <row r="9193">
          <cell r="A9193" t="str">
            <v>IN</v>
          </cell>
          <cell r="D9193">
            <v>43133</v>
          </cell>
        </row>
        <row r="9194">
          <cell r="A9194" t="str">
            <v>ANZ</v>
          </cell>
          <cell r="D9194">
            <v>43113</v>
          </cell>
        </row>
        <row r="9195">
          <cell r="A9195" t="str">
            <v>ANZ</v>
          </cell>
          <cell r="D9195">
            <v>43384</v>
          </cell>
        </row>
        <row r="9196">
          <cell r="A9196" t="str">
            <v>ANZ</v>
          </cell>
          <cell r="D9196">
            <v>43290</v>
          </cell>
        </row>
        <row r="9197">
          <cell r="A9197" t="str">
            <v>ANZ</v>
          </cell>
          <cell r="D9197">
            <v>43201</v>
          </cell>
        </row>
        <row r="9198">
          <cell r="A9198" t="str">
            <v>GC</v>
          </cell>
          <cell r="D9198">
            <v>43395</v>
          </cell>
        </row>
        <row r="9199">
          <cell r="A9199" t="str">
            <v>KR</v>
          </cell>
          <cell r="D9199">
            <v>43438</v>
          </cell>
        </row>
        <row r="9200">
          <cell r="A9200" t="str">
            <v>IN</v>
          </cell>
          <cell r="D9200">
            <v>43113</v>
          </cell>
        </row>
        <row r="9201">
          <cell r="A9201" t="str">
            <v>ANZ</v>
          </cell>
          <cell r="D9201">
            <v>43106</v>
          </cell>
        </row>
        <row r="9202">
          <cell r="A9202" t="str">
            <v>GC</v>
          </cell>
          <cell r="D9202">
            <v>43174</v>
          </cell>
        </row>
        <row r="9203">
          <cell r="A9203" t="str">
            <v>GC</v>
          </cell>
          <cell r="D9203">
            <v>43373</v>
          </cell>
        </row>
        <row r="9204">
          <cell r="A9204" t="str">
            <v>GC</v>
          </cell>
          <cell r="D9204">
            <v>43412</v>
          </cell>
        </row>
        <row r="9205">
          <cell r="A9205" t="str">
            <v>IN</v>
          </cell>
          <cell r="D9205">
            <v>43157</v>
          </cell>
        </row>
        <row r="9206">
          <cell r="A9206" t="str">
            <v>IN</v>
          </cell>
          <cell r="D9206">
            <v>43443</v>
          </cell>
        </row>
        <row r="9207">
          <cell r="A9207" t="str">
            <v>IN</v>
          </cell>
          <cell r="D9207">
            <v>43444</v>
          </cell>
        </row>
        <row r="9208">
          <cell r="A9208" t="str">
            <v>ANZ</v>
          </cell>
          <cell r="D9208">
            <v>43135</v>
          </cell>
        </row>
        <row r="9209">
          <cell r="A9209" t="str">
            <v>ASEAN</v>
          </cell>
          <cell r="D9209">
            <v>43147</v>
          </cell>
        </row>
        <row r="9210">
          <cell r="A9210" t="str">
            <v>IN</v>
          </cell>
          <cell r="D9210">
            <v>43338</v>
          </cell>
        </row>
        <row r="9211">
          <cell r="A9211" t="str">
            <v>IN</v>
          </cell>
          <cell r="D9211">
            <v>43149</v>
          </cell>
        </row>
        <row r="9212">
          <cell r="A9212" t="str">
            <v>IN</v>
          </cell>
          <cell r="D9212">
            <v>43155</v>
          </cell>
        </row>
        <row r="9213">
          <cell r="A9213" t="str">
            <v>ASEAN</v>
          </cell>
          <cell r="D9213">
            <v>43179</v>
          </cell>
        </row>
        <row r="9214">
          <cell r="A9214" t="str">
            <v>GC</v>
          </cell>
          <cell r="D9214">
            <v>43451</v>
          </cell>
        </row>
        <row r="9215">
          <cell r="A9215" t="str">
            <v>GC</v>
          </cell>
          <cell r="D9215">
            <v>43218</v>
          </cell>
        </row>
        <row r="9216">
          <cell r="A9216" t="str">
            <v>GC</v>
          </cell>
          <cell r="D9216">
            <v>43341</v>
          </cell>
        </row>
        <row r="9217">
          <cell r="A9217" t="str">
            <v>IN</v>
          </cell>
          <cell r="D9217">
            <v>43215</v>
          </cell>
        </row>
        <row r="9218">
          <cell r="A9218" t="str">
            <v>GC</v>
          </cell>
          <cell r="D9218">
            <v>43457</v>
          </cell>
        </row>
        <row r="9219">
          <cell r="A9219" t="str">
            <v>ASEAN</v>
          </cell>
          <cell r="D9219">
            <v>43250</v>
          </cell>
        </row>
        <row r="9220">
          <cell r="A9220" t="str">
            <v>IN</v>
          </cell>
          <cell r="D9220">
            <v>43309</v>
          </cell>
        </row>
        <row r="9221">
          <cell r="A9221" t="str">
            <v>IN</v>
          </cell>
          <cell r="D9221">
            <v>43188</v>
          </cell>
        </row>
        <row r="9222">
          <cell r="A9222" t="str">
            <v>IN</v>
          </cell>
          <cell r="D9222">
            <v>43332</v>
          </cell>
        </row>
        <row r="9223">
          <cell r="A9223" t="str">
            <v>ANZ</v>
          </cell>
          <cell r="D9223">
            <v>43174</v>
          </cell>
        </row>
        <row r="9224">
          <cell r="A9224" t="str">
            <v>ASEAN</v>
          </cell>
          <cell r="D9224">
            <v>43122</v>
          </cell>
        </row>
        <row r="9225">
          <cell r="A9225" t="str">
            <v>GC</v>
          </cell>
          <cell r="D9225">
            <v>43222</v>
          </cell>
        </row>
        <row r="9226">
          <cell r="A9226" t="str">
            <v>ANZ</v>
          </cell>
          <cell r="D9226">
            <v>43169</v>
          </cell>
        </row>
        <row r="9227">
          <cell r="A9227" t="str">
            <v>IN</v>
          </cell>
          <cell r="D9227">
            <v>43325</v>
          </cell>
        </row>
        <row r="9228">
          <cell r="A9228" t="str">
            <v>IN</v>
          </cell>
          <cell r="D9228">
            <v>43159</v>
          </cell>
        </row>
        <row r="9229">
          <cell r="A9229" t="str">
            <v>IN</v>
          </cell>
          <cell r="D9229">
            <v>43395</v>
          </cell>
        </row>
        <row r="9230">
          <cell r="A9230" t="str">
            <v>ASEAN</v>
          </cell>
          <cell r="D9230">
            <v>43293</v>
          </cell>
        </row>
        <row r="9231">
          <cell r="A9231" t="str">
            <v>IN</v>
          </cell>
          <cell r="D9231">
            <v>43116</v>
          </cell>
        </row>
        <row r="9232">
          <cell r="A9232" t="str">
            <v>IN</v>
          </cell>
          <cell r="D9232">
            <v>43261</v>
          </cell>
        </row>
        <row r="9233">
          <cell r="A9233" t="str">
            <v>IN</v>
          </cell>
          <cell r="D9233">
            <v>43164</v>
          </cell>
        </row>
        <row r="9234">
          <cell r="A9234" t="str">
            <v>ASEAN</v>
          </cell>
          <cell r="D9234">
            <v>43245</v>
          </cell>
        </row>
        <row r="9235">
          <cell r="A9235" t="str">
            <v>GC</v>
          </cell>
          <cell r="D9235">
            <v>43390</v>
          </cell>
        </row>
        <row r="9236">
          <cell r="A9236" t="str">
            <v>ASEAN</v>
          </cell>
          <cell r="D9236">
            <v>43363</v>
          </cell>
        </row>
        <row r="9237">
          <cell r="A9237" t="str">
            <v>IN</v>
          </cell>
          <cell r="D9237">
            <v>43335</v>
          </cell>
        </row>
        <row r="9238">
          <cell r="A9238" t="str">
            <v>IN</v>
          </cell>
          <cell r="D9238">
            <v>43321</v>
          </cell>
        </row>
        <row r="9239">
          <cell r="A9239" t="str">
            <v>IN</v>
          </cell>
          <cell r="D9239">
            <v>43289</v>
          </cell>
        </row>
        <row r="9240">
          <cell r="A9240" t="str">
            <v>GC</v>
          </cell>
          <cell r="D9240">
            <v>43425</v>
          </cell>
        </row>
        <row r="9241">
          <cell r="A9241" t="str">
            <v>GC</v>
          </cell>
          <cell r="D9241">
            <v>43365</v>
          </cell>
        </row>
        <row r="9242">
          <cell r="A9242" t="str">
            <v>ASEAN</v>
          </cell>
          <cell r="D9242">
            <v>43138</v>
          </cell>
        </row>
        <row r="9243">
          <cell r="A9243" t="str">
            <v>IN</v>
          </cell>
          <cell r="D9243">
            <v>43268</v>
          </cell>
        </row>
        <row r="9244">
          <cell r="A9244" t="str">
            <v>GC</v>
          </cell>
          <cell r="D9244">
            <v>43378</v>
          </cell>
        </row>
        <row r="9245">
          <cell r="A9245" t="str">
            <v>GC</v>
          </cell>
          <cell r="D9245">
            <v>43437</v>
          </cell>
        </row>
        <row r="9246">
          <cell r="A9246" t="str">
            <v>GC</v>
          </cell>
          <cell r="D9246">
            <v>43420</v>
          </cell>
        </row>
        <row r="9247">
          <cell r="A9247" t="str">
            <v>GC</v>
          </cell>
          <cell r="D9247">
            <v>43264</v>
          </cell>
        </row>
        <row r="9248">
          <cell r="A9248" t="str">
            <v>GC</v>
          </cell>
          <cell r="D9248">
            <v>43230</v>
          </cell>
        </row>
        <row r="9249">
          <cell r="A9249" t="str">
            <v>GC</v>
          </cell>
          <cell r="D9249">
            <v>43248</v>
          </cell>
        </row>
        <row r="9250">
          <cell r="A9250" t="str">
            <v>GC</v>
          </cell>
          <cell r="D9250">
            <v>43170</v>
          </cell>
        </row>
        <row r="9251">
          <cell r="A9251" t="str">
            <v>ASEAN</v>
          </cell>
          <cell r="D9251">
            <v>43388</v>
          </cell>
        </row>
        <row r="9252">
          <cell r="A9252" t="str">
            <v>ASEAN</v>
          </cell>
          <cell r="D9252">
            <v>43326</v>
          </cell>
        </row>
        <row r="9253">
          <cell r="A9253" t="str">
            <v>IN</v>
          </cell>
          <cell r="D9253">
            <v>43321</v>
          </cell>
        </row>
        <row r="9254">
          <cell r="A9254" t="str">
            <v>IN</v>
          </cell>
          <cell r="D9254">
            <v>43265</v>
          </cell>
        </row>
        <row r="9255">
          <cell r="A9255" t="str">
            <v>IN</v>
          </cell>
          <cell r="D9255">
            <v>43200</v>
          </cell>
        </row>
        <row r="9256">
          <cell r="A9256" t="str">
            <v>ANZ</v>
          </cell>
          <cell r="D9256">
            <v>43386</v>
          </cell>
        </row>
        <row r="9257">
          <cell r="A9257" t="str">
            <v>ASEAN</v>
          </cell>
          <cell r="D9257">
            <v>43253</v>
          </cell>
        </row>
        <row r="9258">
          <cell r="A9258" t="str">
            <v>ASEAN</v>
          </cell>
          <cell r="D9258">
            <v>43346</v>
          </cell>
        </row>
        <row r="9259">
          <cell r="A9259" t="str">
            <v>IN</v>
          </cell>
          <cell r="D9259">
            <v>43178</v>
          </cell>
        </row>
        <row r="9260">
          <cell r="A9260" t="str">
            <v>IN</v>
          </cell>
          <cell r="D9260">
            <v>43187</v>
          </cell>
        </row>
        <row r="9261">
          <cell r="A9261" t="str">
            <v>ANZ</v>
          </cell>
          <cell r="D9261">
            <v>43277</v>
          </cell>
        </row>
        <row r="9262">
          <cell r="A9262" t="str">
            <v>GC</v>
          </cell>
          <cell r="D9262">
            <v>43253</v>
          </cell>
        </row>
        <row r="9263">
          <cell r="A9263" t="str">
            <v>IN</v>
          </cell>
          <cell r="D9263">
            <v>43125</v>
          </cell>
        </row>
        <row r="9264">
          <cell r="A9264" t="str">
            <v>ASEAN</v>
          </cell>
          <cell r="D9264">
            <v>43435</v>
          </cell>
        </row>
        <row r="9265">
          <cell r="A9265" t="str">
            <v>GC</v>
          </cell>
          <cell r="D9265">
            <v>43158</v>
          </cell>
        </row>
        <row r="9266">
          <cell r="A9266" t="str">
            <v>ASEAN</v>
          </cell>
          <cell r="D9266">
            <v>43402</v>
          </cell>
        </row>
        <row r="9267">
          <cell r="A9267" t="str">
            <v>IN</v>
          </cell>
          <cell r="D9267">
            <v>43402</v>
          </cell>
        </row>
        <row r="9268">
          <cell r="A9268" t="str">
            <v>IN</v>
          </cell>
          <cell r="D9268">
            <v>43208</v>
          </cell>
        </row>
        <row r="9269">
          <cell r="A9269" t="str">
            <v>IN</v>
          </cell>
          <cell r="D9269">
            <v>43317</v>
          </cell>
        </row>
        <row r="9270">
          <cell r="A9270" t="str">
            <v>IN</v>
          </cell>
          <cell r="D9270">
            <v>43257</v>
          </cell>
        </row>
        <row r="9271">
          <cell r="A9271" t="str">
            <v>IN</v>
          </cell>
          <cell r="D9271">
            <v>43165</v>
          </cell>
        </row>
        <row r="9272">
          <cell r="A9272" t="str">
            <v>GC</v>
          </cell>
          <cell r="D9272">
            <v>43131</v>
          </cell>
        </row>
        <row r="9273">
          <cell r="A9273" t="str">
            <v>GC</v>
          </cell>
          <cell r="D9273">
            <v>43101</v>
          </cell>
        </row>
        <row r="9274">
          <cell r="A9274" t="str">
            <v>GC</v>
          </cell>
          <cell r="D9274">
            <v>43462</v>
          </cell>
        </row>
        <row r="9275">
          <cell r="A9275" t="str">
            <v>IN</v>
          </cell>
          <cell r="D9275">
            <v>43439</v>
          </cell>
        </row>
        <row r="9276">
          <cell r="A9276" t="str">
            <v>IN</v>
          </cell>
          <cell r="D9276">
            <v>43152</v>
          </cell>
        </row>
        <row r="9277">
          <cell r="A9277" t="str">
            <v>IN</v>
          </cell>
          <cell r="D9277">
            <v>43405</v>
          </cell>
        </row>
        <row r="9278">
          <cell r="A9278" t="str">
            <v>IN</v>
          </cell>
          <cell r="D9278">
            <v>43169</v>
          </cell>
        </row>
        <row r="9279">
          <cell r="A9279" t="str">
            <v>IN</v>
          </cell>
          <cell r="D9279">
            <v>43434</v>
          </cell>
        </row>
        <row r="9280">
          <cell r="A9280" t="str">
            <v>IN</v>
          </cell>
          <cell r="D9280">
            <v>43208</v>
          </cell>
        </row>
        <row r="9281">
          <cell r="A9281" t="str">
            <v>IN</v>
          </cell>
          <cell r="D9281">
            <v>43110</v>
          </cell>
        </row>
        <row r="9282">
          <cell r="A9282" t="str">
            <v>ASEAN</v>
          </cell>
          <cell r="D9282">
            <v>43396</v>
          </cell>
        </row>
        <row r="9283">
          <cell r="A9283" t="str">
            <v>IN</v>
          </cell>
          <cell r="D9283">
            <v>43465</v>
          </cell>
        </row>
        <row r="9284">
          <cell r="A9284" t="str">
            <v>GC</v>
          </cell>
          <cell r="D9284">
            <v>43382</v>
          </cell>
        </row>
        <row r="9285">
          <cell r="A9285" t="str">
            <v>GC</v>
          </cell>
          <cell r="D9285">
            <v>43109</v>
          </cell>
        </row>
        <row r="9286">
          <cell r="A9286" t="str">
            <v>IN</v>
          </cell>
          <cell r="D9286">
            <v>43247</v>
          </cell>
        </row>
        <row r="9287">
          <cell r="A9287" t="str">
            <v>GC</v>
          </cell>
          <cell r="D9287">
            <v>43104</v>
          </cell>
        </row>
        <row r="9288">
          <cell r="A9288" t="str">
            <v>ASEAN</v>
          </cell>
          <cell r="D9288">
            <v>43437</v>
          </cell>
        </row>
        <row r="9289">
          <cell r="A9289" t="str">
            <v>IN</v>
          </cell>
          <cell r="D9289">
            <v>43410</v>
          </cell>
        </row>
        <row r="9290">
          <cell r="A9290" t="str">
            <v>IN</v>
          </cell>
          <cell r="D9290">
            <v>43256</v>
          </cell>
        </row>
        <row r="9291">
          <cell r="A9291" t="str">
            <v>GC</v>
          </cell>
          <cell r="D9291">
            <v>43438</v>
          </cell>
        </row>
        <row r="9292">
          <cell r="A9292" t="str">
            <v>GC</v>
          </cell>
          <cell r="D9292">
            <v>43431</v>
          </cell>
        </row>
        <row r="9293">
          <cell r="A9293" t="str">
            <v>GC</v>
          </cell>
          <cell r="D9293">
            <v>43246</v>
          </cell>
        </row>
        <row r="9294">
          <cell r="A9294" t="str">
            <v>ASEAN</v>
          </cell>
          <cell r="D9294">
            <v>43245</v>
          </cell>
        </row>
        <row r="9295">
          <cell r="A9295" t="str">
            <v>ASEAN</v>
          </cell>
          <cell r="D9295">
            <v>43327</v>
          </cell>
        </row>
        <row r="9296">
          <cell r="A9296" t="str">
            <v>ASEAN</v>
          </cell>
          <cell r="D9296">
            <v>43314</v>
          </cell>
        </row>
        <row r="9297">
          <cell r="A9297" t="str">
            <v>ASEAN</v>
          </cell>
          <cell r="D9297">
            <v>43245</v>
          </cell>
        </row>
        <row r="9298">
          <cell r="A9298" t="str">
            <v>ASEAN</v>
          </cell>
          <cell r="D9298">
            <v>43207</v>
          </cell>
        </row>
        <row r="9299">
          <cell r="A9299" t="str">
            <v>ASEAN</v>
          </cell>
          <cell r="D9299">
            <v>43277</v>
          </cell>
        </row>
        <row r="9300">
          <cell r="A9300" t="str">
            <v>GC</v>
          </cell>
          <cell r="D9300">
            <v>43386</v>
          </cell>
        </row>
        <row r="9301">
          <cell r="A9301" t="str">
            <v>GC</v>
          </cell>
          <cell r="D9301">
            <v>43246</v>
          </cell>
        </row>
        <row r="9302">
          <cell r="A9302" t="str">
            <v>IN</v>
          </cell>
          <cell r="D9302">
            <v>43230</v>
          </cell>
        </row>
        <row r="9303">
          <cell r="A9303" t="str">
            <v>IN</v>
          </cell>
          <cell r="D9303">
            <v>43291</v>
          </cell>
        </row>
        <row r="9304">
          <cell r="A9304" t="str">
            <v>ANZ</v>
          </cell>
          <cell r="D9304">
            <v>43231</v>
          </cell>
        </row>
        <row r="9305">
          <cell r="A9305" t="str">
            <v>GC</v>
          </cell>
          <cell r="D9305">
            <v>43373</v>
          </cell>
        </row>
        <row r="9306">
          <cell r="A9306" t="str">
            <v>GC</v>
          </cell>
          <cell r="D9306">
            <v>43446</v>
          </cell>
        </row>
        <row r="9307">
          <cell r="A9307" t="str">
            <v>IN</v>
          </cell>
          <cell r="D9307">
            <v>43112</v>
          </cell>
        </row>
        <row r="9308">
          <cell r="A9308" t="str">
            <v>GC</v>
          </cell>
          <cell r="D9308">
            <v>43254</v>
          </cell>
        </row>
        <row r="9309">
          <cell r="A9309" t="str">
            <v>GC</v>
          </cell>
          <cell r="D9309">
            <v>43136</v>
          </cell>
        </row>
        <row r="9310">
          <cell r="A9310" t="str">
            <v>GC</v>
          </cell>
          <cell r="D9310">
            <v>43444</v>
          </cell>
        </row>
        <row r="9311">
          <cell r="A9311" t="str">
            <v>IN</v>
          </cell>
          <cell r="D9311">
            <v>43134</v>
          </cell>
        </row>
        <row r="9312">
          <cell r="A9312" t="str">
            <v>IN</v>
          </cell>
          <cell r="D9312">
            <v>43416</v>
          </cell>
        </row>
        <row r="9313">
          <cell r="A9313" t="str">
            <v>GC</v>
          </cell>
          <cell r="D9313">
            <v>43287</v>
          </cell>
        </row>
        <row r="9314">
          <cell r="A9314" t="str">
            <v>GC</v>
          </cell>
          <cell r="D9314">
            <v>43371</v>
          </cell>
        </row>
        <row r="9315">
          <cell r="A9315" t="str">
            <v>ANZ</v>
          </cell>
          <cell r="D9315">
            <v>43143</v>
          </cell>
        </row>
        <row r="9316">
          <cell r="A9316" t="str">
            <v>GC</v>
          </cell>
          <cell r="D9316">
            <v>43303</v>
          </cell>
        </row>
        <row r="9317">
          <cell r="A9317" t="str">
            <v>ANZ</v>
          </cell>
          <cell r="D9317">
            <v>43246</v>
          </cell>
        </row>
        <row r="9318">
          <cell r="A9318" t="str">
            <v>IN</v>
          </cell>
          <cell r="D9318">
            <v>43281</v>
          </cell>
        </row>
        <row r="9319">
          <cell r="A9319" t="str">
            <v>ASEAN</v>
          </cell>
          <cell r="D9319">
            <v>43106</v>
          </cell>
        </row>
        <row r="9320">
          <cell r="A9320" t="str">
            <v>ASEAN</v>
          </cell>
          <cell r="D9320">
            <v>43372</v>
          </cell>
        </row>
        <row r="9321">
          <cell r="A9321" t="str">
            <v>GC</v>
          </cell>
          <cell r="D9321">
            <v>43125</v>
          </cell>
        </row>
        <row r="9322">
          <cell r="A9322" t="str">
            <v>GC</v>
          </cell>
          <cell r="D9322">
            <v>43166</v>
          </cell>
        </row>
        <row r="9323">
          <cell r="A9323" t="str">
            <v>GC</v>
          </cell>
          <cell r="D9323">
            <v>43207</v>
          </cell>
        </row>
        <row r="9324">
          <cell r="A9324" t="str">
            <v>GC</v>
          </cell>
          <cell r="D9324">
            <v>43329</v>
          </cell>
        </row>
        <row r="9325">
          <cell r="A9325" t="str">
            <v>KR</v>
          </cell>
          <cell r="D9325">
            <v>43184</v>
          </cell>
        </row>
        <row r="9326">
          <cell r="A9326" t="str">
            <v>ASEAN</v>
          </cell>
          <cell r="D9326">
            <v>43375</v>
          </cell>
        </row>
        <row r="9327">
          <cell r="A9327" t="str">
            <v>ASEAN</v>
          </cell>
          <cell r="D9327">
            <v>43428</v>
          </cell>
        </row>
        <row r="9328">
          <cell r="A9328" t="str">
            <v>ASEAN</v>
          </cell>
          <cell r="D9328">
            <v>43299</v>
          </cell>
        </row>
        <row r="9329">
          <cell r="A9329" t="str">
            <v>ASEAN</v>
          </cell>
          <cell r="D9329">
            <v>43182</v>
          </cell>
        </row>
        <row r="9330">
          <cell r="A9330" t="str">
            <v>ASEAN</v>
          </cell>
          <cell r="D9330">
            <v>43109</v>
          </cell>
        </row>
        <row r="9331">
          <cell r="A9331" t="str">
            <v>ASEAN</v>
          </cell>
          <cell r="D9331">
            <v>43368</v>
          </cell>
        </row>
        <row r="9332">
          <cell r="A9332" t="str">
            <v>ASEAN</v>
          </cell>
          <cell r="D9332">
            <v>43380</v>
          </cell>
        </row>
        <row r="9333">
          <cell r="A9333" t="str">
            <v>GC</v>
          </cell>
          <cell r="D9333">
            <v>43420</v>
          </cell>
        </row>
        <row r="9334">
          <cell r="A9334" t="str">
            <v>ASEAN</v>
          </cell>
          <cell r="D9334">
            <v>43134</v>
          </cell>
        </row>
        <row r="9335">
          <cell r="A9335" t="str">
            <v>IN</v>
          </cell>
          <cell r="D9335">
            <v>43117</v>
          </cell>
        </row>
        <row r="9336">
          <cell r="A9336" t="str">
            <v>ANZ</v>
          </cell>
          <cell r="D9336">
            <v>43381</v>
          </cell>
        </row>
        <row r="9337">
          <cell r="A9337" t="str">
            <v>ANZ</v>
          </cell>
          <cell r="D9337">
            <v>43107</v>
          </cell>
        </row>
        <row r="9338">
          <cell r="A9338" t="str">
            <v>IN</v>
          </cell>
          <cell r="D9338">
            <v>43236</v>
          </cell>
        </row>
        <row r="9339">
          <cell r="A9339" t="str">
            <v>GC</v>
          </cell>
          <cell r="D9339">
            <v>43356</v>
          </cell>
        </row>
        <row r="9340">
          <cell r="A9340" t="str">
            <v>KR</v>
          </cell>
          <cell r="D9340">
            <v>43209</v>
          </cell>
        </row>
        <row r="9341">
          <cell r="A9341" t="str">
            <v>IN</v>
          </cell>
          <cell r="D9341">
            <v>43428</v>
          </cell>
        </row>
        <row r="9342">
          <cell r="A9342" t="str">
            <v>ANZ</v>
          </cell>
          <cell r="D9342">
            <v>43416</v>
          </cell>
        </row>
        <row r="9343">
          <cell r="A9343" t="str">
            <v>IN</v>
          </cell>
          <cell r="D9343">
            <v>43111</v>
          </cell>
        </row>
        <row r="9344">
          <cell r="A9344" t="str">
            <v>ANZ</v>
          </cell>
          <cell r="D9344">
            <v>43178</v>
          </cell>
        </row>
        <row r="9345">
          <cell r="A9345" t="str">
            <v>KR</v>
          </cell>
          <cell r="D9345">
            <v>43410</v>
          </cell>
        </row>
        <row r="9346">
          <cell r="A9346" t="str">
            <v>KR</v>
          </cell>
          <cell r="D9346">
            <v>43103</v>
          </cell>
        </row>
        <row r="9347">
          <cell r="A9347" t="str">
            <v>KR</v>
          </cell>
          <cell r="D9347">
            <v>43128</v>
          </cell>
        </row>
        <row r="9348">
          <cell r="A9348" t="str">
            <v>GC</v>
          </cell>
          <cell r="D9348">
            <v>43273</v>
          </cell>
        </row>
        <row r="9349">
          <cell r="A9349" t="str">
            <v>GC</v>
          </cell>
          <cell r="D9349">
            <v>43223</v>
          </cell>
        </row>
        <row r="9350">
          <cell r="A9350" t="str">
            <v>KR</v>
          </cell>
          <cell r="D9350">
            <v>43259</v>
          </cell>
        </row>
        <row r="9351">
          <cell r="A9351" t="str">
            <v>IN</v>
          </cell>
          <cell r="D9351">
            <v>43264</v>
          </cell>
        </row>
        <row r="9352">
          <cell r="A9352" t="str">
            <v>KR</v>
          </cell>
          <cell r="D9352">
            <v>43277</v>
          </cell>
        </row>
        <row r="9353">
          <cell r="A9353" t="str">
            <v>GC</v>
          </cell>
          <cell r="D9353">
            <v>43272</v>
          </cell>
        </row>
        <row r="9354">
          <cell r="A9354" t="str">
            <v>GC</v>
          </cell>
          <cell r="D9354">
            <v>43141</v>
          </cell>
        </row>
        <row r="9355">
          <cell r="A9355" t="str">
            <v>GC</v>
          </cell>
          <cell r="D9355">
            <v>43295</v>
          </cell>
        </row>
        <row r="9356">
          <cell r="A9356" t="str">
            <v>KR</v>
          </cell>
          <cell r="D9356">
            <v>43172</v>
          </cell>
        </row>
        <row r="9357">
          <cell r="A9357" t="str">
            <v>KR</v>
          </cell>
          <cell r="D9357">
            <v>43270</v>
          </cell>
        </row>
        <row r="9358">
          <cell r="A9358" t="str">
            <v>KR</v>
          </cell>
          <cell r="D9358">
            <v>43204</v>
          </cell>
        </row>
        <row r="9359">
          <cell r="A9359" t="str">
            <v>KR</v>
          </cell>
          <cell r="D9359">
            <v>43389</v>
          </cell>
        </row>
        <row r="9360">
          <cell r="A9360" t="str">
            <v>GC</v>
          </cell>
          <cell r="D9360">
            <v>43334</v>
          </cell>
        </row>
        <row r="9361">
          <cell r="A9361" t="str">
            <v>ANZ</v>
          </cell>
          <cell r="D9361">
            <v>43404</v>
          </cell>
        </row>
        <row r="9362">
          <cell r="A9362" t="str">
            <v>ASEAN</v>
          </cell>
          <cell r="D9362">
            <v>43271</v>
          </cell>
        </row>
        <row r="9363">
          <cell r="A9363" t="str">
            <v>GC</v>
          </cell>
          <cell r="D9363">
            <v>43363</v>
          </cell>
        </row>
        <row r="9364">
          <cell r="A9364" t="str">
            <v>ANZ</v>
          </cell>
          <cell r="D9364">
            <v>43286</v>
          </cell>
        </row>
        <row r="9365">
          <cell r="A9365" t="str">
            <v>ASEAN</v>
          </cell>
          <cell r="D9365">
            <v>43373</v>
          </cell>
        </row>
        <row r="9366">
          <cell r="A9366" t="str">
            <v>GC</v>
          </cell>
          <cell r="D9366">
            <v>43296</v>
          </cell>
        </row>
        <row r="9367">
          <cell r="A9367" t="str">
            <v>GC</v>
          </cell>
          <cell r="D9367">
            <v>43243</v>
          </cell>
        </row>
        <row r="9368">
          <cell r="A9368" t="str">
            <v>ASEAN</v>
          </cell>
          <cell r="D9368">
            <v>43196</v>
          </cell>
        </row>
        <row r="9369">
          <cell r="A9369" t="str">
            <v>GC</v>
          </cell>
          <cell r="D9369">
            <v>43184</v>
          </cell>
        </row>
        <row r="9370">
          <cell r="A9370" t="str">
            <v>ANZ</v>
          </cell>
          <cell r="D9370">
            <v>43251</v>
          </cell>
        </row>
        <row r="9371">
          <cell r="A9371" t="str">
            <v>ASEAN</v>
          </cell>
          <cell r="D9371">
            <v>43375</v>
          </cell>
        </row>
        <row r="9372">
          <cell r="A9372" t="str">
            <v>ASEAN</v>
          </cell>
          <cell r="D9372">
            <v>43319</v>
          </cell>
        </row>
        <row r="9373">
          <cell r="A9373" t="str">
            <v>ANZ</v>
          </cell>
          <cell r="D9373">
            <v>43102</v>
          </cell>
        </row>
        <row r="9374">
          <cell r="A9374" t="str">
            <v>GC</v>
          </cell>
          <cell r="D9374">
            <v>43423</v>
          </cell>
        </row>
        <row r="9375">
          <cell r="A9375" t="str">
            <v>GC</v>
          </cell>
          <cell r="D9375">
            <v>43155</v>
          </cell>
        </row>
        <row r="9376">
          <cell r="A9376" t="str">
            <v>ANZ</v>
          </cell>
          <cell r="D9376">
            <v>43158</v>
          </cell>
        </row>
        <row r="9377">
          <cell r="A9377" t="str">
            <v>ANZ</v>
          </cell>
          <cell r="D9377">
            <v>43301</v>
          </cell>
        </row>
        <row r="9378">
          <cell r="A9378" t="str">
            <v>IN</v>
          </cell>
          <cell r="D9378">
            <v>43290</v>
          </cell>
        </row>
        <row r="9379">
          <cell r="A9379" t="str">
            <v>GC</v>
          </cell>
          <cell r="D9379">
            <v>43310</v>
          </cell>
        </row>
        <row r="9380">
          <cell r="A9380" t="str">
            <v>ANZ</v>
          </cell>
          <cell r="D9380">
            <v>43123</v>
          </cell>
        </row>
        <row r="9381">
          <cell r="A9381" t="str">
            <v>IN</v>
          </cell>
          <cell r="D9381">
            <v>43313</v>
          </cell>
        </row>
        <row r="9382">
          <cell r="A9382" t="str">
            <v>IN</v>
          </cell>
          <cell r="D9382">
            <v>43115</v>
          </cell>
        </row>
        <row r="9383">
          <cell r="A9383" t="str">
            <v>ASEAN</v>
          </cell>
          <cell r="D9383">
            <v>43201</v>
          </cell>
        </row>
        <row r="9384">
          <cell r="A9384" t="str">
            <v>ASEAN</v>
          </cell>
          <cell r="D9384">
            <v>43212</v>
          </cell>
        </row>
        <row r="9385">
          <cell r="A9385" t="str">
            <v>ASEAN</v>
          </cell>
          <cell r="D9385">
            <v>43427</v>
          </cell>
        </row>
        <row r="9386">
          <cell r="A9386" t="str">
            <v>KR</v>
          </cell>
          <cell r="D9386">
            <v>43169</v>
          </cell>
        </row>
        <row r="9387">
          <cell r="A9387" t="str">
            <v>KR</v>
          </cell>
          <cell r="D9387">
            <v>43442</v>
          </cell>
        </row>
        <row r="9388">
          <cell r="A9388" t="str">
            <v>KR</v>
          </cell>
          <cell r="D9388">
            <v>43103</v>
          </cell>
        </row>
        <row r="9389">
          <cell r="A9389" t="str">
            <v>KR</v>
          </cell>
          <cell r="D9389">
            <v>43206</v>
          </cell>
        </row>
        <row r="9390">
          <cell r="A9390" t="str">
            <v>KR</v>
          </cell>
          <cell r="D9390">
            <v>43406</v>
          </cell>
        </row>
        <row r="9391">
          <cell r="A9391" t="str">
            <v>KR</v>
          </cell>
          <cell r="D9391">
            <v>43288</v>
          </cell>
        </row>
        <row r="9392">
          <cell r="A9392" t="str">
            <v>KR</v>
          </cell>
          <cell r="D9392">
            <v>43306</v>
          </cell>
        </row>
        <row r="9393">
          <cell r="A9393" t="str">
            <v>KR</v>
          </cell>
          <cell r="D9393">
            <v>43417</v>
          </cell>
        </row>
        <row r="9394">
          <cell r="A9394" t="str">
            <v>IN</v>
          </cell>
          <cell r="D9394">
            <v>43354</v>
          </cell>
        </row>
        <row r="9395">
          <cell r="A9395" t="str">
            <v>IN</v>
          </cell>
          <cell r="D9395">
            <v>43165</v>
          </cell>
        </row>
        <row r="9396">
          <cell r="A9396" t="str">
            <v>KR</v>
          </cell>
          <cell r="D9396">
            <v>43303</v>
          </cell>
        </row>
        <row r="9397">
          <cell r="A9397" t="str">
            <v>KR</v>
          </cell>
          <cell r="D9397">
            <v>43457</v>
          </cell>
        </row>
        <row r="9398">
          <cell r="A9398" t="str">
            <v>ANZ</v>
          </cell>
          <cell r="D9398">
            <v>43152</v>
          </cell>
        </row>
        <row r="9399">
          <cell r="A9399" t="str">
            <v>KR</v>
          </cell>
          <cell r="D9399">
            <v>43269</v>
          </cell>
        </row>
        <row r="9400">
          <cell r="A9400" t="str">
            <v>KR</v>
          </cell>
          <cell r="D9400">
            <v>43352</v>
          </cell>
        </row>
        <row r="9401">
          <cell r="A9401" t="str">
            <v>GC</v>
          </cell>
          <cell r="D9401">
            <v>43166</v>
          </cell>
        </row>
        <row r="9402">
          <cell r="A9402" t="str">
            <v>GC</v>
          </cell>
          <cell r="D9402">
            <v>43105</v>
          </cell>
        </row>
        <row r="9403">
          <cell r="A9403" t="str">
            <v>IN</v>
          </cell>
          <cell r="D9403">
            <v>43455</v>
          </cell>
        </row>
        <row r="9404">
          <cell r="A9404" t="str">
            <v>ASEAN</v>
          </cell>
          <cell r="D9404">
            <v>43185</v>
          </cell>
        </row>
        <row r="9405">
          <cell r="A9405" t="str">
            <v>ANZ</v>
          </cell>
          <cell r="D9405">
            <v>43165</v>
          </cell>
        </row>
        <row r="9406">
          <cell r="A9406" t="str">
            <v>ANZ</v>
          </cell>
          <cell r="D9406">
            <v>43248</v>
          </cell>
        </row>
        <row r="9407">
          <cell r="A9407" t="str">
            <v>ANZ</v>
          </cell>
          <cell r="D9407">
            <v>43401</v>
          </cell>
        </row>
        <row r="9408">
          <cell r="A9408" t="str">
            <v>ASEAN</v>
          </cell>
          <cell r="D9408">
            <v>43185</v>
          </cell>
        </row>
        <row r="9409">
          <cell r="A9409" t="str">
            <v>ASEAN</v>
          </cell>
          <cell r="D9409">
            <v>43168</v>
          </cell>
        </row>
        <row r="9410">
          <cell r="A9410" t="str">
            <v>ASEAN</v>
          </cell>
          <cell r="D9410">
            <v>43272</v>
          </cell>
        </row>
        <row r="9411">
          <cell r="A9411" t="str">
            <v>GC</v>
          </cell>
          <cell r="D9411">
            <v>43116</v>
          </cell>
        </row>
        <row r="9412">
          <cell r="A9412" t="str">
            <v>GC</v>
          </cell>
          <cell r="D9412">
            <v>43217</v>
          </cell>
        </row>
        <row r="9413">
          <cell r="A9413" t="str">
            <v>GC</v>
          </cell>
          <cell r="D9413">
            <v>43187</v>
          </cell>
        </row>
        <row r="9414">
          <cell r="A9414" t="str">
            <v>ANZ</v>
          </cell>
          <cell r="D9414">
            <v>43134</v>
          </cell>
        </row>
        <row r="9415">
          <cell r="A9415" t="str">
            <v>ANZ</v>
          </cell>
          <cell r="D9415">
            <v>43134</v>
          </cell>
        </row>
        <row r="9416">
          <cell r="A9416" t="str">
            <v>ANZ</v>
          </cell>
          <cell r="D9416">
            <v>43126</v>
          </cell>
        </row>
        <row r="9417">
          <cell r="A9417" t="str">
            <v>ASEAN</v>
          </cell>
          <cell r="D9417">
            <v>43427</v>
          </cell>
        </row>
        <row r="9418">
          <cell r="A9418" t="str">
            <v>ASEAN</v>
          </cell>
          <cell r="D9418">
            <v>43368</v>
          </cell>
        </row>
        <row r="9419">
          <cell r="A9419" t="str">
            <v>IN</v>
          </cell>
          <cell r="D9419">
            <v>43269</v>
          </cell>
        </row>
        <row r="9420">
          <cell r="A9420" t="str">
            <v>ANZ</v>
          </cell>
          <cell r="D9420">
            <v>43352</v>
          </cell>
        </row>
        <row r="9421">
          <cell r="A9421" t="str">
            <v>IN</v>
          </cell>
          <cell r="D9421">
            <v>43341</v>
          </cell>
        </row>
        <row r="9422">
          <cell r="A9422" t="str">
            <v>ASEAN</v>
          </cell>
          <cell r="D9422">
            <v>43212</v>
          </cell>
        </row>
        <row r="9423">
          <cell r="A9423" t="str">
            <v>ANZ</v>
          </cell>
          <cell r="D9423">
            <v>43102</v>
          </cell>
        </row>
        <row r="9424">
          <cell r="A9424" t="str">
            <v>ASEAN</v>
          </cell>
          <cell r="D9424">
            <v>43391</v>
          </cell>
        </row>
        <row r="9425">
          <cell r="A9425" t="str">
            <v>ASEAN</v>
          </cell>
          <cell r="D9425">
            <v>43416</v>
          </cell>
        </row>
        <row r="9426">
          <cell r="A9426" t="str">
            <v>ASEAN</v>
          </cell>
          <cell r="D9426">
            <v>43352</v>
          </cell>
        </row>
        <row r="9427">
          <cell r="A9427" t="str">
            <v>ASEAN</v>
          </cell>
          <cell r="D9427">
            <v>43374</v>
          </cell>
        </row>
        <row r="9428">
          <cell r="A9428" t="str">
            <v>IN</v>
          </cell>
          <cell r="D9428">
            <v>43207</v>
          </cell>
        </row>
      </sheetData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sheet"/>
      <sheetName val="QUIZ-2"/>
      <sheetName val="QUIZ-6"/>
      <sheetName val="QUIZ-7"/>
      <sheetName val="QUIZ-8"/>
      <sheetName val="QUIZ-9"/>
      <sheetName val="QUIZ-10"/>
      <sheetName val="Calender-1"/>
      <sheetName val="Calender-2"/>
    </sheetNames>
    <sheetDataSet>
      <sheetData sheetId="0" refreshError="1"/>
      <sheetData sheetId="1">
        <row r="2">
          <cell r="A2">
            <v>43466</v>
          </cell>
          <cell r="B2">
            <v>48</v>
          </cell>
        </row>
        <row r="3">
          <cell r="A3">
            <v>43467</v>
          </cell>
          <cell r="B3">
            <v>38</v>
          </cell>
        </row>
        <row r="4">
          <cell r="A4">
            <v>43468</v>
          </cell>
          <cell r="B4">
            <v>54</v>
          </cell>
        </row>
        <row r="5">
          <cell r="A5">
            <v>43469</v>
          </cell>
          <cell r="B5">
            <v>31</v>
          </cell>
        </row>
        <row r="6">
          <cell r="A6">
            <v>43470</v>
          </cell>
          <cell r="B6">
            <v>37</v>
          </cell>
        </row>
        <row r="7">
          <cell r="A7">
            <v>43471</v>
          </cell>
          <cell r="B7">
            <v>23</v>
          </cell>
        </row>
        <row r="8">
          <cell r="A8">
            <v>43472</v>
          </cell>
          <cell r="B8">
            <v>73</v>
          </cell>
        </row>
        <row r="9">
          <cell r="A9">
            <v>43473</v>
          </cell>
          <cell r="B9">
            <v>84</v>
          </cell>
        </row>
        <row r="10">
          <cell r="A10">
            <v>43474</v>
          </cell>
          <cell r="B10">
            <v>55</v>
          </cell>
        </row>
        <row r="11">
          <cell r="A11">
            <v>43475</v>
          </cell>
          <cell r="B11">
            <v>34</v>
          </cell>
        </row>
        <row r="12">
          <cell r="A12">
            <v>43476</v>
          </cell>
          <cell r="B12">
            <v>46</v>
          </cell>
        </row>
        <row r="13">
          <cell r="A13">
            <v>43477</v>
          </cell>
          <cell r="B13">
            <v>70</v>
          </cell>
        </row>
        <row r="14">
          <cell r="A14">
            <v>43478</v>
          </cell>
          <cell r="B14">
            <v>82</v>
          </cell>
        </row>
        <row r="15">
          <cell r="A15">
            <v>43479</v>
          </cell>
          <cell r="B15">
            <v>73</v>
          </cell>
        </row>
        <row r="16">
          <cell r="A16">
            <v>43480</v>
          </cell>
          <cell r="B16">
            <v>64</v>
          </cell>
        </row>
        <row r="17">
          <cell r="A17">
            <v>43481</v>
          </cell>
          <cell r="B17">
            <v>78</v>
          </cell>
        </row>
        <row r="18">
          <cell r="A18">
            <v>43482</v>
          </cell>
          <cell r="B18">
            <v>47</v>
          </cell>
        </row>
        <row r="19">
          <cell r="A19">
            <v>43483</v>
          </cell>
          <cell r="B19">
            <v>39</v>
          </cell>
        </row>
        <row r="20">
          <cell r="A20">
            <v>43484</v>
          </cell>
          <cell r="B20">
            <v>64</v>
          </cell>
        </row>
        <row r="21">
          <cell r="A21">
            <v>43485</v>
          </cell>
          <cell r="B21">
            <v>68</v>
          </cell>
        </row>
        <row r="22">
          <cell r="A22">
            <v>43486</v>
          </cell>
          <cell r="B22">
            <v>7</v>
          </cell>
        </row>
        <row r="23">
          <cell r="A23">
            <v>43487</v>
          </cell>
          <cell r="B23">
            <v>64</v>
          </cell>
        </row>
        <row r="24">
          <cell r="A24">
            <v>43488</v>
          </cell>
          <cell r="B24">
            <v>45</v>
          </cell>
        </row>
        <row r="25">
          <cell r="A25">
            <v>43489</v>
          </cell>
          <cell r="B25">
            <v>7</v>
          </cell>
        </row>
        <row r="26">
          <cell r="A26">
            <v>43490</v>
          </cell>
          <cell r="B26">
            <v>22</v>
          </cell>
        </row>
        <row r="27">
          <cell r="A27">
            <v>43491</v>
          </cell>
          <cell r="B27">
            <v>23</v>
          </cell>
        </row>
        <row r="28">
          <cell r="A28">
            <v>43492</v>
          </cell>
          <cell r="B28">
            <v>77</v>
          </cell>
        </row>
        <row r="29">
          <cell r="A29">
            <v>43493</v>
          </cell>
          <cell r="B29">
            <v>20</v>
          </cell>
        </row>
        <row r="30">
          <cell r="A30">
            <v>43494</v>
          </cell>
          <cell r="B30">
            <v>55</v>
          </cell>
        </row>
        <row r="31">
          <cell r="A31">
            <v>43495</v>
          </cell>
          <cell r="B31">
            <v>41</v>
          </cell>
        </row>
        <row r="32">
          <cell r="A32">
            <v>43496</v>
          </cell>
          <cell r="B32">
            <v>88</v>
          </cell>
        </row>
        <row r="33">
          <cell r="A33">
            <v>43497</v>
          </cell>
          <cell r="B33">
            <v>97</v>
          </cell>
        </row>
        <row r="34">
          <cell r="A34">
            <v>43498</v>
          </cell>
          <cell r="B34">
            <v>67</v>
          </cell>
        </row>
        <row r="35">
          <cell r="A35">
            <v>43499</v>
          </cell>
          <cell r="B35">
            <v>66</v>
          </cell>
        </row>
        <row r="36">
          <cell r="A36">
            <v>43500</v>
          </cell>
          <cell r="B36">
            <v>7</v>
          </cell>
        </row>
        <row r="37">
          <cell r="A37">
            <v>43501</v>
          </cell>
          <cell r="B37">
            <v>14</v>
          </cell>
        </row>
        <row r="38">
          <cell r="A38">
            <v>43502</v>
          </cell>
          <cell r="B38">
            <v>80</v>
          </cell>
        </row>
        <row r="39">
          <cell r="A39">
            <v>43503</v>
          </cell>
          <cell r="B39">
            <v>16</v>
          </cell>
        </row>
        <row r="40">
          <cell r="A40">
            <v>43504</v>
          </cell>
          <cell r="B40">
            <v>42</v>
          </cell>
        </row>
        <row r="41">
          <cell r="A41">
            <v>43505</v>
          </cell>
          <cell r="B41">
            <v>23</v>
          </cell>
        </row>
        <row r="42">
          <cell r="A42">
            <v>43506</v>
          </cell>
          <cell r="B42">
            <v>31</v>
          </cell>
        </row>
        <row r="43">
          <cell r="A43">
            <v>43507</v>
          </cell>
          <cell r="B43">
            <v>100</v>
          </cell>
        </row>
        <row r="44">
          <cell r="A44">
            <v>43508</v>
          </cell>
          <cell r="B44">
            <v>29</v>
          </cell>
        </row>
        <row r="45">
          <cell r="A45">
            <v>43509</v>
          </cell>
          <cell r="B45">
            <v>7</v>
          </cell>
        </row>
        <row r="46">
          <cell r="A46">
            <v>43510</v>
          </cell>
          <cell r="B46">
            <v>85</v>
          </cell>
        </row>
        <row r="47">
          <cell r="A47">
            <v>43511</v>
          </cell>
          <cell r="B47">
            <v>87</v>
          </cell>
        </row>
        <row r="48">
          <cell r="A48">
            <v>43512</v>
          </cell>
          <cell r="B48">
            <v>76</v>
          </cell>
        </row>
        <row r="49">
          <cell r="A49">
            <v>43513</v>
          </cell>
          <cell r="B49">
            <v>18</v>
          </cell>
        </row>
        <row r="50">
          <cell r="A50">
            <v>43514</v>
          </cell>
          <cell r="B50">
            <v>72</v>
          </cell>
        </row>
        <row r="51">
          <cell r="A51">
            <v>43515</v>
          </cell>
          <cell r="B51">
            <v>37</v>
          </cell>
        </row>
        <row r="52">
          <cell r="A52">
            <v>43516</v>
          </cell>
          <cell r="B52">
            <v>77</v>
          </cell>
        </row>
        <row r="53">
          <cell r="A53">
            <v>43517</v>
          </cell>
          <cell r="B53">
            <v>23</v>
          </cell>
        </row>
        <row r="54">
          <cell r="A54">
            <v>43518</v>
          </cell>
          <cell r="B54">
            <v>14</v>
          </cell>
        </row>
        <row r="55">
          <cell r="A55">
            <v>43519</v>
          </cell>
          <cell r="B55">
            <v>38</v>
          </cell>
        </row>
        <row r="56">
          <cell r="A56">
            <v>43520</v>
          </cell>
          <cell r="B56">
            <v>74</v>
          </cell>
        </row>
        <row r="57">
          <cell r="A57">
            <v>43521</v>
          </cell>
          <cell r="B57">
            <v>11</v>
          </cell>
        </row>
        <row r="58">
          <cell r="A58">
            <v>43522</v>
          </cell>
          <cell r="B58">
            <v>10</v>
          </cell>
        </row>
        <row r="59">
          <cell r="A59">
            <v>43523</v>
          </cell>
          <cell r="B59">
            <v>87</v>
          </cell>
        </row>
        <row r="60">
          <cell r="A60">
            <v>43524</v>
          </cell>
          <cell r="B60">
            <v>25</v>
          </cell>
        </row>
        <row r="61">
          <cell r="A61">
            <v>43525</v>
          </cell>
          <cell r="B61">
            <v>60</v>
          </cell>
        </row>
        <row r="62">
          <cell r="A62">
            <v>43526</v>
          </cell>
          <cell r="B62">
            <v>14</v>
          </cell>
        </row>
        <row r="63">
          <cell r="A63">
            <v>43527</v>
          </cell>
          <cell r="B63">
            <v>22</v>
          </cell>
        </row>
        <row r="64">
          <cell r="A64">
            <v>43528</v>
          </cell>
          <cell r="B64">
            <v>8</v>
          </cell>
        </row>
        <row r="65">
          <cell r="A65">
            <v>43529</v>
          </cell>
          <cell r="B65">
            <v>83</v>
          </cell>
        </row>
        <row r="66">
          <cell r="A66">
            <v>43530</v>
          </cell>
          <cell r="B66">
            <v>73</v>
          </cell>
        </row>
        <row r="67">
          <cell r="A67">
            <v>43531</v>
          </cell>
          <cell r="B67">
            <v>74</v>
          </cell>
        </row>
        <row r="68">
          <cell r="A68">
            <v>43532</v>
          </cell>
          <cell r="B68">
            <v>48</v>
          </cell>
        </row>
        <row r="69">
          <cell r="A69">
            <v>43533</v>
          </cell>
          <cell r="B69">
            <v>17</v>
          </cell>
        </row>
        <row r="70">
          <cell r="A70">
            <v>43534</v>
          </cell>
          <cell r="B70">
            <v>15</v>
          </cell>
        </row>
        <row r="71">
          <cell r="A71">
            <v>43535</v>
          </cell>
          <cell r="B71">
            <v>41</v>
          </cell>
        </row>
        <row r="72">
          <cell r="A72">
            <v>43536</v>
          </cell>
          <cell r="B72">
            <v>50</v>
          </cell>
        </row>
        <row r="73">
          <cell r="A73">
            <v>43537</v>
          </cell>
          <cell r="B73">
            <v>84</v>
          </cell>
        </row>
        <row r="74">
          <cell r="A74">
            <v>43538</v>
          </cell>
          <cell r="B74">
            <v>100</v>
          </cell>
        </row>
        <row r="75">
          <cell r="A75">
            <v>43539</v>
          </cell>
          <cell r="B75">
            <v>27</v>
          </cell>
        </row>
        <row r="76">
          <cell r="A76">
            <v>43540</v>
          </cell>
          <cell r="B76">
            <v>40</v>
          </cell>
        </row>
        <row r="77">
          <cell r="A77">
            <v>43541</v>
          </cell>
          <cell r="B77">
            <v>88</v>
          </cell>
        </row>
        <row r="78">
          <cell r="A78">
            <v>43542</v>
          </cell>
          <cell r="B78">
            <v>41</v>
          </cell>
        </row>
        <row r="79">
          <cell r="A79">
            <v>43543</v>
          </cell>
          <cell r="B79">
            <v>98</v>
          </cell>
        </row>
        <row r="80">
          <cell r="A80">
            <v>43544</v>
          </cell>
          <cell r="B80">
            <v>81</v>
          </cell>
        </row>
        <row r="81">
          <cell r="A81">
            <v>43545</v>
          </cell>
          <cell r="B81">
            <v>11</v>
          </cell>
        </row>
        <row r="82">
          <cell r="A82">
            <v>43546</v>
          </cell>
          <cell r="B82">
            <v>11</v>
          </cell>
        </row>
        <row r="83">
          <cell r="A83">
            <v>43547</v>
          </cell>
          <cell r="B83">
            <v>5</v>
          </cell>
        </row>
        <row r="84">
          <cell r="A84">
            <v>43548</v>
          </cell>
          <cell r="B84">
            <v>58</v>
          </cell>
        </row>
        <row r="85">
          <cell r="A85">
            <v>43549</v>
          </cell>
          <cell r="B85">
            <v>96</v>
          </cell>
        </row>
        <row r="86">
          <cell r="A86">
            <v>43550</v>
          </cell>
          <cell r="B86">
            <v>41</v>
          </cell>
        </row>
        <row r="87">
          <cell r="A87">
            <v>43551</v>
          </cell>
          <cell r="B87">
            <v>3</v>
          </cell>
        </row>
        <row r="88">
          <cell r="A88">
            <v>43552</v>
          </cell>
          <cell r="B88">
            <v>61</v>
          </cell>
        </row>
        <row r="89">
          <cell r="A89">
            <v>43553</v>
          </cell>
          <cell r="B89">
            <v>66</v>
          </cell>
        </row>
        <row r="90">
          <cell r="A90">
            <v>43554</v>
          </cell>
          <cell r="B90">
            <v>82</v>
          </cell>
        </row>
        <row r="91">
          <cell r="A91">
            <v>43555</v>
          </cell>
          <cell r="B91">
            <v>45</v>
          </cell>
        </row>
        <row r="92">
          <cell r="A92">
            <v>43556</v>
          </cell>
          <cell r="B92">
            <v>44</v>
          </cell>
        </row>
        <row r="93">
          <cell r="A93">
            <v>43557</v>
          </cell>
          <cell r="B93">
            <v>33</v>
          </cell>
        </row>
        <row r="94">
          <cell r="A94">
            <v>43558</v>
          </cell>
          <cell r="B94">
            <v>4</v>
          </cell>
        </row>
        <row r="95">
          <cell r="A95">
            <v>43559</v>
          </cell>
          <cell r="B95">
            <v>52</v>
          </cell>
        </row>
        <row r="96">
          <cell r="A96">
            <v>43560</v>
          </cell>
          <cell r="B96">
            <v>99</v>
          </cell>
        </row>
        <row r="97">
          <cell r="A97">
            <v>43561</v>
          </cell>
          <cell r="B97">
            <v>10</v>
          </cell>
        </row>
        <row r="98">
          <cell r="A98">
            <v>43562</v>
          </cell>
          <cell r="B98">
            <v>94</v>
          </cell>
        </row>
        <row r="99">
          <cell r="A99">
            <v>43563</v>
          </cell>
          <cell r="B99">
            <v>4</v>
          </cell>
        </row>
        <row r="100">
          <cell r="A100">
            <v>43564</v>
          </cell>
          <cell r="B100">
            <v>67</v>
          </cell>
        </row>
        <row r="101">
          <cell r="A101">
            <v>43565</v>
          </cell>
          <cell r="B101">
            <v>48</v>
          </cell>
        </row>
        <row r="102">
          <cell r="A102">
            <v>43566</v>
          </cell>
          <cell r="B102">
            <v>88</v>
          </cell>
        </row>
        <row r="103">
          <cell r="A103">
            <v>43567</v>
          </cell>
          <cell r="B103">
            <v>38</v>
          </cell>
        </row>
        <row r="104">
          <cell r="A104">
            <v>43568</v>
          </cell>
          <cell r="B104">
            <v>28</v>
          </cell>
        </row>
        <row r="105">
          <cell r="A105">
            <v>43569</v>
          </cell>
          <cell r="B105">
            <v>57</v>
          </cell>
        </row>
        <row r="106">
          <cell r="A106">
            <v>43570</v>
          </cell>
          <cell r="B106">
            <v>7</v>
          </cell>
        </row>
        <row r="107">
          <cell r="A107">
            <v>43571</v>
          </cell>
          <cell r="B107">
            <v>26</v>
          </cell>
        </row>
        <row r="108">
          <cell r="A108">
            <v>43572</v>
          </cell>
          <cell r="B108">
            <v>19</v>
          </cell>
        </row>
        <row r="109">
          <cell r="A109">
            <v>43573</v>
          </cell>
          <cell r="B109">
            <v>66</v>
          </cell>
        </row>
        <row r="110">
          <cell r="A110">
            <v>43574</v>
          </cell>
          <cell r="B110">
            <v>96</v>
          </cell>
        </row>
        <row r="111">
          <cell r="A111">
            <v>43575</v>
          </cell>
          <cell r="B111">
            <v>100</v>
          </cell>
        </row>
        <row r="112">
          <cell r="A112">
            <v>43576</v>
          </cell>
          <cell r="B112">
            <v>32</v>
          </cell>
        </row>
        <row r="113">
          <cell r="A113">
            <v>43577</v>
          </cell>
          <cell r="B113">
            <v>74</v>
          </cell>
        </row>
        <row r="114">
          <cell r="A114">
            <v>43578</v>
          </cell>
          <cell r="B114">
            <v>45</v>
          </cell>
        </row>
        <row r="115">
          <cell r="A115">
            <v>43579</v>
          </cell>
          <cell r="B115">
            <v>22</v>
          </cell>
        </row>
        <row r="116">
          <cell r="A116">
            <v>43580</v>
          </cell>
          <cell r="B116">
            <v>41</v>
          </cell>
        </row>
        <row r="117">
          <cell r="A117">
            <v>43581</v>
          </cell>
          <cell r="B117">
            <v>7</v>
          </cell>
        </row>
        <row r="118">
          <cell r="A118">
            <v>43582</v>
          </cell>
          <cell r="B118">
            <v>50</v>
          </cell>
        </row>
        <row r="119">
          <cell r="A119">
            <v>43583</v>
          </cell>
          <cell r="B119">
            <v>13</v>
          </cell>
        </row>
        <row r="120">
          <cell r="A120">
            <v>43584</v>
          </cell>
          <cell r="B120">
            <v>80</v>
          </cell>
        </row>
        <row r="121">
          <cell r="A121">
            <v>43585</v>
          </cell>
          <cell r="B121">
            <v>56</v>
          </cell>
        </row>
        <row r="122">
          <cell r="A122">
            <v>43586</v>
          </cell>
          <cell r="B122">
            <v>76</v>
          </cell>
        </row>
        <row r="123">
          <cell r="A123">
            <v>43587</v>
          </cell>
          <cell r="B123">
            <v>23</v>
          </cell>
        </row>
        <row r="124">
          <cell r="A124">
            <v>43588</v>
          </cell>
          <cell r="B124">
            <v>71</v>
          </cell>
        </row>
        <row r="125">
          <cell r="A125">
            <v>43589</v>
          </cell>
          <cell r="B125">
            <v>56</v>
          </cell>
        </row>
        <row r="126">
          <cell r="A126">
            <v>43590</v>
          </cell>
          <cell r="B126">
            <v>75</v>
          </cell>
        </row>
        <row r="127">
          <cell r="A127">
            <v>43591</v>
          </cell>
          <cell r="B127">
            <v>100</v>
          </cell>
        </row>
        <row r="128">
          <cell r="A128">
            <v>43592</v>
          </cell>
          <cell r="B128">
            <v>39</v>
          </cell>
        </row>
        <row r="129">
          <cell r="A129">
            <v>43593</v>
          </cell>
          <cell r="B129">
            <v>27</v>
          </cell>
        </row>
        <row r="130">
          <cell r="A130">
            <v>43594</v>
          </cell>
          <cell r="B130">
            <v>75</v>
          </cell>
        </row>
        <row r="131">
          <cell r="A131">
            <v>43595</v>
          </cell>
          <cell r="B131">
            <v>88</v>
          </cell>
        </row>
        <row r="132">
          <cell r="A132">
            <v>43596</v>
          </cell>
          <cell r="B132">
            <v>70</v>
          </cell>
        </row>
        <row r="133">
          <cell r="A133">
            <v>43597</v>
          </cell>
          <cell r="B133">
            <v>34</v>
          </cell>
        </row>
        <row r="134">
          <cell r="A134">
            <v>43598</v>
          </cell>
          <cell r="B134">
            <v>69</v>
          </cell>
        </row>
        <row r="135">
          <cell r="A135">
            <v>43599</v>
          </cell>
          <cell r="B135">
            <v>45</v>
          </cell>
        </row>
        <row r="136">
          <cell r="A136">
            <v>43600</v>
          </cell>
          <cell r="B136">
            <v>58</v>
          </cell>
        </row>
        <row r="137">
          <cell r="A137">
            <v>43601</v>
          </cell>
          <cell r="B137">
            <v>60</v>
          </cell>
        </row>
        <row r="138">
          <cell r="A138">
            <v>43602</v>
          </cell>
          <cell r="B138">
            <v>1</v>
          </cell>
        </row>
        <row r="139">
          <cell r="A139">
            <v>43603</v>
          </cell>
          <cell r="B139">
            <v>98</v>
          </cell>
        </row>
        <row r="140">
          <cell r="A140">
            <v>43604</v>
          </cell>
          <cell r="B140">
            <v>14</v>
          </cell>
        </row>
        <row r="141">
          <cell r="A141">
            <v>43605</v>
          </cell>
          <cell r="B141">
            <v>44</v>
          </cell>
        </row>
        <row r="142">
          <cell r="A142">
            <v>43606</v>
          </cell>
          <cell r="B142">
            <v>94</v>
          </cell>
        </row>
        <row r="143">
          <cell r="A143">
            <v>43607</v>
          </cell>
          <cell r="B143">
            <v>68</v>
          </cell>
        </row>
        <row r="144">
          <cell r="A144">
            <v>43608</v>
          </cell>
          <cell r="B144">
            <v>52</v>
          </cell>
        </row>
        <row r="145">
          <cell r="A145">
            <v>43609</v>
          </cell>
          <cell r="B145">
            <v>16</v>
          </cell>
        </row>
        <row r="146">
          <cell r="A146">
            <v>43610</v>
          </cell>
          <cell r="B146">
            <v>30</v>
          </cell>
        </row>
        <row r="147">
          <cell r="A147">
            <v>43611</v>
          </cell>
          <cell r="B147">
            <v>34</v>
          </cell>
        </row>
        <row r="148">
          <cell r="A148">
            <v>43612</v>
          </cell>
          <cell r="B148">
            <v>52</v>
          </cell>
        </row>
        <row r="149">
          <cell r="A149">
            <v>43613</v>
          </cell>
          <cell r="B149">
            <v>21</v>
          </cell>
        </row>
        <row r="150">
          <cell r="A150">
            <v>43614</v>
          </cell>
          <cell r="B150">
            <v>61</v>
          </cell>
        </row>
        <row r="151">
          <cell r="A151">
            <v>43615</v>
          </cell>
          <cell r="B151">
            <v>52</v>
          </cell>
        </row>
        <row r="152">
          <cell r="A152">
            <v>43616</v>
          </cell>
          <cell r="B152">
            <v>5</v>
          </cell>
        </row>
        <row r="153">
          <cell r="A153">
            <v>43617</v>
          </cell>
          <cell r="B153">
            <v>53</v>
          </cell>
        </row>
        <row r="154">
          <cell r="A154">
            <v>43618</v>
          </cell>
          <cell r="B154">
            <v>48</v>
          </cell>
        </row>
        <row r="155">
          <cell r="A155">
            <v>43619</v>
          </cell>
          <cell r="B155">
            <v>85</v>
          </cell>
        </row>
        <row r="156">
          <cell r="A156">
            <v>43620</v>
          </cell>
          <cell r="B156">
            <v>28</v>
          </cell>
        </row>
        <row r="157">
          <cell r="A157">
            <v>43621</v>
          </cell>
          <cell r="B157">
            <v>18</v>
          </cell>
        </row>
        <row r="158">
          <cell r="A158">
            <v>43622</v>
          </cell>
          <cell r="B158">
            <v>92</v>
          </cell>
        </row>
        <row r="159">
          <cell r="A159">
            <v>43623</v>
          </cell>
          <cell r="B159">
            <v>16</v>
          </cell>
        </row>
        <row r="160">
          <cell r="A160">
            <v>43624</v>
          </cell>
          <cell r="B160">
            <v>53</v>
          </cell>
        </row>
        <row r="161">
          <cell r="A161">
            <v>43625</v>
          </cell>
          <cell r="B161">
            <v>15</v>
          </cell>
        </row>
        <row r="162">
          <cell r="A162">
            <v>43626</v>
          </cell>
          <cell r="B162">
            <v>37</v>
          </cell>
        </row>
        <row r="163">
          <cell r="A163">
            <v>43627</v>
          </cell>
          <cell r="B163">
            <v>54</v>
          </cell>
        </row>
        <row r="164">
          <cell r="A164">
            <v>43628</v>
          </cell>
          <cell r="B164">
            <v>9</v>
          </cell>
        </row>
        <row r="165">
          <cell r="A165">
            <v>43629</v>
          </cell>
          <cell r="B165">
            <v>24</v>
          </cell>
        </row>
        <row r="166">
          <cell r="A166">
            <v>43630</v>
          </cell>
          <cell r="B166">
            <v>30</v>
          </cell>
        </row>
        <row r="167">
          <cell r="A167">
            <v>43631</v>
          </cell>
          <cell r="B167">
            <v>13</v>
          </cell>
        </row>
        <row r="168">
          <cell r="A168">
            <v>43632</v>
          </cell>
          <cell r="B168">
            <v>15</v>
          </cell>
        </row>
        <row r="169">
          <cell r="A169">
            <v>43633</v>
          </cell>
          <cell r="B169">
            <v>38</v>
          </cell>
        </row>
        <row r="170">
          <cell r="A170">
            <v>43634</v>
          </cell>
          <cell r="B170">
            <v>95</v>
          </cell>
        </row>
        <row r="171">
          <cell r="A171">
            <v>43635</v>
          </cell>
          <cell r="B171">
            <v>17</v>
          </cell>
        </row>
        <row r="172">
          <cell r="A172">
            <v>43636</v>
          </cell>
          <cell r="B172">
            <v>12</v>
          </cell>
        </row>
        <row r="173">
          <cell r="A173">
            <v>43637</v>
          </cell>
          <cell r="B173">
            <v>15</v>
          </cell>
        </row>
        <row r="174">
          <cell r="A174">
            <v>43638</v>
          </cell>
          <cell r="B174">
            <v>25</v>
          </cell>
        </row>
        <row r="175">
          <cell r="A175">
            <v>43639</v>
          </cell>
          <cell r="B175">
            <v>51</v>
          </cell>
        </row>
        <row r="176">
          <cell r="A176">
            <v>43640</v>
          </cell>
          <cell r="B176">
            <v>82</v>
          </cell>
        </row>
        <row r="177">
          <cell r="A177">
            <v>43641</v>
          </cell>
          <cell r="B177">
            <v>35</v>
          </cell>
        </row>
        <row r="178">
          <cell r="A178">
            <v>43642</v>
          </cell>
          <cell r="B178">
            <v>12</v>
          </cell>
        </row>
        <row r="179">
          <cell r="A179">
            <v>43643</v>
          </cell>
          <cell r="B179">
            <v>46</v>
          </cell>
        </row>
        <row r="180">
          <cell r="A180">
            <v>43644</v>
          </cell>
          <cell r="B180">
            <v>89</v>
          </cell>
        </row>
        <row r="181">
          <cell r="A181">
            <v>43645</v>
          </cell>
          <cell r="B181">
            <v>61</v>
          </cell>
        </row>
        <row r="182">
          <cell r="A182">
            <v>43646</v>
          </cell>
          <cell r="B182">
            <v>84</v>
          </cell>
        </row>
        <row r="183">
          <cell r="A183">
            <v>43647</v>
          </cell>
          <cell r="B183">
            <v>42</v>
          </cell>
        </row>
        <row r="184">
          <cell r="A184">
            <v>43648</v>
          </cell>
          <cell r="B184">
            <v>71</v>
          </cell>
        </row>
        <row r="185">
          <cell r="A185">
            <v>43649</v>
          </cell>
          <cell r="B185">
            <v>87</v>
          </cell>
        </row>
        <row r="186">
          <cell r="A186">
            <v>43650</v>
          </cell>
          <cell r="B186">
            <v>63</v>
          </cell>
        </row>
        <row r="187">
          <cell r="A187">
            <v>43651</v>
          </cell>
          <cell r="B187">
            <v>20</v>
          </cell>
        </row>
        <row r="188">
          <cell r="A188">
            <v>43652</v>
          </cell>
          <cell r="B188">
            <v>76</v>
          </cell>
        </row>
        <row r="189">
          <cell r="A189">
            <v>43653</v>
          </cell>
          <cell r="B189">
            <v>94</v>
          </cell>
        </row>
        <row r="190">
          <cell r="A190">
            <v>43654</v>
          </cell>
          <cell r="B190">
            <v>22</v>
          </cell>
        </row>
        <row r="191">
          <cell r="A191">
            <v>43655</v>
          </cell>
          <cell r="B191">
            <v>53</v>
          </cell>
        </row>
        <row r="192">
          <cell r="A192">
            <v>43656</v>
          </cell>
          <cell r="B192">
            <v>27</v>
          </cell>
        </row>
        <row r="193">
          <cell r="A193">
            <v>43657</v>
          </cell>
          <cell r="B193">
            <v>18</v>
          </cell>
        </row>
        <row r="194">
          <cell r="A194">
            <v>43658</v>
          </cell>
          <cell r="B194">
            <v>9</v>
          </cell>
        </row>
        <row r="195">
          <cell r="A195">
            <v>43659</v>
          </cell>
          <cell r="B195">
            <v>5</v>
          </cell>
        </row>
        <row r="196">
          <cell r="A196">
            <v>43660</v>
          </cell>
          <cell r="B196">
            <v>28</v>
          </cell>
        </row>
        <row r="197">
          <cell r="A197">
            <v>43661</v>
          </cell>
          <cell r="B197">
            <v>68</v>
          </cell>
        </row>
        <row r="198">
          <cell r="A198">
            <v>43662</v>
          </cell>
          <cell r="B198">
            <v>41</v>
          </cell>
        </row>
        <row r="199">
          <cell r="A199">
            <v>43663</v>
          </cell>
          <cell r="B199">
            <v>75</v>
          </cell>
        </row>
        <row r="200">
          <cell r="A200">
            <v>43664</v>
          </cell>
          <cell r="B200">
            <v>51</v>
          </cell>
        </row>
        <row r="201">
          <cell r="A201">
            <v>43665</v>
          </cell>
          <cell r="B201">
            <v>3</v>
          </cell>
        </row>
        <row r="202">
          <cell r="A202">
            <v>43666</v>
          </cell>
          <cell r="B202">
            <v>68</v>
          </cell>
        </row>
        <row r="203">
          <cell r="A203">
            <v>43667</v>
          </cell>
          <cell r="B203">
            <v>38</v>
          </cell>
        </row>
        <row r="204">
          <cell r="A204">
            <v>43668</v>
          </cell>
          <cell r="B204">
            <v>16</v>
          </cell>
        </row>
        <row r="205">
          <cell r="A205">
            <v>43669</v>
          </cell>
          <cell r="B205">
            <v>14</v>
          </cell>
        </row>
        <row r="206">
          <cell r="A206">
            <v>43670</v>
          </cell>
          <cell r="B206">
            <v>12</v>
          </cell>
        </row>
        <row r="207">
          <cell r="A207">
            <v>43671</v>
          </cell>
          <cell r="B207">
            <v>96</v>
          </cell>
        </row>
        <row r="208">
          <cell r="A208">
            <v>43672</v>
          </cell>
          <cell r="B208">
            <v>10</v>
          </cell>
        </row>
        <row r="209">
          <cell r="A209">
            <v>43673</v>
          </cell>
          <cell r="B209">
            <v>55</v>
          </cell>
        </row>
        <row r="210">
          <cell r="A210">
            <v>43674</v>
          </cell>
          <cell r="B210">
            <v>19</v>
          </cell>
        </row>
        <row r="211">
          <cell r="A211">
            <v>43675</v>
          </cell>
          <cell r="B211">
            <v>73</v>
          </cell>
        </row>
        <row r="212">
          <cell r="A212">
            <v>43676</v>
          </cell>
          <cell r="B212">
            <v>40</v>
          </cell>
        </row>
        <row r="213">
          <cell r="A213">
            <v>43677</v>
          </cell>
          <cell r="B213">
            <v>89</v>
          </cell>
        </row>
        <row r="214">
          <cell r="A214">
            <v>43678</v>
          </cell>
          <cell r="B214">
            <v>47</v>
          </cell>
        </row>
        <row r="215">
          <cell r="A215">
            <v>43679</v>
          </cell>
          <cell r="B215">
            <v>81</v>
          </cell>
        </row>
        <row r="216">
          <cell r="A216">
            <v>43680</v>
          </cell>
          <cell r="B216">
            <v>43</v>
          </cell>
        </row>
        <row r="217">
          <cell r="A217">
            <v>43681</v>
          </cell>
          <cell r="B217">
            <v>59</v>
          </cell>
        </row>
        <row r="218">
          <cell r="A218">
            <v>43682</v>
          </cell>
          <cell r="B218">
            <v>24</v>
          </cell>
        </row>
        <row r="219">
          <cell r="A219">
            <v>43683</v>
          </cell>
          <cell r="B219">
            <v>70</v>
          </cell>
        </row>
        <row r="220">
          <cell r="A220">
            <v>43684</v>
          </cell>
          <cell r="B220">
            <v>14</v>
          </cell>
        </row>
        <row r="221">
          <cell r="A221">
            <v>43685</v>
          </cell>
          <cell r="B221">
            <v>77</v>
          </cell>
        </row>
        <row r="222">
          <cell r="A222">
            <v>43686</v>
          </cell>
          <cell r="B222">
            <v>72</v>
          </cell>
        </row>
        <row r="223">
          <cell r="A223">
            <v>43687</v>
          </cell>
          <cell r="B223">
            <v>83</v>
          </cell>
        </row>
        <row r="224">
          <cell r="A224">
            <v>43688</v>
          </cell>
          <cell r="B224">
            <v>24</v>
          </cell>
        </row>
        <row r="225">
          <cell r="A225">
            <v>43689</v>
          </cell>
          <cell r="B225">
            <v>1</v>
          </cell>
        </row>
        <row r="226">
          <cell r="A226">
            <v>43690</v>
          </cell>
          <cell r="B226">
            <v>7</v>
          </cell>
        </row>
        <row r="227">
          <cell r="A227">
            <v>43691</v>
          </cell>
          <cell r="B227">
            <v>62</v>
          </cell>
        </row>
        <row r="228">
          <cell r="A228">
            <v>43692</v>
          </cell>
          <cell r="B228">
            <v>75</v>
          </cell>
        </row>
        <row r="229">
          <cell r="A229">
            <v>43693</v>
          </cell>
          <cell r="B229">
            <v>64</v>
          </cell>
        </row>
        <row r="230">
          <cell r="A230">
            <v>43694</v>
          </cell>
          <cell r="B230">
            <v>26</v>
          </cell>
        </row>
        <row r="231">
          <cell r="A231">
            <v>43695</v>
          </cell>
          <cell r="B231">
            <v>38</v>
          </cell>
        </row>
        <row r="232">
          <cell r="A232">
            <v>43696</v>
          </cell>
          <cell r="B232">
            <v>63</v>
          </cell>
        </row>
        <row r="233">
          <cell r="A233">
            <v>43697</v>
          </cell>
          <cell r="B233">
            <v>26</v>
          </cell>
        </row>
        <row r="234">
          <cell r="A234">
            <v>43698</v>
          </cell>
          <cell r="B234">
            <v>18</v>
          </cell>
        </row>
        <row r="235">
          <cell r="A235">
            <v>43699</v>
          </cell>
          <cell r="B235">
            <v>96</v>
          </cell>
        </row>
        <row r="236">
          <cell r="A236">
            <v>43700</v>
          </cell>
          <cell r="B236">
            <v>44</v>
          </cell>
        </row>
        <row r="237">
          <cell r="A237">
            <v>43701</v>
          </cell>
          <cell r="B237">
            <v>18</v>
          </cell>
        </row>
        <row r="238">
          <cell r="A238">
            <v>43702</v>
          </cell>
          <cell r="B238">
            <v>68</v>
          </cell>
        </row>
        <row r="239">
          <cell r="A239">
            <v>43703</v>
          </cell>
          <cell r="B239">
            <v>17</v>
          </cell>
        </row>
        <row r="240">
          <cell r="A240">
            <v>43704</v>
          </cell>
          <cell r="B240">
            <v>13</v>
          </cell>
        </row>
        <row r="241">
          <cell r="A241">
            <v>43705</v>
          </cell>
          <cell r="B241">
            <v>35</v>
          </cell>
        </row>
        <row r="242">
          <cell r="A242">
            <v>43706</v>
          </cell>
          <cell r="B242">
            <v>47</v>
          </cell>
        </row>
        <row r="243">
          <cell r="A243">
            <v>43707</v>
          </cell>
          <cell r="B243">
            <v>26</v>
          </cell>
        </row>
        <row r="244">
          <cell r="A244">
            <v>43708</v>
          </cell>
          <cell r="B244">
            <v>43</v>
          </cell>
        </row>
        <row r="245">
          <cell r="A245">
            <v>43709</v>
          </cell>
          <cell r="B245">
            <v>90</v>
          </cell>
        </row>
        <row r="246">
          <cell r="A246">
            <v>43710</v>
          </cell>
          <cell r="B246">
            <v>6</v>
          </cell>
        </row>
        <row r="247">
          <cell r="A247">
            <v>43711</v>
          </cell>
          <cell r="B247">
            <v>64</v>
          </cell>
        </row>
        <row r="248">
          <cell r="A248">
            <v>43712</v>
          </cell>
          <cell r="B248">
            <v>96</v>
          </cell>
        </row>
        <row r="249">
          <cell r="A249">
            <v>43713</v>
          </cell>
          <cell r="B249">
            <v>96</v>
          </cell>
        </row>
        <row r="250">
          <cell r="A250">
            <v>43714</v>
          </cell>
          <cell r="B250">
            <v>10</v>
          </cell>
        </row>
        <row r="251">
          <cell r="A251">
            <v>43715</v>
          </cell>
          <cell r="B251">
            <v>72</v>
          </cell>
        </row>
        <row r="252">
          <cell r="A252">
            <v>43716</v>
          </cell>
          <cell r="B252">
            <v>21</v>
          </cell>
        </row>
        <row r="253">
          <cell r="A253">
            <v>43717</v>
          </cell>
          <cell r="B253">
            <v>73</v>
          </cell>
        </row>
        <row r="254">
          <cell r="A254">
            <v>43718</v>
          </cell>
          <cell r="B254">
            <v>96</v>
          </cell>
        </row>
        <row r="255">
          <cell r="A255">
            <v>43719</v>
          </cell>
          <cell r="B255">
            <v>5</v>
          </cell>
        </row>
        <row r="256">
          <cell r="A256">
            <v>43720</v>
          </cell>
          <cell r="B256">
            <v>78</v>
          </cell>
        </row>
        <row r="257">
          <cell r="A257">
            <v>43721</v>
          </cell>
          <cell r="B257">
            <v>89</v>
          </cell>
        </row>
        <row r="258">
          <cell r="A258">
            <v>43722</v>
          </cell>
          <cell r="B258">
            <v>61</v>
          </cell>
        </row>
        <row r="259">
          <cell r="A259">
            <v>43723</v>
          </cell>
          <cell r="B259">
            <v>97</v>
          </cell>
        </row>
        <row r="260">
          <cell r="A260">
            <v>43724</v>
          </cell>
          <cell r="B260">
            <v>84</v>
          </cell>
        </row>
        <row r="261">
          <cell r="A261">
            <v>43725</v>
          </cell>
          <cell r="B261">
            <v>15</v>
          </cell>
        </row>
        <row r="262">
          <cell r="A262">
            <v>43726</v>
          </cell>
          <cell r="B262">
            <v>80</v>
          </cell>
        </row>
        <row r="263">
          <cell r="A263">
            <v>43727</v>
          </cell>
          <cell r="B263">
            <v>48</v>
          </cell>
        </row>
        <row r="264">
          <cell r="A264">
            <v>43728</v>
          </cell>
          <cell r="B264">
            <v>21</v>
          </cell>
        </row>
        <row r="265">
          <cell r="A265">
            <v>43729</v>
          </cell>
          <cell r="B265">
            <v>31</v>
          </cell>
        </row>
        <row r="266">
          <cell r="A266">
            <v>43730</v>
          </cell>
          <cell r="B266">
            <v>55</v>
          </cell>
        </row>
        <row r="267">
          <cell r="A267">
            <v>43731</v>
          </cell>
          <cell r="B267">
            <v>16</v>
          </cell>
        </row>
        <row r="268">
          <cell r="A268">
            <v>43732</v>
          </cell>
          <cell r="B268">
            <v>8</v>
          </cell>
        </row>
        <row r="269">
          <cell r="A269">
            <v>43733</v>
          </cell>
          <cell r="B269">
            <v>51</v>
          </cell>
        </row>
        <row r="270">
          <cell r="A270">
            <v>43734</v>
          </cell>
          <cell r="B270">
            <v>72</v>
          </cell>
        </row>
        <row r="271">
          <cell r="A271">
            <v>43735</v>
          </cell>
          <cell r="B271">
            <v>29</v>
          </cell>
        </row>
        <row r="272">
          <cell r="A272">
            <v>43736</v>
          </cell>
          <cell r="B272">
            <v>93</v>
          </cell>
        </row>
        <row r="273">
          <cell r="A273">
            <v>43737</v>
          </cell>
          <cell r="B273">
            <v>21</v>
          </cell>
        </row>
        <row r="274">
          <cell r="A274">
            <v>43738</v>
          </cell>
          <cell r="B274">
            <v>28</v>
          </cell>
        </row>
        <row r="275">
          <cell r="A275">
            <v>43739</v>
          </cell>
          <cell r="B275">
            <v>48</v>
          </cell>
        </row>
        <row r="276">
          <cell r="A276">
            <v>43740</v>
          </cell>
          <cell r="B276">
            <v>51</v>
          </cell>
        </row>
        <row r="277">
          <cell r="A277">
            <v>43741</v>
          </cell>
          <cell r="B277">
            <v>20</v>
          </cell>
        </row>
        <row r="278">
          <cell r="A278">
            <v>43742</v>
          </cell>
          <cell r="B278">
            <v>86</v>
          </cell>
        </row>
        <row r="279">
          <cell r="A279">
            <v>43743</v>
          </cell>
          <cell r="B279">
            <v>18</v>
          </cell>
        </row>
        <row r="280">
          <cell r="A280">
            <v>43744</v>
          </cell>
          <cell r="B280">
            <v>73</v>
          </cell>
        </row>
        <row r="281">
          <cell r="A281">
            <v>43745</v>
          </cell>
          <cell r="B281">
            <v>87</v>
          </cell>
        </row>
        <row r="282">
          <cell r="A282">
            <v>43746</v>
          </cell>
          <cell r="B282">
            <v>60</v>
          </cell>
        </row>
        <row r="283">
          <cell r="A283">
            <v>43747</v>
          </cell>
          <cell r="B283">
            <v>94</v>
          </cell>
        </row>
        <row r="284">
          <cell r="A284">
            <v>43748</v>
          </cell>
          <cell r="B284">
            <v>8</v>
          </cell>
        </row>
        <row r="285">
          <cell r="A285">
            <v>43749</v>
          </cell>
          <cell r="B285">
            <v>87</v>
          </cell>
        </row>
        <row r="286">
          <cell r="A286">
            <v>43750</v>
          </cell>
          <cell r="B286">
            <v>57</v>
          </cell>
        </row>
        <row r="287">
          <cell r="A287">
            <v>43751</v>
          </cell>
          <cell r="B287">
            <v>49</v>
          </cell>
        </row>
        <row r="288">
          <cell r="A288">
            <v>43752</v>
          </cell>
          <cell r="B288">
            <v>74</v>
          </cell>
        </row>
        <row r="289">
          <cell r="A289">
            <v>43753</v>
          </cell>
          <cell r="B289">
            <v>72</v>
          </cell>
        </row>
        <row r="290">
          <cell r="A290">
            <v>43754</v>
          </cell>
          <cell r="B290">
            <v>7</v>
          </cell>
        </row>
        <row r="291">
          <cell r="A291">
            <v>43755</v>
          </cell>
          <cell r="B291">
            <v>97</v>
          </cell>
        </row>
        <row r="292">
          <cell r="A292">
            <v>43756</v>
          </cell>
          <cell r="B292">
            <v>48</v>
          </cell>
        </row>
        <row r="293">
          <cell r="A293">
            <v>43757</v>
          </cell>
          <cell r="B293">
            <v>15</v>
          </cell>
        </row>
        <row r="294">
          <cell r="A294">
            <v>43758</v>
          </cell>
          <cell r="B294">
            <v>6</v>
          </cell>
        </row>
        <row r="295">
          <cell r="A295">
            <v>43759</v>
          </cell>
          <cell r="B295">
            <v>18</v>
          </cell>
        </row>
        <row r="296">
          <cell r="A296">
            <v>43760</v>
          </cell>
          <cell r="B296">
            <v>85</v>
          </cell>
        </row>
        <row r="297">
          <cell r="A297">
            <v>43761</v>
          </cell>
          <cell r="B297">
            <v>89</v>
          </cell>
        </row>
        <row r="298">
          <cell r="A298">
            <v>43762</v>
          </cell>
          <cell r="B298">
            <v>41</v>
          </cell>
        </row>
        <row r="299">
          <cell r="A299">
            <v>43763</v>
          </cell>
          <cell r="B299">
            <v>78</v>
          </cell>
        </row>
        <row r="300">
          <cell r="A300">
            <v>43764</v>
          </cell>
          <cell r="B300">
            <v>7</v>
          </cell>
        </row>
        <row r="301">
          <cell r="A301">
            <v>43765</v>
          </cell>
          <cell r="B301">
            <v>18</v>
          </cell>
        </row>
        <row r="302">
          <cell r="A302">
            <v>43766</v>
          </cell>
          <cell r="B302">
            <v>16</v>
          </cell>
        </row>
        <row r="303">
          <cell r="A303">
            <v>43767</v>
          </cell>
          <cell r="B303">
            <v>39</v>
          </cell>
        </row>
        <row r="304">
          <cell r="A304">
            <v>43768</v>
          </cell>
          <cell r="B304">
            <v>21</v>
          </cell>
        </row>
        <row r="305">
          <cell r="A305">
            <v>43769</v>
          </cell>
          <cell r="B305">
            <v>40</v>
          </cell>
        </row>
        <row r="306">
          <cell r="A306">
            <v>43770</v>
          </cell>
          <cell r="B306">
            <v>31</v>
          </cell>
        </row>
        <row r="307">
          <cell r="A307">
            <v>43771</v>
          </cell>
          <cell r="B307">
            <v>52</v>
          </cell>
        </row>
        <row r="308">
          <cell r="A308">
            <v>43772</v>
          </cell>
          <cell r="B308">
            <v>38</v>
          </cell>
        </row>
        <row r="309">
          <cell r="A309">
            <v>43773</v>
          </cell>
          <cell r="B309">
            <v>99</v>
          </cell>
        </row>
        <row r="310">
          <cell r="A310">
            <v>43774</v>
          </cell>
          <cell r="B310">
            <v>58</v>
          </cell>
        </row>
        <row r="311">
          <cell r="A311">
            <v>43775</v>
          </cell>
          <cell r="B311">
            <v>20</v>
          </cell>
        </row>
        <row r="312">
          <cell r="A312">
            <v>43776</v>
          </cell>
          <cell r="B312">
            <v>38</v>
          </cell>
        </row>
        <row r="313">
          <cell r="A313">
            <v>43777</v>
          </cell>
          <cell r="B313">
            <v>46</v>
          </cell>
        </row>
        <row r="314">
          <cell r="A314">
            <v>43778</v>
          </cell>
          <cell r="B314">
            <v>13</v>
          </cell>
        </row>
        <row r="315">
          <cell r="A315">
            <v>43779</v>
          </cell>
          <cell r="B315">
            <v>34</v>
          </cell>
        </row>
        <row r="316">
          <cell r="A316">
            <v>43780</v>
          </cell>
          <cell r="B316">
            <v>22</v>
          </cell>
        </row>
        <row r="317">
          <cell r="A317">
            <v>43781</v>
          </cell>
          <cell r="B317">
            <v>64</v>
          </cell>
        </row>
        <row r="318">
          <cell r="A318">
            <v>43782</v>
          </cell>
          <cell r="B318">
            <v>44</v>
          </cell>
        </row>
        <row r="319">
          <cell r="A319">
            <v>43783</v>
          </cell>
          <cell r="B319">
            <v>21</v>
          </cell>
        </row>
        <row r="320">
          <cell r="A320">
            <v>43784</v>
          </cell>
          <cell r="B320">
            <v>16</v>
          </cell>
        </row>
        <row r="321">
          <cell r="A321">
            <v>43785</v>
          </cell>
          <cell r="B321">
            <v>84</v>
          </cell>
        </row>
        <row r="322">
          <cell r="A322">
            <v>43786</v>
          </cell>
          <cell r="B322">
            <v>82</v>
          </cell>
        </row>
        <row r="323">
          <cell r="A323">
            <v>43787</v>
          </cell>
          <cell r="B323">
            <v>64</v>
          </cell>
        </row>
        <row r="324">
          <cell r="A324">
            <v>43788</v>
          </cell>
          <cell r="B324">
            <v>95</v>
          </cell>
        </row>
        <row r="325">
          <cell r="A325">
            <v>43789</v>
          </cell>
          <cell r="B325">
            <v>71</v>
          </cell>
        </row>
        <row r="326">
          <cell r="A326">
            <v>43790</v>
          </cell>
          <cell r="B326">
            <v>30</v>
          </cell>
        </row>
        <row r="327">
          <cell r="A327">
            <v>43791</v>
          </cell>
          <cell r="B327">
            <v>23</v>
          </cell>
        </row>
        <row r="328">
          <cell r="A328">
            <v>43792</v>
          </cell>
          <cell r="B328">
            <v>63</v>
          </cell>
        </row>
        <row r="329">
          <cell r="A329">
            <v>43793</v>
          </cell>
          <cell r="B329">
            <v>12</v>
          </cell>
        </row>
        <row r="330">
          <cell r="A330">
            <v>43794</v>
          </cell>
          <cell r="B330">
            <v>81</v>
          </cell>
        </row>
        <row r="331">
          <cell r="A331">
            <v>43795</v>
          </cell>
          <cell r="B331">
            <v>54</v>
          </cell>
        </row>
        <row r="332">
          <cell r="A332">
            <v>43796</v>
          </cell>
          <cell r="B332">
            <v>89</v>
          </cell>
        </row>
        <row r="333">
          <cell r="A333">
            <v>43797</v>
          </cell>
          <cell r="B333">
            <v>34</v>
          </cell>
        </row>
        <row r="334">
          <cell r="A334">
            <v>43798</v>
          </cell>
          <cell r="B334">
            <v>21</v>
          </cell>
        </row>
        <row r="335">
          <cell r="A335">
            <v>43799</v>
          </cell>
          <cell r="B335">
            <v>55</v>
          </cell>
        </row>
        <row r="336">
          <cell r="A336">
            <v>43800</v>
          </cell>
          <cell r="B336">
            <v>83</v>
          </cell>
        </row>
        <row r="337">
          <cell r="A337">
            <v>43801</v>
          </cell>
          <cell r="B337">
            <v>39</v>
          </cell>
        </row>
        <row r="338">
          <cell r="A338">
            <v>43802</v>
          </cell>
          <cell r="B338">
            <v>67</v>
          </cell>
        </row>
        <row r="339">
          <cell r="A339">
            <v>43803</v>
          </cell>
          <cell r="B339">
            <v>67</v>
          </cell>
        </row>
        <row r="340">
          <cell r="A340">
            <v>43804</v>
          </cell>
          <cell r="B340">
            <v>5</v>
          </cell>
        </row>
        <row r="341">
          <cell r="A341">
            <v>43805</v>
          </cell>
          <cell r="B341">
            <v>23</v>
          </cell>
        </row>
        <row r="342">
          <cell r="A342">
            <v>43806</v>
          </cell>
          <cell r="B342">
            <v>99</v>
          </cell>
        </row>
        <row r="343">
          <cell r="A343">
            <v>43807</v>
          </cell>
          <cell r="B343">
            <v>73</v>
          </cell>
        </row>
        <row r="344">
          <cell r="A344">
            <v>43808</v>
          </cell>
          <cell r="B344">
            <v>50</v>
          </cell>
        </row>
        <row r="345">
          <cell r="A345">
            <v>43809</v>
          </cell>
          <cell r="B345">
            <v>62</v>
          </cell>
        </row>
        <row r="346">
          <cell r="A346">
            <v>43810</v>
          </cell>
          <cell r="B346">
            <v>42</v>
          </cell>
        </row>
        <row r="347">
          <cell r="A347">
            <v>43811</v>
          </cell>
          <cell r="B347">
            <v>72</v>
          </cell>
        </row>
        <row r="348">
          <cell r="A348">
            <v>43812</v>
          </cell>
          <cell r="B348">
            <v>12</v>
          </cell>
        </row>
        <row r="349">
          <cell r="A349">
            <v>43813</v>
          </cell>
          <cell r="B349">
            <v>91</v>
          </cell>
        </row>
        <row r="350">
          <cell r="A350">
            <v>43814</v>
          </cell>
          <cell r="B350">
            <v>74</v>
          </cell>
        </row>
        <row r="351">
          <cell r="A351">
            <v>43815</v>
          </cell>
          <cell r="B351">
            <v>87</v>
          </cell>
        </row>
        <row r="352">
          <cell r="A352">
            <v>43816</v>
          </cell>
          <cell r="B352">
            <v>10</v>
          </cell>
        </row>
        <row r="353">
          <cell r="A353">
            <v>43817</v>
          </cell>
          <cell r="B353">
            <v>48</v>
          </cell>
        </row>
        <row r="354">
          <cell r="A354">
            <v>43818</v>
          </cell>
          <cell r="B354">
            <v>38</v>
          </cell>
        </row>
        <row r="355">
          <cell r="A355">
            <v>43819</v>
          </cell>
          <cell r="B355">
            <v>80</v>
          </cell>
        </row>
        <row r="356">
          <cell r="A356">
            <v>43820</v>
          </cell>
          <cell r="B356">
            <v>63</v>
          </cell>
        </row>
        <row r="357">
          <cell r="A357">
            <v>43821</v>
          </cell>
          <cell r="B357">
            <v>10</v>
          </cell>
        </row>
        <row r="358">
          <cell r="A358">
            <v>43822</v>
          </cell>
          <cell r="B358">
            <v>17</v>
          </cell>
        </row>
        <row r="359">
          <cell r="A359">
            <v>43823</v>
          </cell>
          <cell r="B359">
            <v>14</v>
          </cell>
        </row>
        <row r="360">
          <cell r="A360">
            <v>43824</v>
          </cell>
          <cell r="B360">
            <v>3</v>
          </cell>
        </row>
        <row r="361">
          <cell r="A361">
            <v>43825</v>
          </cell>
          <cell r="B361">
            <v>24</v>
          </cell>
        </row>
        <row r="362">
          <cell r="A362">
            <v>43826</v>
          </cell>
          <cell r="B362">
            <v>41</v>
          </cell>
        </row>
        <row r="363">
          <cell r="A363">
            <v>43827</v>
          </cell>
          <cell r="B363">
            <v>20</v>
          </cell>
        </row>
        <row r="364">
          <cell r="A364">
            <v>43828</v>
          </cell>
          <cell r="B364">
            <v>92</v>
          </cell>
        </row>
        <row r="365">
          <cell r="A365">
            <v>43829</v>
          </cell>
          <cell r="B365">
            <v>7</v>
          </cell>
        </row>
        <row r="366">
          <cell r="A366">
            <v>43830</v>
          </cell>
          <cell r="B366">
            <v>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L2">
            <v>43466</v>
          </cell>
        </row>
        <row r="3">
          <cell r="L3">
            <v>43491</v>
          </cell>
        </row>
        <row r="4">
          <cell r="L4">
            <v>43532</v>
          </cell>
        </row>
        <row r="5">
          <cell r="L5">
            <v>43556</v>
          </cell>
        </row>
        <row r="6">
          <cell r="L6">
            <v>43586</v>
          </cell>
        </row>
        <row r="7">
          <cell r="L7">
            <v>43622</v>
          </cell>
        </row>
        <row r="8">
          <cell r="L8">
            <v>43545</v>
          </cell>
        </row>
        <row r="9">
          <cell r="L9">
            <v>43692</v>
          </cell>
        </row>
        <row r="10">
          <cell r="L10">
            <v>43740</v>
          </cell>
        </row>
        <row r="11">
          <cell r="L11">
            <v>43783</v>
          </cell>
        </row>
        <row r="12">
          <cell r="L12">
            <v>43824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Calendar"/>
      <sheetName val="Cal_Pics"/>
    </sheetNames>
    <sheetDataSet>
      <sheetData sheetId="0" refreshError="1"/>
      <sheetData sheetId="1" refreshError="1"/>
      <sheetData sheetId="2">
        <row r="1">
          <cell r="A1">
            <v>1</v>
          </cell>
        </row>
        <row r="2">
          <cell r="A2">
            <v>2</v>
          </cell>
          <cell r="K2">
            <v>1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Stock"/>
    </sheetNames>
    <sheetDataSet>
      <sheetData sheetId="0" refreshError="1"/>
      <sheetData sheetId="1" refreshError="1">
        <row r="5">
          <cell r="B5" t="str">
            <v>Item</v>
          </cell>
          <cell r="C5" t="str">
            <v>Price</v>
          </cell>
          <cell r="D5" t="str">
            <v xml:space="preserve"> Total Quantit</v>
          </cell>
        </row>
        <row r="6">
          <cell r="B6" t="str">
            <v>Mouse</v>
          </cell>
          <cell r="C6">
            <v>120</v>
          </cell>
          <cell r="D6">
            <v>100</v>
          </cell>
        </row>
        <row r="7">
          <cell r="B7" t="str">
            <v>Keyboard</v>
          </cell>
          <cell r="C7">
            <v>150</v>
          </cell>
          <cell r="D7">
            <v>150</v>
          </cell>
        </row>
        <row r="8">
          <cell r="B8" t="str">
            <v>Scanner</v>
          </cell>
          <cell r="C8">
            <v>1200</v>
          </cell>
          <cell r="D8">
            <v>1188</v>
          </cell>
        </row>
        <row r="9">
          <cell r="B9" t="str">
            <v>Printer</v>
          </cell>
          <cell r="C9">
            <v>4000</v>
          </cell>
          <cell r="D9">
            <v>4000</v>
          </cell>
        </row>
        <row r="10">
          <cell r="B10" t="str">
            <v>Modem</v>
          </cell>
          <cell r="C10">
            <v>5000</v>
          </cell>
          <cell r="D10">
            <v>5000</v>
          </cell>
        </row>
        <row r="11">
          <cell r="B11" t="str">
            <v>Camera</v>
          </cell>
          <cell r="C11">
            <v>2000</v>
          </cell>
          <cell r="D11">
            <v>2000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k1"/>
      <sheetName val="Task2"/>
      <sheetName val="Task3"/>
      <sheetName val="Task4"/>
      <sheetName val="Task5"/>
      <sheetName val="Task6"/>
      <sheetName val="Task7"/>
      <sheetName val="Task12"/>
      <sheetName val="Task8"/>
      <sheetName val="Task9"/>
      <sheetName val="Task10"/>
      <sheetName val="Task11"/>
      <sheetName val="Task13"/>
      <sheetName val="Task14"/>
      <sheetName val="Task16"/>
      <sheetName val="Task17"/>
      <sheetName val="Task18"/>
      <sheetName val="Task19"/>
      <sheetName val="Task20"/>
      <sheetName val="Task21"/>
      <sheetName val="Task22"/>
      <sheetName val="Task23"/>
      <sheetName val="Task24"/>
      <sheetName val="Task25"/>
      <sheetName val="Task26"/>
      <sheetName val="Task27"/>
      <sheetName val="Task28"/>
      <sheetName val="Task29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4114.8505681713" createdVersion="6" refreshedVersion="6" minRefreshableVersion="3" recordCount="723" xr:uid="{692E3D5F-2DAC-487B-97AE-A36D06F7A7E8}">
  <cacheSource type="worksheet">
    <worksheetSource ref="A1:E724" sheet="Q3"/>
  </cacheSource>
  <cacheFields count="6">
    <cacheField name="Date" numFmtId="14">
      <sharedItems containsSemiMixedTypes="0" containsNonDate="0" containsDate="1" containsString="0" minDate="2016-01-02T00:00:00" maxDate="2018-01-01T00:00:00" count="444">
        <d v="2017-08-30T00:00:00"/>
        <d v="2017-07-02T00:00:00"/>
        <d v="2017-11-17T00:00:00"/>
        <d v="2016-11-28T00:00:00"/>
        <d v="2016-09-08T00:00:00"/>
        <d v="2016-07-16T00:00:00"/>
        <d v="2017-06-07T00:00:00"/>
        <d v="2017-02-17T00:00:00"/>
        <d v="2016-09-02T00:00:00"/>
        <d v="2017-02-19T00:00:00"/>
        <d v="2016-07-09T00:00:00"/>
        <d v="2017-08-12T00:00:00"/>
        <d v="2016-09-17T00:00:00"/>
        <d v="2017-03-28T00:00:00"/>
        <d v="2016-03-06T00:00:00"/>
        <d v="2016-10-14T00:00:00"/>
        <d v="2016-05-03T00:00:00"/>
        <d v="2016-07-17T00:00:00"/>
        <d v="2016-05-20T00:00:00"/>
        <d v="2017-01-09T00:00:00"/>
        <d v="2016-06-22T00:00:00"/>
        <d v="2017-02-22T00:00:00"/>
        <d v="2016-08-10T00:00:00"/>
        <d v="2016-10-11T00:00:00"/>
        <d v="2017-02-03T00:00:00"/>
        <d v="2016-03-18T00:00:00"/>
        <d v="2017-06-12T00:00:00"/>
        <d v="2016-06-11T00:00:00"/>
        <d v="2016-04-07T00:00:00"/>
        <d v="2017-08-02T00:00:00"/>
        <d v="2017-11-19T00:00:00"/>
        <d v="2016-08-24T00:00:00"/>
        <d v="2016-05-01T00:00:00"/>
        <d v="2016-04-27T00:00:00"/>
        <d v="2017-06-09T00:00:00"/>
        <d v="2016-09-06T00:00:00"/>
        <d v="2016-05-09T00:00:00"/>
        <d v="2016-04-05T00:00:00"/>
        <d v="2017-08-05T00:00:00"/>
        <d v="2016-03-24T00:00:00"/>
        <d v="2016-01-10T00:00:00"/>
        <d v="2016-09-19T00:00:00"/>
        <d v="2016-11-16T00:00:00"/>
        <d v="2017-03-20T00:00:00"/>
        <d v="2016-06-21T00:00:00"/>
        <d v="2016-08-07T00:00:00"/>
        <d v="2016-09-04T00:00:00"/>
        <d v="2016-01-18T00:00:00"/>
        <d v="2017-04-10T00:00:00"/>
        <d v="2017-04-24T00:00:00"/>
        <d v="2016-11-02T00:00:00"/>
        <d v="2017-10-30T00:00:00"/>
        <d v="2016-08-28T00:00:00"/>
        <d v="2016-04-28T00:00:00"/>
        <d v="2017-07-12T00:00:00"/>
        <d v="2016-04-26T00:00:00"/>
        <d v="2016-02-03T00:00:00"/>
        <d v="2016-10-20T00:00:00"/>
        <d v="2016-09-05T00:00:00"/>
        <d v="2016-09-26T00:00:00"/>
        <d v="2017-09-02T00:00:00"/>
        <d v="2016-09-01T00:00:00"/>
        <d v="2016-02-12T00:00:00"/>
        <d v="2017-05-10T00:00:00"/>
        <d v="2016-09-10T00:00:00"/>
        <d v="2016-11-23T00:00:00"/>
        <d v="2017-03-14T00:00:00"/>
        <d v="2017-08-15T00:00:00"/>
        <d v="2017-04-02T00:00:00"/>
        <d v="2016-03-16T00:00:00"/>
        <d v="2017-10-25T00:00:00"/>
        <d v="2017-08-13T00:00:00"/>
        <d v="2017-03-31T00:00:00"/>
        <d v="2017-09-01T00:00:00"/>
        <d v="2016-11-25T00:00:00"/>
        <d v="2016-08-23T00:00:00"/>
        <d v="2017-05-28T00:00:00"/>
        <d v="2017-03-01T00:00:00"/>
        <d v="2016-12-11T00:00:00"/>
        <d v="2017-03-23T00:00:00"/>
        <d v="2016-10-15T00:00:00"/>
        <d v="2016-08-13T00:00:00"/>
        <d v="2016-05-22T00:00:00"/>
        <d v="2017-12-12T00:00:00"/>
        <d v="2016-05-06T00:00:00"/>
        <d v="2016-08-14T00:00:00"/>
        <d v="2016-10-02T00:00:00"/>
        <d v="2017-08-06T00:00:00"/>
        <d v="2016-05-18T00:00:00"/>
        <d v="2017-06-29T00:00:00"/>
        <d v="2016-10-08T00:00:00"/>
        <d v="2016-02-10T00:00:00"/>
        <d v="2017-10-13T00:00:00"/>
        <d v="2016-03-10T00:00:00"/>
        <d v="2016-11-15T00:00:00"/>
        <d v="2017-03-05T00:00:00"/>
        <d v="2016-12-03T00:00:00"/>
        <d v="2016-02-21T00:00:00"/>
        <d v="2016-02-06T00:00:00"/>
        <d v="2017-09-20T00:00:00"/>
        <d v="2016-08-22T00:00:00"/>
        <d v="2017-05-20T00:00:00"/>
        <d v="2017-12-01T00:00:00"/>
        <d v="2017-12-08T00:00:00"/>
        <d v="2017-09-24T00:00:00"/>
        <d v="2017-05-21T00:00:00"/>
        <d v="2016-07-15T00:00:00"/>
        <d v="2017-07-04T00:00:00"/>
        <d v="2017-10-14T00:00:00"/>
        <d v="2017-03-29T00:00:00"/>
        <d v="2017-05-17T00:00:00"/>
        <d v="2016-11-14T00:00:00"/>
        <d v="2017-04-27T00:00:00"/>
        <d v="2017-05-01T00:00:00"/>
        <d v="2017-03-27T00:00:00"/>
        <d v="2016-04-18T00:00:00"/>
        <d v="2017-01-10T00:00:00"/>
        <d v="2016-04-20T00:00:00"/>
        <d v="2016-01-03T00:00:00"/>
        <d v="2016-03-15T00:00:00"/>
        <d v="2017-12-14T00:00:00"/>
        <d v="2017-07-31T00:00:00"/>
        <d v="2017-10-04T00:00:00"/>
        <d v="2016-01-07T00:00:00"/>
        <d v="2016-12-26T00:00:00"/>
        <d v="2016-05-27T00:00:00"/>
        <d v="2017-12-04T00:00:00"/>
        <d v="2016-01-27T00:00:00"/>
        <d v="2017-08-01T00:00:00"/>
        <d v="2016-08-03T00:00:00"/>
        <d v="2016-06-02T00:00:00"/>
        <d v="2017-07-07T00:00:00"/>
        <d v="2016-04-13T00:00:00"/>
        <d v="2016-05-19T00:00:00"/>
        <d v="2017-08-07T00:00:00"/>
        <d v="2016-08-16T00:00:00"/>
        <d v="2017-08-14T00:00:00"/>
        <d v="2016-12-02T00:00:00"/>
        <d v="2017-05-30T00:00:00"/>
        <d v="2017-04-06T00:00:00"/>
        <d v="2017-10-22T00:00:00"/>
        <d v="2017-04-03T00:00:00"/>
        <d v="2016-07-20T00:00:00"/>
        <d v="2016-12-31T00:00:00"/>
        <d v="2016-07-08T00:00:00"/>
        <d v="2016-01-23T00:00:00"/>
        <d v="2016-12-08T00:00:00"/>
        <d v="2017-07-11T00:00:00"/>
        <d v="2016-06-09T00:00:00"/>
        <d v="2017-08-17T00:00:00"/>
        <d v="2017-01-26T00:00:00"/>
        <d v="2016-02-02T00:00:00"/>
        <d v="2016-12-10T00:00:00"/>
        <d v="2017-11-18T00:00:00"/>
        <d v="2016-05-24T00:00:00"/>
        <d v="2016-11-13T00:00:00"/>
        <d v="2016-03-04T00:00:00"/>
        <d v="2017-06-04T00:00:00"/>
        <d v="2016-06-07T00:00:00"/>
        <d v="2016-02-05T00:00:00"/>
        <d v="2017-08-19T00:00:00"/>
        <d v="2017-11-02T00:00:00"/>
        <d v="2016-07-19T00:00:00"/>
        <d v="2016-06-04T00:00:00"/>
        <d v="2017-12-18T00:00:00"/>
        <d v="2016-12-25T00:00:00"/>
        <d v="2016-12-13T00:00:00"/>
        <d v="2016-07-04T00:00:00"/>
        <d v="2017-08-11T00:00:00"/>
        <d v="2017-07-17T00:00:00"/>
        <d v="2017-12-16T00:00:00"/>
        <d v="2017-09-21T00:00:00"/>
        <d v="2017-07-18T00:00:00"/>
        <d v="2016-05-11T00:00:00"/>
        <d v="2017-12-15T00:00:00"/>
        <d v="2016-10-10T00:00:00"/>
        <d v="2016-08-12T00:00:00"/>
        <d v="2017-09-19T00:00:00"/>
        <d v="2017-11-12T00:00:00"/>
        <d v="2016-05-15T00:00:00"/>
        <d v="2016-05-13T00:00:00"/>
        <d v="2016-04-17T00:00:00"/>
        <d v="2017-11-09T00:00:00"/>
        <d v="2016-02-01T00:00:00"/>
        <d v="2017-12-11T00:00:00"/>
        <d v="2017-06-20T00:00:00"/>
        <d v="2016-02-23T00:00:00"/>
        <d v="2016-05-25T00:00:00"/>
        <d v="2016-01-05T00:00:00"/>
        <d v="2017-11-08T00:00:00"/>
        <d v="2016-05-31T00:00:00"/>
        <d v="2017-01-01T00:00:00"/>
        <d v="2017-07-09T00:00:00"/>
        <d v="2016-04-09T00:00:00"/>
        <d v="2016-08-01T00:00:00"/>
        <d v="2016-10-23T00:00:00"/>
        <d v="2017-06-14T00:00:00"/>
        <d v="2017-12-22T00:00:00"/>
        <d v="2017-09-15T00:00:00"/>
        <d v="2017-10-03T00:00:00"/>
        <d v="2017-07-16T00:00:00"/>
        <d v="2016-09-18T00:00:00"/>
        <d v="2017-07-28T00:00:00"/>
        <d v="2016-06-28T00:00:00"/>
        <d v="2016-08-21T00:00:00"/>
        <d v="2016-10-26T00:00:00"/>
        <d v="2016-04-30T00:00:00"/>
        <d v="2016-01-16T00:00:00"/>
        <d v="2017-01-27T00:00:00"/>
        <d v="2017-04-18T00:00:00"/>
        <d v="2017-05-18T00:00:00"/>
        <d v="2017-07-20T00:00:00"/>
        <d v="2017-04-30T00:00:00"/>
        <d v="2016-04-16T00:00:00"/>
        <d v="2016-08-19T00:00:00"/>
        <d v="2017-04-20T00:00:00"/>
        <d v="2016-03-23T00:00:00"/>
        <d v="2017-04-15T00:00:00"/>
        <d v="2016-08-02T00:00:00"/>
        <d v="2016-06-19T00:00:00"/>
        <d v="2017-07-14T00:00:00"/>
        <d v="2017-08-03T00:00:00"/>
        <d v="2017-05-25T00:00:00"/>
        <d v="2017-01-06T00:00:00"/>
        <d v="2016-09-22T00:00:00"/>
        <d v="2016-06-13T00:00:00"/>
        <d v="2016-07-18T00:00:00"/>
        <d v="2016-02-18T00:00:00"/>
        <d v="2016-10-13T00:00:00"/>
        <d v="2016-03-20T00:00:00"/>
        <d v="2017-12-06T00:00:00"/>
        <d v="2017-07-03T00:00:00"/>
        <d v="2017-03-03T00:00:00"/>
        <d v="2016-10-16T00:00:00"/>
        <d v="2016-01-24T00:00:00"/>
        <d v="2016-03-17T00:00:00"/>
        <d v="2016-07-01T00:00:00"/>
        <d v="2016-02-22T00:00:00"/>
        <d v="2016-10-01T00:00:00"/>
        <d v="2017-02-05T00:00:00"/>
        <d v="2017-02-25T00:00:00"/>
        <d v="2016-12-01T00:00:00"/>
        <d v="2017-09-25T00:00:00"/>
        <d v="2016-07-13T00:00:00"/>
        <d v="2016-03-12T00:00:00"/>
        <d v="2017-04-13T00:00:00"/>
        <d v="2016-01-02T00:00:00"/>
        <d v="2016-04-01T00:00:00"/>
        <d v="2017-12-23T00:00:00"/>
        <d v="2017-07-24T00:00:00"/>
        <d v="2016-07-14T00:00:00"/>
        <d v="2016-01-14T00:00:00"/>
        <d v="2017-07-13T00:00:00"/>
        <d v="2016-07-05T00:00:00"/>
        <d v="2017-04-25T00:00:00"/>
        <d v="2017-04-29T00:00:00"/>
        <d v="2017-03-22T00:00:00"/>
        <d v="2017-09-13T00:00:00"/>
        <d v="2016-12-24T00:00:00"/>
        <d v="2016-01-28T00:00:00"/>
        <d v="2017-07-06T00:00:00"/>
        <d v="2017-07-27T00:00:00"/>
        <d v="2017-10-24T00:00:00"/>
        <d v="2017-03-08T00:00:00"/>
        <d v="2016-06-06T00:00:00"/>
        <d v="2017-12-19T00:00:00"/>
        <d v="2017-08-24T00:00:00"/>
        <d v="2016-05-08T00:00:00"/>
        <d v="2017-11-15T00:00:00"/>
        <d v="2016-09-03T00:00:00"/>
        <d v="2017-04-16T00:00:00"/>
        <d v="2017-02-01T00:00:00"/>
        <d v="2017-12-05T00:00:00"/>
        <d v="2017-10-27T00:00:00"/>
        <d v="2017-08-09T00:00:00"/>
        <d v="2016-03-26T00:00:00"/>
        <d v="2017-02-09T00:00:00"/>
        <d v="2016-02-15T00:00:00"/>
        <d v="2017-05-15T00:00:00"/>
        <d v="2016-08-15T00:00:00"/>
        <d v="2017-08-25T00:00:00"/>
        <d v="2017-09-29T00:00:00"/>
        <d v="2017-11-10T00:00:00"/>
        <d v="2017-01-08T00:00:00"/>
        <d v="2016-04-25T00:00:00"/>
        <d v="2016-05-29T00:00:00"/>
        <d v="2017-09-30T00:00:00"/>
        <d v="2016-09-09T00:00:00"/>
        <d v="2017-10-10T00:00:00"/>
        <d v="2016-01-26T00:00:00"/>
        <d v="2017-02-06T00:00:00"/>
        <d v="2017-01-31T00:00:00"/>
        <d v="2017-12-02T00:00:00"/>
        <d v="2017-09-05T00:00:00"/>
        <d v="2017-10-01T00:00:00"/>
        <d v="2017-09-11T00:00:00"/>
        <d v="2016-08-29T00:00:00"/>
        <d v="2017-01-22T00:00:00"/>
        <d v="2016-07-22T00:00:00"/>
        <d v="2017-07-30T00:00:00"/>
        <d v="2016-04-11T00:00:00"/>
        <d v="2016-03-30T00:00:00"/>
        <d v="2017-11-13T00:00:00"/>
        <d v="2016-06-27T00:00:00"/>
        <d v="2016-07-28T00:00:00"/>
        <d v="2017-03-18T00:00:00"/>
        <d v="2017-05-08T00:00:00"/>
        <d v="2016-11-06T00:00:00"/>
        <d v="2016-04-10T00:00:00"/>
        <d v="2016-06-30T00:00:00"/>
        <d v="2016-08-17T00:00:00"/>
        <d v="2016-01-21T00:00:00"/>
        <d v="2016-10-19T00:00:00"/>
        <d v="2016-02-26T00:00:00"/>
        <d v="2017-08-20T00:00:00"/>
        <d v="2017-08-10T00:00:00"/>
        <d v="2017-10-18T00:00:00"/>
        <d v="2016-03-08T00:00:00"/>
        <d v="2016-03-01T00:00:00"/>
        <d v="2016-07-10T00:00:00"/>
        <d v="2016-11-18T00:00:00"/>
        <d v="2017-08-26T00:00:00"/>
        <d v="2017-11-14T00:00:00"/>
        <d v="2017-03-11T00:00:00"/>
        <d v="2017-06-21T00:00:00"/>
        <d v="2017-08-16T00:00:00"/>
        <d v="2017-02-28T00:00:00"/>
        <d v="2016-02-13T00:00:00"/>
        <d v="2016-07-30T00:00:00"/>
        <d v="2017-12-31T00:00:00"/>
        <d v="2016-12-15T00:00:00"/>
        <d v="2016-07-07T00:00:00"/>
        <d v="2016-02-17T00:00:00"/>
        <d v="2016-06-12T00:00:00"/>
        <d v="2016-09-24T00:00:00"/>
        <d v="2017-06-18T00:00:00"/>
        <d v="2016-12-22T00:00:00"/>
        <d v="2017-10-06T00:00:00"/>
        <d v="2017-02-24T00:00:00"/>
        <d v="2017-06-05T00:00:00"/>
        <d v="2016-06-16T00:00:00"/>
        <d v="2017-02-15T00:00:00"/>
        <d v="2016-01-12T00:00:00"/>
        <d v="2017-10-09T00:00:00"/>
        <d v="2017-02-20T00:00:00"/>
        <d v="2017-04-01T00:00:00"/>
        <d v="2017-01-21T00:00:00"/>
        <d v="2017-06-01T00:00:00"/>
        <d v="2017-06-27T00:00:00"/>
        <d v="2017-12-07T00:00:00"/>
        <d v="2016-04-24T00:00:00"/>
        <d v="2017-03-06T00:00:00"/>
        <d v="2016-05-07T00:00:00"/>
        <d v="2017-09-04T00:00:00"/>
        <d v="2016-07-26T00:00:00"/>
        <d v="2017-04-08T00:00:00"/>
        <d v="2016-04-23T00:00:00"/>
        <d v="2017-08-22T00:00:00"/>
        <d v="2016-06-01T00:00:00"/>
        <d v="2017-10-26T00:00:00"/>
        <d v="2017-10-08T00:00:00"/>
        <d v="2017-05-09T00:00:00"/>
        <d v="2016-12-17T00:00:00"/>
        <d v="2016-10-09T00:00:00"/>
        <d v="2017-02-23T00:00:00"/>
        <d v="2017-07-10T00:00:00"/>
        <d v="2016-10-12T00:00:00"/>
        <d v="2016-11-21T00:00:00"/>
        <d v="2017-11-27T00:00:00"/>
        <d v="2017-05-23T00:00:00"/>
        <d v="2017-02-16T00:00:00"/>
        <d v="2017-03-09T00:00:00"/>
        <d v="2016-01-20T00:00:00"/>
        <d v="2016-06-05T00:00:00"/>
        <d v="2016-04-22T00:00:00"/>
        <d v="2016-12-28T00:00:00"/>
        <d v="2017-09-12T00:00:00"/>
        <d v="2016-05-12T00:00:00"/>
        <d v="2017-06-11T00:00:00"/>
        <d v="2017-09-10T00:00:00"/>
        <d v="2017-02-26T00:00:00"/>
        <d v="2016-02-08T00:00:00"/>
        <d v="2016-10-05T00:00:00"/>
        <d v="2017-06-03T00:00:00"/>
        <d v="2016-12-16T00:00:00"/>
        <d v="2017-09-22T00:00:00"/>
        <d v="2017-12-17T00:00:00"/>
        <d v="2016-05-05T00:00:00"/>
        <d v="2017-09-28T00:00:00"/>
        <d v="2016-11-17T00:00:00"/>
        <d v="2016-03-05T00:00:00"/>
        <d v="2017-04-05T00:00:00"/>
        <d v="2016-12-30T00:00:00"/>
        <d v="2017-04-17T00:00:00"/>
        <d v="2016-02-19T00:00:00"/>
        <d v="2017-05-04T00:00:00"/>
        <d v="2016-07-23T00:00:00"/>
        <d v="2017-11-01T00:00:00"/>
        <d v="2016-01-31T00:00:00"/>
        <d v="2017-06-23T00:00:00"/>
        <d v="2016-07-03T00:00:00"/>
        <d v="2016-03-22T00:00:00"/>
        <d v="2017-08-27T00:00:00"/>
        <d v="2017-01-12T00:00:00"/>
        <d v="2017-12-26T00:00:00"/>
        <d v="2017-03-30T00:00:00"/>
        <d v="2016-06-14T00:00:00"/>
        <d v="2017-07-19T00:00:00"/>
        <d v="2017-06-15T00:00:00"/>
        <d v="2017-11-06T00:00:00"/>
        <d v="2016-07-27T00:00:00"/>
        <d v="2016-11-24T00:00:00"/>
        <d v="2017-03-25T00:00:00"/>
        <d v="2017-01-02T00:00:00"/>
        <d v="2017-06-17T00:00:00"/>
        <d v="2016-12-12T00:00:00"/>
        <d v="2016-04-29T00:00:00"/>
        <d v="2017-09-03T00:00:00"/>
        <d v="2017-04-26T00:00:00"/>
        <d v="2016-07-02T00:00:00"/>
        <d v="2017-12-27T00:00:00"/>
        <d v="2017-03-24T00:00:00"/>
        <d v="2016-01-04T00:00:00"/>
        <d v="2016-04-12T00:00:00"/>
        <d v="2016-11-09T00:00:00"/>
        <d v="2017-11-21T00:00:00"/>
        <d v="2017-01-24T00:00:00"/>
        <d v="2016-06-10T00:00:00"/>
        <d v="2016-12-19T00:00:00"/>
        <d v="2017-04-09T00:00:00"/>
        <d v="2017-03-26T00:00:00"/>
        <d v="2017-01-14T00:00:00"/>
        <d v="2016-09-27T00:00:00"/>
        <d v="2016-09-07T00:00:00"/>
        <d v="2016-03-31T00:00:00"/>
        <d v="2017-06-22T00:00:00"/>
        <d v="2016-11-27T00:00:00"/>
        <d v="2016-04-21T00:00:00"/>
        <d v="2016-06-08T00:00:00"/>
        <d v="2016-09-29T00:00:00"/>
        <d v="2016-01-17T00:00:00"/>
        <d v="2017-10-05T00:00:00"/>
        <d v="2016-05-23T00:00:00"/>
        <d v="2017-12-25T00:00:00"/>
      </sharedItems>
      <fieldGroup par="5" base="0">
        <rangePr groupBy="months" startDate="2016-01-02T00:00:00" endDate="2018-01-01T00:00:00"/>
        <groupItems count="14">
          <s v="&lt;1/2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18"/>
        </groupItems>
      </fieldGroup>
    </cacheField>
    <cacheField name="Product" numFmtId="0">
      <sharedItems/>
    </cacheField>
    <cacheField name="Manufacturer" numFmtId="0">
      <sharedItems/>
    </cacheField>
    <cacheField name="Customer" numFmtId="0">
      <sharedItems/>
    </cacheField>
    <cacheField name="Revenue" numFmtId="167">
      <sharedItems containsSemiMixedTypes="0" containsString="0" containsNumber="1" containsInteger="1" minValue="102" maxValue="4992"/>
    </cacheField>
    <cacheField name="Years" numFmtId="0" databaseField="0">
      <fieldGroup base="0">
        <rangePr groupBy="years" startDate="2016-01-02T00:00:00" endDate="2018-01-01T00:00:00"/>
        <groupItems count="5">
          <s v="&lt;1/2/2016"/>
          <s v="2016"/>
          <s v="2017"/>
          <s v="2018"/>
          <s v="&gt;1/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3">
  <r>
    <x v="0"/>
    <s v="Lyf"/>
    <s v="BCL LTD"/>
    <s v="SS inc"/>
    <n v="1655"/>
  </r>
  <r>
    <x v="1"/>
    <s v="Nokia"/>
    <s v="BCL LTD"/>
    <s v="Sl comm"/>
    <n v="4435"/>
  </r>
  <r>
    <x v="2"/>
    <s v="Sony"/>
    <s v="Pinacle Sol"/>
    <s v="Sd Communication"/>
    <n v="923"/>
  </r>
  <r>
    <x v="3"/>
    <s v="Lyf"/>
    <s v="Pinacle Sol"/>
    <s v="Rcom"/>
    <n v="3966"/>
  </r>
  <r>
    <x v="4"/>
    <s v="Oppo"/>
    <s v="Cds ltd"/>
    <s v="Rcom"/>
    <n v="873"/>
  </r>
  <r>
    <x v="5"/>
    <s v="Oppo"/>
    <s v="Cds ltd"/>
    <s v="Sd Communication"/>
    <n v="2734"/>
  </r>
  <r>
    <x v="6"/>
    <s v="Lava"/>
    <s v="BCL LTD"/>
    <s v="Sd Communication"/>
    <n v="4977"/>
  </r>
  <r>
    <x v="7"/>
    <s v="Lava"/>
    <s v="BCL LTD"/>
    <s v="Rcom"/>
    <n v="2665"/>
  </r>
  <r>
    <x v="8"/>
    <s v="Lava"/>
    <s v="BCL LTD"/>
    <s v="Sl comm"/>
    <n v="409"/>
  </r>
  <r>
    <x v="9"/>
    <s v="Lava"/>
    <s v="BCL LTD"/>
    <s v="Sl comm"/>
    <n v="3546"/>
  </r>
  <r>
    <x v="10"/>
    <s v="Sony"/>
    <s v="Pinacle Sol"/>
    <s v="Rcom"/>
    <n v="3095"/>
  </r>
  <r>
    <x v="11"/>
    <s v="Sony"/>
    <s v="Pinacle Sol"/>
    <s v="Sl comm"/>
    <n v="4730"/>
  </r>
  <r>
    <x v="12"/>
    <s v="Lava"/>
    <s v="BCL LTD"/>
    <s v="Rcom"/>
    <n v="1498"/>
  </r>
  <r>
    <x v="13"/>
    <s v="Oppo"/>
    <s v="Pinacle Sol"/>
    <s v="Sd Communication"/>
    <n v="2318"/>
  </r>
  <r>
    <x v="14"/>
    <s v="Nokia"/>
    <s v="BCL LTD"/>
    <s v="Rcom"/>
    <n v="4800"/>
  </r>
  <r>
    <x v="15"/>
    <s v="Oppo"/>
    <s v="Cds ltd"/>
    <s v="Rcom"/>
    <n v="4360"/>
  </r>
  <r>
    <x v="16"/>
    <s v="Sony"/>
    <s v="Pinacle Sol"/>
    <s v="Sd Communication"/>
    <n v="4746"/>
  </r>
  <r>
    <x v="17"/>
    <s v="Nokia"/>
    <s v="BCL LTD"/>
    <s v="Sl comm"/>
    <n v="485"/>
  </r>
  <r>
    <x v="18"/>
    <s v="Lyf"/>
    <s v="BCL LTD"/>
    <s v="SS inc"/>
    <n v="660"/>
  </r>
  <r>
    <x v="19"/>
    <s v="Nokia"/>
    <s v="BCL LTD"/>
    <s v="Sd Communication"/>
    <n v="1598"/>
  </r>
  <r>
    <x v="20"/>
    <s v="Lyf"/>
    <s v="Pinacle Sol"/>
    <s v="Rcom"/>
    <n v="582"/>
  </r>
  <r>
    <x v="21"/>
    <s v="Lava"/>
    <s v="BCL LTD"/>
    <s v="Sd Communication"/>
    <n v="1595"/>
  </r>
  <r>
    <x v="22"/>
    <s v="Lava"/>
    <s v="BCL LTD"/>
    <s v="Sd Communication"/>
    <n v="4703"/>
  </r>
  <r>
    <x v="23"/>
    <s v="Nokia"/>
    <s v="BCL LTD"/>
    <s v="Rcom"/>
    <n v="4514"/>
  </r>
  <r>
    <x v="24"/>
    <s v="Nokia"/>
    <s v="BCL LTD"/>
    <s v="Rcom"/>
    <n v="408"/>
  </r>
  <r>
    <x v="25"/>
    <s v="Nokia"/>
    <s v="BCL LTD"/>
    <s v="Sd Communication"/>
    <n v="2856"/>
  </r>
  <r>
    <x v="26"/>
    <s v="Nokia"/>
    <s v="BCL LTD"/>
    <s v="SS inc"/>
    <n v="3957"/>
  </r>
  <r>
    <x v="27"/>
    <s v="Lyf"/>
    <s v="Pinacle Sol"/>
    <s v="Sl comm"/>
    <n v="152"/>
  </r>
  <r>
    <x v="28"/>
    <s v="Lyf"/>
    <s v="BCL LTD"/>
    <s v="Sl comm"/>
    <n v="1726"/>
  </r>
  <r>
    <x v="29"/>
    <s v="Oppo"/>
    <s v="Cds ltd"/>
    <s v="Rcom"/>
    <n v="2217"/>
  </r>
  <r>
    <x v="30"/>
    <s v="Sony"/>
    <s v="Pinacle Sol"/>
    <s v="Sd Communication"/>
    <n v="235"/>
  </r>
  <r>
    <x v="31"/>
    <s v="Sony"/>
    <s v="Pinacle Sol"/>
    <s v="Sd Communication"/>
    <n v="2997"/>
  </r>
  <r>
    <x v="32"/>
    <s v="Nokia"/>
    <s v="BCL LTD"/>
    <s v="Sd Communication"/>
    <n v="1704"/>
  </r>
  <r>
    <x v="33"/>
    <s v="Nokia"/>
    <s v="BCL LTD"/>
    <s v="Sl comm"/>
    <n v="1462"/>
  </r>
  <r>
    <x v="34"/>
    <s v="Sony"/>
    <s v="Pinacle Sol"/>
    <s v="Sl comm"/>
    <n v="2603"/>
  </r>
  <r>
    <x v="35"/>
    <s v="Oppo"/>
    <s v="Pinacle Sol"/>
    <s v="SS inc"/>
    <n v="1025"/>
  </r>
  <r>
    <x v="36"/>
    <s v="Nokia"/>
    <s v="BCL LTD"/>
    <s v="Rcom"/>
    <n v="2238"/>
  </r>
  <r>
    <x v="37"/>
    <s v="Nokia"/>
    <s v="BCL LTD"/>
    <s v="SS inc"/>
    <n v="2853"/>
  </r>
  <r>
    <x v="38"/>
    <s v="Nokia"/>
    <s v="BCL LTD"/>
    <s v="Rcom"/>
    <n v="1281"/>
  </r>
  <r>
    <x v="39"/>
    <s v="Lava"/>
    <s v="BCL LTD"/>
    <s v="Sl comm"/>
    <n v="3524"/>
  </r>
  <r>
    <x v="40"/>
    <s v="Nokia"/>
    <s v="BCL LTD"/>
    <s v="Sl comm"/>
    <n v="453"/>
  </r>
  <r>
    <x v="41"/>
    <s v="Sony"/>
    <s v="Pinacle Sol"/>
    <s v="Sd Communication"/>
    <n v="2833"/>
  </r>
  <r>
    <x v="42"/>
    <s v="Oppo"/>
    <s v="Pinacle Sol"/>
    <s v="Sl comm"/>
    <n v="1126"/>
  </r>
  <r>
    <x v="43"/>
    <s v="Lyf"/>
    <s v="Pinacle Sol"/>
    <s v="Sl comm"/>
    <n v="4063"/>
  </r>
  <r>
    <x v="44"/>
    <s v="Oppo"/>
    <s v="Pinacle Sol"/>
    <s v="Sd Communication"/>
    <n v="642"/>
  </r>
  <r>
    <x v="45"/>
    <s v="Nokia"/>
    <s v="BCL LTD"/>
    <s v="Sd Communication"/>
    <n v="4505"/>
  </r>
  <r>
    <x v="46"/>
    <s v="Nokia"/>
    <s v="BCL LTD"/>
    <s v="Rcom"/>
    <n v="1968"/>
  </r>
  <r>
    <x v="47"/>
    <s v="Nokia"/>
    <s v="BCL LTD"/>
    <s v="Sl comm"/>
    <n v="1609"/>
  </r>
  <r>
    <x v="48"/>
    <s v="Nokia"/>
    <s v="BCL LTD"/>
    <s v="SS inc"/>
    <n v="4485"/>
  </r>
  <r>
    <x v="49"/>
    <s v="Nokia"/>
    <s v="BCL LTD"/>
    <s v="Sl comm"/>
    <n v="3263"/>
  </r>
  <r>
    <x v="50"/>
    <s v="Nokia"/>
    <s v="BCL LTD"/>
    <s v="Rcom"/>
    <n v="3621"/>
  </r>
  <r>
    <x v="51"/>
    <s v="Lava"/>
    <s v="BCL LTD"/>
    <s v="Sl comm"/>
    <n v="1471"/>
  </r>
  <r>
    <x v="52"/>
    <s v="Sony"/>
    <s v="Pinacle Sol"/>
    <s v="Sd Communication"/>
    <n v="373"/>
  </r>
  <r>
    <x v="53"/>
    <s v="Nokia"/>
    <s v="BCL LTD"/>
    <s v="Sl comm"/>
    <n v="1474"/>
  </r>
  <r>
    <x v="54"/>
    <s v="Oppo"/>
    <s v="Cds ltd"/>
    <s v="Sl comm"/>
    <n v="2566"/>
  </r>
  <r>
    <x v="55"/>
    <s v="Lava"/>
    <s v="BCL LTD"/>
    <s v="Rcom"/>
    <n v="1120"/>
  </r>
  <r>
    <x v="26"/>
    <s v="Oppo"/>
    <s v="Pinacle Sol"/>
    <s v="Sl comm"/>
    <n v="4091"/>
  </r>
  <r>
    <x v="56"/>
    <s v="Lava"/>
    <s v="BCL LTD"/>
    <s v="Sd Communication"/>
    <n v="534"/>
  </r>
  <r>
    <x v="33"/>
    <s v="Sony"/>
    <s v="Pinacle Sol"/>
    <s v="Sl comm"/>
    <n v="1778"/>
  </r>
  <r>
    <x v="57"/>
    <s v="Oppo"/>
    <s v="Cds ltd"/>
    <s v="Rcom"/>
    <n v="3656"/>
  </r>
  <r>
    <x v="58"/>
    <s v="Oppo"/>
    <s v="Cds ltd"/>
    <s v="Sl comm"/>
    <n v="2941"/>
  </r>
  <r>
    <x v="59"/>
    <s v="Lyf"/>
    <s v="Pinacle Sol"/>
    <s v="Sl comm"/>
    <n v="1980"/>
  </r>
  <r>
    <x v="60"/>
    <s v="Lyf"/>
    <s v="BCL LTD"/>
    <s v="Sd Communication"/>
    <n v="4464"/>
  </r>
  <r>
    <x v="61"/>
    <s v="Nokia"/>
    <s v="BCL LTD"/>
    <s v="Rcom"/>
    <n v="339"/>
  </r>
  <r>
    <x v="62"/>
    <s v="Lyf"/>
    <s v="BCL LTD"/>
    <s v="SS inc"/>
    <n v="4294"/>
  </r>
  <r>
    <x v="63"/>
    <s v="Sony"/>
    <s v="Pinacle Sol"/>
    <s v="Sd Communication"/>
    <n v="2480"/>
  </r>
  <r>
    <x v="64"/>
    <s v="Nokia"/>
    <s v="BCL LTD"/>
    <s v="Rcom"/>
    <n v="366"/>
  </r>
  <r>
    <x v="65"/>
    <s v="Nokia"/>
    <s v="BCL LTD"/>
    <s v="Sd Communication"/>
    <n v="2635"/>
  </r>
  <r>
    <x v="66"/>
    <s v="Oppo"/>
    <s v="Pinacle Sol"/>
    <s v="Rcom"/>
    <n v="2091"/>
  </r>
  <r>
    <x v="67"/>
    <s v="Oppo"/>
    <s v="Cds ltd"/>
    <s v="Sl comm"/>
    <n v="4768"/>
  </r>
  <r>
    <x v="68"/>
    <s v="Nokia"/>
    <s v="BCL LTD"/>
    <s v="Sd Communication"/>
    <n v="390"/>
  </r>
  <r>
    <x v="69"/>
    <s v="Lava"/>
    <s v="BCL LTD"/>
    <s v="Sl comm"/>
    <n v="4146"/>
  </r>
  <r>
    <x v="70"/>
    <s v="Nokia"/>
    <s v="BCL LTD"/>
    <s v="Rcom"/>
    <n v="963"/>
  </r>
  <r>
    <x v="71"/>
    <s v="Oppo"/>
    <s v="Pinacle Sol"/>
    <s v="Sl comm"/>
    <n v="3492"/>
  </r>
  <r>
    <x v="72"/>
    <s v="Sony"/>
    <s v="Pinacle Sol"/>
    <s v="Sl comm"/>
    <n v="1352"/>
  </r>
  <r>
    <x v="73"/>
    <s v="Nokia"/>
    <s v="BCL LTD"/>
    <s v="SS inc"/>
    <n v="785"/>
  </r>
  <r>
    <x v="74"/>
    <s v="Sony"/>
    <s v="Pinacle Sol"/>
    <s v="Sl comm"/>
    <n v="4326"/>
  </r>
  <r>
    <x v="75"/>
    <s v="Oppo"/>
    <s v="Pinacle Sol"/>
    <s v="SS inc"/>
    <n v="1212"/>
  </r>
  <r>
    <x v="76"/>
    <s v="Nokia"/>
    <s v="BCL LTD"/>
    <s v="Rcom"/>
    <n v="1938"/>
  </r>
  <r>
    <x v="77"/>
    <s v="Oppo"/>
    <s v="Pinacle Sol"/>
    <s v="SS inc"/>
    <n v="1451"/>
  </r>
  <r>
    <x v="78"/>
    <s v="Nokia"/>
    <s v="BCL LTD"/>
    <s v="Sd Communication"/>
    <n v="1528"/>
  </r>
  <r>
    <x v="79"/>
    <s v="Lyf"/>
    <s v="BCL LTD"/>
    <s v="Rcom"/>
    <n v="2312"/>
  </r>
  <r>
    <x v="80"/>
    <s v="Nokia"/>
    <s v="BCL LTD"/>
    <s v="SS inc"/>
    <n v="3975"/>
  </r>
  <r>
    <x v="81"/>
    <s v="Sony"/>
    <s v="Pinacle Sol"/>
    <s v="SS inc"/>
    <n v="1260"/>
  </r>
  <r>
    <x v="82"/>
    <s v="Lava"/>
    <s v="BCL LTD"/>
    <s v="Sl comm"/>
    <n v="3771"/>
  </r>
  <r>
    <x v="83"/>
    <s v="Nokia"/>
    <s v="BCL LTD"/>
    <s v="Rcom"/>
    <n v="2174"/>
  </r>
  <r>
    <x v="84"/>
    <s v="Sony"/>
    <s v="Pinacle Sol"/>
    <s v="Sl comm"/>
    <n v="940"/>
  </r>
  <r>
    <x v="85"/>
    <s v="Lava"/>
    <s v="BCL LTD"/>
    <s v="Sl comm"/>
    <n v="1925"/>
  </r>
  <r>
    <x v="63"/>
    <s v="Nokia"/>
    <s v="BCL LTD"/>
    <s v="Rcom"/>
    <n v="1334"/>
  </r>
  <r>
    <x v="86"/>
    <s v="micromax"/>
    <s v="Pinacle Sol"/>
    <s v="SS inc"/>
    <n v="4869"/>
  </r>
  <r>
    <x v="87"/>
    <s v="Nokia"/>
    <s v="BCL LTD"/>
    <s v="Rcom"/>
    <n v="3085"/>
  </r>
  <r>
    <x v="88"/>
    <s v="Sony"/>
    <s v="Pinacle Sol"/>
    <s v="Sd Communication"/>
    <n v="261"/>
  </r>
  <r>
    <x v="89"/>
    <s v="Lava"/>
    <s v="BCL LTD"/>
    <s v="Rcom"/>
    <n v="1516"/>
  </r>
  <r>
    <x v="90"/>
    <s v="Oppo"/>
    <s v="Cds ltd"/>
    <s v="Rcom"/>
    <n v="1051"/>
  </r>
  <r>
    <x v="91"/>
    <s v="Oppo"/>
    <s v="Cds ltd"/>
    <s v="Rcom"/>
    <n v="585"/>
  </r>
  <r>
    <x v="92"/>
    <s v="Lyf"/>
    <s v="BCL LTD"/>
    <s v="Sd Communication"/>
    <n v="4124"/>
  </r>
  <r>
    <x v="93"/>
    <s v="Nokia"/>
    <s v="BCL LTD"/>
    <s v="SS inc"/>
    <n v="1733"/>
  </r>
  <r>
    <x v="94"/>
    <s v="Lava"/>
    <s v="BCL LTD"/>
    <s v="Sl comm"/>
    <n v="900"/>
  </r>
  <r>
    <x v="95"/>
    <s v="Oppo"/>
    <s v="Pinacle Sol"/>
    <s v="Sd Communication"/>
    <n v="1347"/>
  </r>
  <r>
    <x v="96"/>
    <s v="Nokia"/>
    <s v="BCL LTD"/>
    <s v="Sl comm"/>
    <n v="3894"/>
  </r>
  <r>
    <x v="97"/>
    <s v="Lava"/>
    <s v="BCL LTD"/>
    <s v="Sl comm"/>
    <n v="4507"/>
  </r>
  <r>
    <x v="98"/>
    <s v="Nokia"/>
    <s v="BCL LTD"/>
    <s v="Rcom"/>
    <n v="3796"/>
  </r>
  <r>
    <x v="99"/>
    <s v="Nokia"/>
    <s v="BCL LTD"/>
    <s v="Sd Communication"/>
    <n v="1458"/>
  </r>
  <r>
    <x v="30"/>
    <s v="Sony"/>
    <s v="Pinacle Sol"/>
    <s v="Sl comm"/>
    <n v="1967"/>
  </r>
  <r>
    <x v="100"/>
    <s v="Lava"/>
    <s v="BCL LTD"/>
    <s v="SS inc"/>
    <n v="2225"/>
  </r>
  <r>
    <x v="101"/>
    <s v="Oppo"/>
    <s v="Pinacle Sol"/>
    <s v="Rcom"/>
    <n v="2507"/>
  </r>
  <r>
    <x v="102"/>
    <s v="Sony"/>
    <s v="Pinacle Sol"/>
    <s v="Sl comm"/>
    <n v="886"/>
  </r>
  <r>
    <x v="103"/>
    <s v="Lyf"/>
    <s v="Pinacle Sol"/>
    <s v="Sd Communication"/>
    <n v="3373"/>
  </r>
  <r>
    <x v="45"/>
    <s v="micromax"/>
    <s v="Pinacle Sol"/>
    <s v="Sd Communication"/>
    <n v="2877"/>
  </r>
  <r>
    <x v="104"/>
    <s v="Oppo"/>
    <s v="Cds ltd"/>
    <s v="SS inc"/>
    <n v="1276"/>
  </r>
  <r>
    <x v="105"/>
    <s v="Lava"/>
    <s v="BCL LTD"/>
    <s v="SS inc"/>
    <n v="3813"/>
  </r>
  <r>
    <x v="62"/>
    <s v="Oppo"/>
    <s v="Cds ltd"/>
    <s v="Sd Communication"/>
    <n v="3755"/>
  </r>
  <r>
    <x v="106"/>
    <s v="Oppo"/>
    <s v="Pinacle Sol"/>
    <s v="Rcom"/>
    <n v="3539"/>
  </r>
  <r>
    <x v="107"/>
    <s v="Oppo"/>
    <s v="Pinacle Sol"/>
    <s v="Sd Communication"/>
    <n v="4028"/>
  </r>
  <r>
    <x v="108"/>
    <s v="Oppo"/>
    <s v="Pinacle Sol"/>
    <s v="Sl comm"/>
    <n v="1032"/>
  </r>
  <r>
    <x v="109"/>
    <s v="Oppo"/>
    <s v="Cds ltd"/>
    <s v="Rcom"/>
    <n v="1314"/>
  </r>
  <r>
    <x v="110"/>
    <s v="Oppo"/>
    <s v="Pinacle Sol"/>
    <s v="Rcom"/>
    <n v="917"/>
  </r>
  <r>
    <x v="111"/>
    <s v="Sony"/>
    <s v="Pinacle Sol"/>
    <s v="Rcom"/>
    <n v="4177"/>
  </r>
  <r>
    <x v="112"/>
    <s v="Sony"/>
    <s v="Pinacle Sol"/>
    <s v="Sd Communication"/>
    <n v="2428"/>
  </r>
  <r>
    <x v="113"/>
    <s v="Oppo"/>
    <s v="Pinacle Sol"/>
    <s v="Rcom"/>
    <n v="3844"/>
  </r>
  <r>
    <x v="114"/>
    <s v="Oppo"/>
    <s v="Pinacle Sol"/>
    <s v="SS inc"/>
    <n v="4868"/>
  </r>
  <r>
    <x v="115"/>
    <s v="Nokia"/>
    <s v="BCL LTD"/>
    <s v="Sl comm"/>
    <n v="4124"/>
  </r>
  <r>
    <x v="116"/>
    <s v="Lyf"/>
    <s v="Pinacle Sol"/>
    <s v="Sd Communication"/>
    <n v="2835"/>
  </r>
  <r>
    <x v="45"/>
    <s v="Sony"/>
    <s v="Pinacle Sol"/>
    <s v="Sd Communication"/>
    <n v="3186"/>
  </r>
  <r>
    <x v="117"/>
    <s v="Lava"/>
    <s v="BCL LTD"/>
    <s v="Rcom"/>
    <n v="1166"/>
  </r>
  <r>
    <x v="118"/>
    <s v="Lava"/>
    <s v="BCL LTD"/>
    <s v="Sl comm"/>
    <n v="1440"/>
  </r>
  <r>
    <x v="119"/>
    <s v="Nokia"/>
    <s v="BCL LTD"/>
    <s v="Rcom"/>
    <n v="3891"/>
  </r>
  <r>
    <x v="116"/>
    <s v="Oppo"/>
    <s v="Pinacle Sol"/>
    <s v="Rcom"/>
    <n v="4559"/>
  </r>
  <r>
    <x v="120"/>
    <s v="Oppo"/>
    <s v="Cds ltd"/>
    <s v="Rcom"/>
    <n v="1607"/>
  </r>
  <r>
    <x v="121"/>
    <s v="Sony"/>
    <s v="Pinacle Sol"/>
    <s v="Sl comm"/>
    <n v="411"/>
  </r>
  <r>
    <x v="122"/>
    <s v="Nokia"/>
    <s v="BCL LTD"/>
    <s v="Rcom"/>
    <n v="1397"/>
  </r>
  <r>
    <x v="123"/>
    <s v="Nokia"/>
    <s v="BCL LTD"/>
    <s v="Sd Communication"/>
    <n v="1338"/>
  </r>
  <r>
    <x v="111"/>
    <s v="Sony"/>
    <s v="Pinacle Sol"/>
    <s v="Rcom"/>
    <n v="3556"/>
  </r>
  <r>
    <x v="124"/>
    <s v="Nokia"/>
    <s v="BCL LTD"/>
    <s v="Sd Communication"/>
    <n v="1328"/>
  </r>
  <r>
    <x v="27"/>
    <s v="Nokia"/>
    <s v="BCL LTD"/>
    <s v="SS inc"/>
    <n v="764"/>
  </r>
  <r>
    <x v="125"/>
    <s v="Oppo"/>
    <s v="Pinacle Sol"/>
    <s v="Sd Communication"/>
    <n v="2071"/>
  </r>
  <r>
    <x v="126"/>
    <s v="Sony"/>
    <s v="Pinacle Sol"/>
    <s v="Sl comm"/>
    <n v="4817"/>
  </r>
  <r>
    <x v="127"/>
    <s v="Nokia"/>
    <s v="BCL LTD"/>
    <s v="Sl comm"/>
    <n v="1718"/>
  </r>
  <r>
    <x v="17"/>
    <s v="Oppo"/>
    <s v="Pinacle Sol"/>
    <s v="Sl comm"/>
    <n v="3025"/>
  </r>
  <r>
    <x v="128"/>
    <s v="Sony"/>
    <s v="Pinacle Sol"/>
    <s v="Rcom"/>
    <n v="3784"/>
  </r>
  <r>
    <x v="129"/>
    <s v="Nokia"/>
    <s v="BCL LTD"/>
    <s v="Rcom"/>
    <n v="1638"/>
  </r>
  <r>
    <x v="51"/>
    <s v="Nokia"/>
    <s v="BCL LTD"/>
    <s v="Sd Communication"/>
    <n v="2674"/>
  </r>
  <r>
    <x v="130"/>
    <s v="Nokia"/>
    <s v="BCL LTD"/>
    <s v="Sl comm"/>
    <n v="2625"/>
  </r>
  <r>
    <x v="72"/>
    <s v="Nokia"/>
    <s v="BCL LTD"/>
    <s v="Sl comm"/>
    <n v="4761"/>
  </r>
  <r>
    <x v="53"/>
    <s v="Lava"/>
    <s v="BCL LTD"/>
    <s v="Sd Communication"/>
    <n v="3999"/>
  </r>
  <r>
    <x v="131"/>
    <s v="Oppo"/>
    <s v="Pinacle Sol"/>
    <s v="Sl comm"/>
    <n v="3656"/>
  </r>
  <r>
    <x v="132"/>
    <s v="Sony"/>
    <s v="Pinacle Sol"/>
    <s v="Rcom"/>
    <n v="2698"/>
  </r>
  <r>
    <x v="133"/>
    <s v="Oppo"/>
    <s v="Pinacle Sol"/>
    <s v="Sl comm"/>
    <n v="1034"/>
  </r>
  <r>
    <x v="134"/>
    <s v="Oppo"/>
    <s v="Pinacle Sol"/>
    <s v="Sl comm"/>
    <n v="4729"/>
  </r>
  <r>
    <x v="135"/>
    <s v="Lava"/>
    <s v="BCL LTD"/>
    <s v="Sd Communication"/>
    <n v="985"/>
  </r>
  <r>
    <x v="136"/>
    <s v="Lyf"/>
    <s v="BCL LTD"/>
    <s v="SS inc"/>
    <n v="3491"/>
  </r>
  <r>
    <x v="137"/>
    <s v="Oppo"/>
    <s v="Cds ltd"/>
    <s v="Rcom"/>
    <n v="182"/>
  </r>
  <r>
    <x v="138"/>
    <s v="Sony"/>
    <s v="Pinacle Sol"/>
    <s v="Rcom"/>
    <n v="481"/>
  </r>
  <r>
    <x v="139"/>
    <s v="Oppo"/>
    <s v="Pinacle Sol"/>
    <s v="SS inc"/>
    <n v="121"/>
  </r>
  <r>
    <x v="65"/>
    <s v="Nokia"/>
    <s v="BCL LTD"/>
    <s v="Rcom"/>
    <n v="4987"/>
  </r>
  <r>
    <x v="140"/>
    <s v="Nokia"/>
    <s v="BCL LTD"/>
    <s v="Rcom"/>
    <n v="4904"/>
  </r>
  <r>
    <x v="141"/>
    <s v="Oppo"/>
    <s v="Pinacle Sol"/>
    <s v="Sl comm"/>
    <n v="2064"/>
  </r>
  <r>
    <x v="4"/>
    <s v="Sony"/>
    <s v="Pinacle Sol"/>
    <s v="Sd Communication"/>
    <n v="4495"/>
  </r>
  <r>
    <x v="142"/>
    <s v="micromax"/>
    <s v="Pinacle Sol"/>
    <s v="Sd Communication"/>
    <n v="1947"/>
  </r>
  <r>
    <x v="143"/>
    <s v="Lava"/>
    <s v="BCL LTD"/>
    <s v="Sl comm"/>
    <n v="3205"/>
  </r>
  <r>
    <x v="52"/>
    <s v="Oppo"/>
    <s v="Pinacle Sol"/>
    <s v="Rcom"/>
    <n v="2393"/>
  </r>
  <r>
    <x v="144"/>
    <s v="Oppo"/>
    <s v="Cds ltd"/>
    <s v="Sl comm"/>
    <n v="4633"/>
  </r>
  <r>
    <x v="145"/>
    <s v="Oppo"/>
    <s v="Pinacle Sol"/>
    <s v="Rcom"/>
    <n v="3430"/>
  </r>
  <r>
    <x v="146"/>
    <s v="Oppo"/>
    <s v="Cds ltd"/>
    <s v="SS inc"/>
    <n v="4319"/>
  </r>
  <r>
    <x v="147"/>
    <s v="Nokia"/>
    <s v="BCL LTD"/>
    <s v="Sl comm"/>
    <n v="3681"/>
  </r>
  <r>
    <x v="148"/>
    <s v="Lava"/>
    <s v="BCL LTD"/>
    <s v="Sl comm"/>
    <n v="3262"/>
  </r>
  <r>
    <x v="44"/>
    <s v="Lava"/>
    <s v="BCL LTD"/>
    <s v="Sd Communication"/>
    <n v="4279"/>
  </r>
  <r>
    <x v="149"/>
    <s v="Sony"/>
    <s v="Pinacle Sol"/>
    <s v="Sd Communication"/>
    <n v="3453"/>
  </r>
  <r>
    <x v="150"/>
    <s v="Nokia"/>
    <s v="BCL LTD"/>
    <s v="SS inc"/>
    <n v="3123"/>
  </r>
  <r>
    <x v="151"/>
    <s v="Nokia"/>
    <s v="BCL LTD"/>
    <s v="SS inc"/>
    <n v="1679"/>
  </r>
  <r>
    <x v="13"/>
    <s v="Nokia"/>
    <s v="BCL LTD"/>
    <s v="SS inc"/>
    <n v="3092"/>
  </r>
  <r>
    <x v="152"/>
    <s v="Nokia"/>
    <s v="BCL LTD"/>
    <s v="Rcom"/>
    <n v="4698"/>
  </r>
  <r>
    <x v="153"/>
    <s v="Nokia"/>
    <s v="BCL LTD"/>
    <s v="Sl comm"/>
    <n v="2865"/>
  </r>
  <r>
    <x v="23"/>
    <s v="Oppo"/>
    <s v="Pinacle Sol"/>
    <s v="Rcom"/>
    <n v="1150"/>
  </r>
  <r>
    <x v="154"/>
    <s v="Lyf"/>
    <s v="BCL LTD"/>
    <s v="Sd Communication"/>
    <n v="4374"/>
  </r>
  <r>
    <x v="155"/>
    <s v="Lyf"/>
    <s v="Pinacle Sol"/>
    <s v="Sd Communication"/>
    <n v="883"/>
  </r>
  <r>
    <x v="156"/>
    <s v="Sony"/>
    <s v="Pinacle Sol"/>
    <s v="Sd Communication"/>
    <n v="2686"/>
  </r>
  <r>
    <x v="157"/>
    <s v="Lyf"/>
    <s v="Pinacle Sol"/>
    <s v="Sd Communication"/>
    <n v="3164"/>
  </r>
  <r>
    <x v="97"/>
    <s v="Oppo"/>
    <s v="Pinacle Sol"/>
    <s v="Sl comm"/>
    <n v="943"/>
  </r>
  <r>
    <x v="158"/>
    <s v="Lava"/>
    <s v="BCL LTD"/>
    <s v="Sl comm"/>
    <n v="375"/>
  </r>
  <r>
    <x v="159"/>
    <s v="Lava"/>
    <s v="BCL LTD"/>
    <s v="SS inc"/>
    <n v="225"/>
  </r>
  <r>
    <x v="66"/>
    <s v="Nokia"/>
    <s v="BCL LTD"/>
    <s v="Sd Communication"/>
    <n v="1993"/>
  </r>
  <r>
    <x v="160"/>
    <s v="Oppo"/>
    <s v="Cds ltd"/>
    <s v="Sl comm"/>
    <n v="355"/>
  </r>
  <r>
    <x v="123"/>
    <s v="Nokia"/>
    <s v="BCL LTD"/>
    <s v="Rcom"/>
    <n v="2715"/>
  </r>
  <r>
    <x v="101"/>
    <s v="Oppo"/>
    <s v="Cds ltd"/>
    <s v="SS inc"/>
    <n v="3058"/>
  </r>
  <r>
    <x v="161"/>
    <s v="Nokia"/>
    <s v="BCL LTD"/>
    <s v="Sd Communication"/>
    <n v="545"/>
  </r>
  <r>
    <x v="162"/>
    <s v="Nokia"/>
    <s v="BCL LTD"/>
    <s v="Rcom"/>
    <n v="1377"/>
  </r>
  <r>
    <x v="37"/>
    <s v="Sony"/>
    <s v="Pinacle Sol"/>
    <s v="Sl comm"/>
    <n v="3296"/>
  </r>
  <r>
    <x v="62"/>
    <s v="Oppo"/>
    <s v="Pinacle Sol"/>
    <s v="Sd Communication"/>
    <n v="777"/>
  </r>
  <r>
    <x v="163"/>
    <s v="Oppo"/>
    <s v="Cds ltd"/>
    <s v="Sd Communication"/>
    <n v="102"/>
  </r>
  <r>
    <x v="164"/>
    <s v="Sony"/>
    <s v="Pinacle Sol"/>
    <s v="Sd Communication"/>
    <n v="131"/>
  </r>
  <r>
    <x v="165"/>
    <s v="micromax"/>
    <s v="Pinacle Sol"/>
    <s v="Rcom"/>
    <n v="3332"/>
  </r>
  <r>
    <x v="166"/>
    <s v="Nokia"/>
    <s v="BCL LTD"/>
    <s v="Sl comm"/>
    <n v="1701"/>
  </r>
  <r>
    <x v="167"/>
    <s v="Oppo"/>
    <s v="Cds ltd"/>
    <s v="Rcom"/>
    <n v="4067"/>
  </r>
  <r>
    <x v="168"/>
    <s v="Nokia"/>
    <s v="BCL LTD"/>
    <s v="Rcom"/>
    <n v="4630"/>
  </r>
  <r>
    <x v="169"/>
    <s v="Nokia"/>
    <s v="BCL LTD"/>
    <s v="Rcom"/>
    <n v="3782"/>
  </r>
  <r>
    <x v="170"/>
    <s v="Oppo"/>
    <s v="Cds ltd"/>
    <s v="Sd Communication"/>
    <n v="3349"/>
  </r>
  <r>
    <x v="171"/>
    <s v="Oppo"/>
    <s v="Cds ltd"/>
    <s v="Rcom"/>
    <n v="125"/>
  </r>
  <r>
    <x v="172"/>
    <s v="Nokia"/>
    <s v="BCL LTD"/>
    <s v="Rcom"/>
    <n v="2021"/>
  </r>
  <r>
    <x v="24"/>
    <s v="Oppo"/>
    <s v="Pinacle Sol"/>
    <s v="Sd Communication"/>
    <n v="4177"/>
  </r>
  <r>
    <x v="173"/>
    <s v="Oppo"/>
    <s v="Pinacle Sol"/>
    <s v="Sl comm"/>
    <n v="1218"/>
  </r>
  <r>
    <x v="174"/>
    <s v="Nokia"/>
    <s v="BCL LTD"/>
    <s v="Sd Communication"/>
    <n v="3242"/>
  </r>
  <r>
    <x v="175"/>
    <s v="Nokia"/>
    <s v="BCL LTD"/>
    <s v="Sd Communication"/>
    <n v="2174"/>
  </r>
  <r>
    <x v="3"/>
    <s v="Oppo"/>
    <s v="Pinacle Sol"/>
    <s v="Sd Communication"/>
    <n v="1268"/>
  </r>
  <r>
    <x v="176"/>
    <s v="Sony"/>
    <s v="Pinacle Sol"/>
    <s v="Rcom"/>
    <n v="4351"/>
  </r>
  <r>
    <x v="177"/>
    <s v="Oppo"/>
    <s v="Pinacle Sol"/>
    <s v="SS inc"/>
    <n v="1828"/>
  </r>
  <r>
    <x v="78"/>
    <s v="Oppo"/>
    <s v="Pinacle Sol"/>
    <s v="Rcom"/>
    <n v="4138"/>
  </r>
  <r>
    <x v="22"/>
    <s v="Sony"/>
    <s v="Pinacle Sol"/>
    <s v="Rcom"/>
    <n v="2602"/>
  </r>
  <r>
    <x v="178"/>
    <s v="Lava"/>
    <s v="BCL LTD"/>
    <s v="SS inc"/>
    <n v="3117"/>
  </r>
  <r>
    <x v="179"/>
    <s v="Nokia"/>
    <s v="BCL LTD"/>
    <s v="Rcom"/>
    <n v="3787"/>
  </r>
  <r>
    <x v="180"/>
    <s v="Nokia"/>
    <s v="BCL LTD"/>
    <s v="Rcom"/>
    <n v="333"/>
  </r>
  <r>
    <x v="181"/>
    <s v="Nokia"/>
    <s v="BCL LTD"/>
    <s v="SS inc"/>
    <n v="2062"/>
  </r>
  <r>
    <x v="182"/>
    <s v="Lyf"/>
    <s v="BCL LTD"/>
    <s v="Sl comm"/>
    <n v="4323"/>
  </r>
  <r>
    <x v="183"/>
    <s v="Lava"/>
    <s v="BCL LTD"/>
    <s v="Rcom"/>
    <n v="2942"/>
  </r>
  <r>
    <x v="184"/>
    <s v="Oppo"/>
    <s v="Pinacle Sol"/>
    <s v="Rcom"/>
    <n v="4310"/>
  </r>
  <r>
    <x v="185"/>
    <s v="Sony"/>
    <s v="Pinacle Sol"/>
    <s v="Sd Communication"/>
    <n v="1789"/>
  </r>
  <r>
    <x v="186"/>
    <s v="Nokia"/>
    <s v="BCL LTD"/>
    <s v="Sl comm"/>
    <n v="1199"/>
  </r>
  <r>
    <x v="187"/>
    <s v="Nokia"/>
    <s v="BCL LTD"/>
    <s v="SS inc"/>
    <n v="417"/>
  </r>
  <r>
    <x v="82"/>
    <s v="Sony"/>
    <s v="Pinacle Sol"/>
    <s v="Sl comm"/>
    <n v="2505"/>
  </r>
  <r>
    <x v="188"/>
    <s v="Oppo"/>
    <s v="Pinacle Sol"/>
    <s v="Sl comm"/>
    <n v="3748"/>
  </r>
  <r>
    <x v="140"/>
    <s v="Nokia"/>
    <s v="BCL LTD"/>
    <s v="Sl comm"/>
    <n v="3875"/>
  </r>
  <r>
    <x v="189"/>
    <s v="Lava"/>
    <s v="BCL LTD"/>
    <s v="Rcom"/>
    <n v="921"/>
  </r>
  <r>
    <x v="190"/>
    <s v="Nokia"/>
    <s v="BCL LTD"/>
    <s v="Rcom"/>
    <n v="459"/>
  </r>
  <r>
    <x v="191"/>
    <s v="Sony"/>
    <s v="Pinacle Sol"/>
    <s v="Sd Communication"/>
    <n v="1784"/>
  </r>
  <r>
    <x v="106"/>
    <s v="Lyf"/>
    <s v="BCL LTD"/>
    <s v="Rcom"/>
    <n v="2041"/>
  </r>
  <r>
    <x v="192"/>
    <s v="Oppo"/>
    <s v="Cds ltd"/>
    <s v="Rcom"/>
    <n v="3145"/>
  </r>
  <r>
    <x v="193"/>
    <s v="Lava"/>
    <s v="BCL LTD"/>
    <s v="Sd Communication"/>
    <n v="3507"/>
  </r>
  <r>
    <x v="194"/>
    <s v="Lava"/>
    <s v="BCL LTD"/>
    <s v="Sl comm"/>
    <n v="2988"/>
  </r>
  <r>
    <x v="195"/>
    <s v="Lava"/>
    <s v="BCL LTD"/>
    <s v="Sd Communication"/>
    <n v="2593"/>
  </r>
  <r>
    <x v="196"/>
    <s v="Nokia"/>
    <s v="BCL LTD"/>
    <s v="Sl comm"/>
    <n v="2403"/>
  </r>
  <r>
    <x v="197"/>
    <s v="Nokia"/>
    <s v="BCL LTD"/>
    <s v="Sd Communication"/>
    <n v="1087"/>
  </r>
  <r>
    <x v="134"/>
    <s v="Oppo"/>
    <s v="Pinacle Sol"/>
    <s v="Sd Communication"/>
    <n v="2668"/>
  </r>
  <r>
    <x v="198"/>
    <s v="Lava"/>
    <s v="BCL LTD"/>
    <s v="Sd Communication"/>
    <n v="1703"/>
  </r>
  <r>
    <x v="199"/>
    <s v="Lava"/>
    <s v="BCL LTD"/>
    <s v="Rcom"/>
    <n v="1686"/>
  </r>
  <r>
    <x v="160"/>
    <s v="Nokia"/>
    <s v="BCL LTD"/>
    <s v="Sd Communication"/>
    <n v="4880"/>
  </r>
  <r>
    <x v="200"/>
    <s v="Sony"/>
    <s v="Pinacle Sol"/>
    <s v="Rcom"/>
    <n v="4594"/>
  </r>
  <r>
    <x v="103"/>
    <s v="Lava"/>
    <s v="BCL LTD"/>
    <s v="Sd Communication"/>
    <n v="2153"/>
  </r>
  <r>
    <x v="201"/>
    <s v="Nokia"/>
    <s v="BCL LTD"/>
    <s v="Sl comm"/>
    <n v="4377"/>
  </r>
  <r>
    <x v="202"/>
    <s v="Nokia"/>
    <s v="BCL LTD"/>
    <s v="Sl comm"/>
    <n v="3802"/>
  </r>
  <r>
    <x v="203"/>
    <s v="Nokia"/>
    <s v="BCL LTD"/>
    <s v="SS inc"/>
    <n v="327"/>
  </r>
  <r>
    <x v="204"/>
    <s v="Lava"/>
    <s v="BCL LTD"/>
    <s v="SS inc"/>
    <n v="1155"/>
  </r>
  <r>
    <x v="18"/>
    <s v="Nokia"/>
    <s v="BCL LTD"/>
    <s v="Sd Communication"/>
    <n v="4079"/>
  </r>
  <r>
    <x v="205"/>
    <s v="Nokia"/>
    <s v="BCL LTD"/>
    <s v="SS inc"/>
    <n v="4961"/>
  </r>
  <r>
    <x v="65"/>
    <s v="Lava"/>
    <s v="BCL LTD"/>
    <s v="Rcom"/>
    <n v="427"/>
  </r>
  <r>
    <x v="206"/>
    <s v="Lava"/>
    <s v="BCL LTD"/>
    <s v="SS inc"/>
    <n v="1444"/>
  </r>
  <r>
    <x v="162"/>
    <s v="micromax"/>
    <s v="Pinacle Sol"/>
    <s v="Rcom"/>
    <n v="1367"/>
  </r>
  <r>
    <x v="80"/>
    <s v="Nokia"/>
    <s v="BCL LTD"/>
    <s v="Sl comm"/>
    <n v="2982"/>
  </r>
  <r>
    <x v="207"/>
    <s v="Nokia"/>
    <s v="BCL LTD"/>
    <s v="Sd Communication"/>
    <n v="4870"/>
  </r>
  <r>
    <x v="208"/>
    <s v="Nokia"/>
    <s v="BCL LTD"/>
    <s v="Rcom"/>
    <n v="2438"/>
  </r>
  <r>
    <x v="209"/>
    <s v="Nokia"/>
    <s v="BCL LTD"/>
    <s v="Sl comm"/>
    <n v="2316"/>
  </r>
  <r>
    <x v="120"/>
    <s v="Lava"/>
    <s v="BCL LTD"/>
    <s v="Sd Communication"/>
    <n v="1801"/>
  </r>
  <r>
    <x v="210"/>
    <s v="Nokia"/>
    <s v="BCL LTD"/>
    <s v="Sl comm"/>
    <n v="1061"/>
  </r>
  <r>
    <x v="211"/>
    <s v="Nokia"/>
    <s v="BCL LTD"/>
    <s v="Rcom"/>
    <n v="1377"/>
  </r>
  <r>
    <x v="166"/>
    <s v="Nokia"/>
    <s v="BCL LTD"/>
    <s v="Sd Communication"/>
    <n v="560"/>
  </r>
  <r>
    <x v="42"/>
    <s v="Lava"/>
    <s v="BCL LTD"/>
    <s v="Sd Communication"/>
    <n v="1466"/>
  </r>
  <r>
    <x v="212"/>
    <s v="Nokia"/>
    <s v="BCL LTD"/>
    <s v="Sl comm"/>
    <n v="1240"/>
  </r>
  <r>
    <x v="213"/>
    <s v="Lyf"/>
    <s v="Pinacle Sol"/>
    <s v="Sl comm"/>
    <n v="2155"/>
  </r>
  <r>
    <x v="214"/>
    <s v="Oppo"/>
    <s v="Pinacle Sol"/>
    <s v="Sd Communication"/>
    <n v="3723"/>
  </r>
  <r>
    <x v="19"/>
    <s v="Nokia"/>
    <s v="BCL LTD"/>
    <s v="Sd Communication"/>
    <n v="4228"/>
  </r>
  <r>
    <x v="215"/>
    <s v="Nokia"/>
    <s v="BCL LTD"/>
    <s v="Sd Communication"/>
    <n v="331"/>
  </r>
  <r>
    <x v="216"/>
    <s v="Oppo"/>
    <s v="Cds ltd"/>
    <s v="Sl comm"/>
    <n v="1167"/>
  </r>
  <r>
    <x v="217"/>
    <s v="Lyf"/>
    <s v="Pinacle Sol"/>
    <s v="SS inc"/>
    <n v="1317"/>
  </r>
  <r>
    <x v="218"/>
    <s v="Oppo"/>
    <s v="Pinacle Sol"/>
    <s v="Sl comm"/>
    <n v="1948"/>
  </r>
  <r>
    <x v="46"/>
    <s v="Nokia"/>
    <s v="BCL LTD"/>
    <s v="Rcom"/>
    <n v="3977"/>
  </r>
  <r>
    <x v="219"/>
    <s v="Nokia"/>
    <s v="BCL LTD"/>
    <s v="Rcom"/>
    <n v="3890"/>
  </r>
  <r>
    <x v="110"/>
    <s v="Nokia"/>
    <s v="BCL LTD"/>
    <s v="Sl comm"/>
    <n v="4952"/>
  </r>
  <r>
    <x v="220"/>
    <s v="Nokia"/>
    <s v="BCL LTD"/>
    <s v="Sl comm"/>
    <n v="4144"/>
  </r>
  <r>
    <x v="221"/>
    <s v="Oppo"/>
    <s v="Pinacle Sol"/>
    <s v="Sd Communication"/>
    <n v="1640"/>
  </r>
  <r>
    <x v="15"/>
    <s v="Oppo"/>
    <s v="Pinacle Sol"/>
    <s v="Rcom"/>
    <n v="3829"/>
  </r>
  <r>
    <x v="222"/>
    <s v="Nokia"/>
    <s v="BCL LTD"/>
    <s v="Sd Communication"/>
    <n v="2378"/>
  </r>
  <r>
    <x v="223"/>
    <s v="Sony"/>
    <s v="Pinacle Sol"/>
    <s v="Rcom"/>
    <n v="1354"/>
  </r>
  <r>
    <x v="119"/>
    <s v="Lyf"/>
    <s v="BCL LTD"/>
    <s v="Sl comm"/>
    <n v="3707"/>
  </r>
  <r>
    <x v="224"/>
    <s v="Nokia"/>
    <s v="BCL LTD"/>
    <s v="Rcom"/>
    <n v="4608"/>
  </r>
  <r>
    <x v="7"/>
    <s v="Lyf"/>
    <s v="Pinacle Sol"/>
    <s v="SS inc"/>
    <n v="1911"/>
  </r>
  <r>
    <x v="225"/>
    <s v="Oppo"/>
    <s v="Pinacle Sol"/>
    <s v="Sd Communication"/>
    <n v="3876"/>
  </r>
  <r>
    <x v="174"/>
    <s v="Nokia"/>
    <s v="BCL LTD"/>
    <s v="SS inc"/>
    <n v="2440"/>
  </r>
  <r>
    <x v="226"/>
    <s v="Nokia"/>
    <s v="BCL LTD"/>
    <s v="Sl comm"/>
    <n v="3081"/>
  </r>
  <r>
    <x v="227"/>
    <s v="Sony"/>
    <s v="Pinacle Sol"/>
    <s v="SS inc"/>
    <n v="635"/>
  </r>
  <r>
    <x v="228"/>
    <s v="Lyf"/>
    <s v="Pinacle Sol"/>
    <s v="Sl comm"/>
    <n v="1900"/>
  </r>
  <r>
    <x v="58"/>
    <s v="Oppo"/>
    <s v="Pinacle Sol"/>
    <s v="Rcom"/>
    <n v="1169"/>
  </r>
  <r>
    <x v="229"/>
    <s v="Lyf"/>
    <s v="BCL LTD"/>
    <s v="Rcom"/>
    <n v="3146"/>
  </r>
  <r>
    <x v="230"/>
    <s v="Nokia"/>
    <s v="BCL LTD"/>
    <s v="Rcom"/>
    <n v="938"/>
  </r>
  <r>
    <x v="231"/>
    <s v="Lava"/>
    <s v="BCL LTD"/>
    <s v="Sl comm"/>
    <n v="4954"/>
  </r>
  <r>
    <x v="232"/>
    <s v="Lava"/>
    <s v="BCL LTD"/>
    <s v="Sd Communication"/>
    <n v="2180"/>
  </r>
  <r>
    <x v="173"/>
    <s v="Nokia"/>
    <s v="BCL LTD"/>
    <s v="Sl comm"/>
    <n v="629"/>
  </r>
  <r>
    <x v="233"/>
    <s v="Lava"/>
    <s v="BCL LTD"/>
    <s v="SS inc"/>
    <n v="296"/>
  </r>
  <r>
    <x v="234"/>
    <s v="Nokia"/>
    <s v="BCL LTD"/>
    <s v="Rcom"/>
    <n v="3767"/>
  </r>
  <r>
    <x v="235"/>
    <s v="Nokia"/>
    <s v="BCL LTD"/>
    <s v="SS inc"/>
    <n v="4403"/>
  </r>
  <r>
    <x v="189"/>
    <s v="Oppo"/>
    <s v="Pinacle Sol"/>
    <s v="SS inc"/>
    <n v="2974"/>
  </r>
  <r>
    <x v="236"/>
    <s v="Lava"/>
    <s v="BCL LTD"/>
    <s v="Rcom"/>
    <n v="193"/>
  </r>
  <r>
    <x v="215"/>
    <s v="Sony"/>
    <s v="Pinacle Sol"/>
    <s v="Rcom"/>
    <n v="875"/>
  </r>
  <r>
    <x v="237"/>
    <s v="Oppo"/>
    <s v="Cds ltd"/>
    <s v="Sd Communication"/>
    <n v="3043"/>
  </r>
  <r>
    <x v="238"/>
    <s v="Sony"/>
    <s v="Pinacle Sol"/>
    <s v="SS inc"/>
    <n v="4530"/>
  </r>
  <r>
    <x v="239"/>
    <s v="Lava"/>
    <s v="BCL LTD"/>
    <s v="Sl comm"/>
    <n v="3786"/>
  </r>
  <r>
    <x v="240"/>
    <s v="micromax"/>
    <s v="Pinacle Sol"/>
    <s v="Sl comm"/>
    <n v="4607"/>
  </r>
  <r>
    <x v="27"/>
    <s v="Nokia"/>
    <s v="BCL LTD"/>
    <s v="SS inc"/>
    <n v="1720"/>
  </r>
  <r>
    <x v="241"/>
    <s v="Nokia"/>
    <s v="BCL LTD"/>
    <s v="Rcom"/>
    <n v="2568"/>
  </r>
  <r>
    <x v="242"/>
    <s v="Sony"/>
    <s v="Pinacle Sol"/>
    <s v="Rcom"/>
    <n v="2984"/>
  </r>
  <r>
    <x v="151"/>
    <s v="Oppo"/>
    <s v="Cds ltd"/>
    <s v="Sl comm"/>
    <n v="4493"/>
  </r>
  <r>
    <x v="78"/>
    <s v="Nokia"/>
    <s v="BCL LTD"/>
    <s v="Sl comm"/>
    <n v="4195"/>
  </r>
  <r>
    <x v="243"/>
    <s v="Sony"/>
    <s v="Pinacle Sol"/>
    <s v="SS inc"/>
    <n v="4285"/>
  </r>
  <r>
    <x v="244"/>
    <s v="Lyf"/>
    <s v="Pinacle Sol"/>
    <s v="Rcom"/>
    <n v="1711"/>
  </r>
  <r>
    <x v="245"/>
    <s v="Nokia"/>
    <s v="BCL LTD"/>
    <s v="Rcom"/>
    <n v="2194"/>
  </r>
  <r>
    <x v="246"/>
    <s v="Nokia"/>
    <s v="BCL LTD"/>
    <s v="Rcom"/>
    <n v="1111"/>
  </r>
  <r>
    <x v="247"/>
    <s v="Lava"/>
    <s v="BCL LTD"/>
    <s v="Sd Communication"/>
    <n v="4783"/>
  </r>
  <r>
    <x v="248"/>
    <s v="Oppo"/>
    <s v="Pinacle Sol"/>
    <s v="Rcom"/>
    <n v="494"/>
  </r>
  <r>
    <x v="249"/>
    <s v="Lyf"/>
    <s v="BCL LTD"/>
    <s v="Sl comm"/>
    <n v="2137"/>
  </r>
  <r>
    <x v="250"/>
    <s v="Sony"/>
    <s v="Pinacle Sol"/>
    <s v="Rcom"/>
    <n v="2945"/>
  </r>
  <r>
    <x v="211"/>
    <s v="Oppo"/>
    <s v="Pinacle Sol"/>
    <s v="Sl comm"/>
    <n v="868"/>
  </r>
  <r>
    <x v="251"/>
    <s v="Nokia"/>
    <s v="BCL LTD"/>
    <s v="Sl comm"/>
    <n v="2345"/>
  </r>
  <r>
    <x v="252"/>
    <s v="Lava"/>
    <s v="BCL LTD"/>
    <s v="Sl comm"/>
    <n v="4054"/>
  </r>
  <r>
    <x v="253"/>
    <s v="Sony"/>
    <s v="Pinacle Sol"/>
    <s v="SS inc"/>
    <n v="2734"/>
  </r>
  <r>
    <x v="254"/>
    <s v="Nokia"/>
    <s v="BCL LTD"/>
    <s v="Rcom"/>
    <n v="106"/>
  </r>
  <r>
    <x v="210"/>
    <s v="Sony"/>
    <s v="Pinacle Sol"/>
    <s v="SS inc"/>
    <n v="764"/>
  </r>
  <r>
    <x v="255"/>
    <s v="Oppo"/>
    <s v="Pinacle Sol"/>
    <s v="Rcom"/>
    <n v="3256"/>
  </r>
  <r>
    <x v="133"/>
    <s v="Oppo"/>
    <s v="Cds ltd"/>
    <s v="Sd Communication"/>
    <n v="4605"/>
  </r>
  <r>
    <x v="256"/>
    <s v="Nokia"/>
    <s v="BCL LTD"/>
    <s v="Rcom"/>
    <n v="3449"/>
  </r>
  <r>
    <x v="257"/>
    <s v="Sony"/>
    <s v="Pinacle Sol"/>
    <s v="Sl comm"/>
    <n v="4651"/>
  </r>
  <r>
    <x v="159"/>
    <s v="micromax"/>
    <s v="Pinacle Sol"/>
    <s v="Rcom"/>
    <n v="4091"/>
  </r>
  <r>
    <x v="258"/>
    <s v="Oppo"/>
    <s v="Pinacle Sol"/>
    <s v="Sd Communication"/>
    <n v="1590"/>
  </r>
  <r>
    <x v="259"/>
    <s v="Oppo"/>
    <s v="Pinacle Sol"/>
    <s v="Rcom"/>
    <n v="1796"/>
  </r>
  <r>
    <x v="260"/>
    <s v="Nokia"/>
    <s v="BCL LTD"/>
    <s v="Rcom"/>
    <n v="4101"/>
  </r>
  <r>
    <x v="149"/>
    <s v="Lyf"/>
    <s v="BCL LTD"/>
    <s v="Sl comm"/>
    <n v="3509"/>
  </r>
  <r>
    <x v="261"/>
    <s v="Sony"/>
    <s v="Pinacle Sol"/>
    <s v="Rcom"/>
    <n v="1576"/>
  </r>
  <r>
    <x v="44"/>
    <s v="Oppo"/>
    <s v="Pinacle Sol"/>
    <s v="Rcom"/>
    <n v="902"/>
  </r>
  <r>
    <x v="262"/>
    <s v="micromax"/>
    <s v="Pinacle Sol"/>
    <s v="Rcom"/>
    <n v="4048"/>
  </r>
  <r>
    <x v="263"/>
    <s v="Lava"/>
    <s v="BCL LTD"/>
    <s v="SS inc"/>
    <n v="2273"/>
  </r>
  <r>
    <x v="84"/>
    <s v="Lyf"/>
    <s v="Pinacle Sol"/>
    <s v="SS inc"/>
    <n v="2961"/>
  </r>
  <r>
    <x v="256"/>
    <s v="Nokia"/>
    <s v="BCL LTD"/>
    <s v="Sd Communication"/>
    <n v="191"/>
  </r>
  <r>
    <x v="172"/>
    <s v="Nokia"/>
    <s v="BCL LTD"/>
    <s v="Sd Communication"/>
    <n v="3579"/>
  </r>
  <r>
    <x v="181"/>
    <s v="Nokia"/>
    <s v="BCL LTD"/>
    <s v="Sd Communication"/>
    <n v="650"/>
  </r>
  <r>
    <x v="264"/>
    <s v="Lyf"/>
    <s v="BCL LTD"/>
    <s v="Sd Communication"/>
    <n v="4046"/>
  </r>
  <r>
    <x v="265"/>
    <s v="Lyf"/>
    <s v="BCL LTD"/>
    <s v="Sd Communication"/>
    <n v="4822"/>
  </r>
  <r>
    <x v="266"/>
    <s v="Lyf"/>
    <s v="Pinacle Sol"/>
    <s v="Rcom"/>
    <n v="664"/>
  </r>
  <r>
    <x v="19"/>
    <s v="Oppo"/>
    <s v="Cds ltd"/>
    <s v="Sl comm"/>
    <n v="3394"/>
  </r>
  <r>
    <x v="62"/>
    <s v="Oppo"/>
    <s v="Cds ltd"/>
    <s v="Rcom"/>
    <n v="4008"/>
  </r>
  <r>
    <x v="267"/>
    <s v="Nokia"/>
    <s v="BCL LTD"/>
    <s v="SS inc"/>
    <n v="3200"/>
  </r>
  <r>
    <x v="268"/>
    <s v="Sony"/>
    <s v="Pinacle Sol"/>
    <s v="SS inc"/>
    <n v="4587"/>
  </r>
  <r>
    <x v="269"/>
    <s v="Nokia"/>
    <s v="BCL LTD"/>
    <s v="Rcom"/>
    <n v="1600"/>
  </r>
  <r>
    <x v="270"/>
    <s v="Sony"/>
    <s v="Pinacle Sol"/>
    <s v="SS inc"/>
    <n v="4636"/>
  </r>
  <r>
    <x v="271"/>
    <s v="Nokia"/>
    <s v="BCL LTD"/>
    <s v="Rcom"/>
    <n v="1473"/>
  </r>
  <r>
    <x v="186"/>
    <s v="Lyf"/>
    <s v="BCL LTD"/>
    <s v="Sd Communication"/>
    <n v="3951"/>
  </r>
  <r>
    <x v="272"/>
    <s v="Nokia"/>
    <s v="BCL LTD"/>
    <s v="SS inc"/>
    <n v="1234"/>
  </r>
  <r>
    <x v="273"/>
    <s v="Sony"/>
    <s v="Pinacle Sol"/>
    <s v="Sd Communication"/>
    <n v="1721"/>
  </r>
  <r>
    <x v="274"/>
    <s v="Oppo"/>
    <s v="Pinacle Sol"/>
    <s v="Sl comm"/>
    <n v="242"/>
  </r>
  <r>
    <x v="269"/>
    <s v="Nokia"/>
    <s v="BCL LTD"/>
    <s v="Sd Communication"/>
    <n v="1331"/>
  </r>
  <r>
    <x v="187"/>
    <s v="Nokia"/>
    <s v="BCL LTD"/>
    <s v="Sd Communication"/>
    <n v="3806"/>
  </r>
  <r>
    <x v="275"/>
    <s v="Nokia"/>
    <s v="BCL LTD"/>
    <s v="Sd Communication"/>
    <n v="3028"/>
  </r>
  <r>
    <x v="276"/>
    <s v="Oppo"/>
    <s v="Pinacle Sol"/>
    <s v="Sl comm"/>
    <n v="273"/>
  </r>
  <r>
    <x v="124"/>
    <s v="Oppo"/>
    <s v="Pinacle Sol"/>
    <s v="Sd Communication"/>
    <n v="2490"/>
  </r>
  <r>
    <x v="277"/>
    <s v="Sony"/>
    <s v="Pinacle Sol"/>
    <s v="Sd Communication"/>
    <n v="1570"/>
  </r>
  <r>
    <x v="69"/>
    <s v="Sony"/>
    <s v="Pinacle Sol"/>
    <s v="Sd Communication"/>
    <n v="3418"/>
  </r>
  <r>
    <x v="278"/>
    <s v="Sony"/>
    <s v="Pinacle Sol"/>
    <s v="SS inc"/>
    <n v="1883"/>
  </r>
  <r>
    <x v="80"/>
    <s v="Oppo"/>
    <s v="Cds ltd"/>
    <s v="SS inc"/>
    <n v="3271"/>
  </r>
  <r>
    <x v="246"/>
    <s v="Lava"/>
    <s v="BCL LTD"/>
    <s v="Sd Communication"/>
    <n v="2859"/>
  </r>
  <r>
    <x v="189"/>
    <s v="Sony"/>
    <s v="Pinacle Sol"/>
    <s v="Sl comm"/>
    <n v="721"/>
  </r>
  <r>
    <x v="279"/>
    <s v="Oppo"/>
    <s v="Pinacle Sol"/>
    <s v="Sd Communication"/>
    <n v="3469"/>
  </r>
  <r>
    <x v="280"/>
    <s v="Nokia"/>
    <s v="BCL LTD"/>
    <s v="SS inc"/>
    <n v="1117"/>
  </r>
  <r>
    <x v="281"/>
    <s v="Lyf"/>
    <s v="Pinacle Sol"/>
    <s v="Sl comm"/>
    <n v="1235"/>
  </r>
  <r>
    <x v="196"/>
    <s v="Nokia"/>
    <s v="BCL LTD"/>
    <s v="Sl comm"/>
    <n v="2129"/>
  </r>
  <r>
    <x v="282"/>
    <s v="Nokia"/>
    <s v="BCL LTD"/>
    <s v="Rcom"/>
    <n v="2360"/>
  </r>
  <r>
    <x v="283"/>
    <s v="Sony"/>
    <s v="Pinacle Sol"/>
    <s v="Sl comm"/>
    <n v="3047"/>
  </r>
  <r>
    <x v="284"/>
    <s v="Nokia"/>
    <s v="BCL LTD"/>
    <s v="Sl comm"/>
    <n v="3079"/>
  </r>
  <r>
    <x v="141"/>
    <s v="Oppo"/>
    <s v="Pinacle Sol"/>
    <s v="Sl comm"/>
    <n v="1602"/>
  </r>
  <r>
    <x v="285"/>
    <s v="micromax"/>
    <s v="Pinacle Sol"/>
    <s v="SS inc"/>
    <n v="1424"/>
  </r>
  <r>
    <x v="286"/>
    <s v="Oppo"/>
    <s v="Cds ltd"/>
    <s v="SS inc"/>
    <n v="2402"/>
  </r>
  <r>
    <x v="266"/>
    <s v="Sony"/>
    <s v="Pinacle Sol"/>
    <s v="Sd Communication"/>
    <n v="2211"/>
  </r>
  <r>
    <x v="280"/>
    <s v="Oppo"/>
    <s v="Cds ltd"/>
    <s v="Sl comm"/>
    <n v="1326"/>
  </r>
  <r>
    <x v="265"/>
    <s v="Nokia"/>
    <s v="BCL LTD"/>
    <s v="Rcom"/>
    <n v="2751"/>
  </r>
  <r>
    <x v="287"/>
    <s v="Lava"/>
    <s v="BCL LTD"/>
    <s v="Rcom"/>
    <n v="4087"/>
  </r>
  <r>
    <x v="288"/>
    <s v="Oppo"/>
    <s v="Pinacle Sol"/>
    <s v="Sd Communication"/>
    <n v="2563"/>
  </r>
  <r>
    <x v="60"/>
    <s v="Sony"/>
    <s v="Pinacle Sol"/>
    <s v="Rcom"/>
    <n v="4035"/>
  </r>
  <r>
    <x v="289"/>
    <s v="Lava"/>
    <s v="BCL LTD"/>
    <s v="Rcom"/>
    <n v="1386"/>
  </r>
  <r>
    <x v="148"/>
    <s v="Lava"/>
    <s v="BCL LTD"/>
    <s v="Rcom"/>
    <n v="2359"/>
  </r>
  <r>
    <x v="170"/>
    <s v="Oppo"/>
    <s v="Pinacle Sol"/>
    <s v="Sd Communication"/>
    <n v="3757"/>
  </r>
  <r>
    <x v="290"/>
    <s v="Lyf"/>
    <s v="BCL LTD"/>
    <s v="Rcom"/>
    <n v="2535"/>
  </r>
  <r>
    <x v="264"/>
    <s v="Oppo"/>
    <s v="Cds ltd"/>
    <s v="SS inc"/>
    <n v="4316"/>
  </r>
  <r>
    <x v="291"/>
    <s v="Oppo"/>
    <s v="Cds ltd"/>
    <s v="Sd Communication"/>
    <n v="3634"/>
  </r>
  <r>
    <x v="267"/>
    <s v="Lyf"/>
    <s v="Pinacle Sol"/>
    <s v="Rcom"/>
    <n v="3518"/>
  </r>
  <r>
    <x v="292"/>
    <s v="Oppo"/>
    <s v="Pinacle Sol"/>
    <s v="Rcom"/>
    <n v="4542"/>
  </r>
  <r>
    <x v="293"/>
    <s v="micromax"/>
    <s v="Pinacle Sol"/>
    <s v="Rcom"/>
    <n v="3195"/>
  </r>
  <r>
    <x v="280"/>
    <s v="micromax"/>
    <s v="Pinacle Sol"/>
    <s v="Sd Communication"/>
    <n v="3372"/>
  </r>
  <r>
    <x v="221"/>
    <s v="Lava"/>
    <s v="BCL LTD"/>
    <s v="Rcom"/>
    <n v="3176"/>
  </r>
  <r>
    <x v="251"/>
    <s v="Oppo"/>
    <s v="Pinacle Sol"/>
    <s v="Sd Communication"/>
    <n v="4425"/>
  </r>
  <r>
    <x v="294"/>
    <s v="Oppo"/>
    <s v="Cds ltd"/>
    <s v="Sl comm"/>
    <n v="3539"/>
  </r>
  <r>
    <x v="295"/>
    <s v="Oppo"/>
    <s v="Pinacle Sol"/>
    <s v="Rcom"/>
    <n v="2063"/>
  </r>
  <r>
    <x v="291"/>
    <s v="Sony"/>
    <s v="Pinacle Sol"/>
    <s v="Sd Communication"/>
    <n v="2809"/>
  </r>
  <r>
    <x v="144"/>
    <s v="Lava"/>
    <s v="BCL LTD"/>
    <s v="Sd Communication"/>
    <n v="4973"/>
  </r>
  <r>
    <x v="296"/>
    <s v="Oppo"/>
    <s v="Pinacle Sol"/>
    <s v="Sl comm"/>
    <n v="256"/>
  </r>
  <r>
    <x v="297"/>
    <s v="Oppo"/>
    <s v="Pinacle Sol"/>
    <s v="SS inc"/>
    <n v="2541"/>
  </r>
  <r>
    <x v="298"/>
    <s v="Lyf"/>
    <s v="Pinacle Sol"/>
    <s v="Rcom"/>
    <n v="1808"/>
  </r>
  <r>
    <x v="299"/>
    <s v="Lyf"/>
    <s v="BCL LTD"/>
    <s v="Sl comm"/>
    <n v="246"/>
  </r>
  <r>
    <x v="300"/>
    <s v="Lyf"/>
    <s v="BCL LTD"/>
    <s v="Sd Communication"/>
    <n v="1020"/>
  </r>
  <r>
    <x v="301"/>
    <s v="Nokia"/>
    <s v="BCL LTD"/>
    <s v="Sd Communication"/>
    <n v="4427"/>
  </r>
  <r>
    <x v="74"/>
    <s v="Nokia"/>
    <s v="BCL LTD"/>
    <s v="Sd Communication"/>
    <n v="3352"/>
  </r>
  <r>
    <x v="302"/>
    <s v="Nokia"/>
    <s v="BCL LTD"/>
    <s v="Rcom"/>
    <n v="415"/>
  </r>
  <r>
    <x v="303"/>
    <s v="Nokia"/>
    <s v="BCL LTD"/>
    <s v="Rcom"/>
    <n v="1105"/>
  </r>
  <r>
    <x v="166"/>
    <s v="Lava"/>
    <s v="BCL LTD"/>
    <s v="Sl comm"/>
    <n v="2735"/>
  </r>
  <r>
    <x v="304"/>
    <s v="Oppo"/>
    <s v="Pinacle Sol"/>
    <s v="Rcom"/>
    <n v="426"/>
  </r>
  <r>
    <x v="305"/>
    <s v="Lava"/>
    <s v="BCL LTD"/>
    <s v="Sd Communication"/>
    <n v="4030"/>
  </r>
  <r>
    <x v="208"/>
    <s v="Lyf"/>
    <s v="Pinacle Sol"/>
    <s v="Sd Communication"/>
    <n v="4093"/>
  </r>
  <r>
    <x v="306"/>
    <s v="Nokia"/>
    <s v="BCL LTD"/>
    <s v="Sl comm"/>
    <n v="1145"/>
  </r>
  <r>
    <x v="307"/>
    <s v="Lava"/>
    <s v="BCL LTD"/>
    <s v="Sd Communication"/>
    <n v="2765"/>
  </r>
  <r>
    <x v="308"/>
    <s v="Sony"/>
    <s v="Pinacle Sol"/>
    <s v="Rcom"/>
    <n v="3208"/>
  </r>
  <r>
    <x v="98"/>
    <s v="Oppo"/>
    <s v="Pinacle Sol"/>
    <s v="SS inc"/>
    <n v="864"/>
  </r>
  <r>
    <x v="26"/>
    <s v="Nokia"/>
    <s v="BCL LTD"/>
    <s v="Sd Communication"/>
    <n v="1587"/>
  </r>
  <r>
    <x v="75"/>
    <s v="Lava"/>
    <s v="BCL LTD"/>
    <s v="Sd Communication"/>
    <n v="1440"/>
  </r>
  <r>
    <x v="140"/>
    <s v="Lava"/>
    <s v="BCL LTD"/>
    <s v="Sl comm"/>
    <n v="4232"/>
  </r>
  <r>
    <x v="309"/>
    <s v="Oppo"/>
    <s v="Pinacle Sol"/>
    <s v="SS inc"/>
    <n v="245"/>
  </r>
  <r>
    <x v="87"/>
    <s v="Nokia"/>
    <s v="BCL LTD"/>
    <s v="Sd Communication"/>
    <n v="1863"/>
  </r>
  <r>
    <x v="3"/>
    <s v="Lyf"/>
    <s v="BCL LTD"/>
    <s v="Sl comm"/>
    <n v="634"/>
  </r>
  <r>
    <x v="310"/>
    <s v="Oppo"/>
    <s v="Pinacle Sol"/>
    <s v="SS inc"/>
    <n v="2529"/>
  </r>
  <r>
    <x v="311"/>
    <s v="Oppo"/>
    <s v="Pinacle Sol"/>
    <s v="Sd Communication"/>
    <n v="1841"/>
  </r>
  <r>
    <x v="29"/>
    <s v="Oppo"/>
    <s v="Cds ltd"/>
    <s v="Sd Communication"/>
    <n v="3719"/>
  </r>
  <r>
    <x v="312"/>
    <s v="Nokia"/>
    <s v="BCL LTD"/>
    <s v="Rcom"/>
    <n v="108"/>
  </r>
  <r>
    <x v="48"/>
    <s v="Sony"/>
    <s v="Pinacle Sol"/>
    <s v="Rcom"/>
    <n v="844"/>
  </r>
  <r>
    <x v="313"/>
    <s v="Nokia"/>
    <s v="BCL LTD"/>
    <s v="Rcom"/>
    <n v="3814"/>
  </r>
  <r>
    <x v="222"/>
    <s v="Nokia"/>
    <s v="BCL LTD"/>
    <s v="Sl comm"/>
    <n v="2994"/>
  </r>
  <r>
    <x v="314"/>
    <s v="Nokia"/>
    <s v="BCL LTD"/>
    <s v="Sd Communication"/>
    <n v="927"/>
  </r>
  <r>
    <x v="132"/>
    <s v="Nokia"/>
    <s v="BCL LTD"/>
    <s v="Sl comm"/>
    <n v="795"/>
  </r>
  <r>
    <x v="308"/>
    <s v="Nokia"/>
    <s v="BCL LTD"/>
    <s v="Sd Communication"/>
    <n v="457"/>
  </r>
  <r>
    <x v="315"/>
    <s v="Nokia"/>
    <s v="BCL LTD"/>
    <s v="Sl comm"/>
    <n v="4693"/>
  </r>
  <r>
    <x v="316"/>
    <s v="Nokia"/>
    <s v="BCL LTD"/>
    <s v="Rcom"/>
    <n v="924"/>
  </r>
  <r>
    <x v="266"/>
    <s v="Nokia"/>
    <s v="BCL LTD"/>
    <s v="Sd Communication"/>
    <n v="403"/>
  </r>
  <r>
    <x v="189"/>
    <s v="Lava"/>
    <s v="BCL LTD"/>
    <s v="Sl comm"/>
    <n v="977"/>
  </r>
  <r>
    <x v="317"/>
    <s v="Nokia"/>
    <s v="BCL LTD"/>
    <s v="Sl comm"/>
    <n v="411"/>
  </r>
  <r>
    <x v="318"/>
    <s v="Nokia"/>
    <s v="BCL LTD"/>
    <s v="Rcom"/>
    <n v="1129"/>
  </r>
  <r>
    <x v="319"/>
    <s v="Sony"/>
    <s v="Pinacle Sol"/>
    <s v="Sd Communication"/>
    <n v="938"/>
  </r>
  <r>
    <x v="320"/>
    <s v="Nokia"/>
    <s v="BCL LTD"/>
    <s v="Rcom"/>
    <n v="134"/>
  </r>
  <r>
    <x v="227"/>
    <s v="Nokia"/>
    <s v="BCL LTD"/>
    <s v="Sd Communication"/>
    <n v="984"/>
  </r>
  <r>
    <x v="321"/>
    <s v="Nokia"/>
    <s v="BCL LTD"/>
    <s v="Rcom"/>
    <n v="2978"/>
  </r>
  <r>
    <x v="322"/>
    <s v="Sony"/>
    <s v="Pinacle Sol"/>
    <s v="Rcom"/>
    <n v="3350"/>
  </r>
  <r>
    <x v="323"/>
    <s v="Sony"/>
    <s v="Pinacle Sol"/>
    <s v="Sl comm"/>
    <n v="4355"/>
  </r>
  <r>
    <x v="324"/>
    <s v="Lava"/>
    <s v="BCL LTD"/>
    <s v="Sd Communication"/>
    <n v="2077"/>
  </r>
  <r>
    <x v="325"/>
    <s v="Sony"/>
    <s v="Pinacle Sol"/>
    <s v="Sl comm"/>
    <n v="4972"/>
  </r>
  <r>
    <x v="326"/>
    <s v="Lava"/>
    <s v="BCL LTD"/>
    <s v="Sd Communication"/>
    <n v="1048"/>
  </r>
  <r>
    <x v="50"/>
    <s v="Nokia"/>
    <s v="BCL LTD"/>
    <s v="Rcom"/>
    <n v="2151"/>
  </r>
  <r>
    <x v="327"/>
    <s v="Nokia"/>
    <s v="BCL LTD"/>
    <s v="Sl comm"/>
    <n v="1135"/>
  </r>
  <r>
    <x v="156"/>
    <s v="Nokia"/>
    <s v="BCL LTD"/>
    <s v="Rcom"/>
    <n v="577"/>
  </r>
  <r>
    <x v="328"/>
    <s v="Oppo"/>
    <s v="Pinacle Sol"/>
    <s v="Sl comm"/>
    <n v="4559"/>
  </r>
  <r>
    <x v="329"/>
    <s v="Lyf"/>
    <s v="BCL LTD"/>
    <s v="Sd Communication"/>
    <n v="3725"/>
  </r>
  <r>
    <x v="330"/>
    <s v="Lyf"/>
    <s v="Pinacle Sol"/>
    <s v="Sd Communication"/>
    <n v="2317"/>
  </r>
  <r>
    <x v="331"/>
    <s v="Nokia"/>
    <s v="BCL LTD"/>
    <s v="Sd Communication"/>
    <n v="2766"/>
  </r>
  <r>
    <x v="320"/>
    <s v="Sony"/>
    <s v="Pinacle Sol"/>
    <s v="Sl comm"/>
    <n v="2427"/>
  </r>
  <r>
    <x v="137"/>
    <s v="Sony"/>
    <s v="Pinacle Sol"/>
    <s v="Rcom"/>
    <n v="2003"/>
  </r>
  <r>
    <x v="92"/>
    <s v="Lyf"/>
    <s v="BCL LTD"/>
    <s v="SS inc"/>
    <n v="2627"/>
  </r>
  <r>
    <x v="327"/>
    <s v="Oppo"/>
    <s v="Pinacle Sol"/>
    <s v="Sl comm"/>
    <n v="764"/>
  </r>
  <r>
    <x v="34"/>
    <s v="Oppo"/>
    <s v="Pinacle Sol"/>
    <s v="Sd Communication"/>
    <n v="4050"/>
  </r>
  <r>
    <x v="332"/>
    <s v="Lava"/>
    <s v="BCL LTD"/>
    <s v="Sl comm"/>
    <n v="1627"/>
  </r>
  <r>
    <x v="333"/>
    <s v="Oppo"/>
    <s v="Cds ltd"/>
    <s v="Sl comm"/>
    <n v="1859"/>
  </r>
  <r>
    <x v="334"/>
    <s v="Oppo"/>
    <s v="Pinacle Sol"/>
    <s v="Rcom"/>
    <n v="3677"/>
  </r>
  <r>
    <x v="335"/>
    <s v="Sony"/>
    <s v="Pinacle Sol"/>
    <s v="Rcom"/>
    <n v="247"/>
  </r>
  <r>
    <x v="336"/>
    <s v="Sony"/>
    <s v="Pinacle Sol"/>
    <s v="Sl comm"/>
    <n v="1952"/>
  </r>
  <r>
    <x v="337"/>
    <s v="Lava"/>
    <s v="BCL LTD"/>
    <s v="Sl comm"/>
    <n v="1488"/>
  </r>
  <r>
    <x v="84"/>
    <s v="Oppo"/>
    <s v="Pinacle Sol"/>
    <s v="Sl comm"/>
    <n v="1018"/>
  </r>
  <r>
    <x v="301"/>
    <s v="Sony"/>
    <s v="Pinacle Sol"/>
    <s v="SS inc"/>
    <n v="3104"/>
  </r>
  <r>
    <x v="11"/>
    <s v="Lyf"/>
    <s v="Pinacle Sol"/>
    <s v="Sd Communication"/>
    <n v="4992"/>
  </r>
  <r>
    <x v="226"/>
    <s v="Lava"/>
    <s v="BCL LTD"/>
    <s v="Rcom"/>
    <n v="3757"/>
  </r>
  <r>
    <x v="258"/>
    <s v="Lava"/>
    <s v="BCL LTD"/>
    <s v="Sl comm"/>
    <n v="2235"/>
  </r>
  <r>
    <x v="338"/>
    <s v="Nokia"/>
    <s v="BCL LTD"/>
    <s v="Sl comm"/>
    <n v="3567"/>
  </r>
  <r>
    <x v="339"/>
    <s v="Oppo"/>
    <s v="Cds ltd"/>
    <s v="Sl comm"/>
    <n v="2374"/>
  </r>
  <r>
    <x v="340"/>
    <s v="Nokia"/>
    <s v="BCL LTD"/>
    <s v="Sd Communication"/>
    <n v="1785"/>
  </r>
  <r>
    <x v="72"/>
    <s v="Nokia"/>
    <s v="BCL LTD"/>
    <s v="Rcom"/>
    <n v="2143"/>
  </r>
  <r>
    <x v="158"/>
    <s v="Nokia"/>
    <s v="BCL LTD"/>
    <s v="Sl comm"/>
    <n v="697"/>
  </r>
  <r>
    <x v="341"/>
    <s v="Sony"/>
    <s v="Pinacle Sol"/>
    <s v="Sd Communication"/>
    <n v="3114"/>
  </r>
  <r>
    <x v="26"/>
    <s v="Lava"/>
    <s v="BCL LTD"/>
    <s v="Rcom"/>
    <n v="606"/>
  </r>
  <r>
    <x v="342"/>
    <s v="Oppo"/>
    <s v="Cds ltd"/>
    <s v="Sl comm"/>
    <n v="2336"/>
  </r>
  <r>
    <x v="343"/>
    <s v="Nokia"/>
    <s v="BCL LTD"/>
    <s v="Sd Communication"/>
    <n v="2665"/>
  </r>
  <r>
    <x v="344"/>
    <s v="Lyf"/>
    <s v="BCL LTD"/>
    <s v="Rcom"/>
    <n v="3026"/>
  </r>
  <r>
    <x v="345"/>
    <s v="Sony"/>
    <s v="Pinacle Sol"/>
    <s v="Rcom"/>
    <n v="4828"/>
  </r>
  <r>
    <x v="346"/>
    <s v="Nokia"/>
    <s v="BCL LTD"/>
    <s v="Rcom"/>
    <n v="3518"/>
  </r>
  <r>
    <x v="347"/>
    <s v="Nokia"/>
    <s v="BCL LTD"/>
    <s v="Sl comm"/>
    <n v="1932"/>
  </r>
  <r>
    <x v="278"/>
    <s v="Oppo"/>
    <s v="Pinacle Sol"/>
    <s v="Sl comm"/>
    <n v="1071"/>
  </r>
  <r>
    <x v="348"/>
    <s v="Lyf"/>
    <s v="BCL LTD"/>
    <s v="Sl comm"/>
    <n v="2611"/>
  </r>
  <r>
    <x v="349"/>
    <s v="Lyf"/>
    <s v="Pinacle Sol"/>
    <s v="Sl comm"/>
    <n v="885"/>
  </r>
  <r>
    <x v="60"/>
    <s v="Oppo"/>
    <s v="Pinacle Sol"/>
    <s v="Sl comm"/>
    <n v="139"/>
  </r>
  <r>
    <x v="230"/>
    <s v="Lava"/>
    <s v="BCL LTD"/>
    <s v="Rcom"/>
    <n v="4556"/>
  </r>
  <r>
    <x v="197"/>
    <s v="Nokia"/>
    <s v="BCL LTD"/>
    <s v="Sl comm"/>
    <n v="3288"/>
  </r>
  <r>
    <x v="312"/>
    <s v="Nokia"/>
    <s v="BCL LTD"/>
    <s v="Sl comm"/>
    <n v="3176"/>
  </r>
  <r>
    <x v="62"/>
    <s v="Sony"/>
    <s v="Pinacle Sol"/>
    <s v="Sd Communication"/>
    <n v="993"/>
  </r>
  <r>
    <x v="77"/>
    <s v="Nokia"/>
    <s v="BCL LTD"/>
    <s v="SS inc"/>
    <n v="2267"/>
  </r>
  <r>
    <x v="350"/>
    <s v="Oppo"/>
    <s v="Pinacle Sol"/>
    <s v="Sl comm"/>
    <n v="1267"/>
  </r>
  <r>
    <x v="351"/>
    <s v="Lava"/>
    <s v="BCL LTD"/>
    <s v="Sd Communication"/>
    <n v="1282"/>
  </r>
  <r>
    <x v="352"/>
    <s v="Nokia"/>
    <s v="BCL LTD"/>
    <s v="Sd Communication"/>
    <n v="1365"/>
  </r>
  <r>
    <x v="335"/>
    <s v="Oppo"/>
    <s v="Cds ltd"/>
    <s v="Sl comm"/>
    <n v="1608"/>
  </r>
  <r>
    <x v="251"/>
    <s v="Lava"/>
    <s v="BCL LTD"/>
    <s v="Sl comm"/>
    <n v="3166"/>
  </r>
  <r>
    <x v="353"/>
    <s v="Nokia"/>
    <s v="BCL LTD"/>
    <s v="Rcom"/>
    <n v="3446"/>
  </r>
  <r>
    <x v="90"/>
    <s v="Sony"/>
    <s v="Pinacle Sol"/>
    <s v="Sl comm"/>
    <n v="4643"/>
  </r>
  <r>
    <x v="180"/>
    <s v="Nokia"/>
    <s v="BCL LTD"/>
    <s v="Sd Communication"/>
    <n v="4852"/>
  </r>
  <r>
    <x v="354"/>
    <s v="Sony"/>
    <s v="Pinacle Sol"/>
    <s v="Rcom"/>
    <n v="4312"/>
  </r>
  <r>
    <x v="56"/>
    <s v="Oppo"/>
    <s v="Cds ltd"/>
    <s v="SS inc"/>
    <n v="1728"/>
  </r>
  <r>
    <x v="355"/>
    <s v="micromax"/>
    <s v="Pinacle Sol"/>
    <s v="SS inc"/>
    <n v="4945"/>
  </r>
  <r>
    <x v="356"/>
    <s v="Oppo"/>
    <s v="Cds ltd"/>
    <s v="Sd Communication"/>
    <n v="3344"/>
  </r>
  <r>
    <x v="23"/>
    <s v="Nokia"/>
    <s v="BCL LTD"/>
    <s v="Sl comm"/>
    <n v="2888"/>
  </r>
  <r>
    <x v="357"/>
    <s v="Sony"/>
    <s v="Pinacle Sol"/>
    <s v="Rcom"/>
    <n v="319"/>
  </r>
  <r>
    <x v="336"/>
    <s v="Oppo"/>
    <s v="Cds ltd"/>
    <s v="Sl comm"/>
    <n v="3789"/>
  </r>
  <r>
    <x v="358"/>
    <s v="Nokia"/>
    <s v="BCL LTD"/>
    <s v="Sd Communication"/>
    <n v="2526"/>
  </r>
  <r>
    <x v="262"/>
    <s v="Nokia"/>
    <s v="BCL LTD"/>
    <s v="Rcom"/>
    <n v="2591"/>
  </r>
  <r>
    <x v="359"/>
    <s v="Nokia"/>
    <s v="BCL LTD"/>
    <s v="Rcom"/>
    <n v="333"/>
  </r>
  <r>
    <x v="360"/>
    <s v="micromax"/>
    <s v="Pinacle Sol"/>
    <s v="Rcom"/>
    <n v="2859"/>
  </r>
  <r>
    <x v="251"/>
    <s v="Lava"/>
    <s v="BCL LTD"/>
    <s v="Sd Communication"/>
    <n v="3103"/>
  </r>
  <r>
    <x v="233"/>
    <s v="Nokia"/>
    <s v="BCL LTD"/>
    <s v="Sl comm"/>
    <n v="1465"/>
  </r>
  <r>
    <x v="361"/>
    <s v="Nokia"/>
    <s v="BCL LTD"/>
    <s v="Sd Communication"/>
    <n v="648"/>
  </r>
  <r>
    <x v="164"/>
    <s v="Lyf"/>
    <s v="BCL LTD"/>
    <s v="Sl comm"/>
    <n v="4438"/>
  </r>
  <r>
    <x v="179"/>
    <s v="Sony"/>
    <s v="Pinacle Sol"/>
    <s v="Sd Communication"/>
    <n v="3579"/>
  </r>
  <r>
    <x v="362"/>
    <s v="Lyf"/>
    <s v="BCL LTD"/>
    <s v="Rcom"/>
    <n v="2723"/>
  </r>
  <r>
    <x v="363"/>
    <s v="Nokia"/>
    <s v="BCL LTD"/>
    <s v="Sl comm"/>
    <n v="442"/>
  </r>
  <r>
    <x v="73"/>
    <s v="Oppo"/>
    <s v="Pinacle Sol"/>
    <s v="Sd Communication"/>
    <n v="1711"/>
  </r>
  <r>
    <x v="97"/>
    <s v="Sony"/>
    <s v="Pinacle Sol"/>
    <s v="Rcom"/>
    <n v="4018"/>
  </r>
  <r>
    <x v="13"/>
    <s v="Lyf"/>
    <s v="Pinacle Sol"/>
    <s v="SS inc"/>
    <n v="4775"/>
  </r>
  <r>
    <x v="364"/>
    <s v="Nokia"/>
    <s v="BCL LTD"/>
    <s v="Sl comm"/>
    <n v="1573"/>
  </r>
  <r>
    <x v="365"/>
    <s v="Nokia"/>
    <s v="BCL LTD"/>
    <s v="SS inc"/>
    <n v="856"/>
  </r>
  <r>
    <x v="366"/>
    <s v="Nokia"/>
    <s v="BCL LTD"/>
    <s v="Sl comm"/>
    <n v="1565"/>
  </r>
  <r>
    <x v="34"/>
    <s v="Lyf"/>
    <s v="BCL LTD"/>
    <s v="Rcom"/>
    <n v="754"/>
  </r>
  <r>
    <x v="58"/>
    <s v="Nokia"/>
    <s v="BCL LTD"/>
    <s v="Sl comm"/>
    <n v="3407"/>
  </r>
  <r>
    <x v="367"/>
    <s v="Nokia"/>
    <s v="BCL LTD"/>
    <s v="Sl comm"/>
    <n v="1145"/>
  </r>
  <r>
    <x v="200"/>
    <s v="Sony"/>
    <s v="Pinacle Sol"/>
    <s v="SS inc"/>
    <n v="631"/>
  </r>
  <r>
    <x v="168"/>
    <s v="Nokia"/>
    <s v="BCL LTD"/>
    <s v="Sl comm"/>
    <n v="2178"/>
  </r>
  <r>
    <x v="206"/>
    <s v="Lyf"/>
    <s v="Pinacle Sol"/>
    <s v="Sl comm"/>
    <n v="1542"/>
  </r>
  <r>
    <x v="321"/>
    <s v="Sony"/>
    <s v="Pinacle Sol"/>
    <s v="Rcom"/>
    <n v="3552"/>
  </r>
  <r>
    <x v="368"/>
    <s v="Nokia"/>
    <s v="BCL LTD"/>
    <s v="Sd Communication"/>
    <n v="4382"/>
  </r>
  <r>
    <x v="369"/>
    <s v="Nokia"/>
    <s v="BCL LTD"/>
    <s v="Rcom"/>
    <n v="2880"/>
  </r>
  <r>
    <x v="370"/>
    <s v="micromax"/>
    <s v="Pinacle Sol"/>
    <s v="Sd Communication"/>
    <n v="2968"/>
  </r>
  <r>
    <x v="132"/>
    <s v="Oppo"/>
    <s v="Pinacle Sol"/>
    <s v="Rcom"/>
    <n v="4778"/>
  </r>
  <r>
    <x v="371"/>
    <s v="micromax"/>
    <s v="Pinacle Sol"/>
    <s v="Rcom"/>
    <n v="3059"/>
  </r>
  <r>
    <x v="296"/>
    <s v="Oppo"/>
    <s v="Cds ltd"/>
    <s v="Rcom"/>
    <n v="3587"/>
  </r>
  <r>
    <x v="189"/>
    <s v="Oppo"/>
    <s v="Cds ltd"/>
    <s v="Rcom"/>
    <n v="3891"/>
  </r>
  <r>
    <x v="187"/>
    <s v="Oppo"/>
    <s v="Cds ltd"/>
    <s v="SS inc"/>
    <n v="2886"/>
  </r>
  <r>
    <x v="372"/>
    <s v="Oppo"/>
    <s v="Pinacle Sol"/>
    <s v="Sd Communication"/>
    <n v="489"/>
  </r>
  <r>
    <x v="373"/>
    <s v="Sony"/>
    <s v="Pinacle Sol"/>
    <s v="Sl comm"/>
    <n v="1257"/>
  </r>
  <r>
    <x v="374"/>
    <s v="Oppo"/>
    <s v="Pinacle Sol"/>
    <s v="Sl comm"/>
    <n v="3638"/>
  </r>
  <r>
    <x v="122"/>
    <s v="Nokia"/>
    <s v="BCL LTD"/>
    <s v="Sd Communication"/>
    <n v="4118"/>
  </r>
  <r>
    <x v="46"/>
    <s v="Oppo"/>
    <s v="Pinacle Sol"/>
    <s v="Sd Communication"/>
    <n v="2601"/>
  </r>
  <r>
    <x v="375"/>
    <s v="Oppo"/>
    <s v="Pinacle Sol"/>
    <s v="Rcom"/>
    <n v="1244"/>
  </r>
  <r>
    <x v="376"/>
    <s v="Oppo"/>
    <s v="Pinacle Sol"/>
    <s v="SS inc"/>
    <n v="4218"/>
  </r>
  <r>
    <x v="377"/>
    <s v="Nokia"/>
    <s v="BCL LTD"/>
    <s v="Sd Communication"/>
    <n v="2855"/>
  </r>
  <r>
    <x v="129"/>
    <s v="Nokia"/>
    <s v="BCL LTD"/>
    <s v="Sd Communication"/>
    <n v="2854"/>
  </r>
  <r>
    <x v="378"/>
    <s v="Oppo"/>
    <s v="Pinacle Sol"/>
    <s v="Sd Communication"/>
    <n v="4189"/>
  </r>
  <r>
    <x v="379"/>
    <s v="Nokia"/>
    <s v="BCL LTD"/>
    <s v="Rcom"/>
    <n v="578"/>
  </r>
  <r>
    <x v="127"/>
    <s v="Sony"/>
    <s v="Pinacle Sol"/>
    <s v="Sl comm"/>
    <n v="994"/>
  </r>
  <r>
    <x v="380"/>
    <s v="Sony"/>
    <s v="Pinacle Sol"/>
    <s v="Rcom"/>
    <n v="3731"/>
  </r>
  <r>
    <x v="381"/>
    <s v="Nokia"/>
    <s v="BCL LTD"/>
    <s v="Sd Communication"/>
    <n v="3280"/>
  </r>
  <r>
    <x v="65"/>
    <s v="Oppo"/>
    <s v="Pinacle Sol"/>
    <s v="Sd Communication"/>
    <n v="4339"/>
  </r>
  <r>
    <x v="227"/>
    <s v="Lava"/>
    <s v="BCL LTD"/>
    <s v="SS inc"/>
    <n v="855"/>
  </r>
  <r>
    <x v="255"/>
    <s v="Oppo"/>
    <s v="Cds ltd"/>
    <s v="Sl comm"/>
    <n v="1241"/>
  </r>
  <r>
    <x v="382"/>
    <s v="Nokia"/>
    <s v="BCL LTD"/>
    <s v="SS inc"/>
    <n v="4937"/>
  </r>
  <r>
    <x v="134"/>
    <s v="Sony"/>
    <s v="Pinacle Sol"/>
    <s v="Sd Communication"/>
    <n v="1576"/>
  </r>
  <r>
    <x v="383"/>
    <s v="Nokia"/>
    <s v="BCL LTD"/>
    <s v="Sl comm"/>
    <n v="3744"/>
  </r>
  <r>
    <x v="350"/>
    <s v="Nokia"/>
    <s v="BCL LTD"/>
    <s v="Sl comm"/>
    <n v="1115"/>
  </r>
  <r>
    <x v="184"/>
    <s v="Sony"/>
    <s v="Pinacle Sol"/>
    <s v="Sl comm"/>
    <n v="2028"/>
  </r>
  <r>
    <x v="128"/>
    <s v="Nokia"/>
    <s v="BCL LTD"/>
    <s v="Sl comm"/>
    <n v="1279"/>
  </r>
  <r>
    <x v="384"/>
    <s v="Lava"/>
    <s v="BCL LTD"/>
    <s v="Sl comm"/>
    <n v="3815"/>
  </r>
  <r>
    <x v="385"/>
    <s v="micromax"/>
    <s v="Pinacle Sol"/>
    <s v="Sd Communication"/>
    <n v="3658"/>
  </r>
  <r>
    <x v="365"/>
    <s v="Oppo"/>
    <s v="Cds ltd"/>
    <s v="Sd Communication"/>
    <n v="4251"/>
  </r>
  <r>
    <x v="386"/>
    <s v="Nokia"/>
    <s v="BCL LTD"/>
    <s v="Sd Communication"/>
    <n v="1239"/>
  </r>
  <r>
    <x v="290"/>
    <s v="Oppo"/>
    <s v="Pinacle Sol"/>
    <s v="Rcom"/>
    <n v="1220"/>
  </r>
  <r>
    <x v="0"/>
    <s v="Lyf"/>
    <s v="BCL LTD"/>
    <s v="Sd Communication"/>
    <n v="3196"/>
  </r>
  <r>
    <x v="232"/>
    <s v="Oppo"/>
    <s v="Pinacle Sol"/>
    <s v="Rcom"/>
    <n v="4094"/>
  </r>
  <r>
    <x v="312"/>
    <s v="Nokia"/>
    <s v="BCL LTD"/>
    <s v="Sd Communication"/>
    <n v="4819"/>
  </r>
  <r>
    <x v="387"/>
    <s v="Nokia"/>
    <s v="BCL LTD"/>
    <s v="Sl comm"/>
    <n v="4942"/>
  </r>
  <r>
    <x v="369"/>
    <s v="Sony"/>
    <s v="Pinacle Sol"/>
    <s v="Sl comm"/>
    <n v="422"/>
  </r>
  <r>
    <x v="12"/>
    <s v="Oppo"/>
    <s v="Pinacle Sol"/>
    <s v="Sl comm"/>
    <n v="831"/>
  </r>
  <r>
    <x v="388"/>
    <s v="Sony"/>
    <s v="Pinacle Sol"/>
    <s v="Sl comm"/>
    <n v="4736"/>
  </r>
  <r>
    <x v="121"/>
    <s v="Lyf"/>
    <s v="BCL LTD"/>
    <s v="Sd Communication"/>
    <n v="2978"/>
  </r>
  <r>
    <x v="27"/>
    <s v="Nokia"/>
    <s v="BCL LTD"/>
    <s v="Sd Communication"/>
    <n v="310"/>
  </r>
  <r>
    <x v="138"/>
    <s v="Lava"/>
    <s v="BCL LTD"/>
    <s v="Rcom"/>
    <n v="1048"/>
  </r>
  <r>
    <x v="389"/>
    <s v="Oppo"/>
    <s v="Pinacle Sol"/>
    <s v="Sl comm"/>
    <n v="4505"/>
  </r>
  <r>
    <x v="390"/>
    <s v="Lava"/>
    <s v="BCL LTD"/>
    <s v="Sd Communication"/>
    <n v="3451"/>
  </r>
  <r>
    <x v="35"/>
    <s v="Lava"/>
    <s v="BCL LTD"/>
    <s v="Sd Communication"/>
    <n v="514"/>
  </r>
  <r>
    <x v="335"/>
    <s v="Nokia"/>
    <s v="BCL LTD"/>
    <s v="Sd Communication"/>
    <n v="2570"/>
  </r>
  <r>
    <x v="391"/>
    <s v="Sony"/>
    <s v="Pinacle Sol"/>
    <s v="SS inc"/>
    <n v="671"/>
  </r>
  <r>
    <x v="49"/>
    <s v="Oppo"/>
    <s v="Pinacle Sol"/>
    <s v="Rcom"/>
    <n v="2600"/>
  </r>
  <r>
    <x v="392"/>
    <s v="Nokia"/>
    <s v="BCL LTD"/>
    <s v="Sd Communication"/>
    <n v="1281"/>
  </r>
  <r>
    <x v="393"/>
    <s v="micromax"/>
    <s v="Pinacle Sol"/>
    <s v="Rcom"/>
    <n v="4386"/>
  </r>
  <r>
    <x v="394"/>
    <s v="Sony"/>
    <s v="Pinacle Sol"/>
    <s v="Rcom"/>
    <n v="3624"/>
  </r>
  <r>
    <x v="395"/>
    <s v="Oppo"/>
    <s v="Cds ltd"/>
    <s v="Sd Communication"/>
    <n v="1556"/>
  </r>
  <r>
    <x v="396"/>
    <s v="Nokia"/>
    <s v="BCL LTD"/>
    <s v="Sl comm"/>
    <n v="3957"/>
  </r>
  <r>
    <x v="397"/>
    <s v="Oppo"/>
    <s v="Pinacle Sol"/>
    <s v="Sd Communication"/>
    <n v="637"/>
  </r>
  <r>
    <x v="398"/>
    <s v="Oppo"/>
    <s v="Pinacle Sol"/>
    <s v="Sl comm"/>
    <n v="1279"/>
  </r>
  <r>
    <x v="312"/>
    <s v="Nokia"/>
    <s v="BCL LTD"/>
    <s v="Sd Communication"/>
    <n v="3825"/>
  </r>
  <r>
    <x v="399"/>
    <s v="Sony"/>
    <s v="Pinacle Sol"/>
    <s v="Sl comm"/>
    <n v="159"/>
  </r>
  <r>
    <x v="61"/>
    <s v="Nokia"/>
    <s v="BCL LTD"/>
    <s v="Sd Communication"/>
    <n v="2664"/>
  </r>
  <r>
    <x v="12"/>
    <s v="Oppo"/>
    <s v="Cds ltd"/>
    <s v="Sl comm"/>
    <n v="3827"/>
  </r>
  <r>
    <x v="400"/>
    <s v="Nokia"/>
    <s v="BCL LTD"/>
    <s v="Sd Communication"/>
    <n v="503"/>
  </r>
  <r>
    <x v="295"/>
    <s v="Nokia"/>
    <s v="BCL LTD"/>
    <s v="SS inc"/>
    <n v="2668"/>
  </r>
  <r>
    <x v="344"/>
    <s v="Lyf"/>
    <s v="BCL LTD"/>
    <s v="Rcom"/>
    <n v="230"/>
  </r>
  <r>
    <x v="186"/>
    <s v="Oppo"/>
    <s v="Cds ltd"/>
    <s v="Rcom"/>
    <n v="3891"/>
  </r>
  <r>
    <x v="162"/>
    <s v="Lyf"/>
    <s v="BCL LTD"/>
    <s v="SS inc"/>
    <n v="2059"/>
  </r>
  <r>
    <x v="189"/>
    <s v="Sony"/>
    <s v="Pinacle Sol"/>
    <s v="Sd Communication"/>
    <n v="2615"/>
  </r>
  <r>
    <x v="401"/>
    <s v="Lava"/>
    <s v="BCL LTD"/>
    <s v="SS inc"/>
    <n v="4984"/>
  </r>
  <r>
    <x v="402"/>
    <s v="Nokia"/>
    <s v="BCL LTD"/>
    <s v="SS inc"/>
    <n v="3559"/>
  </r>
  <r>
    <x v="25"/>
    <s v="Lyf"/>
    <s v="BCL LTD"/>
    <s v="Sd Communication"/>
    <n v="522"/>
  </r>
  <r>
    <x v="24"/>
    <s v="Nokia"/>
    <s v="BCL LTD"/>
    <s v="Sl comm"/>
    <n v="1806"/>
  </r>
  <r>
    <x v="403"/>
    <s v="Lyf"/>
    <s v="Pinacle Sol"/>
    <s v="Sd Communication"/>
    <n v="1710"/>
  </r>
  <r>
    <x v="135"/>
    <s v="Lava"/>
    <s v="BCL LTD"/>
    <s v="Sd Communication"/>
    <n v="4809"/>
  </r>
  <r>
    <x v="404"/>
    <s v="Nokia"/>
    <s v="BCL LTD"/>
    <s v="Sl comm"/>
    <n v="2090"/>
  </r>
  <r>
    <x v="313"/>
    <s v="Nokia"/>
    <s v="BCL LTD"/>
    <s v="Rcom"/>
    <n v="4729"/>
  </r>
  <r>
    <x v="8"/>
    <s v="Nokia"/>
    <s v="BCL LTD"/>
    <s v="Rcom"/>
    <n v="2522"/>
  </r>
  <r>
    <x v="276"/>
    <s v="Lava"/>
    <s v="BCL LTD"/>
    <s v="Rcom"/>
    <n v="2941"/>
  </r>
  <r>
    <x v="169"/>
    <s v="Sony"/>
    <s v="Pinacle Sol"/>
    <s v="Rcom"/>
    <n v="129"/>
  </r>
  <r>
    <x v="405"/>
    <s v="Sony"/>
    <s v="Pinacle Sol"/>
    <s v="Sl comm"/>
    <n v="4793"/>
  </r>
  <r>
    <x v="143"/>
    <s v="Oppo"/>
    <s v="Pinacle Sol"/>
    <s v="Sd Communication"/>
    <n v="1196"/>
  </r>
  <r>
    <x v="164"/>
    <s v="micromax"/>
    <s v="Pinacle Sol"/>
    <s v="Sd Communication"/>
    <n v="3190"/>
  </r>
  <r>
    <x v="86"/>
    <s v="Lava"/>
    <s v="BCL LTD"/>
    <s v="Sl comm"/>
    <n v="1590"/>
  </r>
  <r>
    <x v="406"/>
    <s v="Lyf"/>
    <s v="BCL LTD"/>
    <s v="Sd Communication"/>
    <n v="4877"/>
  </r>
  <r>
    <x v="11"/>
    <s v="Lyf"/>
    <s v="Pinacle Sol"/>
    <s v="Sd Communication"/>
    <n v="1713"/>
  </r>
  <r>
    <x v="221"/>
    <s v="Nokia"/>
    <s v="BCL LTD"/>
    <s v="Sd Communication"/>
    <n v="3963"/>
  </r>
  <r>
    <x v="279"/>
    <s v="Lyf"/>
    <s v="Pinacle Sol"/>
    <s v="Sl comm"/>
    <n v="2181"/>
  </r>
  <r>
    <x v="407"/>
    <s v="Lava"/>
    <s v="BCL LTD"/>
    <s v="SS inc"/>
    <n v="505"/>
  </r>
  <r>
    <x v="138"/>
    <s v="micromax"/>
    <s v="Pinacle Sol"/>
    <s v="Sl comm"/>
    <n v="2609"/>
  </r>
  <r>
    <x v="383"/>
    <s v="Nokia"/>
    <s v="BCL LTD"/>
    <s v="Sl comm"/>
    <n v="787"/>
  </r>
  <r>
    <x v="82"/>
    <s v="Nokia"/>
    <s v="BCL LTD"/>
    <s v="Sd Communication"/>
    <n v="4356"/>
  </r>
  <r>
    <x v="176"/>
    <s v="Lyf"/>
    <s v="BCL LTD"/>
    <s v="SS inc"/>
    <n v="668"/>
  </r>
  <r>
    <x v="408"/>
    <s v="Nokia"/>
    <s v="BCL LTD"/>
    <s v="Rcom"/>
    <n v="2562"/>
  </r>
  <r>
    <x v="381"/>
    <s v="Nokia"/>
    <s v="BCL LTD"/>
    <s v="Sl comm"/>
    <n v="4739"/>
  </r>
  <r>
    <x v="409"/>
    <s v="Nokia"/>
    <s v="BCL LTD"/>
    <s v="Sd Communication"/>
    <n v="379"/>
  </r>
  <r>
    <x v="410"/>
    <s v="Lava"/>
    <s v="BCL LTD"/>
    <s v="Sl comm"/>
    <n v="2229"/>
  </r>
  <r>
    <x v="384"/>
    <s v="Lava"/>
    <s v="BCL LTD"/>
    <s v="Sd Communication"/>
    <n v="3423"/>
  </r>
  <r>
    <x v="379"/>
    <s v="micromax"/>
    <s v="Pinacle Sol"/>
    <s v="Sd Communication"/>
    <n v="4858"/>
  </r>
  <r>
    <x v="50"/>
    <s v="Oppo"/>
    <s v="Pinacle Sol"/>
    <s v="Sl comm"/>
    <n v="1688"/>
  </r>
  <r>
    <x v="398"/>
    <s v="Sony"/>
    <s v="Pinacle Sol"/>
    <s v="Sd Communication"/>
    <n v="3011"/>
  </r>
  <r>
    <x v="13"/>
    <s v="Oppo"/>
    <s v="Cds ltd"/>
    <s v="Sd Communication"/>
    <n v="571"/>
  </r>
  <r>
    <x v="411"/>
    <s v="Nokia"/>
    <s v="BCL LTD"/>
    <s v="Rcom"/>
    <n v="4009"/>
  </r>
  <r>
    <x v="66"/>
    <s v="Nokia"/>
    <s v="BCL LTD"/>
    <s v="Sl comm"/>
    <n v="3117"/>
  </r>
  <r>
    <x v="347"/>
    <s v="Nokia"/>
    <s v="BCL LTD"/>
    <s v="Rcom"/>
    <n v="4587"/>
  </r>
  <r>
    <x v="412"/>
    <s v="Oppo"/>
    <s v="Pinacle Sol"/>
    <s v="Sl comm"/>
    <n v="4229"/>
  </r>
  <r>
    <x v="413"/>
    <s v="Sony"/>
    <s v="Pinacle Sol"/>
    <s v="Rcom"/>
    <n v="3539"/>
  </r>
  <r>
    <x v="47"/>
    <s v="Oppo"/>
    <s v="Pinacle Sol"/>
    <s v="Sd Communication"/>
    <n v="1130"/>
  </r>
  <r>
    <x v="414"/>
    <s v="Nokia"/>
    <s v="BCL LTD"/>
    <s v="Rcom"/>
    <n v="4045"/>
  </r>
  <r>
    <x v="185"/>
    <s v="Oppo"/>
    <s v="Pinacle Sol"/>
    <s v="Sl comm"/>
    <n v="3496"/>
  </r>
  <r>
    <x v="386"/>
    <s v="Sony"/>
    <s v="Pinacle Sol"/>
    <s v="Sl comm"/>
    <n v="2981"/>
  </r>
  <r>
    <x v="334"/>
    <s v="Lyf"/>
    <s v="BCL LTD"/>
    <s v="Sd Communication"/>
    <n v="1671"/>
  </r>
  <r>
    <x v="166"/>
    <s v="Nokia"/>
    <s v="BCL LTD"/>
    <s v="Rcom"/>
    <n v="2417"/>
  </r>
  <r>
    <x v="415"/>
    <s v="Nokia"/>
    <s v="BCL LTD"/>
    <s v="Sl comm"/>
    <n v="3770"/>
  </r>
  <r>
    <x v="416"/>
    <s v="Sony"/>
    <s v="Pinacle Sol"/>
    <s v="SS inc"/>
    <n v="1273"/>
  </r>
  <r>
    <x v="173"/>
    <s v="Nokia"/>
    <s v="BCL LTD"/>
    <s v="Sl comm"/>
    <n v="1503"/>
  </r>
  <r>
    <x v="332"/>
    <s v="Sony"/>
    <s v="Pinacle Sol"/>
    <s v="Sl comm"/>
    <n v="1905"/>
  </r>
  <r>
    <x v="417"/>
    <s v="Lava"/>
    <s v="BCL LTD"/>
    <s v="Rcom"/>
    <n v="2457"/>
  </r>
  <r>
    <x v="418"/>
    <s v="Sony"/>
    <s v="Pinacle Sol"/>
    <s v="Sd Communication"/>
    <n v="4863"/>
  </r>
  <r>
    <x v="143"/>
    <s v="Lava"/>
    <s v="BCL LTD"/>
    <s v="Sd Communication"/>
    <n v="1995"/>
  </r>
  <r>
    <x v="257"/>
    <s v="Sony"/>
    <s v="Pinacle Sol"/>
    <s v="Rcom"/>
    <n v="406"/>
  </r>
  <r>
    <x v="419"/>
    <s v="Nokia"/>
    <s v="BCL LTD"/>
    <s v="Sl comm"/>
    <n v="3528"/>
  </r>
  <r>
    <x v="420"/>
    <s v="Nokia"/>
    <s v="BCL LTD"/>
    <s v="SS inc"/>
    <n v="1042"/>
  </r>
  <r>
    <x v="120"/>
    <s v="Lava"/>
    <s v="BCL LTD"/>
    <s v="Sl comm"/>
    <n v="787"/>
  </r>
  <r>
    <x v="119"/>
    <s v="Oppo"/>
    <s v="Cds ltd"/>
    <s v="Sd Communication"/>
    <n v="2521"/>
  </r>
  <r>
    <x v="340"/>
    <s v="Nokia"/>
    <s v="BCL LTD"/>
    <s v="Sl comm"/>
    <n v="4987"/>
  </r>
  <r>
    <x v="107"/>
    <s v="micromax"/>
    <s v="Pinacle Sol"/>
    <s v="Sl comm"/>
    <n v="349"/>
  </r>
  <r>
    <x v="421"/>
    <s v="Nokia"/>
    <s v="BCL LTD"/>
    <s v="SS inc"/>
    <n v="3116"/>
  </r>
  <r>
    <x v="384"/>
    <s v="Sony"/>
    <s v="Pinacle Sol"/>
    <s v="Rcom"/>
    <n v="1012"/>
  </r>
  <r>
    <x v="75"/>
    <s v="Nokia"/>
    <s v="BCL LTD"/>
    <s v="Sl comm"/>
    <n v="2939"/>
  </r>
  <r>
    <x v="184"/>
    <s v="Nokia"/>
    <s v="BCL LTD"/>
    <s v="Sd Communication"/>
    <n v="4164"/>
  </r>
  <r>
    <x v="186"/>
    <s v="Nokia"/>
    <s v="BCL LTD"/>
    <s v="Rcom"/>
    <n v="4280"/>
  </r>
  <r>
    <x v="159"/>
    <s v="Nokia"/>
    <s v="BCL LTD"/>
    <s v="Rcom"/>
    <n v="781"/>
  </r>
  <r>
    <x v="117"/>
    <s v="Nokia"/>
    <s v="BCL LTD"/>
    <s v="SS inc"/>
    <n v="4411"/>
  </r>
  <r>
    <x v="422"/>
    <s v="Lava"/>
    <s v="BCL LTD"/>
    <s v="Sd Communication"/>
    <n v="2158"/>
  </r>
  <r>
    <x v="423"/>
    <s v="Nokia"/>
    <s v="BCL LTD"/>
    <s v="Sd Communication"/>
    <n v="4757"/>
  </r>
  <r>
    <x v="424"/>
    <s v="Lava"/>
    <s v="BCL LTD"/>
    <s v="Sd Communication"/>
    <n v="134"/>
  </r>
  <r>
    <x v="29"/>
    <s v="Oppo"/>
    <s v="Pinacle Sol"/>
    <s v="Rcom"/>
    <n v="692"/>
  </r>
  <r>
    <x v="425"/>
    <s v="Lyf"/>
    <s v="Pinacle Sol"/>
    <s v="Rcom"/>
    <n v="1053"/>
  </r>
  <r>
    <x v="177"/>
    <s v="Oppo"/>
    <s v="Pinacle Sol"/>
    <s v="Rcom"/>
    <n v="3277"/>
  </r>
  <r>
    <x v="426"/>
    <s v="Lava"/>
    <s v="BCL LTD"/>
    <s v="Sl comm"/>
    <n v="1136"/>
  </r>
  <r>
    <x v="427"/>
    <s v="Nokia"/>
    <s v="BCL LTD"/>
    <s v="Sl comm"/>
    <n v="2986"/>
  </r>
  <r>
    <x v="367"/>
    <s v="Oppo"/>
    <s v="Cds ltd"/>
    <s v="Sd Communication"/>
    <n v="696"/>
  </r>
  <r>
    <x v="43"/>
    <s v="Oppo"/>
    <s v="Pinacle Sol"/>
    <s v="Sd Communication"/>
    <n v="3203"/>
  </r>
  <r>
    <x v="428"/>
    <s v="Sony"/>
    <s v="Pinacle Sol"/>
    <s v="Rcom"/>
    <n v="690"/>
  </r>
  <r>
    <x v="248"/>
    <s v="Sony"/>
    <s v="Pinacle Sol"/>
    <s v="Rcom"/>
    <n v="4891"/>
  </r>
  <r>
    <x v="261"/>
    <s v="Sony"/>
    <s v="Pinacle Sol"/>
    <s v="Rcom"/>
    <n v="3903"/>
  </r>
  <r>
    <x v="4"/>
    <s v="Lava"/>
    <s v="BCL LTD"/>
    <s v="SS inc"/>
    <n v="500"/>
  </r>
  <r>
    <x v="429"/>
    <s v="Nokia"/>
    <s v="BCL LTD"/>
    <s v="Sd Communication"/>
    <n v="1757"/>
  </r>
  <r>
    <x v="17"/>
    <s v="Sony"/>
    <s v="Pinacle Sol"/>
    <s v="Sd Communication"/>
    <n v="861"/>
  </r>
  <r>
    <x v="342"/>
    <s v="Nokia"/>
    <s v="BCL LTD"/>
    <s v="Sl comm"/>
    <n v="469"/>
  </r>
  <r>
    <x v="185"/>
    <s v="Oppo"/>
    <s v="Pinacle Sol"/>
    <s v="Rcom"/>
    <n v="4478"/>
  </r>
  <r>
    <x v="104"/>
    <s v="Nokia"/>
    <s v="BCL LTD"/>
    <s v="Sd Communication"/>
    <n v="2399"/>
  </r>
  <r>
    <x v="430"/>
    <s v="Oppo"/>
    <s v="Pinacle Sol"/>
    <s v="Sl comm"/>
    <n v="4702"/>
  </r>
  <r>
    <x v="158"/>
    <s v="Lava"/>
    <s v="BCL LTD"/>
    <s v="Sd Communication"/>
    <n v="3208"/>
  </r>
  <r>
    <x v="431"/>
    <s v="Nokia"/>
    <s v="BCL LTD"/>
    <s v="Rcom"/>
    <n v="4604"/>
  </r>
  <r>
    <x v="359"/>
    <s v="Nokia"/>
    <s v="BCL LTD"/>
    <s v="SS inc"/>
    <n v="4301"/>
  </r>
  <r>
    <x v="190"/>
    <s v="micromax"/>
    <s v="Pinacle Sol"/>
    <s v="Rcom"/>
    <n v="707"/>
  </r>
  <r>
    <x v="432"/>
    <s v="Nokia"/>
    <s v="BCL LTD"/>
    <s v="Sd Communication"/>
    <n v="2410"/>
  </r>
  <r>
    <x v="246"/>
    <s v="micromax"/>
    <s v="Pinacle Sol"/>
    <s v="Rcom"/>
    <n v="2093"/>
  </r>
  <r>
    <x v="333"/>
    <s v="Nokia"/>
    <s v="BCL LTD"/>
    <s v="SS inc"/>
    <n v="219"/>
  </r>
  <r>
    <x v="206"/>
    <s v="Nokia"/>
    <s v="BCL LTD"/>
    <s v="Sl comm"/>
    <n v="462"/>
  </r>
  <r>
    <x v="433"/>
    <s v="Nokia"/>
    <s v="BCL LTD"/>
    <s v="SS inc"/>
    <n v="2058"/>
  </r>
  <r>
    <x v="434"/>
    <s v="Nokia"/>
    <s v="BCL LTD"/>
    <s v="Sl comm"/>
    <n v="3906"/>
  </r>
  <r>
    <x v="78"/>
    <s v="Sony"/>
    <s v="Pinacle Sol"/>
    <s v="Rcom"/>
    <n v="3472"/>
  </r>
  <r>
    <x v="239"/>
    <s v="Sony"/>
    <s v="Pinacle Sol"/>
    <s v="Rcom"/>
    <n v="3552"/>
  </r>
  <r>
    <x v="404"/>
    <s v="Oppo"/>
    <s v="Cds ltd"/>
    <s v="SS inc"/>
    <n v="1976"/>
  </r>
  <r>
    <x v="142"/>
    <s v="Lava"/>
    <s v="BCL LTD"/>
    <s v="Sd Communication"/>
    <n v="4889"/>
  </r>
  <r>
    <x v="421"/>
    <s v="Sony"/>
    <s v="Pinacle Sol"/>
    <s v="Sl comm"/>
    <n v="1509"/>
  </r>
  <r>
    <x v="435"/>
    <s v="Nokia"/>
    <s v="BCL LTD"/>
    <s v="Rcom"/>
    <n v="4199"/>
  </r>
  <r>
    <x v="197"/>
    <s v="Lyf"/>
    <s v="BCL LTD"/>
    <s v="Sl comm"/>
    <n v="4713"/>
  </r>
  <r>
    <x v="436"/>
    <s v="Nokia"/>
    <s v="BCL LTD"/>
    <s v="SS inc"/>
    <n v="1453"/>
  </r>
  <r>
    <x v="434"/>
    <s v="Oppo"/>
    <s v="Cds ltd"/>
    <s v="Rcom"/>
    <n v="4763"/>
  </r>
  <r>
    <x v="185"/>
    <s v="Oppo"/>
    <s v="Cds ltd"/>
    <s v="Sl comm"/>
    <n v="1502"/>
  </r>
  <r>
    <x v="437"/>
    <s v="Nokia"/>
    <s v="BCL LTD"/>
    <s v="Sl comm"/>
    <n v="3002"/>
  </r>
  <r>
    <x v="282"/>
    <s v="Oppo"/>
    <s v="Pinacle Sol"/>
    <s v="Rcom"/>
    <n v="4958"/>
  </r>
  <r>
    <x v="199"/>
    <s v="Sony"/>
    <s v="Pinacle Sol"/>
    <s v="Sl comm"/>
    <n v="4262"/>
  </r>
  <r>
    <x v="230"/>
    <s v="Oppo"/>
    <s v="Pinacle Sol"/>
    <s v="Sl comm"/>
    <n v="4006"/>
  </r>
  <r>
    <x v="63"/>
    <s v="Nokia"/>
    <s v="BCL LTD"/>
    <s v="Sd Communication"/>
    <n v="4336"/>
  </r>
  <r>
    <x v="438"/>
    <s v="Nokia"/>
    <s v="BCL LTD"/>
    <s v="Sd Communication"/>
    <n v="347"/>
  </r>
  <r>
    <x v="439"/>
    <s v="Nokia"/>
    <s v="BCL LTD"/>
    <s v="Sd Communication"/>
    <n v="3858"/>
  </r>
  <r>
    <x v="410"/>
    <s v="Oppo"/>
    <s v="Pinacle Sol"/>
    <s v="Sl comm"/>
    <n v="3056"/>
  </r>
  <r>
    <x v="362"/>
    <s v="Nokia"/>
    <s v="BCL LTD"/>
    <s v="Rcom"/>
    <n v="4126"/>
  </r>
  <r>
    <x v="440"/>
    <s v="Oppo"/>
    <s v="Pinacle Sol"/>
    <s v="SS inc"/>
    <n v="3876"/>
  </r>
  <r>
    <x v="263"/>
    <s v="Nokia"/>
    <s v="BCL LTD"/>
    <s v="Rcom"/>
    <n v="3252"/>
  </r>
  <r>
    <x v="228"/>
    <s v="Nokia"/>
    <s v="BCL LTD"/>
    <s v="Sl comm"/>
    <n v="2680"/>
  </r>
  <r>
    <x v="441"/>
    <s v="Oppo"/>
    <s v="Cds ltd"/>
    <s v="Sd Communication"/>
    <n v="2622"/>
  </r>
  <r>
    <x v="309"/>
    <s v="Nokia"/>
    <s v="BCL LTD"/>
    <s v="Rcom"/>
    <n v="1657"/>
  </r>
  <r>
    <x v="204"/>
    <s v="Oppo"/>
    <s v="Pinacle Sol"/>
    <s v="Sl comm"/>
    <n v="2879"/>
  </r>
  <r>
    <x v="85"/>
    <s v="Nokia"/>
    <s v="BCL LTD"/>
    <s v="Rcom"/>
    <n v="2073"/>
  </r>
  <r>
    <x v="358"/>
    <s v="Nokia"/>
    <s v="BCL LTD"/>
    <s v="Sl comm"/>
    <n v="3800"/>
  </r>
  <r>
    <x v="197"/>
    <s v="Nokia"/>
    <s v="BCL LTD"/>
    <s v="Sl comm"/>
    <n v="2456"/>
  </r>
  <r>
    <x v="301"/>
    <s v="Sony"/>
    <s v="Pinacle Sol"/>
    <s v="Sl comm"/>
    <n v="4902"/>
  </r>
  <r>
    <x v="260"/>
    <s v="Sony"/>
    <s v="Pinacle Sol"/>
    <s v="Rcom"/>
    <n v="1826"/>
  </r>
  <r>
    <x v="234"/>
    <s v="Oppo"/>
    <s v="Pinacle Sol"/>
    <s v="Sd Communication"/>
    <n v="1458"/>
  </r>
  <r>
    <x v="442"/>
    <s v="Nokia"/>
    <s v="BCL LTD"/>
    <s v="Rcom"/>
    <n v="1738"/>
  </r>
  <r>
    <x v="273"/>
    <s v="Sony"/>
    <s v="Pinacle Sol"/>
    <s v="Rcom"/>
    <n v="2874"/>
  </r>
  <r>
    <x v="167"/>
    <s v="Nokia"/>
    <s v="BCL LTD"/>
    <s v="Rcom"/>
    <n v="4052"/>
  </r>
  <r>
    <x v="364"/>
    <s v="Oppo"/>
    <s v="Pinacle Sol"/>
    <s v="Rcom"/>
    <n v="864"/>
  </r>
  <r>
    <x v="162"/>
    <s v="Oppo"/>
    <s v="Pinacle Sol"/>
    <s v="Sd Communication"/>
    <n v="1644"/>
  </r>
  <r>
    <x v="64"/>
    <s v="Lava"/>
    <s v="BCL LTD"/>
    <s v="Rcom"/>
    <n v="865"/>
  </r>
  <r>
    <x v="443"/>
    <s v="Nokia"/>
    <s v="BCL LTD"/>
    <s v="Rcom"/>
    <n v="4498"/>
  </r>
  <r>
    <x v="367"/>
    <s v="Nokia"/>
    <s v="BCL LTD"/>
    <s v="Rcom"/>
    <n v="47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6FF9E-E9AB-4439-8649-F8762537037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I39:L66" firstHeaderRow="0" firstDataRow="1" firstDataCol="1"/>
  <pivotFields count="6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numFmtId="167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5"/>
    <field x="0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4" baseField="0" baseItem="0" numFmtId="167"/>
    <dataField name="Sum of Revenue2" fld="4" showDataAs="percentOfTotal" baseField="0" baseItem="0" numFmtId="10"/>
    <dataField name="Sum of Revenue3" fld="4" baseField="5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0E7CD-3E6C-4166-B47A-DECD5473B93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O6:R33" firstHeaderRow="0" firstDataRow="1" firstDataCol="1"/>
  <pivotFields count="6">
    <pivotField axis="axisRow" numFmtId="14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/>
    <pivotField showAll="0"/>
    <pivotField showAll="0"/>
    <pivotField dataField="1" numFmtId="167" showAll="0"/>
    <pivotField axis="axisRow" dataField="1" showAll="0" defaultSubtotal="0">
      <items count="5">
        <item sd="0" x="0"/>
        <item x="1"/>
        <item x="2"/>
        <item sd="0" x="3"/>
        <item sd="0" x="4"/>
      </items>
    </pivotField>
  </pivotFields>
  <rowFields count="2">
    <field x="5"/>
    <field x="0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4" baseField="0" baseItem="0" numFmtId="167"/>
    <dataField name="Count of Years" fld="5" subtotal="count" showDataAs="percentOfTotal" baseField="5" baseItem="1" numFmtId="10"/>
    <dataField name="Count of Years2" fld="5" subtotal="count" baseField="5" baseItem="1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F9BD7-3314-4E79-8232-90785E31CA0D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I6:M34" firstHeaderRow="1" firstDataRow="2" firstDataCol="2"/>
  <pivotFields count="6">
    <pivotField axis="axisRow"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7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2">
    <field x="5"/>
    <field x="0"/>
  </rowFields>
  <rowItems count="27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4" baseField="0" baseItem="0"/>
    <dataField name="% Grand Total" fld="4" showDataAs="percentOfTotal" baseField="0" baseItem="4" numFmtId="10"/>
    <dataField name="%tage Year" fld="4" baseField="0" baseItem="1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F091-1A3B-4D99-B2BE-948FDB8242FD}">
  <dimension ref="A1:VY605"/>
  <sheetViews>
    <sheetView topLeftCell="E25" workbookViewId="0">
      <selection activeCell="G33" sqref="G33:I48"/>
    </sheetView>
  </sheetViews>
  <sheetFormatPr defaultRowHeight="14.4" x14ac:dyDescent="0.3"/>
  <cols>
    <col min="1" max="1" width="10.5546875" bestFit="1" customWidth="1"/>
    <col min="2" max="2" width="22.6640625" bestFit="1" customWidth="1"/>
    <col min="3" max="3" width="20.33203125" bestFit="1" customWidth="1"/>
    <col min="4" max="4" width="19.88671875" customWidth="1"/>
    <col min="5" max="5" width="24.5546875" bestFit="1" customWidth="1"/>
    <col min="6" max="6" width="22.44140625" bestFit="1" customWidth="1"/>
    <col min="7" max="7" width="24.33203125" bestFit="1" customWidth="1"/>
    <col min="8" max="8" width="27.109375" bestFit="1" customWidth="1"/>
    <col min="9" max="9" width="23.88671875" bestFit="1" customWidth="1"/>
    <col min="10" max="10" width="27.109375" bestFit="1" customWidth="1"/>
    <col min="11" max="11" width="24.5546875" bestFit="1" customWidth="1"/>
    <col min="12" max="12" width="24.33203125" bestFit="1" customWidth="1"/>
    <col min="13" max="13" width="27.109375" bestFit="1" customWidth="1"/>
    <col min="14" max="14" width="27.5546875" bestFit="1" customWidth="1"/>
    <col min="15" max="15" width="24.33203125" bestFit="1" customWidth="1"/>
    <col min="16" max="16" width="21.88671875" bestFit="1" customWidth="1"/>
    <col min="17" max="17" width="22.33203125" bestFit="1" customWidth="1"/>
    <col min="18" max="18" width="21.6640625" bestFit="1" customWidth="1"/>
    <col min="19" max="19" width="27.33203125" bestFit="1" customWidth="1"/>
    <col min="20" max="20" width="29.44140625" bestFit="1" customWidth="1"/>
    <col min="21" max="21" width="22.109375" bestFit="1" customWidth="1"/>
    <col min="22" max="22" width="22.6640625" bestFit="1" customWidth="1"/>
    <col min="23" max="23" width="25.109375" bestFit="1" customWidth="1"/>
    <col min="24" max="24" width="19.44140625" bestFit="1" customWidth="1"/>
    <col min="25" max="25" width="24.44140625" bestFit="1" customWidth="1"/>
    <col min="26" max="26" width="23.44140625" bestFit="1" customWidth="1"/>
    <col min="27" max="27" width="22" bestFit="1" customWidth="1"/>
    <col min="28" max="28" width="22.33203125" bestFit="1" customWidth="1"/>
    <col min="29" max="29" width="28.88671875" bestFit="1" customWidth="1"/>
    <col min="30" max="30" width="19.44140625" bestFit="1" customWidth="1"/>
    <col min="31" max="31" width="21.109375" bestFit="1" customWidth="1"/>
    <col min="32" max="32" width="26" bestFit="1" customWidth="1"/>
    <col min="33" max="33" width="21.109375" bestFit="1" customWidth="1"/>
    <col min="34" max="34" width="22.6640625" bestFit="1" customWidth="1"/>
    <col min="35" max="35" width="25.88671875" bestFit="1" customWidth="1"/>
    <col min="36" max="36" width="24.6640625" bestFit="1" customWidth="1"/>
    <col min="37" max="37" width="27.5546875" bestFit="1" customWidth="1"/>
    <col min="38" max="38" width="26" bestFit="1" customWidth="1"/>
    <col min="39" max="39" width="26.5546875" bestFit="1" customWidth="1"/>
    <col min="40" max="40" width="19.44140625" bestFit="1" customWidth="1"/>
    <col min="41" max="41" width="21.6640625" bestFit="1" customWidth="1"/>
    <col min="42" max="42" width="22.44140625" bestFit="1" customWidth="1"/>
    <col min="43" max="43" width="25.6640625" bestFit="1" customWidth="1"/>
    <col min="44" max="44" width="23.44140625" bestFit="1" customWidth="1"/>
    <col min="45" max="45" width="24.33203125" bestFit="1" customWidth="1"/>
    <col min="46" max="46" width="24.5546875" bestFit="1" customWidth="1"/>
    <col min="47" max="47" width="22.5546875" bestFit="1" customWidth="1"/>
    <col min="48" max="48" width="27.33203125" bestFit="1" customWidth="1"/>
    <col min="49" max="49" width="22.44140625" bestFit="1" customWidth="1"/>
    <col min="50" max="50" width="24" bestFit="1" customWidth="1"/>
    <col min="51" max="51" width="24.33203125" bestFit="1" customWidth="1"/>
    <col min="52" max="52" width="23.33203125" bestFit="1" customWidth="1"/>
    <col min="53" max="53" width="25.5546875" bestFit="1" customWidth="1"/>
    <col min="54" max="54" width="23.88671875" bestFit="1" customWidth="1"/>
    <col min="55" max="55" width="30.33203125" bestFit="1" customWidth="1"/>
    <col min="56" max="56" width="23.109375" bestFit="1" customWidth="1"/>
    <col min="57" max="57" width="21.5546875" bestFit="1" customWidth="1"/>
    <col min="58" max="58" width="22.6640625" bestFit="1" customWidth="1"/>
    <col min="59" max="59" width="27.44140625" bestFit="1" customWidth="1"/>
    <col min="60" max="60" width="28.109375" bestFit="1" customWidth="1"/>
    <col min="61" max="61" width="23.44140625" bestFit="1" customWidth="1"/>
    <col min="62" max="62" width="21.5546875" bestFit="1" customWidth="1"/>
    <col min="63" max="63" width="29.33203125" bestFit="1" customWidth="1"/>
    <col min="64" max="64" width="27.33203125" bestFit="1" customWidth="1"/>
    <col min="65" max="65" width="21.6640625" bestFit="1" customWidth="1"/>
    <col min="66" max="66" width="26.88671875" bestFit="1" customWidth="1"/>
    <col min="67" max="67" width="27" bestFit="1" customWidth="1"/>
    <col min="68" max="68" width="25.88671875" bestFit="1" customWidth="1"/>
    <col min="69" max="70" width="22.6640625" bestFit="1" customWidth="1"/>
    <col min="71" max="71" width="23" bestFit="1" customWidth="1"/>
    <col min="72" max="72" width="24.44140625" bestFit="1" customWidth="1"/>
    <col min="73" max="73" width="23.88671875" bestFit="1" customWidth="1"/>
    <col min="74" max="74" width="25.33203125" bestFit="1" customWidth="1"/>
    <col min="75" max="75" width="24.88671875" bestFit="1" customWidth="1"/>
    <col min="76" max="76" width="20.33203125" bestFit="1" customWidth="1"/>
    <col min="77" max="77" width="23" bestFit="1" customWidth="1"/>
    <col min="78" max="78" width="27.44140625" bestFit="1" customWidth="1"/>
    <col min="79" max="79" width="23.88671875" bestFit="1" customWidth="1"/>
    <col min="80" max="80" width="23.33203125" bestFit="1" customWidth="1"/>
    <col min="81" max="81" width="29" bestFit="1" customWidth="1"/>
    <col min="82" max="82" width="25" bestFit="1" customWidth="1"/>
    <col min="83" max="83" width="25.33203125" bestFit="1" customWidth="1"/>
    <col min="84" max="84" width="21.5546875" bestFit="1" customWidth="1"/>
    <col min="85" max="85" width="24.44140625" bestFit="1" customWidth="1"/>
    <col min="86" max="86" width="27.33203125" bestFit="1" customWidth="1"/>
    <col min="87" max="87" width="23.88671875" bestFit="1" customWidth="1"/>
    <col min="88" max="88" width="24.109375" bestFit="1" customWidth="1"/>
    <col min="89" max="89" width="25.5546875" bestFit="1" customWidth="1"/>
    <col min="90" max="90" width="23.109375" bestFit="1" customWidth="1"/>
    <col min="91" max="91" width="25.33203125" bestFit="1" customWidth="1"/>
    <col min="92" max="93" width="23.44140625" bestFit="1" customWidth="1"/>
    <col min="94" max="94" width="27.109375" bestFit="1" customWidth="1"/>
    <col min="95" max="95" width="21.88671875" bestFit="1" customWidth="1"/>
    <col min="96" max="96" width="26.44140625" bestFit="1" customWidth="1"/>
    <col min="97" max="97" width="20.109375" bestFit="1" customWidth="1"/>
    <col min="98" max="98" width="23.88671875" bestFit="1" customWidth="1"/>
    <col min="99" max="99" width="24.5546875" bestFit="1" customWidth="1"/>
    <col min="100" max="100" width="25.6640625" bestFit="1" customWidth="1"/>
    <col min="101" max="101" width="26.109375" bestFit="1" customWidth="1"/>
    <col min="102" max="102" width="23.6640625" bestFit="1" customWidth="1"/>
    <col min="103" max="103" width="22.6640625" bestFit="1" customWidth="1"/>
    <col min="104" max="104" width="27.44140625" bestFit="1" customWidth="1"/>
    <col min="105" max="105" width="24.6640625" bestFit="1" customWidth="1"/>
    <col min="106" max="106" width="28.5546875" bestFit="1" customWidth="1"/>
    <col min="107" max="107" width="23.109375" bestFit="1" customWidth="1"/>
    <col min="108" max="108" width="27.109375" bestFit="1" customWidth="1"/>
    <col min="109" max="109" width="24.44140625" bestFit="1" customWidth="1"/>
    <col min="110" max="110" width="28" bestFit="1" customWidth="1"/>
    <col min="111" max="111" width="28.88671875" bestFit="1" customWidth="1"/>
    <col min="112" max="112" width="27.5546875" bestFit="1" customWidth="1"/>
    <col min="113" max="113" width="24" bestFit="1" customWidth="1"/>
    <col min="114" max="114" width="26.44140625" bestFit="1" customWidth="1"/>
    <col min="115" max="115" width="24.33203125" bestFit="1" customWidth="1"/>
    <col min="116" max="116" width="22.88671875" bestFit="1" customWidth="1"/>
    <col min="117" max="117" width="23.6640625" bestFit="1" customWidth="1"/>
    <col min="118" max="118" width="22.44140625" bestFit="1" customWidth="1"/>
    <col min="119" max="119" width="24.44140625" bestFit="1" customWidth="1"/>
    <col min="120" max="120" width="29.109375" bestFit="1" customWidth="1"/>
    <col min="121" max="121" width="23.109375" bestFit="1" customWidth="1"/>
    <col min="122" max="122" width="27.5546875" bestFit="1" customWidth="1"/>
    <col min="123" max="123" width="21.6640625" bestFit="1" customWidth="1"/>
    <col min="124" max="124" width="22.88671875" bestFit="1" customWidth="1"/>
    <col min="125" max="125" width="22" bestFit="1" customWidth="1"/>
    <col min="126" max="126" width="24" bestFit="1" customWidth="1"/>
    <col min="127" max="127" width="27.88671875" bestFit="1" customWidth="1"/>
    <col min="128" max="128" width="23.6640625" bestFit="1" customWidth="1"/>
    <col min="129" max="129" width="27" bestFit="1" customWidth="1"/>
    <col min="130" max="130" width="24.6640625" bestFit="1" customWidth="1"/>
    <col min="131" max="131" width="25.33203125" bestFit="1" customWidth="1"/>
    <col min="132" max="132" width="18.33203125" bestFit="1" customWidth="1"/>
    <col min="133" max="133" width="23.88671875" bestFit="1" customWidth="1"/>
    <col min="134" max="134" width="23.5546875" bestFit="1" customWidth="1"/>
    <col min="135" max="135" width="20.44140625" bestFit="1" customWidth="1"/>
    <col min="136" max="136" width="23.88671875" bestFit="1" customWidth="1"/>
    <col min="137" max="137" width="29" bestFit="1" customWidth="1"/>
    <col min="138" max="138" width="23.88671875" bestFit="1" customWidth="1"/>
    <col min="139" max="139" width="25.33203125" bestFit="1" customWidth="1"/>
    <col min="140" max="140" width="26.44140625" bestFit="1" customWidth="1"/>
    <col min="141" max="141" width="23" bestFit="1" customWidth="1"/>
    <col min="142" max="142" width="25" bestFit="1" customWidth="1"/>
    <col min="143" max="143" width="28.6640625" bestFit="1" customWidth="1"/>
    <col min="144" max="144" width="28.109375" bestFit="1" customWidth="1"/>
    <col min="145" max="145" width="20.5546875" bestFit="1" customWidth="1"/>
    <col min="146" max="146" width="23.88671875" bestFit="1" customWidth="1"/>
    <col min="147" max="147" width="24.5546875" bestFit="1" customWidth="1"/>
    <col min="148" max="148" width="24.33203125" bestFit="1" customWidth="1"/>
    <col min="149" max="149" width="24.44140625" bestFit="1" customWidth="1"/>
    <col min="150" max="150" width="22.5546875" bestFit="1" customWidth="1"/>
    <col min="151" max="151" width="17.5546875" bestFit="1" customWidth="1"/>
    <col min="152" max="152" width="19.88671875" bestFit="1" customWidth="1"/>
    <col min="153" max="153" width="24.44140625" bestFit="1" customWidth="1"/>
    <col min="154" max="154" width="24.88671875" bestFit="1" customWidth="1"/>
    <col min="155" max="156" width="23.88671875" bestFit="1" customWidth="1"/>
    <col min="157" max="157" width="26.6640625" bestFit="1" customWidth="1"/>
    <col min="158" max="158" width="27.88671875" bestFit="1" customWidth="1"/>
    <col min="159" max="159" width="24" bestFit="1" customWidth="1"/>
    <col min="160" max="160" width="23.109375" bestFit="1" customWidth="1"/>
    <col min="161" max="161" width="23.44140625" bestFit="1" customWidth="1"/>
    <col min="162" max="162" width="25.5546875" bestFit="1" customWidth="1"/>
    <col min="163" max="163" width="30" bestFit="1" customWidth="1"/>
    <col min="164" max="164" width="23.44140625" bestFit="1" customWidth="1"/>
    <col min="165" max="165" width="26.44140625" bestFit="1" customWidth="1"/>
    <col min="166" max="166" width="23.88671875" bestFit="1" customWidth="1"/>
    <col min="167" max="167" width="21.6640625" bestFit="1" customWidth="1"/>
    <col min="168" max="168" width="23.33203125" bestFit="1" customWidth="1"/>
    <col min="169" max="169" width="28.33203125" bestFit="1" customWidth="1"/>
    <col min="170" max="170" width="23.88671875" bestFit="1" customWidth="1"/>
    <col min="171" max="171" width="24.5546875" bestFit="1" customWidth="1"/>
    <col min="172" max="172" width="22.88671875" bestFit="1" customWidth="1"/>
    <col min="173" max="173" width="25.33203125" bestFit="1" customWidth="1"/>
    <col min="174" max="174" width="23.44140625" bestFit="1" customWidth="1"/>
    <col min="175" max="175" width="23" bestFit="1" customWidth="1"/>
    <col min="176" max="176" width="27.6640625" bestFit="1" customWidth="1"/>
    <col min="177" max="177" width="26.88671875" bestFit="1" customWidth="1"/>
    <col min="178" max="178" width="23.5546875" bestFit="1" customWidth="1"/>
    <col min="179" max="179" width="26.33203125" bestFit="1" customWidth="1"/>
    <col min="180" max="180" width="26.44140625" bestFit="1" customWidth="1"/>
    <col min="181" max="182" width="23.33203125" bestFit="1" customWidth="1"/>
    <col min="183" max="183" width="20.88671875" bestFit="1" customWidth="1"/>
    <col min="184" max="184" width="22.5546875" bestFit="1" customWidth="1"/>
    <col min="185" max="185" width="24.44140625" bestFit="1" customWidth="1"/>
    <col min="186" max="186" width="21" bestFit="1" customWidth="1"/>
    <col min="187" max="187" width="23.5546875" bestFit="1" customWidth="1"/>
    <col min="188" max="188" width="20.6640625" bestFit="1" customWidth="1"/>
    <col min="189" max="189" width="23.5546875" bestFit="1" customWidth="1"/>
    <col min="190" max="190" width="22.5546875" bestFit="1" customWidth="1"/>
    <col min="191" max="191" width="20.33203125" bestFit="1" customWidth="1"/>
    <col min="192" max="192" width="20.6640625" bestFit="1" customWidth="1"/>
    <col min="193" max="193" width="23.109375" bestFit="1" customWidth="1"/>
    <col min="194" max="194" width="22.44140625" bestFit="1" customWidth="1"/>
    <col min="195" max="195" width="26" bestFit="1" customWidth="1"/>
    <col min="196" max="196" width="24.5546875" bestFit="1" customWidth="1"/>
    <col min="197" max="197" width="27.33203125" bestFit="1" customWidth="1"/>
    <col min="198" max="198" width="23.33203125" bestFit="1" customWidth="1"/>
    <col min="199" max="199" width="23.44140625" bestFit="1" customWidth="1"/>
    <col min="200" max="200" width="24.44140625" bestFit="1" customWidth="1"/>
    <col min="201" max="201" width="19.33203125" bestFit="1" customWidth="1"/>
    <col min="202" max="202" width="22.44140625" bestFit="1" customWidth="1"/>
    <col min="203" max="203" width="26.5546875" bestFit="1" customWidth="1"/>
    <col min="204" max="204" width="27.5546875" bestFit="1" customWidth="1"/>
    <col min="205" max="205" width="24.109375" bestFit="1" customWidth="1"/>
    <col min="206" max="206" width="23" bestFit="1" customWidth="1"/>
    <col min="207" max="207" width="19" bestFit="1" customWidth="1"/>
    <col min="208" max="208" width="23.5546875" bestFit="1" customWidth="1"/>
    <col min="209" max="209" width="24" bestFit="1" customWidth="1"/>
    <col min="210" max="210" width="23.88671875" bestFit="1" customWidth="1"/>
    <col min="211" max="211" width="24.33203125" bestFit="1" customWidth="1"/>
    <col min="212" max="212" width="25.5546875" bestFit="1" customWidth="1"/>
    <col min="213" max="213" width="22.33203125" bestFit="1" customWidth="1"/>
    <col min="214" max="214" width="23.109375" bestFit="1" customWidth="1"/>
    <col min="215" max="215" width="23" bestFit="1" customWidth="1"/>
    <col min="216" max="216" width="23.33203125" bestFit="1" customWidth="1"/>
    <col min="217" max="217" width="22" bestFit="1" customWidth="1"/>
    <col min="218" max="218" width="26.6640625" bestFit="1" customWidth="1"/>
    <col min="219" max="219" width="26.109375" bestFit="1" customWidth="1"/>
    <col min="220" max="220" width="26.44140625" bestFit="1" customWidth="1"/>
    <col min="221" max="221" width="23.44140625" bestFit="1" customWidth="1"/>
    <col min="222" max="222" width="26.6640625" bestFit="1" customWidth="1"/>
    <col min="223" max="223" width="23.6640625" bestFit="1" customWidth="1"/>
    <col min="224" max="224" width="25.6640625" bestFit="1" customWidth="1"/>
    <col min="225" max="225" width="24.5546875" bestFit="1" customWidth="1"/>
    <col min="226" max="226" width="25.6640625" bestFit="1" customWidth="1"/>
    <col min="227" max="227" width="23.44140625" bestFit="1" customWidth="1"/>
    <col min="228" max="228" width="27.5546875" bestFit="1" customWidth="1"/>
    <col min="229" max="229" width="24.109375" bestFit="1" customWidth="1"/>
    <col min="230" max="230" width="31" bestFit="1" customWidth="1"/>
    <col min="231" max="232" width="22.33203125" bestFit="1" customWidth="1"/>
    <col min="233" max="233" width="22" bestFit="1" customWidth="1"/>
    <col min="234" max="234" width="25.88671875" bestFit="1" customWidth="1"/>
    <col min="235" max="235" width="22.33203125" bestFit="1" customWidth="1"/>
    <col min="236" max="236" width="26.6640625" bestFit="1" customWidth="1"/>
    <col min="237" max="237" width="27.6640625" bestFit="1" customWidth="1"/>
    <col min="238" max="238" width="23" bestFit="1" customWidth="1"/>
    <col min="239" max="239" width="21.6640625" bestFit="1" customWidth="1"/>
    <col min="240" max="240" width="21.109375" bestFit="1" customWidth="1"/>
    <col min="241" max="241" width="23.33203125" bestFit="1" customWidth="1"/>
    <col min="242" max="242" width="23.5546875" bestFit="1" customWidth="1"/>
    <col min="243" max="243" width="26.109375" bestFit="1" customWidth="1"/>
    <col min="244" max="244" width="25.5546875" bestFit="1" customWidth="1"/>
    <col min="245" max="246" width="23.6640625" bestFit="1" customWidth="1"/>
    <col min="247" max="247" width="21.44140625" bestFit="1" customWidth="1"/>
    <col min="248" max="248" width="21.6640625" bestFit="1" customWidth="1"/>
    <col min="249" max="249" width="30" bestFit="1" customWidth="1"/>
    <col min="250" max="250" width="25.33203125" bestFit="1" customWidth="1"/>
    <col min="251" max="251" width="23" bestFit="1" customWidth="1"/>
    <col min="252" max="252" width="22.6640625" bestFit="1" customWidth="1"/>
    <col min="253" max="253" width="24.88671875" bestFit="1" customWidth="1"/>
    <col min="254" max="254" width="24.109375" bestFit="1" customWidth="1"/>
    <col min="255" max="255" width="23.6640625" bestFit="1" customWidth="1"/>
    <col min="256" max="256" width="27" bestFit="1" customWidth="1"/>
    <col min="257" max="257" width="30.44140625" bestFit="1" customWidth="1"/>
    <col min="258" max="258" width="22.44140625" bestFit="1" customWidth="1"/>
    <col min="259" max="259" width="26.6640625" bestFit="1" customWidth="1"/>
    <col min="260" max="260" width="28.44140625" bestFit="1" customWidth="1"/>
    <col min="261" max="261" width="22.88671875" bestFit="1" customWidth="1"/>
    <col min="262" max="262" width="22.6640625" bestFit="1" customWidth="1"/>
    <col min="263" max="263" width="24.5546875" bestFit="1" customWidth="1"/>
    <col min="264" max="264" width="29.6640625" bestFit="1" customWidth="1"/>
    <col min="265" max="265" width="25.88671875" bestFit="1" customWidth="1"/>
    <col min="266" max="266" width="22.33203125" bestFit="1" customWidth="1"/>
    <col min="267" max="267" width="23" bestFit="1" customWidth="1"/>
    <col min="268" max="268" width="27.44140625" bestFit="1" customWidth="1"/>
    <col min="269" max="269" width="23.5546875" bestFit="1" customWidth="1"/>
    <col min="270" max="270" width="21.88671875" bestFit="1" customWidth="1"/>
    <col min="271" max="271" width="27.33203125" bestFit="1" customWidth="1"/>
    <col min="272" max="272" width="22.33203125" bestFit="1" customWidth="1"/>
    <col min="273" max="273" width="25.88671875" bestFit="1" customWidth="1"/>
    <col min="274" max="274" width="20.5546875" bestFit="1" customWidth="1"/>
    <col min="275" max="275" width="22.5546875" bestFit="1" customWidth="1"/>
    <col min="276" max="276" width="23" bestFit="1" customWidth="1"/>
    <col min="277" max="277" width="23.5546875" bestFit="1" customWidth="1"/>
    <col min="278" max="278" width="22.5546875" bestFit="1" customWidth="1"/>
    <col min="279" max="279" width="23" bestFit="1" customWidth="1"/>
    <col min="280" max="280" width="27.109375" bestFit="1" customWidth="1"/>
    <col min="281" max="281" width="23.44140625" bestFit="1" customWidth="1"/>
    <col min="282" max="282" width="25" bestFit="1" customWidth="1"/>
    <col min="283" max="283" width="27.44140625" bestFit="1" customWidth="1"/>
    <col min="284" max="284" width="23.88671875" bestFit="1" customWidth="1"/>
    <col min="285" max="285" width="25" bestFit="1" customWidth="1"/>
    <col min="286" max="286" width="24.44140625" bestFit="1" customWidth="1"/>
    <col min="287" max="287" width="23.88671875" bestFit="1" customWidth="1"/>
    <col min="288" max="288" width="23.44140625" bestFit="1" customWidth="1"/>
    <col min="289" max="289" width="22.88671875" bestFit="1" customWidth="1"/>
    <col min="290" max="290" width="26.109375" bestFit="1" customWidth="1"/>
    <col min="291" max="291" width="27.6640625" bestFit="1" customWidth="1"/>
    <col min="292" max="292" width="26.44140625" bestFit="1" customWidth="1"/>
    <col min="293" max="293" width="28" bestFit="1" customWidth="1"/>
    <col min="294" max="294" width="22.5546875" bestFit="1" customWidth="1"/>
    <col min="295" max="295" width="22.6640625" bestFit="1" customWidth="1"/>
    <col min="296" max="296" width="27.6640625" bestFit="1" customWidth="1"/>
    <col min="297" max="297" width="27.5546875" bestFit="1" customWidth="1"/>
    <col min="298" max="298" width="22.6640625" bestFit="1" customWidth="1"/>
    <col min="299" max="299" width="24.5546875" bestFit="1" customWidth="1"/>
    <col min="300" max="300" width="24.44140625" bestFit="1" customWidth="1"/>
    <col min="301" max="301" width="23.88671875" bestFit="1" customWidth="1"/>
    <col min="302" max="302" width="23" bestFit="1" customWidth="1"/>
    <col min="303" max="303" width="26.44140625" bestFit="1" customWidth="1"/>
    <col min="304" max="304" width="27.6640625" bestFit="1" customWidth="1"/>
    <col min="305" max="305" width="23.88671875" bestFit="1" customWidth="1"/>
    <col min="306" max="306" width="27.5546875" bestFit="1" customWidth="1"/>
    <col min="307" max="307" width="24.5546875" bestFit="1" customWidth="1"/>
    <col min="308" max="308" width="28.33203125" bestFit="1" customWidth="1"/>
    <col min="309" max="309" width="23.44140625" bestFit="1" customWidth="1"/>
    <col min="310" max="310" width="22" bestFit="1" customWidth="1"/>
    <col min="311" max="311" width="23.5546875" bestFit="1" customWidth="1"/>
    <col min="312" max="312" width="21.6640625" bestFit="1" customWidth="1"/>
    <col min="313" max="313" width="23.5546875" bestFit="1" customWidth="1"/>
    <col min="314" max="314" width="27.44140625" bestFit="1" customWidth="1"/>
    <col min="315" max="315" width="26.5546875" bestFit="1" customWidth="1"/>
    <col min="316" max="316" width="22.44140625" bestFit="1" customWidth="1"/>
    <col min="317" max="317" width="24.6640625" bestFit="1" customWidth="1"/>
    <col min="318" max="318" width="25" bestFit="1" customWidth="1"/>
    <col min="319" max="319" width="27.44140625" bestFit="1" customWidth="1"/>
    <col min="320" max="320" width="24.5546875" bestFit="1" customWidth="1"/>
    <col min="321" max="321" width="30" bestFit="1" customWidth="1"/>
    <col min="322" max="322" width="25.88671875" bestFit="1" customWidth="1"/>
    <col min="323" max="323" width="30.44140625" bestFit="1" customWidth="1"/>
    <col min="324" max="324" width="30.6640625" bestFit="1" customWidth="1"/>
    <col min="325" max="325" width="25" bestFit="1" customWidth="1"/>
    <col min="326" max="326" width="24.33203125" bestFit="1" customWidth="1"/>
    <col min="327" max="327" width="23.88671875" bestFit="1" customWidth="1"/>
    <col min="328" max="328" width="27.44140625" bestFit="1" customWidth="1"/>
    <col min="329" max="329" width="25" bestFit="1" customWidth="1"/>
    <col min="330" max="330" width="24.44140625" bestFit="1" customWidth="1"/>
    <col min="331" max="331" width="21.6640625" bestFit="1" customWidth="1"/>
    <col min="332" max="332" width="23.33203125" bestFit="1" customWidth="1"/>
    <col min="333" max="333" width="25" bestFit="1" customWidth="1"/>
    <col min="334" max="334" width="24.33203125" bestFit="1" customWidth="1"/>
    <col min="335" max="335" width="27" bestFit="1" customWidth="1"/>
    <col min="336" max="337" width="22.44140625" bestFit="1" customWidth="1"/>
    <col min="338" max="338" width="22.5546875" bestFit="1" customWidth="1"/>
    <col min="339" max="339" width="26.5546875" bestFit="1" customWidth="1"/>
    <col min="340" max="340" width="26.109375" bestFit="1" customWidth="1"/>
    <col min="341" max="341" width="22.6640625" bestFit="1" customWidth="1"/>
    <col min="342" max="342" width="25" bestFit="1" customWidth="1"/>
    <col min="343" max="343" width="24.88671875" bestFit="1" customWidth="1"/>
    <col min="344" max="344" width="21.109375" bestFit="1" customWidth="1"/>
    <col min="345" max="345" width="23.33203125" bestFit="1" customWidth="1"/>
    <col min="346" max="346" width="24.88671875" bestFit="1" customWidth="1"/>
    <col min="347" max="347" width="24.44140625" bestFit="1" customWidth="1"/>
    <col min="348" max="348" width="28.109375" bestFit="1" customWidth="1"/>
    <col min="349" max="349" width="22.6640625" bestFit="1" customWidth="1"/>
    <col min="350" max="350" width="25.88671875" bestFit="1" customWidth="1"/>
    <col min="351" max="351" width="22.109375" bestFit="1" customWidth="1"/>
    <col min="352" max="352" width="22.33203125" bestFit="1" customWidth="1"/>
    <col min="353" max="353" width="25.5546875" bestFit="1" customWidth="1"/>
    <col min="354" max="354" width="30" bestFit="1" customWidth="1"/>
    <col min="355" max="355" width="25.33203125" bestFit="1" customWidth="1"/>
    <col min="356" max="356" width="25.6640625" bestFit="1" customWidth="1"/>
    <col min="357" max="357" width="24.6640625" bestFit="1" customWidth="1"/>
    <col min="358" max="358" width="22.109375" bestFit="1" customWidth="1"/>
    <col min="359" max="359" width="23.33203125" bestFit="1" customWidth="1"/>
    <col min="360" max="360" width="24.33203125" bestFit="1" customWidth="1"/>
    <col min="361" max="361" width="25.33203125" bestFit="1" customWidth="1"/>
    <col min="362" max="362" width="25.88671875" bestFit="1" customWidth="1"/>
    <col min="363" max="363" width="27.33203125" bestFit="1" customWidth="1"/>
    <col min="364" max="364" width="23.88671875" bestFit="1" customWidth="1"/>
    <col min="365" max="365" width="22.88671875" bestFit="1" customWidth="1"/>
    <col min="366" max="366" width="25.109375" bestFit="1" customWidth="1"/>
    <col min="367" max="367" width="21.5546875" bestFit="1" customWidth="1"/>
    <col min="368" max="368" width="26.88671875" bestFit="1" customWidth="1"/>
    <col min="369" max="369" width="26.5546875" bestFit="1" customWidth="1"/>
    <col min="370" max="370" width="22.109375" bestFit="1" customWidth="1"/>
    <col min="371" max="371" width="27.33203125" bestFit="1" customWidth="1"/>
    <col min="372" max="372" width="23.33203125" bestFit="1" customWidth="1"/>
    <col min="373" max="373" width="22.5546875" bestFit="1" customWidth="1"/>
    <col min="374" max="374" width="22.44140625" bestFit="1" customWidth="1"/>
    <col min="375" max="375" width="24.6640625" bestFit="1" customWidth="1"/>
    <col min="376" max="376" width="22.109375" bestFit="1" customWidth="1"/>
    <col min="377" max="377" width="23.5546875" bestFit="1" customWidth="1"/>
    <col min="378" max="378" width="27" bestFit="1" customWidth="1"/>
    <col min="379" max="379" width="29.33203125" bestFit="1" customWidth="1"/>
    <col min="380" max="380" width="21.88671875" bestFit="1" customWidth="1"/>
    <col min="381" max="381" width="25" bestFit="1" customWidth="1"/>
    <col min="382" max="382" width="23.88671875" bestFit="1" customWidth="1"/>
    <col min="383" max="383" width="21.6640625" bestFit="1" customWidth="1"/>
    <col min="384" max="384" width="23.88671875" bestFit="1" customWidth="1"/>
    <col min="385" max="385" width="25.33203125" bestFit="1" customWidth="1"/>
    <col min="386" max="386" width="23.88671875" bestFit="1" customWidth="1"/>
    <col min="387" max="387" width="23.109375" bestFit="1" customWidth="1"/>
    <col min="388" max="388" width="24.33203125" bestFit="1" customWidth="1"/>
    <col min="389" max="389" width="22.109375" bestFit="1" customWidth="1"/>
    <col min="390" max="390" width="25.33203125" bestFit="1" customWidth="1"/>
    <col min="391" max="391" width="21" bestFit="1" customWidth="1"/>
    <col min="392" max="392" width="23.6640625" bestFit="1" customWidth="1"/>
    <col min="393" max="393" width="23" bestFit="1" customWidth="1"/>
    <col min="394" max="394" width="29.6640625" bestFit="1" customWidth="1"/>
    <col min="395" max="395" width="25.33203125" bestFit="1" customWidth="1"/>
    <col min="396" max="396" width="24.44140625" bestFit="1" customWidth="1"/>
    <col min="397" max="397" width="22" bestFit="1" customWidth="1"/>
    <col min="398" max="398" width="19.5546875" bestFit="1" customWidth="1"/>
    <col min="399" max="399" width="22.88671875" bestFit="1" customWidth="1"/>
    <col min="400" max="400" width="23" bestFit="1" customWidth="1"/>
    <col min="401" max="401" width="18.6640625" bestFit="1" customWidth="1"/>
    <col min="402" max="402" width="24" bestFit="1" customWidth="1"/>
    <col min="403" max="403" width="23.44140625" bestFit="1" customWidth="1"/>
    <col min="404" max="404" width="24.5546875" bestFit="1" customWidth="1"/>
    <col min="405" max="405" width="18.88671875" bestFit="1" customWidth="1"/>
    <col min="406" max="406" width="23.5546875" bestFit="1" customWidth="1"/>
    <col min="407" max="407" width="23.109375" bestFit="1" customWidth="1"/>
    <col min="408" max="408" width="20.44140625" bestFit="1" customWidth="1"/>
    <col min="409" max="409" width="23" bestFit="1" customWidth="1"/>
    <col min="410" max="410" width="29.44140625" bestFit="1" customWidth="1"/>
    <col min="411" max="411" width="24.33203125" bestFit="1" customWidth="1"/>
    <col min="412" max="412" width="24.44140625" bestFit="1" customWidth="1"/>
    <col min="413" max="413" width="29" bestFit="1" customWidth="1"/>
    <col min="414" max="414" width="28" bestFit="1" customWidth="1"/>
    <col min="415" max="415" width="30.109375" bestFit="1" customWidth="1"/>
    <col min="416" max="416" width="26" bestFit="1" customWidth="1"/>
    <col min="417" max="417" width="25.6640625" bestFit="1" customWidth="1"/>
    <col min="418" max="418" width="23.88671875" bestFit="1" customWidth="1"/>
    <col min="419" max="419" width="23" bestFit="1" customWidth="1"/>
    <col min="420" max="420" width="24.44140625" bestFit="1" customWidth="1"/>
    <col min="421" max="421" width="23.33203125" bestFit="1" customWidth="1"/>
    <col min="422" max="422" width="27.88671875" bestFit="1" customWidth="1"/>
    <col min="423" max="423" width="32.109375" bestFit="1" customWidth="1"/>
    <col min="424" max="424" width="22.5546875" bestFit="1" customWidth="1"/>
    <col min="425" max="425" width="21.5546875" bestFit="1" customWidth="1"/>
    <col min="426" max="426" width="24.44140625" bestFit="1" customWidth="1"/>
    <col min="427" max="427" width="25" bestFit="1" customWidth="1"/>
    <col min="428" max="428" width="24.5546875" bestFit="1" customWidth="1"/>
    <col min="429" max="429" width="27.6640625" bestFit="1" customWidth="1"/>
    <col min="430" max="430" width="24.44140625" bestFit="1" customWidth="1"/>
    <col min="431" max="431" width="23" bestFit="1" customWidth="1"/>
    <col min="432" max="432" width="26.33203125" bestFit="1" customWidth="1"/>
    <col min="433" max="433" width="25.88671875" bestFit="1" customWidth="1"/>
    <col min="434" max="434" width="21.109375" bestFit="1" customWidth="1"/>
    <col min="435" max="435" width="25.6640625" bestFit="1" customWidth="1"/>
    <col min="436" max="436" width="25.5546875" bestFit="1" customWidth="1"/>
    <col min="437" max="437" width="22.88671875" bestFit="1" customWidth="1"/>
    <col min="438" max="438" width="22.33203125" bestFit="1" customWidth="1"/>
    <col min="439" max="439" width="27.6640625" bestFit="1" customWidth="1"/>
    <col min="440" max="441" width="24.44140625" bestFit="1" customWidth="1"/>
    <col min="442" max="442" width="24" bestFit="1" customWidth="1"/>
    <col min="443" max="443" width="22.88671875" bestFit="1" customWidth="1"/>
    <col min="444" max="444" width="27" bestFit="1" customWidth="1"/>
    <col min="445" max="445" width="25" bestFit="1" customWidth="1"/>
    <col min="446" max="446" width="23" bestFit="1" customWidth="1"/>
    <col min="447" max="447" width="20.88671875" bestFit="1" customWidth="1"/>
    <col min="448" max="448" width="22.5546875" bestFit="1" customWidth="1"/>
    <col min="449" max="449" width="28.33203125" bestFit="1" customWidth="1"/>
    <col min="450" max="450" width="23.6640625" bestFit="1" customWidth="1"/>
    <col min="451" max="451" width="25.5546875" bestFit="1" customWidth="1"/>
    <col min="452" max="452" width="22" bestFit="1" customWidth="1"/>
    <col min="453" max="453" width="22.6640625" bestFit="1" customWidth="1"/>
    <col min="454" max="454" width="24.6640625" bestFit="1" customWidth="1"/>
    <col min="455" max="455" width="24.33203125" bestFit="1" customWidth="1"/>
    <col min="456" max="456" width="23.6640625" bestFit="1" customWidth="1"/>
    <col min="457" max="457" width="27.6640625" bestFit="1" customWidth="1"/>
    <col min="458" max="458" width="23" bestFit="1" customWidth="1"/>
    <col min="459" max="459" width="23.33203125" bestFit="1" customWidth="1"/>
    <col min="460" max="460" width="23.5546875" bestFit="1" customWidth="1"/>
    <col min="461" max="461" width="23.88671875" bestFit="1" customWidth="1"/>
    <col min="462" max="462" width="25" bestFit="1" customWidth="1"/>
    <col min="463" max="463" width="26.33203125" bestFit="1" customWidth="1"/>
    <col min="464" max="464" width="22.44140625" bestFit="1" customWidth="1"/>
    <col min="465" max="465" width="24.44140625" bestFit="1" customWidth="1"/>
    <col min="466" max="466" width="23.6640625" bestFit="1" customWidth="1"/>
    <col min="467" max="467" width="27.109375" bestFit="1" customWidth="1"/>
    <col min="468" max="468" width="23.5546875" bestFit="1" customWidth="1"/>
    <col min="469" max="469" width="24.5546875" bestFit="1" customWidth="1"/>
    <col min="470" max="470" width="22" bestFit="1" customWidth="1"/>
    <col min="471" max="471" width="24.88671875" bestFit="1" customWidth="1"/>
    <col min="472" max="472" width="22.33203125" bestFit="1" customWidth="1"/>
    <col min="473" max="473" width="23.33203125" bestFit="1" customWidth="1"/>
    <col min="474" max="474" width="24.5546875" bestFit="1" customWidth="1"/>
    <col min="475" max="475" width="24" bestFit="1" customWidth="1"/>
    <col min="476" max="476" width="23.88671875" bestFit="1" customWidth="1"/>
    <col min="477" max="477" width="24.88671875" bestFit="1" customWidth="1"/>
    <col min="478" max="478" width="21.109375" bestFit="1" customWidth="1"/>
    <col min="479" max="479" width="25.6640625" bestFit="1" customWidth="1"/>
    <col min="480" max="480" width="21.44140625" bestFit="1" customWidth="1"/>
    <col min="481" max="481" width="24" bestFit="1" customWidth="1"/>
    <col min="482" max="482" width="23.6640625" bestFit="1" customWidth="1"/>
    <col min="483" max="483" width="23.88671875" bestFit="1" customWidth="1"/>
    <col min="484" max="484" width="24.33203125" bestFit="1" customWidth="1"/>
    <col min="485" max="485" width="25.109375" bestFit="1" customWidth="1"/>
    <col min="486" max="486" width="25.88671875" bestFit="1" customWidth="1"/>
    <col min="487" max="487" width="26.88671875" bestFit="1" customWidth="1"/>
    <col min="488" max="488" width="22.5546875" bestFit="1" customWidth="1"/>
    <col min="489" max="490" width="23.88671875" bestFit="1" customWidth="1"/>
    <col min="491" max="491" width="26.6640625" bestFit="1" customWidth="1"/>
    <col min="492" max="492" width="26.33203125" bestFit="1" customWidth="1"/>
    <col min="493" max="493" width="26.6640625" bestFit="1" customWidth="1"/>
    <col min="494" max="494" width="24.109375" bestFit="1" customWidth="1"/>
    <col min="495" max="496" width="23.88671875" bestFit="1" customWidth="1"/>
    <col min="497" max="497" width="23.44140625" bestFit="1" customWidth="1"/>
    <col min="498" max="498" width="26.6640625" bestFit="1" customWidth="1"/>
    <col min="499" max="499" width="25.109375" bestFit="1" customWidth="1"/>
    <col min="500" max="500" width="19.44140625" bestFit="1" customWidth="1"/>
    <col min="501" max="501" width="26.88671875" bestFit="1" customWidth="1"/>
    <col min="502" max="502" width="27.33203125" bestFit="1" customWidth="1"/>
    <col min="503" max="503" width="22.5546875" bestFit="1" customWidth="1"/>
    <col min="504" max="504" width="25.109375" bestFit="1" customWidth="1"/>
    <col min="505" max="505" width="24" bestFit="1" customWidth="1"/>
    <col min="506" max="506" width="23" bestFit="1" customWidth="1"/>
    <col min="507" max="507" width="21" bestFit="1" customWidth="1"/>
    <col min="508" max="508" width="25.33203125" bestFit="1" customWidth="1"/>
    <col min="509" max="509" width="22.44140625" bestFit="1" customWidth="1"/>
    <col min="510" max="510" width="22.5546875" bestFit="1" customWidth="1"/>
    <col min="511" max="511" width="24.5546875" bestFit="1" customWidth="1"/>
    <col min="512" max="512" width="22.88671875" bestFit="1" customWidth="1"/>
    <col min="513" max="513" width="23.33203125" bestFit="1" customWidth="1"/>
    <col min="514" max="514" width="24.5546875" bestFit="1" customWidth="1"/>
    <col min="515" max="515" width="24.109375" bestFit="1" customWidth="1"/>
    <col min="516" max="516" width="23.5546875" bestFit="1" customWidth="1"/>
    <col min="517" max="517" width="25.88671875" bestFit="1" customWidth="1"/>
    <col min="518" max="518" width="18.88671875" bestFit="1" customWidth="1"/>
    <col min="519" max="519" width="25.109375" bestFit="1" customWidth="1"/>
    <col min="520" max="520" width="24.109375" bestFit="1" customWidth="1"/>
    <col min="521" max="521" width="20.109375" bestFit="1" customWidth="1"/>
    <col min="522" max="522" width="20.33203125" bestFit="1" customWidth="1"/>
    <col min="523" max="523" width="24.88671875" bestFit="1" customWidth="1"/>
    <col min="524" max="524" width="22.5546875" bestFit="1" customWidth="1"/>
    <col min="525" max="525" width="23.33203125" bestFit="1" customWidth="1"/>
    <col min="526" max="526" width="20" bestFit="1" customWidth="1"/>
    <col min="527" max="527" width="27" bestFit="1" customWidth="1"/>
    <col min="528" max="528" width="22" bestFit="1" customWidth="1"/>
    <col min="529" max="529" width="26.109375" bestFit="1" customWidth="1"/>
    <col min="530" max="530" width="22.44140625" bestFit="1" customWidth="1"/>
    <col min="531" max="531" width="24" bestFit="1" customWidth="1"/>
    <col min="532" max="532" width="23.33203125" bestFit="1" customWidth="1"/>
    <col min="533" max="533" width="23.88671875" bestFit="1" customWidth="1"/>
    <col min="534" max="534" width="23.5546875" bestFit="1" customWidth="1"/>
    <col min="535" max="535" width="28.109375" bestFit="1" customWidth="1"/>
    <col min="536" max="536" width="22" bestFit="1" customWidth="1"/>
    <col min="537" max="537" width="22.6640625" bestFit="1" customWidth="1"/>
    <col min="538" max="538" width="29.109375" bestFit="1" customWidth="1"/>
    <col min="539" max="539" width="23.44140625" bestFit="1" customWidth="1"/>
    <col min="540" max="540" width="22.109375" bestFit="1" customWidth="1"/>
    <col min="541" max="541" width="22" bestFit="1" customWidth="1"/>
    <col min="542" max="542" width="25.88671875" bestFit="1" customWidth="1"/>
    <col min="543" max="543" width="23.5546875" bestFit="1" customWidth="1"/>
    <col min="544" max="544" width="25.88671875" bestFit="1" customWidth="1"/>
    <col min="545" max="545" width="29" bestFit="1" customWidth="1"/>
    <col min="546" max="546" width="20.88671875" bestFit="1" customWidth="1"/>
    <col min="547" max="547" width="26.88671875" bestFit="1" customWidth="1"/>
    <col min="548" max="548" width="25.33203125" bestFit="1" customWidth="1"/>
    <col min="549" max="549" width="25.88671875" bestFit="1" customWidth="1"/>
    <col min="550" max="550" width="22" bestFit="1" customWidth="1"/>
    <col min="551" max="551" width="23.88671875" bestFit="1" customWidth="1"/>
    <col min="552" max="552" width="24.109375" bestFit="1" customWidth="1"/>
    <col min="553" max="553" width="21" bestFit="1" customWidth="1"/>
    <col min="554" max="554" width="20.6640625" bestFit="1" customWidth="1"/>
    <col min="555" max="555" width="25.109375" bestFit="1" customWidth="1"/>
    <col min="556" max="556" width="23.33203125" bestFit="1" customWidth="1"/>
    <col min="557" max="557" width="21" bestFit="1" customWidth="1"/>
    <col min="558" max="558" width="22.5546875" bestFit="1" customWidth="1"/>
    <col min="559" max="559" width="23.6640625" bestFit="1" customWidth="1"/>
    <col min="560" max="560" width="26" bestFit="1" customWidth="1"/>
    <col min="561" max="561" width="22.33203125" bestFit="1" customWidth="1"/>
    <col min="562" max="562" width="24.6640625" bestFit="1" customWidth="1"/>
    <col min="563" max="563" width="21.44140625" bestFit="1" customWidth="1"/>
    <col min="564" max="564" width="21.5546875" bestFit="1" customWidth="1"/>
    <col min="565" max="565" width="24" bestFit="1" customWidth="1"/>
    <col min="566" max="566" width="22.109375" bestFit="1" customWidth="1"/>
    <col min="567" max="567" width="23.44140625" bestFit="1" customWidth="1"/>
    <col min="568" max="568" width="24.109375" bestFit="1" customWidth="1"/>
    <col min="569" max="569" width="23.44140625" bestFit="1" customWidth="1"/>
    <col min="570" max="570" width="26.33203125" bestFit="1" customWidth="1"/>
    <col min="571" max="571" width="23.33203125" bestFit="1" customWidth="1"/>
    <col min="572" max="572" width="22.88671875" bestFit="1" customWidth="1"/>
    <col min="573" max="573" width="27.109375" bestFit="1" customWidth="1"/>
    <col min="574" max="574" width="21" bestFit="1" customWidth="1"/>
    <col min="575" max="575" width="25.6640625" bestFit="1" customWidth="1"/>
    <col min="576" max="576" width="23.44140625" bestFit="1" customWidth="1"/>
    <col min="577" max="577" width="21.88671875" bestFit="1" customWidth="1"/>
    <col min="578" max="578" width="28.33203125" bestFit="1" customWidth="1"/>
    <col min="579" max="579" width="25" bestFit="1" customWidth="1"/>
    <col min="580" max="580" width="30" bestFit="1" customWidth="1"/>
    <col min="581" max="581" width="23.109375" bestFit="1" customWidth="1"/>
    <col min="582" max="582" width="23.44140625" bestFit="1" customWidth="1"/>
    <col min="583" max="583" width="22.5546875" bestFit="1" customWidth="1"/>
    <col min="584" max="584" width="24.33203125" bestFit="1" customWidth="1"/>
    <col min="585" max="585" width="21.88671875" bestFit="1" customWidth="1"/>
    <col min="586" max="586" width="23.109375" bestFit="1" customWidth="1"/>
    <col min="587" max="587" width="26" bestFit="1" customWidth="1"/>
    <col min="588" max="588" width="23.44140625" bestFit="1" customWidth="1"/>
    <col min="589" max="589" width="23.5546875" bestFit="1" customWidth="1"/>
    <col min="590" max="590" width="18.6640625" bestFit="1" customWidth="1"/>
    <col min="591" max="591" width="24" bestFit="1" customWidth="1"/>
    <col min="592" max="592" width="26.109375" bestFit="1" customWidth="1"/>
    <col min="593" max="593" width="25.6640625" bestFit="1" customWidth="1"/>
    <col min="594" max="594" width="23.5546875" bestFit="1" customWidth="1"/>
    <col min="595" max="595" width="24.5546875" bestFit="1" customWidth="1"/>
    <col min="596" max="596" width="25" bestFit="1" customWidth="1"/>
    <col min="597" max="597" width="21.6640625" bestFit="1" customWidth="1"/>
  </cols>
  <sheetData>
    <row r="1" spans="1:597" x14ac:dyDescent="0.3">
      <c r="A1" s="20" t="s">
        <v>28</v>
      </c>
      <c r="B1" s="21" t="s">
        <v>29</v>
      </c>
      <c r="C1" s="21" t="s">
        <v>30</v>
      </c>
      <c r="D1" s="21" t="s">
        <v>31</v>
      </c>
      <c r="E1" s="21" t="s">
        <v>32</v>
      </c>
      <c r="F1" s="21" t="s">
        <v>33</v>
      </c>
      <c r="G1" s="21" t="s">
        <v>34</v>
      </c>
      <c r="H1" s="21" t="s">
        <v>35</v>
      </c>
      <c r="I1" s="21" t="s">
        <v>36</v>
      </c>
      <c r="J1" s="21" t="s">
        <v>37</v>
      </c>
      <c r="K1" s="21" t="s">
        <v>38</v>
      </c>
      <c r="L1" s="21" t="s">
        <v>39</v>
      </c>
      <c r="M1" s="21" t="s">
        <v>40</v>
      </c>
      <c r="N1" s="21" t="s">
        <v>41</v>
      </c>
      <c r="O1" s="21" t="s">
        <v>42</v>
      </c>
      <c r="P1" s="21" t="s">
        <v>43</v>
      </c>
      <c r="Q1" s="21" t="s">
        <v>44</v>
      </c>
      <c r="R1" s="21" t="s">
        <v>45</v>
      </c>
      <c r="S1" s="21" t="s">
        <v>46</v>
      </c>
      <c r="T1" s="21" t="s">
        <v>47</v>
      </c>
      <c r="U1" s="21" t="s">
        <v>48</v>
      </c>
      <c r="V1" s="21" t="s">
        <v>49</v>
      </c>
      <c r="W1" s="21" t="s">
        <v>50</v>
      </c>
      <c r="X1" s="21" t="s">
        <v>51</v>
      </c>
      <c r="Y1" s="21" t="s">
        <v>52</v>
      </c>
      <c r="Z1" s="21" t="s">
        <v>53</v>
      </c>
      <c r="AA1" s="21" t="s">
        <v>54</v>
      </c>
      <c r="AB1" s="21" t="s">
        <v>55</v>
      </c>
      <c r="AC1" s="21" t="s">
        <v>56</v>
      </c>
      <c r="AD1" s="21" t="s">
        <v>57</v>
      </c>
      <c r="AE1" s="21" t="s">
        <v>58</v>
      </c>
      <c r="AF1" s="21" t="s">
        <v>59</v>
      </c>
      <c r="AG1" s="21" t="s">
        <v>60</v>
      </c>
      <c r="AH1" s="21" t="s">
        <v>61</v>
      </c>
      <c r="AI1" s="21" t="s">
        <v>62</v>
      </c>
      <c r="AJ1" s="21" t="s">
        <v>63</v>
      </c>
      <c r="AK1" s="21" t="s">
        <v>64</v>
      </c>
      <c r="AL1" s="21" t="s">
        <v>65</v>
      </c>
      <c r="AM1" s="21" t="s">
        <v>66</v>
      </c>
      <c r="AN1" s="21" t="s">
        <v>67</v>
      </c>
      <c r="AO1" s="21" t="s">
        <v>68</v>
      </c>
      <c r="AP1" s="21" t="s">
        <v>69</v>
      </c>
      <c r="AQ1" s="21" t="s">
        <v>70</v>
      </c>
      <c r="AR1" s="21" t="s">
        <v>71</v>
      </c>
      <c r="AS1" s="21" t="s">
        <v>72</v>
      </c>
      <c r="AT1" s="21" t="s">
        <v>73</v>
      </c>
      <c r="AU1" s="21" t="s">
        <v>74</v>
      </c>
      <c r="AV1" s="21" t="s">
        <v>75</v>
      </c>
      <c r="AW1" s="21" t="s">
        <v>76</v>
      </c>
      <c r="AX1" s="21" t="s">
        <v>77</v>
      </c>
      <c r="AY1" s="21" t="s">
        <v>78</v>
      </c>
      <c r="AZ1" s="21" t="s">
        <v>79</v>
      </c>
      <c r="BA1" s="21" t="s">
        <v>80</v>
      </c>
      <c r="BB1" s="21" t="s">
        <v>81</v>
      </c>
      <c r="BC1" s="21" t="s">
        <v>82</v>
      </c>
      <c r="BD1" s="21" t="s">
        <v>83</v>
      </c>
      <c r="BE1" s="21" t="s">
        <v>84</v>
      </c>
      <c r="BF1" s="21" t="s">
        <v>85</v>
      </c>
      <c r="BG1" s="21" t="s">
        <v>86</v>
      </c>
      <c r="BH1" s="21" t="s">
        <v>87</v>
      </c>
      <c r="BI1" s="21" t="s">
        <v>88</v>
      </c>
      <c r="BJ1" s="21" t="s">
        <v>89</v>
      </c>
      <c r="BK1" s="21" t="s">
        <v>90</v>
      </c>
      <c r="BL1" s="21" t="s">
        <v>91</v>
      </c>
      <c r="BM1" s="21" t="s">
        <v>92</v>
      </c>
      <c r="BN1" s="21" t="s">
        <v>93</v>
      </c>
      <c r="BO1" s="21" t="s">
        <v>94</v>
      </c>
      <c r="BP1" s="21" t="s">
        <v>95</v>
      </c>
      <c r="BQ1" s="21" t="s">
        <v>96</v>
      </c>
      <c r="BR1" s="21" t="s">
        <v>97</v>
      </c>
      <c r="BS1" s="21" t="s">
        <v>98</v>
      </c>
      <c r="BT1" s="21" t="s">
        <v>99</v>
      </c>
      <c r="BU1" s="21" t="s">
        <v>100</v>
      </c>
      <c r="BV1" s="21" t="s">
        <v>101</v>
      </c>
      <c r="BW1" s="21" t="s">
        <v>102</v>
      </c>
      <c r="BX1" s="21" t="s">
        <v>103</v>
      </c>
      <c r="BY1" s="21" t="s">
        <v>104</v>
      </c>
      <c r="BZ1" s="21" t="s">
        <v>105</v>
      </c>
      <c r="CA1" s="21" t="s">
        <v>106</v>
      </c>
      <c r="CB1" s="21" t="s">
        <v>107</v>
      </c>
      <c r="CC1" s="21" t="s">
        <v>108</v>
      </c>
      <c r="CD1" s="21" t="s">
        <v>109</v>
      </c>
      <c r="CE1" s="21" t="s">
        <v>110</v>
      </c>
      <c r="CF1" s="21" t="s">
        <v>111</v>
      </c>
      <c r="CG1" s="21" t="s">
        <v>112</v>
      </c>
      <c r="CH1" s="21" t="s">
        <v>113</v>
      </c>
      <c r="CI1" s="21" t="s">
        <v>114</v>
      </c>
      <c r="CJ1" s="21" t="s">
        <v>115</v>
      </c>
      <c r="CK1" s="21" t="s">
        <v>116</v>
      </c>
      <c r="CL1" s="21" t="s">
        <v>117</v>
      </c>
      <c r="CM1" s="21" t="s">
        <v>118</v>
      </c>
      <c r="CN1" s="21" t="s">
        <v>119</v>
      </c>
      <c r="CO1" s="21" t="s">
        <v>120</v>
      </c>
      <c r="CP1" s="21" t="s">
        <v>121</v>
      </c>
      <c r="CQ1" s="21" t="s">
        <v>122</v>
      </c>
      <c r="CR1" s="21" t="s">
        <v>123</v>
      </c>
      <c r="CS1" s="21" t="s">
        <v>124</v>
      </c>
      <c r="CT1" s="21" t="s">
        <v>125</v>
      </c>
      <c r="CU1" s="21" t="s">
        <v>126</v>
      </c>
      <c r="CV1" s="21" t="s">
        <v>127</v>
      </c>
      <c r="CW1" s="21" t="s">
        <v>128</v>
      </c>
      <c r="CX1" s="21" t="s">
        <v>129</v>
      </c>
      <c r="CY1" s="21" t="s">
        <v>130</v>
      </c>
      <c r="CZ1" s="21" t="s">
        <v>131</v>
      </c>
      <c r="DA1" s="21" t="s">
        <v>132</v>
      </c>
      <c r="DB1" s="21" t="s">
        <v>133</v>
      </c>
      <c r="DC1" s="21" t="s">
        <v>134</v>
      </c>
      <c r="DD1" s="21" t="s">
        <v>135</v>
      </c>
      <c r="DE1" s="21" t="s">
        <v>136</v>
      </c>
      <c r="DF1" s="21" t="s">
        <v>137</v>
      </c>
      <c r="DG1" s="21" t="s">
        <v>138</v>
      </c>
      <c r="DH1" s="21" t="s">
        <v>139</v>
      </c>
      <c r="DI1" s="21" t="s">
        <v>140</v>
      </c>
      <c r="DJ1" s="21" t="s">
        <v>141</v>
      </c>
      <c r="DK1" s="21" t="s">
        <v>142</v>
      </c>
      <c r="DL1" s="21" t="s">
        <v>143</v>
      </c>
      <c r="DM1" s="21" t="s">
        <v>144</v>
      </c>
      <c r="DN1" s="21" t="s">
        <v>145</v>
      </c>
      <c r="DO1" s="21" t="s">
        <v>146</v>
      </c>
      <c r="DP1" s="21" t="s">
        <v>147</v>
      </c>
      <c r="DQ1" s="21" t="s">
        <v>148</v>
      </c>
      <c r="DR1" s="21" t="s">
        <v>149</v>
      </c>
      <c r="DS1" s="21" t="s">
        <v>150</v>
      </c>
      <c r="DT1" s="21" t="s">
        <v>151</v>
      </c>
      <c r="DU1" s="21" t="s">
        <v>152</v>
      </c>
      <c r="DV1" s="21" t="s">
        <v>153</v>
      </c>
      <c r="DW1" s="21" t="s">
        <v>154</v>
      </c>
      <c r="DX1" s="21" t="s">
        <v>155</v>
      </c>
      <c r="DY1" s="21" t="s">
        <v>156</v>
      </c>
      <c r="DZ1" s="21" t="s">
        <v>157</v>
      </c>
      <c r="EA1" s="21" t="s">
        <v>158</v>
      </c>
      <c r="EB1" s="21" t="s">
        <v>159</v>
      </c>
      <c r="EC1" s="21" t="s">
        <v>160</v>
      </c>
      <c r="ED1" s="21" t="s">
        <v>161</v>
      </c>
      <c r="EE1" s="21" t="s">
        <v>162</v>
      </c>
      <c r="EF1" s="21" t="s">
        <v>163</v>
      </c>
      <c r="EG1" s="21" t="s">
        <v>164</v>
      </c>
      <c r="EH1" s="21" t="s">
        <v>165</v>
      </c>
      <c r="EI1" s="21" t="s">
        <v>166</v>
      </c>
      <c r="EJ1" s="21" t="s">
        <v>167</v>
      </c>
      <c r="EK1" s="21" t="s">
        <v>168</v>
      </c>
      <c r="EL1" s="21" t="s">
        <v>169</v>
      </c>
      <c r="EM1" s="21" t="s">
        <v>170</v>
      </c>
      <c r="EN1" s="21" t="s">
        <v>171</v>
      </c>
      <c r="EO1" s="21" t="s">
        <v>172</v>
      </c>
      <c r="EP1" s="21" t="s">
        <v>173</v>
      </c>
      <c r="EQ1" s="21" t="s">
        <v>174</v>
      </c>
      <c r="ER1" s="21" t="s">
        <v>175</v>
      </c>
      <c r="ES1" s="21" t="s">
        <v>176</v>
      </c>
      <c r="ET1" s="21" t="s">
        <v>177</v>
      </c>
      <c r="EU1" s="21" t="s">
        <v>178</v>
      </c>
      <c r="EV1" s="21" t="s">
        <v>179</v>
      </c>
      <c r="EW1" s="21" t="s">
        <v>180</v>
      </c>
      <c r="EX1" s="21" t="s">
        <v>181</v>
      </c>
      <c r="EY1" s="21" t="s">
        <v>182</v>
      </c>
      <c r="EZ1" s="21" t="s">
        <v>183</v>
      </c>
      <c r="FA1" s="21" t="s">
        <v>184</v>
      </c>
      <c r="FB1" s="21" t="s">
        <v>185</v>
      </c>
      <c r="FC1" s="21" t="s">
        <v>186</v>
      </c>
      <c r="FD1" s="21" t="s">
        <v>187</v>
      </c>
      <c r="FE1" s="21" t="s">
        <v>188</v>
      </c>
      <c r="FF1" s="21" t="s">
        <v>189</v>
      </c>
      <c r="FG1" s="21" t="s">
        <v>190</v>
      </c>
      <c r="FH1" s="21" t="s">
        <v>191</v>
      </c>
      <c r="FI1" s="21" t="s">
        <v>192</v>
      </c>
      <c r="FJ1" s="21" t="s">
        <v>193</v>
      </c>
      <c r="FK1" s="21" t="s">
        <v>194</v>
      </c>
      <c r="FL1" s="21" t="s">
        <v>195</v>
      </c>
      <c r="FM1" s="21" t="s">
        <v>196</v>
      </c>
      <c r="FN1" s="21" t="s">
        <v>197</v>
      </c>
      <c r="FO1" s="21" t="s">
        <v>198</v>
      </c>
      <c r="FP1" s="21" t="s">
        <v>199</v>
      </c>
      <c r="FQ1" s="21" t="s">
        <v>200</v>
      </c>
      <c r="FR1" s="21" t="s">
        <v>201</v>
      </c>
      <c r="FS1" s="21" t="s">
        <v>202</v>
      </c>
      <c r="FT1" s="21" t="s">
        <v>203</v>
      </c>
      <c r="FU1" s="21" t="s">
        <v>204</v>
      </c>
      <c r="FV1" s="21" t="s">
        <v>205</v>
      </c>
      <c r="FW1" s="21" t="s">
        <v>206</v>
      </c>
      <c r="FX1" s="21" t="s">
        <v>207</v>
      </c>
      <c r="FY1" s="21" t="s">
        <v>208</v>
      </c>
      <c r="FZ1" s="21" t="s">
        <v>209</v>
      </c>
      <c r="GA1" s="21" t="s">
        <v>210</v>
      </c>
      <c r="GB1" s="21" t="s">
        <v>211</v>
      </c>
      <c r="GC1" s="21" t="s">
        <v>212</v>
      </c>
      <c r="GD1" s="21" t="s">
        <v>213</v>
      </c>
      <c r="GE1" s="21" t="s">
        <v>214</v>
      </c>
      <c r="GF1" s="21" t="s">
        <v>215</v>
      </c>
      <c r="GG1" s="21" t="s">
        <v>216</v>
      </c>
      <c r="GH1" s="21" t="s">
        <v>217</v>
      </c>
      <c r="GI1" s="21" t="s">
        <v>218</v>
      </c>
      <c r="GJ1" s="21" t="s">
        <v>219</v>
      </c>
      <c r="GK1" s="21" t="s">
        <v>220</v>
      </c>
      <c r="GL1" s="21" t="s">
        <v>221</v>
      </c>
      <c r="GM1" s="21" t="s">
        <v>222</v>
      </c>
      <c r="GN1" s="21" t="s">
        <v>223</v>
      </c>
      <c r="GO1" s="21" t="s">
        <v>224</v>
      </c>
      <c r="GP1" s="21" t="s">
        <v>225</v>
      </c>
      <c r="GQ1" s="21" t="s">
        <v>226</v>
      </c>
      <c r="GR1" s="21" t="s">
        <v>227</v>
      </c>
      <c r="GS1" s="21" t="s">
        <v>228</v>
      </c>
      <c r="GT1" s="21" t="s">
        <v>229</v>
      </c>
      <c r="GU1" s="21" t="s">
        <v>230</v>
      </c>
      <c r="GV1" s="21" t="s">
        <v>231</v>
      </c>
      <c r="GW1" s="21" t="s">
        <v>232</v>
      </c>
      <c r="GX1" s="21" t="s">
        <v>233</v>
      </c>
      <c r="GY1" s="21" t="s">
        <v>234</v>
      </c>
      <c r="GZ1" s="21" t="s">
        <v>235</v>
      </c>
      <c r="HA1" s="21" t="s">
        <v>236</v>
      </c>
      <c r="HB1" s="21" t="s">
        <v>237</v>
      </c>
      <c r="HC1" s="21" t="s">
        <v>238</v>
      </c>
      <c r="HD1" s="21" t="s">
        <v>239</v>
      </c>
      <c r="HE1" s="21" t="s">
        <v>240</v>
      </c>
      <c r="HF1" s="21" t="s">
        <v>241</v>
      </c>
      <c r="HG1" s="21" t="s">
        <v>242</v>
      </c>
      <c r="HH1" s="21" t="s">
        <v>243</v>
      </c>
      <c r="HI1" s="21" t="s">
        <v>244</v>
      </c>
      <c r="HJ1" s="21" t="s">
        <v>245</v>
      </c>
      <c r="HK1" s="21" t="s">
        <v>246</v>
      </c>
      <c r="HL1" s="21" t="s">
        <v>247</v>
      </c>
      <c r="HM1" s="21" t="s">
        <v>248</v>
      </c>
      <c r="HN1" s="21" t="s">
        <v>249</v>
      </c>
      <c r="HO1" s="21" t="s">
        <v>250</v>
      </c>
      <c r="HP1" s="21" t="s">
        <v>251</v>
      </c>
      <c r="HQ1" s="21" t="s">
        <v>252</v>
      </c>
      <c r="HR1" s="21" t="s">
        <v>253</v>
      </c>
      <c r="HS1" s="21" t="s">
        <v>254</v>
      </c>
      <c r="HT1" s="21" t="s">
        <v>255</v>
      </c>
      <c r="HU1" s="21" t="s">
        <v>256</v>
      </c>
      <c r="HV1" s="21" t="s">
        <v>257</v>
      </c>
      <c r="HW1" s="21" t="s">
        <v>258</v>
      </c>
      <c r="HX1" s="21" t="s">
        <v>259</v>
      </c>
      <c r="HY1" s="21" t="s">
        <v>260</v>
      </c>
      <c r="HZ1" s="21" t="s">
        <v>261</v>
      </c>
      <c r="IA1" s="21" t="s">
        <v>262</v>
      </c>
      <c r="IB1" s="21" t="s">
        <v>263</v>
      </c>
      <c r="IC1" s="21" t="s">
        <v>264</v>
      </c>
      <c r="ID1" s="21" t="s">
        <v>265</v>
      </c>
      <c r="IE1" s="21" t="s">
        <v>266</v>
      </c>
      <c r="IF1" s="21" t="s">
        <v>267</v>
      </c>
      <c r="IG1" s="21" t="s">
        <v>268</v>
      </c>
      <c r="IH1" s="21" t="s">
        <v>269</v>
      </c>
      <c r="II1" s="21" t="s">
        <v>270</v>
      </c>
      <c r="IJ1" s="21" t="s">
        <v>271</v>
      </c>
      <c r="IK1" s="21" t="s">
        <v>272</v>
      </c>
      <c r="IL1" s="21" t="s">
        <v>273</v>
      </c>
      <c r="IM1" s="21" t="s">
        <v>274</v>
      </c>
      <c r="IN1" s="21" t="s">
        <v>275</v>
      </c>
      <c r="IO1" s="21" t="s">
        <v>276</v>
      </c>
      <c r="IP1" s="21" t="s">
        <v>277</v>
      </c>
      <c r="IQ1" s="21" t="s">
        <v>278</v>
      </c>
      <c r="IR1" s="21" t="s">
        <v>279</v>
      </c>
      <c r="IS1" s="21" t="s">
        <v>280</v>
      </c>
      <c r="IT1" s="21" t="s">
        <v>281</v>
      </c>
      <c r="IU1" s="21" t="s">
        <v>282</v>
      </c>
      <c r="IV1" s="21" t="s">
        <v>283</v>
      </c>
      <c r="IW1" s="21" t="s">
        <v>284</v>
      </c>
      <c r="IX1" s="21" t="s">
        <v>285</v>
      </c>
      <c r="IY1" s="21" t="s">
        <v>286</v>
      </c>
      <c r="IZ1" s="21" t="s">
        <v>287</v>
      </c>
      <c r="JA1" s="21" t="s">
        <v>288</v>
      </c>
      <c r="JB1" s="21" t="s">
        <v>289</v>
      </c>
      <c r="JC1" s="21" t="s">
        <v>290</v>
      </c>
      <c r="JD1" s="21" t="s">
        <v>291</v>
      </c>
      <c r="JE1" s="21" t="s">
        <v>292</v>
      </c>
      <c r="JF1" s="21" t="s">
        <v>293</v>
      </c>
      <c r="JG1" s="21" t="s">
        <v>294</v>
      </c>
      <c r="JH1" s="21" t="s">
        <v>295</v>
      </c>
      <c r="JI1" s="21" t="s">
        <v>296</v>
      </c>
      <c r="JJ1" s="21" t="s">
        <v>297</v>
      </c>
      <c r="JK1" s="21" t="s">
        <v>298</v>
      </c>
      <c r="JL1" s="21" t="s">
        <v>299</v>
      </c>
      <c r="JM1" s="21" t="s">
        <v>300</v>
      </c>
      <c r="JN1" s="21" t="s">
        <v>301</v>
      </c>
      <c r="JO1" s="21" t="s">
        <v>302</v>
      </c>
      <c r="JP1" s="21" t="s">
        <v>303</v>
      </c>
      <c r="JQ1" s="21" t="s">
        <v>304</v>
      </c>
      <c r="JR1" s="21" t="s">
        <v>305</v>
      </c>
      <c r="JS1" s="21" t="s">
        <v>306</v>
      </c>
      <c r="JT1" s="21" t="s">
        <v>307</v>
      </c>
      <c r="JU1" s="21" t="s">
        <v>308</v>
      </c>
      <c r="JV1" s="21" t="s">
        <v>309</v>
      </c>
      <c r="JW1" s="21" t="s">
        <v>310</v>
      </c>
      <c r="JX1" s="21" t="s">
        <v>311</v>
      </c>
      <c r="JY1" s="21" t="s">
        <v>312</v>
      </c>
      <c r="JZ1" s="21" t="s">
        <v>313</v>
      </c>
      <c r="KA1" s="21" t="s">
        <v>314</v>
      </c>
      <c r="KB1" s="21" t="s">
        <v>315</v>
      </c>
      <c r="KC1" s="21" t="s">
        <v>316</v>
      </c>
      <c r="KD1" s="21" t="s">
        <v>317</v>
      </c>
      <c r="KE1" s="21" t="s">
        <v>318</v>
      </c>
      <c r="KF1" s="21" t="s">
        <v>319</v>
      </c>
      <c r="KG1" s="21" t="s">
        <v>320</v>
      </c>
      <c r="KH1" s="21" t="s">
        <v>321</v>
      </c>
      <c r="KI1" s="21" t="s">
        <v>322</v>
      </c>
      <c r="KJ1" s="21" t="s">
        <v>323</v>
      </c>
      <c r="KK1" s="21" t="s">
        <v>324</v>
      </c>
      <c r="KL1" s="21" t="s">
        <v>325</v>
      </c>
      <c r="KM1" s="21" t="s">
        <v>326</v>
      </c>
      <c r="KN1" s="21" t="s">
        <v>327</v>
      </c>
      <c r="KO1" s="21" t="s">
        <v>328</v>
      </c>
      <c r="KP1" s="21" t="s">
        <v>329</v>
      </c>
      <c r="KQ1" s="21" t="s">
        <v>330</v>
      </c>
      <c r="KR1" s="21" t="s">
        <v>331</v>
      </c>
      <c r="KS1" s="21" t="s">
        <v>332</v>
      </c>
      <c r="KT1" s="21" t="s">
        <v>333</v>
      </c>
      <c r="KU1" s="21" t="s">
        <v>334</v>
      </c>
      <c r="KV1" s="21" t="s">
        <v>335</v>
      </c>
      <c r="KW1" s="21" t="s">
        <v>336</v>
      </c>
      <c r="KX1" s="21" t="s">
        <v>337</v>
      </c>
      <c r="KY1" s="21" t="s">
        <v>338</v>
      </c>
      <c r="KZ1" s="21" t="s">
        <v>339</v>
      </c>
      <c r="LA1" s="21" t="s">
        <v>340</v>
      </c>
      <c r="LB1" s="21" t="s">
        <v>341</v>
      </c>
      <c r="LC1" s="21" t="s">
        <v>342</v>
      </c>
      <c r="LD1" s="21" t="s">
        <v>343</v>
      </c>
      <c r="LE1" s="21" t="s">
        <v>344</v>
      </c>
      <c r="LF1" s="21" t="s">
        <v>345</v>
      </c>
      <c r="LG1" s="21" t="s">
        <v>346</v>
      </c>
      <c r="LH1" s="21" t="s">
        <v>347</v>
      </c>
      <c r="LI1" s="21" t="s">
        <v>348</v>
      </c>
      <c r="LJ1" s="21" t="s">
        <v>349</v>
      </c>
      <c r="LK1" s="21" t="s">
        <v>350</v>
      </c>
      <c r="LL1" s="21" t="s">
        <v>351</v>
      </c>
      <c r="LM1" s="21" t="s">
        <v>352</v>
      </c>
      <c r="LN1" s="21" t="s">
        <v>353</v>
      </c>
      <c r="LO1" s="21" t="s">
        <v>354</v>
      </c>
      <c r="LP1" s="21" t="s">
        <v>355</v>
      </c>
      <c r="LQ1" s="21" t="s">
        <v>356</v>
      </c>
      <c r="LR1" s="21" t="s">
        <v>357</v>
      </c>
      <c r="LS1" s="21" t="s">
        <v>358</v>
      </c>
      <c r="LT1" s="21" t="s">
        <v>359</v>
      </c>
      <c r="LU1" s="21" t="s">
        <v>360</v>
      </c>
      <c r="LV1" s="21" t="s">
        <v>361</v>
      </c>
      <c r="LW1" s="21" t="s">
        <v>362</v>
      </c>
      <c r="LX1" s="21" t="s">
        <v>363</v>
      </c>
      <c r="LY1" s="21" t="s">
        <v>364</v>
      </c>
      <c r="LZ1" s="21" t="s">
        <v>365</v>
      </c>
      <c r="MA1" s="21" t="s">
        <v>366</v>
      </c>
      <c r="MB1" s="21" t="s">
        <v>367</v>
      </c>
      <c r="MC1" s="21" t="s">
        <v>368</v>
      </c>
      <c r="MD1" s="21" t="s">
        <v>369</v>
      </c>
      <c r="ME1" s="21" t="s">
        <v>370</v>
      </c>
      <c r="MF1" s="21" t="s">
        <v>371</v>
      </c>
      <c r="MG1" s="21" t="s">
        <v>372</v>
      </c>
      <c r="MH1" s="21" t="s">
        <v>373</v>
      </c>
      <c r="MI1" s="21" t="s">
        <v>374</v>
      </c>
      <c r="MJ1" s="21" t="s">
        <v>375</v>
      </c>
      <c r="MK1" s="21" t="s">
        <v>376</v>
      </c>
      <c r="ML1" s="21" t="s">
        <v>377</v>
      </c>
      <c r="MM1" s="21" t="s">
        <v>378</v>
      </c>
      <c r="MN1" s="21" t="s">
        <v>379</v>
      </c>
      <c r="MO1" s="21" t="s">
        <v>380</v>
      </c>
      <c r="MP1" s="21" t="s">
        <v>381</v>
      </c>
      <c r="MQ1" s="21" t="s">
        <v>382</v>
      </c>
      <c r="MR1" s="21" t="s">
        <v>383</v>
      </c>
      <c r="MS1" s="21" t="s">
        <v>384</v>
      </c>
      <c r="MT1" s="21" t="s">
        <v>385</v>
      </c>
      <c r="MU1" s="21" t="s">
        <v>386</v>
      </c>
      <c r="MV1" s="21" t="s">
        <v>387</v>
      </c>
      <c r="MW1" s="21" t="s">
        <v>388</v>
      </c>
      <c r="MX1" s="21" t="s">
        <v>389</v>
      </c>
      <c r="MY1" s="21" t="s">
        <v>390</v>
      </c>
      <c r="MZ1" s="21" t="s">
        <v>391</v>
      </c>
      <c r="NA1" s="21" t="s">
        <v>392</v>
      </c>
      <c r="NB1" s="21" t="s">
        <v>393</v>
      </c>
      <c r="NC1" s="21" t="s">
        <v>394</v>
      </c>
      <c r="ND1" s="21" t="s">
        <v>395</v>
      </c>
      <c r="NE1" s="21" t="s">
        <v>396</v>
      </c>
      <c r="NF1" s="21" t="s">
        <v>397</v>
      </c>
      <c r="NG1" s="21" t="s">
        <v>398</v>
      </c>
      <c r="NH1" s="21" t="s">
        <v>399</v>
      </c>
      <c r="NI1" s="21" t="s">
        <v>400</v>
      </c>
      <c r="NJ1" s="21" t="s">
        <v>401</v>
      </c>
      <c r="NK1" s="21" t="s">
        <v>402</v>
      </c>
      <c r="NL1" s="21" t="s">
        <v>403</v>
      </c>
      <c r="NM1" s="21" t="s">
        <v>404</v>
      </c>
      <c r="NN1" s="21" t="s">
        <v>405</v>
      </c>
      <c r="NO1" s="21" t="s">
        <v>406</v>
      </c>
      <c r="NP1" s="21" t="s">
        <v>407</v>
      </c>
      <c r="NQ1" s="21" t="s">
        <v>408</v>
      </c>
      <c r="NR1" s="21" t="s">
        <v>409</v>
      </c>
      <c r="NS1" s="21" t="s">
        <v>410</v>
      </c>
      <c r="NT1" s="21" t="s">
        <v>411</v>
      </c>
      <c r="NU1" s="21" t="s">
        <v>412</v>
      </c>
      <c r="NV1" s="21" t="s">
        <v>413</v>
      </c>
      <c r="NW1" s="21" t="s">
        <v>414</v>
      </c>
      <c r="NX1" s="21" t="s">
        <v>415</v>
      </c>
      <c r="NY1" s="21" t="s">
        <v>416</v>
      </c>
      <c r="NZ1" s="21" t="s">
        <v>417</v>
      </c>
      <c r="OA1" s="21" t="s">
        <v>418</v>
      </c>
      <c r="OB1" s="21" t="s">
        <v>419</v>
      </c>
      <c r="OC1" s="21" t="s">
        <v>420</v>
      </c>
      <c r="OD1" s="21" t="s">
        <v>421</v>
      </c>
      <c r="OE1" s="21" t="s">
        <v>422</v>
      </c>
      <c r="OF1" s="21" t="s">
        <v>423</v>
      </c>
      <c r="OG1" s="21" t="s">
        <v>424</v>
      </c>
      <c r="OH1" s="21" t="s">
        <v>425</v>
      </c>
      <c r="OI1" s="21" t="s">
        <v>426</v>
      </c>
      <c r="OJ1" s="21" t="s">
        <v>427</v>
      </c>
      <c r="OK1" s="21" t="s">
        <v>428</v>
      </c>
      <c r="OL1" s="21" t="s">
        <v>429</v>
      </c>
      <c r="OM1" s="21" t="s">
        <v>430</v>
      </c>
      <c r="ON1" s="21" t="s">
        <v>431</v>
      </c>
      <c r="OO1" s="21" t="s">
        <v>432</v>
      </c>
      <c r="OP1" s="21" t="s">
        <v>433</v>
      </c>
      <c r="OQ1" s="21" t="s">
        <v>434</v>
      </c>
      <c r="OR1" s="21" t="s">
        <v>435</v>
      </c>
      <c r="OS1" s="21" t="s">
        <v>436</v>
      </c>
      <c r="OT1" s="21" t="s">
        <v>437</v>
      </c>
      <c r="OU1" s="21" t="s">
        <v>438</v>
      </c>
      <c r="OV1" s="21" t="s">
        <v>439</v>
      </c>
      <c r="OW1" s="21" t="s">
        <v>440</v>
      </c>
      <c r="OX1" s="21" t="s">
        <v>441</v>
      </c>
      <c r="OY1" s="21" t="s">
        <v>442</v>
      </c>
      <c r="OZ1" s="21" t="s">
        <v>443</v>
      </c>
      <c r="PA1" s="21" t="s">
        <v>444</v>
      </c>
      <c r="PB1" s="21" t="s">
        <v>445</v>
      </c>
      <c r="PC1" s="21" t="s">
        <v>446</v>
      </c>
      <c r="PD1" s="21" t="s">
        <v>447</v>
      </c>
      <c r="PE1" s="21" t="s">
        <v>448</v>
      </c>
      <c r="PF1" s="21" t="s">
        <v>449</v>
      </c>
      <c r="PG1" s="21" t="s">
        <v>450</v>
      </c>
      <c r="PH1" s="21" t="s">
        <v>451</v>
      </c>
      <c r="PI1" s="21" t="s">
        <v>452</v>
      </c>
      <c r="PJ1" s="21" t="s">
        <v>453</v>
      </c>
      <c r="PK1" s="21" t="s">
        <v>454</v>
      </c>
      <c r="PL1" s="21" t="s">
        <v>455</v>
      </c>
      <c r="PM1" s="21" t="s">
        <v>456</v>
      </c>
      <c r="PN1" s="21" t="s">
        <v>457</v>
      </c>
      <c r="PO1" s="21" t="s">
        <v>458</v>
      </c>
      <c r="PP1" s="21" t="s">
        <v>459</v>
      </c>
      <c r="PQ1" s="21" t="s">
        <v>460</v>
      </c>
      <c r="PR1" s="21" t="s">
        <v>461</v>
      </c>
      <c r="PS1" s="21" t="s">
        <v>462</v>
      </c>
      <c r="PT1" s="21" t="s">
        <v>463</v>
      </c>
      <c r="PU1" s="21" t="s">
        <v>464</v>
      </c>
      <c r="PV1" s="21" t="s">
        <v>465</v>
      </c>
      <c r="PW1" s="21" t="s">
        <v>466</v>
      </c>
      <c r="PX1" s="21" t="s">
        <v>467</v>
      </c>
      <c r="PY1" s="21" t="s">
        <v>468</v>
      </c>
      <c r="PZ1" s="21" t="s">
        <v>469</v>
      </c>
      <c r="QA1" s="21" t="s">
        <v>470</v>
      </c>
      <c r="QB1" s="21" t="s">
        <v>471</v>
      </c>
      <c r="QC1" s="21" t="s">
        <v>472</v>
      </c>
      <c r="QD1" s="21" t="s">
        <v>473</v>
      </c>
      <c r="QE1" s="21" t="s">
        <v>474</v>
      </c>
      <c r="QF1" s="21" t="s">
        <v>475</v>
      </c>
      <c r="QG1" s="21" t="s">
        <v>476</v>
      </c>
      <c r="QH1" s="21" t="s">
        <v>477</v>
      </c>
      <c r="QI1" s="21" t="s">
        <v>478</v>
      </c>
      <c r="QJ1" s="21" t="s">
        <v>479</v>
      </c>
      <c r="QK1" s="21" t="s">
        <v>480</v>
      </c>
      <c r="QL1" s="21" t="s">
        <v>481</v>
      </c>
      <c r="QM1" s="21" t="s">
        <v>482</v>
      </c>
      <c r="QN1" s="21" t="s">
        <v>483</v>
      </c>
      <c r="QO1" s="21" t="s">
        <v>484</v>
      </c>
      <c r="QP1" s="21" t="s">
        <v>485</v>
      </c>
      <c r="QQ1" s="21" t="s">
        <v>486</v>
      </c>
      <c r="QR1" s="21" t="s">
        <v>487</v>
      </c>
      <c r="QS1" s="21" t="s">
        <v>488</v>
      </c>
      <c r="QT1" s="21" t="s">
        <v>489</v>
      </c>
      <c r="QU1" s="21" t="s">
        <v>490</v>
      </c>
      <c r="QV1" s="21" t="s">
        <v>491</v>
      </c>
      <c r="QW1" s="21" t="s">
        <v>492</v>
      </c>
      <c r="QX1" s="21" t="s">
        <v>493</v>
      </c>
      <c r="QY1" s="21" t="s">
        <v>494</v>
      </c>
      <c r="QZ1" s="21" t="s">
        <v>495</v>
      </c>
      <c r="RA1" s="21" t="s">
        <v>496</v>
      </c>
      <c r="RB1" s="21" t="s">
        <v>497</v>
      </c>
      <c r="RC1" s="21" t="s">
        <v>498</v>
      </c>
      <c r="RD1" s="21" t="s">
        <v>499</v>
      </c>
      <c r="RE1" s="21" t="s">
        <v>500</v>
      </c>
      <c r="RF1" s="21" t="s">
        <v>501</v>
      </c>
      <c r="RG1" s="21" t="s">
        <v>502</v>
      </c>
      <c r="RH1" s="21" t="s">
        <v>503</v>
      </c>
      <c r="RI1" s="21" t="s">
        <v>504</v>
      </c>
      <c r="RJ1" s="21" t="s">
        <v>505</v>
      </c>
      <c r="RK1" s="21" t="s">
        <v>506</v>
      </c>
      <c r="RL1" s="21" t="s">
        <v>507</v>
      </c>
      <c r="RM1" s="21" t="s">
        <v>508</v>
      </c>
      <c r="RN1" s="21" t="s">
        <v>509</v>
      </c>
      <c r="RO1" s="21" t="s">
        <v>510</v>
      </c>
      <c r="RP1" s="21" t="s">
        <v>511</v>
      </c>
      <c r="RQ1" s="21" t="s">
        <v>512</v>
      </c>
      <c r="RR1" s="21" t="s">
        <v>513</v>
      </c>
      <c r="RS1" s="21" t="s">
        <v>514</v>
      </c>
      <c r="RT1" s="21" t="s">
        <v>515</v>
      </c>
      <c r="RU1" s="21" t="s">
        <v>516</v>
      </c>
      <c r="RV1" s="21" t="s">
        <v>517</v>
      </c>
      <c r="RW1" s="21" t="s">
        <v>518</v>
      </c>
      <c r="RX1" s="21" t="s">
        <v>519</v>
      </c>
      <c r="RY1" s="21" t="s">
        <v>520</v>
      </c>
      <c r="RZ1" s="21" t="s">
        <v>521</v>
      </c>
      <c r="SA1" s="21" t="s">
        <v>522</v>
      </c>
      <c r="SB1" s="21" t="s">
        <v>523</v>
      </c>
      <c r="SC1" s="21" t="s">
        <v>524</v>
      </c>
      <c r="SD1" s="21" t="s">
        <v>525</v>
      </c>
      <c r="SE1" s="21" t="s">
        <v>526</v>
      </c>
      <c r="SF1" s="21" t="s">
        <v>527</v>
      </c>
      <c r="SG1" s="21" t="s">
        <v>528</v>
      </c>
      <c r="SH1" s="21" t="s">
        <v>529</v>
      </c>
      <c r="SI1" s="21" t="s">
        <v>530</v>
      </c>
      <c r="SJ1" s="21" t="s">
        <v>531</v>
      </c>
      <c r="SK1" s="21" t="s">
        <v>532</v>
      </c>
      <c r="SL1" s="21" t="s">
        <v>533</v>
      </c>
      <c r="SM1" s="21" t="s">
        <v>534</v>
      </c>
      <c r="SN1" s="21" t="s">
        <v>535</v>
      </c>
      <c r="SO1" s="21" t="s">
        <v>536</v>
      </c>
      <c r="SP1" s="21" t="s">
        <v>537</v>
      </c>
      <c r="SQ1" s="21" t="s">
        <v>538</v>
      </c>
      <c r="SR1" s="21" t="s">
        <v>539</v>
      </c>
      <c r="SS1" s="21" t="s">
        <v>540</v>
      </c>
      <c r="ST1" s="21" t="s">
        <v>541</v>
      </c>
      <c r="SU1" s="21" t="s">
        <v>542</v>
      </c>
      <c r="SV1" s="21" t="s">
        <v>543</v>
      </c>
      <c r="SW1" s="21" t="s">
        <v>544</v>
      </c>
      <c r="SX1" s="21" t="s">
        <v>545</v>
      </c>
      <c r="SY1" s="21" t="s">
        <v>546</v>
      </c>
      <c r="SZ1" s="21" t="s">
        <v>547</v>
      </c>
      <c r="TA1" s="21" t="s">
        <v>548</v>
      </c>
      <c r="TB1" s="21" t="s">
        <v>549</v>
      </c>
      <c r="TC1" s="21" t="s">
        <v>550</v>
      </c>
      <c r="TD1" s="21" t="s">
        <v>551</v>
      </c>
      <c r="TE1" s="21" t="s">
        <v>552</v>
      </c>
      <c r="TF1" s="21" t="s">
        <v>553</v>
      </c>
      <c r="TG1" s="21" t="s">
        <v>554</v>
      </c>
      <c r="TH1" s="21" t="s">
        <v>555</v>
      </c>
      <c r="TI1" s="21" t="s">
        <v>556</v>
      </c>
      <c r="TJ1" s="21" t="s">
        <v>557</v>
      </c>
      <c r="TK1" s="21" t="s">
        <v>558</v>
      </c>
      <c r="TL1" s="21" t="s">
        <v>559</v>
      </c>
      <c r="TM1" s="21" t="s">
        <v>560</v>
      </c>
      <c r="TN1" s="21" t="s">
        <v>561</v>
      </c>
      <c r="TO1" s="21" t="s">
        <v>562</v>
      </c>
      <c r="TP1" s="21" t="s">
        <v>563</v>
      </c>
      <c r="TQ1" s="21" t="s">
        <v>564</v>
      </c>
      <c r="TR1" s="21" t="s">
        <v>565</v>
      </c>
      <c r="TS1" s="21" t="s">
        <v>566</v>
      </c>
      <c r="TT1" s="21" t="s">
        <v>567</v>
      </c>
      <c r="TU1" s="21" t="s">
        <v>568</v>
      </c>
      <c r="TV1" s="21" t="s">
        <v>569</v>
      </c>
      <c r="TW1" s="21" t="s">
        <v>570</v>
      </c>
      <c r="TX1" s="21" t="s">
        <v>571</v>
      </c>
      <c r="TY1" s="21" t="s">
        <v>572</v>
      </c>
      <c r="TZ1" s="21" t="s">
        <v>573</v>
      </c>
      <c r="UA1" s="21" t="s">
        <v>574</v>
      </c>
      <c r="UB1" s="21" t="s">
        <v>575</v>
      </c>
      <c r="UC1" s="21" t="s">
        <v>576</v>
      </c>
      <c r="UD1" s="21" t="s">
        <v>577</v>
      </c>
      <c r="UE1" s="21" t="s">
        <v>578</v>
      </c>
      <c r="UF1" s="21" t="s">
        <v>579</v>
      </c>
      <c r="UG1" s="21" t="s">
        <v>580</v>
      </c>
      <c r="UH1" s="21" t="s">
        <v>581</v>
      </c>
      <c r="UI1" s="21" t="s">
        <v>582</v>
      </c>
      <c r="UJ1" s="21" t="s">
        <v>583</v>
      </c>
      <c r="UK1" s="21" t="s">
        <v>584</v>
      </c>
      <c r="UL1" s="21" t="s">
        <v>585</v>
      </c>
      <c r="UM1" s="21" t="s">
        <v>586</v>
      </c>
      <c r="UN1" s="21" t="s">
        <v>587</v>
      </c>
      <c r="UO1" s="21" t="s">
        <v>588</v>
      </c>
      <c r="UP1" s="21" t="s">
        <v>589</v>
      </c>
      <c r="UQ1" s="21" t="s">
        <v>590</v>
      </c>
      <c r="UR1" s="21" t="s">
        <v>591</v>
      </c>
      <c r="US1" s="21" t="s">
        <v>592</v>
      </c>
      <c r="UT1" s="21" t="s">
        <v>593</v>
      </c>
      <c r="UU1" s="21" t="s">
        <v>594</v>
      </c>
      <c r="UV1" s="21" t="s">
        <v>595</v>
      </c>
      <c r="UW1" s="21" t="s">
        <v>596</v>
      </c>
      <c r="UX1" s="21" t="s">
        <v>597</v>
      </c>
      <c r="UY1" s="21" t="s">
        <v>598</v>
      </c>
      <c r="UZ1" s="21" t="s">
        <v>599</v>
      </c>
      <c r="VA1" s="21" t="s">
        <v>600</v>
      </c>
      <c r="VB1" s="21" t="s">
        <v>601</v>
      </c>
      <c r="VC1" s="21" t="s">
        <v>602</v>
      </c>
      <c r="VD1" s="21" t="s">
        <v>603</v>
      </c>
      <c r="VE1" s="21" t="s">
        <v>604</v>
      </c>
      <c r="VF1" s="21" t="s">
        <v>605</v>
      </c>
      <c r="VG1" s="21" t="s">
        <v>606</v>
      </c>
      <c r="VH1" s="21" t="s">
        <v>607</v>
      </c>
      <c r="VI1" s="21" t="s">
        <v>608</v>
      </c>
      <c r="VJ1" s="21" t="s">
        <v>609</v>
      </c>
      <c r="VK1" s="21" t="s">
        <v>610</v>
      </c>
      <c r="VL1" s="21" t="s">
        <v>611</v>
      </c>
      <c r="VM1" s="21" t="s">
        <v>612</v>
      </c>
      <c r="VN1" s="21" t="s">
        <v>613</v>
      </c>
      <c r="VO1" s="21" t="s">
        <v>614</v>
      </c>
      <c r="VP1" s="21" t="s">
        <v>615</v>
      </c>
      <c r="VQ1" s="21" t="s">
        <v>616</v>
      </c>
      <c r="VR1" s="21" t="s">
        <v>617</v>
      </c>
      <c r="VS1" s="21" t="s">
        <v>618</v>
      </c>
      <c r="VT1" s="21" t="s">
        <v>619</v>
      </c>
      <c r="VU1" s="21" t="s">
        <v>620</v>
      </c>
      <c r="VV1" s="21" t="s">
        <v>621</v>
      </c>
      <c r="VW1" s="21" t="s">
        <v>622</v>
      </c>
      <c r="VX1" s="21" t="s">
        <v>623</v>
      </c>
      <c r="VY1" s="21" t="s">
        <v>624</v>
      </c>
    </row>
    <row r="2" spans="1:597" s="27" customFormat="1" ht="27.6" x14ac:dyDescent="0.3">
      <c r="A2" s="20" t="s">
        <v>625</v>
      </c>
      <c r="B2" s="27" t="s">
        <v>1035</v>
      </c>
      <c r="C2" s="27" t="s">
        <v>1036</v>
      </c>
      <c r="D2" s="27" t="s">
        <v>1037</v>
      </c>
      <c r="E2" s="27" t="s">
        <v>1038</v>
      </c>
      <c r="F2" s="27" t="s">
        <v>1039</v>
      </c>
      <c r="G2" s="27" t="s">
        <v>1040</v>
      </c>
      <c r="H2" s="27" t="s">
        <v>1041</v>
      </c>
      <c r="I2" s="27" t="s">
        <v>1042</v>
      </c>
      <c r="J2" s="27" t="s">
        <v>1043</v>
      </c>
      <c r="K2" s="27" t="s">
        <v>1044</v>
      </c>
      <c r="L2" s="27" t="s">
        <v>1045</v>
      </c>
      <c r="M2" s="27" t="s">
        <v>1046</v>
      </c>
      <c r="N2" s="27" t="s">
        <v>1047</v>
      </c>
      <c r="O2" s="27" t="s">
        <v>1048</v>
      </c>
      <c r="P2" s="27" t="s">
        <v>1049</v>
      </c>
      <c r="Q2" s="27" t="s">
        <v>1050</v>
      </c>
      <c r="R2" s="27" t="s">
        <v>1051</v>
      </c>
      <c r="S2" s="27" t="s">
        <v>1052</v>
      </c>
      <c r="T2" s="27" t="s">
        <v>1053</v>
      </c>
      <c r="U2" s="27" t="s">
        <v>1054</v>
      </c>
      <c r="V2" s="27" t="s">
        <v>1055</v>
      </c>
      <c r="W2" s="27" t="s">
        <v>1056</v>
      </c>
      <c r="X2" s="27" t="s">
        <v>1057</v>
      </c>
      <c r="Y2" s="27" t="s">
        <v>1058</v>
      </c>
      <c r="Z2" s="27" t="s">
        <v>1059</v>
      </c>
      <c r="AA2" s="27" t="s">
        <v>1060</v>
      </c>
      <c r="AB2" s="27" t="s">
        <v>1061</v>
      </c>
      <c r="AC2" s="27" t="s">
        <v>1062</v>
      </c>
      <c r="AD2" s="27" t="s">
        <v>1063</v>
      </c>
      <c r="AE2" s="27" t="s">
        <v>1017</v>
      </c>
      <c r="AF2" s="27" t="s">
        <v>1064</v>
      </c>
      <c r="AG2" s="27" t="s">
        <v>1065</v>
      </c>
      <c r="AH2" s="27" t="s">
        <v>1066</v>
      </c>
      <c r="AI2" s="27" t="s">
        <v>1067</v>
      </c>
      <c r="AJ2" s="27" t="s">
        <v>1020</v>
      </c>
      <c r="AK2" s="27" t="s">
        <v>1068</v>
      </c>
      <c r="AL2" s="27" t="s">
        <v>1069</v>
      </c>
      <c r="AM2" s="27" t="s">
        <v>1070</v>
      </c>
      <c r="AN2" s="27" t="s">
        <v>1071</v>
      </c>
      <c r="AO2" s="27" t="s">
        <v>1072</v>
      </c>
      <c r="AP2" s="27" t="s">
        <v>1073</v>
      </c>
      <c r="AQ2" s="27" t="s">
        <v>1074</v>
      </c>
      <c r="AR2" s="27" t="s">
        <v>1075</v>
      </c>
      <c r="AS2" s="27" t="s">
        <v>1076</v>
      </c>
      <c r="AT2" s="27" t="s">
        <v>1077</v>
      </c>
      <c r="AU2" s="27" t="s">
        <v>1078</v>
      </c>
      <c r="AV2" s="27" t="s">
        <v>1079</v>
      </c>
      <c r="AW2" s="27" t="s">
        <v>1080</v>
      </c>
      <c r="AX2" s="27" t="s">
        <v>1081</v>
      </c>
      <c r="AY2" s="27" t="s">
        <v>1082</v>
      </c>
      <c r="AZ2" s="27" t="s">
        <v>1083</v>
      </c>
      <c r="BA2" s="27" t="s">
        <v>1084</v>
      </c>
      <c r="BB2" s="27" t="s">
        <v>1085</v>
      </c>
      <c r="BC2" s="27" t="s">
        <v>1086</v>
      </c>
      <c r="BD2" s="27" t="s">
        <v>1087</v>
      </c>
      <c r="BE2" s="27" t="s">
        <v>1088</v>
      </c>
      <c r="BF2" s="27" t="s">
        <v>966</v>
      </c>
      <c r="BG2" s="27" t="s">
        <v>1089</v>
      </c>
      <c r="BH2" s="27" t="s">
        <v>1090</v>
      </c>
      <c r="BI2" s="27" t="s">
        <v>1091</v>
      </c>
      <c r="BJ2" s="27" t="s">
        <v>1092</v>
      </c>
      <c r="BK2" s="27" t="s">
        <v>1093</v>
      </c>
      <c r="BL2" s="27" t="s">
        <v>1094</v>
      </c>
      <c r="BM2" s="27" t="s">
        <v>1095</v>
      </c>
      <c r="BN2" s="27" t="s">
        <v>1096</v>
      </c>
      <c r="BO2" s="27" t="s">
        <v>1097</v>
      </c>
      <c r="BP2" s="27" t="s">
        <v>1098</v>
      </c>
      <c r="BQ2" s="27" t="s">
        <v>1099</v>
      </c>
      <c r="BR2" s="27" t="s">
        <v>1100</v>
      </c>
      <c r="BS2" s="27" t="s">
        <v>1101</v>
      </c>
      <c r="BT2" s="27" t="s">
        <v>1102</v>
      </c>
      <c r="BU2" s="27" t="s">
        <v>1103</v>
      </c>
      <c r="BV2" s="27" t="s">
        <v>1104</v>
      </c>
      <c r="BW2" s="27" t="s">
        <v>1105</v>
      </c>
      <c r="BX2" s="27" t="s">
        <v>818</v>
      </c>
      <c r="BY2" s="27" t="s">
        <v>1098</v>
      </c>
      <c r="BZ2" s="27" t="s">
        <v>1106</v>
      </c>
      <c r="CA2" s="27" t="s">
        <v>1107</v>
      </c>
      <c r="CB2" s="27" t="s">
        <v>1108</v>
      </c>
      <c r="CC2" s="27" t="s">
        <v>1109</v>
      </c>
      <c r="CD2" s="27" t="s">
        <v>1110</v>
      </c>
      <c r="CE2" s="27" t="s">
        <v>1111</v>
      </c>
      <c r="CF2" s="27" t="s">
        <v>1112</v>
      </c>
      <c r="CG2" s="27" t="s">
        <v>1017</v>
      </c>
      <c r="CH2" s="27" t="s">
        <v>1113</v>
      </c>
      <c r="CI2" s="27" t="s">
        <v>1114</v>
      </c>
      <c r="CJ2" s="27" t="s">
        <v>1115</v>
      </c>
      <c r="CK2" s="27" t="s">
        <v>1116</v>
      </c>
      <c r="CL2" s="27" t="s">
        <v>1117</v>
      </c>
      <c r="CM2" s="27" t="s">
        <v>1118</v>
      </c>
      <c r="CN2" s="27" t="s">
        <v>1119</v>
      </c>
      <c r="CO2" s="27" t="s">
        <v>1120</v>
      </c>
      <c r="CP2" s="27" t="s">
        <v>1121</v>
      </c>
      <c r="CQ2" s="27" t="s">
        <v>1122</v>
      </c>
      <c r="CR2" s="27" t="s">
        <v>1123</v>
      </c>
      <c r="CS2" s="27" t="s">
        <v>1124</v>
      </c>
      <c r="CT2" s="27" t="s">
        <v>1125</v>
      </c>
      <c r="CU2" s="27" t="s">
        <v>1126</v>
      </c>
      <c r="CV2" s="27" t="s">
        <v>1127</v>
      </c>
      <c r="CW2" s="27" t="s">
        <v>1128</v>
      </c>
      <c r="CX2" s="27" t="s">
        <v>1129</v>
      </c>
      <c r="CY2" s="27" t="s">
        <v>1130</v>
      </c>
      <c r="CZ2" s="27" t="s">
        <v>1131</v>
      </c>
      <c r="DA2" s="27" t="s">
        <v>1020</v>
      </c>
      <c r="DB2" s="27" t="s">
        <v>1132</v>
      </c>
      <c r="DC2" s="27" t="s">
        <v>1133</v>
      </c>
      <c r="DD2" s="27" t="s">
        <v>1134</v>
      </c>
      <c r="DE2" s="27" t="s">
        <v>1135</v>
      </c>
      <c r="DF2" s="27" t="s">
        <v>1136</v>
      </c>
      <c r="DG2" s="27" t="s">
        <v>1137</v>
      </c>
      <c r="DH2" s="27" t="s">
        <v>1138</v>
      </c>
      <c r="DI2" s="27" t="s">
        <v>757</v>
      </c>
      <c r="DJ2" s="27" t="s">
        <v>1139</v>
      </c>
      <c r="DK2" s="27" t="s">
        <v>1118</v>
      </c>
      <c r="DL2" s="27" t="s">
        <v>1140</v>
      </c>
      <c r="DM2" s="27" t="s">
        <v>1141</v>
      </c>
      <c r="DN2" s="27" t="s">
        <v>1142</v>
      </c>
      <c r="DO2" s="27" t="s">
        <v>1143</v>
      </c>
      <c r="DP2" s="27" t="s">
        <v>1144</v>
      </c>
      <c r="DQ2" s="27" t="s">
        <v>1145</v>
      </c>
      <c r="DR2" s="27" t="s">
        <v>1146</v>
      </c>
      <c r="DS2" s="27" t="s">
        <v>1147</v>
      </c>
      <c r="DT2" s="27" t="s">
        <v>1148</v>
      </c>
      <c r="DU2" s="27" t="s">
        <v>1149</v>
      </c>
      <c r="DV2" s="27" t="s">
        <v>1150</v>
      </c>
      <c r="DW2" s="27" t="s">
        <v>1151</v>
      </c>
      <c r="DX2" s="27" t="s">
        <v>1152</v>
      </c>
      <c r="DY2" s="27" t="s">
        <v>1153</v>
      </c>
      <c r="DZ2" s="27" t="s">
        <v>1154</v>
      </c>
      <c r="EA2" s="27" t="s">
        <v>1098</v>
      </c>
      <c r="EB2" s="27" t="s">
        <v>1155</v>
      </c>
      <c r="EC2" s="27" t="s">
        <v>1156</v>
      </c>
      <c r="ED2" s="27" t="s">
        <v>1157</v>
      </c>
      <c r="EE2" s="27" t="s">
        <v>1158</v>
      </c>
      <c r="EF2" s="27" t="s">
        <v>1159</v>
      </c>
      <c r="EG2" s="27" t="s">
        <v>1160</v>
      </c>
      <c r="EH2" s="27" t="s">
        <v>1161</v>
      </c>
      <c r="EI2" s="27" t="s">
        <v>1162</v>
      </c>
      <c r="EJ2" s="27" t="s">
        <v>1163</v>
      </c>
      <c r="EK2" s="27" t="s">
        <v>1164</v>
      </c>
      <c r="EL2" s="27" t="s">
        <v>1165</v>
      </c>
      <c r="EM2" s="27" t="s">
        <v>1166</v>
      </c>
      <c r="EN2" s="27" t="s">
        <v>1167</v>
      </c>
      <c r="EO2" s="27" t="s">
        <v>1168</v>
      </c>
      <c r="EP2" s="27" t="s">
        <v>1169</v>
      </c>
      <c r="EQ2" s="27" t="s">
        <v>1170</v>
      </c>
      <c r="ER2" s="27" t="s">
        <v>1171</v>
      </c>
      <c r="ES2" s="27" t="s">
        <v>1172</v>
      </c>
      <c r="ET2" s="27" t="s">
        <v>1173</v>
      </c>
      <c r="EU2" s="27" t="s">
        <v>1174</v>
      </c>
      <c r="EV2" s="27" t="s">
        <v>1175</v>
      </c>
      <c r="EW2" s="27" t="s">
        <v>1176</v>
      </c>
      <c r="EX2" s="27" t="s">
        <v>1177</v>
      </c>
      <c r="EY2" s="27" t="s">
        <v>1178</v>
      </c>
      <c r="EZ2" s="27" t="s">
        <v>1179</v>
      </c>
      <c r="FA2" s="27" t="s">
        <v>1180</v>
      </c>
      <c r="FB2" s="27" t="s">
        <v>1181</v>
      </c>
      <c r="FC2" s="27" t="s">
        <v>1182</v>
      </c>
      <c r="FD2" s="27" t="s">
        <v>1183</v>
      </c>
      <c r="FE2" s="27" t="s">
        <v>1184</v>
      </c>
      <c r="FF2" s="27" t="s">
        <v>1185</v>
      </c>
      <c r="FG2" s="27" t="s">
        <v>1186</v>
      </c>
      <c r="FH2" s="27" t="s">
        <v>1187</v>
      </c>
      <c r="FI2" s="27" t="s">
        <v>1188</v>
      </c>
      <c r="FJ2" s="27" t="s">
        <v>1189</v>
      </c>
      <c r="FK2" s="27" t="s">
        <v>1190</v>
      </c>
      <c r="FL2" s="27" t="s">
        <v>1191</v>
      </c>
      <c r="FM2" s="27" t="s">
        <v>1192</v>
      </c>
      <c r="FN2" s="27" t="s">
        <v>1193</v>
      </c>
      <c r="FO2" s="27" t="s">
        <v>1194</v>
      </c>
      <c r="FP2" s="27" t="s">
        <v>1195</v>
      </c>
      <c r="FQ2" s="27" t="s">
        <v>1196</v>
      </c>
      <c r="FR2" s="27" t="s">
        <v>1197</v>
      </c>
      <c r="FS2" s="27" t="s">
        <v>1198</v>
      </c>
      <c r="FT2" s="27" t="s">
        <v>1199</v>
      </c>
      <c r="FU2" s="27" t="s">
        <v>1200</v>
      </c>
      <c r="FV2" s="27" t="s">
        <v>1201</v>
      </c>
      <c r="FW2" s="27" t="s">
        <v>1202</v>
      </c>
      <c r="FX2" s="27" t="s">
        <v>1203</v>
      </c>
      <c r="FY2" s="27" t="s">
        <v>1204</v>
      </c>
      <c r="FZ2" s="27" t="s">
        <v>1205</v>
      </c>
      <c r="GA2" s="27" t="s">
        <v>1206</v>
      </c>
      <c r="GB2" s="27" t="s">
        <v>1207</v>
      </c>
      <c r="GC2" s="27" t="s">
        <v>1208</v>
      </c>
      <c r="GD2" s="27" t="s">
        <v>772</v>
      </c>
      <c r="GE2" s="27" t="s">
        <v>1209</v>
      </c>
      <c r="GF2" s="27" t="s">
        <v>1210</v>
      </c>
      <c r="GG2" s="27" t="s">
        <v>1211</v>
      </c>
      <c r="GH2" s="27" t="s">
        <v>1212</v>
      </c>
      <c r="GI2" s="27" t="s">
        <v>1213</v>
      </c>
      <c r="GJ2" s="27" t="s">
        <v>1214</v>
      </c>
      <c r="GK2" s="27" t="s">
        <v>1215</v>
      </c>
      <c r="GL2" s="27" t="s">
        <v>1216</v>
      </c>
      <c r="GM2" s="37" t="s">
        <v>749</v>
      </c>
      <c r="GN2" s="37" t="s">
        <v>750</v>
      </c>
      <c r="GO2" s="38" t="s">
        <v>751</v>
      </c>
      <c r="GP2" s="37" t="s">
        <v>752</v>
      </c>
      <c r="GQ2" s="38" t="s">
        <v>753</v>
      </c>
      <c r="GR2" s="37" t="s">
        <v>754</v>
      </c>
      <c r="GS2" s="38" t="s">
        <v>755</v>
      </c>
      <c r="GT2" s="38" t="s">
        <v>756</v>
      </c>
      <c r="GU2" s="37" t="s">
        <v>757</v>
      </c>
      <c r="GV2" s="37" t="s">
        <v>758</v>
      </c>
      <c r="GW2" s="37" t="s">
        <v>759</v>
      </c>
      <c r="GX2" s="37" t="s">
        <v>760</v>
      </c>
      <c r="GY2" s="37" t="s">
        <v>761</v>
      </c>
      <c r="GZ2" s="37" t="s">
        <v>762</v>
      </c>
      <c r="HA2" s="37" t="s">
        <v>763</v>
      </c>
      <c r="HB2" s="37" t="s">
        <v>764</v>
      </c>
      <c r="HC2" s="38" t="s">
        <v>765</v>
      </c>
      <c r="HD2" s="38" t="s">
        <v>766</v>
      </c>
      <c r="HE2" s="38" t="s">
        <v>767</v>
      </c>
      <c r="HF2" s="38" t="s">
        <v>768</v>
      </c>
      <c r="HG2" s="38" t="s">
        <v>769</v>
      </c>
      <c r="HH2" s="37" t="s">
        <v>770</v>
      </c>
      <c r="HI2" s="37" t="s">
        <v>771</v>
      </c>
      <c r="HJ2" s="37" t="s">
        <v>772</v>
      </c>
      <c r="HK2" s="39" t="s">
        <v>773</v>
      </c>
      <c r="HL2" s="39" t="s">
        <v>774</v>
      </c>
      <c r="HM2" s="40" t="s">
        <v>775</v>
      </c>
      <c r="HN2" s="39" t="s">
        <v>776</v>
      </c>
      <c r="HO2" s="39" t="s">
        <v>777</v>
      </c>
      <c r="HP2" s="39" t="s">
        <v>778</v>
      </c>
      <c r="HQ2" s="39" t="s">
        <v>779</v>
      </c>
      <c r="HR2" s="39" t="s">
        <v>780</v>
      </c>
      <c r="HS2" s="39" t="s">
        <v>781</v>
      </c>
      <c r="HT2" s="39" t="s">
        <v>782</v>
      </c>
      <c r="HU2" s="39" t="s">
        <v>783</v>
      </c>
      <c r="HV2" s="39" t="s">
        <v>784</v>
      </c>
      <c r="HW2" s="39" t="s">
        <v>785</v>
      </c>
      <c r="HX2" s="39" t="s">
        <v>786</v>
      </c>
      <c r="HY2" s="39" t="s">
        <v>787</v>
      </c>
      <c r="HZ2" s="39" t="s">
        <v>788</v>
      </c>
      <c r="IA2" s="39" t="s">
        <v>789</v>
      </c>
      <c r="IB2" s="40" t="s">
        <v>790</v>
      </c>
      <c r="IC2" s="39" t="s">
        <v>791</v>
      </c>
      <c r="ID2" s="39" t="s">
        <v>792</v>
      </c>
      <c r="IE2" s="39" t="s">
        <v>793</v>
      </c>
      <c r="IF2" s="40" t="s">
        <v>794</v>
      </c>
      <c r="IG2" s="39" t="s">
        <v>795</v>
      </c>
      <c r="IH2" s="40" t="s">
        <v>796</v>
      </c>
      <c r="II2" s="39" t="s">
        <v>797</v>
      </c>
      <c r="IJ2" s="39" t="s">
        <v>798</v>
      </c>
      <c r="IK2" s="40" t="s">
        <v>799</v>
      </c>
      <c r="IL2" s="39" t="s">
        <v>800</v>
      </c>
      <c r="IM2" s="40" t="s">
        <v>801</v>
      </c>
      <c r="IN2" s="40" t="s">
        <v>802</v>
      </c>
      <c r="IO2" s="39" t="s">
        <v>803</v>
      </c>
      <c r="IP2" s="40" t="s">
        <v>804</v>
      </c>
      <c r="IQ2" s="39" t="s">
        <v>805</v>
      </c>
      <c r="IR2" s="39" t="s">
        <v>806</v>
      </c>
      <c r="IS2" s="40" t="s">
        <v>807</v>
      </c>
      <c r="IT2" s="39" t="s">
        <v>808</v>
      </c>
      <c r="IU2" s="39" t="s">
        <v>809</v>
      </c>
      <c r="IV2" s="39" t="s">
        <v>810</v>
      </c>
      <c r="IW2" s="39" t="s">
        <v>811</v>
      </c>
      <c r="IX2" s="39" t="s">
        <v>812</v>
      </c>
      <c r="IY2" s="39" t="s">
        <v>813</v>
      </c>
      <c r="IZ2" s="39" t="s">
        <v>814</v>
      </c>
      <c r="JA2" s="39" t="s">
        <v>815</v>
      </c>
      <c r="JB2" s="39" t="s">
        <v>816</v>
      </c>
      <c r="JC2" s="39" t="s">
        <v>817</v>
      </c>
      <c r="JD2" s="39" t="s">
        <v>818</v>
      </c>
      <c r="JE2" s="40" t="s">
        <v>819</v>
      </c>
      <c r="JF2" s="39" t="s">
        <v>820</v>
      </c>
      <c r="JG2" s="39" t="s">
        <v>821</v>
      </c>
      <c r="JH2" s="39" t="s">
        <v>822</v>
      </c>
      <c r="JI2" s="39" t="s">
        <v>823</v>
      </c>
      <c r="JJ2" s="39" t="s">
        <v>824</v>
      </c>
      <c r="JK2" s="39" t="s">
        <v>825</v>
      </c>
      <c r="JL2" s="40" t="s">
        <v>826</v>
      </c>
      <c r="JM2" s="39" t="s">
        <v>827</v>
      </c>
      <c r="JN2" s="39" t="s">
        <v>828</v>
      </c>
      <c r="JO2" s="39" t="s">
        <v>829</v>
      </c>
      <c r="JP2" s="40" t="s">
        <v>830</v>
      </c>
      <c r="JQ2" s="39" t="s">
        <v>831</v>
      </c>
      <c r="JR2" s="39" t="s">
        <v>832</v>
      </c>
      <c r="JS2" s="39" t="s">
        <v>833</v>
      </c>
      <c r="JT2" s="39" t="s">
        <v>834</v>
      </c>
      <c r="JU2" s="39" t="s">
        <v>835</v>
      </c>
      <c r="JV2" s="40" t="s">
        <v>836</v>
      </c>
      <c r="JW2" s="40" t="s">
        <v>837</v>
      </c>
      <c r="JX2" s="40" t="s">
        <v>838</v>
      </c>
      <c r="JY2" s="39" t="s">
        <v>826</v>
      </c>
      <c r="JZ2" s="39" t="s">
        <v>839</v>
      </c>
      <c r="KA2" s="39" t="s">
        <v>840</v>
      </c>
      <c r="KB2" s="41" t="s">
        <v>841</v>
      </c>
      <c r="KC2" s="39" t="s">
        <v>842</v>
      </c>
      <c r="KD2" s="39" t="s">
        <v>843</v>
      </c>
      <c r="KE2" s="39" t="s">
        <v>844</v>
      </c>
      <c r="KF2" s="39" t="s">
        <v>845</v>
      </c>
      <c r="KG2" s="39" t="s">
        <v>846</v>
      </c>
      <c r="KH2" s="39" t="s">
        <v>847</v>
      </c>
      <c r="KI2" s="39" t="s">
        <v>848</v>
      </c>
      <c r="KJ2" s="39" t="s">
        <v>849</v>
      </c>
      <c r="KK2" s="40" t="s">
        <v>850</v>
      </c>
      <c r="KL2" s="39" t="s">
        <v>851</v>
      </c>
      <c r="KM2" s="39" t="s">
        <v>852</v>
      </c>
      <c r="KN2" s="39" t="s">
        <v>758</v>
      </c>
      <c r="KO2" s="39" t="s">
        <v>853</v>
      </c>
      <c r="KP2" s="39" t="s">
        <v>854</v>
      </c>
      <c r="KQ2" s="39" t="s">
        <v>855</v>
      </c>
      <c r="KR2" s="39" t="s">
        <v>856</v>
      </c>
      <c r="KS2" s="39" t="s">
        <v>857</v>
      </c>
      <c r="KT2" s="39" t="s">
        <v>858</v>
      </c>
      <c r="KU2" s="39" t="s">
        <v>859</v>
      </c>
      <c r="KV2" s="39" t="s">
        <v>860</v>
      </c>
      <c r="KW2" s="39" t="s">
        <v>861</v>
      </c>
      <c r="KX2" s="39" t="s">
        <v>862</v>
      </c>
      <c r="KY2" s="40" t="s">
        <v>863</v>
      </c>
      <c r="KZ2" s="40" t="s">
        <v>864</v>
      </c>
      <c r="LA2" s="39" t="s">
        <v>865</v>
      </c>
      <c r="LB2" s="39" t="s">
        <v>866</v>
      </c>
      <c r="LC2" s="39" t="s">
        <v>867</v>
      </c>
      <c r="LD2" s="39" t="s">
        <v>868</v>
      </c>
      <c r="LE2" s="39" t="s">
        <v>869</v>
      </c>
      <c r="LF2" s="39" t="s">
        <v>870</v>
      </c>
      <c r="LG2" s="40" t="s">
        <v>871</v>
      </c>
      <c r="LH2" s="39" t="s">
        <v>872</v>
      </c>
      <c r="LI2" s="40" t="s">
        <v>873</v>
      </c>
      <c r="LJ2" s="39" t="s">
        <v>874</v>
      </c>
      <c r="LK2" s="39" t="s">
        <v>875</v>
      </c>
      <c r="LL2" s="39" t="s">
        <v>876</v>
      </c>
      <c r="LM2" s="39" t="s">
        <v>877</v>
      </c>
      <c r="LN2" s="39" t="s">
        <v>878</v>
      </c>
      <c r="LO2" s="39" t="s">
        <v>879</v>
      </c>
      <c r="LP2" s="39" t="s">
        <v>880</v>
      </c>
      <c r="LQ2" s="40" t="s">
        <v>881</v>
      </c>
      <c r="LR2" s="39" t="s">
        <v>882</v>
      </c>
      <c r="LS2" s="39" t="s">
        <v>776</v>
      </c>
      <c r="LT2" s="39" t="s">
        <v>758</v>
      </c>
      <c r="LU2" s="39" t="s">
        <v>883</v>
      </c>
      <c r="LV2" s="40" t="s">
        <v>884</v>
      </c>
      <c r="LW2" s="39" t="s">
        <v>885</v>
      </c>
      <c r="LX2" s="39" t="s">
        <v>886</v>
      </c>
      <c r="LY2" s="39" t="s">
        <v>887</v>
      </c>
      <c r="LZ2" s="39" t="s">
        <v>888</v>
      </c>
      <c r="MA2" s="39" t="s">
        <v>888</v>
      </c>
      <c r="MB2" s="39" t="s">
        <v>889</v>
      </c>
      <c r="MC2" s="39" t="s">
        <v>889</v>
      </c>
      <c r="MD2" s="39" t="s">
        <v>890</v>
      </c>
      <c r="ME2" s="39" t="s">
        <v>891</v>
      </c>
      <c r="MF2" s="39" t="s">
        <v>892</v>
      </c>
      <c r="MG2" s="39" t="s">
        <v>893</v>
      </c>
      <c r="MH2" s="39" t="s">
        <v>894</v>
      </c>
      <c r="MI2" s="40" t="s">
        <v>895</v>
      </c>
      <c r="MJ2" s="39" t="s">
        <v>896</v>
      </c>
      <c r="MK2" s="39" t="s">
        <v>897</v>
      </c>
      <c r="ML2" s="39" t="s">
        <v>898</v>
      </c>
      <c r="MM2" s="39" t="s">
        <v>899</v>
      </c>
      <c r="MN2" s="39" t="s">
        <v>900</v>
      </c>
      <c r="MO2" s="39" t="s">
        <v>901</v>
      </c>
      <c r="MP2" s="40" t="s">
        <v>902</v>
      </c>
      <c r="MQ2" s="40" t="s">
        <v>903</v>
      </c>
      <c r="MR2" s="39" t="s">
        <v>904</v>
      </c>
      <c r="MS2" s="39" t="s">
        <v>905</v>
      </c>
      <c r="MT2" s="39" t="s">
        <v>870</v>
      </c>
      <c r="MU2" s="39" t="s">
        <v>906</v>
      </c>
      <c r="MV2" s="39" t="s">
        <v>907</v>
      </c>
      <c r="MW2" s="39" t="s">
        <v>908</v>
      </c>
      <c r="MX2" s="39" t="s">
        <v>806</v>
      </c>
      <c r="MY2" s="39" t="s">
        <v>866</v>
      </c>
      <c r="MZ2" s="39" t="s">
        <v>909</v>
      </c>
      <c r="NA2" s="39" t="s">
        <v>910</v>
      </c>
      <c r="NB2" s="39" t="s">
        <v>911</v>
      </c>
      <c r="NC2" s="39" t="s">
        <v>912</v>
      </c>
      <c r="ND2" s="40" t="s">
        <v>913</v>
      </c>
      <c r="NE2" s="39" t="s">
        <v>914</v>
      </c>
      <c r="NF2" s="39" t="s">
        <v>915</v>
      </c>
      <c r="NG2" s="39" t="s">
        <v>916</v>
      </c>
      <c r="NH2" s="39" t="s">
        <v>916</v>
      </c>
      <c r="NI2" s="39" t="s">
        <v>917</v>
      </c>
      <c r="NJ2" s="39" t="s">
        <v>917</v>
      </c>
      <c r="NK2" s="39" t="s">
        <v>918</v>
      </c>
      <c r="NL2" s="39" t="s">
        <v>919</v>
      </c>
      <c r="NM2" s="39" t="s">
        <v>920</v>
      </c>
      <c r="NN2" s="39" t="s">
        <v>921</v>
      </c>
      <c r="NO2" s="39" t="s">
        <v>922</v>
      </c>
      <c r="NP2" s="39" t="s">
        <v>923</v>
      </c>
      <c r="NQ2" s="39" t="s">
        <v>924</v>
      </c>
      <c r="NR2" s="39" t="s">
        <v>925</v>
      </c>
      <c r="NS2" s="39" t="s">
        <v>926</v>
      </c>
      <c r="NT2" s="39" t="s">
        <v>927</v>
      </c>
      <c r="NU2" s="39" t="s">
        <v>928</v>
      </c>
      <c r="NV2" s="39" t="s">
        <v>929</v>
      </c>
      <c r="NW2" s="40" t="s">
        <v>854</v>
      </c>
      <c r="NX2" s="39" t="s">
        <v>930</v>
      </c>
      <c r="NY2" s="39" t="s">
        <v>869</v>
      </c>
      <c r="NZ2" s="40" t="s">
        <v>931</v>
      </c>
      <c r="OA2" s="39" t="s">
        <v>932</v>
      </c>
      <c r="OB2" s="39" t="s">
        <v>933</v>
      </c>
      <c r="OC2" s="39" t="s">
        <v>934</v>
      </c>
      <c r="OD2" s="39" t="s">
        <v>935</v>
      </c>
      <c r="OE2" s="39" t="s">
        <v>936</v>
      </c>
      <c r="OF2" s="39" t="s">
        <v>937</v>
      </c>
      <c r="OG2" s="39" t="s">
        <v>938</v>
      </c>
      <c r="OH2" s="39" t="s">
        <v>906</v>
      </c>
      <c r="OI2" s="39" t="s">
        <v>939</v>
      </c>
      <c r="OJ2" s="39" t="s">
        <v>940</v>
      </c>
      <c r="OK2" s="39" t="s">
        <v>941</v>
      </c>
      <c r="OL2" s="39" t="s">
        <v>942</v>
      </c>
      <c r="OM2" s="40" t="s">
        <v>943</v>
      </c>
      <c r="ON2" s="40" t="s">
        <v>944</v>
      </c>
      <c r="OO2" s="39" t="s">
        <v>945</v>
      </c>
      <c r="OP2" s="39" t="s">
        <v>946</v>
      </c>
      <c r="OQ2" s="39" t="s">
        <v>947</v>
      </c>
      <c r="OR2" s="39" t="s">
        <v>948</v>
      </c>
      <c r="OS2" s="39" t="s">
        <v>949</v>
      </c>
      <c r="OT2" s="39" t="s">
        <v>788</v>
      </c>
      <c r="OU2" s="39" t="s">
        <v>950</v>
      </c>
      <c r="OV2" s="40" t="s">
        <v>951</v>
      </c>
      <c r="OW2" s="39" t="s">
        <v>952</v>
      </c>
      <c r="OX2" s="39" t="s">
        <v>953</v>
      </c>
      <c r="OY2" s="39" t="s">
        <v>954</v>
      </c>
      <c r="OZ2" s="39" t="s">
        <v>955</v>
      </c>
      <c r="PA2" s="39" t="s">
        <v>956</v>
      </c>
      <c r="PB2" s="39" t="s">
        <v>957</v>
      </c>
      <c r="PC2" s="39" t="s">
        <v>958</v>
      </c>
      <c r="PD2" s="39" t="s">
        <v>959</v>
      </c>
      <c r="PE2" s="39" t="s">
        <v>960</v>
      </c>
      <c r="PF2" s="39" t="s">
        <v>961</v>
      </c>
      <c r="PG2" s="40" t="s">
        <v>962</v>
      </c>
      <c r="PH2" s="39" t="s">
        <v>963</v>
      </c>
      <c r="PI2" s="39" t="s">
        <v>964</v>
      </c>
      <c r="PJ2" s="39" t="s">
        <v>965</v>
      </c>
      <c r="PK2" s="39" t="s">
        <v>966</v>
      </c>
      <c r="PL2" s="39" t="s">
        <v>967</v>
      </c>
      <c r="PM2" s="39" t="s">
        <v>968</v>
      </c>
      <c r="PN2" s="39" t="s">
        <v>969</v>
      </c>
      <c r="PO2" s="39" t="s">
        <v>970</v>
      </c>
      <c r="PP2" s="39" t="s">
        <v>971</v>
      </c>
      <c r="PQ2" s="39" t="s">
        <v>972</v>
      </c>
      <c r="PR2" s="39" t="s">
        <v>973</v>
      </c>
      <c r="PS2" s="39" t="s">
        <v>974</v>
      </c>
      <c r="PT2" s="39" t="s">
        <v>975</v>
      </c>
      <c r="PU2" s="39" t="s">
        <v>788</v>
      </c>
      <c r="PV2" s="39" t="s">
        <v>976</v>
      </c>
      <c r="PW2" s="42" t="s">
        <v>977</v>
      </c>
      <c r="PX2" s="39" t="s">
        <v>978</v>
      </c>
      <c r="PY2" s="39" t="s">
        <v>979</v>
      </c>
      <c r="PZ2" s="39" t="s">
        <v>980</v>
      </c>
      <c r="QA2" s="39" t="s">
        <v>981</v>
      </c>
      <c r="QB2" s="39" t="s">
        <v>982</v>
      </c>
      <c r="QC2" s="39" t="s">
        <v>983</v>
      </c>
      <c r="QD2" s="39" t="s">
        <v>984</v>
      </c>
      <c r="QE2" s="39" t="s">
        <v>985</v>
      </c>
      <c r="QF2" s="39" t="s">
        <v>776</v>
      </c>
      <c r="QG2" s="39" t="s">
        <v>986</v>
      </c>
      <c r="QH2" s="39" t="s">
        <v>987</v>
      </c>
      <c r="QI2" s="39" t="s">
        <v>988</v>
      </c>
      <c r="QJ2" s="39" t="s">
        <v>989</v>
      </c>
      <c r="QK2" s="40" t="s">
        <v>990</v>
      </c>
      <c r="QL2" s="39" t="s">
        <v>991</v>
      </c>
      <c r="QM2" s="39" t="s">
        <v>992</v>
      </c>
      <c r="QN2" s="39" t="s">
        <v>993</v>
      </c>
      <c r="QO2" s="39" t="s">
        <v>994</v>
      </c>
      <c r="QP2" s="39" t="s">
        <v>995</v>
      </c>
      <c r="QQ2" s="39" t="s">
        <v>996</v>
      </c>
      <c r="QR2" s="39" t="s">
        <v>997</v>
      </c>
      <c r="QS2" s="39" t="s">
        <v>998</v>
      </c>
      <c r="QT2" s="39" t="s">
        <v>999</v>
      </c>
      <c r="QU2" s="39" t="s">
        <v>1000</v>
      </c>
      <c r="QV2" s="39" t="s">
        <v>1001</v>
      </c>
      <c r="QW2" s="39" t="s">
        <v>1002</v>
      </c>
      <c r="QX2" s="39" t="s">
        <v>1003</v>
      </c>
      <c r="QY2" s="39" t="s">
        <v>1004</v>
      </c>
      <c r="QZ2" s="39" t="s">
        <v>1005</v>
      </c>
      <c r="RA2" s="39" t="s">
        <v>1006</v>
      </c>
      <c r="RB2" s="39" t="s">
        <v>1007</v>
      </c>
      <c r="RC2" s="39" t="s">
        <v>1008</v>
      </c>
      <c r="RD2" s="39" t="s">
        <v>1009</v>
      </c>
      <c r="RE2" s="39" t="s">
        <v>1010</v>
      </c>
      <c r="RF2" s="39" t="s">
        <v>1011</v>
      </c>
      <c r="RG2" s="39" t="s">
        <v>1012</v>
      </c>
      <c r="RH2" s="39" t="s">
        <v>757</v>
      </c>
      <c r="RI2" s="39" t="s">
        <v>1013</v>
      </c>
      <c r="RJ2" s="39" t="s">
        <v>1014</v>
      </c>
      <c r="RK2" s="39" t="s">
        <v>961</v>
      </c>
      <c r="RL2" s="39" t="s">
        <v>1015</v>
      </c>
      <c r="RM2" s="39" t="s">
        <v>1016</v>
      </c>
      <c r="RN2" s="39" t="s">
        <v>1017</v>
      </c>
      <c r="RO2" s="39" t="s">
        <v>1018</v>
      </c>
      <c r="RP2" s="39" t="s">
        <v>1019</v>
      </c>
      <c r="RQ2" s="39" t="s">
        <v>1020</v>
      </c>
      <c r="RR2" s="39" t="s">
        <v>1021</v>
      </c>
      <c r="RS2" s="39" t="s">
        <v>1022</v>
      </c>
      <c r="RT2" s="39" t="s">
        <v>1023</v>
      </c>
      <c r="RU2" s="39" t="s">
        <v>1024</v>
      </c>
      <c r="RV2" s="39" t="s">
        <v>1025</v>
      </c>
      <c r="RW2" s="39" t="s">
        <v>1026</v>
      </c>
      <c r="RX2" s="39" t="s">
        <v>1027</v>
      </c>
      <c r="RY2" s="39" t="s">
        <v>1028</v>
      </c>
      <c r="RZ2" s="39" t="s">
        <v>1029</v>
      </c>
      <c r="SA2" s="39" t="s">
        <v>1030</v>
      </c>
      <c r="SB2" s="39" t="s">
        <v>1031</v>
      </c>
      <c r="SC2" s="39" t="s">
        <v>1032</v>
      </c>
      <c r="SD2" s="39" t="s">
        <v>1033</v>
      </c>
      <c r="SE2" s="39" t="s">
        <v>1006</v>
      </c>
      <c r="SF2" s="39" t="s">
        <v>1022</v>
      </c>
      <c r="SG2" s="39" t="s">
        <v>1034</v>
      </c>
      <c r="SH2" s="27" t="s">
        <v>626</v>
      </c>
      <c r="SI2" s="27" t="s">
        <v>627</v>
      </c>
      <c r="SJ2" s="27" t="s">
        <v>628</v>
      </c>
      <c r="SK2" s="27" t="s">
        <v>629</v>
      </c>
      <c r="SL2" s="27" t="s">
        <v>630</v>
      </c>
      <c r="SM2" s="27" t="s">
        <v>631</v>
      </c>
      <c r="SN2" s="27" t="s">
        <v>632</v>
      </c>
      <c r="SO2" s="27" t="s">
        <v>633</v>
      </c>
      <c r="SP2" s="27" t="s">
        <v>634</v>
      </c>
      <c r="SQ2" s="27" t="s">
        <v>635</v>
      </c>
      <c r="SR2" s="27" t="s">
        <v>636</v>
      </c>
      <c r="SS2" s="27" t="s">
        <v>637</v>
      </c>
      <c r="ST2" s="27" t="s">
        <v>638</v>
      </c>
      <c r="SU2" s="27" t="s">
        <v>639</v>
      </c>
      <c r="SV2" s="27" t="s">
        <v>640</v>
      </c>
      <c r="SW2" s="27" t="s">
        <v>641</v>
      </c>
      <c r="SX2" s="27" t="s">
        <v>642</v>
      </c>
      <c r="SY2" s="27" t="s">
        <v>643</v>
      </c>
      <c r="SZ2" s="27" t="s">
        <v>644</v>
      </c>
      <c r="TA2" s="27" t="s">
        <v>645</v>
      </c>
      <c r="TB2" s="27" t="s">
        <v>646</v>
      </c>
      <c r="TC2" s="27" t="s">
        <v>647</v>
      </c>
      <c r="TD2" s="27" t="s">
        <v>648</v>
      </c>
      <c r="TE2" s="27" t="s">
        <v>649</v>
      </c>
      <c r="TF2" s="27" t="s">
        <v>650</v>
      </c>
      <c r="TG2" s="27" t="s">
        <v>651</v>
      </c>
      <c r="TH2" s="27" t="s">
        <v>652</v>
      </c>
      <c r="TI2" s="27" t="s">
        <v>653</v>
      </c>
      <c r="TJ2" s="27" t="s">
        <v>654</v>
      </c>
      <c r="TK2" s="27" t="s">
        <v>655</v>
      </c>
      <c r="TL2" s="27" t="s">
        <v>656</v>
      </c>
      <c r="TM2" s="27" t="s">
        <v>657</v>
      </c>
      <c r="TN2" s="27" t="s">
        <v>658</v>
      </c>
      <c r="TO2" s="27" t="s">
        <v>659</v>
      </c>
      <c r="TP2" s="27" t="s">
        <v>660</v>
      </c>
      <c r="TQ2" s="27" t="s">
        <v>661</v>
      </c>
      <c r="TR2" s="27" t="s">
        <v>662</v>
      </c>
      <c r="TS2" s="27" t="s">
        <v>663</v>
      </c>
      <c r="TT2" s="27" t="s">
        <v>664</v>
      </c>
      <c r="TU2" s="27" t="s">
        <v>665</v>
      </c>
      <c r="TV2" s="27" t="s">
        <v>666</v>
      </c>
      <c r="TW2" s="27" t="s">
        <v>667</v>
      </c>
      <c r="TX2" s="27" t="s">
        <v>668</v>
      </c>
      <c r="TY2" s="27" t="s">
        <v>669</v>
      </c>
      <c r="TZ2" s="27" t="s">
        <v>670</v>
      </c>
      <c r="UA2" s="27" t="s">
        <v>671</v>
      </c>
      <c r="UB2" s="27" t="s">
        <v>672</v>
      </c>
      <c r="UC2" s="27" t="s">
        <v>673</v>
      </c>
      <c r="UD2" s="27" t="s">
        <v>674</v>
      </c>
      <c r="UE2" s="27" t="s">
        <v>675</v>
      </c>
      <c r="UF2" s="27" t="s">
        <v>676</v>
      </c>
      <c r="UG2" s="27" t="s">
        <v>677</v>
      </c>
      <c r="UH2" s="27" t="s">
        <v>678</v>
      </c>
      <c r="UI2" s="27" t="s">
        <v>679</v>
      </c>
      <c r="UJ2" s="27" t="s">
        <v>680</v>
      </c>
      <c r="UK2" s="27" t="s">
        <v>681</v>
      </c>
      <c r="UL2" s="27" t="s">
        <v>682</v>
      </c>
      <c r="UM2" s="27" t="s">
        <v>683</v>
      </c>
      <c r="UN2" s="27" t="s">
        <v>684</v>
      </c>
      <c r="UO2" s="27" t="s">
        <v>685</v>
      </c>
      <c r="UP2" s="27" t="s">
        <v>686</v>
      </c>
      <c r="UQ2" s="27" t="s">
        <v>687</v>
      </c>
      <c r="UR2" s="27" t="s">
        <v>688</v>
      </c>
      <c r="US2" s="27" t="s">
        <v>689</v>
      </c>
      <c r="UT2" s="27" t="s">
        <v>690</v>
      </c>
      <c r="UU2" s="27" t="s">
        <v>691</v>
      </c>
      <c r="UV2" s="27" t="s">
        <v>692</v>
      </c>
      <c r="UW2" s="27" t="s">
        <v>693</v>
      </c>
      <c r="UX2" s="27" t="s">
        <v>694</v>
      </c>
      <c r="UY2" s="27" t="s">
        <v>695</v>
      </c>
      <c r="UZ2" s="27" t="s">
        <v>696</v>
      </c>
      <c r="VA2" s="27" t="s">
        <v>697</v>
      </c>
      <c r="VB2" s="27" t="s">
        <v>698</v>
      </c>
      <c r="VC2" s="27" t="s">
        <v>699</v>
      </c>
      <c r="VD2" s="27" t="s">
        <v>700</v>
      </c>
      <c r="VE2" s="27" t="s">
        <v>701</v>
      </c>
      <c r="VF2" s="27" t="s">
        <v>702</v>
      </c>
      <c r="VG2" s="27" t="s">
        <v>703</v>
      </c>
      <c r="VH2" s="27" t="s">
        <v>704</v>
      </c>
      <c r="VI2" s="27" t="s">
        <v>705</v>
      </c>
      <c r="VJ2" s="27" t="s">
        <v>706</v>
      </c>
      <c r="VK2" s="27" t="s">
        <v>707</v>
      </c>
      <c r="VL2" s="27" t="s">
        <v>708</v>
      </c>
      <c r="VM2" s="27" t="s">
        <v>709</v>
      </c>
      <c r="VN2" s="27" t="s">
        <v>710</v>
      </c>
      <c r="VO2" s="27" t="s">
        <v>711</v>
      </c>
      <c r="VP2" s="27" t="s">
        <v>712</v>
      </c>
      <c r="VQ2" s="27" t="s">
        <v>713</v>
      </c>
      <c r="VR2" s="27" t="s">
        <v>714</v>
      </c>
      <c r="VS2" s="27" t="s">
        <v>715</v>
      </c>
      <c r="VT2" s="27" t="s">
        <v>716</v>
      </c>
      <c r="VU2" s="27" t="s">
        <v>717</v>
      </c>
      <c r="VV2" s="27" t="s">
        <v>718</v>
      </c>
      <c r="VW2" s="27" t="s">
        <v>719</v>
      </c>
      <c r="VX2" s="27" t="s">
        <v>720</v>
      </c>
      <c r="VY2" s="27" t="s">
        <v>1217</v>
      </c>
    </row>
    <row r="3" spans="1:597" x14ac:dyDescent="0.3">
      <c r="A3" s="20" t="s">
        <v>721</v>
      </c>
      <c r="B3" s="21" t="s">
        <v>722</v>
      </c>
      <c r="C3" s="21" t="s">
        <v>722</v>
      </c>
      <c r="D3" s="21" t="s">
        <v>722</v>
      </c>
      <c r="E3" s="21" t="s">
        <v>722</v>
      </c>
      <c r="F3" s="21" t="s">
        <v>723</v>
      </c>
      <c r="G3" s="21" t="s">
        <v>723</v>
      </c>
      <c r="H3" s="21" t="s">
        <v>722</v>
      </c>
      <c r="I3" s="21" t="s">
        <v>723</v>
      </c>
      <c r="J3" s="21" t="s">
        <v>723</v>
      </c>
      <c r="K3" s="21" t="s">
        <v>722</v>
      </c>
      <c r="L3" s="21" t="s">
        <v>724</v>
      </c>
      <c r="M3" s="21" t="s">
        <v>722</v>
      </c>
      <c r="N3" s="21" t="s">
        <v>722</v>
      </c>
      <c r="O3" s="21" t="s">
        <v>724</v>
      </c>
      <c r="P3" s="21" t="s">
        <v>723</v>
      </c>
      <c r="Q3" s="21" t="s">
        <v>722</v>
      </c>
      <c r="R3" s="21" t="s">
        <v>723</v>
      </c>
      <c r="S3" s="21" t="s">
        <v>724</v>
      </c>
      <c r="T3" s="21" t="s">
        <v>724</v>
      </c>
      <c r="U3" s="21" t="s">
        <v>724</v>
      </c>
      <c r="V3" s="21" t="s">
        <v>722</v>
      </c>
      <c r="W3" s="21" t="s">
        <v>724</v>
      </c>
      <c r="X3" s="21" t="s">
        <v>725</v>
      </c>
      <c r="Y3" s="21" t="s">
        <v>722</v>
      </c>
      <c r="Z3" s="21" t="s">
        <v>725</v>
      </c>
      <c r="AA3" s="21" t="s">
        <v>724</v>
      </c>
      <c r="AB3" s="21" t="s">
        <v>724</v>
      </c>
      <c r="AC3" s="21" t="s">
        <v>722</v>
      </c>
      <c r="AD3" s="21" t="s">
        <v>725</v>
      </c>
      <c r="AE3" s="21" t="s">
        <v>725</v>
      </c>
      <c r="AF3" s="21" t="s">
        <v>724</v>
      </c>
      <c r="AG3" s="21" t="s">
        <v>724</v>
      </c>
      <c r="AH3" s="21" t="s">
        <v>725</v>
      </c>
      <c r="AI3" s="21" t="s">
        <v>724</v>
      </c>
      <c r="AJ3" s="21" t="s">
        <v>724</v>
      </c>
      <c r="AK3" s="21" t="s">
        <v>723</v>
      </c>
      <c r="AL3" s="21" t="s">
        <v>723</v>
      </c>
      <c r="AM3" s="21" t="s">
        <v>724</v>
      </c>
      <c r="AN3" s="21" t="s">
        <v>724</v>
      </c>
      <c r="AO3" s="21" t="s">
        <v>725</v>
      </c>
      <c r="AP3" s="21" t="s">
        <v>724</v>
      </c>
      <c r="AQ3" s="21" t="s">
        <v>724</v>
      </c>
      <c r="AR3" s="21" t="s">
        <v>725</v>
      </c>
      <c r="AS3" s="21" t="s">
        <v>725</v>
      </c>
      <c r="AT3" s="21" t="s">
        <v>724</v>
      </c>
      <c r="AU3" s="21" t="s">
        <v>723</v>
      </c>
      <c r="AV3" s="21" t="s">
        <v>722</v>
      </c>
      <c r="AW3" s="21" t="s">
        <v>723</v>
      </c>
      <c r="AX3" s="21" t="s">
        <v>724</v>
      </c>
      <c r="AY3" s="21" t="s">
        <v>722</v>
      </c>
      <c r="AZ3" s="21" t="s">
        <v>723</v>
      </c>
      <c r="BA3" s="21" t="s">
        <v>724</v>
      </c>
      <c r="BB3" s="21" t="s">
        <v>724</v>
      </c>
      <c r="BC3" s="21" t="s">
        <v>722</v>
      </c>
      <c r="BD3" s="21" t="s">
        <v>724</v>
      </c>
      <c r="BE3" s="21" t="s">
        <v>724</v>
      </c>
      <c r="BF3" s="21" t="s">
        <v>722</v>
      </c>
      <c r="BG3" s="21" t="s">
        <v>723</v>
      </c>
      <c r="BH3" s="21" t="s">
        <v>723</v>
      </c>
      <c r="BI3" s="21" t="s">
        <v>724</v>
      </c>
      <c r="BJ3" s="21" t="s">
        <v>724</v>
      </c>
      <c r="BK3" s="21" t="s">
        <v>723</v>
      </c>
      <c r="BL3" s="21" t="s">
        <v>724</v>
      </c>
      <c r="BM3" s="21" t="s">
        <v>722</v>
      </c>
      <c r="BN3" s="21" t="s">
        <v>724</v>
      </c>
      <c r="BO3" s="21" t="s">
        <v>724</v>
      </c>
      <c r="BP3" s="21" t="s">
        <v>722</v>
      </c>
      <c r="BQ3" s="21" t="s">
        <v>723</v>
      </c>
      <c r="BR3" s="21" t="s">
        <v>722</v>
      </c>
      <c r="BS3" s="21" t="s">
        <v>723</v>
      </c>
      <c r="BT3" s="21" t="s">
        <v>723</v>
      </c>
      <c r="BU3" s="21" t="s">
        <v>724</v>
      </c>
      <c r="BV3" s="21" t="s">
        <v>722</v>
      </c>
      <c r="BW3" s="21" t="s">
        <v>722</v>
      </c>
      <c r="BX3" s="21" t="s">
        <v>722</v>
      </c>
      <c r="BY3" s="21" t="s">
        <v>723</v>
      </c>
      <c r="BZ3" s="21" t="s">
        <v>723</v>
      </c>
      <c r="CA3" s="21" t="s">
        <v>722</v>
      </c>
      <c r="CB3" s="21" t="s">
        <v>723</v>
      </c>
      <c r="CC3" s="21" t="s">
        <v>723</v>
      </c>
      <c r="CD3" s="21" t="s">
        <v>724</v>
      </c>
      <c r="CE3" s="21" t="s">
        <v>724</v>
      </c>
      <c r="CF3" s="21" t="s">
        <v>724</v>
      </c>
      <c r="CG3" s="21" t="s">
        <v>722</v>
      </c>
      <c r="CH3" s="21" t="s">
        <v>722</v>
      </c>
      <c r="CI3" s="21" t="s">
        <v>722</v>
      </c>
      <c r="CJ3" s="21" t="s">
        <v>722</v>
      </c>
      <c r="CK3" s="21" t="s">
        <v>724</v>
      </c>
      <c r="CL3" s="21" t="s">
        <v>724</v>
      </c>
      <c r="CM3" s="21" t="s">
        <v>723</v>
      </c>
      <c r="CN3" s="21" t="s">
        <v>724</v>
      </c>
      <c r="CO3" s="21" t="s">
        <v>723</v>
      </c>
      <c r="CP3" s="21" t="s">
        <v>722</v>
      </c>
      <c r="CQ3" s="21" t="s">
        <v>724</v>
      </c>
      <c r="CR3" s="21" t="s">
        <v>724</v>
      </c>
      <c r="CS3" s="21" t="s">
        <v>724</v>
      </c>
      <c r="CT3" s="21" t="s">
        <v>724</v>
      </c>
      <c r="CU3" s="21" t="s">
        <v>724</v>
      </c>
      <c r="CV3" s="21" t="s">
        <v>723</v>
      </c>
      <c r="CW3" s="21" t="s">
        <v>724</v>
      </c>
      <c r="CX3" s="21" t="s">
        <v>723</v>
      </c>
      <c r="CY3" s="21" t="s">
        <v>723</v>
      </c>
      <c r="CZ3" s="21" t="s">
        <v>725</v>
      </c>
      <c r="DA3" s="21" t="s">
        <v>725</v>
      </c>
      <c r="DB3" s="21" t="s">
        <v>724</v>
      </c>
      <c r="DC3" s="21" t="s">
        <v>725</v>
      </c>
      <c r="DD3" s="21" t="s">
        <v>724</v>
      </c>
      <c r="DE3" s="21" t="s">
        <v>724</v>
      </c>
      <c r="DF3" s="21" t="s">
        <v>722</v>
      </c>
      <c r="DG3" s="21" t="s">
        <v>722</v>
      </c>
      <c r="DH3" s="21" t="s">
        <v>723</v>
      </c>
      <c r="DI3" s="21" t="s">
        <v>723</v>
      </c>
      <c r="DJ3" s="21" t="s">
        <v>723</v>
      </c>
      <c r="DK3" s="21" t="s">
        <v>723</v>
      </c>
      <c r="DL3" s="21" t="s">
        <v>723</v>
      </c>
      <c r="DM3" s="21" t="s">
        <v>724</v>
      </c>
      <c r="DN3" s="21" t="s">
        <v>724</v>
      </c>
      <c r="DO3" s="21" t="s">
        <v>725</v>
      </c>
      <c r="DP3" s="21" t="s">
        <v>725</v>
      </c>
      <c r="DQ3" s="21" t="s">
        <v>723</v>
      </c>
      <c r="DR3" s="21" t="s">
        <v>725</v>
      </c>
      <c r="DS3" s="21" t="s">
        <v>725</v>
      </c>
      <c r="DT3" s="21" t="s">
        <v>724</v>
      </c>
      <c r="DU3" s="21" t="s">
        <v>724</v>
      </c>
      <c r="DV3" s="21" t="s">
        <v>723</v>
      </c>
      <c r="DW3" s="21" t="s">
        <v>725</v>
      </c>
      <c r="DX3" s="21" t="s">
        <v>724</v>
      </c>
      <c r="DY3" s="21" t="s">
        <v>725</v>
      </c>
      <c r="DZ3" s="21" t="s">
        <v>724</v>
      </c>
      <c r="EA3" s="21" t="s">
        <v>724</v>
      </c>
      <c r="EB3" s="21" t="s">
        <v>724</v>
      </c>
      <c r="EC3" s="21" t="s">
        <v>724</v>
      </c>
      <c r="ED3" s="21" t="s">
        <v>725</v>
      </c>
      <c r="EE3" s="21" t="s">
        <v>724</v>
      </c>
      <c r="EF3" s="21" t="s">
        <v>724</v>
      </c>
      <c r="EG3" s="21" t="s">
        <v>724</v>
      </c>
      <c r="EH3" s="21" t="s">
        <v>722</v>
      </c>
      <c r="EI3" s="21" t="s">
        <v>723</v>
      </c>
      <c r="EJ3" s="21" t="s">
        <v>723</v>
      </c>
      <c r="EK3" s="21" t="s">
        <v>722</v>
      </c>
      <c r="EL3" s="21" t="s">
        <v>723</v>
      </c>
      <c r="EM3" s="21" t="s">
        <v>722</v>
      </c>
      <c r="EN3" s="21" t="s">
        <v>722</v>
      </c>
      <c r="EO3" s="21" t="s">
        <v>722</v>
      </c>
      <c r="EP3" s="21" t="s">
        <v>722</v>
      </c>
      <c r="EQ3" s="21" t="s">
        <v>724</v>
      </c>
      <c r="ER3" s="21" t="s">
        <v>723</v>
      </c>
      <c r="ES3" s="21" t="s">
        <v>722</v>
      </c>
      <c r="ET3" s="21" t="s">
        <v>722</v>
      </c>
      <c r="EU3" s="21" t="s">
        <v>724</v>
      </c>
      <c r="EV3" s="21" t="s">
        <v>724</v>
      </c>
      <c r="EW3" s="21" t="s">
        <v>722</v>
      </c>
      <c r="EX3" s="21" t="s">
        <v>722</v>
      </c>
      <c r="EY3" s="21" t="s">
        <v>725</v>
      </c>
      <c r="EZ3" s="21" t="s">
        <v>722</v>
      </c>
      <c r="FA3" s="21" t="s">
        <v>725</v>
      </c>
      <c r="FB3" s="21" t="s">
        <v>725</v>
      </c>
      <c r="FC3" s="21" t="s">
        <v>725</v>
      </c>
      <c r="FD3" s="21" t="s">
        <v>725</v>
      </c>
      <c r="FE3" s="21" t="s">
        <v>725</v>
      </c>
      <c r="FF3" s="21" t="s">
        <v>725</v>
      </c>
      <c r="FG3" s="21" t="s">
        <v>723</v>
      </c>
      <c r="FH3" s="21" t="s">
        <v>725</v>
      </c>
      <c r="FI3" s="21" t="s">
        <v>724</v>
      </c>
      <c r="FJ3" s="21" t="s">
        <v>723</v>
      </c>
      <c r="FK3" s="21" t="s">
        <v>724</v>
      </c>
      <c r="FL3" s="21" t="s">
        <v>725</v>
      </c>
      <c r="FM3" s="21" t="s">
        <v>725</v>
      </c>
      <c r="FN3" s="21" t="s">
        <v>725</v>
      </c>
      <c r="FO3" s="21" t="s">
        <v>724</v>
      </c>
      <c r="FP3" s="21" t="s">
        <v>725</v>
      </c>
      <c r="FQ3" s="21" t="s">
        <v>725</v>
      </c>
      <c r="FR3" s="21" t="s">
        <v>725</v>
      </c>
      <c r="FS3" s="21" t="s">
        <v>724</v>
      </c>
      <c r="FT3" s="21" t="s">
        <v>724</v>
      </c>
      <c r="FU3" s="21" t="s">
        <v>724</v>
      </c>
      <c r="FV3" s="21" t="s">
        <v>724</v>
      </c>
      <c r="FW3" s="21" t="s">
        <v>722</v>
      </c>
      <c r="FX3" s="21" t="s">
        <v>724</v>
      </c>
      <c r="FY3" s="21" t="s">
        <v>724</v>
      </c>
      <c r="FZ3" s="21" t="s">
        <v>722</v>
      </c>
      <c r="GA3" s="21" t="s">
        <v>722</v>
      </c>
      <c r="GB3" s="21" t="s">
        <v>723</v>
      </c>
      <c r="GC3" s="21" t="s">
        <v>723</v>
      </c>
      <c r="GD3" s="21" t="s">
        <v>722</v>
      </c>
      <c r="GE3" s="21" t="s">
        <v>724</v>
      </c>
      <c r="GF3" s="21" t="s">
        <v>724</v>
      </c>
      <c r="GG3" s="21" t="s">
        <v>723</v>
      </c>
      <c r="GH3" s="21" t="s">
        <v>724</v>
      </c>
      <c r="GI3" s="21" t="s">
        <v>725</v>
      </c>
      <c r="GJ3" s="21" t="s">
        <v>723</v>
      </c>
      <c r="GK3" s="21" t="s">
        <v>724</v>
      </c>
      <c r="GL3" s="21" t="s">
        <v>723</v>
      </c>
      <c r="GM3" s="21" t="s">
        <v>722</v>
      </c>
      <c r="GN3" s="21" t="s">
        <v>722</v>
      </c>
      <c r="GO3" s="21" t="s">
        <v>724</v>
      </c>
      <c r="GP3" s="21" t="s">
        <v>723</v>
      </c>
      <c r="GQ3" s="21" t="s">
        <v>722</v>
      </c>
      <c r="GR3" s="21" t="s">
        <v>724</v>
      </c>
      <c r="GS3" s="21" t="s">
        <v>724</v>
      </c>
      <c r="GT3" s="21" t="s">
        <v>722</v>
      </c>
      <c r="GU3" s="21" t="s">
        <v>724</v>
      </c>
      <c r="GV3" s="21" t="s">
        <v>722</v>
      </c>
      <c r="GW3" s="21" t="s">
        <v>722</v>
      </c>
      <c r="GX3" s="21" t="s">
        <v>723</v>
      </c>
      <c r="GY3" s="21" t="s">
        <v>724</v>
      </c>
      <c r="GZ3" s="21" t="s">
        <v>722</v>
      </c>
      <c r="HA3" s="21" t="s">
        <v>724</v>
      </c>
      <c r="HB3" s="21" t="s">
        <v>724</v>
      </c>
      <c r="HC3" s="21" t="s">
        <v>724</v>
      </c>
      <c r="HD3" s="21" t="s">
        <v>723</v>
      </c>
      <c r="HE3" s="21" t="s">
        <v>722</v>
      </c>
      <c r="HF3" s="21" t="s">
        <v>724</v>
      </c>
      <c r="HG3" s="21" t="s">
        <v>724</v>
      </c>
      <c r="HH3" s="21" t="s">
        <v>724</v>
      </c>
      <c r="HI3" s="21" t="s">
        <v>722</v>
      </c>
      <c r="HJ3" s="21" t="s">
        <v>722</v>
      </c>
      <c r="HK3" s="21" t="s">
        <v>722</v>
      </c>
      <c r="HL3" s="21" t="s">
        <v>724</v>
      </c>
      <c r="HM3" s="21" t="s">
        <v>724</v>
      </c>
      <c r="HN3" s="21" t="s">
        <v>724</v>
      </c>
      <c r="HO3" s="21" t="s">
        <v>723</v>
      </c>
      <c r="HP3" s="21" t="s">
        <v>723</v>
      </c>
      <c r="HQ3" s="21" t="s">
        <v>723</v>
      </c>
      <c r="HR3" s="21" t="s">
        <v>724</v>
      </c>
      <c r="HS3" s="21" t="s">
        <v>723</v>
      </c>
      <c r="HT3" s="21" t="s">
        <v>722</v>
      </c>
      <c r="HU3" s="21" t="s">
        <v>724</v>
      </c>
      <c r="HV3" s="21" t="s">
        <v>723</v>
      </c>
      <c r="HW3" s="21" t="s">
        <v>723</v>
      </c>
      <c r="HX3" s="21" t="s">
        <v>724</v>
      </c>
      <c r="HY3" s="21" t="s">
        <v>722</v>
      </c>
      <c r="HZ3" s="21" t="s">
        <v>722</v>
      </c>
      <c r="IA3" s="21" t="s">
        <v>724</v>
      </c>
      <c r="IB3" s="21" t="s">
        <v>722</v>
      </c>
      <c r="IC3" s="21" t="s">
        <v>722</v>
      </c>
      <c r="ID3" s="21" t="s">
        <v>724</v>
      </c>
      <c r="IE3" s="21" t="s">
        <v>724</v>
      </c>
      <c r="IF3" s="21" t="s">
        <v>724</v>
      </c>
      <c r="IG3" s="21" t="s">
        <v>724</v>
      </c>
      <c r="IH3" s="21" t="s">
        <v>724</v>
      </c>
      <c r="II3" s="21" t="s">
        <v>724</v>
      </c>
      <c r="IJ3" s="21" t="s">
        <v>722</v>
      </c>
      <c r="IK3" s="21" t="s">
        <v>722</v>
      </c>
      <c r="IL3" s="21" t="s">
        <v>724</v>
      </c>
      <c r="IM3" s="21" t="s">
        <v>724</v>
      </c>
      <c r="IN3" s="21" t="s">
        <v>723</v>
      </c>
      <c r="IO3" s="21" t="s">
        <v>724</v>
      </c>
      <c r="IP3" s="21" t="s">
        <v>723</v>
      </c>
      <c r="IQ3" s="21" t="s">
        <v>722</v>
      </c>
      <c r="IR3" s="21" t="s">
        <v>722</v>
      </c>
      <c r="IS3" s="21" t="s">
        <v>724</v>
      </c>
      <c r="IT3" s="21" t="s">
        <v>724</v>
      </c>
      <c r="IU3" s="21" t="s">
        <v>724</v>
      </c>
      <c r="IV3" s="21" t="s">
        <v>724</v>
      </c>
      <c r="IW3" s="21" t="s">
        <v>723</v>
      </c>
      <c r="IX3" s="21" t="s">
        <v>723</v>
      </c>
      <c r="IY3" s="21" t="s">
        <v>723</v>
      </c>
      <c r="IZ3" s="21" t="s">
        <v>724</v>
      </c>
      <c r="JA3" s="21" t="s">
        <v>723</v>
      </c>
      <c r="JB3" s="21" t="s">
        <v>722</v>
      </c>
      <c r="JC3" s="21" t="s">
        <v>724</v>
      </c>
      <c r="JD3" s="21" t="s">
        <v>724</v>
      </c>
      <c r="JE3" s="21" t="s">
        <v>723</v>
      </c>
      <c r="JF3" s="21" t="s">
        <v>722</v>
      </c>
      <c r="JG3" s="21" t="s">
        <v>722</v>
      </c>
      <c r="JH3" s="21" t="s">
        <v>723</v>
      </c>
      <c r="JI3" s="21" t="s">
        <v>722</v>
      </c>
      <c r="JJ3" s="21" t="s">
        <v>722</v>
      </c>
      <c r="JK3" s="21" t="s">
        <v>722</v>
      </c>
      <c r="JL3" s="21" t="s">
        <v>723</v>
      </c>
      <c r="JM3" s="21" t="s">
        <v>722</v>
      </c>
      <c r="JN3" s="21" t="s">
        <v>724</v>
      </c>
      <c r="JO3" s="21" t="s">
        <v>724</v>
      </c>
      <c r="JP3" s="21" t="s">
        <v>724</v>
      </c>
      <c r="JQ3" s="21" t="s">
        <v>723</v>
      </c>
      <c r="JR3" s="21" t="s">
        <v>724</v>
      </c>
      <c r="JS3" s="21" t="s">
        <v>724</v>
      </c>
      <c r="JT3" s="21" t="s">
        <v>724</v>
      </c>
      <c r="JU3" s="21" t="s">
        <v>724</v>
      </c>
      <c r="JV3" s="21" t="s">
        <v>723</v>
      </c>
      <c r="JW3" s="21" t="s">
        <v>723</v>
      </c>
      <c r="JX3" s="21" t="s">
        <v>723</v>
      </c>
      <c r="JY3" s="21" t="s">
        <v>724</v>
      </c>
      <c r="JZ3" s="21" t="s">
        <v>723</v>
      </c>
      <c r="KA3" s="21" t="s">
        <v>723</v>
      </c>
      <c r="KB3" s="21" t="s">
        <v>723</v>
      </c>
      <c r="KC3" s="21" t="s">
        <v>723</v>
      </c>
      <c r="KD3" s="21" t="s">
        <v>723</v>
      </c>
      <c r="KE3" s="21" t="s">
        <v>724</v>
      </c>
      <c r="KF3" s="21" t="s">
        <v>724</v>
      </c>
      <c r="KG3" s="21" t="s">
        <v>723</v>
      </c>
      <c r="KH3" s="21" t="s">
        <v>722</v>
      </c>
      <c r="KI3" s="21" t="s">
        <v>723</v>
      </c>
      <c r="KJ3" s="21" t="s">
        <v>722</v>
      </c>
      <c r="KK3" s="21" t="s">
        <v>724</v>
      </c>
      <c r="KL3" s="21" t="s">
        <v>722</v>
      </c>
      <c r="KM3" s="21" t="s">
        <v>722</v>
      </c>
      <c r="KN3" s="21" t="s">
        <v>722</v>
      </c>
      <c r="KO3" s="21" t="s">
        <v>724</v>
      </c>
      <c r="KP3" s="21" t="s">
        <v>724</v>
      </c>
      <c r="KQ3" s="21" t="s">
        <v>722</v>
      </c>
      <c r="KR3" s="21" t="s">
        <v>722</v>
      </c>
      <c r="KS3" s="21" t="s">
        <v>724</v>
      </c>
      <c r="KT3" s="21" t="s">
        <v>724</v>
      </c>
      <c r="KU3" s="21" t="s">
        <v>722</v>
      </c>
      <c r="KV3" s="21" t="s">
        <v>723</v>
      </c>
      <c r="KW3" s="21" t="s">
        <v>724</v>
      </c>
      <c r="KX3" s="21" t="s">
        <v>722</v>
      </c>
      <c r="KY3" s="21" t="s">
        <v>725</v>
      </c>
      <c r="KZ3" s="21" t="s">
        <v>722</v>
      </c>
      <c r="LA3" s="21" t="s">
        <v>722</v>
      </c>
      <c r="LB3" s="21" t="s">
        <v>723</v>
      </c>
      <c r="LC3" s="21" t="s">
        <v>724</v>
      </c>
      <c r="LD3" s="21" t="s">
        <v>723</v>
      </c>
      <c r="LE3" s="21" t="s">
        <v>723</v>
      </c>
      <c r="LF3" s="21" t="s">
        <v>724</v>
      </c>
      <c r="LG3" s="21" t="s">
        <v>724</v>
      </c>
      <c r="LH3" s="21" t="s">
        <v>722</v>
      </c>
      <c r="LI3" s="21" t="s">
        <v>723</v>
      </c>
      <c r="LJ3" s="21" t="s">
        <v>722</v>
      </c>
      <c r="LK3" s="21" t="s">
        <v>724</v>
      </c>
      <c r="LL3" s="21" t="s">
        <v>724</v>
      </c>
      <c r="LM3" s="21" t="s">
        <v>724</v>
      </c>
      <c r="LN3" s="21" t="s">
        <v>722</v>
      </c>
      <c r="LO3" s="21" t="s">
        <v>722</v>
      </c>
      <c r="LP3" s="21" t="s">
        <v>724</v>
      </c>
      <c r="LQ3" s="21" t="s">
        <v>724</v>
      </c>
      <c r="LR3" s="21" t="s">
        <v>724</v>
      </c>
      <c r="LS3" s="21" t="s">
        <v>725</v>
      </c>
      <c r="LT3" s="21" t="s">
        <v>724</v>
      </c>
      <c r="LU3" s="21" t="s">
        <v>724</v>
      </c>
      <c r="LV3" s="21" t="s">
        <v>724</v>
      </c>
      <c r="LW3" s="21" t="s">
        <v>724</v>
      </c>
      <c r="LX3" s="21" t="s">
        <v>725</v>
      </c>
      <c r="LY3" s="21" t="s">
        <v>724</v>
      </c>
      <c r="LZ3" s="21" t="s">
        <v>724</v>
      </c>
      <c r="MA3" s="21" t="s">
        <v>723</v>
      </c>
      <c r="MB3" s="21" t="s">
        <v>724</v>
      </c>
      <c r="MC3" s="21" t="s">
        <v>725</v>
      </c>
      <c r="MD3" s="21" t="s">
        <v>723</v>
      </c>
      <c r="ME3" s="21" t="s">
        <v>722</v>
      </c>
      <c r="MF3" s="21" t="s">
        <v>724</v>
      </c>
      <c r="MG3" s="21" t="s">
        <v>723</v>
      </c>
      <c r="MH3" s="21" t="s">
        <v>723</v>
      </c>
      <c r="MI3" s="21" t="s">
        <v>723</v>
      </c>
      <c r="MJ3" s="21" t="s">
        <v>723</v>
      </c>
      <c r="MK3" s="21" t="s">
        <v>724</v>
      </c>
      <c r="ML3" s="21" t="s">
        <v>722</v>
      </c>
      <c r="MM3" s="21" t="s">
        <v>723</v>
      </c>
      <c r="MN3" s="21" t="s">
        <v>724</v>
      </c>
      <c r="MO3" s="21" t="s">
        <v>724</v>
      </c>
      <c r="MP3" s="21" t="s">
        <v>724</v>
      </c>
      <c r="MQ3" s="21" t="s">
        <v>723</v>
      </c>
      <c r="MR3" s="21" t="s">
        <v>722</v>
      </c>
      <c r="MS3" s="21" t="s">
        <v>725</v>
      </c>
      <c r="MT3" s="21" t="s">
        <v>722</v>
      </c>
      <c r="MU3" s="21" t="s">
        <v>724</v>
      </c>
      <c r="MV3" s="21" t="s">
        <v>724</v>
      </c>
      <c r="MW3" s="21" t="s">
        <v>723</v>
      </c>
      <c r="MX3" s="21" t="s">
        <v>723</v>
      </c>
      <c r="MY3" s="21" t="s">
        <v>722</v>
      </c>
      <c r="MZ3" s="21" t="s">
        <v>722</v>
      </c>
      <c r="NA3" s="21" t="s">
        <v>723</v>
      </c>
      <c r="NB3" s="21" t="s">
        <v>724</v>
      </c>
      <c r="NC3" s="21" t="s">
        <v>722</v>
      </c>
      <c r="ND3" s="21" t="s">
        <v>724</v>
      </c>
      <c r="NE3" s="21" t="s">
        <v>722</v>
      </c>
      <c r="NF3" s="21" t="s">
        <v>723</v>
      </c>
      <c r="NG3" s="21" t="s">
        <v>724</v>
      </c>
      <c r="NH3" s="21" t="s">
        <v>725</v>
      </c>
      <c r="NI3" s="21" t="s">
        <v>725</v>
      </c>
      <c r="NJ3" s="21" t="s">
        <v>725</v>
      </c>
      <c r="NK3" s="21" t="s">
        <v>725</v>
      </c>
      <c r="NL3" s="21" t="s">
        <v>722</v>
      </c>
      <c r="NM3" s="21" t="s">
        <v>725</v>
      </c>
      <c r="NN3" s="21" t="s">
        <v>724</v>
      </c>
      <c r="NO3" s="21" t="s">
        <v>723</v>
      </c>
      <c r="NP3" s="21" t="s">
        <v>723</v>
      </c>
      <c r="NQ3" s="21" t="s">
        <v>724</v>
      </c>
      <c r="NR3" s="21" t="s">
        <v>725</v>
      </c>
      <c r="NS3" s="21" t="s">
        <v>723</v>
      </c>
      <c r="NT3" s="21" t="s">
        <v>724</v>
      </c>
      <c r="NU3" s="21" t="s">
        <v>723</v>
      </c>
      <c r="NV3" s="21" t="s">
        <v>723</v>
      </c>
      <c r="NW3" s="21" t="s">
        <v>723</v>
      </c>
      <c r="NX3" s="21" t="s">
        <v>722</v>
      </c>
      <c r="NY3" s="21" t="s">
        <v>723</v>
      </c>
      <c r="NZ3" s="21" t="s">
        <v>724</v>
      </c>
      <c r="OA3" s="21" t="s">
        <v>722</v>
      </c>
      <c r="OB3" s="21" t="s">
        <v>724</v>
      </c>
      <c r="OC3" s="21" t="s">
        <v>722</v>
      </c>
      <c r="OD3" s="21" t="s">
        <v>722</v>
      </c>
      <c r="OE3" s="21" t="s">
        <v>724</v>
      </c>
      <c r="OF3" s="21" t="s">
        <v>722</v>
      </c>
      <c r="OG3" s="21" t="s">
        <v>724</v>
      </c>
      <c r="OH3" s="21" t="s">
        <v>724</v>
      </c>
      <c r="OI3" s="21" t="s">
        <v>724</v>
      </c>
      <c r="OJ3" s="21" t="s">
        <v>723</v>
      </c>
      <c r="OK3" s="21" t="s">
        <v>722</v>
      </c>
      <c r="OL3" s="21" t="s">
        <v>722</v>
      </c>
      <c r="OM3" s="21" t="s">
        <v>724</v>
      </c>
      <c r="ON3" s="21" t="s">
        <v>722</v>
      </c>
      <c r="OO3" s="21" t="s">
        <v>723</v>
      </c>
      <c r="OP3" s="21" t="s">
        <v>723</v>
      </c>
      <c r="OQ3" s="21" t="s">
        <v>723</v>
      </c>
      <c r="OR3" s="21" t="s">
        <v>723</v>
      </c>
      <c r="OS3" s="21" t="s">
        <v>724</v>
      </c>
      <c r="OT3" s="21" t="s">
        <v>724</v>
      </c>
      <c r="OU3" s="21" t="s">
        <v>723</v>
      </c>
      <c r="OV3" s="21" t="s">
        <v>724</v>
      </c>
      <c r="OW3" s="21" t="s">
        <v>724</v>
      </c>
      <c r="OX3" s="21" t="s">
        <v>724</v>
      </c>
      <c r="OY3" s="21" t="s">
        <v>722</v>
      </c>
      <c r="OZ3" s="21" t="s">
        <v>724</v>
      </c>
      <c r="PA3" s="21" t="s">
        <v>723</v>
      </c>
      <c r="PB3" s="21" t="s">
        <v>724</v>
      </c>
      <c r="PC3" s="21" t="s">
        <v>723</v>
      </c>
      <c r="PD3" s="21" t="s">
        <v>723</v>
      </c>
      <c r="PE3" s="21" t="s">
        <v>722</v>
      </c>
      <c r="PF3" s="21" t="s">
        <v>722</v>
      </c>
      <c r="PG3" s="21" t="s">
        <v>722</v>
      </c>
      <c r="PH3" s="21" t="s">
        <v>722</v>
      </c>
      <c r="PI3" s="21" t="s">
        <v>722</v>
      </c>
      <c r="PJ3" s="21" t="s">
        <v>723</v>
      </c>
      <c r="PK3" s="21" t="s">
        <v>724</v>
      </c>
      <c r="PL3" s="21" t="s">
        <v>724</v>
      </c>
      <c r="PM3" s="21" t="s">
        <v>722</v>
      </c>
      <c r="PN3" s="21" t="s">
        <v>723</v>
      </c>
      <c r="PO3" s="21" t="s">
        <v>723</v>
      </c>
      <c r="PP3" s="21" t="s">
        <v>724</v>
      </c>
      <c r="PQ3" s="21" t="s">
        <v>723</v>
      </c>
      <c r="PR3" s="21" t="s">
        <v>722</v>
      </c>
      <c r="PS3" s="21" t="s">
        <v>723</v>
      </c>
      <c r="PT3" s="21" t="s">
        <v>723</v>
      </c>
      <c r="PU3" s="21" t="s">
        <v>722</v>
      </c>
      <c r="PV3" s="21" t="s">
        <v>722</v>
      </c>
      <c r="PW3" s="21" t="s">
        <v>725</v>
      </c>
      <c r="PX3" s="21" t="s">
        <v>723</v>
      </c>
      <c r="PY3" s="21" t="s">
        <v>723</v>
      </c>
      <c r="PZ3" s="21" t="s">
        <v>723</v>
      </c>
      <c r="QA3" s="21" t="s">
        <v>724</v>
      </c>
      <c r="QB3" s="21" t="s">
        <v>723</v>
      </c>
      <c r="QC3" s="21" t="s">
        <v>723</v>
      </c>
      <c r="QD3" s="21" t="s">
        <v>723</v>
      </c>
      <c r="QE3" s="21" t="s">
        <v>724</v>
      </c>
      <c r="QF3" s="21" t="s">
        <v>722</v>
      </c>
      <c r="QG3" s="21" t="s">
        <v>724</v>
      </c>
      <c r="QH3" s="21" t="s">
        <v>723</v>
      </c>
      <c r="QI3" s="21" t="s">
        <v>722</v>
      </c>
      <c r="QJ3" s="21" t="s">
        <v>724</v>
      </c>
      <c r="QK3" s="21" t="s">
        <v>722</v>
      </c>
      <c r="QL3" s="21" t="s">
        <v>724</v>
      </c>
      <c r="QM3" s="21" t="s">
        <v>724</v>
      </c>
      <c r="QN3" s="21" t="s">
        <v>723</v>
      </c>
      <c r="QO3" s="21" t="s">
        <v>722</v>
      </c>
      <c r="QP3" s="21" t="s">
        <v>723</v>
      </c>
      <c r="QQ3" s="21" t="s">
        <v>724</v>
      </c>
      <c r="QR3" s="21" t="s">
        <v>723</v>
      </c>
      <c r="QS3" s="21" t="s">
        <v>723</v>
      </c>
      <c r="QT3" s="21" t="s">
        <v>724</v>
      </c>
      <c r="QU3" s="21" t="s">
        <v>724</v>
      </c>
      <c r="QV3" s="21" t="s">
        <v>723</v>
      </c>
      <c r="QW3" s="21" t="s">
        <v>723</v>
      </c>
      <c r="QX3" s="21" t="s">
        <v>723</v>
      </c>
      <c r="QY3" s="21" t="s">
        <v>724</v>
      </c>
      <c r="QZ3" s="21" t="s">
        <v>723</v>
      </c>
      <c r="RA3" s="21" t="s">
        <v>723</v>
      </c>
      <c r="RB3" s="21" t="s">
        <v>724</v>
      </c>
      <c r="RC3" s="21" t="s">
        <v>723</v>
      </c>
      <c r="RD3" s="21" t="s">
        <v>724</v>
      </c>
      <c r="RE3" s="21" t="s">
        <v>724</v>
      </c>
      <c r="RF3" s="21" t="s">
        <v>722</v>
      </c>
      <c r="RG3" s="21" t="s">
        <v>722</v>
      </c>
      <c r="RH3" s="21" t="s">
        <v>723</v>
      </c>
      <c r="RI3" s="21" t="s">
        <v>723</v>
      </c>
      <c r="RJ3" s="21" t="s">
        <v>723</v>
      </c>
      <c r="RK3" s="21" t="s">
        <v>723</v>
      </c>
      <c r="RL3" s="21" t="s">
        <v>723</v>
      </c>
      <c r="RM3" s="21" t="s">
        <v>724</v>
      </c>
      <c r="RN3" s="21" t="s">
        <v>723</v>
      </c>
      <c r="RO3" s="21" t="s">
        <v>723</v>
      </c>
      <c r="RP3" s="21" t="s">
        <v>722</v>
      </c>
      <c r="RQ3" s="21" t="s">
        <v>722</v>
      </c>
      <c r="RR3" s="21" t="s">
        <v>723</v>
      </c>
      <c r="RS3" s="21" t="s">
        <v>723</v>
      </c>
      <c r="RT3" s="21" t="s">
        <v>723</v>
      </c>
      <c r="RU3" s="21" t="s">
        <v>722</v>
      </c>
      <c r="RV3" s="21" t="s">
        <v>723</v>
      </c>
      <c r="RW3" s="21" t="s">
        <v>723</v>
      </c>
      <c r="RX3" s="21" t="s">
        <v>724</v>
      </c>
      <c r="RY3" s="21" t="s">
        <v>723</v>
      </c>
      <c r="RZ3" s="21" t="s">
        <v>723</v>
      </c>
      <c r="SA3" s="21" t="s">
        <v>723</v>
      </c>
      <c r="SB3" s="21" t="s">
        <v>722</v>
      </c>
      <c r="SC3" s="21" t="s">
        <v>723</v>
      </c>
      <c r="SD3" s="21" t="s">
        <v>722</v>
      </c>
      <c r="SE3" s="21" t="s">
        <v>723</v>
      </c>
      <c r="SF3" s="21" t="s">
        <v>723</v>
      </c>
      <c r="SG3" s="21" t="s">
        <v>723</v>
      </c>
      <c r="SH3" s="21" t="s">
        <v>724</v>
      </c>
      <c r="SI3" s="21" t="s">
        <v>723</v>
      </c>
      <c r="SJ3" s="21" t="s">
        <v>722</v>
      </c>
      <c r="SK3" s="21" t="s">
        <v>724</v>
      </c>
      <c r="SL3" s="21" t="s">
        <v>724</v>
      </c>
      <c r="SM3" s="21" t="s">
        <v>723</v>
      </c>
      <c r="SN3" s="21" t="s">
        <v>724</v>
      </c>
      <c r="SO3" s="21" t="s">
        <v>722</v>
      </c>
      <c r="SP3" s="21" t="s">
        <v>722</v>
      </c>
      <c r="SQ3" s="21" t="s">
        <v>723</v>
      </c>
      <c r="SR3" s="21" t="s">
        <v>723</v>
      </c>
      <c r="SS3" s="21" t="s">
        <v>724</v>
      </c>
      <c r="ST3" s="21" t="s">
        <v>724</v>
      </c>
      <c r="SU3" s="21" t="s">
        <v>724</v>
      </c>
      <c r="SV3" s="21" t="s">
        <v>722</v>
      </c>
      <c r="SW3" s="21" t="s">
        <v>724</v>
      </c>
      <c r="SX3" s="21" t="s">
        <v>722</v>
      </c>
      <c r="SY3" s="21" t="s">
        <v>724</v>
      </c>
      <c r="SZ3" s="21" t="s">
        <v>723</v>
      </c>
      <c r="TA3" s="21" t="s">
        <v>722</v>
      </c>
      <c r="TB3" s="21" t="s">
        <v>722</v>
      </c>
      <c r="TC3" s="21" t="s">
        <v>724</v>
      </c>
      <c r="TD3" s="21" t="s">
        <v>723</v>
      </c>
      <c r="TE3" s="21" t="s">
        <v>724</v>
      </c>
      <c r="TF3" s="21" t="s">
        <v>722</v>
      </c>
      <c r="TG3" s="21" t="s">
        <v>722</v>
      </c>
      <c r="TH3" s="21" t="s">
        <v>723</v>
      </c>
      <c r="TI3" s="21" t="s">
        <v>724</v>
      </c>
      <c r="TJ3" s="21" t="s">
        <v>722</v>
      </c>
      <c r="TK3" s="21" t="s">
        <v>723</v>
      </c>
      <c r="TL3" s="21" t="s">
        <v>724</v>
      </c>
      <c r="TM3" s="21" t="s">
        <v>724</v>
      </c>
      <c r="TN3" s="21" t="s">
        <v>723</v>
      </c>
      <c r="TO3" s="21" t="s">
        <v>722</v>
      </c>
      <c r="TP3" s="21" t="s">
        <v>723</v>
      </c>
      <c r="TQ3" s="21" t="s">
        <v>725</v>
      </c>
      <c r="TR3" s="21" t="s">
        <v>724</v>
      </c>
      <c r="TS3" s="21" t="s">
        <v>724</v>
      </c>
      <c r="TT3" s="21" t="s">
        <v>722</v>
      </c>
      <c r="TU3" s="21" t="s">
        <v>724</v>
      </c>
      <c r="TV3" s="21" t="s">
        <v>724</v>
      </c>
      <c r="TW3" s="21" t="s">
        <v>723</v>
      </c>
      <c r="TX3" s="21" t="s">
        <v>724</v>
      </c>
      <c r="TY3" s="21" t="s">
        <v>724</v>
      </c>
      <c r="TZ3" s="21" t="s">
        <v>724</v>
      </c>
      <c r="UA3" s="21" t="s">
        <v>725</v>
      </c>
      <c r="UB3" s="21" t="s">
        <v>723</v>
      </c>
      <c r="UC3" s="21" t="s">
        <v>724</v>
      </c>
      <c r="UD3" s="21" t="s">
        <v>722</v>
      </c>
      <c r="UE3" s="21" t="s">
        <v>723</v>
      </c>
      <c r="UF3" s="21" t="s">
        <v>724</v>
      </c>
      <c r="UG3" s="21" t="s">
        <v>724</v>
      </c>
      <c r="UH3" s="21" t="s">
        <v>723</v>
      </c>
      <c r="UI3" s="21" t="s">
        <v>723</v>
      </c>
      <c r="UJ3" s="21" t="s">
        <v>722</v>
      </c>
      <c r="UK3" s="21" t="s">
        <v>722</v>
      </c>
      <c r="UL3" s="21" t="s">
        <v>722</v>
      </c>
      <c r="UM3" s="21" t="s">
        <v>722</v>
      </c>
      <c r="UN3" s="21" t="s">
        <v>722</v>
      </c>
      <c r="UO3" s="21" t="s">
        <v>723</v>
      </c>
      <c r="UP3" s="21" t="s">
        <v>722</v>
      </c>
      <c r="UQ3" s="21" t="s">
        <v>724</v>
      </c>
      <c r="UR3" s="21" t="s">
        <v>722</v>
      </c>
      <c r="US3" s="21" t="s">
        <v>722</v>
      </c>
      <c r="UT3" s="21" t="s">
        <v>724</v>
      </c>
      <c r="UU3" s="21" t="s">
        <v>724</v>
      </c>
      <c r="UV3" s="21" t="s">
        <v>722</v>
      </c>
      <c r="UW3" s="21" t="s">
        <v>723</v>
      </c>
      <c r="UX3" s="21" t="s">
        <v>722</v>
      </c>
      <c r="UY3" s="21" t="s">
        <v>723</v>
      </c>
      <c r="UZ3" s="21" t="s">
        <v>724</v>
      </c>
      <c r="VA3" s="21" t="s">
        <v>723</v>
      </c>
      <c r="VB3" s="21" t="s">
        <v>725</v>
      </c>
      <c r="VC3" s="21" t="s">
        <v>725</v>
      </c>
      <c r="VD3" s="21" t="s">
        <v>724</v>
      </c>
      <c r="VE3" s="21" t="s">
        <v>724</v>
      </c>
      <c r="VF3" s="21" t="s">
        <v>724</v>
      </c>
      <c r="VG3" s="21" t="s">
        <v>724</v>
      </c>
      <c r="VH3" s="21" t="s">
        <v>723</v>
      </c>
      <c r="VI3" s="21" t="s">
        <v>724</v>
      </c>
      <c r="VJ3" s="21" t="s">
        <v>724</v>
      </c>
      <c r="VK3" s="21" t="s">
        <v>722</v>
      </c>
      <c r="VL3" s="21" t="s">
        <v>724</v>
      </c>
      <c r="VM3" s="21" t="s">
        <v>722</v>
      </c>
      <c r="VN3" s="21" t="s">
        <v>724</v>
      </c>
      <c r="VO3" s="21" t="s">
        <v>723</v>
      </c>
      <c r="VP3" s="21" t="s">
        <v>723</v>
      </c>
      <c r="VQ3" s="21" t="s">
        <v>723</v>
      </c>
      <c r="VR3" s="21" t="s">
        <v>723</v>
      </c>
      <c r="VS3" s="21" t="s">
        <v>723</v>
      </c>
      <c r="VT3" s="21" t="s">
        <v>724</v>
      </c>
      <c r="VU3" s="21" t="s">
        <v>722</v>
      </c>
      <c r="VV3" s="21" t="s">
        <v>722</v>
      </c>
      <c r="VW3" s="21" t="s">
        <v>724</v>
      </c>
      <c r="VX3" s="21" t="s">
        <v>723</v>
      </c>
      <c r="VY3" s="21" t="s">
        <v>725</v>
      </c>
    </row>
    <row r="4" spans="1:597" x14ac:dyDescent="0.3">
      <c r="A4" s="20" t="s">
        <v>726</v>
      </c>
      <c r="B4" s="22">
        <v>0.9375</v>
      </c>
      <c r="C4" s="22">
        <v>0.9375</v>
      </c>
      <c r="D4" s="22">
        <v>0.9375</v>
      </c>
      <c r="E4" s="22">
        <v>0.9375</v>
      </c>
      <c r="F4" s="22">
        <v>0.60416666666666663</v>
      </c>
      <c r="G4" s="22">
        <v>0.60416666666666663</v>
      </c>
      <c r="H4" s="22">
        <v>0.9375</v>
      </c>
      <c r="I4" s="22">
        <v>0.60416666666666663</v>
      </c>
      <c r="J4" s="22">
        <v>0.60416666666666663</v>
      </c>
      <c r="K4" s="22">
        <v>0.9375</v>
      </c>
      <c r="L4" s="22">
        <v>0.27083333333333331</v>
      </c>
      <c r="M4" s="22">
        <v>0.9375</v>
      </c>
      <c r="N4" s="22">
        <v>0.9375</v>
      </c>
      <c r="O4" s="22">
        <v>0.27083333333333331</v>
      </c>
      <c r="P4" s="22">
        <v>0.60416666666666663</v>
      </c>
      <c r="Q4" s="22">
        <v>0.9375</v>
      </c>
      <c r="R4" s="22">
        <v>0.60416666666666663</v>
      </c>
      <c r="S4" s="22">
        <v>0.27083333333333331</v>
      </c>
      <c r="T4" s="22">
        <v>0.27083333333333331</v>
      </c>
      <c r="U4" s="22">
        <v>0.27083333333333331</v>
      </c>
      <c r="V4" s="22">
        <v>0.9375</v>
      </c>
      <c r="W4" s="22">
        <v>0.27083333333333331</v>
      </c>
      <c r="X4" s="22">
        <v>0.375</v>
      </c>
      <c r="Y4" s="22">
        <v>0.9375</v>
      </c>
      <c r="Z4" s="22">
        <v>0.375</v>
      </c>
      <c r="AA4" s="22">
        <v>0.27083333333333331</v>
      </c>
      <c r="AB4" s="22">
        <v>0.27083333333333331</v>
      </c>
      <c r="AC4" s="22">
        <v>0.9375</v>
      </c>
      <c r="AD4" s="22">
        <v>0.375</v>
      </c>
      <c r="AE4" s="22">
        <v>0.375</v>
      </c>
      <c r="AF4" s="22">
        <v>0.27083333333333331</v>
      </c>
      <c r="AG4" s="22">
        <v>0.27083333333333331</v>
      </c>
      <c r="AH4" s="22">
        <v>0.375</v>
      </c>
      <c r="AI4" s="22">
        <v>0.27083333333333331</v>
      </c>
      <c r="AJ4" s="22">
        <v>0.27083333333333331</v>
      </c>
      <c r="AK4" s="22">
        <v>0.60416666666666663</v>
      </c>
      <c r="AL4" s="22">
        <v>0.60416666666666663</v>
      </c>
      <c r="AM4" s="22">
        <v>0.27083333333333331</v>
      </c>
      <c r="AN4" s="22">
        <v>0.27083333333333331</v>
      </c>
      <c r="AO4" s="22">
        <v>0.375</v>
      </c>
      <c r="AP4" s="22">
        <v>0.27083333333333331</v>
      </c>
      <c r="AQ4" s="22">
        <v>0.27083333333333331</v>
      </c>
      <c r="AR4" s="22">
        <v>0.375</v>
      </c>
      <c r="AS4" s="22">
        <v>0.375</v>
      </c>
      <c r="AT4" s="22">
        <v>0.27083333333333331</v>
      </c>
      <c r="AU4" s="22">
        <v>0.60416666666666663</v>
      </c>
      <c r="AV4" s="22">
        <v>0.9375</v>
      </c>
      <c r="AW4" s="22">
        <v>0.60416666666666663</v>
      </c>
      <c r="AX4" s="22">
        <v>0.27083333333333331</v>
      </c>
      <c r="AY4" s="22">
        <v>0.9375</v>
      </c>
      <c r="AZ4" s="22">
        <v>0.60416666666666663</v>
      </c>
      <c r="BA4" s="22">
        <v>0.27083333333333331</v>
      </c>
      <c r="BB4" s="22">
        <v>0.27083333333333331</v>
      </c>
      <c r="BC4" s="22">
        <v>0.9375</v>
      </c>
      <c r="BD4" s="22">
        <v>0.27083333333333331</v>
      </c>
      <c r="BE4" s="22">
        <v>0.27083333333333331</v>
      </c>
      <c r="BF4" s="22">
        <v>0.9375</v>
      </c>
      <c r="BG4" s="22">
        <v>0.60416666666666663</v>
      </c>
      <c r="BH4" s="22">
        <v>0.60416666666666663</v>
      </c>
      <c r="BI4" s="22">
        <v>0.27083333333333331</v>
      </c>
      <c r="BJ4" s="22">
        <v>0.27083333333333331</v>
      </c>
      <c r="BK4" s="22">
        <v>0.60416666666666663</v>
      </c>
      <c r="BL4" s="22">
        <v>0.27083333333333331</v>
      </c>
      <c r="BM4" s="22">
        <v>0.9375</v>
      </c>
      <c r="BN4" s="22">
        <v>0.27083333333333331</v>
      </c>
      <c r="BO4" s="22">
        <v>0.27083333333333331</v>
      </c>
      <c r="BP4" s="22">
        <v>0.9375</v>
      </c>
      <c r="BQ4" s="22">
        <v>0.60416666666666663</v>
      </c>
      <c r="BR4" s="22">
        <v>0.9375</v>
      </c>
      <c r="BS4" s="22">
        <v>0.60416666666666663</v>
      </c>
      <c r="BT4" s="22">
        <v>0.60416666666666663</v>
      </c>
      <c r="BU4" s="22">
        <v>0.27083333333333331</v>
      </c>
      <c r="BV4" s="22">
        <v>0.9375</v>
      </c>
      <c r="BW4" s="22">
        <v>0.9375</v>
      </c>
      <c r="BX4" s="22">
        <v>0.9375</v>
      </c>
      <c r="BY4" s="22">
        <v>0.60416666666666663</v>
      </c>
      <c r="BZ4" s="22">
        <v>0.60416666666666663</v>
      </c>
      <c r="CA4" s="22">
        <v>0.9375</v>
      </c>
      <c r="CB4" s="22">
        <v>0.60416666666666663</v>
      </c>
      <c r="CC4" s="22">
        <v>0.60416666666666663</v>
      </c>
      <c r="CD4" s="22">
        <v>0.27083333333333331</v>
      </c>
      <c r="CE4" s="22">
        <v>0.27083333333333331</v>
      </c>
      <c r="CF4" s="22">
        <v>0.27083333333333331</v>
      </c>
      <c r="CG4" s="22">
        <v>0.9375</v>
      </c>
      <c r="CH4" s="22">
        <v>0.9375</v>
      </c>
      <c r="CI4" s="22">
        <v>0.9375</v>
      </c>
      <c r="CJ4" s="22">
        <v>0.9375</v>
      </c>
      <c r="CK4" s="22">
        <v>0.27083333333333331</v>
      </c>
      <c r="CL4" s="22">
        <v>0.27083333333333331</v>
      </c>
      <c r="CM4" s="22">
        <v>0.60416666666666663</v>
      </c>
      <c r="CN4" s="22">
        <v>0.27083333333333331</v>
      </c>
      <c r="CO4" s="22">
        <v>0.60416666666666663</v>
      </c>
      <c r="CP4" s="22">
        <v>0.9375</v>
      </c>
      <c r="CQ4" s="22">
        <v>0.27083333333333331</v>
      </c>
      <c r="CR4" s="22">
        <v>0.27083333333333331</v>
      </c>
      <c r="CS4" s="22">
        <v>0.27083333333333331</v>
      </c>
      <c r="CT4" s="22">
        <v>0.27083333333333331</v>
      </c>
      <c r="CU4" s="22">
        <v>0.27083333333333331</v>
      </c>
      <c r="CV4" s="22">
        <v>0.60416666666666663</v>
      </c>
      <c r="CW4" s="22">
        <v>0.27083333333333331</v>
      </c>
      <c r="CX4" s="22">
        <v>0.60416666666666663</v>
      </c>
      <c r="CY4" s="22">
        <v>0.60416666666666663</v>
      </c>
      <c r="CZ4" s="22">
        <v>0.375</v>
      </c>
      <c r="DA4" s="22">
        <v>0.375</v>
      </c>
      <c r="DB4" s="22">
        <v>0.27083333333333331</v>
      </c>
      <c r="DC4" s="22">
        <v>0.375</v>
      </c>
      <c r="DD4" s="22">
        <v>0.27083333333333331</v>
      </c>
      <c r="DE4" s="22">
        <v>0.27083333333333331</v>
      </c>
      <c r="DF4" s="22">
        <v>0.9375</v>
      </c>
      <c r="DG4" s="22">
        <v>0.9375</v>
      </c>
      <c r="DH4" s="22">
        <v>0.60416666666666663</v>
      </c>
      <c r="DI4" s="22">
        <v>0.60416666666666663</v>
      </c>
      <c r="DJ4" s="22">
        <v>0.60416666666666663</v>
      </c>
      <c r="DK4" s="22">
        <v>0.60416666666666663</v>
      </c>
      <c r="DL4" s="22">
        <v>0.60416666666666663</v>
      </c>
      <c r="DM4" s="22">
        <v>0.27083333333333331</v>
      </c>
      <c r="DN4" s="22">
        <v>0.27083333333333331</v>
      </c>
      <c r="DO4" s="22">
        <v>0.375</v>
      </c>
      <c r="DP4" s="22">
        <v>0.375</v>
      </c>
      <c r="DQ4" s="22">
        <v>0.60416666666666663</v>
      </c>
      <c r="DR4" s="22">
        <v>0.375</v>
      </c>
      <c r="DS4" s="22">
        <v>0.375</v>
      </c>
      <c r="DT4" s="22">
        <v>0.27083333333333331</v>
      </c>
      <c r="DU4" s="22">
        <v>0.27083333333333331</v>
      </c>
      <c r="DV4" s="22">
        <v>0.60416666666666663</v>
      </c>
      <c r="DW4" s="22">
        <v>0.375</v>
      </c>
      <c r="DX4" s="22">
        <v>0.27083333333333331</v>
      </c>
      <c r="DY4" s="22">
        <v>0.375</v>
      </c>
      <c r="DZ4" s="22">
        <v>0.27083333333333331</v>
      </c>
      <c r="EA4" s="22">
        <v>0.27083333333333331</v>
      </c>
      <c r="EB4" s="22">
        <v>0.27083333333333331</v>
      </c>
      <c r="EC4" s="22">
        <v>0.27083333333333331</v>
      </c>
      <c r="ED4" s="22">
        <v>0.375</v>
      </c>
      <c r="EE4" s="22">
        <v>0.27083333333333331</v>
      </c>
      <c r="EF4" s="22">
        <v>0.27083333333333331</v>
      </c>
      <c r="EG4" s="22">
        <v>0.27083333333333331</v>
      </c>
      <c r="EH4" s="22">
        <v>0.9375</v>
      </c>
      <c r="EI4" s="22">
        <v>0.60416666666666663</v>
      </c>
      <c r="EJ4" s="22">
        <v>0.60416666666666663</v>
      </c>
      <c r="EK4" s="22">
        <v>0.9375</v>
      </c>
      <c r="EL4" s="22">
        <v>0.60416666666666663</v>
      </c>
      <c r="EM4" s="22">
        <v>0.9375</v>
      </c>
      <c r="EN4" s="22">
        <v>0.9375</v>
      </c>
      <c r="EO4" s="22">
        <v>0.9375</v>
      </c>
      <c r="EP4" s="22">
        <v>0.9375</v>
      </c>
      <c r="EQ4" s="22">
        <v>0.27083333333333331</v>
      </c>
      <c r="ER4" s="22">
        <v>0.60416666666666663</v>
      </c>
      <c r="ES4" s="22">
        <v>0.9375</v>
      </c>
      <c r="ET4" s="22">
        <v>0.9375</v>
      </c>
      <c r="EU4" s="22">
        <v>0.27083333333333331</v>
      </c>
      <c r="EV4" s="22">
        <v>0.27083333333333331</v>
      </c>
      <c r="EW4" s="22">
        <v>0.9375</v>
      </c>
      <c r="EX4" s="22">
        <v>0.9375</v>
      </c>
      <c r="EY4" s="22">
        <v>0.375</v>
      </c>
      <c r="EZ4" s="22">
        <v>0.9375</v>
      </c>
      <c r="FA4" s="22">
        <v>0.375</v>
      </c>
      <c r="FB4" s="22">
        <v>0.375</v>
      </c>
      <c r="FC4" s="22">
        <v>0.375</v>
      </c>
      <c r="FD4" s="22">
        <v>0.375</v>
      </c>
      <c r="FE4" s="22">
        <v>0.375</v>
      </c>
      <c r="FF4" s="22">
        <v>0.375</v>
      </c>
      <c r="FG4" s="22">
        <v>0.60416666666666663</v>
      </c>
      <c r="FH4" s="22">
        <v>0.375</v>
      </c>
      <c r="FI4" s="22">
        <v>0.27083333333333331</v>
      </c>
      <c r="FJ4" s="22">
        <v>0.60416666666666663</v>
      </c>
      <c r="FK4" s="22">
        <v>0.27083333333333331</v>
      </c>
      <c r="FL4" s="22">
        <v>0.375</v>
      </c>
      <c r="FM4" s="22">
        <v>0.375</v>
      </c>
      <c r="FN4" s="22">
        <v>0.375</v>
      </c>
      <c r="FO4" s="22">
        <v>0.27083333333333331</v>
      </c>
      <c r="FP4" s="22">
        <v>0.375</v>
      </c>
      <c r="FQ4" s="22">
        <v>0.375</v>
      </c>
      <c r="FR4" s="22">
        <v>0.375</v>
      </c>
      <c r="FS4" s="22">
        <v>0.27083333333333331</v>
      </c>
      <c r="FT4" s="22">
        <v>0.27083333333333331</v>
      </c>
      <c r="FU4" s="22">
        <v>0.27083333333333331</v>
      </c>
      <c r="FV4" s="22">
        <v>0.27083333333333331</v>
      </c>
      <c r="FW4" s="22">
        <v>0.9375</v>
      </c>
      <c r="FX4" s="22">
        <v>0.27083333333333331</v>
      </c>
      <c r="FY4" s="22">
        <v>0.27083333333333331</v>
      </c>
      <c r="FZ4" s="22">
        <v>0.9375</v>
      </c>
      <c r="GA4" s="22">
        <v>0.9375</v>
      </c>
      <c r="GB4" s="22">
        <v>0.60416666666666663</v>
      </c>
      <c r="GC4" s="22">
        <v>0.60416666666666663</v>
      </c>
      <c r="GD4" s="22">
        <v>0.9375</v>
      </c>
      <c r="GE4" s="22">
        <v>0.27083333333333331</v>
      </c>
      <c r="GF4" s="22">
        <v>0.27083333333333331</v>
      </c>
      <c r="GG4" s="22">
        <v>0.60416666666666663</v>
      </c>
      <c r="GH4" s="22">
        <v>0.27083333333333331</v>
      </c>
      <c r="GI4" s="22">
        <v>0.375</v>
      </c>
      <c r="GJ4" s="22">
        <v>0.60416666666666663</v>
      </c>
      <c r="GK4" s="22">
        <v>0.27083333333333331</v>
      </c>
      <c r="GL4" s="22">
        <v>0.60416666666666663</v>
      </c>
      <c r="GM4" s="22">
        <v>0.9375</v>
      </c>
      <c r="GN4" s="22">
        <v>0.9375</v>
      </c>
      <c r="GO4" s="22">
        <v>0.27083333333333331</v>
      </c>
      <c r="GP4" s="22">
        <v>0.60416666666666663</v>
      </c>
      <c r="GQ4" s="22">
        <v>0.9375</v>
      </c>
      <c r="GR4" s="22">
        <v>0.27083333333333331</v>
      </c>
      <c r="GS4" s="22">
        <v>0.27083333333333331</v>
      </c>
      <c r="GT4" s="22">
        <v>0.9375</v>
      </c>
      <c r="GU4" s="22">
        <v>0.27083333333333331</v>
      </c>
      <c r="GV4" s="22">
        <v>0.9375</v>
      </c>
      <c r="GW4" s="22">
        <v>0.9375</v>
      </c>
      <c r="GX4" s="22">
        <v>0.60416666666666663</v>
      </c>
      <c r="GY4" s="22">
        <v>0.27083333333333331</v>
      </c>
      <c r="GZ4" s="22">
        <v>0.9375</v>
      </c>
      <c r="HA4" s="22">
        <v>0.27083333333333331</v>
      </c>
      <c r="HB4" s="22">
        <v>0.27083333333333331</v>
      </c>
      <c r="HC4" s="22">
        <v>0.27083333333333331</v>
      </c>
      <c r="HD4" s="22">
        <v>0.60416666666666663</v>
      </c>
      <c r="HE4" s="22">
        <v>0.9375</v>
      </c>
      <c r="HF4" s="22">
        <v>0.27083333333333331</v>
      </c>
      <c r="HG4" s="22">
        <v>0.27083333333333331</v>
      </c>
      <c r="HH4" s="22">
        <v>0.27083333333333331</v>
      </c>
      <c r="HI4" s="22">
        <v>0.9375</v>
      </c>
      <c r="HJ4" s="22">
        <v>0.9375</v>
      </c>
      <c r="HK4" s="22">
        <v>0.9375</v>
      </c>
      <c r="HL4" s="22">
        <v>0.27083333333333331</v>
      </c>
      <c r="HM4" s="22">
        <v>0.27083333333333331</v>
      </c>
      <c r="HN4" s="22">
        <v>0.27083333333333331</v>
      </c>
      <c r="HO4" s="22">
        <v>0.60416666666666663</v>
      </c>
      <c r="HP4" s="22">
        <v>0.60416666666666663</v>
      </c>
      <c r="HQ4" s="22">
        <v>0.60416666666666663</v>
      </c>
      <c r="HR4" s="22">
        <v>0.27083333333333331</v>
      </c>
      <c r="HS4" s="22">
        <v>0.60416666666666663</v>
      </c>
      <c r="HT4" s="22">
        <v>0.9375</v>
      </c>
      <c r="HU4" s="22">
        <v>0.27083333333333331</v>
      </c>
      <c r="HV4" s="22">
        <v>0.60416666666666663</v>
      </c>
      <c r="HW4" s="22">
        <v>0.60416666666666663</v>
      </c>
      <c r="HX4" s="22">
        <v>0.27083333333333331</v>
      </c>
      <c r="HY4" s="22">
        <v>0.9375</v>
      </c>
      <c r="HZ4" s="22">
        <v>0.9375</v>
      </c>
      <c r="IA4" s="22">
        <v>0.27083333333333331</v>
      </c>
      <c r="IB4" s="22">
        <v>0.9375</v>
      </c>
      <c r="IC4" s="22">
        <v>0.9375</v>
      </c>
      <c r="ID4" s="22">
        <v>0.27083333333333331</v>
      </c>
      <c r="IE4" s="22">
        <v>0.27083333333333331</v>
      </c>
      <c r="IF4" s="22">
        <v>0.27083333333333331</v>
      </c>
      <c r="IG4" s="22">
        <v>0.27083333333333331</v>
      </c>
      <c r="IH4" s="22">
        <v>0.27083333333333331</v>
      </c>
      <c r="II4" s="22">
        <v>0.27083333333333331</v>
      </c>
      <c r="IJ4" s="22">
        <v>0.9375</v>
      </c>
      <c r="IK4" s="22">
        <v>0.9375</v>
      </c>
      <c r="IL4" s="22">
        <v>0.27083333333333331</v>
      </c>
      <c r="IM4" s="22">
        <v>0.27083333333333331</v>
      </c>
      <c r="IN4" s="22">
        <v>0.60416666666666663</v>
      </c>
      <c r="IO4" s="22">
        <v>0.27083333333333331</v>
      </c>
      <c r="IP4" s="22">
        <v>0.60416666666666663</v>
      </c>
      <c r="IQ4" s="22">
        <v>0.9375</v>
      </c>
      <c r="IR4" s="22">
        <v>0.9375</v>
      </c>
      <c r="IS4" s="22">
        <v>0.27083333333333331</v>
      </c>
      <c r="IT4" s="22">
        <v>0.27083333333333331</v>
      </c>
      <c r="IU4" s="22">
        <v>0.27083333333333331</v>
      </c>
      <c r="IV4" s="22">
        <v>0.27083333333333331</v>
      </c>
      <c r="IW4" s="22">
        <v>0.60416666666666663</v>
      </c>
      <c r="IX4" s="22">
        <v>0.60416666666666663</v>
      </c>
      <c r="IY4" s="22">
        <v>0.60416666666666663</v>
      </c>
      <c r="IZ4" s="22">
        <v>0.27083333333333331</v>
      </c>
      <c r="JA4" s="22">
        <v>0.60416666666666663</v>
      </c>
      <c r="JB4" s="22">
        <v>0.9375</v>
      </c>
      <c r="JC4" s="22">
        <v>0.27083333333333331</v>
      </c>
      <c r="JD4" s="22">
        <v>0.27083333333333331</v>
      </c>
      <c r="JE4" s="22">
        <v>0.60416666666666663</v>
      </c>
      <c r="JF4" s="22">
        <v>0.9375</v>
      </c>
      <c r="JG4" s="22">
        <v>0.9375</v>
      </c>
      <c r="JH4" s="22">
        <v>0.60416666666666663</v>
      </c>
      <c r="JI4" s="22">
        <v>0.9375</v>
      </c>
      <c r="JJ4" s="22">
        <v>0.9375</v>
      </c>
      <c r="JK4" s="22">
        <v>0.9375</v>
      </c>
      <c r="JL4" s="22">
        <v>0.60416666666666663</v>
      </c>
      <c r="JM4" s="22">
        <v>0.9375</v>
      </c>
      <c r="JN4" s="22">
        <v>0.27083333333333331</v>
      </c>
      <c r="JO4" s="22">
        <v>0.27083333333333331</v>
      </c>
      <c r="JP4" s="22">
        <v>0.27083333333333331</v>
      </c>
      <c r="JQ4" s="22">
        <v>0.60416666666666663</v>
      </c>
      <c r="JR4" s="22">
        <v>0.27083333333333331</v>
      </c>
      <c r="JS4" s="22">
        <v>0.27083333333333331</v>
      </c>
      <c r="JT4" s="22">
        <v>0.27083333333333331</v>
      </c>
      <c r="JU4" s="22">
        <v>0.27083333333333331</v>
      </c>
      <c r="JV4" s="22">
        <v>0.60416666666666663</v>
      </c>
      <c r="JW4" s="22">
        <v>0.60416666666666663</v>
      </c>
      <c r="JX4" s="22">
        <v>0.60416666666666663</v>
      </c>
      <c r="JY4" s="22">
        <v>0.27083333333333331</v>
      </c>
      <c r="JZ4" s="22">
        <v>0.60416666666666663</v>
      </c>
      <c r="KA4" s="22">
        <v>0.60416666666666663</v>
      </c>
      <c r="KB4" s="22">
        <v>0.60416666666666663</v>
      </c>
      <c r="KC4" s="22">
        <v>0.60416666666666663</v>
      </c>
      <c r="KD4" s="22">
        <v>0.60416666666666663</v>
      </c>
      <c r="KE4" s="22">
        <v>0.27083333333333331</v>
      </c>
      <c r="KF4" s="22">
        <v>0.27083333333333331</v>
      </c>
      <c r="KG4" s="22">
        <v>0.60416666666666663</v>
      </c>
      <c r="KH4" s="22">
        <v>0.9375</v>
      </c>
      <c r="KI4" s="22">
        <v>0.60416666666666663</v>
      </c>
      <c r="KJ4" s="22">
        <v>0.9375</v>
      </c>
      <c r="KK4" s="22">
        <v>0.27083333333333331</v>
      </c>
      <c r="KL4" s="22">
        <v>0.9375</v>
      </c>
      <c r="KM4" s="22">
        <v>0.9375</v>
      </c>
      <c r="KN4" s="22">
        <v>0.9375</v>
      </c>
      <c r="KO4" s="22">
        <v>0.27083333333333331</v>
      </c>
      <c r="KP4" s="22">
        <v>0.27083333333333331</v>
      </c>
      <c r="KQ4" s="22">
        <v>0.9375</v>
      </c>
      <c r="KR4" s="22">
        <v>0.9375</v>
      </c>
      <c r="KS4" s="22">
        <v>0.27083333333333331</v>
      </c>
      <c r="KT4" s="22">
        <v>0.27083333333333331</v>
      </c>
      <c r="KU4" s="22">
        <v>0.9375</v>
      </c>
      <c r="KV4" s="22">
        <v>0.60416666666666663</v>
      </c>
      <c r="KW4" s="22">
        <v>0.27083333333333331</v>
      </c>
      <c r="KX4" s="22">
        <v>0.9375</v>
      </c>
      <c r="KY4" s="22">
        <v>0.375</v>
      </c>
      <c r="KZ4" s="22">
        <v>0.9375</v>
      </c>
      <c r="LA4" s="22">
        <v>0.9375</v>
      </c>
      <c r="LB4" s="22">
        <v>0.60416666666666663</v>
      </c>
      <c r="LC4" s="22">
        <v>0.27083333333333331</v>
      </c>
      <c r="LD4" s="22">
        <v>0.60416666666666663</v>
      </c>
      <c r="LE4" s="22">
        <v>0.60416666666666663</v>
      </c>
      <c r="LF4" s="22">
        <v>0.27083333333333331</v>
      </c>
      <c r="LG4" s="22">
        <v>0.27083333333333331</v>
      </c>
      <c r="LH4" s="22">
        <v>0.9375</v>
      </c>
      <c r="LI4" s="22">
        <v>0.60416666666666663</v>
      </c>
      <c r="LJ4" s="22">
        <v>0.9375</v>
      </c>
      <c r="LK4" s="22">
        <v>0.27083333333333331</v>
      </c>
      <c r="LL4" s="22">
        <v>0.27083333333333331</v>
      </c>
      <c r="LM4" s="22">
        <v>0.27083333333333331</v>
      </c>
      <c r="LN4" s="22">
        <v>0.9375</v>
      </c>
      <c r="LO4" s="22">
        <v>0.9375</v>
      </c>
      <c r="LP4" s="22">
        <v>0.27083333333333331</v>
      </c>
      <c r="LQ4" s="22">
        <v>0.27083333333333331</v>
      </c>
      <c r="LR4" s="22">
        <v>0.27083333333333331</v>
      </c>
      <c r="LS4" s="22">
        <v>0.375</v>
      </c>
      <c r="LT4" s="22">
        <v>0.27083333333333331</v>
      </c>
      <c r="LU4" s="22">
        <v>0.27083333333333331</v>
      </c>
      <c r="LV4" s="22">
        <v>0.27083333333333331</v>
      </c>
      <c r="LW4" s="22">
        <v>0.27083333333333331</v>
      </c>
      <c r="LX4" s="22">
        <v>0.375</v>
      </c>
      <c r="LY4" s="22">
        <v>0.27083333333333331</v>
      </c>
      <c r="LZ4" s="22">
        <v>0.27083333333333331</v>
      </c>
      <c r="MA4" s="22">
        <v>0.60416666666666663</v>
      </c>
      <c r="MB4" s="22">
        <v>0.27083333333333331</v>
      </c>
      <c r="MC4" s="22">
        <v>0.375</v>
      </c>
      <c r="MD4" s="22">
        <v>0.60416666666666663</v>
      </c>
      <c r="ME4" s="22">
        <v>0.9375</v>
      </c>
      <c r="MF4" s="22">
        <v>0.27083333333333331</v>
      </c>
      <c r="MG4" s="22">
        <v>0.60416666666666663</v>
      </c>
      <c r="MH4" s="22">
        <v>0.60416666666666663</v>
      </c>
      <c r="MI4" s="22">
        <v>0.60416666666666663</v>
      </c>
      <c r="MJ4" s="22">
        <v>0.60416666666666663</v>
      </c>
      <c r="MK4" s="22">
        <v>0.27083333333333331</v>
      </c>
      <c r="ML4" s="22">
        <v>0.9375</v>
      </c>
      <c r="MM4" s="22">
        <v>0.60416666666666663</v>
      </c>
      <c r="MN4" s="22">
        <v>0.27083333333333331</v>
      </c>
      <c r="MO4" s="22">
        <v>0.27083333333333331</v>
      </c>
      <c r="MP4" s="22">
        <v>0.27083333333333331</v>
      </c>
      <c r="MQ4" s="22">
        <v>0.60416666666666663</v>
      </c>
      <c r="MR4" s="22">
        <v>0.9375</v>
      </c>
      <c r="MS4" s="22">
        <v>0.375</v>
      </c>
      <c r="MT4" s="22">
        <v>0.9375</v>
      </c>
      <c r="MU4" s="22">
        <v>0.27083333333333331</v>
      </c>
      <c r="MV4" s="22">
        <v>0.27083333333333331</v>
      </c>
      <c r="MW4" s="22">
        <v>0.60416666666666663</v>
      </c>
      <c r="MX4" s="22">
        <v>0.60416666666666663</v>
      </c>
      <c r="MY4" s="22">
        <v>0.9375</v>
      </c>
      <c r="MZ4" s="22">
        <v>0.9375</v>
      </c>
      <c r="NA4" s="22">
        <v>0.60416666666666663</v>
      </c>
      <c r="NB4" s="22">
        <v>0.27083333333333331</v>
      </c>
      <c r="NC4" s="22">
        <v>0.9375</v>
      </c>
      <c r="ND4" s="22">
        <v>0.27083333333333331</v>
      </c>
      <c r="NE4" s="22">
        <v>0.9375</v>
      </c>
      <c r="NF4" s="22">
        <v>0.60416666666666663</v>
      </c>
      <c r="NG4" s="22">
        <v>0.27083333333333331</v>
      </c>
      <c r="NH4" s="22">
        <v>0.375</v>
      </c>
      <c r="NI4" s="22">
        <v>0.375</v>
      </c>
      <c r="NJ4" s="22">
        <v>0.375</v>
      </c>
      <c r="NK4" s="22">
        <v>0.375</v>
      </c>
      <c r="NL4" s="22">
        <v>0.9375</v>
      </c>
      <c r="NM4" s="22">
        <v>0.375</v>
      </c>
      <c r="NN4" s="22">
        <v>0.27083333333333331</v>
      </c>
      <c r="NO4" s="22">
        <v>0.60416666666666663</v>
      </c>
      <c r="NP4" s="22">
        <v>0.60416666666666663</v>
      </c>
      <c r="NQ4" s="22">
        <v>0.27083333333333331</v>
      </c>
      <c r="NR4" s="22">
        <v>0.375</v>
      </c>
      <c r="NS4" s="22">
        <v>0.60416666666666663</v>
      </c>
      <c r="NT4" s="22">
        <v>0.27083333333333331</v>
      </c>
      <c r="NU4" s="22">
        <v>0.60416666666666663</v>
      </c>
      <c r="NV4" s="22">
        <v>0.60416666666666663</v>
      </c>
      <c r="NW4" s="22">
        <v>0.60416666666666663</v>
      </c>
      <c r="NX4" s="22">
        <v>0.9375</v>
      </c>
      <c r="NY4" s="22">
        <v>0.60416666666666663</v>
      </c>
      <c r="NZ4" s="22">
        <v>0.27083333333333331</v>
      </c>
      <c r="OA4" s="22">
        <v>0.9375</v>
      </c>
      <c r="OB4" s="22">
        <v>0.27083333333333331</v>
      </c>
      <c r="OC4" s="22">
        <v>0.9375</v>
      </c>
      <c r="OD4" s="22">
        <v>0.9375</v>
      </c>
      <c r="OE4" s="22">
        <v>0.27083333333333331</v>
      </c>
      <c r="OF4" s="22">
        <v>0.9375</v>
      </c>
      <c r="OG4" s="22">
        <v>0.27083333333333331</v>
      </c>
      <c r="OH4" s="22">
        <v>0.27083333333333331</v>
      </c>
      <c r="OI4" s="22">
        <v>0.27083333333333331</v>
      </c>
      <c r="OJ4" s="22">
        <v>0.60416666666666663</v>
      </c>
      <c r="OK4" s="22">
        <v>0.9375</v>
      </c>
      <c r="OL4" s="22">
        <v>0.9375</v>
      </c>
      <c r="OM4" s="22">
        <v>0.27083333333333331</v>
      </c>
      <c r="ON4" s="22">
        <v>0.9375</v>
      </c>
      <c r="OO4" s="22">
        <v>0.60416666666666663</v>
      </c>
      <c r="OP4" s="22">
        <v>0.60416666666666663</v>
      </c>
      <c r="OQ4" s="22">
        <v>0.60416666666666663</v>
      </c>
      <c r="OR4" s="22">
        <v>0.60416666666666663</v>
      </c>
      <c r="OS4" s="22">
        <v>0.27083333333333331</v>
      </c>
      <c r="OT4" s="22">
        <v>0.27083333333333331</v>
      </c>
      <c r="OU4" s="22">
        <v>0.60416666666666663</v>
      </c>
      <c r="OV4" s="22">
        <v>0.27083333333333331</v>
      </c>
      <c r="OW4" s="22">
        <v>0.27083333333333331</v>
      </c>
      <c r="OX4" s="22">
        <v>0.27083333333333331</v>
      </c>
      <c r="OY4" s="22">
        <v>0.9375</v>
      </c>
      <c r="OZ4" s="22">
        <v>0.27083333333333331</v>
      </c>
      <c r="PA4" s="22">
        <v>0.60416666666666663</v>
      </c>
      <c r="PB4" s="22">
        <v>0.27083333333333331</v>
      </c>
      <c r="PC4" s="22">
        <v>0.60416666666666663</v>
      </c>
      <c r="PD4" s="22">
        <v>0.60416666666666663</v>
      </c>
      <c r="PE4" s="22">
        <v>0.9375</v>
      </c>
      <c r="PF4" s="22">
        <v>0.9375</v>
      </c>
      <c r="PG4" s="22">
        <v>0.9375</v>
      </c>
      <c r="PH4" s="22">
        <v>0.9375</v>
      </c>
      <c r="PI4" s="22">
        <v>0.9375</v>
      </c>
      <c r="PJ4" s="22">
        <v>0.60416666666666663</v>
      </c>
      <c r="PK4" s="22">
        <v>0.27083333333333331</v>
      </c>
      <c r="PL4" s="22">
        <v>0.27083333333333331</v>
      </c>
      <c r="PM4" s="22">
        <v>0.9375</v>
      </c>
      <c r="PN4" s="22">
        <v>0.60416666666666663</v>
      </c>
      <c r="PO4" s="22">
        <v>0.60416666666666663</v>
      </c>
      <c r="PP4" s="22">
        <v>0.27083333333333331</v>
      </c>
      <c r="PQ4" s="22">
        <v>0.60416666666666663</v>
      </c>
      <c r="PR4" s="22">
        <v>0.9375</v>
      </c>
      <c r="PS4" s="22">
        <v>0.60416666666666663</v>
      </c>
      <c r="PT4" s="22">
        <v>0.60416666666666663</v>
      </c>
      <c r="PU4" s="22">
        <v>0.9375</v>
      </c>
      <c r="PV4" s="22">
        <v>0.9375</v>
      </c>
      <c r="PW4" s="22">
        <v>0.375</v>
      </c>
      <c r="PX4" s="22">
        <v>0.60416666666666663</v>
      </c>
      <c r="PY4" s="22">
        <v>0.60416666666666663</v>
      </c>
      <c r="PZ4" s="22">
        <v>0.60416666666666663</v>
      </c>
      <c r="QA4" s="22">
        <v>0.27083333333333331</v>
      </c>
      <c r="QB4" s="22">
        <v>0.60416666666666663</v>
      </c>
      <c r="QC4" s="22">
        <v>0.60416666666666663</v>
      </c>
      <c r="QD4" s="22">
        <v>0.60416666666666663</v>
      </c>
      <c r="QE4" s="22">
        <v>0.27083333333333331</v>
      </c>
      <c r="QF4" s="22">
        <v>0.9375</v>
      </c>
      <c r="QG4" s="22">
        <v>0.27083333333333331</v>
      </c>
      <c r="QH4" s="22">
        <v>0.60416666666666663</v>
      </c>
      <c r="QI4" s="22">
        <v>0.9375</v>
      </c>
      <c r="QJ4" s="22">
        <v>0.27083333333333331</v>
      </c>
      <c r="QK4" s="22">
        <v>0.9375</v>
      </c>
      <c r="QL4" s="22">
        <v>0.27083333333333331</v>
      </c>
      <c r="QM4" s="22">
        <v>0.27083333333333331</v>
      </c>
      <c r="QN4" s="22">
        <v>0.60416666666666663</v>
      </c>
      <c r="QO4" s="22">
        <v>0.9375</v>
      </c>
      <c r="QP4" s="22">
        <v>0.60416666666666663</v>
      </c>
      <c r="QQ4" s="22">
        <v>0.27083333333333331</v>
      </c>
      <c r="QR4" s="22">
        <v>0.60416666666666663</v>
      </c>
      <c r="QS4" s="22">
        <v>0.60416666666666663</v>
      </c>
      <c r="QT4" s="22">
        <v>0.27083333333333331</v>
      </c>
      <c r="QU4" s="22">
        <v>0.27083333333333331</v>
      </c>
      <c r="QV4" s="22">
        <v>0.60416666666666663</v>
      </c>
      <c r="QW4" s="22">
        <v>0.60416666666666663</v>
      </c>
      <c r="QX4" s="22">
        <v>0.60416666666666663</v>
      </c>
      <c r="QY4" s="22">
        <v>0.27083333333333331</v>
      </c>
      <c r="QZ4" s="22">
        <v>0.60416666666666663</v>
      </c>
      <c r="RA4" s="22">
        <v>0.60416666666666663</v>
      </c>
      <c r="RB4" s="22">
        <v>0.27083333333333331</v>
      </c>
      <c r="RC4" s="22">
        <v>0.60416666666666663</v>
      </c>
      <c r="RD4" s="22">
        <v>0.27083333333333331</v>
      </c>
      <c r="RE4" s="22">
        <v>0.27083333333333331</v>
      </c>
      <c r="RF4" s="22">
        <v>0.9375</v>
      </c>
      <c r="RG4" s="22">
        <v>0.9375</v>
      </c>
      <c r="RH4" s="22">
        <v>0.60416666666666663</v>
      </c>
      <c r="RI4" s="22">
        <v>0.60416666666666663</v>
      </c>
      <c r="RJ4" s="22">
        <v>0.60416666666666663</v>
      </c>
      <c r="RK4" s="22">
        <v>0.60416666666666663</v>
      </c>
      <c r="RL4" s="22">
        <v>0.60416666666666663</v>
      </c>
      <c r="RM4" s="22">
        <v>0.27083333333333331</v>
      </c>
      <c r="RN4" s="22">
        <v>0.60416666666666663</v>
      </c>
      <c r="RO4" s="22">
        <v>0.60416666666666663</v>
      </c>
      <c r="RP4" s="22">
        <v>0.9375</v>
      </c>
      <c r="RQ4" s="22">
        <v>0.9375</v>
      </c>
      <c r="RR4" s="22">
        <v>0.60416666666666663</v>
      </c>
      <c r="RS4" s="22">
        <v>0.60416666666666663</v>
      </c>
      <c r="RT4" s="22">
        <v>0.60416666666666663</v>
      </c>
      <c r="RU4" s="22">
        <v>0.9375</v>
      </c>
      <c r="RV4" s="22">
        <v>0.60416666666666663</v>
      </c>
      <c r="RW4" s="22">
        <v>0.60416666666666663</v>
      </c>
      <c r="RX4" s="22">
        <v>0.27083333333333331</v>
      </c>
      <c r="RY4" s="22">
        <v>0.60416666666666663</v>
      </c>
      <c r="RZ4" s="22">
        <v>0.60416666666666663</v>
      </c>
      <c r="SA4" s="22">
        <v>0.60416666666666663</v>
      </c>
      <c r="SB4" s="22">
        <v>0.9375</v>
      </c>
      <c r="SC4" s="22">
        <v>0.60416666666666663</v>
      </c>
      <c r="SD4" s="22">
        <v>0.9375</v>
      </c>
      <c r="SE4" s="22">
        <v>0.60416666666666663</v>
      </c>
      <c r="SF4" s="22">
        <v>0.60416666666666663</v>
      </c>
      <c r="SG4" s="22">
        <v>0.60416666666666663</v>
      </c>
      <c r="SH4" s="22">
        <v>0.27083333333333331</v>
      </c>
      <c r="SI4" s="22">
        <v>0.60416666666666663</v>
      </c>
      <c r="SJ4" s="22">
        <v>0.9375</v>
      </c>
      <c r="SK4" s="22">
        <v>0.27083333333333331</v>
      </c>
      <c r="SL4" s="22">
        <v>0.27083333333333331</v>
      </c>
      <c r="SM4" s="22">
        <v>0.60416666666666663</v>
      </c>
      <c r="SN4" s="22">
        <v>0.27083333333333331</v>
      </c>
      <c r="SO4" s="22">
        <v>0.9375</v>
      </c>
      <c r="SP4" s="22">
        <v>0.9375</v>
      </c>
      <c r="SQ4" s="22">
        <v>0.60416666666666663</v>
      </c>
      <c r="SR4" s="22">
        <v>0.60416666666666663</v>
      </c>
      <c r="SS4" s="22">
        <v>0.27083333333333331</v>
      </c>
      <c r="ST4" s="22">
        <v>0.27083333333333331</v>
      </c>
      <c r="SU4" s="22">
        <v>0.27083333333333331</v>
      </c>
      <c r="SV4" s="22">
        <v>0.9375</v>
      </c>
      <c r="SW4" s="22">
        <v>0.27083333333333331</v>
      </c>
      <c r="SX4" s="22">
        <v>0.9375</v>
      </c>
      <c r="SY4" s="22">
        <v>0.27083333333333331</v>
      </c>
      <c r="SZ4" s="22">
        <v>0.60416666666666663</v>
      </c>
      <c r="TA4" s="22">
        <v>0.9375</v>
      </c>
      <c r="TB4" s="22">
        <v>0.9375</v>
      </c>
      <c r="TC4" s="22">
        <v>0.27083333333333331</v>
      </c>
      <c r="TD4" s="22">
        <v>0.60416666666666663</v>
      </c>
      <c r="TE4" s="22">
        <v>0.27083333333333331</v>
      </c>
      <c r="TF4" s="22">
        <v>0.9375</v>
      </c>
      <c r="TG4" s="22">
        <v>0.9375</v>
      </c>
      <c r="TH4" s="22">
        <v>0.60416666666666663</v>
      </c>
      <c r="TI4" s="22">
        <v>0.27083333333333331</v>
      </c>
      <c r="TJ4" s="22">
        <v>0.9375</v>
      </c>
      <c r="TK4" s="22">
        <v>0.60416666666666663</v>
      </c>
      <c r="TL4" s="22">
        <v>0.27083333333333331</v>
      </c>
      <c r="TM4" s="22">
        <v>0.27083333333333331</v>
      </c>
      <c r="TN4" s="22">
        <v>0.60416666666666663</v>
      </c>
      <c r="TO4" s="22">
        <v>0.9375</v>
      </c>
      <c r="TP4" s="22">
        <v>0.60416666666666663</v>
      </c>
      <c r="TQ4" s="22">
        <v>0.375</v>
      </c>
      <c r="TR4" s="22">
        <v>0.27083333333333331</v>
      </c>
      <c r="TS4" s="22">
        <v>0.27083333333333331</v>
      </c>
      <c r="TT4" s="22">
        <v>0.9375</v>
      </c>
      <c r="TU4" s="22">
        <v>0.27083333333333331</v>
      </c>
      <c r="TV4" s="22">
        <v>0.27083333333333331</v>
      </c>
      <c r="TW4" s="22">
        <v>0.60416666666666663</v>
      </c>
      <c r="TX4" s="22">
        <v>0.27083333333333331</v>
      </c>
      <c r="TY4" s="22">
        <v>0.27083333333333331</v>
      </c>
      <c r="TZ4" s="22">
        <v>0.27083333333333331</v>
      </c>
      <c r="UA4" s="22">
        <v>0.375</v>
      </c>
      <c r="UB4" s="22">
        <v>0.60416666666666663</v>
      </c>
      <c r="UC4" s="22">
        <v>0.27083333333333331</v>
      </c>
      <c r="UD4" s="22">
        <v>0.9375</v>
      </c>
      <c r="UE4" s="22">
        <v>0.60416666666666663</v>
      </c>
      <c r="UF4" s="22">
        <v>0.27083333333333331</v>
      </c>
      <c r="UG4" s="22">
        <v>0.27083333333333331</v>
      </c>
      <c r="UH4" s="22">
        <v>0.60416666666666663</v>
      </c>
      <c r="UI4" s="22">
        <v>0.60416666666666663</v>
      </c>
      <c r="UJ4" s="22">
        <v>0.9375</v>
      </c>
      <c r="UK4" s="22">
        <v>0.9375</v>
      </c>
      <c r="UL4" s="22">
        <v>0.9375</v>
      </c>
      <c r="UM4" s="22">
        <v>0.9375</v>
      </c>
      <c r="UN4" s="22">
        <v>0.9375</v>
      </c>
      <c r="UO4" s="22">
        <v>0.60416666666666663</v>
      </c>
      <c r="UP4" s="22">
        <v>0.9375</v>
      </c>
      <c r="UQ4" s="22">
        <v>0.27083333333333331</v>
      </c>
      <c r="UR4" s="22">
        <v>0.9375</v>
      </c>
      <c r="US4" s="22">
        <v>0.9375</v>
      </c>
      <c r="UT4" s="22">
        <v>0.27083333333333331</v>
      </c>
      <c r="UU4" s="22">
        <v>0.27083333333333331</v>
      </c>
      <c r="UV4" s="22">
        <v>0.9375</v>
      </c>
      <c r="UW4" s="22">
        <v>0.60416666666666663</v>
      </c>
      <c r="UX4" s="22">
        <v>0.9375</v>
      </c>
      <c r="UY4" s="22">
        <v>0.60416666666666663</v>
      </c>
      <c r="UZ4" s="22">
        <v>0.27083333333333331</v>
      </c>
      <c r="VA4" s="22">
        <v>0.60416666666666663</v>
      </c>
      <c r="VB4" s="22">
        <v>0.375</v>
      </c>
      <c r="VC4" s="22">
        <v>0.375</v>
      </c>
      <c r="VD4" s="22">
        <v>0.27083333333333331</v>
      </c>
      <c r="VE4" s="22">
        <v>0.27083333333333331</v>
      </c>
      <c r="VF4" s="22">
        <v>0.27083333333333331</v>
      </c>
      <c r="VG4" s="22">
        <v>0.27083333333333331</v>
      </c>
      <c r="VH4" s="22">
        <v>0.60416666666666663</v>
      </c>
      <c r="VI4" s="22">
        <v>0.27083333333333331</v>
      </c>
      <c r="VJ4" s="22">
        <v>0.27083333333333331</v>
      </c>
      <c r="VK4" s="22">
        <v>0.9375</v>
      </c>
      <c r="VL4" s="22">
        <v>0.27083333333333331</v>
      </c>
      <c r="VM4" s="22">
        <v>0.9375</v>
      </c>
      <c r="VN4" s="22">
        <v>0.27083333333333331</v>
      </c>
      <c r="VO4" s="22">
        <v>0.60416666666666663</v>
      </c>
      <c r="VP4" s="22">
        <v>0.60416666666666663</v>
      </c>
      <c r="VQ4" s="22">
        <v>0.60416666666666663</v>
      </c>
      <c r="VR4" s="22">
        <v>0.60416666666666663</v>
      </c>
      <c r="VS4" s="22">
        <v>0.60416666666666663</v>
      </c>
      <c r="VT4" s="22">
        <v>0.27083333333333331</v>
      </c>
      <c r="VU4" s="22">
        <v>0.9375</v>
      </c>
      <c r="VV4" s="22">
        <v>0.9375</v>
      </c>
      <c r="VW4" s="22">
        <v>0.27083333333333331</v>
      </c>
      <c r="VX4" s="22">
        <v>0.60416666666666663</v>
      </c>
      <c r="VY4" s="22">
        <v>0.60416666666666663</v>
      </c>
    </row>
    <row r="5" spans="1:597" x14ac:dyDescent="0.3">
      <c r="A5" s="20" t="s">
        <v>727</v>
      </c>
      <c r="B5" s="22">
        <v>0.9472222222222223</v>
      </c>
      <c r="C5" s="22">
        <v>0.93888888888888899</v>
      </c>
      <c r="D5" s="22">
        <v>0.94027777777777777</v>
      </c>
      <c r="E5" s="22">
        <v>0.93472222222222223</v>
      </c>
      <c r="F5" s="22">
        <v>0.60555555555555551</v>
      </c>
      <c r="G5" s="22">
        <v>0.60138888888888886</v>
      </c>
      <c r="H5" s="22">
        <v>0.93402777777777779</v>
      </c>
      <c r="I5" s="22">
        <v>0.59930555555555554</v>
      </c>
      <c r="J5" s="22">
        <v>0.59583333333333333</v>
      </c>
      <c r="K5" s="22">
        <v>0.93055555555555547</v>
      </c>
      <c r="L5" s="22">
        <v>0.26874999999999999</v>
      </c>
      <c r="M5" s="22">
        <v>0.9291666666666667</v>
      </c>
      <c r="N5" s="22">
        <v>0.93055555555555547</v>
      </c>
      <c r="O5" s="22">
        <v>0.2673611111111111</v>
      </c>
      <c r="P5" s="22">
        <v>0.59722222222222221</v>
      </c>
      <c r="Q5" s="22">
        <v>0.93263888888888891</v>
      </c>
      <c r="R5" s="22">
        <v>0.51458333333333328</v>
      </c>
      <c r="S5" s="22">
        <v>0.2638888888888889</v>
      </c>
      <c r="T5" s="22">
        <v>0.26180555555555557</v>
      </c>
      <c r="U5" s="22">
        <v>0.25277777777777777</v>
      </c>
      <c r="V5" s="22">
        <v>0.92361111111111116</v>
      </c>
      <c r="W5" s="22">
        <v>0.25069444444444444</v>
      </c>
      <c r="X5" s="22">
        <v>0.3611111111111111</v>
      </c>
      <c r="Y5" s="22">
        <v>0.9277777777777777</v>
      </c>
      <c r="Z5" s="22">
        <v>0.38194444444444442</v>
      </c>
      <c r="AA5" s="22">
        <v>0.3354166666666667</v>
      </c>
      <c r="AB5" s="22">
        <v>0.33333333333333331</v>
      </c>
      <c r="AC5" s="22">
        <v>0.9291666666666667</v>
      </c>
      <c r="AD5" s="22">
        <v>0.37916666666666665</v>
      </c>
      <c r="AE5" s="22">
        <v>0.37847222222222227</v>
      </c>
      <c r="AF5" s="22">
        <v>0.27708333333333335</v>
      </c>
      <c r="AG5" s="22">
        <v>0.27638888888888885</v>
      </c>
      <c r="AH5" s="22">
        <v>0.3659722222222222</v>
      </c>
      <c r="AI5" s="22">
        <v>0.27291666666666664</v>
      </c>
      <c r="AJ5" s="22">
        <v>0.26597222222222222</v>
      </c>
      <c r="AK5" s="22">
        <v>0.60555555555555551</v>
      </c>
      <c r="AL5" s="22">
        <v>0.4909722222222222</v>
      </c>
      <c r="AM5" s="22">
        <v>0.26805555555555555</v>
      </c>
      <c r="AN5" s="22">
        <v>0.26458333333333334</v>
      </c>
      <c r="AO5" s="22">
        <v>0.44513888888888892</v>
      </c>
      <c r="AP5" s="22">
        <v>0.26805555555555555</v>
      </c>
      <c r="AQ5" s="22">
        <v>0.2638888888888889</v>
      </c>
      <c r="AR5" s="22">
        <v>0.43055555555555558</v>
      </c>
      <c r="AS5" s="22">
        <v>0.42638888888888887</v>
      </c>
      <c r="AT5" s="22">
        <v>0.27569444444444446</v>
      </c>
      <c r="AU5" s="22">
        <v>0.62222222222222223</v>
      </c>
      <c r="AV5" s="22">
        <v>0.9590277777777777</v>
      </c>
      <c r="AW5" s="22">
        <v>0.6118055555555556</v>
      </c>
      <c r="AX5" s="22">
        <v>0.27847222222222223</v>
      </c>
      <c r="AY5" s="22">
        <v>0.94444444444444453</v>
      </c>
      <c r="AZ5" s="22">
        <v>0.60763888888888895</v>
      </c>
      <c r="BA5" s="22">
        <v>0.27430555555555552</v>
      </c>
      <c r="BB5" s="22">
        <v>0.27638888888888885</v>
      </c>
      <c r="BC5" s="22">
        <v>0.93680555555555556</v>
      </c>
      <c r="BD5" s="22">
        <v>0.27916666666666667</v>
      </c>
      <c r="BE5" s="22">
        <v>0.27083333333333331</v>
      </c>
      <c r="BF5" s="22">
        <v>0.93819444444444444</v>
      </c>
      <c r="BG5" s="22">
        <v>0.60555555555555551</v>
      </c>
      <c r="BH5" s="22">
        <v>0.58680555555555558</v>
      </c>
      <c r="BI5" s="22">
        <v>0.26805555555555555</v>
      </c>
      <c r="BJ5" s="22">
        <v>0.26805555555555555</v>
      </c>
      <c r="BK5" s="22">
        <v>0.60347222222222219</v>
      </c>
      <c r="BL5" s="22">
        <v>0.27569444444444446</v>
      </c>
      <c r="BM5" s="22">
        <v>0.93125000000000002</v>
      </c>
      <c r="BN5" s="22">
        <v>0.26805555555555555</v>
      </c>
      <c r="BO5" s="22">
        <v>0.26805555555555555</v>
      </c>
      <c r="BP5" s="22">
        <v>0.93194444444444446</v>
      </c>
      <c r="BQ5" s="22">
        <v>0.59930555555555554</v>
      </c>
      <c r="BR5" s="22">
        <v>0.93472222222222223</v>
      </c>
      <c r="BS5" s="22">
        <v>0.59722222222222221</v>
      </c>
      <c r="BT5" s="22">
        <v>0.59722222222222221</v>
      </c>
      <c r="BU5" s="22">
        <v>0.26458333333333334</v>
      </c>
      <c r="BV5" s="22">
        <v>0.92708333333333337</v>
      </c>
      <c r="BW5" s="22">
        <v>0.93333333333333324</v>
      </c>
      <c r="BX5" s="22">
        <v>0.9277777777777777</v>
      </c>
      <c r="BY5" s="22">
        <v>0.59444444444444444</v>
      </c>
      <c r="BZ5" s="22">
        <v>0.59513888888888888</v>
      </c>
      <c r="CA5" s="22">
        <v>0.9291666666666667</v>
      </c>
      <c r="CB5" s="22">
        <v>0.59722222222222221</v>
      </c>
      <c r="CC5" s="22">
        <v>0.59722222222222221</v>
      </c>
      <c r="CD5" s="22">
        <v>0.28125</v>
      </c>
      <c r="CE5" s="22">
        <v>0.25972222222222224</v>
      </c>
      <c r="CF5" s="22">
        <v>0.26111111111111113</v>
      </c>
      <c r="CG5" s="22">
        <v>0.92847222222222225</v>
      </c>
      <c r="CH5" s="22">
        <v>0.92847222222222225</v>
      </c>
      <c r="CI5" s="22">
        <v>0.93263888888888891</v>
      </c>
      <c r="CJ5" s="22">
        <v>0.93194444444444446</v>
      </c>
      <c r="CK5" s="22">
        <v>0.2638888888888889</v>
      </c>
      <c r="CL5" s="22">
        <v>0.25833333333333336</v>
      </c>
      <c r="CM5" s="22">
        <v>0.5854166666666667</v>
      </c>
      <c r="CN5" s="22">
        <v>0.25416666666666665</v>
      </c>
      <c r="CO5" s="22">
        <v>0.58680555555555558</v>
      </c>
      <c r="CP5" s="22">
        <v>0.92291666666666661</v>
      </c>
      <c r="CQ5" s="22">
        <v>0.26805555555555555</v>
      </c>
      <c r="CR5" s="22">
        <v>0.27013888888888887</v>
      </c>
      <c r="CS5" s="22">
        <v>0.26874999999999999</v>
      </c>
      <c r="CT5" s="22">
        <v>0.25416666666666665</v>
      </c>
      <c r="CU5" s="22">
        <v>0.25416666666666665</v>
      </c>
      <c r="CV5" s="22">
        <v>0.58194444444444449</v>
      </c>
      <c r="CW5" s="22">
        <v>0.25208333333333333</v>
      </c>
      <c r="CX5" s="22">
        <v>0.57291666666666663</v>
      </c>
      <c r="CY5" s="22">
        <v>0.56041666666666667</v>
      </c>
      <c r="CZ5" s="22">
        <v>0.37777777777777777</v>
      </c>
      <c r="DA5" s="22">
        <v>0.37222222222222223</v>
      </c>
      <c r="DB5" s="22">
        <v>0.33124999999999999</v>
      </c>
      <c r="DC5" s="22">
        <v>0.3756944444444445</v>
      </c>
      <c r="DD5" s="22">
        <v>0.26180555555555557</v>
      </c>
      <c r="DE5" s="22">
        <v>0.27083333333333331</v>
      </c>
      <c r="DF5" s="22">
        <v>0.93888888888888899</v>
      </c>
      <c r="DG5" s="22">
        <v>0.94027777777777777</v>
      </c>
      <c r="DH5" s="22">
        <v>0.59513888888888888</v>
      </c>
      <c r="DI5" s="22">
        <v>0.60277777777777775</v>
      </c>
      <c r="DJ5" s="22">
        <v>0.58958333333333335</v>
      </c>
      <c r="DK5" s="22">
        <v>0.58750000000000002</v>
      </c>
      <c r="DL5" s="22">
        <v>0.57986111111111105</v>
      </c>
      <c r="DM5" s="22">
        <v>0.27569444444444446</v>
      </c>
      <c r="DN5" s="22">
        <v>0.3298611111111111</v>
      </c>
      <c r="DO5" s="22">
        <v>0.41805555555555557</v>
      </c>
      <c r="DP5" s="22">
        <v>0.37708333333333338</v>
      </c>
      <c r="DQ5" s="22">
        <v>0.60763888888888895</v>
      </c>
      <c r="DR5" s="22">
        <v>0.43888888888888888</v>
      </c>
      <c r="DS5" s="22">
        <v>0.37638888888888888</v>
      </c>
      <c r="DT5" s="22">
        <v>0.33055555555555555</v>
      </c>
      <c r="DU5" s="22">
        <v>0.26527777777777778</v>
      </c>
      <c r="DV5" s="22">
        <v>0.46597222222222223</v>
      </c>
      <c r="DW5" s="22">
        <v>0.37361111111111112</v>
      </c>
      <c r="DX5" s="22">
        <v>0.26666666666666666</v>
      </c>
      <c r="DY5" s="22">
        <v>0.37708333333333338</v>
      </c>
      <c r="DZ5" s="22">
        <v>0.26944444444444443</v>
      </c>
      <c r="EA5" s="22">
        <v>0.33055555555555555</v>
      </c>
      <c r="EB5" s="22">
        <v>0.26944444444444443</v>
      </c>
      <c r="EC5" s="22">
        <v>0.26527777777777778</v>
      </c>
      <c r="ED5" s="22">
        <v>0.37847222222222227</v>
      </c>
      <c r="EE5" s="22">
        <v>0.33055555555555555</v>
      </c>
      <c r="EF5" s="22">
        <v>0.27361111111111108</v>
      </c>
      <c r="EG5" s="22">
        <v>0.25972222222222224</v>
      </c>
      <c r="EH5" s="22">
        <v>0.94027777777777777</v>
      </c>
      <c r="EI5" s="22">
        <v>0.60763888888888895</v>
      </c>
      <c r="EJ5" s="22">
        <v>0.50763888888888886</v>
      </c>
      <c r="EK5" s="22">
        <v>0.94027777777777777</v>
      </c>
      <c r="EL5" s="22">
        <v>0.59861111111111109</v>
      </c>
      <c r="EM5" s="22">
        <v>0.93819444444444444</v>
      </c>
      <c r="EN5" s="22">
        <v>0.94027777777777777</v>
      </c>
      <c r="EO5" s="22">
        <v>0.93541666666666667</v>
      </c>
      <c r="EP5" s="22">
        <v>0.93611111111111101</v>
      </c>
      <c r="EQ5" s="22">
        <v>0.25972222222222224</v>
      </c>
      <c r="ER5" s="22">
        <v>0.49444444444444446</v>
      </c>
      <c r="ES5" s="22">
        <v>0.93819444444444444</v>
      </c>
      <c r="ET5" s="22">
        <v>0.92986111111111114</v>
      </c>
      <c r="EU5" s="22">
        <v>0.26180555555555557</v>
      </c>
      <c r="EV5" s="22">
        <v>0.26180555555555557</v>
      </c>
      <c r="EW5" s="22">
        <v>0.93194444444444446</v>
      </c>
      <c r="EX5" s="22">
        <v>0.9243055555555556</v>
      </c>
      <c r="EY5" s="22">
        <v>0.38819444444444445</v>
      </c>
      <c r="EZ5" s="22">
        <v>0.93055555555555547</v>
      </c>
      <c r="FA5" s="22">
        <v>0.3840277777777778</v>
      </c>
      <c r="FB5" s="22">
        <v>0.3743055555555555</v>
      </c>
      <c r="FC5" s="22">
        <v>0.36180555555555555</v>
      </c>
      <c r="FD5" s="22">
        <v>0.43402777777777773</v>
      </c>
      <c r="FE5" s="22">
        <v>0.3888888888888889</v>
      </c>
      <c r="FF5" s="22">
        <v>0.36319444444444443</v>
      </c>
      <c r="FG5" s="22">
        <v>0.4993055555555555</v>
      </c>
      <c r="FH5" s="22">
        <v>0.36041666666666666</v>
      </c>
      <c r="FI5" s="22">
        <v>0.26111111111111113</v>
      </c>
      <c r="FJ5" s="22">
        <v>0.4680555555555555</v>
      </c>
      <c r="FK5" s="22">
        <v>0.27847222222222223</v>
      </c>
      <c r="FL5" s="22">
        <v>0.45416666666666666</v>
      </c>
      <c r="FM5" s="22">
        <v>0.45347222222222222</v>
      </c>
      <c r="FN5" s="22">
        <v>0.45416666666666666</v>
      </c>
      <c r="FO5" s="22">
        <v>0.26805555555555555</v>
      </c>
      <c r="FP5" s="22">
        <v>0.44097222222222227</v>
      </c>
      <c r="FQ5" s="22">
        <v>0.43611111111111112</v>
      </c>
      <c r="FR5" s="22">
        <v>0.43611111111111112</v>
      </c>
      <c r="FS5" s="22">
        <v>0.27083333333333331</v>
      </c>
      <c r="FT5" s="22">
        <v>0.26458333333333334</v>
      </c>
      <c r="FU5" s="22">
        <v>0.25208333333333333</v>
      </c>
      <c r="FV5" s="22">
        <v>0.27777777777777779</v>
      </c>
      <c r="FW5" s="22">
        <v>0.92847222222222225</v>
      </c>
      <c r="FX5" s="22">
        <v>0.26527777777777778</v>
      </c>
      <c r="FY5" s="22">
        <v>0.29791666666666666</v>
      </c>
      <c r="FZ5" s="22">
        <v>0.93958333333333333</v>
      </c>
      <c r="GA5" s="22">
        <v>0.93680555555555556</v>
      </c>
      <c r="GB5" s="22">
        <v>0.58611111111111114</v>
      </c>
      <c r="GC5" s="22">
        <v>0.59722222222222221</v>
      </c>
      <c r="GD5" s="22">
        <v>0.93125000000000002</v>
      </c>
      <c r="GE5" s="22">
        <v>0.26666666666666666</v>
      </c>
      <c r="GF5" s="22">
        <v>0.27430555555555552</v>
      </c>
      <c r="GG5" s="22">
        <v>0.58402777777777781</v>
      </c>
      <c r="GH5" s="22">
        <v>0.25208333333333333</v>
      </c>
      <c r="GI5" s="22">
        <v>0.37708333333333338</v>
      </c>
      <c r="GJ5" s="22">
        <v>0.66736111111111107</v>
      </c>
      <c r="GK5" s="22">
        <v>0.28472222222222221</v>
      </c>
      <c r="GL5" s="22">
        <v>0.6166666666666667</v>
      </c>
      <c r="GM5" s="22">
        <v>0.9458333333333333</v>
      </c>
      <c r="GN5" s="22">
        <v>0.94374999999999998</v>
      </c>
      <c r="GO5" s="22">
        <v>0.27500000000000002</v>
      </c>
      <c r="GP5" s="22">
        <v>0.6069444444444444</v>
      </c>
      <c r="GQ5" s="22">
        <v>0.9472222222222223</v>
      </c>
      <c r="GR5" s="22">
        <v>0.2722222222222222</v>
      </c>
      <c r="GS5" s="22">
        <v>0.26874999999999999</v>
      </c>
      <c r="GT5" s="22">
        <v>0.93680555555555556</v>
      </c>
      <c r="GU5" s="22">
        <v>0.26874999999999999</v>
      </c>
      <c r="GV5" s="22">
        <v>0.93819444444444444</v>
      </c>
      <c r="GW5" s="22">
        <v>0.94166666666666676</v>
      </c>
      <c r="GX5" s="22">
        <v>0.60138888888888886</v>
      </c>
      <c r="GY5" s="22">
        <v>0.2722222222222222</v>
      </c>
      <c r="GZ5" s="22">
        <v>0.93680555555555556</v>
      </c>
      <c r="HA5" s="22">
        <v>0.26666666666666666</v>
      </c>
      <c r="HB5" s="22">
        <v>0.27083333333333331</v>
      </c>
      <c r="HC5" s="22">
        <v>0.26874999999999999</v>
      </c>
      <c r="HD5" s="22">
        <v>0.60069444444444442</v>
      </c>
      <c r="HE5" s="22">
        <v>0.93819444444444444</v>
      </c>
      <c r="HF5" s="22">
        <v>0.26527777777777778</v>
      </c>
      <c r="HG5" s="22">
        <v>0.26666666666666666</v>
      </c>
      <c r="HH5" s="22">
        <v>0.27361111111111108</v>
      </c>
      <c r="HI5" s="22">
        <v>0.93680555555555556</v>
      </c>
      <c r="HJ5" s="22">
        <v>0.93680555555555556</v>
      </c>
      <c r="HK5" s="22">
        <v>0.93263888888888891</v>
      </c>
      <c r="HL5" s="22">
        <v>0.26666666666666666</v>
      </c>
      <c r="HM5" s="22">
        <v>0.27013888888888887</v>
      </c>
      <c r="HN5" s="22">
        <v>0.26250000000000001</v>
      </c>
      <c r="HO5" s="22">
        <v>0.59722222222222221</v>
      </c>
      <c r="HP5" s="22">
        <v>0.59722222222222221</v>
      </c>
      <c r="HQ5" s="22">
        <v>0.59722222222222221</v>
      </c>
      <c r="HR5" s="22">
        <v>0.26458333333333334</v>
      </c>
      <c r="HS5" s="22">
        <v>0.59583333333333333</v>
      </c>
      <c r="HT5" s="22">
        <v>0.93472222222222223</v>
      </c>
      <c r="HU5" s="22">
        <v>0.26874999999999999</v>
      </c>
      <c r="HV5" s="22">
        <v>0.59513888888888888</v>
      </c>
      <c r="HW5" s="22">
        <v>0.59722222222222221</v>
      </c>
      <c r="HX5" s="22">
        <v>0.26041666666666669</v>
      </c>
      <c r="HY5" s="22">
        <v>0.93125000000000002</v>
      </c>
      <c r="HZ5" s="22">
        <v>0.92986111111111114</v>
      </c>
      <c r="IA5" s="22">
        <v>0.25833333333333336</v>
      </c>
      <c r="IB5" s="22">
        <v>0.9291666666666667</v>
      </c>
      <c r="IC5" s="22">
        <v>0.93263888888888891</v>
      </c>
      <c r="ID5" s="22">
        <v>0.26041666666666669</v>
      </c>
      <c r="IE5" s="22">
        <v>0.25347222222222221</v>
      </c>
      <c r="IF5" s="22">
        <v>0.25347222222222221</v>
      </c>
      <c r="IG5" s="22">
        <v>0.25833333333333336</v>
      </c>
      <c r="IH5" s="22">
        <v>0.25833333333333336</v>
      </c>
      <c r="II5" s="22">
        <v>0.26111111111111113</v>
      </c>
      <c r="IJ5" s="22">
        <v>0.92708333333333337</v>
      </c>
      <c r="IK5" s="22">
        <v>0.9277777777777777</v>
      </c>
      <c r="IL5" s="22">
        <v>0.25972222222222224</v>
      </c>
      <c r="IM5" s="22">
        <v>0.25347222222222221</v>
      </c>
      <c r="IN5" s="22">
        <v>0.59027777777777779</v>
      </c>
      <c r="IO5" s="22">
        <v>0.25277777777777777</v>
      </c>
      <c r="IP5" s="22">
        <v>0.58263888888888882</v>
      </c>
      <c r="IQ5" s="22">
        <v>0.92222222222222217</v>
      </c>
      <c r="IR5" s="22">
        <v>0.92569444444444438</v>
      </c>
      <c r="IS5" s="22">
        <v>0.26250000000000001</v>
      </c>
      <c r="IT5" s="22">
        <v>0.27152777777777776</v>
      </c>
      <c r="IU5" s="22">
        <v>0.28611111111111115</v>
      </c>
      <c r="IV5" s="22">
        <v>0.27500000000000002</v>
      </c>
      <c r="IW5" s="22">
        <v>0.60624999999999996</v>
      </c>
      <c r="IX5" s="22">
        <v>0.60624999999999996</v>
      </c>
      <c r="IY5" s="22">
        <v>0.55902777777777779</v>
      </c>
      <c r="IZ5" s="22">
        <v>0.26874999999999999</v>
      </c>
      <c r="JA5" s="22">
        <v>0.6</v>
      </c>
      <c r="JB5" s="22">
        <v>0.93888888888888899</v>
      </c>
      <c r="JC5" s="22">
        <v>0.26805555555555555</v>
      </c>
      <c r="JD5" s="22">
        <v>0.27152777777777776</v>
      </c>
      <c r="JE5" s="22">
        <v>0.59722222222222221</v>
      </c>
      <c r="JF5" s="22">
        <v>0.93194444444444446</v>
      </c>
      <c r="JG5" s="22">
        <v>0.93333333333333324</v>
      </c>
      <c r="JH5" s="22">
        <v>0.59583333333333333</v>
      </c>
      <c r="JI5" s="22">
        <v>0.92986111111111114</v>
      </c>
      <c r="JJ5" s="22">
        <v>0.93194444444444446</v>
      </c>
      <c r="JK5" s="22">
        <v>0.92847222222222225</v>
      </c>
      <c r="JL5" s="22">
        <v>0.58819444444444446</v>
      </c>
      <c r="JM5" s="22">
        <v>0.92847222222222225</v>
      </c>
      <c r="JN5" s="22">
        <v>0.33888888888888885</v>
      </c>
      <c r="JO5" s="22">
        <v>0.33055555555555555</v>
      </c>
      <c r="JP5" s="22">
        <v>0.33402777777777781</v>
      </c>
      <c r="JQ5" s="22">
        <v>0.6069444444444444</v>
      </c>
      <c r="JR5" s="22">
        <v>0.32222222222222224</v>
      </c>
      <c r="JS5" s="22">
        <v>0.27847222222222223</v>
      </c>
      <c r="JT5" s="22">
        <v>0.27569444444444446</v>
      </c>
      <c r="JU5" s="22">
        <v>0.27500000000000002</v>
      </c>
      <c r="JV5" s="22">
        <v>0.60555555555555551</v>
      </c>
      <c r="JW5" s="22">
        <v>0.60624999999999996</v>
      </c>
      <c r="JX5" s="22">
        <v>0.60416666666666663</v>
      </c>
      <c r="JY5" s="22">
        <v>0.27500000000000002</v>
      </c>
      <c r="JZ5" s="22">
        <v>0.60624999999999996</v>
      </c>
      <c r="KA5" s="22">
        <v>0.60555555555555551</v>
      </c>
      <c r="KB5" s="22">
        <v>0.60277777777777775</v>
      </c>
      <c r="KC5" s="22">
        <v>0.60138888888888886</v>
      </c>
      <c r="KD5" s="22">
        <v>0.60138888888888886</v>
      </c>
      <c r="KE5" s="22">
        <v>0.26944444444444443</v>
      </c>
      <c r="KF5" s="22">
        <v>0.27152777777777776</v>
      </c>
      <c r="KG5" s="22">
        <v>0.6020833333333333</v>
      </c>
      <c r="KH5" s="22">
        <v>0.93819444444444444</v>
      </c>
      <c r="KI5" s="22">
        <v>0.59166666666666667</v>
      </c>
      <c r="KJ5" s="22">
        <v>0.93680555555555556</v>
      </c>
      <c r="KK5" s="22">
        <v>0.27013888888888887</v>
      </c>
      <c r="KL5" s="22">
        <v>0.93055555555555547</v>
      </c>
      <c r="KM5" s="22">
        <v>0.93402777777777779</v>
      </c>
      <c r="KN5" s="22">
        <v>0.93402777777777779</v>
      </c>
      <c r="KO5" s="22">
        <v>0.2673611111111111</v>
      </c>
      <c r="KP5" s="22">
        <v>0.26458333333333334</v>
      </c>
      <c r="KQ5" s="22">
        <v>0.93819444444444444</v>
      </c>
      <c r="KR5" s="22">
        <v>0.93680555555555556</v>
      </c>
      <c r="KS5" s="22">
        <v>0.26527777777777778</v>
      </c>
      <c r="KT5" s="22">
        <v>0.27291666666666664</v>
      </c>
      <c r="KU5" s="22">
        <v>0.93680555555555556</v>
      </c>
      <c r="KV5" s="22">
        <v>0.59583333333333333</v>
      </c>
      <c r="KW5" s="22">
        <v>0.26597222222222222</v>
      </c>
      <c r="KX5" s="22">
        <v>0.93541666666666667</v>
      </c>
      <c r="KY5" s="22">
        <v>0.93888888888888899</v>
      </c>
      <c r="KZ5" s="22">
        <v>0.93611111111111101</v>
      </c>
      <c r="LA5" s="22">
        <v>0.9291666666666667</v>
      </c>
      <c r="LB5" s="22">
        <v>0.59513888888888888</v>
      </c>
      <c r="LC5" s="22">
        <v>0.26041666666666669</v>
      </c>
      <c r="LD5" s="22">
        <v>0.59097222222222223</v>
      </c>
      <c r="LE5" s="22">
        <v>0.59583333333333333</v>
      </c>
      <c r="LF5" s="22">
        <v>0.26111111111111113</v>
      </c>
      <c r="LG5" s="22">
        <v>0.25972222222222224</v>
      </c>
      <c r="LH5" s="22">
        <v>0.92986111111111114</v>
      </c>
      <c r="LI5" s="22">
        <v>0.59097222222222223</v>
      </c>
      <c r="LJ5" s="22">
        <v>0.9243055555555556</v>
      </c>
      <c r="LK5" s="22">
        <v>0.25277777777777777</v>
      </c>
      <c r="LL5" s="22">
        <v>0.3444444444444445</v>
      </c>
      <c r="LM5" s="22">
        <v>0.24722222222222223</v>
      </c>
      <c r="LN5" s="22">
        <v>0.92083333333333339</v>
      </c>
      <c r="LO5" s="22">
        <v>0.9159722222222223</v>
      </c>
      <c r="LP5" s="22">
        <v>0.34583333333333338</v>
      </c>
      <c r="LQ5" s="22">
        <v>0.33888888888888885</v>
      </c>
      <c r="LR5" s="22">
        <v>0.33194444444444443</v>
      </c>
      <c r="LS5" s="22">
        <v>0.3611111111111111</v>
      </c>
      <c r="LT5" s="22">
        <v>0.27569444444444446</v>
      </c>
      <c r="LU5" s="22">
        <v>0.26597222222222222</v>
      </c>
      <c r="LV5" s="22">
        <v>0.26597222222222222</v>
      </c>
      <c r="LW5" s="22">
        <v>0.2590277777777778</v>
      </c>
      <c r="LX5" s="22">
        <v>0.36527777777777781</v>
      </c>
      <c r="LY5" s="22">
        <v>0.26597222222222222</v>
      </c>
      <c r="LZ5" s="22">
        <v>0.34861111111111115</v>
      </c>
      <c r="MA5" s="22">
        <v>0.5180555555555556</v>
      </c>
      <c r="MB5" s="22">
        <v>0.18958333333333333</v>
      </c>
      <c r="MC5" s="22">
        <v>0.41736111111111113</v>
      </c>
      <c r="MD5" s="22">
        <v>0.5854166666666667</v>
      </c>
      <c r="ME5" s="22">
        <v>0.92500000000000004</v>
      </c>
      <c r="MF5" s="22">
        <v>0.29444444444444445</v>
      </c>
      <c r="MG5" s="22">
        <v>0.62291666666666667</v>
      </c>
      <c r="MH5" s="22">
        <v>0.6118055555555556</v>
      </c>
      <c r="MI5" s="22">
        <v>0.60416666666666663</v>
      </c>
      <c r="MJ5" s="22">
        <v>0.6069444444444444</v>
      </c>
      <c r="MK5" s="22">
        <v>0.27708333333333335</v>
      </c>
      <c r="ML5" s="22">
        <v>0.93888888888888899</v>
      </c>
      <c r="MM5" s="22">
        <v>0.59583333333333333</v>
      </c>
      <c r="MN5" s="22">
        <v>0.26666666666666666</v>
      </c>
      <c r="MO5" s="22">
        <v>0.26805555555555555</v>
      </c>
      <c r="MP5" s="22">
        <v>0.26597222222222222</v>
      </c>
      <c r="MQ5" s="22">
        <v>0.60069444444444442</v>
      </c>
      <c r="MR5" s="22">
        <v>0.94027777777777777</v>
      </c>
      <c r="MS5" s="22">
        <v>0.35972222222222222</v>
      </c>
      <c r="MT5" s="22">
        <v>0.93680555555555556</v>
      </c>
      <c r="MU5" s="22">
        <v>0.27569444444444446</v>
      </c>
      <c r="MV5" s="22">
        <v>0.2673611111111111</v>
      </c>
      <c r="MW5" s="22">
        <v>0.59791666666666665</v>
      </c>
      <c r="MX5" s="22">
        <v>0.59583333333333333</v>
      </c>
      <c r="MY5" s="22">
        <v>0.93263888888888891</v>
      </c>
      <c r="MZ5" s="22">
        <v>0.92847222222222225</v>
      </c>
      <c r="NA5" s="22">
        <v>0.59652777777777777</v>
      </c>
      <c r="NB5" s="22">
        <v>0.26041666666666669</v>
      </c>
      <c r="NC5" s="22">
        <v>0.92013888888888884</v>
      </c>
      <c r="ND5" s="22">
        <v>0.25416666666666665</v>
      </c>
      <c r="NE5" s="22">
        <v>0.91527777777777775</v>
      </c>
      <c r="NF5" s="22">
        <v>0.56944444444444442</v>
      </c>
      <c r="NG5" s="22">
        <v>0.27638888888888885</v>
      </c>
      <c r="NH5" s="22">
        <v>0.39166666666666666</v>
      </c>
      <c r="NI5" s="22">
        <v>0.39097222222222222</v>
      </c>
      <c r="NJ5" s="22">
        <v>0.39166666666666666</v>
      </c>
      <c r="NK5" s="22">
        <v>0.38611111111111113</v>
      </c>
      <c r="NL5" s="22">
        <v>0.86597222222222225</v>
      </c>
      <c r="NM5" s="22">
        <v>0.3888888888888889</v>
      </c>
      <c r="NN5" s="22">
        <v>0.29652777777777778</v>
      </c>
      <c r="NO5" s="22">
        <v>0.60555555555555551</v>
      </c>
      <c r="NP5" s="22">
        <v>0.59722222222222221</v>
      </c>
      <c r="NQ5" s="22">
        <v>0.27569444444444446</v>
      </c>
      <c r="NR5" s="22">
        <v>0.4055555555555555</v>
      </c>
      <c r="NS5" s="22">
        <v>0.4993055555555555</v>
      </c>
      <c r="NT5" s="22">
        <v>0.33194444444444443</v>
      </c>
      <c r="NU5" s="22">
        <v>0.5395833333333333</v>
      </c>
      <c r="NV5" s="22">
        <v>0.60763888888888895</v>
      </c>
      <c r="NW5" s="22">
        <v>0.59791666666666665</v>
      </c>
      <c r="NX5" s="22">
        <v>0.94236111111111109</v>
      </c>
      <c r="NY5" s="22">
        <v>0.58958333333333335</v>
      </c>
      <c r="NZ5" s="22">
        <v>0.23402777777777781</v>
      </c>
      <c r="OA5" s="22">
        <v>0.9194444444444444</v>
      </c>
      <c r="OB5" s="22">
        <v>0.27291666666666664</v>
      </c>
      <c r="OC5" s="22">
        <v>0.93194444444444446</v>
      </c>
      <c r="OD5" s="22">
        <v>0.9458333333333333</v>
      </c>
      <c r="OE5" s="22">
        <v>0.23402777777777781</v>
      </c>
      <c r="OF5" s="22">
        <v>0.9458333333333333</v>
      </c>
      <c r="OG5" s="22">
        <v>0.23333333333333331</v>
      </c>
      <c r="OH5" s="22">
        <v>0.23333333333333331</v>
      </c>
      <c r="OI5" s="22">
        <v>0.23402777777777781</v>
      </c>
      <c r="OJ5" s="22">
        <v>0.56527777777777777</v>
      </c>
      <c r="OK5" s="22">
        <v>0.89930555555555547</v>
      </c>
      <c r="OL5" s="22">
        <v>0.93958333333333333</v>
      </c>
      <c r="OM5" s="22">
        <v>0.22569444444444445</v>
      </c>
      <c r="ON5" s="22">
        <v>0.92152777777777783</v>
      </c>
      <c r="OO5" s="22">
        <v>0.53402777777777777</v>
      </c>
      <c r="OP5" s="22">
        <v>0.52986111111111112</v>
      </c>
      <c r="OQ5" s="22">
        <v>0.52777777777777779</v>
      </c>
      <c r="OR5" s="22">
        <v>0.51944444444444449</v>
      </c>
      <c r="OS5" s="22">
        <v>0.23333333333333331</v>
      </c>
      <c r="OT5" s="22">
        <v>0.26666666666666666</v>
      </c>
      <c r="OU5" s="22">
        <v>0.61527777777777781</v>
      </c>
      <c r="OV5" s="22">
        <v>0.27916666666666667</v>
      </c>
      <c r="OW5" s="22">
        <v>0.28472222222222221</v>
      </c>
      <c r="OX5" s="22">
        <v>0.27430555555555552</v>
      </c>
      <c r="OY5" s="22">
        <v>0.94097222222222221</v>
      </c>
      <c r="OZ5" s="22">
        <v>0.26874999999999999</v>
      </c>
      <c r="PA5" s="22">
        <v>0.59930555555555554</v>
      </c>
      <c r="PB5" s="22">
        <v>0.26874999999999999</v>
      </c>
      <c r="PC5" s="22">
        <v>0.59722222222222221</v>
      </c>
      <c r="PD5" s="22">
        <v>0.59652777777777777</v>
      </c>
      <c r="PE5" s="22">
        <v>0.93402777777777779</v>
      </c>
      <c r="PF5" s="22">
        <v>0.93333333333333324</v>
      </c>
      <c r="PG5" s="22">
        <v>0.93194444444444446</v>
      </c>
      <c r="PH5" s="22">
        <v>0.93263888888888891</v>
      </c>
      <c r="PI5" s="22">
        <v>0.9291666666666667</v>
      </c>
      <c r="PJ5" s="22">
        <v>0.48055555555555557</v>
      </c>
      <c r="PK5" s="22">
        <v>0.29444444444444445</v>
      </c>
      <c r="PL5" s="22">
        <v>0.28819444444444448</v>
      </c>
      <c r="PM5" s="22">
        <v>0.9194444444444444</v>
      </c>
      <c r="PN5" s="22">
        <v>0.60555555555555551</v>
      </c>
      <c r="PO5" s="22">
        <v>0.6020833333333333</v>
      </c>
      <c r="PP5" s="22">
        <v>0.26527777777777778</v>
      </c>
      <c r="PQ5" s="22">
        <v>0.59722222222222221</v>
      </c>
      <c r="PR5" s="22">
        <v>0.93680555555555556</v>
      </c>
      <c r="PS5" s="22">
        <v>0.59583333333333333</v>
      </c>
      <c r="PT5" s="22">
        <v>0.59305555555555556</v>
      </c>
      <c r="PU5" s="22">
        <v>0.93055555555555547</v>
      </c>
      <c r="PV5" s="22">
        <v>0.92847222222222225</v>
      </c>
      <c r="PW5" s="22">
        <v>0.42222222222222222</v>
      </c>
      <c r="PX5" s="22">
        <v>0.74444444444444446</v>
      </c>
      <c r="PY5" s="22">
        <v>0.5444444444444444</v>
      </c>
      <c r="PZ5" s="22">
        <v>0.63194444444444442</v>
      </c>
      <c r="QA5" s="22">
        <v>0.30416666666666664</v>
      </c>
      <c r="QB5" s="22">
        <v>0.63055555555555554</v>
      </c>
      <c r="QC5" s="22">
        <v>0.63055555555555554</v>
      </c>
      <c r="QD5" s="22">
        <v>0.6069444444444444</v>
      </c>
      <c r="QE5" s="22">
        <v>0.29305555555555557</v>
      </c>
      <c r="QF5" s="22">
        <v>0.94027777777777777</v>
      </c>
      <c r="QG5" s="22">
        <v>0.31805555555555554</v>
      </c>
      <c r="QH5" s="22">
        <v>0.60902777777777783</v>
      </c>
      <c r="QI5" s="22">
        <v>0.94652777777777775</v>
      </c>
      <c r="QJ5" s="22">
        <v>0.28125</v>
      </c>
      <c r="QK5" s="22">
        <v>0.93611111111111101</v>
      </c>
      <c r="QL5" s="22">
        <v>0.29097222222222224</v>
      </c>
      <c r="QM5" s="22">
        <v>0.31527777777777777</v>
      </c>
      <c r="QN5" s="22">
        <v>0.60763888888888895</v>
      </c>
      <c r="QO5" s="22">
        <v>0.92222222222222217</v>
      </c>
      <c r="QP5" s="22">
        <v>0.60763888888888895</v>
      </c>
      <c r="QQ5" s="22">
        <v>0.27638888888888885</v>
      </c>
      <c r="QR5" s="22">
        <v>0.6069444444444444</v>
      </c>
      <c r="QS5" s="22">
        <v>0.60624999999999996</v>
      </c>
      <c r="QT5" s="22">
        <v>0.27916666666666667</v>
      </c>
      <c r="QU5" s="22">
        <v>0.27083333333333331</v>
      </c>
      <c r="QV5" s="22">
        <v>0.59444444444444444</v>
      </c>
      <c r="QW5" s="22">
        <v>0.59444444444444444</v>
      </c>
      <c r="QX5" s="22">
        <v>0.6020833333333333</v>
      </c>
      <c r="QY5" s="22">
        <v>0.27986111111111112</v>
      </c>
      <c r="QZ5" s="22">
        <v>0.59722222222222221</v>
      </c>
      <c r="RA5" s="22">
        <v>0.59375</v>
      </c>
      <c r="RB5" s="22">
        <v>0.2722222222222222</v>
      </c>
      <c r="RC5" s="22">
        <v>0.59305555555555556</v>
      </c>
      <c r="RD5" s="22">
        <v>0.2722222222222222</v>
      </c>
      <c r="RE5" s="22">
        <v>0.26874999999999999</v>
      </c>
      <c r="RF5" s="22">
        <v>0.93194444444444446</v>
      </c>
      <c r="RG5" s="22">
        <v>0.93472222222222223</v>
      </c>
      <c r="RH5" s="22">
        <v>0.58819444444444446</v>
      </c>
      <c r="RI5" s="22">
        <v>0.58819444444444446</v>
      </c>
      <c r="RJ5" s="22">
        <v>0.59791666666666665</v>
      </c>
      <c r="RK5" s="22">
        <v>0.60138888888888886</v>
      </c>
      <c r="RL5" s="22">
        <v>0.60486111111111118</v>
      </c>
      <c r="RM5" s="22">
        <v>0.27708333333333335</v>
      </c>
      <c r="RN5" s="22">
        <v>0.60763888888888895</v>
      </c>
      <c r="RO5" s="22">
        <v>0.57708333333333328</v>
      </c>
      <c r="RP5" s="22">
        <v>0.93819444444444444</v>
      </c>
      <c r="RQ5" s="22">
        <v>0.93333333333333324</v>
      </c>
      <c r="RR5" s="22">
        <v>0.59583333333333333</v>
      </c>
      <c r="RS5" s="22">
        <v>0.58402777777777781</v>
      </c>
      <c r="RT5" s="22">
        <v>0.60069444444444442</v>
      </c>
      <c r="RU5" s="22">
        <v>0.93194444444444446</v>
      </c>
      <c r="RV5" s="22">
        <v>0.59166666666666667</v>
      </c>
      <c r="RW5" s="22">
        <v>0.59722222222222221</v>
      </c>
      <c r="RX5" s="22">
        <v>0.26805555555555555</v>
      </c>
      <c r="RY5" s="22">
        <v>0.58819444444444446</v>
      </c>
      <c r="RZ5" s="22">
        <v>0.60347222222222219</v>
      </c>
      <c r="SA5" s="22">
        <v>0.59236111111111112</v>
      </c>
      <c r="SB5" s="22">
        <v>0.93055555555555547</v>
      </c>
      <c r="SC5" s="22">
        <v>0.59513888888888888</v>
      </c>
      <c r="SD5" s="22">
        <v>0.93194444444444446</v>
      </c>
      <c r="SE5" s="22">
        <v>0.60277777777777775</v>
      </c>
      <c r="SF5" s="22">
        <v>0.59930555555555554</v>
      </c>
      <c r="SG5" s="22">
        <v>0.59305555555555556</v>
      </c>
      <c r="SH5" s="22">
        <v>0.26527777777777778</v>
      </c>
      <c r="SI5" s="22">
        <v>0.59652777777777777</v>
      </c>
      <c r="SJ5" s="22">
        <v>0.92986111111111114</v>
      </c>
      <c r="SK5" s="22">
        <v>0.3354166666666667</v>
      </c>
      <c r="SL5" s="22">
        <v>0.30138888888888887</v>
      </c>
      <c r="SM5" s="22">
        <v>0.57361111111111118</v>
      </c>
      <c r="SN5" s="22">
        <v>0.26527777777777778</v>
      </c>
      <c r="SO5" s="22">
        <v>0.93125000000000002</v>
      </c>
      <c r="SP5" s="22">
        <v>0.94166666666666676</v>
      </c>
      <c r="SQ5" s="22">
        <v>0.59444444444444444</v>
      </c>
      <c r="SR5" s="22">
        <v>0.59583333333333333</v>
      </c>
      <c r="SS5" s="22">
        <v>0.30208333333333331</v>
      </c>
      <c r="ST5" s="22">
        <v>0.30208333333333331</v>
      </c>
      <c r="SU5" s="22">
        <v>0.26527777777777778</v>
      </c>
      <c r="SV5" s="22">
        <v>0.94166666666666676</v>
      </c>
      <c r="SW5" s="22">
        <v>0.26041666666666669</v>
      </c>
      <c r="SX5" s="22">
        <v>0.93194444444444446</v>
      </c>
      <c r="SY5" s="22">
        <v>0.3263888888888889</v>
      </c>
      <c r="SZ5" s="22">
        <v>0.59236111111111112</v>
      </c>
      <c r="TA5" s="22">
        <v>0.92083333333333339</v>
      </c>
      <c r="TB5" s="22">
        <v>0.93402777777777779</v>
      </c>
      <c r="TC5" s="22">
        <v>0.31597222222222221</v>
      </c>
      <c r="TD5" s="22">
        <v>0.59097222222222223</v>
      </c>
      <c r="TE5" s="22">
        <v>0.31944444444444448</v>
      </c>
      <c r="TF5" s="22">
        <v>0.93055555555555547</v>
      </c>
      <c r="TG5" s="22">
        <v>0.94374999999999998</v>
      </c>
      <c r="TH5" s="22">
        <v>0.60347222222222219</v>
      </c>
      <c r="TI5" s="22">
        <v>0.27847222222222223</v>
      </c>
      <c r="TJ5" s="22">
        <v>0.94027777777777777</v>
      </c>
      <c r="TK5" s="22">
        <v>0.57499999999999996</v>
      </c>
      <c r="TL5" s="22">
        <v>0.27638888888888885</v>
      </c>
      <c r="TM5" s="22">
        <v>0.26041666666666669</v>
      </c>
      <c r="TN5" s="22">
        <v>0.46458333333333335</v>
      </c>
      <c r="TO5" s="22">
        <v>0.90416666666666667</v>
      </c>
      <c r="TP5" s="22">
        <v>0.61041666666666672</v>
      </c>
      <c r="TQ5" s="22">
        <v>0.37986111111111115</v>
      </c>
      <c r="TR5" s="22">
        <v>0.28333333333333333</v>
      </c>
      <c r="TS5" s="22">
        <v>0.3</v>
      </c>
      <c r="TT5" s="22">
        <v>0.92222222222222217</v>
      </c>
      <c r="TU5" s="22">
        <v>0.30625000000000002</v>
      </c>
      <c r="TV5" s="22">
        <v>0.30069444444444443</v>
      </c>
      <c r="TW5" s="22">
        <v>0.60902777777777783</v>
      </c>
      <c r="TX5" s="22">
        <v>0.29652777777777778</v>
      </c>
      <c r="TY5" s="22">
        <v>0.3</v>
      </c>
      <c r="TZ5" s="22">
        <v>0.3</v>
      </c>
      <c r="UA5" s="22">
        <v>0.38611111111111113</v>
      </c>
      <c r="UB5" s="22">
        <v>0.61875000000000002</v>
      </c>
      <c r="UC5" s="22">
        <v>0.26180555555555557</v>
      </c>
      <c r="UD5" s="22">
        <v>0.88749999999999996</v>
      </c>
      <c r="UE5" s="22">
        <v>0.6166666666666667</v>
      </c>
      <c r="UF5" s="22">
        <v>0.29652777777777778</v>
      </c>
      <c r="UG5" s="22">
        <v>0.25486111111111109</v>
      </c>
      <c r="UH5" s="22">
        <v>0.58819444444444446</v>
      </c>
      <c r="UI5" s="22">
        <v>0.59166666666666667</v>
      </c>
      <c r="UJ5" s="22">
        <v>0.91180555555555554</v>
      </c>
      <c r="UK5" s="22">
        <v>0.91180555555555554</v>
      </c>
      <c r="UL5" s="22">
        <v>0.96250000000000002</v>
      </c>
      <c r="UM5" s="22">
        <v>0.96250000000000002</v>
      </c>
      <c r="UN5" s="22">
        <v>0.90972222222222221</v>
      </c>
      <c r="UO5" s="22">
        <v>0.56180555555555556</v>
      </c>
      <c r="UP5" s="22">
        <v>0.93541666666666667</v>
      </c>
      <c r="UQ5" s="22">
        <v>0.30972222222222223</v>
      </c>
      <c r="UR5" s="22">
        <v>0.93819444444444444</v>
      </c>
      <c r="US5" s="22">
        <v>0.87083333333333324</v>
      </c>
      <c r="UT5" s="22">
        <v>0.30208333333333331</v>
      </c>
      <c r="UU5" s="22">
        <v>0.26180555555555557</v>
      </c>
      <c r="UV5" s="22">
        <v>0.94444444444444453</v>
      </c>
      <c r="UW5" s="22">
        <v>0.57777777777777783</v>
      </c>
      <c r="UX5" s="22">
        <v>0.9506944444444444</v>
      </c>
      <c r="UY5" s="22">
        <v>0.62083333333333335</v>
      </c>
      <c r="UZ5" s="22">
        <v>0.3</v>
      </c>
      <c r="VA5" s="22">
        <v>0.60833333333333328</v>
      </c>
      <c r="VB5" s="22">
        <v>0.38611111111111113</v>
      </c>
      <c r="VC5" s="22">
        <v>0.37708333333333338</v>
      </c>
      <c r="VD5" s="22">
        <v>0.28194444444444444</v>
      </c>
      <c r="VE5" s="22">
        <v>0.27638888888888885</v>
      </c>
      <c r="VF5" s="22">
        <v>0.2673611111111111</v>
      </c>
      <c r="VG5" s="22">
        <v>0.26458333333333334</v>
      </c>
      <c r="VH5" s="22">
        <v>0.53055555555555556</v>
      </c>
      <c r="VI5" s="22">
        <v>0.27708333333333335</v>
      </c>
      <c r="VJ5" s="22">
        <v>0.27847222222222223</v>
      </c>
      <c r="VK5" s="22">
        <v>0.78194444444444444</v>
      </c>
      <c r="VL5" s="22">
        <v>0.27916666666666667</v>
      </c>
      <c r="VM5" s="22">
        <v>0.93611111111111101</v>
      </c>
      <c r="VN5" s="22">
        <v>0.27083333333333331</v>
      </c>
      <c r="VO5" s="22">
        <v>0.61111111111111105</v>
      </c>
      <c r="VP5" s="22">
        <v>0.6</v>
      </c>
      <c r="VQ5" s="22">
        <v>0.61111111111111105</v>
      </c>
      <c r="VR5" s="22">
        <v>0.64652777777777781</v>
      </c>
      <c r="VS5" s="22">
        <v>0.6381944444444444</v>
      </c>
      <c r="VT5" s="22">
        <v>0.26041666666666669</v>
      </c>
      <c r="VU5" s="22">
        <v>0.9458333333333333</v>
      </c>
      <c r="VV5" s="22">
        <v>0.75208333333333333</v>
      </c>
      <c r="VW5" s="22">
        <v>0.23402777777777781</v>
      </c>
      <c r="VX5" s="22">
        <v>0.73263888888888884</v>
      </c>
      <c r="VY5" s="22">
        <v>0.73263888888888884</v>
      </c>
    </row>
    <row r="6" spans="1:597" x14ac:dyDescent="0.3">
      <c r="A6" s="20" t="s">
        <v>728</v>
      </c>
      <c r="B6" s="22">
        <v>0.27152777777777776</v>
      </c>
      <c r="C6" s="22">
        <v>0.27083333333333331</v>
      </c>
      <c r="D6" s="22">
        <v>0.27430555555555552</v>
      </c>
      <c r="E6" s="22">
        <v>0.27013888888888887</v>
      </c>
      <c r="F6" s="22">
        <v>0.94097222222222221</v>
      </c>
      <c r="G6" s="22">
        <v>0.93819444444444444</v>
      </c>
      <c r="H6" s="22">
        <v>0.27152777777777776</v>
      </c>
      <c r="I6" s="22">
        <v>0.93819444444444444</v>
      </c>
      <c r="J6" s="22">
        <v>0.93680555555555556</v>
      </c>
      <c r="K6" s="22">
        <v>0.2722222222222222</v>
      </c>
      <c r="L6" s="22">
        <v>0.61111111111111105</v>
      </c>
      <c r="M6" s="22">
        <v>0.2722222222222222</v>
      </c>
      <c r="N6" s="22">
        <v>0.27430555555555552</v>
      </c>
      <c r="O6" s="22">
        <v>0.61111111111111105</v>
      </c>
      <c r="P6" s="22">
        <v>0.94166666666666676</v>
      </c>
      <c r="Q6" s="22">
        <v>0.27708333333333335</v>
      </c>
      <c r="R6" s="22">
        <v>0.85972222222222217</v>
      </c>
      <c r="S6" s="22">
        <v>0.61111111111111105</v>
      </c>
      <c r="T6" s="22">
        <v>0.60972222222222217</v>
      </c>
      <c r="U6" s="22">
        <v>0.60277777777777775</v>
      </c>
      <c r="V6" s="22">
        <v>0.27500000000000002</v>
      </c>
      <c r="W6" s="22">
        <v>0.60624999999999996</v>
      </c>
      <c r="X6" s="22">
        <v>0.73124999999999996</v>
      </c>
      <c r="Y6" s="22">
        <v>0.29791666666666666</v>
      </c>
      <c r="Z6" s="22">
        <v>0.75763888888888886</v>
      </c>
      <c r="AA6" s="22">
        <v>0.71180555555555547</v>
      </c>
      <c r="AB6" s="22">
        <v>0.71111111111111114</v>
      </c>
      <c r="AC6" s="22">
        <v>0.31319444444444444</v>
      </c>
      <c r="AD6" s="22">
        <v>0.77361111111111114</v>
      </c>
      <c r="AE6" s="22">
        <v>0.77361111111111114</v>
      </c>
      <c r="AF6" s="22">
        <v>0.68333333333333324</v>
      </c>
      <c r="AG6" s="22">
        <v>0.68333333333333324</v>
      </c>
      <c r="AH6" s="22">
        <v>0.77638888888888891</v>
      </c>
      <c r="AI6" s="22">
        <v>0.68888888888888899</v>
      </c>
      <c r="AJ6" s="22">
        <v>0.68819444444444444</v>
      </c>
      <c r="AK6" s="22">
        <v>4.027777777777778E-2</v>
      </c>
      <c r="AL6" s="22">
        <v>0.9375</v>
      </c>
      <c r="AM6" s="22">
        <v>0.7319444444444444</v>
      </c>
      <c r="AN6" s="22">
        <v>0.73124999999999996</v>
      </c>
      <c r="AO6" s="22">
        <v>0.93888888888888899</v>
      </c>
      <c r="AP6" s="22">
        <v>0.77083333333333337</v>
      </c>
      <c r="AQ6" s="22">
        <v>0.77013888888888893</v>
      </c>
      <c r="AR6" s="22">
        <v>0.93888888888888899</v>
      </c>
      <c r="AS6" s="22">
        <v>0.93819444444444444</v>
      </c>
      <c r="AT6" s="22">
        <v>0.44513888888888892</v>
      </c>
      <c r="AU6" s="22">
        <v>0.94305555555555554</v>
      </c>
      <c r="AV6" s="22">
        <v>0.28055555555555556</v>
      </c>
      <c r="AW6" s="22">
        <v>0.93819444444444444</v>
      </c>
      <c r="AX6" s="22">
        <v>0.60763888888888895</v>
      </c>
      <c r="AY6" s="22">
        <v>0.27430555555555552</v>
      </c>
      <c r="AZ6" s="22">
        <v>0.9375</v>
      </c>
      <c r="BA6" s="22">
        <v>0.60486111111111118</v>
      </c>
      <c r="BB6" s="22">
        <v>0.60763888888888895</v>
      </c>
      <c r="BC6" s="22">
        <v>0.26874999999999999</v>
      </c>
      <c r="BD6" s="22">
        <v>0.61111111111111105</v>
      </c>
      <c r="BE6" s="22">
        <v>0.60347222222222219</v>
      </c>
      <c r="BF6" s="22">
        <v>0.27083333333333331</v>
      </c>
      <c r="BG6" s="22">
        <v>0.93819444444444444</v>
      </c>
      <c r="BH6" s="22">
        <v>0.92083333333333339</v>
      </c>
      <c r="BI6" s="22">
        <v>0.6020833333333333</v>
      </c>
      <c r="BJ6" s="22">
        <v>0.60277777777777775</v>
      </c>
      <c r="BK6" s="22">
        <v>0.93888888888888899</v>
      </c>
      <c r="BL6" s="22">
        <v>0.61111111111111105</v>
      </c>
      <c r="BM6" s="22">
        <v>0.26874999999999999</v>
      </c>
      <c r="BN6" s="22">
        <v>0.60555555555555551</v>
      </c>
      <c r="BO6" s="22">
        <v>0.60624999999999996</v>
      </c>
      <c r="BP6" s="22">
        <v>0.27152777777777776</v>
      </c>
      <c r="BQ6" s="22">
        <v>0.93888888888888899</v>
      </c>
      <c r="BR6" s="22">
        <v>0.27500000000000002</v>
      </c>
      <c r="BS6" s="22">
        <v>0.93819444444444444</v>
      </c>
      <c r="BT6" s="22">
        <v>0.93819444444444444</v>
      </c>
      <c r="BU6" s="22">
        <v>0.60624999999999996</v>
      </c>
      <c r="BV6" s="22">
        <v>0.26874999999999999</v>
      </c>
      <c r="BW6" s="22">
        <v>0.27569444444444446</v>
      </c>
      <c r="BX6" s="22">
        <v>0.27083333333333331</v>
      </c>
      <c r="BY6" s="22">
        <v>0.9375</v>
      </c>
      <c r="BZ6" s="22">
        <v>0.93819444444444444</v>
      </c>
      <c r="CA6" s="22">
        <v>0.27291666666666664</v>
      </c>
      <c r="CB6" s="22">
        <v>0.94097222222222221</v>
      </c>
      <c r="CC6" s="22">
        <v>0.94097222222222221</v>
      </c>
      <c r="CD6" s="22">
        <v>0.62638888888888888</v>
      </c>
      <c r="CE6" s="22">
        <v>0.60624999999999996</v>
      </c>
      <c r="CF6" s="22">
        <v>0.60833333333333328</v>
      </c>
      <c r="CG6" s="22">
        <v>0.27569444444444446</v>
      </c>
      <c r="CH6" s="22">
        <v>0.27569444444444446</v>
      </c>
      <c r="CI6" s="22">
        <v>0.28125</v>
      </c>
      <c r="CJ6" s="22">
        <v>0.28055555555555556</v>
      </c>
      <c r="CK6" s="22">
        <v>0.61319444444444449</v>
      </c>
      <c r="CL6" s="22">
        <v>0.60763888888888895</v>
      </c>
      <c r="CM6" s="22">
        <v>0.93611111111111101</v>
      </c>
      <c r="CN6" s="22">
        <v>0.60486111111111118</v>
      </c>
      <c r="CO6" s="22">
        <v>0.93819444444444444</v>
      </c>
      <c r="CP6" s="22">
        <v>0.27638888888888885</v>
      </c>
      <c r="CQ6" s="22">
        <v>0.62152777777777779</v>
      </c>
      <c r="CR6" s="22">
        <v>0.62569444444444444</v>
      </c>
      <c r="CS6" s="22">
        <v>0.625</v>
      </c>
      <c r="CT6" s="22">
        <v>0.61111111111111105</v>
      </c>
      <c r="CU6" s="22">
        <v>0.61111111111111105</v>
      </c>
      <c r="CV6" s="22">
        <v>0.93888888888888899</v>
      </c>
      <c r="CW6" s="22">
        <v>0.61250000000000004</v>
      </c>
      <c r="CX6" s="22">
        <v>0.93541666666666667</v>
      </c>
      <c r="CY6" s="22">
        <v>0.93472222222222223</v>
      </c>
      <c r="CZ6" s="22">
        <v>0.7597222222222223</v>
      </c>
      <c r="DA6" s="22">
        <v>0.77777777777777779</v>
      </c>
      <c r="DB6" s="22">
        <v>0.75694444444444453</v>
      </c>
      <c r="DC6" s="22">
        <v>0.82916666666666661</v>
      </c>
      <c r="DD6" s="22">
        <v>0.7909722222222223</v>
      </c>
      <c r="DE6" s="22">
        <v>0.9375</v>
      </c>
      <c r="DF6" s="22">
        <v>0.26805555555555555</v>
      </c>
      <c r="DG6" s="22">
        <v>0.27430555555555552</v>
      </c>
      <c r="DH6" s="22">
        <v>0.93055555555555547</v>
      </c>
      <c r="DI6" s="22">
        <v>0.94305555555555554</v>
      </c>
      <c r="DJ6" s="22">
        <v>0.9375</v>
      </c>
      <c r="DK6" s="22">
        <v>0.94166666666666676</v>
      </c>
      <c r="DL6" s="22">
        <v>0.95277777777777783</v>
      </c>
      <c r="DM6" s="22">
        <v>0.67847222222222225</v>
      </c>
      <c r="DN6" s="22">
        <v>0.75277777777777777</v>
      </c>
      <c r="DO6" s="22">
        <v>0.84444444444444444</v>
      </c>
      <c r="DP6" s="22">
        <v>0.8125</v>
      </c>
      <c r="DQ6" s="22">
        <v>4.6527777777777779E-2</v>
      </c>
      <c r="DR6" s="22">
        <v>0.87986111111111109</v>
      </c>
      <c r="DS6" s="22">
        <v>0.81944444444444453</v>
      </c>
      <c r="DT6" s="22">
        <v>0.77638888888888891</v>
      </c>
      <c r="DU6" s="22">
        <v>0.74583333333333324</v>
      </c>
      <c r="DV6" s="22">
        <v>0.9472222222222223</v>
      </c>
      <c r="DW6" s="22">
        <v>0.86388888888888893</v>
      </c>
      <c r="DX6" s="22">
        <v>0.76249999999999996</v>
      </c>
      <c r="DY6" s="22">
        <v>0.88124999999999998</v>
      </c>
      <c r="DZ6" s="22">
        <v>0.77777777777777779</v>
      </c>
      <c r="EA6" s="22">
        <v>0.8520833333333333</v>
      </c>
      <c r="EB6" s="22">
        <v>0.79166666666666663</v>
      </c>
      <c r="EC6" s="22">
        <v>0.79166666666666663</v>
      </c>
      <c r="ED6" s="22">
        <v>0.90763888888888899</v>
      </c>
      <c r="EE6" s="22">
        <v>0.86458333333333337</v>
      </c>
      <c r="EF6" s="22">
        <v>0.8125</v>
      </c>
      <c r="EG6" s="22">
        <v>0.8125</v>
      </c>
      <c r="EH6" s="22">
        <v>0.20486111111111113</v>
      </c>
      <c r="EI6" s="22">
        <v>0.93819444444444444</v>
      </c>
      <c r="EJ6" s="22">
        <v>0.84097222222222223</v>
      </c>
      <c r="EK6" s="22">
        <v>0.27777777777777779</v>
      </c>
      <c r="EL6" s="22">
        <v>0.93819444444444444</v>
      </c>
      <c r="EM6" s="22">
        <v>0.27916666666666667</v>
      </c>
      <c r="EN6" s="22">
        <v>0.28194444444444444</v>
      </c>
      <c r="EO6" s="22">
        <v>0.27708333333333335</v>
      </c>
      <c r="EP6" s="22">
        <v>0.27916666666666667</v>
      </c>
      <c r="EQ6" s="22">
        <v>0.60486111111111118</v>
      </c>
      <c r="ER6" s="22">
        <v>0.83958333333333324</v>
      </c>
      <c r="ES6" s="22">
        <v>0.28402777777777777</v>
      </c>
      <c r="ET6" s="22">
        <v>0.27916666666666667</v>
      </c>
      <c r="EU6" s="22">
        <v>0.61111111111111105</v>
      </c>
      <c r="EV6" s="22">
        <v>0.61111111111111105</v>
      </c>
      <c r="EW6" s="22">
        <v>0.28263888888888888</v>
      </c>
      <c r="EX6" s="22">
        <v>0.28125</v>
      </c>
      <c r="EY6" s="22">
        <v>0.75069444444444444</v>
      </c>
      <c r="EZ6" s="22">
        <v>0.29375000000000001</v>
      </c>
      <c r="FA6" s="22">
        <v>0.76875000000000004</v>
      </c>
      <c r="FB6" s="22">
        <v>0.76875000000000004</v>
      </c>
      <c r="FC6" s="22">
        <v>0.76458333333333339</v>
      </c>
      <c r="FD6" s="22">
        <v>0.84513888888888899</v>
      </c>
      <c r="FE6" s="22">
        <v>0.80208333333333337</v>
      </c>
      <c r="FF6" s="22">
        <v>0.80069444444444438</v>
      </c>
      <c r="FG6" s="22">
        <v>0.93888888888888899</v>
      </c>
      <c r="FH6" s="22">
        <v>0.8027777777777777</v>
      </c>
      <c r="FI6" s="22">
        <v>0.71111111111111114</v>
      </c>
      <c r="FJ6" s="22">
        <v>0.93680555555555556</v>
      </c>
      <c r="FK6" s="22">
        <v>0.7597222222222223</v>
      </c>
      <c r="FL6" s="22">
        <v>0.93680555555555556</v>
      </c>
      <c r="FM6" s="22">
        <v>0.93819444444444444</v>
      </c>
      <c r="FN6" s="22">
        <v>0.93888888888888899</v>
      </c>
      <c r="FO6" s="22">
        <v>0.75763888888888886</v>
      </c>
      <c r="FP6" s="22">
        <v>0.93888888888888899</v>
      </c>
      <c r="FQ6" s="22">
        <v>0.93680555555555556</v>
      </c>
      <c r="FR6" s="22">
        <v>0.93819444444444444</v>
      </c>
      <c r="FS6" s="22">
        <v>0.80069444444444438</v>
      </c>
      <c r="FT6" s="22">
        <v>0.79652777777777783</v>
      </c>
      <c r="FU6" s="22">
        <v>0.81736111111111109</v>
      </c>
      <c r="FV6" s="22">
        <v>0.92222222222222217</v>
      </c>
      <c r="FW6" s="21">
        <v>0</v>
      </c>
      <c r="FX6" s="22">
        <v>0.63611111111111118</v>
      </c>
      <c r="FY6" s="22">
        <v>0.62222222222222223</v>
      </c>
      <c r="FZ6" s="22">
        <v>0.27569444444444446</v>
      </c>
      <c r="GA6" s="22">
        <v>0.27569444444444446</v>
      </c>
      <c r="GB6" s="22">
        <v>0.92569444444444438</v>
      </c>
      <c r="GC6" s="22">
        <v>0.94166666666666676</v>
      </c>
      <c r="GD6" s="22">
        <v>0.27569444444444446</v>
      </c>
      <c r="GE6" s="22">
        <v>0.61388888888888882</v>
      </c>
      <c r="GF6" s="22">
        <v>0.62222222222222223</v>
      </c>
      <c r="GG6" s="22">
        <v>0.93611111111111101</v>
      </c>
      <c r="GH6" s="22">
        <v>0.60972222222222217</v>
      </c>
      <c r="GI6" s="22">
        <v>0.75208333333333333</v>
      </c>
      <c r="GJ6" s="22">
        <v>0.93541666666666667</v>
      </c>
      <c r="GK6" s="22">
        <v>0.60347222222222219</v>
      </c>
      <c r="GL6" s="22">
        <v>0.93541666666666667</v>
      </c>
      <c r="GM6" s="22">
        <v>0.27152777777777776</v>
      </c>
      <c r="GN6" s="22">
        <v>0.27013888888888887</v>
      </c>
      <c r="GO6" s="22">
        <v>0.60347222222222219</v>
      </c>
      <c r="GP6" s="22">
        <v>0.93819444444444444</v>
      </c>
      <c r="GQ6" s="22">
        <v>0.27847222222222223</v>
      </c>
      <c r="GR6" s="22">
        <v>0.60416666666666663</v>
      </c>
      <c r="GS6" s="22">
        <v>0.60069444444444442</v>
      </c>
      <c r="GT6" s="22">
        <v>0.26874999999999999</v>
      </c>
      <c r="GU6" s="22">
        <v>0.60138888888888886</v>
      </c>
      <c r="GV6" s="22">
        <v>0.27083333333333331</v>
      </c>
      <c r="GW6" s="22">
        <v>0.27430555555555552</v>
      </c>
      <c r="GX6" s="22">
        <v>0.93472222222222223</v>
      </c>
      <c r="GY6" s="22">
        <v>0.60624999999999996</v>
      </c>
      <c r="GZ6" s="22">
        <v>0.27083333333333331</v>
      </c>
      <c r="HA6" s="22">
        <v>0.60138888888888886</v>
      </c>
      <c r="HB6" s="22">
        <v>0.60624999999999996</v>
      </c>
      <c r="HC6" s="22">
        <v>0.60416666666666663</v>
      </c>
      <c r="HD6" s="22">
        <v>0.93611111111111101</v>
      </c>
      <c r="HE6" s="22">
        <v>0.27430555555555552</v>
      </c>
      <c r="HF6" s="22">
        <v>0.60138888888888886</v>
      </c>
      <c r="HG6" s="22">
        <v>0.60277777777777775</v>
      </c>
      <c r="HH6" s="22">
        <v>0.60972222222222217</v>
      </c>
      <c r="HI6" s="22">
        <v>0.27361111111111108</v>
      </c>
      <c r="HJ6" s="22">
        <v>0.27361111111111108</v>
      </c>
      <c r="HK6" s="22">
        <v>0.27083333333333331</v>
      </c>
      <c r="HL6" s="22">
        <v>0.60486111111111118</v>
      </c>
      <c r="HM6" s="22">
        <v>0.60833333333333328</v>
      </c>
      <c r="HN6" s="22">
        <v>0.60138888888888886</v>
      </c>
      <c r="HO6" s="22">
        <v>0.93611111111111101</v>
      </c>
      <c r="HP6" s="22">
        <v>0.93611111111111101</v>
      </c>
      <c r="HQ6" s="22">
        <v>0.93611111111111101</v>
      </c>
      <c r="HR6" s="22">
        <v>0.60347222222222219</v>
      </c>
      <c r="HS6" s="22">
        <v>0.93541666666666667</v>
      </c>
      <c r="HT6" s="22">
        <v>0.27430555555555552</v>
      </c>
      <c r="HU6" s="22">
        <v>0.60833333333333328</v>
      </c>
      <c r="HV6" s="22">
        <v>0.93541666666666667</v>
      </c>
      <c r="HW6" s="22">
        <v>0.93958333333333333</v>
      </c>
      <c r="HX6" s="22">
        <v>0.60347222222222219</v>
      </c>
      <c r="HY6" s="22">
        <v>0.27500000000000002</v>
      </c>
      <c r="HZ6" s="22">
        <v>0.27430555555555552</v>
      </c>
      <c r="IA6" s="22">
        <v>0.60347222222222219</v>
      </c>
      <c r="IB6" s="22">
        <v>0.27430555555555552</v>
      </c>
      <c r="IC6" s="22">
        <v>0.27847222222222223</v>
      </c>
      <c r="ID6" s="22">
        <v>0.60624999999999996</v>
      </c>
      <c r="IE6" s="22">
        <v>0.59930555555555554</v>
      </c>
      <c r="IF6" s="22">
        <v>0.59930555555555554</v>
      </c>
      <c r="IG6" s="22">
        <v>0.60486111111111118</v>
      </c>
      <c r="IH6" s="22">
        <v>0.60486111111111118</v>
      </c>
      <c r="II6" s="22">
        <v>0.60763888888888895</v>
      </c>
      <c r="IJ6" s="22">
        <v>0.27430555555555552</v>
      </c>
      <c r="IK6" s="22">
        <v>0.27500000000000002</v>
      </c>
      <c r="IL6" s="22">
        <v>0.60763888888888895</v>
      </c>
      <c r="IM6" s="22">
        <v>0.60277777777777775</v>
      </c>
      <c r="IN6" s="22">
        <v>0.94027777777777777</v>
      </c>
      <c r="IO6" s="22">
        <v>0.60486111111111118</v>
      </c>
      <c r="IP6" s="22">
        <v>0.93819444444444444</v>
      </c>
      <c r="IQ6" s="22">
        <v>0.27986111111111112</v>
      </c>
      <c r="IR6" s="22">
        <v>0.39583333333333331</v>
      </c>
      <c r="IS6" s="22">
        <v>0.92361111111111116</v>
      </c>
      <c r="IT6" s="21">
        <v>0</v>
      </c>
      <c r="IU6" s="22">
        <v>0.60624999999999996</v>
      </c>
      <c r="IV6" s="22">
        <v>0.60624999999999996</v>
      </c>
      <c r="IW6" s="22">
        <v>0.9375</v>
      </c>
      <c r="IX6" s="22">
        <v>0.9375</v>
      </c>
      <c r="IY6" s="22">
        <v>0.89097222222222217</v>
      </c>
      <c r="IZ6" s="22">
        <v>0.6020833333333333</v>
      </c>
      <c r="JA6" s="22">
        <v>0.93472222222222223</v>
      </c>
      <c r="JB6" s="22">
        <v>0.27500000000000002</v>
      </c>
      <c r="JC6" s="22">
        <v>0.60555555555555551</v>
      </c>
      <c r="JD6" s="22">
        <v>0.60972222222222217</v>
      </c>
      <c r="JE6" s="22">
        <v>0.9375</v>
      </c>
      <c r="JF6" s="22">
        <v>0.27361111111111108</v>
      </c>
      <c r="JG6" s="22">
        <v>0.27500000000000002</v>
      </c>
      <c r="JH6" s="22">
        <v>0.93819444444444444</v>
      </c>
      <c r="JI6" s="22">
        <v>0.27361111111111108</v>
      </c>
      <c r="JJ6" s="22">
        <v>0.27708333333333335</v>
      </c>
      <c r="JK6" s="22">
        <v>0.27500000000000002</v>
      </c>
      <c r="JL6" s="22">
        <v>0.93888888888888899</v>
      </c>
      <c r="JM6" s="22">
        <v>0.27986111111111112</v>
      </c>
      <c r="JN6" s="22">
        <v>0.71111111111111114</v>
      </c>
      <c r="JO6" s="22">
        <v>0.71388888888888891</v>
      </c>
      <c r="JP6" s="22">
        <v>0.64930555555555558</v>
      </c>
      <c r="JQ6" s="22">
        <v>0.93333333333333324</v>
      </c>
      <c r="JR6" s="22">
        <v>0.64930555555555558</v>
      </c>
      <c r="JS6" s="22">
        <v>0.6069444444444444</v>
      </c>
      <c r="JT6" s="22">
        <v>0.60416666666666663</v>
      </c>
      <c r="JU6" s="22">
        <v>0.60555555555555551</v>
      </c>
      <c r="JV6" s="22">
        <v>0.93611111111111101</v>
      </c>
      <c r="JW6" s="22">
        <v>0.93819444444444444</v>
      </c>
      <c r="JX6" s="22">
        <v>0.93611111111111101</v>
      </c>
      <c r="JY6" s="22">
        <v>0.6069444444444444</v>
      </c>
      <c r="JZ6" s="22">
        <v>0.93819444444444444</v>
      </c>
      <c r="KA6" s="22">
        <v>0.93888888888888899</v>
      </c>
      <c r="KB6" s="22">
        <v>0.93611111111111101</v>
      </c>
      <c r="KC6" s="22">
        <v>0.93541666666666667</v>
      </c>
      <c r="KD6" s="22">
        <v>0.93611111111111101</v>
      </c>
      <c r="KE6" s="22">
        <v>0.60486111111111118</v>
      </c>
      <c r="KF6" s="22">
        <v>0.6069444444444444</v>
      </c>
      <c r="KG6" s="22">
        <v>0.93888888888888899</v>
      </c>
      <c r="KH6" s="22">
        <v>0.27569444444444446</v>
      </c>
      <c r="KI6" s="22">
        <v>0.9291666666666667</v>
      </c>
      <c r="KJ6" s="22">
        <v>0.27430555555555552</v>
      </c>
      <c r="KK6" s="22">
        <v>0.60833333333333328</v>
      </c>
      <c r="KL6" s="22">
        <v>0.26874999999999999</v>
      </c>
      <c r="KM6" s="22">
        <v>0.27291666666666664</v>
      </c>
      <c r="KN6" s="22">
        <v>0.27291666666666664</v>
      </c>
      <c r="KO6" s="22">
        <v>0.60763888888888895</v>
      </c>
      <c r="KP6" s="22">
        <v>0.60486111111111118</v>
      </c>
      <c r="KQ6" s="22">
        <v>0.27916666666666667</v>
      </c>
      <c r="KR6" s="22">
        <v>0.27777777777777779</v>
      </c>
      <c r="KS6" s="22">
        <v>0.60624999999999996</v>
      </c>
      <c r="KT6" s="22">
        <v>0.61388888888888882</v>
      </c>
      <c r="KU6" s="22">
        <v>0.27847222222222223</v>
      </c>
      <c r="KV6" s="22">
        <v>0.93819444444444444</v>
      </c>
      <c r="KW6" s="22">
        <v>0.60833333333333328</v>
      </c>
      <c r="KX6" s="22">
        <v>0.27847222222222223</v>
      </c>
      <c r="KY6" s="22">
        <v>0.28194444444444444</v>
      </c>
      <c r="KZ6" s="22">
        <v>0.27916666666666667</v>
      </c>
      <c r="LA6" s="22">
        <v>0.27291666666666664</v>
      </c>
      <c r="LB6" s="22">
        <v>0.93958333333333333</v>
      </c>
      <c r="LC6" s="22">
        <v>0.60555555555555551</v>
      </c>
      <c r="LD6" s="22">
        <v>0.93680555555555556</v>
      </c>
      <c r="LE6" s="22">
        <v>0.94236111111111109</v>
      </c>
      <c r="LF6" s="22">
        <v>0.60833333333333328</v>
      </c>
      <c r="LG6" s="22">
        <v>0.60763888888888895</v>
      </c>
      <c r="LH6" s="22">
        <v>0.27777777777777779</v>
      </c>
      <c r="LI6" s="22">
        <v>0.93958333333333333</v>
      </c>
      <c r="LJ6" s="22">
        <v>0.27430555555555552</v>
      </c>
      <c r="LK6" s="22">
        <v>0.60624999999999996</v>
      </c>
      <c r="LL6" s="22">
        <v>0.69930555555555562</v>
      </c>
      <c r="LM6" s="22">
        <v>0.60486111111111118</v>
      </c>
      <c r="LN6" s="22">
        <v>0.27847222222222223</v>
      </c>
      <c r="LO6" s="22">
        <v>0.27986111111111112</v>
      </c>
      <c r="LP6" s="22">
        <v>0.71111111111111114</v>
      </c>
      <c r="LQ6" s="22">
        <v>0.7104166666666667</v>
      </c>
      <c r="LR6" s="22">
        <v>0.7104166666666667</v>
      </c>
      <c r="LS6" s="22">
        <v>0.75486111111111109</v>
      </c>
      <c r="LT6" s="22">
        <v>0.64097222222222217</v>
      </c>
      <c r="LU6" s="22">
        <v>0.64166666666666672</v>
      </c>
      <c r="LV6" s="22">
        <v>0.64166666666666672</v>
      </c>
      <c r="LW6" s="22">
        <v>0.64166666666666672</v>
      </c>
      <c r="LX6" s="22">
        <v>0.75277777777777777</v>
      </c>
      <c r="LY6" s="22">
        <v>0.60347222222222219</v>
      </c>
      <c r="LZ6" s="22">
        <v>0.69513888888888886</v>
      </c>
      <c r="MA6" s="22">
        <v>0.87708333333333333</v>
      </c>
      <c r="MB6" s="22">
        <v>0.81388888888888899</v>
      </c>
      <c r="MC6" s="22">
        <v>0.78333333333333333</v>
      </c>
      <c r="MD6" s="22">
        <v>0.7631944444444444</v>
      </c>
      <c r="ME6" s="22">
        <v>0.21527777777777779</v>
      </c>
      <c r="MF6" s="22">
        <v>0.60763888888888895</v>
      </c>
      <c r="MG6" s="22">
        <v>0.94166666666666676</v>
      </c>
      <c r="MH6" s="22">
        <v>0.94236111111111109</v>
      </c>
      <c r="MI6" s="22">
        <v>0.93611111111111101</v>
      </c>
      <c r="MJ6" s="22">
        <v>0.94097222222222221</v>
      </c>
      <c r="MK6" s="22">
        <v>0.6118055555555556</v>
      </c>
      <c r="ML6" s="22">
        <v>0.27430555555555552</v>
      </c>
      <c r="MM6" s="22">
        <v>0.93263888888888891</v>
      </c>
      <c r="MN6" s="22">
        <v>0.60347222222222219</v>
      </c>
      <c r="MO6" s="22">
        <v>0.60624999999999996</v>
      </c>
      <c r="MP6" s="22">
        <v>0.60486111111111118</v>
      </c>
      <c r="MQ6" s="22">
        <v>0.93958333333333333</v>
      </c>
      <c r="MR6" s="22">
        <v>0.27916666666666667</v>
      </c>
      <c r="MS6" s="22">
        <v>0.70208333333333339</v>
      </c>
      <c r="MT6" s="22">
        <v>0.27986111111111112</v>
      </c>
      <c r="MU6" s="22">
        <v>0.61875000000000002</v>
      </c>
      <c r="MV6" s="22">
        <v>0.61319444444444449</v>
      </c>
      <c r="MW6" s="22">
        <v>0.9458333333333333</v>
      </c>
      <c r="MX6" s="22">
        <v>0.94374999999999998</v>
      </c>
      <c r="MY6" s="22">
        <v>0.28125</v>
      </c>
      <c r="MZ6" s="22">
        <v>0.27708333333333335</v>
      </c>
      <c r="NA6" s="22">
        <v>0.94861111111111107</v>
      </c>
      <c r="NB6" s="22">
        <v>0.61388888888888882</v>
      </c>
      <c r="NC6" s="22">
        <v>0.27916666666666667</v>
      </c>
      <c r="ND6" s="22">
        <v>0.61597222222222225</v>
      </c>
      <c r="NE6" s="22">
        <v>0.27916666666666667</v>
      </c>
      <c r="NF6" s="22">
        <v>0.93541666666666667</v>
      </c>
      <c r="NG6" s="22">
        <v>0.65069444444444446</v>
      </c>
      <c r="NH6" s="22">
        <v>0.77638888888888891</v>
      </c>
      <c r="NI6" s="22">
        <v>0.80486111111111114</v>
      </c>
      <c r="NJ6" s="22">
        <v>0.81527777777777777</v>
      </c>
      <c r="NK6" s="22">
        <v>0.84861111111111109</v>
      </c>
      <c r="NL6" s="22">
        <v>0.34236111111111112</v>
      </c>
      <c r="NM6" s="22">
        <v>0.87638888888888899</v>
      </c>
      <c r="NN6" s="22">
        <v>0.93680555555555556</v>
      </c>
      <c r="NO6" s="22">
        <v>0.27152777777777776</v>
      </c>
      <c r="NP6" s="22">
        <v>0.26944444444444443</v>
      </c>
      <c r="NQ6" s="22">
        <v>0.26944444444444443</v>
      </c>
      <c r="NR6" s="22">
        <v>0.26944444444444443</v>
      </c>
      <c r="NS6" s="22">
        <v>0.26944444444444443</v>
      </c>
      <c r="NT6" s="22">
        <v>0.26944444444444443</v>
      </c>
      <c r="NU6" s="22">
        <v>0.26944444444444443</v>
      </c>
      <c r="NV6" s="22">
        <v>0.26944444444444443</v>
      </c>
      <c r="NW6" s="22">
        <v>0.26944444444444443</v>
      </c>
      <c r="NX6" s="22">
        <v>0.26944444444444443</v>
      </c>
      <c r="NY6" s="22">
        <v>0.26944444444444443</v>
      </c>
      <c r="NZ6" s="22">
        <v>0.26944444444444443</v>
      </c>
      <c r="OA6" s="22">
        <v>0.26944444444444443</v>
      </c>
      <c r="OB6" s="22">
        <v>0.26944444444444443</v>
      </c>
      <c r="OC6" s="22">
        <v>0.26944444444444443</v>
      </c>
      <c r="OD6" s="22">
        <v>0.26944444444444443</v>
      </c>
      <c r="OE6" s="22">
        <v>0.26944444444444443</v>
      </c>
      <c r="OF6" s="22">
        <v>0.26944444444444443</v>
      </c>
      <c r="OG6" s="22">
        <v>0.26944444444444443</v>
      </c>
      <c r="OH6" s="22">
        <v>0.26944444444444443</v>
      </c>
      <c r="OI6" s="22">
        <v>0.26944444444444443</v>
      </c>
      <c r="OJ6" s="22">
        <v>0.26944444444444443</v>
      </c>
      <c r="OK6" s="22">
        <v>0.26944444444444443</v>
      </c>
      <c r="OL6" s="22">
        <v>0.26944444444444443</v>
      </c>
      <c r="OM6" s="22">
        <v>0.26944444444444443</v>
      </c>
      <c r="ON6" s="22">
        <v>0.26944444444444443</v>
      </c>
      <c r="OO6" s="22">
        <v>0.26944444444444443</v>
      </c>
      <c r="OP6" s="22">
        <v>0.26944444444444443</v>
      </c>
      <c r="OQ6" s="22">
        <v>0.26944444444444443</v>
      </c>
      <c r="OR6" s="22">
        <v>0.26944444444444443</v>
      </c>
      <c r="OS6" s="22">
        <v>0.26944444444444443</v>
      </c>
      <c r="OT6" s="22">
        <v>0.26944444444444443</v>
      </c>
      <c r="OU6" s="22">
        <v>0.26944444444444443</v>
      </c>
      <c r="OV6" s="22">
        <v>0.26944444444444443</v>
      </c>
      <c r="OW6" s="22">
        <v>0.26944444444444443</v>
      </c>
      <c r="OX6" s="22">
        <v>0.26944444444444443</v>
      </c>
      <c r="OY6" s="22">
        <v>0.26944444444444443</v>
      </c>
      <c r="OZ6" s="22">
        <v>0.26944444444444443</v>
      </c>
      <c r="PA6" s="22">
        <v>0.26944444444444443</v>
      </c>
      <c r="PB6" s="22">
        <v>0.26944444444444443</v>
      </c>
      <c r="PC6" s="22">
        <v>0.26944444444444443</v>
      </c>
      <c r="PD6" s="22">
        <v>0.26944444444444443</v>
      </c>
      <c r="PE6" s="22">
        <v>0.26944444444444443</v>
      </c>
      <c r="PF6" s="22">
        <v>0.26944444444444443</v>
      </c>
      <c r="PG6" s="22">
        <v>0.26944444444444443</v>
      </c>
      <c r="PH6" s="22">
        <v>0.26944444444444443</v>
      </c>
      <c r="PI6" s="22">
        <v>0.26944444444444443</v>
      </c>
      <c r="PJ6" s="22">
        <v>0.26944444444444443</v>
      </c>
      <c r="PK6" s="22">
        <v>0.26944444444444443</v>
      </c>
      <c r="PL6" s="22">
        <v>0.26944444444444443</v>
      </c>
      <c r="PM6" s="22">
        <v>0.26944444444444443</v>
      </c>
      <c r="PN6" s="22">
        <v>0.26944444444444443</v>
      </c>
      <c r="PO6" s="22">
        <v>0.26944444444444443</v>
      </c>
      <c r="PP6" s="22">
        <v>0.26944444444444443</v>
      </c>
      <c r="PQ6" s="22">
        <v>0.26944444444444443</v>
      </c>
      <c r="PR6" s="22">
        <v>0.26944444444444443</v>
      </c>
      <c r="PS6" s="22">
        <v>0.26944444444444443</v>
      </c>
      <c r="PT6" s="22">
        <v>0.26944444444444443</v>
      </c>
      <c r="PU6" s="22">
        <v>0.26944444444444443</v>
      </c>
      <c r="PV6" s="22">
        <v>0.26944444444444443</v>
      </c>
      <c r="PW6" s="22">
        <v>0.26944444444444443</v>
      </c>
      <c r="PX6" s="22">
        <v>0.26944444444444443</v>
      </c>
      <c r="PY6" s="22">
        <v>0.26944444444444443</v>
      </c>
      <c r="PZ6" s="22">
        <v>0.26944444444444443</v>
      </c>
      <c r="QA6" s="22">
        <v>0.26944444444444443</v>
      </c>
      <c r="QB6" s="22">
        <v>0.26944444444444443</v>
      </c>
      <c r="QC6" s="22">
        <v>0.26944444444444443</v>
      </c>
      <c r="QD6" s="22">
        <v>0.26944444444444443</v>
      </c>
      <c r="QE6" s="22">
        <v>0.26944444444444443</v>
      </c>
      <c r="QF6" s="22">
        <v>0.26944444444444443</v>
      </c>
      <c r="QG6" s="22">
        <v>0.26944444444444443</v>
      </c>
      <c r="QH6" s="22">
        <v>0.26944444444444443</v>
      </c>
      <c r="QI6" s="22">
        <v>0.26944444444444443</v>
      </c>
      <c r="QJ6" s="22">
        <v>0.26944444444444443</v>
      </c>
      <c r="QK6" s="22">
        <v>0.26944444444444443</v>
      </c>
      <c r="QL6" s="22">
        <v>0.26944444444444443</v>
      </c>
      <c r="QM6" s="22">
        <v>0.26944444444444443</v>
      </c>
      <c r="QN6" s="22">
        <v>0.26944444444444443</v>
      </c>
      <c r="QO6" s="22">
        <v>0.26944444444444443</v>
      </c>
      <c r="QP6" s="22">
        <v>0.26944444444444443</v>
      </c>
      <c r="QQ6" s="22">
        <v>0.26944444444444443</v>
      </c>
      <c r="QR6" s="22">
        <v>0.26944444444444443</v>
      </c>
      <c r="QS6" s="22">
        <v>0.26944444444444443</v>
      </c>
      <c r="QT6" s="22">
        <v>0.26944444444444443</v>
      </c>
      <c r="QU6" s="22">
        <v>0.26944444444444443</v>
      </c>
      <c r="QV6" s="22">
        <v>0.26944444444444443</v>
      </c>
      <c r="QW6" s="22">
        <v>0.26944444444444443</v>
      </c>
      <c r="QX6" s="22">
        <v>0.26944444444444443</v>
      </c>
      <c r="QY6" s="22">
        <v>0.26944444444444443</v>
      </c>
      <c r="QZ6" s="22">
        <v>0.26944444444444443</v>
      </c>
      <c r="RA6" s="22">
        <v>0.26944444444444443</v>
      </c>
      <c r="RB6" s="22">
        <v>0.26944444444444443</v>
      </c>
      <c r="RC6" s="22">
        <v>0.26944444444444443</v>
      </c>
      <c r="RD6" s="22">
        <v>0.26944444444444443</v>
      </c>
      <c r="RE6" s="22">
        <v>0.26944444444444443</v>
      </c>
      <c r="RF6" s="22">
        <v>0.26944444444444443</v>
      </c>
      <c r="RG6" s="22">
        <v>0.26944444444444443</v>
      </c>
      <c r="RH6" s="22">
        <v>0.26944444444444443</v>
      </c>
      <c r="RI6" s="22">
        <v>0.26944444444444443</v>
      </c>
      <c r="RJ6" s="22">
        <v>0.26944444444444443</v>
      </c>
      <c r="RK6" s="22">
        <v>0.26944444444444443</v>
      </c>
      <c r="RL6" s="22">
        <v>0.26944444444444443</v>
      </c>
      <c r="RM6" s="22">
        <v>0.26944444444444443</v>
      </c>
      <c r="RN6" s="22">
        <v>0.26944444444444443</v>
      </c>
      <c r="RO6" s="22">
        <v>0.26944444444444443</v>
      </c>
      <c r="RP6" s="22">
        <v>0.26944444444444443</v>
      </c>
      <c r="RQ6" s="22">
        <v>0.26944444444444443</v>
      </c>
      <c r="RR6" s="22">
        <v>0.26944444444444443</v>
      </c>
      <c r="RS6" s="22">
        <v>0.26944444444444443</v>
      </c>
      <c r="RT6" s="22">
        <v>0.26944444444444443</v>
      </c>
      <c r="RU6" s="22">
        <v>0.26944444444444443</v>
      </c>
      <c r="RV6" s="22">
        <v>0.26944444444444443</v>
      </c>
      <c r="RW6" s="22">
        <v>0.26944444444444443</v>
      </c>
      <c r="RX6" s="22">
        <v>0.26944444444444443</v>
      </c>
      <c r="RY6" s="22">
        <v>0.26944444444444443</v>
      </c>
      <c r="RZ6" s="22">
        <v>0.26944444444444443</v>
      </c>
      <c r="SA6" s="22">
        <v>0.26944444444444443</v>
      </c>
      <c r="SB6" s="22">
        <v>0.26944444444444443</v>
      </c>
      <c r="SC6" s="22">
        <v>0.26944444444444443</v>
      </c>
      <c r="SD6" s="22">
        <v>0.26944444444444443</v>
      </c>
      <c r="SE6" s="22">
        <v>0.26944444444444443</v>
      </c>
      <c r="SF6" s="22">
        <v>0.26944444444444443</v>
      </c>
      <c r="SG6" s="22">
        <v>0.26944444444444443</v>
      </c>
      <c r="SH6" s="22">
        <v>0.26944444444444443</v>
      </c>
      <c r="SI6" s="22">
        <v>0.26944444444444443</v>
      </c>
      <c r="SJ6" s="22">
        <v>0.26944444444444443</v>
      </c>
      <c r="SK6" s="22">
        <v>0.26944444444444443</v>
      </c>
      <c r="SL6" s="22">
        <v>0.26944444444444443</v>
      </c>
      <c r="SM6" s="22">
        <v>0.26944444444444443</v>
      </c>
      <c r="SN6" s="22">
        <v>0.26944444444444443</v>
      </c>
      <c r="SO6" s="22">
        <v>0.26944444444444443</v>
      </c>
      <c r="SP6" s="22">
        <v>0.26944444444444443</v>
      </c>
      <c r="SQ6" s="22">
        <v>0.26944444444444443</v>
      </c>
      <c r="SR6" s="22">
        <v>0.26944444444444443</v>
      </c>
      <c r="SS6" s="22">
        <v>0.26944444444444443</v>
      </c>
      <c r="ST6" s="22">
        <v>0.26944444444444443</v>
      </c>
      <c r="SU6" s="22">
        <v>0.26944444444444443</v>
      </c>
      <c r="SV6" s="22">
        <v>0.26944444444444443</v>
      </c>
      <c r="SW6" s="22">
        <v>0.26944444444444443</v>
      </c>
      <c r="SX6" s="22">
        <v>0.26944444444444443</v>
      </c>
      <c r="SY6" s="22">
        <v>0.26944444444444443</v>
      </c>
      <c r="SZ6" s="22">
        <v>0.26944444444444443</v>
      </c>
      <c r="TA6" s="22">
        <v>0.26944444444444443</v>
      </c>
      <c r="TB6" s="22">
        <v>0.26944444444444443</v>
      </c>
      <c r="TC6" s="22">
        <v>0.26944444444444443</v>
      </c>
      <c r="TD6" s="22">
        <v>0.26944444444444443</v>
      </c>
      <c r="TE6" s="22">
        <v>0.26944444444444443</v>
      </c>
      <c r="TF6" s="22">
        <v>0.26944444444444443</v>
      </c>
      <c r="TG6" s="22">
        <v>0.26944444444444443</v>
      </c>
      <c r="TH6" s="22">
        <v>0.26944444444444443</v>
      </c>
      <c r="TI6" s="22">
        <v>0.26944444444444443</v>
      </c>
      <c r="TJ6" s="22">
        <v>0.26944444444444443</v>
      </c>
      <c r="TK6" s="22">
        <v>0.26944444444444443</v>
      </c>
      <c r="TL6" s="22">
        <v>0.26944444444444443</v>
      </c>
      <c r="TM6" s="22">
        <v>0.26944444444444443</v>
      </c>
      <c r="TN6" s="22">
        <v>0.26944444444444443</v>
      </c>
      <c r="TO6" s="22">
        <v>0.26944444444444443</v>
      </c>
      <c r="TP6" s="22">
        <v>0.26944444444444443</v>
      </c>
      <c r="TQ6" s="22">
        <v>0.26944444444444443</v>
      </c>
      <c r="TR6" s="22">
        <v>0.26944444444444443</v>
      </c>
      <c r="TS6" s="22">
        <v>0.26944444444444443</v>
      </c>
      <c r="TT6" s="22">
        <v>0.26944444444444443</v>
      </c>
      <c r="TU6" s="22">
        <v>0.26944444444444443</v>
      </c>
      <c r="TV6" s="22">
        <v>0.26944444444444443</v>
      </c>
      <c r="TW6" s="22">
        <v>0.26944444444444443</v>
      </c>
      <c r="TX6" s="22">
        <v>0.26944444444444443</v>
      </c>
      <c r="TY6" s="22">
        <v>0.26944444444444443</v>
      </c>
      <c r="TZ6" s="22">
        <v>0.26944444444444443</v>
      </c>
      <c r="UA6" s="22">
        <v>0.26944444444444443</v>
      </c>
      <c r="UB6" s="22">
        <v>0.26944444444444443</v>
      </c>
      <c r="UC6" s="22">
        <v>0.26944444444444443</v>
      </c>
      <c r="UD6" s="22">
        <v>0.26944444444444443</v>
      </c>
      <c r="UE6" s="22">
        <v>0.26944444444444443</v>
      </c>
      <c r="UF6" s="22">
        <v>0.26944444444444443</v>
      </c>
      <c r="UG6" s="22">
        <v>0.26944444444444443</v>
      </c>
      <c r="UH6" s="22">
        <v>0.26944444444444443</v>
      </c>
      <c r="UI6" s="22">
        <v>0.26944444444444443</v>
      </c>
      <c r="UJ6" s="22">
        <v>0.26944444444444443</v>
      </c>
      <c r="UK6" s="22">
        <v>0.26944444444444443</v>
      </c>
      <c r="UL6" s="22">
        <v>0.26944444444444443</v>
      </c>
      <c r="UM6" s="22">
        <v>0.26944444444444443</v>
      </c>
      <c r="UN6" s="22">
        <v>0.26944444444444443</v>
      </c>
      <c r="UO6" s="22">
        <v>0.26944444444444443</v>
      </c>
      <c r="UP6" s="22">
        <v>0.26944444444444443</v>
      </c>
      <c r="UQ6" s="22">
        <v>0.26944444444444443</v>
      </c>
      <c r="UR6" s="22">
        <v>0.26944444444444443</v>
      </c>
      <c r="US6" s="22">
        <v>0.26944444444444443</v>
      </c>
      <c r="UT6" s="22">
        <v>0.26944444444444443</v>
      </c>
      <c r="UU6" s="22">
        <v>0.26944444444444443</v>
      </c>
      <c r="UV6" s="22">
        <v>0.26944444444444443</v>
      </c>
      <c r="UW6" s="22">
        <v>0.26944444444444443</v>
      </c>
      <c r="UX6" s="22">
        <v>0.26944444444444443</v>
      </c>
      <c r="UY6" s="22">
        <v>0.26944444444444443</v>
      </c>
      <c r="UZ6" s="22">
        <v>0.26944444444444443</v>
      </c>
      <c r="VA6" s="22">
        <v>0.26944444444444443</v>
      </c>
      <c r="VB6" s="22">
        <v>0.26944444444444443</v>
      </c>
      <c r="VC6" s="22">
        <v>0.26944444444444443</v>
      </c>
      <c r="VD6" s="22">
        <v>0.26944444444444443</v>
      </c>
      <c r="VE6" s="22">
        <v>0.26944444444444443</v>
      </c>
      <c r="VF6" s="22">
        <v>0.26944444444444443</v>
      </c>
      <c r="VG6" s="22">
        <v>0.26944444444444443</v>
      </c>
      <c r="VH6" s="22">
        <v>0.26944444444444443</v>
      </c>
      <c r="VI6" s="22">
        <v>0.26944444444444443</v>
      </c>
      <c r="VJ6" s="22">
        <v>0.26944444444444443</v>
      </c>
      <c r="VK6" s="22">
        <v>0.26944444444444443</v>
      </c>
      <c r="VL6" s="22">
        <v>0.26944444444444443</v>
      </c>
      <c r="VM6" s="22">
        <v>0.26944444444444443</v>
      </c>
      <c r="VN6" s="22">
        <v>0.26944444444444443</v>
      </c>
      <c r="VO6" s="22">
        <v>0.26944444444444443</v>
      </c>
      <c r="VP6" s="22">
        <v>0.26944444444444443</v>
      </c>
      <c r="VQ6" s="22">
        <v>0.26944444444444443</v>
      </c>
      <c r="VR6" s="22">
        <v>0.26944444444444443</v>
      </c>
      <c r="VS6" s="22">
        <v>0.26944444444444443</v>
      </c>
      <c r="VT6" s="22">
        <v>0.26944444444444443</v>
      </c>
      <c r="VU6" s="22">
        <v>0.26944444444444443</v>
      </c>
      <c r="VV6" s="22">
        <v>0.26944444444444443</v>
      </c>
      <c r="VW6" s="22">
        <v>0.26944444444444443</v>
      </c>
      <c r="VX6" s="22">
        <v>0.26944444444444443</v>
      </c>
      <c r="VY6" s="22">
        <v>0.26944444444444443</v>
      </c>
    </row>
    <row r="7" spans="1:597" x14ac:dyDescent="0.3">
      <c r="A7" s="20" t="s">
        <v>729</v>
      </c>
      <c r="B7" s="21">
        <v>7.47</v>
      </c>
      <c r="C7" s="21">
        <v>7.58</v>
      </c>
      <c r="D7" s="21">
        <v>8.01</v>
      </c>
      <c r="E7" s="21">
        <v>8.0299999999999994</v>
      </c>
      <c r="F7" s="21">
        <v>8.0299999999999994</v>
      </c>
      <c r="G7" s="21">
        <v>8.0500000000000007</v>
      </c>
      <c r="H7" s="21">
        <v>8.06</v>
      </c>
      <c r="I7" s="21">
        <v>8.08</v>
      </c>
      <c r="J7" s="21">
        <v>8.11</v>
      </c>
      <c r="K7" s="21">
        <v>8.1199999999999992</v>
      </c>
      <c r="L7" s="21">
        <v>8.1300000000000008</v>
      </c>
      <c r="M7" s="21">
        <v>8.14</v>
      </c>
      <c r="N7" s="21">
        <v>8.15</v>
      </c>
      <c r="O7" s="21">
        <v>8.15</v>
      </c>
      <c r="P7" s="21">
        <v>8.16</v>
      </c>
      <c r="Q7" s="21">
        <v>8.16</v>
      </c>
      <c r="R7" s="21">
        <v>8.17</v>
      </c>
      <c r="S7" s="21">
        <v>8.1999999999999993</v>
      </c>
      <c r="T7" s="21">
        <v>8.2100000000000009</v>
      </c>
      <c r="U7" s="21">
        <v>8.24</v>
      </c>
      <c r="V7" s="21">
        <v>8.26</v>
      </c>
      <c r="W7" s="21">
        <v>8.32</v>
      </c>
      <c r="X7" s="21">
        <v>8.5299999999999994</v>
      </c>
      <c r="Y7" s="21">
        <v>8.5299999999999994</v>
      </c>
      <c r="Z7" s="21">
        <v>9.01</v>
      </c>
      <c r="AA7" s="21">
        <v>9.02</v>
      </c>
      <c r="AB7" s="21">
        <v>9.0399999999999991</v>
      </c>
      <c r="AC7" s="21">
        <v>9.1300000000000008</v>
      </c>
      <c r="AD7" s="21">
        <v>9.2799999999999994</v>
      </c>
      <c r="AE7" s="21">
        <v>9.2899999999999991</v>
      </c>
      <c r="AF7" s="21">
        <v>9.4499999999999993</v>
      </c>
      <c r="AG7" s="21">
        <v>9.4600000000000009</v>
      </c>
      <c r="AH7" s="21">
        <v>9.51</v>
      </c>
      <c r="AI7" s="21">
        <v>9.59</v>
      </c>
      <c r="AJ7" s="21">
        <v>10.08</v>
      </c>
      <c r="AK7" s="21">
        <v>10.26</v>
      </c>
      <c r="AL7" s="21">
        <v>10.43</v>
      </c>
      <c r="AM7" s="21">
        <v>11.08</v>
      </c>
      <c r="AN7" s="21">
        <v>11.12</v>
      </c>
      <c r="AO7" s="21">
        <v>11.51</v>
      </c>
      <c r="AP7" s="21">
        <v>12.04</v>
      </c>
      <c r="AQ7" s="21">
        <v>12.09</v>
      </c>
      <c r="AR7" s="21">
        <v>12.12</v>
      </c>
      <c r="AS7" s="21">
        <v>12.17</v>
      </c>
      <c r="AT7" s="21">
        <v>4.04</v>
      </c>
      <c r="AU7" s="21">
        <v>7.42</v>
      </c>
      <c r="AV7" s="21">
        <v>7.43</v>
      </c>
      <c r="AW7" s="21">
        <v>7.5</v>
      </c>
      <c r="AX7" s="21">
        <v>7.54</v>
      </c>
      <c r="AY7" s="21">
        <v>7.55</v>
      </c>
      <c r="AZ7" s="21">
        <v>7.55</v>
      </c>
      <c r="BA7" s="21">
        <v>7.56</v>
      </c>
      <c r="BB7" s="21">
        <v>7.57</v>
      </c>
      <c r="BC7" s="21">
        <v>7.58</v>
      </c>
      <c r="BD7" s="21">
        <v>7.58</v>
      </c>
      <c r="BE7" s="21">
        <v>7.59</v>
      </c>
      <c r="BF7" s="21">
        <v>7.59</v>
      </c>
      <c r="BG7" s="21">
        <v>7.59</v>
      </c>
      <c r="BH7" s="21">
        <v>8.01</v>
      </c>
      <c r="BI7" s="21">
        <v>8.01</v>
      </c>
      <c r="BJ7" s="21">
        <v>8.02</v>
      </c>
      <c r="BK7" s="21">
        <v>8.0299999999999994</v>
      </c>
      <c r="BL7" s="21">
        <v>8.0299999999999994</v>
      </c>
      <c r="BM7" s="21">
        <v>8.06</v>
      </c>
      <c r="BN7" s="21">
        <v>8.06</v>
      </c>
      <c r="BO7" s="21">
        <v>8.07</v>
      </c>
      <c r="BP7" s="21">
        <v>8.09</v>
      </c>
      <c r="BQ7" s="21">
        <v>8.09</v>
      </c>
      <c r="BR7" s="21">
        <v>8.1</v>
      </c>
      <c r="BS7" s="21">
        <v>8.11</v>
      </c>
      <c r="BT7" s="21">
        <v>8.11</v>
      </c>
      <c r="BU7" s="21">
        <v>8.1199999999999992</v>
      </c>
      <c r="BV7" s="21">
        <v>8.1199999999999992</v>
      </c>
      <c r="BW7" s="21">
        <v>8.1300000000000008</v>
      </c>
      <c r="BX7" s="21">
        <v>8.14</v>
      </c>
      <c r="BY7" s="21">
        <v>8.14</v>
      </c>
      <c r="BZ7" s="21">
        <v>8.14</v>
      </c>
      <c r="CA7" s="21">
        <v>8.15</v>
      </c>
      <c r="CB7" s="21">
        <v>8.15</v>
      </c>
      <c r="CC7" s="21">
        <v>8.15</v>
      </c>
      <c r="CD7" s="21">
        <v>8.17</v>
      </c>
      <c r="CE7" s="21">
        <v>8.19</v>
      </c>
      <c r="CF7" s="21">
        <v>8.1999999999999993</v>
      </c>
      <c r="CG7" s="21">
        <v>8.1999999999999993</v>
      </c>
      <c r="CH7" s="21">
        <v>8.1999999999999993</v>
      </c>
      <c r="CI7" s="21">
        <v>8.2200000000000006</v>
      </c>
      <c r="CJ7" s="21">
        <v>8.2200000000000006</v>
      </c>
      <c r="CK7" s="21">
        <v>8.23</v>
      </c>
      <c r="CL7" s="21">
        <v>8.23</v>
      </c>
      <c r="CM7" s="21">
        <v>8.25</v>
      </c>
      <c r="CN7" s="21">
        <v>8.25</v>
      </c>
      <c r="CO7" s="21">
        <v>8.26</v>
      </c>
      <c r="CP7" s="21">
        <v>8.2899999999999991</v>
      </c>
      <c r="CQ7" s="21">
        <v>8.2899999999999991</v>
      </c>
      <c r="CR7" s="21">
        <v>8.32</v>
      </c>
      <c r="CS7" s="21">
        <v>8.33</v>
      </c>
      <c r="CT7" s="21">
        <v>8.34</v>
      </c>
      <c r="CU7" s="21">
        <v>8.34</v>
      </c>
      <c r="CV7" s="21">
        <v>8.34</v>
      </c>
      <c r="CW7" s="21">
        <v>8.39</v>
      </c>
      <c r="CX7" s="21">
        <v>8.42</v>
      </c>
      <c r="CY7" s="21">
        <v>8.59</v>
      </c>
      <c r="CZ7" s="21">
        <v>9.1</v>
      </c>
      <c r="DA7" s="21">
        <v>9.44</v>
      </c>
      <c r="DB7" s="21">
        <v>10.130000000000001</v>
      </c>
      <c r="DC7" s="21">
        <v>10.53</v>
      </c>
      <c r="DD7" s="21">
        <v>12.42</v>
      </c>
      <c r="DE7" s="21">
        <v>16</v>
      </c>
      <c r="DF7" s="21">
        <v>7.54</v>
      </c>
      <c r="DG7" s="21">
        <v>8.01</v>
      </c>
      <c r="DH7" s="21">
        <v>8.0299999999999994</v>
      </c>
      <c r="DI7" s="21">
        <v>8.1</v>
      </c>
      <c r="DJ7" s="21">
        <v>8.2100000000000009</v>
      </c>
      <c r="DK7" s="21">
        <v>8.3000000000000007</v>
      </c>
      <c r="DL7" s="21">
        <v>8.57</v>
      </c>
      <c r="DM7" s="21">
        <v>9.4</v>
      </c>
      <c r="DN7" s="21">
        <v>10.09</v>
      </c>
      <c r="DO7" s="21">
        <v>10.14</v>
      </c>
      <c r="DP7" s="21">
        <v>10.27</v>
      </c>
      <c r="DQ7" s="21">
        <v>10.32</v>
      </c>
      <c r="DR7" s="21">
        <v>10.35</v>
      </c>
      <c r="DS7" s="21">
        <v>10.38</v>
      </c>
      <c r="DT7" s="21">
        <v>10.42</v>
      </c>
      <c r="DU7" s="21">
        <v>11.32</v>
      </c>
      <c r="DV7" s="21">
        <v>11.33</v>
      </c>
      <c r="DW7" s="21">
        <v>11.46</v>
      </c>
      <c r="DX7" s="21">
        <v>11.54</v>
      </c>
      <c r="DY7" s="21">
        <v>12.06</v>
      </c>
      <c r="DZ7" s="21">
        <v>12.12</v>
      </c>
      <c r="EA7" s="21">
        <v>12.31</v>
      </c>
      <c r="EB7" s="21">
        <v>12.32</v>
      </c>
      <c r="EC7" s="21">
        <v>12.38</v>
      </c>
      <c r="ED7" s="21">
        <v>12.42</v>
      </c>
      <c r="EE7" s="21">
        <v>12.49</v>
      </c>
      <c r="EF7" s="21">
        <v>12.56</v>
      </c>
      <c r="EG7" s="21">
        <v>13.16</v>
      </c>
      <c r="EH7" s="21">
        <v>6.21</v>
      </c>
      <c r="EI7" s="21">
        <v>7.56</v>
      </c>
      <c r="EJ7" s="21">
        <v>8</v>
      </c>
      <c r="EK7" s="21">
        <v>8.06</v>
      </c>
      <c r="EL7" s="21">
        <v>8.09</v>
      </c>
      <c r="EM7" s="21">
        <v>8.11</v>
      </c>
      <c r="EN7" s="21">
        <v>8.1199999999999992</v>
      </c>
      <c r="EO7" s="21">
        <v>8.1199999999999992</v>
      </c>
      <c r="EP7" s="21">
        <v>8.14</v>
      </c>
      <c r="EQ7" s="21">
        <v>8.17</v>
      </c>
      <c r="ER7" s="21">
        <v>8.17</v>
      </c>
      <c r="ES7" s="21">
        <v>8.18</v>
      </c>
      <c r="ET7" s="21">
        <v>8.23</v>
      </c>
      <c r="EU7" s="21">
        <v>8.23</v>
      </c>
      <c r="EV7" s="21">
        <v>8.23</v>
      </c>
      <c r="EW7" s="21">
        <v>8.25</v>
      </c>
      <c r="EX7" s="21">
        <v>8.34</v>
      </c>
      <c r="EY7" s="21">
        <v>8.42</v>
      </c>
      <c r="EZ7" s="21">
        <v>8.43</v>
      </c>
      <c r="FA7" s="21">
        <v>9.14</v>
      </c>
      <c r="FB7" s="21">
        <v>9.2799999999999994</v>
      </c>
      <c r="FC7" s="21">
        <v>9.4</v>
      </c>
      <c r="FD7" s="21">
        <v>9.52</v>
      </c>
      <c r="FE7" s="21">
        <v>9.5500000000000007</v>
      </c>
      <c r="FF7" s="21">
        <v>10.3</v>
      </c>
      <c r="FG7" s="21">
        <v>10.33</v>
      </c>
      <c r="FH7" s="21">
        <v>10.37</v>
      </c>
      <c r="FI7" s="21">
        <v>10.48</v>
      </c>
      <c r="FJ7" s="21">
        <v>11.15</v>
      </c>
      <c r="FK7" s="21">
        <v>11.33</v>
      </c>
      <c r="FL7" s="21">
        <v>11.35</v>
      </c>
      <c r="FM7" s="21">
        <v>11.38</v>
      </c>
      <c r="FN7" s="21">
        <v>11.38</v>
      </c>
      <c r="FO7" s="21">
        <v>11.45</v>
      </c>
      <c r="FP7" s="21">
        <v>11.57</v>
      </c>
      <c r="FQ7" s="21">
        <v>12.01</v>
      </c>
      <c r="FR7" s="21">
        <v>12.03</v>
      </c>
      <c r="FS7" s="21">
        <v>12.43</v>
      </c>
      <c r="FT7" s="21">
        <v>12.46</v>
      </c>
      <c r="FU7" s="21">
        <v>13.34</v>
      </c>
      <c r="FV7" s="21">
        <v>15.28</v>
      </c>
      <c r="FW7" s="21">
        <v>0</v>
      </c>
      <c r="FX7" s="21">
        <v>8.5399999999999991</v>
      </c>
      <c r="FY7" s="21">
        <v>7.47</v>
      </c>
      <c r="FZ7" s="21">
        <v>8.0399999999999991</v>
      </c>
      <c r="GA7" s="21">
        <v>8.08</v>
      </c>
      <c r="GB7" s="21">
        <v>8.09</v>
      </c>
      <c r="GC7" s="21">
        <v>8.16</v>
      </c>
      <c r="GD7" s="21">
        <v>8.16</v>
      </c>
      <c r="GE7" s="21">
        <v>8.1999999999999993</v>
      </c>
      <c r="GF7" s="21">
        <v>8.2100000000000009</v>
      </c>
      <c r="GG7" s="21">
        <v>8.27</v>
      </c>
      <c r="GH7" s="21">
        <v>8.35</v>
      </c>
      <c r="GI7" s="21">
        <v>9</v>
      </c>
      <c r="GJ7" s="21">
        <v>6.26</v>
      </c>
      <c r="GK7" s="21">
        <v>7.39</v>
      </c>
      <c r="GL7" s="21">
        <v>7.39</v>
      </c>
      <c r="GM7" s="21">
        <v>7.49</v>
      </c>
      <c r="GN7" s="21">
        <v>7.5</v>
      </c>
      <c r="GO7" s="21">
        <v>7.53</v>
      </c>
      <c r="GP7" s="21">
        <v>7.57</v>
      </c>
      <c r="GQ7" s="21">
        <v>7.57</v>
      </c>
      <c r="GR7" s="21">
        <v>7.58</v>
      </c>
      <c r="GS7" s="21">
        <v>7.58</v>
      </c>
      <c r="GT7" s="21">
        <v>7.58</v>
      </c>
      <c r="GU7" s="21">
        <v>7.59</v>
      </c>
      <c r="GV7" s="21">
        <v>7.59</v>
      </c>
      <c r="GW7" s="21">
        <v>7.59</v>
      </c>
      <c r="GX7" s="21">
        <v>8</v>
      </c>
      <c r="GY7" s="21">
        <v>8.01</v>
      </c>
      <c r="GZ7" s="21">
        <v>8.01</v>
      </c>
      <c r="HA7" s="21">
        <v>8.02</v>
      </c>
      <c r="HB7" s="21">
        <v>8.0299999999999994</v>
      </c>
      <c r="HC7" s="21">
        <v>8.0299999999999994</v>
      </c>
      <c r="HD7" s="21">
        <v>8.0299999999999994</v>
      </c>
      <c r="HE7" s="21">
        <v>8.0399999999999991</v>
      </c>
      <c r="HF7" s="21">
        <v>8.0399999999999991</v>
      </c>
      <c r="HG7" s="21">
        <v>8.0399999999999991</v>
      </c>
      <c r="HH7" s="21">
        <v>8.0399999999999991</v>
      </c>
      <c r="HI7" s="21">
        <v>8.0500000000000007</v>
      </c>
      <c r="HJ7" s="21">
        <v>8.0500000000000007</v>
      </c>
      <c r="HK7" s="21">
        <v>8.07</v>
      </c>
      <c r="HL7" s="21">
        <v>8.07</v>
      </c>
      <c r="HM7" s="21">
        <v>8.07</v>
      </c>
      <c r="HN7" s="21">
        <v>8.08</v>
      </c>
      <c r="HO7" s="21">
        <v>8.08</v>
      </c>
      <c r="HP7" s="21">
        <v>8.08</v>
      </c>
      <c r="HQ7" s="21">
        <v>8.08</v>
      </c>
      <c r="HR7" s="21">
        <v>8.08</v>
      </c>
      <c r="HS7" s="21">
        <v>8.09</v>
      </c>
      <c r="HT7" s="21">
        <v>8.09</v>
      </c>
      <c r="HU7" s="21">
        <v>8.09</v>
      </c>
      <c r="HV7" s="21">
        <v>8.1</v>
      </c>
      <c r="HW7" s="21">
        <v>8.1300000000000008</v>
      </c>
      <c r="HX7" s="21">
        <v>8.14</v>
      </c>
      <c r="HY7" s="21">
        <v>8.15</v>
      </c>
      <c r="HZ7" s="21">
        <v>8.16</v>
      </c>
      <c r="IA7" s="21">
        <v>8.17</v>
      </c>
      <c r="IB7" s="21">
        <v>8.17</v>
      </c>
      <c r="IC7" s="21">
        <v>8.18</v>
      </c>
      <c r="ID7" s="21">
        <v>8.18</v>
      </c>
      <c r="IE7" s="21">
        <v>8.18</v>
      </c>
      <c r="IF7" s="21">
        <v>8.18</v>
      </c>
      <c r="IG7" s="21">
        <v>8.19</v>
      </c>
      <c r="IH7" s="21">
        <v>8.19</v>
      </c>
      <c r="II7" s="21">
        <v>8.19</v>
      </c>
      <c r="IJ7" s="21">
        <v>8.1999999999999993</v>
      </c>
      <c r="IK7" s="21">
        <v>8.1999999999999993</v>
      </c>
      <c r="IL7" s="21">
        <v>8.2100000000000009</v>
      </c>
      <c r="IM7" s="21">
        <v>8.23</v>
      </c>
      <c r="IN7" s="21">
        <v>8.24</v>
      </c>
      <c r="IO7" s="21">
        <v>8.27</v>
      </c>
      <c r="IP7" s="21">
        <v>8.32</v>
      </c>
      <c r="IQ7" s="21">
        <v>8.35</v>
      </c>
      <c r="IR7" s="21">
        <v>11.17</v>
      </c>
      <c r="IS7" s="21">
        <v>15.52</v>
      </c>
      <c r="IT7" s="21">
        <v>0</v>
      </c>
      <c r="IU7" s="21">
        <v>7.41</v>
      </c>
      <c r="IV7" s="21">
        <v>7.57</v>
      </c>
      <c r="IW7" s="21">
        <v>7.57</v>
      </c>
      <c r="IX7" s="21">
        <v>7.57</v>
      </c>
      <c r="IY7" s="21">
        <v>7.58</v>
      </c>
      <c r="IZ7" s="21">
        <v>8</v>
      </c>
      <c r="JA7" s="21">
        <v>8.02</v>
      </c>
      <c r="JB7" s="21">
        <v>8.0399999999999991</v>
      </c>
      <c r="JC7" s="21">
        <v>8.06</v>
      </c>
      <c r="JD7" s="21">
        <v>8.07</v>
      </c>
      <c r="JE7" s="21">
        <v>8.1</v>
      </c>
      <c r="JF7" s="21">
        <v>8.1199999999999992</v>
      </c>
      <c r="JG7" s="21">
        <v>8.1199999999999992</v>
      </c>
      <c r="JH7" s="21">
        <v>8.1300000000000008</v>
      </c>
      <c r="JI7" s="21">
        <v>8.15</v>
      </c>
      <c r="JJ7" s="21">
        <v>8.17</v>
      </c>
      <c r="JK7" s="21">
        <v>8.19</v>
      </c>
      <c r="JL7" s="21">
        <v>8.25</v>
      </c>
      <c r="JM7" s="21">
        <v>8.26</v>
      </c>
      <c r="JN7" s="21">
        <v>8.56</v>
      </c>
      <c r="JO7" s="21">
        <v>9.1199999999999992</v>
      </c>
      <c r="JP7" s="21">
        <v>7.34</v>
      </c>
      <c r="JQ7" s="21">
        <v>7.5</v>
      </c>
      <c r="JR7" s="21">
        <v>7.51</v>
      </c>
      <c r="JS7" s="21">
        <v>7.53</v>
      </c>
      <c r="JT7" s="21">
        <v>7.53</v>
      </c>
      <c r="JU7" s="21">
        <v>7.56</v>
      </c>
      <c r="JV7" s="21">
        <v>7.56</v>
      </c>
      <c r="JW7" s="21">
        <v>7.58</v>
      </c>
      <c r="JX7" s="21">
        <v>7.58</v>
      </c>
      <c r="JY7" s="21">
        <v>7.58</v>
      </c>
      <c r="JZ7" s="21">
        <v>7.58</v>
      </c>
      <c r="KA7" s="21">
        <v>8</v>
      </c>
      <c r="KB7" s="21">
        <v>8</v>
      </c>
      <c r="KC7" s="21">
        <v>8.01</v>
      </c>
      <c r="KD7" s="21">
        <v>8.02</v>
      </c>
      <c r="KE7" s="21">
        <v>8.0299999999999994</v>
      </c>
      <c r="KF7" s="21">
        <v>8.0299999999999994</v>
      </c>
      <c r="KG7" s="21">
        <v>8.0500000000000007</v>
      </c>
      <c r="KH7" s="21">
        <v>8.06</v>
      </c>
      <c r="KI7" s="21">
        <v>8.06</v>
      </c>
      <c r="KJ7" s="21">
        <v>8.06</v>
      </c>
      <c r="KK7" s="21">
        <v>8.07</v>
      </c>
      <c r="KL7" s="21">
        <v>8.07</v>
      </c>
      <c r="KM7" s="21">
        <v>8.08</v>
      </c>
      <c r="KN7" s="21">
        <v>8.08</v>
      </c>
      <c r="KO7" s="21">
        <v>8.1</v>
      </c>
      <c r="KP7" s="21">
        <v>8.1</v>
      </c>
      <c r="KQ7" s="21">
        <v>8.11</v>
      </c>
      <c r="KR7" s="21">
        <v>8.11</v>
      </c>
      <c r="KS7" s="21">
        <v>8.11</v>
      </c>
      <c r="KT7" s="21">
        <v>8.11</v>
      </c>
      <c r="KU7" s="21">
        <v>8.1199999999999992</v>
      </c>
      <c r="KV7" s="21">
        <v>8.1300000000000008</v>
      </c>
      <c r="KW7" s="21">
        <v>8.1300000000000008</v>
      </c>
      <c r="KX7" s="21">
        <v>8.14</v>
      </c>
      <c r="KY7" s="21">
        <v>8.14</v>
      </c>
      <c r="KZ7" s="21">
        <v>8.14</v>
      </c>
      <c r="LA7" s="21">
        <v>8.15</v>
      </c>
      <c r="LB7" s="21">
        <v>8.16</v>
      </c>
      <c r="LC7" s="21">
        <v>8.17</v>
      </c>
      <c r="LD7" s="21">
        <v>8.18</v>
      </c>
      <c r="LE7" s="21">
        <v>8.19</v>
      </c>
      <c r="LF7" s="21">
        <v>8.1999999999999993</v>
      </c>
      <c r="LG7" s="21">
        <v>8.2100000000000009</v>
      </c>
      <c r="LH7" s="21">
        <v>8.2100000000000009</v>
      </c>
      <c r="LI7" s="21">
        <v>8.2200000000000006</v>
      </c>
      <c r="LJ7" s="21">
        <v>8.24</v>
      </c>
      <c r="LK7" s="21">
        <v>8.2899999999999991</v>
      </c>
      <c r="LL7" s="21">
        <v>8.31</v>
      </c>
      <c r="LM7" s="21">
        <v>8.35</v>
      </c>
      <c r="LN7" s="21">
        <v>8.35</v>
      </c>
      <c r="LO7" s="21">
        <v>8.44</v>
      </c>
      <c r="LP7" s="21">
        <v>8.4600000000000009</v>
      </c>
      <c r="LQ7" s="21">
        <v>8.5500000000000007</v>
      </c>
      <c r="LR7" s="21">
        <v>9.0500000000000007</v>
      </c>
      <c r="LS7" s="21">
        <v>9.27</v>
      </c>
      <c r="LT7" s="21">
        <v>8.4600000000000009</v>
      </c>
      <c r="LU7" s="21">
        <v>9.01</v>
      </c>
      <c r="LV7" s="21">
        <v>9.01</v>
      </c>
      <c r="LW7" s="21">
        <v>9.11</v>
      </c>
      <c r="LX7" s="21">
        <v>9.18</v>
      </c>
      <c r="LY7" s="21">
        <v>8.06</v>
      </c>
      <c r="LZ7" s="21">
        <v>8.19</v>
      </c>
      <c r="MA7" s="21">
        <v>8.3699999999999992</v>
      </c>
      <c r="MB7" s="21">
        <v>14.59</v>
      </c>
      <c r="MC7" s="21">
        <v>8.4700000000000006</v>
      </c>
      <c r="MD7" s="21">
        <v>4.16</v>
      </c>
      <c r="ME7" s="21">
        <v>6.58</v>
      </c>
      <c r="MF7" s="21">
        <v>7.31</v>
      </c>
      <c r="MG7" s="21">
        <v>7.39</v>
      </c>
      <c r="MH7" s="21">
        <v>7.56</v>
      </c>
      <c r="MI7" s="21">
        <v>7.58</v>
      </c>
      <c r="MJ7" s="21">
        <v>8.01</v>
      </c>
      <c r="MK7" s="21">
        <v>8.02</v>
      </c>
      <c r="ML7" s="21">
        <v>8.0299999999999994</v>
      </c>
      <c r="MM7" s="21">
        <v>8.0500000000000007</v>
      </c>
      <c r="MN7" s="21">
        <v>8.0500000000000007</v>
      </c>
      <c r="MO7" s="21">
        <v>8.07</v>
      </c>
      <c r="MP7" s="21">
        <v>8.08</v>
      </c>
      <c r="MQ7" s="21">
        <v>8.08</v>
      </c>
      <c r="MR7" s="21">
        <v>8.08</v>
      </c>
      <c r="MS7" s="21">
        <v>8.1300000000000008</v>
      </c>
      <c r="MT7" s="21">
        <v>8.14</v>
      </c>
      <c r="MU7" s="21">
        <v>8.14</v>
      </c>
      <c r="MV7" s="21">
        <v>8.18</v>
      </c>
      <c r="MW7" s="21">
        <v>8.2100000000000009</v>
      </c>
      <c r="MX7" s="21">
        <v>8.2100000000000009</v>
      </c>
      <c r="MY7" s="21">
        <v>8.2200000000000006</v>
      </c>
      <c r="MZ7" s="21">
        <v>8.2200000000000006</v>
      </c>
      <c r="NA7" s="21">
        <v>8.27</v>
      </c>
      <c r="NB7" s="21">
        <v>8.2899999999999991</v>
      </c>
      <c r="NC7" s="21">
        <v>8.3699999999999992</v>
      </c>
      <c r="ND7" s="21">
        <v>8.41</v>
      </c>
      <c r="NE7" s="21">
        <v>8.44</v>
      </c>
      <c r="NF7" s="21">
        <v>8.4700000000000006</v>
      </c>
      <c r="NG7" s="21">
        <v>8.59</v>
      </c>
      <c r="NH7" s="21">
        <v>9.14</v>
      </c>
      <c r="NI7" s="21">
        <v>9.56</v>
      </c>
      <c r="NJ7" s="21">
        <v>10.1</v>
      </c>
      <c r="NK7" s="21">
        <v>11.06</v>
      </c>
      <c r="NL7" s="21">
        <v>11.26</v>
      </c>
      <c r="NM7" s="21">
        <v>11.42</v>
      </c>
      <c r="NN7" s="21">
        <v>15.22</v>
      </c>
      <c r="NO7" s="21">
        <v>15.59</v>
      </c>
      <c r="NP7" s="21">
        <v>16.079999999999998</v>
      </c>
      <c r="NQ7" s="21">
        <v>16.079999999999998</v>
      </c>
      <c r="NR7" s="21">
        <v>16.079999999999998</v>
      </c>
      <c r="NS7" s="21">
        <v>16.079999999999998</v>
      </c>
      <c r="NT7" s="21">
        <v>16.079999999999998</v>
      </c>
      <c r="NU7" s="21">
        <v>16.079999999999998</v>
      </c>
      <c r="NV7" s="21">
        <v>16.079999999999998</v>
      </c>
      <c r="NW7" s="21">
        <v>16.079999999999998</v>
      </c>
      <c r="NX7" s="21">
        <v>16.079999999999998</v>
      </c>
      <c r="NY7" s="21">
        <v>16.079999999999998</v>
      </c>
      <c r="NZ7" s="21">
        <v>16.079999999999998</v>
      </c>
      <c r="OA7" s="21">
        <v>16.079999999999998</v>
      </c>
      <c r="OB7" s="21">
        <v>16.079999999999998</v>
      </c>
      <c r="OC7" s="21">
        <v>16.079999999999998</v>
      </c>
      <c r="OD7" s="21">
        <v>16.079999999999998</v>
      </c>
      <c r="OE7" s="21">
        <v>16.079999999999998</v>
      </c>
      <c r="OF7" s="21">
        <v>16.079999999999998</v>
      </c>
      <c r="OG7" s="21">
        <v>16.079999999999998</v>
      </c>
      <c r="OH7" s="21">
        <v>16.079999999999998</v>
      </c>
      <c r="OI7" s="21">
        <v>16.079999999999998</v>
      </c>
      <c r="OJ7" s="21">
        <v>16.079999999999998</v>
      </c>
      <c r="OK7" s="21">
        <v>16.079999999999998</v>
      </c>
      <c r="OL7" s="21">
        <v>16.079999999999998</v>
      </c>
      <c r="OM7" s="21">
        <v>16.079999999999998</v>
      </c>
      <c r="ON7" s="21">
        <v>16.079999999999998</v>
      </c>
      <c r="OO7" s="21">
        <v>16.079999999999998</v>
      </c>
      <c r="OP7" s="21">
        <v>16.079999999999998</v>
      </c>
      <c r="OQ7" s="21">
        <v>16.079999999999998</v>
      </c>
      <c r="OR7" s="21">
        <v>16.079999999999998</v>
      </c>
      <c r="OS7" s="21">
        <v>16.079999999999998</v>
      </c>
      <c r="OT7" s="21">
        <v>16.079999999999998</v>
      </c>
      <c r="OU7" s="21">
        <v>16.079999999999998</v>
      </c>
      <c r="OV7" s="21">
        <v>16.079999999999998</v>
      </c>
      <c r="OW7" s="21">
        <v>16.079999999999998</v>
      </c>
      <c r="OX7" s="21">
        <v>16.079999999999998</v>
      </c>
      <c r="OY7" s="21">
        <v>16.079999999999998</v>
      </c>
      <c r="OZ7" s="21">
        <v>16.079999999999998</v>
      </c>
      <c r="PA7" s="21">
        <v>16.079999999999998</v>
      </c>
      <c r="PB7" s="21">
        <v>16.079999999999998</v>
      </c>
      <c r="PC7" s="21">
        <v>16.079999999999998</v>
      </c>
      <c r="PD7" s="21">
        <v>16.079999999999998</v>
      </c>
      <c r="PE7" s="21">
        <v>16.079999999999998</v>
      </c>
      <c r="PF7" s="21">
        <v>16.079999999999998</v>
      </c>
      <c r="PG7" s="21">
        <v>16.079999999999998</v>
      </c>
      <c r="PH7" s="21">
        <v>16.079999999999998</v>
      </c>
      <c r="PI7" s="21">
        <v>16.079999999999998</v>
      </c>
      <c r="PJ7" s="21">
        <v>16.079999999999998</v>
      </c>
      <c r="PK7" s="21">
        <v>16.079999999999998</v>
      </c>
      <c r="PL7" s="21">
        <v>16.079999999999998</v>
      </c>
      <c r="PM7" s="21">
        <v>16.079999999999998</v>
      </c>
      <c r="PN7" s="21">
        <v>16.079999999999998</v>
      </c>
      <c r="PO7" s="21">
        <v>16.079999999999998</v>
      </c>
      <c r="PP7" s="21">
        <v>16.079999999999998</v>
      </c>
      <c r="PQ7" s="21">
        <v>16.079999999999998</v>
      </c>
      <c r="PR7" s="21">
        <v>16.079999999999998</v>
      </c>
      <c r="PS7" s="21">
        <v>16.079999999999998</v>
      </c>
      <c r="PT7" s="21">
        <v>16.079999999999998</v>
      </c>
      <c r="PU7" s="21">
        <v>16.079999999999998</v>
      </c>
      <c r="PV7" s="21">
        <v>16.079999999999998</v>
      </c>
      <c r="PW7" s="21">
        <v>16.079999999999998</v>
      </c>
      <c r="PX7" s="21">
        <v>16.079999999999998</v>
      </c>
      <c r="PY7" s="21">
        <v>16.079999999999998</v>
      </c>
      <c r="PZ7" s="21">
        <v>16.079999999999998</v>
      </c>
      <c r="QA7" s="21">
        <v>16.079999999999998</v>
      </c>
      <c r="QB7" s="21">
        <v>16.079999999999998</v>
      </c>
      <c r="QC7" s="21">
        <v>16.079999999999998</v>
      </c>
      <c r="QD7" s="21">
        <v>16.079999999999998</v>
      </c>
      <c r="QE7" s="21">
        <v>16.079999999999998</v>
      </c>
      <c r="QF7" s="21">
        <v>16.079999999999998</v>
      </c>
      <c r="QG7" s="21">
        <v>16.079999999999998</v>
      </c>
      <c r="QH7" s="21">
        <v>16.079999999999998</v>
      </c>
      <c r="QI7" s="21">
        <v>16.079999999999998</v>
      </c>
      <c r="QJ7" s="21">
        <v>16.079999999999998</v>
      </c>
      <c r="QK7" s="21">
        <v>16.079999999999998</v>
      </c>
      <c r="QL7" s="21">
        <v>16.079999999999998</v>
      </c>
      <c r="QM7" s="21">
        <v>16.079999999999998</v>
      </c>
      <c r="QN7" s="21">
        <v>16.079999999999998</v>
      </c>
      <c r="QO7" s="21">
        <v>16.079999999999998</v>
      </c>
      <c r="QP7" s="21">
        <v>16.079999999999998</v>
      </c>
      <c r="QQ7" s="21">
        <v>16.079999999999998</v>
      </c>
      <c r="QR7" s="21">
        <v>16.079999999999998</v>
      </c>
      <c r="QS7" s="21">
        <v>16.079999999999998</v>
      </c>
      <c r="QT7" s="21">
        <v>16.079999999999998</v>
      </c>
      <c r="QU7" s="21">
        <v>16.079999999999998</v>
      </c>
      <c r="QV7" s="21">
        <v>16.079999999999998</v>
      </c>
      <c r="QW7" s="21">
        <v>16.079999999999998</v>
      </c>
      <c r="QX7" s="21">
        <v>16.079999999999998</v>
      </c>
      <c r="QY7" s="21">
        <v>16.079999999999998</v>
      </c>
      <c r="QZ7" s="21">
        <v>16.079999999999998</v>
      </c>
      <c r="RA7" s="21">
        <v>16.079999999999998</v>
      </c>
      <c r="RB7" s="21">
        <v>16.079999999999998</v>
      </c>
      <c r="RC7" s="21">
        <v>16.079999999999998</v>
      </c>
      <c r="RD7" s="21">
        <v>16.079999999999998</v>
      </c>
      <c r="RE7" s="21">
        <v>16.079999999999998</v>
      </c>
      <c r="RF7" s="21">
        <v>16.079999999999998</v>
      </c>
      <c r="RG7" s="21">
        <v>16.079999999999998</v>
      </c>
      <c r="RH7" s="21">
        <v>16.079999999999998</v>
      </c>
      <c r="RI7" s="21">
        <v>16.079999999999998</v>
      </c>
      <c r="RJ7" s="21">
        <v>16.079999999999998</v>
      </c>
      <c r="RK7" s="21">
        <v>16.079999999999998</v>
      </c>
      <c r="RL7" s="21">
        <v>16.079999999999998</v>
      </c>
      <c r="RM7" s="21">
        <v>16.079999999999998</v>
      </c>
      <c r="RN7" s="21">
        <v>16.079999999999998</v>
      </c>
      <c r="RO7" s="21">
        <v>16.079999999999998</v>
      </c>
      <c r="RP7" s="21">
        <v>16.079999999999998</v>
      </c>
      <c r="RQ7" s="21">
        <v>16.079999999999998</v>
      </c>
      <c r="RR7" s="21">
        <v>16.079999999999998</v>
      </c>
      <c r="RS7" s="21">
        <v>16.079999999999998</v>
      </c>
      <c r="RT7" s="21">
        <v>16.079999999999998</v>
      </c>
      <c r="RU7" s="21">
        <v>16.079999999999998</v>
      </c>
      <c r="RV7" s="21">
        <v>16.079999999999998</v>
      </c>
      <c r="RW7" s="21">
        <v>16.079999999999998</v>
      </c>
      <c r="RX7" s="21">
        <v>16.079999999999998</v>
      </c>
      <c r="RY7" s="21">
        <v>16.079999999999998</v>
      </c>
      <c r="RZ7" s="21">
        <v>16.079999999999998</v>
      </c>
      <c r="SA7" s="21">
        <v>16.079999999999998</v>
      </c>
      <c r="SB7" s="21">
        <v>16.079999999999998</v>
      </c>
      <c r="SC7" s="21">
        <v>16.079999999999998</v>
      </c>
      <c r="SD7" s="21">
        <v>16.079999999999998</v>
      </c>
      <c r="SE7" s="21">
        <v>16.079999999999998</v>
      </c>
      <c r="SF7" s="21">
        <v>16.079999999999998</v>
      </c>
      <c r="SG7" s="21">
        <v>16.079999999999998</v>
      </c>
      <c r="SH7" s="21">
        <v>16.079999999999998</v>
      </c>
      <c r="SI7" s="21">
        <v>16.079999999999998</v>
      </c>
      <c r="SJ7" s="21">
        <v>16.079999999999998</v>
      </c>
      <c r="SK7" s="21">
        <v>16.079999999999998</v>
      </c>
      <c r="SL7" s="21">
        <v>16.079999999999998</v>
      </c>
      <c r="SM7" s="21">
        <v>16.079999999999998</v>
      </c>
      <c r="SN7" s="21">
        <v>16.079999999999998</v>
      </c>
      <c r="SO7" s="21">
        <v>16.079999999999998</v>
      </c>
      <c r="SP7" s="21">
        <v>16.079999999999998</v>
      </c>
      <c r="SQ7" s="21">
        <v>16.079999999999998</v>
      </c>
      <c r="SR7" s="21">
        <v>16.079999999999998</v>
      </c>
      <c r="SS7" s="21">
        <v>16.079999999999998</v>
      </c>
      <c r="ST7" s="21">
        <v>16.079999999999998</v>
      </c>
      <c r="SU7" s="21">
        <v>16.079999999999998</v>
      </c>
      <c r="SV7" s="21">
        <v>16.079999999999998</v>
      </c>
      <c r="SW7" s="21">
        <v>16.079999999999998</v>
      </c>
      <c r="SX7" s="21">
        <v>16.079999999999998</v>
      </c>
      <c r="SY7" s="21">
        <v>16.079999999999998</v>
      </c>
      <c r="SZ7" s="21">
        <v>16.079999999999998</v>
      </c>
      <c r="TA7" s="21">
        <v>16.079999999999998</v>
      </c>
      <c r="TB7" s="21">
        <v>16.079999999999998</v>
      </c>
      <c r="TC7" s="21">
        <v>16.079999999999998</v>
      </c>
      <c r="TD7" s="21">
        <v>16.079999999999998</v>
      </c>
      <c r="TE7" s="21">
        <v>16.079999999999998</v>
      </c>
      <c r="TF7" s="21">
        <v>16.079999999999998</v>
      </c>
      <c r="TG7" s="21">
        <v>16.079999999999998</v>
      </c>
      <c r="TH7" s="21">
        <v>16.079999999999998</v>
      </c>
      <c r="TI7" s="21">
        <v>16.079999999999998</v>
      </c>
      <c r="TJ7" s="21">
        <v>16.079999999999998</v>
      </c>
      <c r="TK7" s="21">
        <v>16.079999999999998</v>
      </c>
      <c r="TL7" s="21">
        <v>16.079999999999998</v>
      </c>
      <c r="TM7" s="21">
        <v>16.079999999999998</v>
      </c>
      <c r="TN7" s="21">
        <v>16.079999999999998</v>
      </c>
      <c r="TO7" s="21">
        <v>16.079999999999998</v>
      </c>
      <c r="TP7" s="21">
        <v>16.079999999999998</v>
      </c>
      <c r="TQ7" s="21">
        <v>16.079999999999998</v>
      </c>
      <c r="TR7" s="21">
        <v>16.079999999999998</v>
      </c>
      <c r="TS7" s="21">
        <v>16.079999999999998</v>
      </c>
      <c r="TT7" s="21">
        <v>16.079999999999998</v>
      </c>
      <c r="TU7" s="21">
        <v>16.079999999999998</v>
      </c>
      <c r="TV7" s="21">
        <v>16.079999999999998</v>
      </c>
      <c r="TW7" s="21">
        <v>16.079999999999998</v>
      </c>
      <c r="TX7" s="21">
        <v>16.079999999999998</v>
      </c>
      <c r="TY7" s="21">
        <v>16.079999999999998</v>
      </c>
      <c r="TZ7" s="21">
        <v>16.079999999999998</v>
      </c>
      <c r="UA7" s="21">
        <v>16.079999999999998</v>
      </c>
      <c r="UB7" s="21">
        <v>16.079999999999998</v>
      </c>
      <c r="UC7" s="21">
        <v>16.079999999999998</v>
      </c>
      <c r="UD7" s="21">
        <v>16.079999999999998</v>
      </c>
      <c r="UE7" s="21">
        <v>16.079999999999998</v>
      </c>
      <c r="UF7" s="21">
        <v>16.079999999999998</v>
      </c>
      <c r="UG7" s="21">
        <v>16.079999999999998</v>
      </c>
      <c r="UH7" s="21">
        <v>16.079999999999998</v>
      </c>
      <c r="UI7" s="21">
        <v>16.079999999999998</v>
      </c>
      <c r="UJ7" s="21">
        <v>16.079999999999998</v>
      </c>
      <c r="UK7" s="21">
        <v>16.079999999999998</v>
      </c>
      <c r="UL7" s="21">
        <v>16.079999999999998</v>
      </c>
      <c r="UM7" s="21">
        <v>16.079999999999998</v>
      </c>
      <c r="UN7" s="21">
        <v>16.079999999999998</v>
      </c>
      <c r="UO7" s="21">
        <v>16.079999999999998</v>
      </c>
      <c r="UP7" s="21">
        <v>16.079999999999998</v>
      </c>
      <c r="UQ7" s="21">
        <v>16.079999999999998</v>
      </c>
      <c r="UR7" s="21">
        <v>16.079999999999998</v>
      </c>
      <c r="US7" s="21">
        <v>16.079999999999998</v>
      </c>
      <c r="UT7" s="21">
        <v>16.079999999999998</v>
      </c>
      <c r="UU7" s="21">
        <v>16.079999999999998</v>
      </c>
      <c r="UV7" s="21">
        <v>16.079999999999998</v>
      </c>
      <c r="UW7" s="21">
        <v>16.079999999999998</v>
      </c>
      <c r="UX7" s="21">
        <v>16.079999999999998</v>
      </c>
      <c r="UY7" s="21">
        <v>16.079999999999998</v>
      </c>
      <c r="UZ7" s="21">
        <v>16.079999999999998</v>
      </c>
      <c r="VA7" s="21">
        <v>16.079999999999998</v>
      </c>
      <c r="VB7" s="21">
        <v>16.079999999999998</v>
      </c>
      <c r="VC7" s="21">
        <v>16.079999999999998</v>
      </c>
      <c r="VD7" s="21">
        <v>16.079999999999998</v>
      </c>
      <c r="VE7" s="21">
        <v>16.079999999999998</v>
      </c>
      <c r="VF7" s="21">
        <v>16.079999999999998</v>
      </c>
      <c r="VG7" s="21">
        <v>16.079999999999998</v>
      </c>
      <c r="VH7" s="21">
        <v>16.079999999999998</v>
      </c>
      <c r="VI7" s="21">
        <v>16.079999999999998</v>
      </c>
      <c r="VJ7" s="21">
        <v>16.079999999999998</v>
      </c>
      <c r="VK7" s="21">
        <v>16.079999999999998</v>
      </c>
      <c r="VL7" s="21">
        <v>16.079999999999998</v>
      </c>
      <c r="VM7" s="21">
        <v>16.079999999999998</v>
      </c>
      <c r="VN7" s="21">
        <v>16.079999999999998</v>
      </c>
      <c r="VO7" s="21">
        <v>16.079999999999998</v>
      </c>
      <c r="VP7" s="21">
        <v>16.079999999999998</v>
      </c>
      <c r="VQ7" s="21">
        <v>16.079999999999998</v>
      </c>
      <c r="VR7" s="21">
        <v>16.079999999999998</v>
      </c>
      <c r="VS7" s="21">
        <v>16.079999999999998</v>
      </c>
      <c r="VT7" s="21">
        <v>16.079999999999998</v>
      </c>
      <c r="VU7" s="21">
        <v>16.079999999999998</v>
      </c>
      <c r="VV7" s="21">
        <v>16.079999999999998</v>
      </c>
      <c r="VW7" s="21">
        <v>16.079999999999998</v>
      </c>
      <c r="VX7" s="21">
        <v>16.079999999999998</v>
      </c>
      <c r="VY7" s="21">
        <v>16.079999999999998</v>
      </c>
    </row>
    <row r="10" spans="1:597" x14ac:dyDescent="0.3">
      <c r="AD10" s="36"/>
    </row>
    <row r="11" spans="1:597" x14ac:dyDescent="0.3">
      <c r="AD11" s="36"/>
      <c r="GK11" s="28"/>
    </row>
    <row r="12" spans="1:597" x14ac:dyDescent="0.3">
      <c r="A12" t="str">
        <f>HLOOKUP($D13, $B$1:$VY$7, COLUMNS($A$11:A11)+1,0)</f>
        <v>SHRIKANT BADGE</v>
      </c>
      <c r="B12" t="str">
        <f>HLOOKUP($D13, $B$1:$VY$7, COLUMNS($A$11:B11)+1,0)</f>
        <v xml:space="preserve">N  </v>
      </c>
      <c r="C12">
        <f>HLOOKUP($D13, $B$1:$VY$7, COLUMNS($A$11:C11)+1,0)</f>
        <v>0.9375</v>
      </c>
      <c r="D12" s="23" t="s">
        <v>28</v>
      </c>
      <c r="E12" s="23" t="s">
        <v>625</v>
      </c>
      <c r="F12" s="23" t="s">
        <v>721</v>
      </c>
      <c r="G12" s="23" t="s">
        <v>726</v>
      </c>
      <c r="H12" s="23" t="s">
        <v>730</v>
      </c>
      <c r="I12" s="23" t="s">
        <v>728</v>
      </c>
      <c r="J12" s="23" t="s">
        <v>729</v>
      </c>
      <c r="AD12" s="36"/>
      <c r="GK12" s="28"/>
      <c r="QJ12" s="32"/>
    </row>
    <row r="13" spans="1:597" x14ac:dyDescent="0.3">
      <c r="A13" t="str">
        <f>HLOOKUP($D14, $B$1:$VY$7, COLUMNS($A$11:A12)+1,0)</f>
        <v>HARIVANSH GAUTAM</v>
      </c>
      <c r="B13" t="str">
        <f>HLOOKUP($D14, $B$1:$VY$7, COLUMNS($A$11:B12)+1,0)</f>
        <v xml:space="preserve">N  </v>
      </c>
      <c r="C13">
        <f>HLOOKUP($D14, $B$1:$VY$7, COLUMNS($A$11:C12)+1,0)</f>
        <v>0.9375</v>
      </c>
      <c r="D13" s="21" t="s">
        <v>29</v>
      </c>
      <c r="E13" s="14" t="str">
        <f t="array" ref="E13">VLOOKUP($D13,TRANSPOSE($B$1:$VY$7),COLUMN(B1),0)</f>
        <v>SHRIKANT BADGE</v>
      </c>
      <c r="F13" s="14" t="str">
        <f t="array" ref="F13">VLOOKUP($D13,TRANSPOSE($B$1:$VY$7),COLUMN(C1),0)</f>
        <v xml:space="preserve">N  </v>
      </c>
      <c r="G13" s="17">
        <f t="array" ref="G13">VLOOKUP($D13,TRANSPOSE($B$1:$VY$7),COLUMN(D1),0)</f>
        <v>0.9375</v>
      </c>
      <c r="H13" s="17">
        <f t="array" ref="H13">VLOOKUP($D13,TRANSPOSE($B$1:$VY$7),COLUMN(E1),0)</f>
        <v>0.9472222222222223</v>
      </c>
      <c r="I13" s="17">
        <f t="array" ref="I13">VLOOKUP($D13,TRANSPOSE($B$1:$VY$7),COLUMN(F1),0)</f>
        <v>0.27152777777777776</v>
      </c>
      <c r="J13" s="14">
        <f t="array" ref="J13">VLOOKUP($D13,TRANSPOSE($B$1:$VY$7),COLUMN(G1),0)</f>
        <v>7.47</v>
      </c>
      <c r="AD13" s="36"/>
      <c r="GK13" s="29"/>
      <c r="QJ13" s="33"/>
    </row>
    <row r="14" spans="1:597" x14ac:dyDescent="0.3">
      <c r="A14" t="str">
        <f>HLOOKUP($D15, $B$1:$VY$7, COLUMNS($A$11:A13)+1,0)</f>
        <v>SOURAV MAITY</v>
      </c>
      <c r="B14" t="str">
        <f>HLOOKUP($D15, $B$1:$VY$7, COLUMNS($A$11:B13)+1,0)</f>
        <v xml:space="preserve">N  </v>
      </c>
      <c r="C14">
        <f>HLOOKUP($D15, $B$1:$VY$7, COLUMNS($A$11:C13)+1,0)</f>
        <v>0.9375</v>
      </c>
      <c r="D14" s="21" t="s">
        <v>30</v>
      </c>
      <c r="E14" s="14" t="str">
        <f t="array" ref="E14">VLOOKUP($D14,TRANSPOSE($B$1:$VY$7),COLUMN(B2),0)</f>
        <v>HARIVANSH GAUTAM</v>
      </c>
      <c r="F14" s="14" t="str">
        <f t="array" ref="F14">VLOOKUP($D14,TRANSPOSE($B$1:$VY$7),COLUMN(C2),0)</f>
        <v xml:space="preserve">N  </v>
      </c>
      <c r="G14" s="17">
        <f t="array" ref="G14">VLOOKUP($D14,TRANSPOSE($B$1:$VY$7),COLUMN(D2),0)</f>
        <v>0.9375</v>
      </c>
      <c r="H14" s="17">
        <f t="array" ref="H14">VLOOKUP($D14,TRANSPOSE($B$1:$VY$7),COLUMN(E2),0)</f>
        <v>0.93888888888888899</v>
      </c>
      <c r="I14" s="17">
        <f t="array" ref="I14">VLOOKUP($D14,TRANSPOSE($B$1:$VY$7),COLUMN(F2),0)</f>
        <v>0.27083333333333331</v>
      </c>
      <c r="J14" s="14">
        <f t="array" ref="J14">VLOOKUP($D14,TRANSPOSE($B$1:$VY$7),COLUMN(G2),0)</f>
        <v>7.58</v>
      </c>
      <c r="AD14" s="36"/>
      <c r="GK14" s="28"/>
      <c r="QJ14" s="32"/>
    </row>
    <row r="15" spans="1:597" x14ac:dyDescent="0.3">
      <c r="A15" t="str">
        <f>HLOOKUP($D16, $B$1:$VY$7, COLUMNS($A$11:A14)+1,0)</f>
        <v>ABIR SARKAR</v>
      </c>
      <c r="B15" t="str">
        <f>HLOOKUP($D16, $B$1:$VY$7, COLUMNS($A$11:B14)+1,0)</f>
        <v xml:space="preserve">N  </v>
      </c>
      <c r="C15">
        <f>HLOOKUP($D16, $B$1:$VY$7, COLUMNS($A$11:C14)+1,0)</f>
        <v>0.9375</v>
      </c>
      <c r="D15" s="21" t="s">
        <v>31</v>
      </c>
      <c r="E15" s="14" t="str">
        <f t="array" ref="E15">VLOOKUP($D15,TRANSPOSE($B$1:$VY$7),COLUMN(B3),0)</f>
        <v>SOURAV MAITY</v>
      </c>
      <c r="F15" s="14" t="str">
        <f t="array" ref="F15">VLOOKUP($D15,TRANSPOSE($B$1:$VY$7),COLUMN(C3),0)</f>
        <v xml:space="preserve">N  </v>
      </c>
      <c r="G15" s="17">
        <f t="array" ref="G15">VLOOKUP($D15,TRANSPOSE($B$1:$VY$7),COLUMN(D3),0)</f>
        <v>0.9375</v>
      </c>
      <c r="H15" s="17">
        <f t="array" ref="H15">VLOOKUP($D15,TRANSPOSE($B$1:$VY$7),COLUMN(E3),0)</f>
        <v>0.94027777777777777</v>
      </c>
      <c r="I15" s="17">
        <f t="array" ref="I15">VLOOKUP($D15,TRANSPOSE($B$1:$VY$7),COLUMN(F3),0)</f>
        <v>0.27430555555555552</v>
      </c>
      <c r="J15" s="14">
        <f t="array" ref="J15">VLOOKUP($D15,TRANSPOSE($B$1:$VY$7),COLUMN(G3),0)</f>
        <v>8.01</v>
      </c>
      <c r="AD15" s="36"/>
      <c r="GK15" s="29"/>
      <c r="QJ15" s="32"/>
    </row>
    <row r="16" spans="1:597" x14ac:dyDescent="0.3">
      <c r="A16" t="str">
        <f>HLOOKUP($D17, $B$1:$VY$7, COLUMNS($A$11:A15)+1,0)</f>
        <v>SANDEEP ASWAL</v>
      </c>
      <c r="B16" t="str">
        <f>HLOOKUP($D17, $B$1:$VY$7, COLUMNS($A$11:B15)+1,0)</f>
        <v xml:space="preserve">E  </v>
      </c>
      <c r="C16">
        <f>HLOOKUP($D17, $B$1:$VY$7, COLUMNS($A$11:C15)+1,0)</f>
        <v>0.60416666666666663</v>
      </c>
      <c r="D16" s="21" t="s">
        <v>32</v>
      </c>
      <c r="E16" s="14" t="str">
        <f t="array" ref="E16">VLOOKUP($D16,TRANSPOSE($B$1:$VY$7),COLUMN(B4),0)</f>
        <v>ABIR SARKAR</v>
      </c>
      <c r="F16" s="14" t="str">
        <f t="array" ref="F16">VLOOKUP($D16,TRANSPOSE($B$1:$VY$7),COLUMN(C4),0)</f>
        <v xml:space="preserve">N  </v>
      </c>
      <c r="G16" s="17">
        <f t="array" ref="G16">VLOOKUP($D16,TRANSPOSE($B$1:$VY$7),COLUMN(D4),0)</f>
        <v>0.9375</v>
      </c>
      <c r="H16" s="17">
        <f t="array" ref="H16">VLOOKUP($D16,TRANSPOSE($B$1:$VY$7),COLUMN(E4),0)</f>
        <v>0.93472222222222223</v>
      </c>
      <c r="I16" s="17">
        <f t="array" ref="I16">VLOOKUP($D16,TRANSPOSE($B$1:$VY$7),COLUMN(F4),0)</f>
        <v>0.27013888888888887</v>
      </c>
      <c r="J16" s="14">
        <f t="array" ref="J16">VLOOKUP($D16,TRANSPOSE($B$1:$VY$7),COLUMN(G4),0)</f>
        <v>8.0299999999999994</v>
      </c>
      <c r="AD16" s="36"/>
      <c r="GK16" s="28"/>
      <c r="QJ16" s="32"/>
    </row>
    <row r="17" spans="1:452" x14ac:dyDescent="0.3">
      <c r="A17" t="str">
        <f>HLOOKUP($D18, $B$1:$VY$7, COLUMNS($A$11:A16)+1,0)</f>
        <v>KARAN KAPOOR</v>
      </c>
      <c r="B17" t="str">
        <f>HLOOKUP($D18, $B$1:$VY$7, COLUMNS($A$11:B16)+1,0)</f>
        <v xml:space="preserve">E  </v>
      </c>
      <c r="C17">
        <f>HLOOKUP($D18, $B$1:$VY$7, COLUMNS($A$11:C16)+1,0)</f>
        <v>0.60416666666666663</v>
      </c>
      <c r="D17" s="21" t="s">
        <v>33</v>
      </c>
      <c r="E17" s="14" t="str">
        <f t="array" ref="E17">VLOOKUP($D17,TRANSPOSE($B$1:$VY$7),COLUMN(B5),0)</f>
        <v>SANDEEP ASWAL</v>
      </c>
      <c r="F17" s="14" t="str">
        <f t="array" ref="F17">VLOOKUP($D17,TRANSPOSE($B$1:$VY$7),COLUMN(C5),0)</f>
        <v xml:space="preserve">E  </v>
      </c>
      <c r="G17" s="17">
        <f t="array" ref="G17">VLOOKUP($D17,TRANSPOSE($B$1:$VY$7),COLUMN(D5),0)</f>
        <v>0.60416666666666663</v>
      </c>
      <c r="H17" s="17">
        <f t="array" ref="H17">VLOOKUP($D17,TRANSPOSE($B$1:$VY$7),COLUMN(E5),0)</f>
        <v>0.60555555555555551</v>
      </c>
      <c r="I17" s="17">
        <f t="array" ref="I17">VLOOKUP($D17,TRANSPOSE($B$1:$VY$7),COLUMN(F5),0)</f>
        <v>0.94097222222222221</v>
      </c>
      <c r="J17" s="14">
        <f t="array" ref="J17">VLOOKUP($D17,TRANSPOSE($B$1:$VY$7),COLUMN(G5),0)</f>
        <v>8.0299999999999994</v>
      </c>
      <c r="AD17" s="36"/>
      <c r="GK17" s="29"/>
      <c r="QJ17" s="32"/>
    </row>
    <row r="18" spans="1:452" x14ac:dyDescent="0.3">
      <c r="A18" t="str">
        <f>HLOOKUP($D19, $B$1:$VY$7, COLUMNS($A$11:A17)+1,0)</f>
        <v>KISHOR PANARA</v>
      </c>
      <c r="B18" t="str">
        <f>HLOOKUP($D19, $B$1:$VY$7, COLUMNS($A$11:B17)+1,0)</f>
        <v xml:space="preserve">N  </v>
      </c>
      <c r="C18">
        <f>HLOOKUP($D19, $B$1:$VY$7, COLUMNS($A$11:C17)+1,0)</f>
        <v>0.9375</v>
      </c>
      <c r="D18" s="21" t="s">
        <v>34</v>
      </c>
      <c r="E18" s="14" t="str">
        <f t="array" ref="E18">VLOOKUP($D18,TRANSPOSE($B$1:$VY$7),COLUMN(B6),0)</f>
        <v>KARAN KAPOOR</v>
      </c>
      <c r="F18" s="14" t="str">
        <f t="array" ref="F18">VLOOKUP($D18,TRANSPOSE($B$1:$VY$7),COLUMN(C6),0)</f>
        <v xml:space="preserve">E  </v>
      </c>
      <c r="G18" s="17">
        <f t="array" ref="G18">VLOOKUP($D18,TRANSPOSE($B$1:$VY$7),COLUMN(D6),0)</f>
        <v>0.60416666666666663</v>
      </c>
      <c r="H18" s="17">
        <f t="array" ref="H18">VLOOKUP($D18,TRANSPOSE($B$1:$VY$7),COLUMN(E6),0)</f>
        <v>0.60138888888888886</v>
      </c>
      <c r="I18" s="17">
        <f t="array" ref="I18">VLOOKUP($D18,TRANSPOSE($B$1:$VY$7),COLUMN(F6),0)</f>
        <v>0.93819444444444444</v>
      </c>
      <c r="J18" s="14">
        <f t="array" ref="J18">VLOOKUP($D18,TRANSPOSE($B$1:$VY$7),COLUMN(G6),0)</f>
        <v>8.0500000000000007</v>
      </c>
      <c r="AD18" s="36"/>
      <c r="GK18" s="29"/>
      <c r="QJ18" s="32"/>
    </row>
    <row r="19" spans="1:452" x14ac:dyDescent="0.3">
      <c r="A19" t="str">
        <f>HLOOKUP($D20, $B$1:$VY$7, COLUMNS($A$11:A18)+1,0)</f>
        <v>UBAIDILLAH MUHAMMAD</v>
      </c>
      <c r="B19" t="str">
        <f>HLOOKUP($D20, $B$1:$VY$7, COLUMNS($A$11:B18)+1,0)</f>
        <v xml:space="preserve">E  </v>
      </c>
      <c r="C19">
        <f>HLOOKUP($D20, $B$1:$VY$7, COLUMNS($A$11:C18)+1,0)</f>
        <v>0.60416666666666663</v>
      </c>
      <c r="D19" s="21" t="s">
        <v>35</v>
      </c>
      <c r="E19" s="14" t="str">
        <f t="array" ref="E19">VLOOKUP($D19,TRANSPOSE($B$1:$VY$7),COLUMN(B7),0)</f>
        <v>KISHOR PANARA</v>
      </c>
      <c r="F19" s="14" t="str">
        <f t="array" ref="F19">VLOOKUP($D19,TRANSPOSE($B$1:$VY$7),COLUMN(C7),0)</f>
        <v xml:space="preserve">N  </v>
      </c>
      <c r="G19" s="17">
        <f t="array" ref="G19">VLOOKUP($D19,TRANSPOSE($B$1:$VY$7),COLUMN(D7),0)</f>
        <v>0.9375</v>
      </c>
      <c r="H19" s="17">
        <f t="array" ref="H19">VLOOKUP($D19,TRANSPOSE($B$1:$VY$7),COLUMN(E7),0)</f>
        <v>0.93402777777777779</v>
      </c>
      <c r="I19" s="17">
        <f t="array" ref="I19">VLOOKUP($D19,TRANSPOSE($B$1:$VY$7),COLUMN(F7),0)</f>
        <v>0.27152777777777776</v>
      </c>
      <c r="J19" s="14">
        <f t="array" ref="J19">VLOOKUP($D19,TRANSPOSE($B$1:$VY$7),COLUMN(G7),0)</f>
        <v>8.06</v>
      </c>
      <c r="AD19" s="36"/>
      <c r="GK19" s="28"/>
      <c r="QJ19" s="32"/>
    </row>
    <row r="20" spans="1:452" x14ac:dyDescent="0.3">
      <c r="A20" t="str">
        <f>HLOOKUP($D21, $B$1:$VY$7, COLUMNS($A$11:A19)+1,0)</f>
        <v>AAKANKSHA SRIVASTAVA</v>
      </c>
      <c r="B20" t="str">
        <f>HLOOKUP($D21, $B$1:$VY$7, COLUMNS($A$11:B19)+1,0)</f>
        <v xml:space="preserve">E  </v>
      </c>
      <c r="C20">
        <f>HLOOKUP($D21, $B$1:$VY$7, COLUMNS($A$11:C19)+1,0)</f>
        <v>0.60416666666666663</v>
      </c>
      <c r="D20" s="21" t="s">
        <v>36</v>
      </c>
      <c r="E20" s="14" t="str">
        <f t="array" ref="E20">VLOOKUP($D20,TRANSPOSE($B$1:$VY$7),COLUMN(B8),0)</f>
        <v>UBAIDILLAH MUHAMMAD</v>
      </c>
      <c r="F20" s="14" t="str">
        <f t="array" ref="F20">VLOOKUP($D20,TRANSPOSE($B$1:$VY$7),COLUMN(C8),0)</f>
        <v xml:space="preserve">E  </v>
      </c>
      <c r="G20" s="17">
        <f t="array" ref="G20">VLOOKUP($D20,TRANSPOSE($B$1:$VY$7),COLUMN(D8),0)</f>
        <v>0.60416666666666663</v>
      </c>
      <c r="H20" s="17">
        <f t="array" ref="H20">VLOOKUP($D20,TRANSPOSE($B$1:$VY$7),COLUMN(E8),0)</f>
        <v>0.59930555555555554</v>
      </c>
      <c r="I20" s="17">
        <f t="array" ref="I20">VLOOKUP($D20,TRANSPOSE($B$1:$VY$7),COLUMN(F8),0)</f>
        <v>0.93819444444444444</v>
      </c>
      <c r="J20" s="14">
        <f t="array" ref="J20">VLOOKUP($D20,TRANSPOSE($B$1:$VY$7),COLUMN(G8),0)</f>
        <v>8.08</v>
      </c>
      <c r="AD20" s="36"/>
      <c r="GK20" s="28"/>
      <c r="QJ20" s="32"/>
    </row>
    <row r="21" spans="1:452" x14ac:dyDescent="0.3">
      <c r="D21" s="21" t="s">
        <v>37</v>
      </c>
      <c r="E21" s="14" t="str">
        <f t="array" ref="E21">VLOOKUP($D21,TRANSPOSE($B$1:$VY$7),COLUMN(B9),0)</f>
        <v>AAKANKSHA SRIVASTAVA</v>
      </c>
      <c r="F21" s="14" t="str">
        <f t="array" ref="F21">VLOOKUP($D21,TRANSPOSE($B$1:$VY$7),COLUMN(C9),0)</f>
        <v xml:space="preserve">E  </v>
      </c>
      <c r="G21" s="17">
        <f t="array" ref="G21">VLOOKUP($D21,TRANSPOSE($B$1:$VY$7),COLUMN(D9),0)</f>
        <v>0.60416666666666663</v>
      </c>
      <c r="H21" s="17">
        <f t="array" ref="H21">VLOOKUP($D21,TRANSPOSE($B$1:$VY$7),COLUMN(E9),0)</f>
        <v>0.59583333333333333</v>
      </c>
      <c r="I21" s="17">
        <f t="array" ref="I21">VLOOKUP($D21,TRANSPOSE($B$1:$VY$7),COLUMN(F9),0)</f>
        <v>0.93680555555555556</v>
      </c>
      <c r="J21" s="14">
        <f t="array" ref="J21">VLOOKUP($D21,TRANSPOSE($B$1:$VY$7),COLUMN(G9),0)</f>
        <v>8.11</v>
      </c>
      <c r="AD21" s="36"/>
      <c r="GK21" s="28"/>
      <c r="QJ21" s="32"/>
    </row>
    <row r="22" spans="1:452" x14ac:dyDescent="0.3">
      <c r="D22" s="21" t="s">
        <v>38</v>
      </c>
      <c r="E22" s="14" t="str">
        <f t="array" ref="E22">VLOOKUP($D22,TRANSPOSE($B$1:$VY$7),COLUMN(B10),0)</f>
        <v>SUDHAKAR ARYA</v>
      </c>
      <c r="F22" s="14" t="str">
        <f t="array" ref="F22">VLOOKUP($D22,TRANSPOSE($B$1:$VY$7),COLUMN(C10),0)</f>
        <v xml:space="preserve">N  </v>
      </c>
      <c r="G22" s="17">
        <f t="array" ref="G22">VLOOKUP($D22,TRANSPOSE($B$1:$VY$7),COLUMN(D10),0)</f>
        <v>0.9375</v>
      </c>
      <c r="H22" s="17">
        <f t="array" ref="H22">VLOOKUP($D22,TRANSPOSE($B$1:$VY$7),COLUMN(E10),0)</f>
        <v>0.93055555555555547</v>
      </c>
      <c r="I22" s="17">
        <f t="array" ref="I22">VLOOKUP($D22,TRANSPOSE($B$1:$VY$7),COLUMN(F10),0)</f>
        <v>0.2722222222222222</v>
      </c>
      <c r="J22" s="14">
        <f t="array" ref="J22">VLOOKUP($D22,TRANSPOSE($B$1:$VY$7),COLUMN(G10),0)</f>
        <v>8.1199999999999992</v>
      </c>
      <c r="AD22" s="36"/>
      <c r="GK22" s="28"/>
      <c r="QJ22" s="32"/>
    </row>
    <row r="23" spans="1:452" x14ac:dyDescent="0.3">
      <c r="D23" s="21" t="s">
        <v>39</v>
      </c>
      <c r="E23" s="14" t="str">
        <f t="array" ref="E23">VLOOKUP($D23,TRANSPOSE($B$1:$VY$7),COLUMN(B11),0)</f>
        <v>ARJUN SHAW</v>
      </c>
      <c r="F23" s="14" t="str">
        <f t="array" ref="F23">VLOOKUP($D23,TRANSPOSE($B$1:$VY$7),COLUMN(C11),0)</f>
        <v xml:space="preserve">M  </v>
      </c>
      <c r="G23" s="17">
        <f t="array" ref="G23">VLOOKUP($D23,TRANSPOSE($B$1:$VY$7),COLUMN(D11),0)</f>
        <v>0.27083333333333331</v>
      </c>
      <c r="H23" s="17">
        <f t="array" ref="H23">VLOOKUP($D23,TRANSPOSE($B$1:$VY$7),COLUMN(E11),0)</f>
        <v>0.26874999999999999</v>
      </c>
      <c r="I23" s="17">
        <f t="array" ref="I23">VLOOKUP($D23,TRANSPOSE($B$1:$VY$7),COLUMN(F11),0)</f>
        <v>0.61111111111111105</v>
      </c>
      <c r="J23" s="14">
        <f t="array" ref="J23">VLOOKUP($D23,TRANSPOSE($B$1:$VY$7),COLUMN(G11),0)</f>
        <v>8.1300000000000008</v>
      </c>
      <c r="AD23" s="36"/>
      <c r="GK23" s="28"/>
      <c r="QJ23" s="32"/>
    </row>
    <row r="24" spans="1:452" x14ac:dyDescent="0.3">
      <c r="D24" s="21" t="s">
        <v>40</v>
      </c>
      <c r="E24" s="14" t="str">
        <f t="array" ref="E24">VLOOKUP($D24,TRANSPOSE($B$1:$VY$7),COLUMN(B12),0)</f>
        <v>ASHU SHARMA</v>
      </c>
      <c r="F24" s="14" t="str">
        <f t="array" ref="F24">VLOOKUP($D24,TRANSPOSE($B$1:$VY$7),COLUMN(C12),0)</f>
        <v xml:space="preserve">N  </v>
      </c>
      <c r="G24" s="17">
        <f t="array" ref="G24">VLOOKUP($D24,TRANSPOSE($B$1:$VY$7),COLUMN(D12),0)</f>
        <v>0.9375</v>
      </c>
      <c r="H24" s="17">
        <f t="array" ref="H24">VLOOKUP($D24,TRANSPOSE($B$1:$VY$7),COLUMN(E12),0)</f>
        <v>0.9291666666666667</v>
      </c>
      <c r="I24" s="17">
        <f t="array" ref="I24">VLOOKUP($D24,TRANSPOSE($B$1:$VY$7),COLUMN(F12),0)</f>
        <v>0.2722222222222222</v>
      </c>
      <c r="J24" s="14">
        <f t="array" ref="J24">VLOOKUP($D24,TRANSPOSE($B$1:$VY$7),COLUMN(G12),0)</f>
        <v>8.14</v>
      </c>
      <c r="AD24" s="36"/>
      <c r="GK24" s="28"/>
      <c r="QJ24" s="32"/>
    </row>
    <row r="25" spans="1:452" x14ac:dyDescent="0.3">
      <c r="D25" s="21" t="s">
        <v>41</v>
      </c>
      <c r="E25" s="14" t="str">
        <f t="array" ref="E25">VLOOKUP($D25,TRANSPOSE($B$1:$VY$7),COLUMN(B13),0)</f>
        <v>TEJPAL SAIN</v>
      </c>
      <c r="F25" s="14" t="str">
        <f t="array" ref="F25">VLOOKUP($D25,TRANSPOSE($B$1:$VY$7),COLUMN(C13),0)</f>
        <v xml:space="preserve">N  </v>
      </c>
      <c r="G25" s="17">
        <f t="array" ref="G25">VLOOKUP($D25,TRANSPOSE($B$1:$VY$7),COLUMN(D13),0)</f>
        <v>0.9375</v>
      </c>
      <c r="H25" s="17">
        <f t="array" ref="H25">VLOOKUP($D25,TRANSPOSE($B$1:$VY$7),COLUMN(E13),0)</f>
        <v>0.93055555555555547</v>
      </c>
      <c r="I25" s="17">
        <f t="array" ref="I25">VLOOKUP($D25,TRANSPOSE($B$1:$VY$7),COLUMN(F13),0)</f>
        <v>0.27430555555555552</v>
      </c>
      <c r="J25" s="14">
        <f t="array" ref="J25">VLOOKUP($D25,TRANSPOSE($B$1:$VY$7),COLUMN(G13),0)</f>
        <v>8.15</v>
      </c>
      <c r="AD25" s="36"/>
      <c r="GK25" s="28"/>
      <c r="QJ25" s="32"/>
    </row>
    <row r="26" spans="1:452" x14ac:dyDescent="0.3">
      <c r="D26" s="21" t="s">
        <v>42</v>
      </c>
      <c r="E26" s="14" t="str">
        <f t="array" ref="E26">VLOOKUP($D26,TRANSPOSE($B$1:$VY$7),COLUMN(B14),0)</f>
        <v>SHAGOR AHMED</v>
      </c>
      <c r="F26" s="14" t="str">
        <f t="array" ref="F26">VLOOKUP($D26,TRANSPOSE($B$1:$VY$7),COLUMN(C14),0)</f>
        <v xml:space="preserve">M  </v>
      </c>
      <c r="G26" s="17">
        <f t="array" ref="G26">VLOOKUP($D26,TRANSPOSE($B$1:$VY$7),COLUMN(D14),0)</f>
        <v>0.27083333333333331</v>
      </c>
      <c r="H26" s="17">
        <f t="array" ref="H26">VLOOKUP($D26,TRANSPOSE($B$1:$VY$7),COLUMN(E14),0)</f>
        <v>0.2673611111111111</v>
      </c>
      <c r="I26" s="17">
        <f t="array" ref="I26">VLOOKUP($D26,TRANSPOSE($B$1:$VY$7),COLUMN(F14),0)</f>
        <v>0.61111111111111105</v>
      </c>
      <c r="J26" s="14">
        <f t="array" ref="J26">VLOOKUP($D26,TRANSPOSE($B$1:$VY$7),COLUMN(G14),0)</f>
        <v>8.15</v>
      </c>
      <c r="AD26" s="36"/>
      <c r="GK26" s="30"/>
      <c r="QJ26" s="32"/>
    </row>
    <row r="27" spans="1:452" x14ac:dyDescent="0.3">
      <c r="D27" s="21" t="s">
        <v>43</v>
      </c>
      <c r="E27" s="14" t="str">
        <f t="array" ref="E27">VLOOKUP($D27,TRANSPOSE($B$1:$VY$7),COLUMN(B15),0)</f>
        <v>MANPREET KAUR</v>
      </c>
      <c r="F27" s="14" t="str">
        <f t="array" ref="F27">VLOOKUP($D27,TRANSPOSE($B$1:$VY$7),COLUMN(C15),0)</f>
        <v xml:space="preserve">E  </v>
      </c>
      <c r="G27" s="17">
        <f t="array" ref="G27">VLOOKUP($D27,TRANSPOSE($B$1:$VY$7),COLUMN(D15),0)</f>
        <v>0.60416666666666663</v>
      </c>
      <c r="H27" s="17">
        <f t="array" ref="H27">VLOOKUP($D27,TRANSPOSE($B$1:$VY$7),COLUMN(E15),0)</f>
        <v>0.59722222222222221</v>
      </c>
      <c r="I27" s="17">
        <f t="array" ref="I27">VLOOKUP($D27,TRANSPOSE($B$1:$VY$7),COLUMN(F15),0)</f>
        <v>0.94166666666666676</v>
      </c>
      <c r="J27" s="14">
        <f t="array" ref="J27">VLOOKUP($D27,TRANSPOSE($B$1:$VY$7),COLUMN(G15),0)</f>
        <v>8.16</v>
      </c>
      <c r="AD27" s="36"/>
      <c r="GK27" s="31"/>
      <c r="QJ27" s="32"/>
    </row>
    <row r="28" spans="1:452" x14ac:dyDescent="0.3">
      <c r="D28" s="21" t="s">
        <v>44</v>
      </c>
      <c r="E28" s="14" t="str">
        <f t="array" ref="E28">VLOOKUP($D28,TRANSPOSE($B$1:$VY$7),COLUMN(B16),0)</f>
        <v>MEENAV SHAH</v>
      </c>
      <c r="F28" s="14" t="str">
        <f t="array" ref="F28">VLOOKUP($D28,TRANSPOSE($B$1:$VY$7),COLUMN(C16),0)</f>
        <v xml:space="preserve">N  </v>
      </c>
      <c r="G28" s="17">
        <f t="array" ref="G28">VLOOKUP($D28,TRANSPOSE($B$1:$VY$7),COLUMN(D16),0)</f>
        <v>0.9375</v>
      </c>
      <c r="H28" s="17">
        <f t="array" ref="H28">VLOOKUP($D28,TRANSPOSE($B$1:$VY$7),COLUMN(E16),0)</f>
        <v>0.93263888888888891</v>
      </c>
      <c r="I28" s="17">
        <f t="array" ref="I28">VLOOKUP($D28,TRANSPOSE($B$1:$VY$7),COLUMN(F16),0)</f>
        <v>0.27708333333333335</v>
      </c>
      <c r="J28" s="14">
        <f t="array" ref="J28">VLOOKUP($D28,TRANSPOSE($B$1:$VY$7),COLUMN(G16),0)</f>
        <v>8.16</v>
      </c>
      <c r="AD28" s="36"/>
      <c r="GK28" s="29"/>
      <c r="QJ28" s="32"/>
    </row>
    <row r="29" spans="1:452" x14ac:dyDescent="0.3">
      <c r="D29" s="21"/>
      <c r="E29" s="14"/>
      <c r="F29" s="14"/>
      <c r="G29" s="14"/>
      <c r="H29" s="14"/>
      <c r="I29" s="14"/>
      <c r="J29" s="14"/>
      <c r="AD29" s="36"/>
      <c r="GK29" s="29"/>
      <c r="QJ29" s="32"/>
    </row>
    <row r="30" spans="1:452" x14ac:dyDescent="0.3">
      <c r="D30" s="21"/>
      <c r="E30" s="14"/>
      <c r="F30" s="14"/>
      <c r="G30" s="14"/>
      <c r="H30" s="14"/>
      <c r="I30" s="14"/>
      <c r="J30" s="14"/>
      <c r="AD30" s="36"/>
      <c r="GK30" s="31"/>
      <c r="QJ30" s="32"/>
    </row>
    <row r="31" spans="1:452" x14ac:dyDescent="0.3">
      <c r="AD31" s="36"/>
      <c r="GK31" s="31"/>
      <c r="QJ31" s="32"/>
    </row>
    <row r="32" spans="1:452" x14ac:dyDescent="0.3">
      <c r="AD32" s="36"/>
      <c r="GK32" s="28"/>
      <c r="QJ32" s="32"/>
    </row>
    <row r="33" spans="5:452" x14ac:dyDescent="0.3">
      <c r="E33" t="str">
        <f>HLOOKUP($D13,$B$1:$VY$7,COLUMNS($E$31:E31)+1,0)</f>
        <v>SHRIKANT BADGE</v>
      </c>
      <c r="F33" t="str">
        <f>HLOOKUP($D13,$B$1:$VY$7,COLUMNS($E$31:F31)+1,0)</f>
        <v xml:space="preserve">N  </v>
      </c>
      <c r="G33" s="55">
        <f>HLOOKUP($D13,$B$1:$VY$7,COLUMNS($E$31:G31)+1,0)</f>
        <v>0.9375</v>
      </c>
      <c r="H33" s="55">
        <f>HLOOKUP($D13,$B$1:$VY$7,COLUMNS($E$31:H31)+1,0)</f>
        <v>0.9472222222222223</v>
      </c>
      <c r="I33" s="55">
        <f>HLOOKUP($D13,$B$1:$VY$7,COLUMNS($E$31:I31)+1,0)</f>
        <v>0.27152777777777776</v>
      </c>
      <c r="J33">
        <f>HLOOKUP($D13,$B$1:$VY$7,COLUMNS($E$31:J31)+1,0)</f>
        <v>7.47</v>
      </c>
      <c r="AD33" s="36"/>
      <c r="GK33" s="28"/>
      <c r="QJ33" s="32"/>
    </row>
    <row r="34" spans="5:452" x14ac:dyDescent="0.3">
      <c r="E34" t="str">
        <f>HLOOKUP($D14,$B$1:$VY$7,COLUMNS($E$31:E32)+1,0)</f>
        <v>HARIVANSH GAUTAM</v>
      </c>
      <c r="F34" t="str">
        <f>HLOOKUP($D14,$B$1:$VY$7,COLUMNS($E$31:F32)+1,0)</f>
        <v xml:space="preserve">N  </v>
      </c>
      <c r="G34" s="55">
        <f>HLOOKUP($D14,$B$1:$VY$7,COLUMNS($E$31:G32)+1,0)</f>
        <v>0.9375</v>
      </c>
      <c r="H34" s="55">
        <f>HLOOKUP($D14,$B$1:$VY$7,COLUMNS($E$31:H32)+1,0)</f>
        <v>0.93888888888888899</v>
      </c>
      <c r="I34" s="55">
        <f>HLOOKUP($D14,$B$1:$VY$7,COLUMNS($E$31:I32)+1,0)</f>
        <v>0.27083333333333331</v>
      </c>
      <c r="J34">
        <f>HLOOKUP($D14,$B$1:$VY$7,COLUMNS($E$31:J32)+1,0)</f>
        <v>7.58</v>
      </c>
      <c r="AD34" s="36"/>
      <c r="GK34" s="28"/>
      <c r="QJ34" s="32"/>
    </row>
    <row r="35" spans="5:452" x14ac:dyDescent="0.3">
      <c r="E35" t="str">
        <f>HLOOKUP($D15,$B$1:$VY$7,COLUMNS($E$31:E33)+1,0)</f>
        <v>SOURAV MAITY</v>
      </c>
      <c r="F35" t="str">
        <f>HLOOKUP($D15,$B$1:$VY$7,COLUMNS($E$31:F33)+1,0)</f>
        <v xml:space="preserve">N  </v>
      </c>
      <c r="G35" s="55">
        <f>HLOOKUP($D15,$B$1:$VY$7,COLUMNS($E$31:G33)+1,0)</f>
        <v>0.9375</v>
      </c>
      <c r="H35" s="55">
        <f>HLOOKUP($D15,$B$1:$VY$7,COLUMNS($E$31:H33)+1,0)</f>
        <v>0.94027777777777777</v>
      </c>
      <c r="I35" s="55">
        <f>HLOOKUP($D15,$B$1:$VY$7,COLUMNS($E$31:I33)+1,0)</f>
        <v>0.27430555555555552</v>
      </c>
      <c r="J35">
        <f>HLOOKUP($D15,$B$1:$VY$7,COLUMNS($E$31:J33)+1,0)</f>
        <v>8.01</v>
      </c>
      <c r="AD35" s="36"/>
      <c r="GK35" s="32"/>
      <c r="QJ35" s="32"/>
    </row>
    <row r="36" spans="5:452" x14ac:dyDescent="0.3">
      <c r="E36" t="str">
        <f>HLOOKUP($D16,$B$1:$VY$7,COLUMNS($E$31:E34)+1,0)</f>
        <v>ABIR SARKAR</v>
      </c>
      <c r="F36" t="str">
        <f>HLOOKUP($D16,$B$1:$VY$7,COLUMNS($E$31:F34)+1,0)</f>
        <v xml:space="preserve">N  </v>
      </c>
      <c r="G36" s="55">
        <f>HLOOKUP($D16,$B$1:$VY$7,COLUMNS($E$31:G34)+1,0)</f>
        <v>0.9375</v>
      </c>
      <c r="H36" s="55">
        <f>HLOOKUP($D16,$B$1:$VY$7,COLUMNS($E$31:H34)+1,0)</f>
        <v>0.93472222222222223</v>
      </c>
      <c r="I36" s="55">
        <f>HLOOKUP($D16,$B$1:$VY$7,COLUMNS($E$31:I34)+1,0)</f>
        <v>0.27013888888888887</v>
      </c>
      <c r="J36">
        <f>HLOOKUP($D16,$B$1:$VY$7,COLUMNS($E$31:J34)+1,0)</f>
        <v>8.0299999999999994</v>
      </c>
      <c r="AD36" s="36"/>
      <c r="GK36" s="32"/>
      <c r="QJ36" s="32"/>
    </row>
    <row r="37" spans="5:452" x14ac:dyDescent="0.3">
      <c r="E37" t="str">
        <f>HLOOKUP($D17,$B$1:$VY$7,COLUMNS($E$31:E35)+1,0)</f>
        <v>SANDEEP ASWAL</v>
      </c>
      <c r="F37" t="str">
        <f>HLOOKUP($D17,$B$1:$VY$7,COLUMNS($E$31:F35)+1,0)</f>
        <v xml:space="preserve">E  </v>
      </c>
      <c r="G37" s="55">
        <f>HLOOKUP($D17,$B$1:$VY$7,COLUMNS($E$31:G35)+1,0)</f>
        <v>0.60416666666666663</v>
      </c>
      <c r="H37" s="55">
        <f>HLOOKUP($D17,$B$1:$VY$7,COLUMNS($E$31:H35)+1,0)</f>
        <v>0.60555555555555551</v>
      </c>
      <c r="I37" s="55">
        <f>HLOOKUP($D17,$B$1:$VY$7,COLUMNS($E$31:I35)+1,0)</f>
        <v>0.94097222222222221</v>
      </c>
      <c r="J37">
        <f>HLOOKUP($D17,$B$1:$VY$7,COLUMNS($E$31:J35)+1,0)</f>
        <v>8.0299999999999994</v>
      </c>
      <c r="AD37" s="36"/>
      <c r="GK37" s="33"/>
      <c r="QJ37" s="32"/>
    </row>
    <row r="38" spans="5:452" x14ac:dyDescent="0.3">
      <c r="E38" t="str">
        <f>HLOOKUP($D18,$B$1:$VY$7,COLUMNS($E$31:E36)+1,0)</f>
        <v>KARAN KAPOOR</v>
      </c>
      <c r="F38" t="str">
        <f>HLOOKUP($D18,$B$1:$VY$7,COLUMNS($E$31:F36)+1,0)</f>
        <v xml:space="preserve">E  </v>
      </c>
      <c r="G38" s="55">
        <f>HLOOKUP($D18,$B$1:$VY$7,COLUMNS($E$31:G36)+1,0)</f>
        <v>0.60416666666666663</v>
      </c>
      <c r="H38" s="55">
        <f>HLOOKUP($D18,$B$1:$VY$7,COLUMNS($E$31:H36)+1,0)</f>
        <v>0.60138888888888886</v>
      </c>
      <c r="I38" s="55">
        <f>HLOOKUP($D18,$B$1:$VY$7,COLUMNS($E$31:I36)+1,0)</f>
        <v>0.93819444444444444</v>
      </c>
      <c r="J38">
        <f>HLOOKUP($D18,$B$1:$VY$7,COLUMNS($E$31:J36)+1,0)</f>
        <v>8.0500000000000007</v>
      </c>
      <c r="AD38" s="36"/>
      <c r="GK38" s="32"/>
      <c r="QJ38" s="32"/>
    </row>
    <row r="39" spans="5:452" x14ac:dyDescent="0.3">
      <c r="E39" t="str">
        <f>HLOOKUP($D19,$B$1:$VY$7,COLUMNS($E$31:E37)+1,0)</f>
        <v>KISHOR PANARA</v>
      </c>
      <c r="F39" t="str">
        <f>HLOOKUP($D19,$B$1:$VY$7,COLUMNS($E$31:F37)+1,0)</f>
        <v xml:space="preserve">N  </v>
      </c>
      <c r="G39" s="55">
        <f>HLOOKUP($D19,$B$1:$VY$7,COLUMNS($E$31:G37)+1,0)</f>
        <v>0.9375</v>
      </c>
      <c r="H39" s="55">
        <f>HLOOKUP($D19,$B$1:$VY$7,COLUMNS($E$31:H37)+1,0)</f>
        <v>0.93402777777777779</v>
      </c>
      <c r="I39" s="55">
        <f>HLOOKUP($D19,$B$1:$VY$7,COLUMNS($E$31:I37)+1,0)</f>
        <v>0.27152777777777776</v>
      </c>
      <c r="J39">
        <f>HLOOKUP($D19,$B$1:$VY$7,COLUMNS($E$31:J37)+1,0)</f>
        <v>8.06</v>
      </c>
      <c r="AD39" s="36"/>
      <c r="GK39" s="32"/>
      <c r="QJ39" s="32"/>
    </row>
    <row r="40" spans="5:452" x14ac:dyDescent="0.3">
      <c r="E40" t="str">
        <f>HLOOKUP($D20,$B$1:$VY$7,COLUMNS($E$31:E38)+1,0)</f>
        <v>UBAIDILLAH MUHAMMAD</v>
      </c>
      <c r="F40" t="str">
        <f>HLOOKUP($D20,$B$1:$VY$7,COLUMNS($E$31:F38)+1,0)</f>
        <v xml:space="preserve">E  </v>
      </c>
      <c r="G40" s="55">
        <f>HLOOKUP($D20,$B$1:$VY$7,COLUMNS($E$31:G38)+1,0)</f>
        <v>0.60416666666666663</v>
      </c>
      <c r="H40" s="55">
        <f>HLOOKUP($D20,$B$1:$VY$7,COLUMNS($E$31:H38)+1,0)</f>
        <v>0.59930555555555554</v>
      </c>
      <c r="I40" s="55">
        <f>HLOOKUP($D20,$B$1:$VY$7,COLUMNS($E$31:I38)+1,0)</f>
        <v>0.93819444444444444</v>
      </c>
      <c r="J40">
        <f>HLOOKUP($D20,$B$1:$VY$7,COLUMNS($E$31:J38)+1,0)</f>
        <v>8.08</v>
      </c>
      <c r="AD40" s="36"/>
      <c r="GK40" s="32"/>
      <c r="QJ40" s="32"/>
    </row>
    <row r="41" spans="5:452" x14ac:dyDescent="0.3">
      <c r="E41" t="str">
        <f>HLOOKUP($D21,$B$1:$VY$7,COLUMNS($E$31:E39)+1,0)</f>
        <v>AAKANKSHA SRIVASTAVA</v>
      </c>
      <c r="F41" t="str">
        <f>HLOOKUP($D21,$B$1:$VY$7,COLUMNS($E$31:F39)+1,0)</f>
        <v xml:space="preserve">E  </v>
      </c>
      <c r="G41" s="55">
        <f>HLOOKUP($D21,$B$1:$VY$7,COLUMNS($E$31:G39)+1,0)</f>
        <v>0.60416666666666663</v>
      </c>
      <c r="H41" s="55">
        <f>HLOOKUP($D21,$B$1:$VY$7,COLUMNS($E$31:H39)+1,0)</f>
        <v>0.59583333333333333</v>
      </c>
      <c r="I41" s="55">
        <f>HLOOKUP($D21,$B$1:$VY$7,COLUMNS($E$31:I39)+1,0)</f>
        <v>0.93680555555555556</v>
      </c>
      <c r="J41">
        <f>HLOOKUP($D21,$B$1:$VY$7,COLUMNS($E$31:J39)+1,0)</f>
        <v>8.11</v>
      </c>
      <c r="AD41" s="36"/>
      <c r="GK41" s="32"/>
      <c r="QJ41" s="32"/>
    </row>
    <row r="42" spans="5:452" x14ac:dyDescent="0.3">
      <c r="E42" t="str">
        <f>HLOOKUP($D22,$B$1:$VY$7,COLUMNS($E$31:E40)+1,0)</f>
        <v>SUDHAKAR ARYA</v>
      </c>
      <c r="F42" t="str">
        <f>HLOOKUP($D22,$B$1:$VY$7,COLUMNS($E$31:F40)+1,0)</f>
        <v xml:space="preserve">N  </v>
      </c>
      <c r="G42" s="55">
        <f>HLOOKUP($D22,$B$1:$VY$7,COLUMNS($E$31:G40)+1,0)</f>
        <v>0.9375</v>
      </c>
      <c r="H42" s="55">
        <f>HLOOKUP($D22,$B$1:$VY$7,COLUMNS($E$31:H40)+1,0)</f>
        <v>0.93055555555555547</v>
      </c>
      <c r="I42" s="55">
        <f>HLOOKUP($D22,$B$1:$VY$7,COLUMNS($E$31:I40)+1,0)</f>
        <v>0.2722222222222222</v>
      </c>
      <c r="J42">
        <f>HLOOKUP($D22,$B$1:$VY$7,COLUMNS($E$31:J40)+1,0)</f>
        <v>8.1199999999999992</v>
      </c>
      <c r="AD42" s="36"/>
      <c r="GK42" s="32"/>
      <c r="QJ42" s="32"/>
    </row>
    <row r="43" spans="5:452" x14ac:dyDescent="0.3">
      <c r="E43" t="str">
        <f>HLOOKUP($D23,$B$1:$VY$7,COLUMNS($E$31:E41)+1,0)</f>
        <v>ARJUN SHAW</v>
      </c>
      <c r="F43" t="str">
        <f>HLOOKUP($D23,$B$1:$VY$7,COLUMNS($E$31:F41)+1,0)</f>
        <v xml:space="preserve">M  </v>
      </c>
      <c r="G43" s="55">
        <f>HLOOKUP($D23,$B$1:$VY$7,COLUMNS($E$31:G41)+1,0)</f>
        <v>0.27083333333333331</v>
      </c>
      <c r="H43" s="55">
        <f>HLOOKUP($D23,$B$1:$VY$7,COLUMNS($E$31:H41)+1,0)</f>
        <v>0.26874999999999999</v>
      </c>
      <c r="I43" s="55">
        <f>HLOOKUP($D23,$B$1:$VY$7,COLUMNS($E$31:I41)+1,0)</f>
        <v>0.61111111111111105</v>
      </c>
      <c r="J43">
        <f>HLOOKUP($D23,$B$1:$VY$7,COLUMNS($E$31:J41)+1,0)</f>
        <v>8.1300000000000008</v>
      </c>
      <c r="AD43" s="36"/>
      <c r="GK43" s="32"/>
      <c r="QJ43" s="32"/>
    </row>
    <row r="44" spans="5:452" x14ac:dyDescent="0.3">
      <c r="E44" t="str">
        <f>HLOOKUP($D24,$B$1:$VY$7,COLUMNS($E$31:E42)+1,0)</f>
        <v>ASHU SHARMA</v>
      </c>
      <c r="F44" t="str">
        <f>HLOOKUP($D24,$B$1:$VY$7,COLUMNS($E$31:F42)+1,0)</f>
        <v xml:space="preserve">N  </v>
      </c>
      <c r="G44" s="55">
        <f>HLOOKUP($D24,$B$1:$VY$7,COLUMNS($E$31:G42)+1,0)</f>
        <v>0.9375</v>
      </c>
      <c r="H44" s="55">
        <f>HLOOKUP($D24,$B$1:$VY$7,COLUMNS($E$31:H42)+1,0)</f>
        <v>0.9291666666666667</v>
      </c>
      <c r="I44" s="55">
        <f>HLOOKUP($D24,$B$1:$VY$7,COLUMNS($E$31:I42)+1,0)</f>
        <v>0.2722222222222222</v>
      </c>
      <c r="J44">
        <f>HLOOKUP($D24,$B$1:$VY$7,COLUMNS($E$31:J42)+1,0)</f>
        <v>8.14</v>
      </c>
      <c r="AD44" s="36"/>
      <c r="GK44" s="32"/>
      <c r="QJ44" s="32"/>
    </row>
    <row r="45" spans="5:452" x14ac:dyDescent="0.3">
      <c r="E45" t="str">
        <f>HLOOKUP($D25,$B$1:$VY$7,COLUMNS($E$31:E43)+1,0)</f>
        <v>TEJPAL SAIN</v>
      </c>
      <c r="F45" t="str">
        <f>HLOOKUP($D25,$B$1:$VY$7,COLUMNS($E$31:F43)+1,0)</f>
        <v xml:space="preserve">N  </v>
      </c>
      <c r="G45" s="55">
        <f>HLOOKUP($D25,$B$1:$VY$7,COLUMNS($E$31:G43)+1,0)</f>
        <v>0.9375</v>
      </c>
      <c r="H45" s="55">
        <f>HLOOKUP($D25,$B$1:$VY$7,COLUMNS($E$31:H43)+1,0)</f>
        <v>0.93055555555555547</v>
      </c>
      <c r="I45" s="55">
        <f>HLOOKUP($D25,$B$1:$VY$7,COLUMNS($E$31:I43)+1,0)</f>
        <v>0.27430555555555552</v>
      </c>
      <c r="J45">
        <f>HLOOKUP($D25,$B$1:$VY$7,COLUMNS($E$31:J43)+1,0)</f>
        <v>8.15</v>
      </c>
      <c r="AD45" s="36"/>
      <c r="GK45" s="32"/>
      <c r="QJ45" s="32"/>
    </row>
    <row r="46" spans="5:452" x14ac:dyDescent="0.3">
      <c r="E46" t="str">
        <f>HLOOKUP($D26,$B$1:$VY$7,COLUMNS($E$31:E44)+1,0)</f>
        <v>SHAGOR AHMED</v>
      </c>
      <c r="F46" t="str">
        <f>HLOOKUP($D26,$B$1:$VY$7,COLUMNS($E$31:F44)+1,0)</f>
        <v xml:space="preserve">M  </v>
      </c>
      <c r="G46" s="55">
        <f>HLOOKUP($D26,$B$1:$VY$7,COLUMNS($E$31:G44)+1,0)</f>
        <v>0.27083333333333331</v>
      </c>
      <c r="H46" s="55">
        <f>HLOOKUP($D26,$B$1:$VY$7,COLUMNS($E$31:H44)+1,0)</f>
        <v>0.2673611111111111</v>
      </c>
      <c r="I46" s="55">
        <f>HLOOKUP($D26,$B$1:$VY$7,COLUMNS($E$31:I44)+1,0)</f>
        <v>0.61111111111111105</v>
      </c>
      <c r="J46">
        <f>HLOOKUP($D26,$B$1:$VY$7,COLUMNS($E$31:J44)+1,0)</f>
        <v>8.15</v>
      </c>
      <c r="AD46" s="36"/>
      <c r="GK46" s="32"/>
      <c r="QJ46" s="32"/>
    </row>
    <row r="47" spans="5:452" x14ac:dyDescent="0.3">
      <c r="E47" t="str">
        <f>HLOOKUP($D27,$B$1:$VY$7,COLUMNS($E$31:E45)+1,0)</f>
        <v>MANPREET KAUR</v>
      </c>
      <c r="F47" t="str">
        <f>HLOOKUP($D27,$B$1:$VY$7,COLUMNS($E$31:F45)+1,0)</f>
        <v xml:space="preserve">E  </v>
      </c>
      <c r="G47" s="55">
        <f>HLOOKUP($D27,$B$1:$VY$7,COLUMNS($E$31:G45)+1,0)</f>
        <v>0.60416666666666663</v>
      </c>
      <c r="H47" s="55">
        <f>HLOOKUP($D27,$B$1:$VY$7,COLUMNS($E$31:H45)+1,0)</f>
        <v>0.59722222222222221</v>
      </c>
      <c r="I47" s="55">
        <f>HLOOKUP($D27,$B$1:$VY$7,COLUMNS($E$31:I45)+1,0)</f>
        <v>0.94166666666666676</v>
      </c>
      <c r="J47">
        <f>HLOOKUP($D27,$B$1:$VY$7,COLUMNS($E$31:J45)+1,0)</f>
        <v>8.16</v>
      </c>
      <c r="AD47" s="36"/>
      <c r="GK47" s="32"/>
      <c r="QJ47" s="32"/>
    </row>
    <row r="48" spans="5:452" x14ac:dyDescent="0.3">
      <c r="E48" t="str">
        <f>HLOOKUP($D28,$B$1:$VY$7,COLUMNS($E$31:E46)+1,0)</f>
        <v>MEENAV SHAH</v>
      </c>
      <c r="F48" t="str">
        <f>HLOOKUP($D28,$B$1:$VY$7,COLUMNS($E$31:F46)+1,0)</f>
        <v xml:space="preserve">N  </v>
      </c>
      <c r="G48" s="55">
        <f>HLOOKUP($D28,$B$1:$VY$7,COLUMNS($E$31:G46)+1,0)</f>
        <v>0.9375</v>
      </c>
      <c r="H48" s="55">
        <f>HLOOKUP($D28,$B$1:$VY$7,COLUMNS($E$31:H46)+1,0)</f>
        <v>0.93263888888888891</v>
      </c>
      <c r="I48" s="55">
        <f>HLOOKUP($D28,$B$1:$VY$7,COLUMNS($E$31:I46)+1,0)</f>
        <v>0.27708333333333335</v>
      </c>
      <c r="J48">
        <f>HLOOKUP($D28,$B$1:$VY$7,COLUMNS($E$31:J46)+1,0)</f>
        <v>8.16</v>
      </c>
      <c r="AD48" s="36"/>
      <c r="GK48" s="32"/>
      <c r="QJ48" s="32"/>
    </row>
    <row r="49" spans="30:452" x14ac:dyDescent="0.3">
      <c r="AD49" s="36"/>
      <c r="GK49" s="32"/>
      <c r="QJ49" s="32"/>
    </row>
    <row r="50" spans="30:452" x14ac:dyDescent="0.3">
      <c r="AD50" s="36"/>
      <c r="GK50" s="32"/>
      <c r="QJ50" s="32"/>
    </row>
    <row r="51" spans="30:452" x14ac:dyDescent="0.3">
      <c r="AD51" s="36"/>
      <c r="GK51" s="32"/>
      <c r="QJ51" s="32"/>
    </row>
    <row r="52" spans="30:452" x14ac:dyDescent="0.3">
      <c r="AD52" s="36"/>
      <c r="GK52" s="33"/>
      <c r="QJ52" s="32"/>
    </row>
    <row r="53" spans="30:452" x14ac:dyDescent="0.3">
      <c r="AD53" s="36"/>
      <c r="GK53" s="32"/>
      <c r="QJ53" s="32"/>
    </row>
    <row r="54" spans="30:452" x14ac:dyDescent="0.3">
      <c r="AD54" s="36"/>
      <c r="GK54" s="32"/>
      <c r="QJ54" s="32"/>
    </row>
    <row r="55" spans="30:452" x14ac:dyDescent="0.3">
      <c r="AD55" s="36"/>
      <c r="GK55" s="32"/>
      <c r="QJ55" s="32"/>
    </row>
    <row r="56" spans="30:452" x14ac:dyDescent="0.3">
      <c r="AD56" s="36"/>
      <c r="GK56" s="33"/>
      <c r="QJ56" s="32"/>
    </row>
    <row r="57" spans="30:452" x14ac:dyDescent="0.3">
      <c r="AD57" s="36"/>
      <c r="GK57" s="32"/>
      <c r="QJ57" s="32"/>
    </row>
    <row r="58" spans="30:452" x14ac:dyDescent="0.3">
      <c r="AD58" s="36"/>
      <c r="GK58" s="33"/>
      <c r="QJ58" s="32"/>
    </row>
    <row r="59" spans="30:452" x14ac:dyDescent="0.3">
      <c r="AD59" s="36"/>
      <c r="GK59" s="32"/>
      <c r="QJ59" s="32"/>
    </row>
    <row r="60" spans="30:452" x14ac:dyDescent="0.3">
      <c r="AD60" s="36"/>
      <c r="GK60" s="32"/>
      <c r="QJ60" s="32"/>
    </row>
    <row r="61" spans="30:452" x14ac:dyDescent="0.3">
      <c r="AD61" s="36"/>
      <c r="GK61" s="33"/>
      <c r="QJ61" s="32"/>
    </row>
    <row r="62" spans="30:452" x14ac:dyDescent="0.3">
      <c r="AD62" s="36"/>
      <c r="GK62" s="32"/>
    </row>
    <row r="63" spans="30:452" x14ac:dyDescent="0.3">
      <c r="AD63" s="36"/>
      <c r="GK63" s="33"/>
    </row>
    <row r="64" spans="30:452" x14ac:dyDescent="0.3">
      <c r="AD64" s="36"/>
      <c r="GK64" s="33"/>
    </row>
    <row r="65" spans="30:193" x14ac:dyDescent="0.3">
      <c r="AD65" s="36"/>
      <c r="GK65" s="32"/>
    </row>
    <row r="66" spans="30:193" x14ac:dyDescent="0.3">
      <c r="AD66" s="36"/>
      <c r="GK66" s="33"/>
    </row>
    <row r="67" spans="30:193" x14ac:dyDescent="0.3">
      <c r="AD67" s="36"/>
      <c r="GK67" s="32"/>
    </row>
    <row r="68" spans="30:193" x14ac:dyDescent="0.3">
      <c r="AD68" s="36"/>
      <c r="GK68" s="32"/>
    </row>
    <row r="69" spans="30:193" x14ac:dyDescent="0.3">
      <c r="AD69" s="36"/>
      <c r="GK69" s="33"/>
    </row>
    <row r="70" spans="30:193" x14ac:dyDescent="0.3">
      <c r="AD70" s="36"/>
      <c r="GK70" s="32"/>
    </row>
    <row r="71" spans="30:193" x14ac:dyDescent="0.3">
      <c r="AD71" s="36"/>
      <c r="GK71" s="32"/>
    </row>
    <row r="72" spans="30:193" x14ac:dyDescent="0.3">
      <c r="AD72" s="36"/>
      <c r="GK72" s="32"/>
    </row>
    <row r="73" spans="30:193" x14ac:dyDescent="0.3">
      <c r="AD73" s="36"/>
      <c r="GK73" s="32"/>
    </row>
    <row r="74" spans="30:193" x14ac:dyDescent="0.3">
      <c r="AD74" s="36"/>
      <c r="GK74" s="32"/>
    </row>
    <row r="75" spans="30:193" x14ac:dyDescent="0.3">
      <c r="AD75" s="36"/>
      <c r="GK75" s="32"/>
    </row>
    <row r="76" spans="30:193" x14ac:dyDescent="0.3">
      <c r="AD76" s="36"/>
      <c r="GK76" s="32"/>
    </row>
    <row r="77" spans="30:193" x14ac:dyDescent="0.3">
      <c r="AD77" s="36"/>
      <c r="GK77" s="32"/>
    </row>
    <row r="78" spans="30:193" x14ac:dyDescent="0.3">
      <c r="AD78" s="36"/>
      <c r="GK78" s="32"/>
    </row>
    <row r="79" spans="30:193" x14ac:dyDescent="0.3">
      <c r="AD79" s="36"/>
      <c r="GK79" s="32"/>
    </row>
    <row r="80" spans="30:193" x14ac:dyDescent="0.3">
      <c r="AD80" s="36"/>
      <c r="GK80" s="32"/>
    </row>
    <row r="81" spans="30:193" x14ac:dyDescent="0.3">
      <c r="AD81" s="36"/>
      <c r="GK81" s="33"/>
    </row>
    <row r="82" spans="30:193" x14ac:dyDescent="0.3">
      <c r="AD82" s="36"/>
      <c r="GK82" s="32"/>
    </row>
    <row r="83" spans="30:193" x14ac:dyDescent="0.3">
      <c r="AD83" s="36"/>
      <c r="GK83" s="32"/>
    </row>
    <row r="84" spans="30:193" x14ac:dyDescent="0.3">
      <c r="AD84" s="36"/>
      <c r="GK84" s="32"/>
    </row>
    <row r="85" spans="30:193" x14ac:dyDescent="0.3">
      <c r="AD85" s="36"/>
      <c r="GK85" s="32"/>
    </row>
    <row r="86" spans="30:193" x14ac:dyDescent="0.3">
      <c r="AD86" s="36"/>
      <c r="GK86" s="32"/>
    </row>
    <row r="87" spans="30:193" x14ac:dyDescent="0.3">
      <c r="AD87" s="36"/>
      <c r="GK87" s="32"/>
    </row>
    <row r="88" spans="30:193" x14ac:dyDescent="0.3">
      <c r="AD88" s="36"/>
      <c r="GK88" s="33"/>
    </row>
    <row r="89" spans="30:193" x14ac:dyDescent="0.3">
      <c r="AD89" s="36"/>
      <c r="GK89" s="32"/>
    </row>
    <row r="90" spans="30:193" x14ac:dyDescent="0.3">
      <c r="AD90" s="36"/>
      <c r="GK90" s="32"/>
    </row>
    <row r="91" spans="30:193" x14ac:dyDescent="0.3">
      <c r="AD91" s="36"/>
      <c r="GK91" s="32"/>
    </row>
    <row r="92" spans="30:193" x14ac:dyDescent="0.3">
      <c r="AD92" s="36"/>
      <c r="GK92" s="33"/>
    </row>
    <row r="93" spans="30:193" x14ac:dyDescent="0.3">
      <c r="AD93" s="36"/>
      <c r="GK93" s="32"/>
    </row>
    <row r="94" spans="30:193" x14ac:dyDescent="0.3">
      <c r="AD94" s="36"/>
      <c r="GK94" s="32"/>
    </row>
    <row r="95" spans="30:193" x14ac:dyDescent="0.3">
      <c r="AD95" s="36"/>
      <c r="GK95" s="32"/>
    </row>
    <row r="96" spans="30:193" x14ac:dyDescent="0.3">
      <c r="AD96" s="36"/>
      <c r="GK96" s="32"/>
    </row>
    <row r="97" spans="30:193" x14ac:dyDescent="0.3">
      <c r="AD97" s="36"/>
      <c r="GK97" s="32"/>
    </row>
    <row r="98" spans="30:193" x14ac:dyDescent="0.3">
      <c r="AD98" s="36"/>
      <c r="GK98" s="33"/>
    </row>
    <row r="99" spans="30:193" x14ac:dyDescent="0.3">
      <c r="AD99" s="36"/>
      <c r="GK99" s="33"/>
    </row>
    <row r="100" spans="30:193" x14ac:dyDescent="0.3">
      <c r="AD100" s="36"/>
      <c r="GK100" s="33"/>
    </row>
    <row r="101" spans="30:193" x14ac:dyDescent="0.3">
      <c r="AD101" s="36"/>
      <c r="GK101" s="32"/>
    </row>
    <row r="102" spans="30:193" x14ac:dyDescent="0.3">
      <c r="AD102" s="36"/>
      <c r="GK102" s="32"/>
    </row>
    <row r="103" spans="30:193" x14ac:dyDescent="0.3">
      <c r="AD103" s="36"/>
      <c r="GK103" s="32"/>
    </row>
    <row r="104" spans="30:193" x14ac:dyDescent="0.3">
      <c r="AD104" s="36"/>
      <c r="GK104" s="34"/>
    </row>
    <row r="105" spans="30:193" x14ac:dyDescent="0.3">
      <c r="AD105" s="36"/>
      <c r="GK105" s="32"/>
    </row>
    <row r="106" spans="30:193" x14ac:dyDescent="0.3">
      <c r="AD106" s="36"/>
      <c r="GK106" s="32"/>
    </row>
    <row r="107" spans="30:193" x14ac:dyDescent="0.3">
      <c r="AD107" s="36"/>
      <c r="GK107" s="32"/>
    </row>
    <row r="108" spans="30:193" x14ac:dyDescent="0.3">
      <c r="AD108" s="36"/>
      <c r="GK108" s="32"/>
    </row>
    <row r="109" spans="30:193" x14ac:dyDescent="0.3">
      <c r="AD109" s="36"/>
      <c r="GK109" s="32"/>
    </row>
    <row r="110" spans="30:193" x14ac:dyDescent="0.3">
      <c r="AD110" s="36"/>
      <c r="GK110" s="32"/>
    </row>
    <row r="111" spans="30:193" x14ac:dyDescent="0.3">
      <c r="AD111" s="36"/>
      <c r="GK111" s="32"/>
    </row>
    <row r="112" spans="30:193" x14ac:dyDescent="0.3">
      <c r="AD112" s="36"/>
      <c r="GK112" s="32"/>
    </row>
    <row r="113" spans="30:193" x14ac:dyDescent="0.3">
      <c r="AD113" s="36"/>
      <c r="GK113" s="33"/>
    </row>
    <row r="114" spans="30:193" x14ac:dyDescent="0.3">
      <c r="AD114" s="36"/>
      <c r="GK114" s="32"/>
    </row>
    <row r="115" spans="30:193" x14ac:dyDescent="0.3">
      <c r="AD115" s="36"/>
      <c r="GK115" s="32"/>
    </row>
    <row r="116" spans="30:193" x14ac:dyDescent="0.3">
      <c r="AD116" s="36"/>
      <c r="GK116" s="32"/>
    </row>
    <row r="117" spans="30:193" x14ac:dyDescent="0.3">
      <c r="AD117" s="36"/>
      <c r="GK117" s="32"/>
    </row>
    <row r="118" spans="30:193" x14ac:dyDescent="0.3">
      <c r="AD118" s="36"/>
      <c r="GK118" s="32"/>
    </row>
    <row r="119" spans="30:193" x14ac:dyDescent="0.3">
      <c r="AD119" s="36"/>
      <c r="GK119" s="32"/>
    </row>
    <row r="120" spans="30:193" x14ac:dyDescent="0.3">
      <c r="AD120" s="36"/>
      <c r="GK120" s="32"/>
    </row>
    <row r="121" spans="30:193" x14ac:dyDescent="0.3">
      <c r="AD121" s="36"/>
      <c r="GK121" s="32"/>
    </row>
    <row r="122" spans="30:193" x14ac:dyDescent="0.3">
      <c r="AD122" s="36"/>
      <c r="GK122" s="32"/>
    </row>
    <row r="123" spans="30:193" x14ac:dyDescent="0.3">
      <c r="AD123" s="36"/>
      <c r="GK123" s="32"/>
    </row>
    <row r="124" spans="30:193" x14ac:dyDescent="0.3">
      <c r="AD124" s="36"/>
      <c r="GK124" s="32"/>
    </row>
    <row r="125" spans="30:193" x14ac:dyDescent="0.3">
      <c r="AD125" s="36"/>
      <c r="GK125" s="32"/>
    </row>
    <row r="126" spans="30:193" x14ac:dyDescent="0.3">
      <c r="AD126" s="36"/>
      <c r="GK126" s="32"/>
    </row>
    <row r="127" spans="30:193" x14ac:dyDescent="0.3">
      <c r="AD127" s="36"/>
      <c r="GK127" s="33"/>
    </row>
    <row r="128" spans="30:193" x14ac:dyDescent="0.3">
      <c r="AD128" s="36"/>
      <c r="GK128" s="33"/>
    </row>
    <row r="129" spans="30:193" x14ac:dyDescent="0.3">
      <c r="AD129" s="36"/>
      <c r="GK129" s="32"/>
    </row>
    <row r="130" spans="30:193" x14ac:dyDescent="0.3">
      <c r="AD130" s="36"/>
      <c r="GK130" s="32"/>
    </row>
    <row r="131" spans="30:193" x14ac:dyDescent="0.3">
      <c r="AD131" s="36"/>
      <c r="GK131" s="32"/>
    </row>
    <row r="132" spans="30:193" x14ac:dyDescent="0.3">
      <c r="AD132" s="36"/>
      <c r="GK132" s="32"/>
    </row>
    <row r="133" spans="30:193" x14ac:dyDescent="0.3">
      <c r="AD133" s="36"/>
      <c r="GK133" s="32"/>
    </row>
    <row r="134" spans="30:193" x14ac:dyDescent="0.3">
      <c r="AD134" s="36"/>
      <c r="GK134" s="32"/>
    </row>
    <row r="135" spans="30:193" x14ac:dyDescent="0.3">
      <c r="AD135" s="36"/>
      <c r="GK135" s="33"/>
    </row>
    <row r="136" spans="30:193" x14ac:dyDescent="0.3">
      <c r="AD136" s="36"/>
      <c r="GK136" s="32"/>
    </row>
    <row r="137" spans="30:193" x14ac:dyDescent="0.3">
      <c r="AD137" s="36"/>
      <c r="GK137" s="33"/>
    </row>
    <row r="138" spans="30:193" x14ac:dyDescent="0.3">
      <c r="AD138" s="36"/>
      <c r="GK138" s="32"/>
    </row>
    <row r="139" spans="30:193" x14ac:dyDescent="0.3">
      <c r="AD139" s="36"/>
      <c r="GK139" s="32"/>
    </row>
    <row r="140" spans="30:193" x14ac:dyDescent="0.3">
      <c r="AD140" s="36"/>
      <c r="GK140" s="32"/>
    </row>
    <row r="141" spans="30:193" x14ac:dyDescent="0.3">
      <c r="AD141" s="36"/>
      <c r="GK141" s="32"/>
    </row>
    <row r="142" spans="30:193" x14ac:dyDescent="0.3">
      <c r="AD142" s="36"/>
      <c r="GK142" s="32"/>
    </row>
    <row r="143" spans="30:193" x14ac:dyDescent="0.3">
      <c r="AD143" s="36"/>
      <c r="GK143" s="32"/>
    </row>
    <row r="144" spans="30:193" x14ac:dyDescent="0.3">
      <c r="AD144" s="36"/>
      <c r="GK144" s="32"/>
    </row>
    <row r="145" spans="30:193" x14ac:dyDescent="0.3">
      <c r="AD145" s="36"/>
      <c r="GK145" s="33"/>
    </row>
    <row r="146" spans="30:193" x14ac:dyDescent="0.3">
      <c r="AD146" s="36"/>
      <c r="GK146" s="32"/>
    </row>
    <row r="147" spans="30:193" x14ac:dyDescent="0.3">
      <c r="AD147" s="36"/>
      <c r="GK147" s="32"/>
    </row>
    <row r="148" spans="30:193" x14ac:dyDescent="0.3">
      <c r="AD148" s="36"/>
      <c r="GK148" s="32"/>
    </row>
    <row r="149" spans="30:193" x14ac:dyDescent="0.3">
      <c r="AD149" s="36"/>
      <c r="GK149" s="32"/>
    </row>
    <row r="150" spans="30:193" x14ac:dyDescent="0.3">
      <c r="AD150" s="36"/>
      <c r="GK150" s="33"/>
    </row>
    <row r="151" spans="30:193" x14ac:dyDescent="0.3">
      <c r="AD151" s="36"/>
      <c r="GK151" s="32"/>
    </row>
    <row r="152" spans="30:193" x14ac:dyDescent="0.3">
      <c r="AD152" s="36"/>
      <c r="GK152" s="32"/>
    </row>
    <row r="153" spans="30:193" x14ac:dyDescent="0.3">
      <c r="AD153" s="36"/>
      <c r="GK153" s="32"/>
    </row>
    <row r="154" spans="30:193" x14ac:dyDescent="0.3">
      <c r="AD154" s="36"/>
      <c r="GK154" s="32"/>
    </row>
    <row r="155" spans="30:193" x14ac:dyDescent="0.3">
      <c r="AD155" s="36"/>
      <c r="GK155" s="32"/>
    </row>
    <row r="156" spans="30:193" x14ac:dyDescent="0.3">
      <c r="AD156" s="36"/>
      <c r="GK156" s="32"/>
    </row>
    <row r="157" spans="30:193" x14ac:dyDescent="0.3">
      <c r="AD157" s="36"/>
      <c r="GK157" s="32"/>
    </row>
    <row r="158" spans="30:193" x14ac:dyDescent="0.3">
      <c r="AD158" s="36"/>
      <c r="GK158" s="32"/>
    </row>
    <row r="159" spans="30:193" x14ac:dyDescent="0.3">
      <c r="AD159" s="36"/>
      <c r="GK159" s="32"/>
    </row>
    <row r="160" spans="30:193" x14ac:dyDescent="0.3">
      <c r="AD160" s="36"/>
      <c r="GK160" s="32"/>
    </row>
    <row r="161" spans="30:193" x14ac:dyDescent="0.3">
      <c r="AD161" s="36"/>
      <c r="GK161" s="32"/>
    </row>
    <row r="162" spans="30:193" x14ac:dyDescent="0.3">
      <c r="AD162" s="36"/>
      <c r="GK162" s="32"/>
    </row>
    <row r="163" spans="30:193" x14ac:dyDescent="0.3">
      <c r="AD163" s="36"/>
      <c r="GK163" s="33"/>
    </row>
    <row r="164" spans="30:193" x14ac:dyDescent="0.3">
      <c r="AD164" s="36"/>
      <c r="GK164" s="32"/>
    </row>
    <row r="165" spans="30:193" x14ac:dyDescent="0.3">
      <c r="AD165" s="36"/>
      <c r="GK165" s="32"/>
    </row>
    <row r="166" spans="30:193" x14ac:dyDescent="0.3">
      <c r="AD166" s="36"/>
      <c r="GK166" s="32"/>
    </row>
    <row r="167" spans="30:193" x14ac:dyDescent="0.3">
      <c r="AD167" s="36"/>
      <c r="GK167" s="32"/>
    </row>
    <row r="168" spans="30:193" x14ac:dyDescent="0.3">
      <c r="AD168" s="36"/>
      <c r="GK168" s="32"/>
    </row>
    <row r="169" spans="30:193" x14ac:dyDescent="0.3">
      <c r="AD169" s="36"/>
      <c r="GK169" s="32"/>
    </row>
    <row r="170" spans="30:193" x14ac:dyDescent="0.3">
      <c r="AD170" s="36"/>
      <c r="GK170" s="33"/>
    </row>
    <row r="171" spans="30:193" x14ac:dyDescent="0.3">
      <c r="AD171" s="36"/>
      <c r="GK171" s="33"/>
    </row>
    <row r="172" spans="30:193" x14ac:dyDescent="0.3">
      <c r="AD172" s="36"/>
      <c r="GK172" s="32"/>
    </row>
    <row r="173" spans="30:193" x14ac:dyDescent="0.3">
      <c r="AD173" s="36"/>
      <c r="GK173" s="32"/>
    </row>
    <row r="174" spans="30:193" x14ac:dyDescent="0.3">
      <c r="AD174" s="36"/>
      <c r="GK174" s="32"/>
    </row>
    <row r="175" spans="30:193" x14ac:dyDescent="0.3">
      <c r="AD175" s="36"/>
      <c r="GK175" s="32"/>
    </row>
    <row r="176" spans="30:193" x14ac:dyDescent="0.3">
      <c r="AD176" s="36"/>
      <c r="GK176" s="32"/>
    </row>
    <row r="177" spans="30:193" x14ac:dyDescent="0.3">
      <c r="AD177" s="36"/>
      <c r="GK177" s="32"/>
    </row>
    <row r="178" spans="30:193" x14ac:dyDescent="0.3">
      <c r="AD178" s="36"/>
      <c r="GK178" s="32"/>
    </row>
    <row r="179" spans="30:193" x14ac:dyDescent="0.3">
      <c r="AD179" s="36"/>
      <c r="GK179" s="32"/>
    </row>
    <row r="180" spans="30:193" x14ac:dyDescent="0.3">
      <c r="AD180" s="36"/>
      <c r="GK180" s="32"/>
    </row>
    <row r="181" spans="30:193" x14ac:dyDescent="0.3">
      <c r="AD181" s="36"/>
      <c r="GK181" s="32"/>
    </row>
    <row r="182" spans="30:193" x14ac:dyDescent="0.3">
      <c r="AD182" s="36"/>
      <c r="GK182" s="32"/>
    </row>
    <row r="183" spans="30:193" x14ac:dyDescent="0.3">
      <c r="AD183" s="36"/>
      <c r="GK183" s="32"/>
    </row>
    <row r="184" spans="30:193" x14ac:dyDescent="0.3">
      <c r="AD184" s="36"/>
      <c r="GK184" s="33"/>
    </row>
    <row r="185" spans="30:193" x14ac:dyDescent="0.3">
      <c r="AD185" s="36"/>
      <c r="GK185" s="32"/>
    </row>
    <row r="186" spans="30:193" x14ac:dyDescent="0.3">
      <c r="AD186" s="36"/>
      <c r="GK186" s="32"/>
    </row>
    <row r="187" spans="30:193" x14ac:dyDescent="0.3">
      <c r="AD187" s="36"/>
      <c r="GK187" s="32"/>
    </row>
    <row r="188" spans="30:193" x14ac:dyDescent="0.3">
      <c r="AD188" s="36"/>
      <c r="GK188" s="32"/>
    </row>
    <row r="189" spans="30:193" x14ac:dyDescent="0.3">
      <c r="AD189" s="36"/>
      <c r="GK189" s="32"/>
    </row>
    <row r="190" spans="30:193" x14ac:dyDescent="0.3">
      <c r="AD190" s="36"/>
      <c r="GK190" s="32"/>
    </row>
    <row r="191" spans="30:193" x14ac:dyDescent="0.3">
      <c r="AD191" s="36"/>
      <c r="GK191" s="32"/>
    </row>
    <row r="192" spans="30:193" x14ac:dyDescent="0.3">
      <c r="AD192" s="36"/>
      <c r="GK192" s="32"/>
    </row>
    <row r="193" spans="30:193" x14ac:dyDescent="0.3">
      <c r="AD193" s="36"/>
      <c r="GK193" s="32"/>
    </row>
    <row r="194" spans="30:193" x14ac:dyDescent="0.3">
      <c r="AD194" s="36"/>
      <c r="GK194" s="32"/>
    </row>
    <row r="195" spans="30:193" x14ac:dyDescent="0.3">
      <c r="AD195" s="36"/>
      <c r="GK195" s="32"/>
    </row>
    <row r="196" spans="30:193" x14ac:dyDescent="0.3">
      <c r="AD196" s="36"/>
      <c r="GK196" s="32"/>
    </row>
    <row r="197" spans="30:193" x14ac:dyDescent="0.3">
      <c r="AD197" s="36"/>
      <c r="GK197" s="32"/>
    </row>
    <row r="198" spans="30:193" x14ac:dyDescent="0.3">
      <c r="AD198" s="36"/>
      <c r="GK198" s="32"/>
    </row>
    <row r="199" spans="30:193" x14ac:dyDescent="0.3">
      <c r="AD199" s="36"/>
      <c r="GK199" s="32"/>
    </row>
    <row r="200" spans="30:193" x14ac:dyDescent="0.3">
      <c r="AD200" s="36"/>
      <c r="GK200" s="32"/>
    </row>
    <row r="201" spans="30:193" x14ac:dyDescent="0.3">
      <c r="AD201" s="36"/>
      <c r="GK201" s="32"/>
    </row>
    <row r="202" spans="30:193" x14ac:dyDescent="0.3">
      <c r="AD202" s="36"/>
      <c r="GK202" s="32"/>
    </row>
    <row r="203" spans="30:193" x14ac:dyDescent="0.3">
      <c r="AD203" s="28"/>
      <c r="GK203" s="33"/>
    </row>
    <row r="204" spans="30:193" x14ac:dyDescent="0.3">
      <c r="AD204" s="28"/>
      <c r="GK204" s="32"/>
    </row>
    <row r="205" spans="30:193" x14ac:dyDescent="0.3">
      <c r="AD205" s="29"/>
      <c r="GK205" s="32"/>
    </row>
    <row r="206" spans="30:193" x14ac:dyDescent="0.3">
      <c r="AD206" s="28"/>
      <c r="GK206" s="33"/>
    </row>
    <row r="207" spans="30:193" x14ac:dyDescent="0.3">
      <c r="AD207" s="29"/>
      <c r="GK207" s="32"/>
    </row>
    <row r="208" spans="30:193" x14ac:dyDescent="0.3">
      <c r="AD208" s="28"/>
      <c r="GK208" s="32"/>
    </row>
    <row r="209" spans="30:193" x14ac:dyDescent="0.3">
      <c r="AD209" s="29"/>
      <c r="GK209" s="32"/>
    </row>
    <row r="210" spans="30:193" x14ac:dyDescent="0.3">
      <c r="AD210" s="29"/>
      <c r="GK210" s="32"/>
    </row>
    <row r="211" spans="30:193" x14ac:dyDescent="0.3">
      <c r="AD211" s="28"/>
      <c r="GK211" s="32"/>
    </row>
    <row r="212" spans="30:193" x14ac:dyDescent="0.3">
      <c r="AD212" s="28"/>
      <c r="GK212" s="32"/>
    </row>
    <row r="213" spans="30:193" x14ac:dyDescent="0.3">
      <c r="AD213" s="28"/>
      <c r="GK213" s="32"/>
    </row>
    <row r="214" spans="30:193" x14ac:dyDescent="0.3">
      <c r="AD214" s="28"/>
      <c r="GK214" s="32"/>
    </row>
    <row r="215" spans="30:193" x14ac:dyDescent="0.3">
      <c r="AD215" s="28"/>
      <c r="GK215" s="32"/>
    </row>
    <row r="216" spans="30:193" x14ac:dyDescent="0.3">
      <c r="AD216" s="28"/>
      <c r="GK216" s="32"/>
    </row>
    <row r="217" spans="30:193" x14ac:dyDescent="0.3">
      <c r="AD217" s="28"/>
      <c r="GK217" s="32"/>
    </row>
    <row r="218" spans="30:193" x14ac:dyDescent="0.3">
      <c r="AD218" s="28"/>
      <c r="GK218" s="32"/>
    </row>
    <row r="219" spans="30:193" x14ac:dyDescent="0.3">
      <c r="AD219" s="29"/>
      <c r="GK219" s="33"/>
    </row>
    <row r="220" spans="30:193" x14ac:dyDescent="0.3">
      <c r="AD220" s="29"/>
      <c r="GK220" s="33"/>
    </row>
    <row r="221" spans="30:193" x14ac:dyDescent="0.3">
      <c r="AD221" s="29"/>
      <c r="GK221" s="32"/>
    </row>
    <row r="222" spans="30:193" x14ac:dyDescent="0.3">
      <c r="AD222" s="29"/>
      <c r="GK222" s="32"/>
    </row>
    <row r="223" spans="30:193" x14ac:dyDescent="0.3">
      <c r="AD223" s="29"/>
      <c r="GK223" s="32"/>
    </row>
    <row r="224" spans="30:193" x14ac:dyDescent="0.3">
      <c r="AD224" s="28"/>
      <c r="GK224" s="32"/>
    </row>
    <row r="225" spans="30:193" x14ac:dyDescent="0.3">
      <c r="AD225" s="28"/>
      <c r="GK225" s="32"/>
    </row>
    <row r="226" spans="30:193" x14ac:dyDescent="0.3">
      <c r="AD226" s="28"/>
      <c r="GK226" s="32"/>
    </row>
    <row r="227" spans="30:193" x14ac:dyDescent="0.3">
      <c r="AD227" s="32"/>
      <c r="GK227" s="32"/>
    </row>
    <row r="228" spans="30:193" x14ac:dyDescent="0.3">
      <c r="AD228" s="32"/>
      <c r="GK228" s="33"/>
    </row>
    <row r="229" spans="30:193" x14ac:dyDescent="0.3">
      <c r="AD229" s="33"/>
      <c r="GK229" s="32"/>
    </row>
    <row r="230" spans="30:193" x14ac:dyDescent="0.3">
      <c r="AD230" s="32"/>
      <c r="GK230" s="32"/>
    </row>
    <row r="231" spans="30:193" x14ac:dyDescent="0.3">
      <c r="AD231" s="32"/>
      <c r="GK231" s="32"/>
    </row>
    <row r="232" spans="30:193" x14ac:dyDescent="0.3">
      <c r="AD232" s="32"/>
      <c r="GK232" s="32"/>
    </row>
    <row r="233" spans="30:193" x14ac:dyDescent="0.3">
      <c r="AD233" s="32"/>
      <c r="GK233" s="32"/>
    </row>
    <row r="234" spans="30:193" x14ac:dyDescent="0.3">
      <c r="AD234" s="32"/>
      <c r="GK234" s="32"/>
    </row>
    <row r="235" spans="30:193" x14ac:dyDescent="0.3">
      <c r="AD235" s="32"/>
      <c r="GK235" s="32"/>
    </row>
    <row r="236" spans="30:193" x14ac:dyDescent="0.3">
      <c r="AD236" s="32"/>
      <c r="GK236" s="32"/>
    </row>
    <row r="237" spans="30:193" x14ac:dyDescent="0.3">
      <c r="AD237" s="32"/>
      <c r="GK237" s="32"/>
    </row>
    <row r="238" spans="30:193" x14ac:dyDescent="0.3">
      <c r="AD238" s="32"/>
      <c r="GK238" s="32"/>
    </row>
    <row r="239" spans="30:193" x14ac:dyDescent="0.3">
      <c r="AD239" s="32"/>
      <c r="GK239" s="33"/>
    </row>
    <row r="240" spans="30:193" x14ac:dyDescent="0.3">
      <c r="AD240" s="32"/>
      <c r="GK240" s="32"/>
    </row>
    <row r="241" spans="30:193" x14ac:dyDescent="0.3">
      <c r="AD241" s="32"/>
      <c r="GK241" s="32"/>
    </row>
    <row r="242" spans="30:193" x14ac:dyDescent="0.3">
      <c r="AD242" s="32"/>
      <c r="GK242" s="32"/>
    </row>
    <row r="243" spans="30:193" x14ac:dyDescent="0.3">
      <c r="AD243" s="32"/>
      <c r="GK243" s="32"/>
    </row>
    <row r="244" spans="30:193" x14ac:dyDescent="0.3">
      <c r="AD244" s="33"/>
      <c r="GK244" s="32"/>
    </row>
    <row r="245" spans="30:193" x14ac:dyDescent="0.3">
      <c r="AD245" s="32"/>
      <c r="GK245" s="32"/>
    </row>
    <row r="246" spans="30:193" x14ac:dyDescent="0.3">
      <c r="AD246" s="32"/>
      <c r="GK246" s="32"/>
    </row>
    <row r="247" spans="30:193" x14ac:dyDescent="0.3">
      <c r="AD247" s="32"/>
      <c r="GK247" s="32"/>
    </row>
    <row r="248" spans="30:193" x14ac:dyDescent="0.3">
      <c r="AD248" s="33"/>
      <c r="GK248" s="32"/>
    </row>
    <row r="249" spans="30:193" x14ac:dyDescent="0.3">
      <c r="AD249" s="32"/>
      <c r="GK249" s="32"/>
    </row>
    <row r="250" spans="30:193" x14ac:dyDescent="0.3">
      <c r="AD250" s="33"/>
      <c r="GK250" s="32"/>
    </row>
    <row r="251" spans="30:193" x14ac:dyDescent="0.3">
      <c r="AD251" s="32"/>
      <c r="GK251" s="32"/>
    </row>
    <row r="252" spans="30:193" x14ac:dyDescent="0.3">
      <c r="AD252" s="32"/>
      <c r="GK252" s="32"/>
    </row>
    <row r="253" spans="30:193" x14ac:dyDescent="0.3">
      <c r="AD253" s="33"/>
      <c r="GK253" s="32"/>
    </row>
    <row r="254" spans="30:193" x14ac:dyDescent="0.3">
      <c r="AD254" s="32"/>
      <c r="GK254" s="32"/>
    </row>
    <row r="255" spans="30:193" x14ac:dyDescent="0.3">
      <c r="AD255" s="33"/>
      <c r="GK255" s="35"/>
    </row>
    <row r="256" spans="30:193" x14ac:dyDescent="0.3">
      <c r="AD256" s="33"/>
      <c r="GK256" s="32"/>
    </row>
    <row r="257" spans="30:193" x14ac:dyDescent="0.3">
      <c r="AD257" s="32"/>
      <c r="GK257" s="32"/>
    </row>
    <row r="258" spans="30:193" x14ac:dyDescent="0.3">
      <c r="AD258" s="33"/>
      <c r="GK258" s="32"/>
    </row>
    <row r="259" spans="30:193" x14ac:dyDescent="0.3">
      <c r="AD259" s="32"/>
      <c r="GK259" s="32"/>
    </row>
    <row r="260" spans="30:193" x14ac:dyDescent="0.3">
      <c r="AD260" s="32"/>
      <c r="GK260" s="32"/>
    </row>
    <row r="261" spans="30:193" x14ac:dyDescent="0.3">
      <c r="AD261" s="33"/>
      <c r="GK261" s="32"/>
    </row>
    <row r="262" spans="30:193" x14ac:dyDescent="0.3">
      <c r="AD262" s="32"/>
      <c r="GK262" s="32"/>
    </row>
    <row r="263" spans="30:193" x14ac:dyDescent="0.3">
      <c r="AD263" s="32"/>
      <c r="GK263" s="32"/>
    </row>
    <row r="264" spans="30:193" x14ac:dyDescent="0.3">
      <c r="AD264" s="32"/>
      <c r="GK264" s="32"/>
    </row>
    <row r="265" spans="30:193" x14ac:dyDescent="0.3">
      <c r="AD265" s="32"/>
      <c r="GK265" s="32"/>
    </row>
    <row r="266" spans="30:193" x14ac:dyDescent="0.3">
      <c r="AD266" s="32"/>
      <c r="GK266" s="32"/>
    </row>
    <row r="267" spans="30:193" x14ac:dyDescent="0.3">
      <c r="AD267" s="32"/>
      <c r="GK267" s="32"/>
    </row>
    <row r="268" spans="30:193" x14ac:dyDescent="0.3">
      <c r="AD268" s="32"/>
    </row>
    <row r="269" spans="30:193" x14ac:dyDescent="0.3">
      <c r="AD269" s="32"/>
    </row>
    <row r="270" spans="30:193" x14ac:dyDescent="0.3">
      <c r="AD270" s="32"/>
    </row>
    <row r="271" spans="30:193" x14ac:dyDescent="0.3">
      <c r="AD271" s="32"/>
    </row>
    <row r="272" spans="30:193" x14ac:dyDescent="0.3">
      <c r="AD272" s="32"/>
    </row>
    <row r="273" spans="30:30" x14ac:dyDescent="0.3">
      <c r="AD273" s="33"/>
    </row>
    <row r="274" spans="30:30" x14ac:dyDescent="0.3">
      <c r="AD274" s="32"/>
    </row>
    <row r="275" spans="30:30" x14ac:dyDescent="0.3">
      <c r="AD275" s="32"/>
    </row>
    <row r="276" spans="30:30" x14ac:dyDescent="0.3">
      <c r="AD276" s="32"/>
    </row>
    <row r="277" spans="30:30" x14ac:dyDescent="0.3">
      <c r="AD277" s="32"/>
    </row>
    <row r="278" spans="30:30" x14ac:dyDescent="0.3">
      <c r="AD278" s="32"/>
    </row>
    <row r="279" spans="30:30" x14ac:dyDescent="0.3">
      <c r="AD279" s="32"/>
    </row>
    <row r="280" spans="30:30" x14ac:dyDescent="0.3">
      <c r="AD280" s="33"/>
    </row>
    <row r="281" spans="30:30" x14ac:dyDescent="0.3">
      <c r="AD281" s="32"/>
    </row>
    <row r="282" spans="30:30" x14ac:dyDescent="0.3">
      <c r="AD282" s="32"/>
    </row>
    <row r="283" spans="30:30" x14ac:dyDescent="0.3">
      <c r="AD283" s="32"/>
    </row>
    <row r="284" spans="30:30" x14ac:dyDescent="0.3">
      <c r="AD284" s="33"/>
    </row>
    <row r="285" spans="30:30" x14ac:dyDescent="0.3">
      <c r="AD285" s="32"/>
    </row>
    <row r="286" spans="30:30" x14ac:dyDescent="0.3">
      <c r="AD286" s="32"/>
    </row>
    <row r="287" spans="30:30" x14ac:dyDescent="0.3">
      <c r="AD287" s="32"/>
    </row>
    <row r="288" spans="30:30" x14ac:dyDescent="0.3">
      <c r="AD288" s="32"/>
    </row>
    <row r="289" spans="30:30" x14ac:dyDescent="0.3">
      <c r="AD289" s="32"/>
    </row>
    <row r="290" spans="30:30" x14ac:dyDescent="0.3">
      <c r="AD290" s="33"/>
    </row>
    <row r="291" spans="30:30" x14ac:dyDescent="0.3">
      <c r="AD291" s="33"/>
    </row>
    <row r="292" spans="30:30" x14ac:dyDescent="0.3">
      <c r="AD292" s="33"/>
    </row>
    <row r="293" spans="30:30" x14ac:dyDescent="0.3">
      <c r="AD293" s="32"/>
    </row>
    <row r="294" spans="30:30" x14ac:dyDescent="0.3">
      <c r="AD294" s="32"/>
    </row>
    <row r="295" spans="30:30" x14ac:dyDescent="0.3">
      <c r="AD295" s="32"/>
    </row>
    <row r="296" spans="30:30" x14ac:dyDescent="0.3">
      <c r="AD296" s="34"/>
    </row>
    <row r="297" spans="30:30" x14ac:dyDescent="0.3">
      <c r="AD297" s="32"/>
    </row>
    <row r="298" spans="30:30" x14ac:dyDescent="0.3">
      <c r="AD298" s="32"/>
    </row>
    <row r="299" spans="30:30" x14ac:dyDescent="0.3">
      <c r="AD299" s="32"/>
    </row>
    <row r="300" spans="30:30" x14ac:dyDescent="0.3">
      <c r="AD300" s="32"/>
    </row>
    <row r="301" spans="30:30" x14ac:dyDescent="0.3">
      <c r="AD301" s="32"/>
    </row>
    <row r="302" spans="30:30" x14ac:dyDescent="0.3">
      <c r="AD302" s="32"/>
    </row>
    <row r="303" spans="30:30" x14ac:dyDescent="0.3">
      <c r="AD303" s="32"/>
    </row>
    <row r="304" spans="30:30" x14ac:dyDescent="0.3">
      <c r="AD304" s="32"/>
    </row>
    <row r="305" spans="30:30" x14ac:dyDescent="0.3">
      <c r="AD305" s="33"/>
    </row>
    <row r="306" spans="30:30" x14ac:dyDescent="0.3">
      <c r="AD306" s="32"/>
    </row>
    <row r="307" spans="30:30" x14ac:dyDescent="0.3">
      <c r="AD307" s="32"/>
    </row>
    <row r="308" spans="30:30" x14ac:dyDescent="0.3">
      <c r="AD308" s="32"/>
    </row>
    <row r="309" spans="30:30" x14ac:dyDescent="0.3">
      <c r="AD309" s="32"/>
    </row>
    <row r="310" spans="30:30" x14ac:dyDescent="0.3">
      <c r="AD310" s="32"/>
    </row>
    <row r="311" spans="30:30" x14ac:dyDescent="0.3">
      <c r="AD311" s="32"/>
    </row>
    <row r="312" spans="30:30" x14ac:dyDescent="0.3">
      <c r="AD312" s="32"/>
    </row>
    <row r="313" spans="30:30" x14ac:dyDescent="0.3">
      <c r="AD313" s="32"/>
    </row>
    <row r="314" spans="30:30" x14ac:dyDescent="0.3">
      <c r="AD314" s="32"/>
    </row>
    <row r="315" spans="30:30" x14ac:dyDescent="0.3">
      <c r="AD315" s="32"/>
    </row>
    <row r="316" spans="30:30" x14ac:dyDescent="0.3">
      <c r="AD316" s="32"/>
    </row>
    <row r="317" spans="30:30" x14ac:dyDescent="0.3">
      <c r="AD317" s="32"/>
    </row>
    <row r="318" spans="30:30" x14ac:dyDescent="0.3">
      <c r="AD318" s="32"/>
    </row>
    <row r="319" spans="30:30" x14ac:dyDescent="0.3">
      <c r="AD319" s="33"/>
    </row>
    <row r="320" spans="30:30" x14ac:dyDescent="0.3">
      <c r="AD320" s="33"/>
    </row>
    <row r="321" spans="30:30" x14ac:dyDescent="0.3">
      <c r="AD321" s="32"/>
    </row>
    <row r="322" spans="30:30" x14ac:dyDescent="0.3">
      <c r="AD322" s="32"/>
    </row>
    <row r="323" spans="30:30" x14ac:dyDescent="0.3">
      <c r="AD323" s="32"/>
    </row>
    <row r="324" spans="30:30" x14ac:dyDescent="0.3">
      <c r="AD324" s="32"/>
    </row>
    <row r="325" spans="30:30" x14ac:dyDescent="0.3">
      <c r="AD325" s="32"/>
    </row>
    <row r="326" spans="30:30" x14ac:dyDescent="0.3">
      <c r="AD326" s="32"/>
    </row>
    <row r="327" spans="30:30" x14ac:dyDescent="0.3">
      <c r="AD327" s="33"/>
    </row>
    <row r="328" spans="30:30" x14ac:dyDescent="0.3">
      <c r="AD328" s="32"/>
    </row>
    <row r="329" spans="30:30" x14ac:dyDescent="0.3">
      <c r="AD329" s="33"/>
    </row>
    <row r="330" spans="30:30" x14ac:dyDescent="0.3">
      <c r="AD330" s="32"/>
    </row>
    <row r="331" spans="30:30" x14ac:dyDescent="0.3">
      <c r="AD331" s="32"/>
    </row>
    <row r="332" spans="30:30" x14ac:dyDescent="0.3">
      <c r="AD332" s="32"/>
    </row>
    <row r="333" spans="30:30" x14ac:dyDescent="0.3">
      <c r="AD333" s="32"/>
    </row>
    <row r="334" spans="30:30" x14ac:dyDescent="0.3">
      <c r="AD334" s="32"/>
    </row>
    <row r="335" spans="30:30" x14ac:dyDescent="0.3">
      <c r="AD335" s="32"/>
    </row>
    <row r="336" spans="30:30" x14ac:dyDescent="0.3">
      <c r="AD336" s="32"/>
    </row>
    <row r="337" spans="30:30" x14ac:dyDescent="0.3">
      <c r="AD337" s="33"/>
    </row>
    <row r="338" spans="30:30" x14ac:dyDescent="0.3">
      <c r="AD338" s="32"/>
    </row>
    <row r="339" spans="30:30" x14ac:dyDescent="0.3">
      <c r="AD339" s="32"/>
    </row>
    <row r="340" spans="30:30" x14ac:dyDescent="0.3">
      <c r="AD340" s="32"/>
    </row>
    <row r="341" spans="30:30" x14ac:dyDescent="0.3">
      <c r="AD341" s="32"/>
    </row>
    <row r="342" spans="30:30" x14ac:dyDescent="0.3">
      <c r="AD342" s="33"/>
    </row>
    <row r="343" spans="30:30" x14ac:dyDescent="0.3">
      <c r="AD343" s="32"/>
    </row>
    <row r="344" spans="30:30" x14ac:dyDescent="0.3">
      <c r="AD344" s="32"/>
    </row>
    <row r="345" spans="30:30" x14ac:dyDescent="0.3">
      <c r="AD345" s="32"/>
    </row>
    <row r="346" spans="30:30" x14ac:dyDescent="0.3">
      <c r="AD346" s="32"/>
    </row>
    <row r="347" spans="30:30" x14ac:dyDescent="0.3">
      <c r="AD347" s="32"/>
    </row>
    <row r="348" spans="30:30" x14ac:dyDescent="0.3">
      <c r="AD348" s="32"/>
    </row>
    <row r="349" spans="30:30" x14ac:dyDescent="0.3">
      <c r="AD349" s="32"/>
    </row>
    <row r="350" spans="30:30" x14ac:dyDescent="0.3">
      <c r="AD350" s="32"/>
    </row>
    <row r="351" spans="30:30" x14ac:dyDescent="0.3">
      <c r="AD351" s="32"/>
    </row>
    <row r="352" spans="30:30" x14ac:dyDescent="0.3">
      <c r="AD352" s="32"/>
    </row>
    <row r="353" spans="30:30" x14ac:dyDescent="0.3">
      <c r="AD353" s="32"/>
    </row>
    <row r="354" spans="30:30" x14ac:dyDescent="0.3">
      <c r="AD354" s="32"/>
    </row>
    <row r="355" spans="30:30" x14ac:dyDescent="0.3">
      <c r="AD355" s="33"/>
    </row>
    <row r="356" spans="30:30" x14ac:dyDescent="0.3">
      <c r="AD356" s="32"/>
    </row>
    <row r="357" spans="30:30" x14ac:dyDescent="0.3">
      <c r="AD357" s="32"/>
    </row>
    <row r="358" spans="30:30" x14ac:dyDescent="0.3">
      <c r="AD358" s="32"/>
    </row>
    <row r="359" spans="30:30" x14ac:dyDescent="0.3">
      <c r="AD359" s="32"/>
    </row>
    <row r="360" spans="30:30" x14ac:dyDescent="0.3">
      <c r="AD360" s="32"/>
    </row>
    <row r="361" spans="30:30" x14ac:dyDescent="0.3">
      <c r="AD361" s="32"/>
    </row>
    <row r="362" spans="30:30" x14ac:dyDescent="0.3">
      <c r="AD362" s="33"/>
    </row>
    <row r="363" spans="30:30" x14ac:dyDescent="0.3">
      <c r="AD363" s="33"/>
    </row>
    <row r="364" spans="30:30" x14ac:dyDescent="0.3">
      <c r="AD364" s="32"/>
    </row>
    <row r="365" spans="30:30" x14ac:dyDescent="0.3">
      <c r="AD365" s="32"/>
    </row>
    <row r="366" spans="30:30" x14ac:dyDescent="0.3">
      <c r="AD366" s="32"/>
    </row>
    <row r="367" spans="30:30" x14ac:dyDescent="0.3">
      <c r="AD367" s="32"/>
    </row>
    <row r="368" spans="30:30" x14ac:dyDescent="0.3">
      <c r="AD368" s="32"/>
    </row>
    <row r="369" spans="30:30" x14ac:dyDescent="0.3">
      <c r="AD369" s="32"/>
    </row>
    <row r="370" spans="30:30" x14ac:dyDescent="0.3">
      <c r="AD370" s="32"/>
    </row>
    <row r="371" spans="30:30" x14ac:dyDescent="0.3">
      <c r="AD371" s="32"/>
    </row>
    <row r="372" spans="30:30" x14ac:dyDescent="0.3">
      <c r="AD372" s="32"/>
    </row>
    <row r="373" spans="30:30" x14ac:dyDescent="0.3">
      <c r="AD373" s="32"/>
    </row>
    <row r="374" spans="30:30" x14ac:dyDescent="0.3">
      <c r="AD374" s="32"/>
    </row>
    <row r="375" spans="30:30" x14ac:dyDescent="0.3">
      <c r="AD375" s="32"/>
    </row>
    <row r="376" spans="30:30" x14ac:dyDescent="0.3">
      <c r="AD376" s="33"/>
    </row>
    <row r="377" spans="30:30" x14ac:dyDescent="0.3">
      <c r="AD377" s="32"/>
    </row>
    <row r="378" spans="30:30" x14ac:dyDescent="0.3">
      <c r="AD378" s="32"/>
    </row>
    <row r="379" spans="30:30" x14ac:dyDescent="0.3">
      <c r="AD379" s="32"/>
    </row>
    <row r="380" spans="30:30" x14ac:dyDescent="0.3">
      <c r="AD380" s="32"/>
    </row>
    <row r="381" spans="30:30" x14ac:dyDescent="0.3">
      <c r="AD381" s="32"/>
    </row>
    <row r="382" spans="30:30" x14ac:dyDescent="0.3">
      <c r="AD382" s="32"/>
    </row>
    <row r="383" spans="30:30" x14ac:dyDescent="0.3">
      <c r="AD383" s="32"/>
    </row>
    <row r="384" spans="30:30" x14ac:dyDescent="0.3">
      <c r="AD384" s="32"/>
    </row>
    <row r="385" spans="30:30" x14ac:dyDescent="0.3">
      <c r="AD385" s="32"/>
    </row>
    <row r="386" spans="30:30" x14ac:dyDescent="0.3">
      <c r="AD386" s="32"/>
    </row>
    <row r="387" spans="30:30" x14ac:dyDescent="0.3">
      <c r="AD387" s="32"/>
    </row>
    <row r="388" spans="30:30" x14ac:dyDescent="0.3">
      <c r="AD388" s="32"/>
    </row>
    <row r="389" spans="30:30" x14ac:dyDescent="0.3">
      <c r="AD389" s="32"/>
    </row>
    <row r="390" spans="30:30" x14ac:dyDescent="0.3">
      <c r="AD390" s="32"/>
    </row>
    <row r="391" spans="30:30" x14ac:dyDescent="0.3">
      <c r="AD391" s="32"/>
    </row>
    <row r="392" spans="30:30" x14ac:dyDescent="0.3">
      <c r="AD392" s="32"/>
    </row>
    <row r="393" spans="30:30" x14ac:dyDescent="0.3">
      <c r="AD393" s="32"/>
    </row>
    <row r="394" spans="30:30" x14ac:dyDescent="0.3">
      <c r="AD394" s="32"/>
    </row>
    <row r="395" spans="30:30" x14ac:dyDescent="0.3">
      <c r="AD395" s="33"/>
    </row>
    <row r="396" spans="30:30" x14ac:dyDescent="0.3">
      <c r="AD396" s="32"/>
    </row>
    <row r="397" spans="30:30" x14ac:dyDescent="0.3">
      <c r="AD397" s="32"/>
    </row>
    <row r="398" spans="30:30" x14ac:dyDescent="0.3">
      <c r="AD398" s="33"/>
    </row>
    <row r="399" spans="30:30" x14ac:dyDescent="0.3">
      <c r="AD399" s="32"/>
    </row>
    <row r="400" spans="30:30" x14ac:dyDescent="0.3">
      <c r="AD400" s="32"/>
    </row>
    <row r="401" spans="30:30" x14ac:dyDescent="0.3">
      <c r="AD401" s="32"/>
    </row>
    <row r="402" spans="30:30" x14ac:dyDescent="0.3">
      <c r="AD402" s="32"/>
    </row>
    <row r="403" spans="30:30" x14ac:dyDescent="0.3">
      <c r="AD403" s="32"/>
    </row>
    <row r="404" spans="30:30" x14ac:dyDescent="0.3">
      <c r="AD404" s="32"/>
    </row>
    <row r="405" spans="30:30" x14ac:dyDescent="0.3">
      <c r="AD405" s="32"/>
    </row>
    <row r="406" spans="30:30" x14ac:dyDescent="0.3">
      <c r="AD406" s="32"/>
    </row>
    <row r="407" spans="30:30" x14ac:dyDescent="0.3">
      <c r="AD407" s="32"/>
    </row>
    <row r="408" spans="30:30" x14ac:dyDescent="0.3">
      <c r="AD408" s="32"/>
    </row>
    <row r="409" spans="30:30" x14ac:dyDescent="0.3">
      <c r="AD409" s="32"/>
    </row>
    <row r="410" spans="30:30" x14ac:dyDescent="0.3">
      <c r="AD410" s="32"/>
    </row>
    <row r="411" spans="30:30" x14ac:dyDescent="0.3">
      <c r="AD411" s="33"/>
    </row>
    <row r="412" spans="30:30" x14ac:dyDescent="0.3">
      <c r="AD412" s="33"/>
    </row>
    <row r="413" spans="30:30" x14ac:dyDescent="0.3">
      <c r="AD413" s="32"/>
    </row>
    <row r="414" spans="30:30" x14ac:dyDescent="0.3">
      <c r="AD414" s="32"/>
    </row>
    <row r="415" spans="30:30" x14ac:dyDescent="0.3">
      <c r="AD415" s="32"/>
    </row>
    <row r="416" spans="30:30" x14ac:dyDescent="0.3">
      <c r="AD416" s="32"/>
    </row>
    <row r="417" spans="30:30" x14ac:dyDescent="0.3">
      <c r="AD417" s="32"/>
    </row>
    <row r="418" spans="30:30" x14ac:dyDescent="0.3">
      <c r="AD418" s="32"/>
    </row>
    <row r="419" spans="30:30" x14ac:dyDescent="0.3">
      <c r="AD419" s="32"/>
    </row>
    <row r="420" spans="30:30" x14ac:dyDescent="0.3">
      <c r="AD420" s="33"/>
    </row>
    <row r="421" spans="30:30" x14ac:dyDescent="0.3">
      <c r="AD421" s="32"/>
    </row>
    <row r="422" spans="30:30" x14ac:dyDescent="0.3">
      <c r="AD422" s="32"/>
    </row>
    <row r="423" spans="30:30" x14ac:dyDescent="0.3">
      <c r="AD423" s="32"/>
    </row>
    <row r="424" spans="30:30" x14ac:dyDescent="0.3">
      <c r="AD424" s="32"/>
    </row>
    <row r="425" spans="30:30" x14ac:dyDescent="0.3">
      <c r="AD425" s="32"/>
    </row>
    <row r="426" spans="30:30" x14ac:dyDescent="0.3">
      <c r="AD426" s="32"/>
    </row>
    <row r="427" spans="30:30" x14ac:dyDescent="0.3">
      <c r="AD427" s="32"/>
    </row>
    <row r="428" spans="30:30" x14ac:dyDescent="0.3">
      <c r="AD428" s="32"/>
    </row>
    <row r="429" spans="30:30" x14ac:dyDescent="0.3">
      <c r="AD429" s="32"/>
    </row>
    <row r="430" spans="30:30" x14ac:dyDescent="0.3">
      <c r="AD430" s="32"/>
    </row>
    <row r="431" spans="30:30" x14ac:dyDescent="0.3">
      <c r="AD431" s="33"/>
    </row>
    <row r="432" spans="30:30" x14ac:dyDescent="0.3">
      <c r="AD432" s="32"/>
    </row>
    <row r="433" spans="30:30" x14ac:dyDescent="0.3">
      <c r="AD433" s="32"/>
    </row>
    <row r="434" spans="30:30" x14ac:dyDescent="0.3">
      <c r="AD434" s="32"/>
    </row>
    <row r="435" spans="30:30" x14ac:dyDescent="0.3">
      <c r="AD435" s="32"/>
    </row>
    <row r="436" spans="30:30" x14ac:dyDescent="0.3">
      <c r="AD436" s="32"/>
    </row>
    <row r="437" spans="30:30" x14ac:dyDescent="0.3">
      <c r="AD437" s="32"/>
    </row>
    <row r="438" spans="30:30" x14ac:dyDescent="0.3">
      <c r="AD438" s="32"/>
    </row>
    <row r="439" spans="30:30" x14ac:dyDescent="0.3">
      <c r="AD439" s="32"/>
    </row>
    <row r="440" spans="30:30" x14ac:dyDescent="0.3">
      <c r="AD440" s="32"/>
    </row>
    <row r="441" spans="30:30" x14ac:dyDescent="0.3">
      <c r="AD441" s="32"/>
    </row>
    <row r="442" spans="30:30" x14ac:dyDescent="0.3">
      <c r="AD442" s="32"/>
    </row>
    <row r="443" spans="30:30" x14ac:dyDescent="0.3">
      <c r="AD443" s="32"/>
    </row>
    <row r="444" spans="30:30" x14ac:dyDescent="0.3">
      <c r="AD444" s="32"/>
    </row>
    <row r="445" spans="30:30" x14ac:dyDescent="0.3">
      <c r="AD445" s="32"/>
    </row>
    <row r="446" spans="30:30" x14ac:dyDescent="0.3">
      <c r="AD446" s="32"/>
    </row>
    <row r="447" spans="30:30" x14ac:dyDescent="0.3">
      <c r="AD447" s="35"/>
    </row>
    <row r="448" spans="30:30" x14ac:dyDescent="0.3">
      <c r="AD448" s="32"/>
    </row>
    <row r="449" spans="30:30" x14ac:dyDescent="0.3">
      <c r="AD449" s="32"/>
    </row>
    <row r="450" spans="30:30" x14ac:dyDescent="0.3">
      <c r="AD450" s="32"/>
    </row>
    <row r="451" spans="30:30" x14ac:dyDescent="0.3">
      <c r="AD451" s="32"/>
    </row>
    <row r="452" spans="30:30" x14ac:dyDescent="0.3">
      <c r="AD452" s="32"/>
    </row>
    <row r="453" spans="30:30" x14ac:dyDescent="0.3">
      <c r="AD453" s="32"/>
    </row>
    <row r="454" spans="30:30" x14ac:dyDescent="0.3">
      <c r="AD454" s="32"/>
    </row>
    <row r="455" spans="30:30" x14ac:dyDescent="0.3">
      <c r="AD455" s="32"/>
    </row>
    <row r="456" spans="30:30" x14ac:dyDescent="0.3">
      <c r="AD456" s="32"/>
    </row>
    <row r="457" spans="30:30" x14ac:dyDescent="0.3">
      <c r="AD457" s="32"/>
    </row>
    <row r="458" spans="30:30" x14ac:dyDescent="0.3">
      <c r="AD458" s="32"/>
    </row>
    <row r="459" spans="30:30" x14ac:dyDescent="0.3">
      <c r="AD459" s="32"/>
    </row>
    <row r="460" spans="30:30" x14ac:dyDescent="0.3">
      <c r="AD460" s="32"/>
    </row>
    <row r="461" spans="30:30" x14ac:dyDescent="0.3">
      <c r="AD461" s="33"/>
    </row>
    <row r="462" spans="30:30" x14ac:dyDescent="0.3">
      <c r="AD462" s="32"/>
    </row>
    <row r="463" spans="30:30" x14ac:dyDescent="0.3">
      <c r="AD463" s="32"/>
    </row>
    <row r="464" spans="30:30" x14ac:dyDescent="0.3">
      <c r="AD464" s="32"/>
    </row>
    <row r="465" spans="30:30" x14ac:dyDescent="0.3">
      <c r="AD465" s="32"/>
    </row>
    <row r="466" spans="30:30" x14ac:dyDescent="0.3">
      <c r="AD466" s="32"/>
    </row>
    <row r="467" spans="30:30" x14ac:dyDescent="0.3">
      <c r="AD467" s="32"/>
    </row>
    <row r="468" spans="30:30" x14ac:dyDescent="0.3">
      <c r="AD468" s="32"/>
    </row>
    <row r="469" spans="30:30" x14ac:dyDescent="0.3">
      <c r="AD469" s="32"/>
    </row>
    <row r="470" spans="30:30" x14ac:dyDescent="0.3">
      <c r="AD470" s="32"/>
    </row>
    <row r="471" spans="30:30" x14ac:dyDescent="0.3">
      <c r="AD471" s="32"/>
    </row>
    <row r="472" spans="30:30" x14ac:dyDescent="0.3">
      <c r="AD472" s="32"/>
    </row>
    <row r="473" spans="30:30" x14ac:dyDescent="0.3">
      <c r="AD473" s="32"/>
    </row>
    <row r="474" spans="30:30" x14ac:dyDescent="0.3">
      <c r="AD474" s="32"/>
    </row>
    <row r="475" spans="30:30" x14ac:dyDescent="0.3">
      <c r="AD475" s="32"/>
    </row>
    <row r="476" spans="30:30" x14ac:dyDescent="0.3">
      <c r="AD476" s="32"/>
    </row>
    <row r="477" spans="30:30" x14ac:dyDescent="0.3">
      <c r="AD477" s="32"/>
    </row>
    <row r="478" spans="30:30" x14ac:dyDescent="0.3">
      <c r="AD478" s="32"/>
    </row>
    <row r="479" spans="30:30" x14ac:dyDescent="0.3">
      <c r="AD479" s="32"/>
    </row>
    <row r="480" spans="30:30" x14ac:dyDescent="0.3">
      <c r="AD480" s="32"/>
    </row>
    <row r="481" spans="30:30" x14ac:dyDescent="0.3">
      <c r="AD481" s="32"/>
    </row>
    <row r="482" spans="30:30" x14ac:dyDescent="0.3">
      <c r="AD482" s="32"/>
    </row>
    <row r="483" spans="30:30" x14ac:dyDescent="0.3">
      <c r="AD483" s="32"/>
    </row>
    <row r="484" spans="30:30" x14ac:dyDescent="0.3">
      <c r="AD484" s="32"/>
    </row>
    <row r="485" spans="30:30" x14ac:dyDescent="0.3">
      <c r="AD485" s="32"/>
    </row>
    <row r="486" spans="30:30" x14ac:dyDescent="0.3">
      <c r="AD486" s="32"/>
    </row>
    <row r="487" spans="30:30" x14ac:dyDescent="0.3">
      <c r="AD487" s="32"/>
    </row>
    <row r="488" spans="30:30" x14ac:dyDescent="0.3">
      <c r="AD488" s="32"/>
    </row>
    <row r="489" spans="30:30" x14ac:dyDescent="0.3">
      <c r="AD489" s="32"/>
    </row>
    <row r="490" spans="30:30" x14ac:dyDescent="0.3">
      <c r="AD490" s="32"/>
    </row>
    <row r="491" spans="30:30" x14ac:dyDescent="0.3">
      <c r="AD491" s="32"/>
    </row>
    <row r="492" spans="30:30" x14ac:dyDescent="0.3">
      <c r="AD492" s="32"/>
    </row>
    <row r="493" spans="30:30" x14ac:dyDescent="0.3">
      <c r="AD493" s="32"/>
    </row>
    <row r="494" spans="30:30" x14ac:dyDescent="0.3">
      <c r="AD494" s="32"/>
    </row>
    <row r="495" spans="30:30" x14ac:dyDescent="0.3">
      <c r="AD495" s="32"/>
    </row>
    <row r="496" spans="30:30" x14ac:dyDescent="0.3">
      <c r="AD496" s="32"/>
    </row>
    <row r="497" spans="30:30" x14ac:dyDescent="0.3">
      <c r="AD497" s="32"/>
    </row>
    <row r="498" spans="30:30" x14ac:dyDescent="0.3">
      <c r="AD498" s="32"/>
    </row>
    <row r="499" spans="30:30" x14ac:dyDescent="0.3">
      <c r="AD499" s="32"/>
    </row>
    <row r="500" spans="30:30" x14ac:dyDescent="0.3">
      <c r="AD500" s="32"/>
    </row>
    <row r="501" spans="30:30" x14ac:dyDescent="0.3">
      <c r="AD501" s="32"/>
    </row>
    <row r="502" spans="30:30" x14ac:dyDescent="0.3">
      <c r="AD502" s="32"/>
    </row>
    <row r="503" spans="30:30" x14ac:dyDescent="0.3">
      <c r="AD503" s="32"/>
    </row>
    <row r="504" spans="30:30" x14ac:dyDescent="0.3">
      <c r="AD504" s="32"/>
    </row>
    <row r="505" spans="30:30" x14ac:dyDescent="0.3">
      <c r="AD505" s="32"/>
    </row>
    <row r="506" spans="30:30" x14ac:dyDescent="0.3">
      <c r="AD506" s="32"/>
    </row>
    <row r="507" spans="30:30" x14ac:dyDescent="0.3">
      <c r="AD507" s="32"/>
    </row>
    <row r="508" spans="30:30" x14ac:dyDescent="0.3">
      <c r="AD508" s="32"/>
    </row>
    <row r="509" spans="30:30" x14ac:dyDescent="0.3">
      <c r="AD509" s="32"/>
    </row>
    <row r="510" spans="30:30" x14ac:dyDescent="0.3">
      <c r="AD510" s="36"/>
    </row>
    <row r="511" spans="30:30" x14ac:dyDescent="0.3">
      <c r="AD511" s="36"/>
    </row>
    <row r="512" spans="30:30" x14ac:dyDescent="0.3">
      <c r="AD512" s="36"/>
    </row>
    <row r="513" spans="30:30" x14ac:dyDescent="0.3">
      <c r="AD513" s="36"/>
    </row>
    <row r="514" spans="30:30" x14ac:dyDescent="0.3">
      <c r="AD514" s="36"/>
    </row>
    <row r="515" spans="30:30" x14ac:dyDescent="0.3">
      <c r="AD515" s="36"/>
    </row>
    <row r="516" spans="30:30" x14ac:dyDescent="0.3">
      <c r="AD516" s="36"/>
    </row>
    <row r="517" spans="30:30" x14ac:dyDescent="0.3">
      <c r="AD517" s="36"/>
    </row>
    <row r="518" spans="30:30" x14ac:dyDescent="0.3">
      <c r="AD518" s="36"/>
    </row>
    <row r="519" spans="30:30" x14ac:dyDescent="0.3">
      <c r="AD519" s="36"/>
    </row>
    <row r="520" spans="30:30" x14ac:dyDescent="0.3">
      <c r="AD520" s="36"/>
    </row>
    <row r="521" spans="30:30" x14ac:dyDescent="0.3">
      <c r="AD521" s="36"/>
    </row>
    <row r="522" spans="30:30" x14ac:dyDescent="0.3">
      <c r="AD522" s="36"/>
    </row>
    <row r="523" spans="30:30" x14ac:dyDescent="0.3">
      <c r="AD523" s="36"/>
    </row>
    <row r="524" spans="30:30" x14ac:dyDescent="0.3">
      <c r="AD524" s="36"/>
    </row>
    <row r="525" spans="30:30" x14ac:dyDescent="0.3">
      <c r="AD525" s="36"/>
    </row>
    <row r="526" spans="30:30" x14ac:dyDescent="0.3">
      <c r="AD526" s="36"/>
    </row>
    <row r="527" spans="30:30" x14ac:dyDescent="0.3">
      <c r="AD527" s="36"/>
    </row>
    <row r="528" spans="30:30" x14ac:dyDescent="0.3">
      <c r="AD528" s="36"/>
    </row>
    <row r="529" spans="30:30" x14ac:dyDescent="0.3">
      <c r="AD529" s="36"/>
    </row>
    <row r="530" spans="30:30" x14ac:dyDescent="0.3">
      <c r="AD530" s="36"/>
    </row>
    <row r="531" spans="30:30" x14ac:dyDescent="0.3">
      <c r="AD531" s="36"/>
    </row>
    <row r="532" spans="30:30" x14ac:dyDescent="0.3">
      <c r="AD532" s="36"/>
    </row>
    <row r="533" spans="30:30" x14ac:dyDescent="0.3">
      <c r="AD533" s="36"/>
    </row>
    <row r="534" spans="30:30" x14ac:dyDescent="0.3">
      <c r="AD534" s="36"/>
    </row>
    <row r="535" spans="30:30" x14ac:dyDescent="0.3">
      <c r="AD535" s="36"/>
    </row>
    <row r="536" spans="30:30" x14ac:dyDescent="0.3">
      <c r="AD536" s="36"/>
    </row>
    <row r="537" spans="30:30" x14ac:dyDescent="0.3">
      <c r="AD537" s="36"/>
    </row>
    <row r="538" spans="30:30" x14ac:dyDescent="0.3">
      <c r="AD538" s="36"/>
    </row>
    <row r="539" spans="30:30" x14ac:dyDescent="0.3">
      <c r="AD539" s="36"/>
    </row>
    <row r="540" spans="30:30" x14ac:dyDescent="0.3">
      <c r="AD540" s="36"/>
    </row>
    <row r="541" spans="30:30" x14ac:dyDescent="0.3">
      <c r="AD541" s="36"/>
    </row>
    <row r="542" spans="30:30" x14ac:dyDescent="0.3">
      <c r="AD542" s="36"/>
    </row>
    <row r="543" spans="30:30" x14ac:dyDescent="0.3">
      <c r="AD543" s="36"/>
    </row>
    <row r="544" spans="30:30" x14ac:dyDescent="0.3">
      <c r="AD544" s="36"/>
    </row>
    <row r="545" spans="30:30" x14ac:dyDescent="0.3">
      <c r="AD545" s="36"/>
    </row>
    <row r="546" spans="30:30" x14ac:dyDescent="0.3">
      <c r="AD546" s="36"/>
    </row>
    <row r="547" spans="30:30" x14ac:dyDescent="0.3">
      <c r="AD547" s="36"/>
    </row>
    <row r="548" spans="30:30" x14ac:dyDescent="0.3">
      <c r="AD548" s="36"/>
    </row>
    <row r="549" spans="30:30" x14ac:dyDescent="0.3">
      <c r="AD549" s="36"/>
    </row>
    <row r="550" spans="30:30" x14ac:dyDescent="0.3">
      <c r="AD550" s="36"/>
    </row>
    <row r="551" spans="30:30" x14ac:dyDescent="0.3">
      <c r="AD551" s="36"/>
    </row>
    <row r="552" spans="30:30" x14ac:dyDescent="0.3">
      <c r="AD552" s="36"/>
    </row>
    <row r="553" spans="30:30" x14ac:dyDescent="0.3">
      <c r="AD553" s="36"/>
    </row>
    <row r="554" spans="30:30" x14ac:dyDescent="0.3">
      <c r="AD554" s="36"/>
    </row>
    <row r="555" spans="30:30" x14ac:dyDescent="0.3">
      <c r="AD555" s="36"/>
    </row>
    <row r="556" spans="30:30" x14ac:dyDescent="0.3">
      <c r="AD556" s="36"/>
    </row>
    <row r="557" spans="30:30" x14ac:dyDescent="0.3">
      <c r="AD557" s="36"/>
    </row>
    <row r="558" spans="30:30" x14ac:dyDescent="0.3">
      <c r="AD558" s="36"/>
    </row>
    <row r="559" spans="30:30" x14ac:dyDescent="0.3">
      <c r="AD559" s="36"/>
    </row>
    <row r="560" spans="30:30" x14ac:dyDescent="0.3">
      <c r="AD560" s="36"/>
    </row>
    <row r="561" spans="30:30" x14ac:dyDescent="0.3">
      <c r="AD561" s="36"/>
    </row>
    <row r="562" spans="30:30" x14ac:dyDescent="0.3">
      <c r="AD562" s="36"/>
    </row>
    <row r="563" spans="30:30" x14ac:dyDescent="0.3">
      <c r="AD563" s="36"/>
    </row>
    <row r="564" spans="30:30" x14ac:dyDescent="0.3">
      <c r="AD564" s="36"/>
    </row>
    <row r="565" spans="30:30" x14ac:dyDescent="0.3">
      <c r="AD565" s="36"/>
    </row>
    <row r="566" spans="30:30" x14ac:dyDescent="0.3">
      <c r="AD566" s="36"/>
    </row>
    <row r="567" spans="30:30" x14ac:dyDescent="0.3">
      <c r="AD567" s="36"/>
    </row>
    <row r="568" spans="30:30" x14ac:dyDescent="0.3">
      <c r="AD568" s="36"/>
    </row>
    <row r="569" spans="30:30" x14ac:dyDescent="0.3">
      <c r="AD569" s="36"/>
    </row>
    <row r="570" spans="30:30" x14ac:dyDescent="0.3">
      <c r="AD570" s="36"/>
    </row>
    <row r="571" spans="30:30" x14ac:dyDescent="0.3">
      <c r="AD571" s="36"/>
    </row>
    <row r="572" spans="30:30" x14ac:dyDescent="0.3">
      <c r="AD572" s="36"/>
    </row>
    <row r="573" spans="30:30" x14ac:dyDescent="0.3">
      <c r="AD573" s="36"/>
    </row>
    <row r="574" spans="30:30" x14ac:dyDescent="0.3">
      <c r="AD574" s="36"/>
    </row>
    <row r="575" spans="30:30" x14ac:dyDescent="0.3">
      <c r="AD575" s="36"/>
    </row>
    <row r="576" spans="30:30" x14ac:dyDescent="0.3">
      <c r="AD576" s="36"/>
    </row>
    <row r="577" spans="30:30" x14ac:dyDescent="0.3">
      <c r="AD577" s="36"/>
    </row>
    <row r="578" spans="30:30" x14ac:dyDescent="0.3">
      <c r="AD578" s="36"/>
    </row>
    <row r="579" spans="30:30" x14ac:dyDescent="0.3">
      <c r="AD579" s="36"/>
    </row>
    <row r="580" spans="30:30" x14ac:dyDescent="0.3">
      <c r="AD580" s="36"/>
    </row>
    <row r="581" spans="30:30" x14ac:dyDescent="0.3">
      <c r="AD581" s="36"/>
    </row>
    <row r="582" spans="30:30" x14ac:dyDescent="0.3">
      <c r="AD582" s="36"/>
    </row>
    <row r="583" spans="30:30" x14ac:dyDescent="0.3">
      <c r="AD583" s="36"/>
    </row>
    <row r="584" spans="30:30" x14ac:dyDescent="0.3">
      <c r="AD584" s="36"/>
    </row>
    <row r="585" spans="30:30" x14ac:dyDescent="0.3">
      <c r="AD585" s="36"/>
    </row>
    <row r="586" spans="30:30" x14ac:dyDescent="0.3">
      <c r="AD586" s="36"/>
    </row>
    <row r="587" spans="30:30" x14ac:dyDescent="0.3">
      <c r="AD587" s="36"/>
    </row>
    <row r="588" spans="30:30" x14ac:dyDescent="0.3">
      <c r="AD588" s="36"/>
    </row>
    <row r="589" spans="30:30" x14ac:dyDescent="0.3">
      <c r="AD589" s="36"/>
    </row>
    <row r="590" spans="30:30" x14ac:dyDescent="0.3">
      <c r="AD590" s="36"/>
    </row>
    <row r="591" spans="30:30" x14ac:dyDescent="0.3">
      <c r="AD591" s="36"/>
    </row>
    <row r="592" spans="30:30" x14ac:dyDescent="0.3">
      <c r="AD592" s="36"/>
    </row>
    <row r="593" spans="30:30" x14ac:dyDescent="0.3">
      <c r="AD593" s="36"/>
    </row>
    <row r="594" spans="30:30" x14ac:dyDescent="0.3">
      <c r="AD594" s="36"/>
    </row>
    <row r="595" spans="30:30" x14ac:dyDescent="0.3">
      <c r="AD595" s="36"/>
    </row>
    <row r="596" spans="30:30" x14ac:dyDescent="0.3">
      <c r="AD596" s="36"/>
    </row>
    <row r="597" spans="30:30" x14ac:dyDescent="0.3">
      <c r="AD597" s="36"/>
    </row>
    <row r="598" spans="30:30" x14ac:dyDescent="0.3">
      <c r="AD598" s="36"/>
    </row>
    <row r="599" spans="30:30" x14ac:dyDescent="0.3">
      <c r="AD599" s="36"/>
    </row>
    <row r="600" spans="30:30" x14ac:dyDescent="0.3">
      <c r="AD600" s="36"/>
    </row>
    <row r="601" spans="30:30" x14ac:dyDescent="0.3">
      <c r="AD601" s="36"/>
    </row>
    <row r="602" spans="30:30" x14ac:dyDescent="0.3">
      <c r="AD602" s="36"/>
    </row>
    <row r="603" spans="30:30" x14ac:dyDescent="0.3">
      <c r="AD603" s="36"/>
    </row>
    <row r="604" spans="30:30" x14ac:dyDescent="0.3">
      <c r="AD604" s="36"/>
    </row>
    <row r="605" spans="30:30" x14ac:dyDescent="0.3">
      <c r="AD605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0C10-57A5-4081-B9BD-E7DE4CC3C4FF}">
  <dimension ref="A1:F15"/>
  <sheetViews>
    <sheetView zoomScaleNormal="100" workbookViewId="0">
      <selection activeCell="E8" sqref="E8"/>
    </sheetView>
  </sheetViews>
  <sheetFormatPr defaultColWidth="9.109375" defaultRowHeight="14.4" x14ac:dyDescent="0.3"/>
  <cols>
    <col min="1" max="1" width="12.5546875" style="5" customWidth="1"/>
    <col min="2" max="16384" width="9.109375" style="5"/>
  </cols>
  <sheetData>
    <row r="1" spans="1:6" x14ac:dyDescent="0.3">
      <c r="D1" s="43" t="s">
        <v>9</v>
      </c>
    </row>
    <row r="2" spans="1:6" ht="15.6" x14ac:dyDescent="0.3">
      <c r="A2" s="3" t="s">
        <v>1</v>
      </c>
      <c r="B2" s="4" t="s">
        <v>2</v>
      </c>
    </row>
    <row r="3" spans="1:6" ht="15.6" x14ac:dyDescent="0.3">
      <c r="A3" s="6" t="s">
        <v>3</v>
      </c>
      <c r="B3" s="7">
        <v>15</v>
      </c>
      <c r="D3" s="8" t="s">
        <v>3</v>
      </c>
      <c r="E3" s="8" t="s">
        <v>4</v>
      </c>
      <c r="F3" s="5">
        <f>SUM(COUNTIFS($A$3:$A$15,{"Pen","* Pen"},$B$3:$B$15,E3))</f>
        <v>5</v>
      </c>
    </row>
    <row r="4" spans="1:6" ht="15.6" x14ac:dyDescent="0.3">
      <c r="A4" s="6" t="s">
        <v>5</v>
      </c>
      <c r="B4" s="7">
        <v>9</v>
      </c>
    </row>
    <row r="5" spans="1:6" ht="15.6" x14ac:dyDescent="0.3">
      <c r="A5" s="6" t="s">
        <v>6</v>
      </c>
      <c r="B5" s="7">
        <v>9</v>
      </c>
      <c r="D5" s="5" cm="1">
        <f t="array" ref="D5">SUMPRODUCT(--(EXACT(A3:A15,D3)), --(B3:B15&gt;=10))</f>
        <v>3</v>
      </c>
    </row>
    <row r="6" spans="1:6" ht="15.6" x14ac:dyDescent="0.3">
      <c r="A6" s="6" t="s">
        <v>7</v>
      </c>
      <c r="B6" s="7">
        <v>11</v>
      </c>
    </row>
    <row r="7" spans="1:6" ht="15.6" x14ac:dyDescent="0.3">
      <c r="A7" s="6" t="s">
        <v>3</v>
      </c>
      <c r="B7" s="7">
        <v>6</v>
      </c>
      <c r="E7" s="5" cm="1">
        <f t="array" ref="E7">SUM(COUNTIFS(A3:A15,{"Pen","* Pen"},B3:B15,"&gt;="&amp;10))</f>
        <v>5</v>
      </c>
    </row>
    <row r="8" spans="1:6" ht="15.6" x14ac:dyDescent="0.3">
      <c r="A8" s="6" t="s">
        <v>3</v>
      </c>
      <c r="B8" s="7">
        <v>15</v>
      </c>
    </row>
    <row r="9" spans="1:6" ht="15.6" x14ac:dyDescent="0.3">
      <c r="A9" s="6" t="s">
        <v>8</v>
      </c>
      <c r="B9" s="7">
        <v>14</v>
      </c>
    </row>
    <row r="10" spans="1:6" ht="15.6" x14ac:dyDescent="0.3">
      <c r="A10" s="6" t="s">
        <v>6</v>
      </c>
      <c r="B10" s="7">
        <v>12</v>
      </c>
    </row>
    <row r="11" spans="1:6" ht="15.6" x14ac:dyDescent="0.3">
      <c r="A11" s="6" t="s">
        <v>5</v>
      </c>
      <c r="B11" s="7">
        <v>10</v>
      </c>
    </row>
    <row r="12" spans="1:6" ht="15.6" x14ac:dyDescent="0.3">
      <c r="A12" s="6" t="s">
        <v>10</v>
      </c>
      <c r="B12" s="7">
        <v>14</v>
      </c>
    </row>
    <row r="13" spans="1:6" ht="15.6" x14ac:dyDescent="0.3">
      <c r="A13" s="6" t="s">
        <v>6</v>
      </c>
      <c r="B13" s="7">
        <v>6</v>
      </c>
    </row>
    <row r="14" spans="1:6" ht="15.6" x14ac:dyDescent="0.3">
      <c r="A14" s="6" t="s">
        <v>3</v>
      </c>
      <c r="B14" s="7">
        <v>11</v>
      </c>
    </row>
    <row r="15" spans="1:6" ht="15.6" x14ac:dyDescent="0.3">
      <c r="A15" s="6" t="s">
        <v>5</v>
      </c>
      <c r="B15" s="7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40F2-2735-442B-83A9-3B3F3CD12FEA}">
  <dimension ref="A1:R724"/>
  <sheetViews>
    <sheetView topLeftCell="H33" workbookViewId="0">
      <selection activeCell="M49" sqref="M49"/>
    </sheetView>
  </sheetViews>
  <sheetFormatPr defaultRowHeight="14.4" x14ac:dyDescent="0.3"/>
  <cols>
    <col min="1" max="1" width="10.6640625" bestFit="1" customWidth="1"/>
    <col min="9" max="9" width="12.5546875" bestFit="1" customWidth="1"/>
    <col min="10" max="10" width="14.88671875" bestFit="1" customWidth="1"/>
    <col min="11" max="12" width="15.88671875" bestFit="1" customWidth="1"/>
    <col min="13" max="13" width="16.5546875" bestFit="1" customWidth="1"/>
    <col min="15" max="15" width="12.5546875" bestFit="1" customWidth="1"/>
    <col min="16" max="16" width="14.88671875" bestFit="1" customWidth="1"/>
    <col min="17" max="17" width="13.33203125" bestFit="1" customWidth="1"/>
    <col min="18" max="18" width="14.33203125" bestFit="1" customWidth="1"/>
  </cols>
  <sheetData>
    <row r="1" spans="1:18" x14ac:dyDescent="0.3">
      <c r="A1" s="24" t="s">
        <v>13</v>
      </c>
      <c r="B1" s="24" t="s">
        <v>731</v>
      </c>
      <c r="C1" s="24" t="s">
        <v>732</v>
      </c>
      <c r="D1" s="24" t="s">
        <v>733</v>
      </c>
      <c r="E1" s="24" t="s">
        <v>734</v>
      </c>
    </row>
    <row r="2" spans="1:18" x14ac:dyDescent="0.3">
      <c r="A2" s="13">
        <v>42977</v>
      </c>
      <c r="B2" s="14" t="s">
        <v>735</v>
      </c>
      <c r="C2" s="14" t="s">
        <v>736</v>
      </c>
      <c r="D2" s="14" t="s">
        <v>737</v>
      </c>
      <c r="E2" s="25">
        <v>1655</v>
      </c>
      <c r="G2" s="26" t="s">
        <v>748</v>
      </c>
    </row>
    <row r="3" spans="1:18" x14ac:dyDescent="0.3">
      <c r="A3" s="13">
        <v>42918</v>
      </c>
      <c r="B3" s="14" t="s">
        <v>738</v>
      </c>
      <c r="C3" s="14" t="s">
        <v>736</v>
      </c>
      <c r="D3" s="14" t="s">
        <v>739</v>
      </c>
      <c r="E3" s="25">
        <v>4435</v>
      </c>
    </row>
    <row r="4" spans="1:18" x14ac:dyDescent="0.3">
      <c r="A4" s="13">
        <v>43056</v>
      </c>
      <c r="B4" s="14" t="s">
        <v>740</v>
      </c>
      <c r="C4" s="14" t="s">
        <v>741</v>
      </c>
      <c r="D4" s="14" t="s">
        <v>742</v>
      </c>
      <c r="E4" s="25">
        <v>923</v>
      </c>
      <c r="O4" t="s">
        <v>1245</v>
      </c>
    </row>
    <row r="5" spans="1:18" x14ac:dyDescent="0.3">
      <c r="A5" s="13">
        <v>42702</v>
      </c>
      <c r="B5" s="14" t="s">
        <v>735</v>
      </c>
      <c r="C5" s="14" t="s">
        <v>741</v>
      </c>
      <c r="D5" s="14" t="s">
        <v>743</v>
      </c>
      <c r="E5" s="25">
        <v>3966</v>
      </c>
    </row>
    <row r="6" spans="1:18" x14ac:dyDescent="0.3">
      <c r="A6" s="13">
        <v>42621</v>
      </c>
      <c r="B6" s="14" t="s">
        <v>744</v>
      </c>
      <c r="C6" s="14" t="s">
        <v>745</v>
      </c>
      <c r="D6" s="14" t="s">
        <v>743</v>
      </c>
      <c r="E6" s="25">
        <v>873</v>
      </c>
      <c r="K6" s="44" t="s">
        <v>1237</v>
      </c>
      <c r="O6" s="44" t="s">
        <v>1240</v>
      </c>
      <c r="P6" t="s">
        <v>1233</v>
      </c>
      <c r="Q6" t="s">
        <v>1241</v>
      </c>
      <c r="R6" t="s">
        <v>1242</v>
      </c>
    </row>
    <row r="7" spans="1:18" x14ac:dyDescent="0.3">
      <c r="A7" s="13">
        <v>42567</v>
      </c>
      <c r="B7" s="14" t="s">
        <v>744</v>
      </c>
      <c r="C7" s="14" t="s">
        <v>745</v>
      </c>
      <c r="D7" s="14" t="s">
        <v>742</v>
      </c>
      <c r="E7" s="25">
        <v>2734</v>
      </c>
      <c r="I7" s="44" t="s">
        <v>1234</v>
      </c>
      <c r="J7" s="44" t="s">
        <v>13</v>
      </c>
      <c r="K7" t="s">
        <v>1233</v>
      </c>
      <c r="L7" t="s">
        <v>1238</v>
      </c>
      <c r="M7" t="s">
        <v>1239</v>
      </c>
      <c r="O7" s="47" t="s">
        <v>1219</v>
      </c>
      <c r="P7" s="48"/>
      <c r="Q7" s="46"/>
      <c r="R7" s="46"/>
    </row>
    <row r="8" spans="1:18" x14ac:dyDescent="0.3">
      <c r="A8" s="13">
        <v>42893</v>
      </c>
      <c r="B8" s="14" t="s">
        <v>746</v>
      </c>
      <c r="C8" s="14" t="s">
        <v>736</v>
      </c>
      <c r="D8" s="14" t="s">
        <v>742</v>
      </c>
      <c r="E8" s="25">
        <v>4977</v>
      </c>
      <c r="I8" t="s">
        <v>1219</v>
      </c>
      <c r="J8" s="45" t="s">
        <v>1220</v>
      </c>
      <c r="K8">
        <v>66413</v>
      </c>
      <c r="L8" s="46">
        <v>3.6528874162860485E-2</v>
      </c>
      <c r="M8" s="46">
        <v>7.0578920800233799E-2</v>
      </c>
      <c r="O8" s="49" t="s">
        <v>1220</v>
      </c>
      <c r="P8" s="48">
        <v>66413</v>
      </c>
      <c r="Q8" s="46">
        <v>4.1493775933609957E-2</v>
      </c>
      <c r="R8" s="46">
        <v>7.874015748031496E-2</v>
      </c>
    </row>
    <row r="9" spans="1:18" x14ac:dyDescent="0.3">
      <c r="A9" s="13">
        <v>42783</v>
      </c>
      <c r="B9" s="14" t="s">
        <v>746</v>
      </c>
      <c r="C9" s="14" t="s">
        <v>736</v>
      </c>
      <c r="D9" s="14" t="s">
        <v>743</v>
      </c>
      <c r="E9" s="25">
        <v>2665</v>
      </c>
      <c r="J9" s="45" t="s">
        <v>1221</v>
      </c>
      <c r="K9">
        <v>91038</v>
      </c>
      <c r="L9" s="46">
        <v>5.0073263458035221E-2</v>
      </c>
      <c r="M9" s="46">
        <v>9.6748585244028795E-2</v>
      </c>
      <c r="O9" s="49" t="s">
        <v>1221</v>
      </c>
      <c r="P9" s="48">
        <v>91038</v>
      </c>
      <c r="Q9" s="46">
        <v>5.1175656984785614E-2</v>
      </c>
      <c r="R9" s="46">
        <v>9.711286089238845E-2</v>
      </c>
    </row>
    <row r="10" spans="1:18" x14ac:dyDescent="0.3">
      <c r="A10" s="13">
        <v>42615</v>
      </c>
      <c r="B10" s="14" t="s">
        <v>746</v>
      </c>
      <c r="C10" s="14" t="s">
        <v>736</v>
      </c>
      <c r="D10" s="14" t="s">
        <v>739</v>
      </c>
      <c r="E10" s="25">
        <v>409</v>
      </c>
      <c r="J10" s="45" t="s">
        <v>1222</v>
      </c>
      <c r="K10">
        <v>78913</v>
      </c>
      <c r="L10" s="46">
        <v>4.3404198678177609E-2</v>
      </c>
      <c r="M10" s="46">
        <v>8.3863014426525676E-2</v>
      </c>
      <c r="O10" s="49" t="s">
        <v>1222</v>
      </c>
      <c r="P10" s="48">
        <v>78913</v>
      </c>
      <c r="Q10" s="46">
        <v>3.5961272475795295E-2</v>
      </c>
      <c r="R10" s="46">
        <v>6.8241469816272965E-2</v>
      </c>
    </row>
    <row r="11" spans="1:18" x14ac:dyDescent="0.3">
      <c r="A11" s="13">
        <v>42785</v>
      </c>
      <c r="B11" s="14" t="s">
        <v>746</v>
      </c>
      <c r="C11" s="14" t="s">
        <v>736</v>
      </c>
      <c r="D11" s="14" t="s">
        <v>739</v>
      </c>
      <c r="E11" s="25">
        <v>3546</v>
      </c>
      <c r="J11" s="45" t="s">
        <v>1223</v>
      </c>
      <c r="K11">
        <v>78445</v>
      </c>
      <c r="L11" s="46">
        <v>4.3146786528324134E-2</v>
      </c>
      <c r="M11" s="46">
        <v>8.3365657961157316E-2</v>
      </c>
      <c r="O11" s="49" t="s">
        <v>1223</v>
      </c>
      <c r="P11" s="48">
        <v>78445</v>
      </c>
      <c r="Q11" s="46">
        <v>4.5643153526970952E-2</v>
      </c>
      <c r="R11" s="46">
        <v>8.6614173228346455E-2</v>
      </c>
    </row>
    <row r="12" spans="1:18" x14ac:dyDescent="0.3">
      <c r="A12" s="13">
        <v>42560</v>
      </c>
      <c r="B12" s="14" t="s">
        <v>740</v>
      </c>
      <c r="C12" s="14" t="s">
        <v>741</v>
      </c>
      <c r="D12" s="14" t="s">
        <v>743</v>
      </c>
      <c r="E12" s="25">
        <v>3095</v>
      </c>
      <c r="J12" s="45" t="s">
        <v>1224</v>
      </c>
      <c r="K12">
        <v>84541</v>
      </c>
      <c r="L12" s="46">
        <v>4.6499744787953989E-2</v>
      </c>
      <c r="M12" s="46">
        <v>8.9844044740827328E-2</v>
      </c>
      <c r="O12" s="49" t="s">
        <v>1224</v>
      </c>
      <c r="P12" s="48">
        <v>84541</v>
      </c>
      <c r="Q12" s="46">
        <v>4.8409405255878286E-2</v>
      </c>
      <c r="R12" s="46">
        <v>9.1863517060367453E-2</v>
      </c>
    </row>
    <row r="13" spans="1:18" x14ac:dyDescent="0.3">
      <c r="A13" s="13">
        <v>42959</v>
      </c>
      <c r="B13" s="14" t="s">
        <v>740</v>
      </c>
      <c r="C13" s="14" t="s">
        <v>741</v>
      </c>
      <c r="D13" s="14" t="s">
        <v>739</v>
      </c>
      <c r="E13" s="25">
        <v>4730</v>
      </c>
      <c r="J13" s="45" t="s">
        <v>1225</v>
      </c>
      <c r="K13">
        <v>66084</v>
      </c>
      <c r="L13" s="46">
        <v>3.6347915621617342E-2</v>
      </c>
      <c r="M13" s="46">
        <v>7.0229283455989791E-2</v>
      </c>
      <c r="O13" s="49" t="s">
        <v>1225</v>
      </c>
      <c r="P13" s="48">
        <v>66084</v>
      </c>
      <c r="Q13" s="46">
        <v>4.5643153526970952E-2</v>
      </c>
      <c r="R13" s="46">
        <v>8.6614173228346455E-2</v>
      </c>
    </row>
    <row r="14" spans="1:18" x14ac:dyDescent="0.3">
      <c r="A14" s="13">
        <v>42630</v>
      </c>
      <c r="B14" s="14" t="s">
        <v>746</v>
      </c>
      <c r="C14" s="14" t="s">
        <v>736</v>
      </c>
      <c r="D14" s="14" t="s">
        <v>743</v>
      </c>
      <c r="E14" s="25">
        <v>1498</v>
      </c>
      <c r="J14" s="45" t="s">
        <v>1226</v>
      </c>
      <c r="K14">
        <v>91865</v>
      </c>
      <c r="L14" s="46">
        <v>5.05281349279686E-2</v>
      </c>
      <c r="M14" s="46">
        <v>9.7627460878344272E-2</v>
      </c>
      <c r="O14" s="49" t="s">
        <v>1226</v>
      </c>
      <c r="P14" s="48">
        <v>91865</v>
      </c>
      <c r="Q14" s="46">
        <v>4.7026279391424619E-2</v>
      </c>
      <c r="R14" s="46">
        <v>8.9238845144356954E-2</v>
      </c>
    </row>
    <row r="15" spans="1:18" x14ac:dyDescent="0.3">
      <c r="A15" s="13">
        <v>42822</v>
      </c>
      <c r="B15" s="14" t="s">
        <v>744</v>
      </c>
      <c r="C15" s="14" t="s">
        <v>741</v>
      </c>
      <c r="D15" s="14" t="s">
        <v>742</v>
      </c>
      <c r="E15" s="25">
        <v>2318</v>
      </c>
      <c r="J15" s="45" t="s">
        <v>1227</v>
      </c>
      <c r="K15">
        <v>76730</v>
      </c>
      <c r="L15" s="46">
        <v>4.2203492004822631E-2</v>
      </c>
      <c r="M15" s="46">
        <v>8.1543080315630068E-2</v>
      </c>
      <c r="O15" s="49" t="s">
        <v>1227</v>
      </c>
      <c r="P15" s="48">
        <v>76730</v>
      </c>
      <c r="Q15" s="46">
        <v>4.2876901798063624E-2</v>
      </c>
      <c r="R15" s="46">
        <v>8.1364829396325458E-2</v>
      </c>
    </row>
    <row r="16" spans="1:18" x14ac:dyDescent="0.3">
      <c r="A16" s="13">
        <v>42435</v>
      </c>
      <c r="B16" s="14" t="s">
        <v>738</v>
      </c>
      <c r="C16" s="14" t="s">
        <v>736</v>
      </c>
      <c r="D16" s="14" t="s">
        <v>743</v>
      </c>
      <c r="E16" s="25">
        <v>4800</v>
      </c>
      <c r="J16" s="45" t="s">
        <v>1228</v>
      </c>
      <c r="K16">
        <v>71281</v>
      </c>
      <c r="L16" s="46">
        <v>3.9206400542105585E-2</v>
      </c>
      <c r="M16" s="46">
        <v>7.5752278222056907E-2</v>
      </c>
      <c r="O16" s="49" t="s">
        <v>1228</v>
      </c>
      <c r="P16" s="48">
        <v>71281</v>
      </c>
      <c r="Q16" s="46">
        <v>4.4260027662517291E-2</v>
      </c>
      <c r="R16" s="46">
        <v>8.3989501312335957E-2</v>
      </c>
    </row>
    <row r="17" spans="1:18" x14ac:dyDescent="0.3">
      <c r="A17" s="13">
        <v>42657</v>
      </c>
      <c r="B17" s="14" t="s">
        <v>744</v>
      </c>
      <c r="C17" s="14" t="s">
        <v>745</v>
      </c>
      <c r="D17" s="14" t="s">
        <v>743</v>
      </c>
      <c r="E17" s="25">
        <v>4360</v>
      </c>
      <c r="J17" s="45" t="s">
        <v>1229</v>
      </c>
      <c r="K17">
        <v>82249</v>
      </c>
      <c r="L17" s="46">
        <v>4.5239085284825446E-2</v>
      </c>
      <c r="M17" s="46">
        <v>8.740827333351045E-2</v>
      </c>
      <c r="O17" s="49" t="s">
        <v>1229</v>
      </c>
      <c r="P17" s="48">
        <v>82249</v>
      </c>
      <c r="Q17" s="46">
        <v>3.8727524204702629E-2</v>
      </c>
      <c r="R17" s="46">
        <v>7.3490813648293962E-2</v>
      </c>
    </row>
    <row r="18" spans="1:18" x14ac:dyDescent="0.3">
      <c r="A18" s="13">
        <v>42493</v>
      </c>
      <c r="B18" s="14" t="s">
        <v>740</v>
      </c>
      <c r="C18" s="14" t="s">
        <v>741</v>
      </c>
      <c r="D18" s="14" t="s">
        <v>742</v>
      </c>
      <c r="E18" s="25">
        <v>4746</v>
      </c>
      <c r="J18" s="45" t="s">
        <v>1230</v>
      </c>
      <c r="K18">
        <v>67493</v>
      </c>
      <c r="L18" s="46">
        <v>3.7122902200983889E-2</v>
      </c>
      <c r="M18" s="46">
        <v>7.1726666489545413E-2</v>
      </c>
      <c r="O18" s="49" t="s">
        <v>1230</v>
      </c>
      <c r="P18" s="48">
        <v>67493</v>
      </c>
      <c r="Q18" s="46">
        <v>3.8727524204702629E-2</v>
      </c>
      <c r="R18" s="46">
        <v>7.3490813648293962E-2</v>
      </c>
    </row>
    <row r="19" spans="1:18" x14ac:dyDescent="0.3">
      <c r="A19" s="13">
        <v>42568</v>
      </c>
      <c r="B19" s="14" t="s">
        <v>738</v>
      </c>
      <c r="C19" s="14" t="s">
        <v>736</v>
      </c>
      <c r="D19" s="14" t="s">
        <v>739</v>
      </c>
      <c r="E19" s="25">
        <v>485</v>
      </c>
      <c r="J19" s="45" t="s">
        <v>1231</v>
      </c>
      <c r="K19">
        <v>85923</v>
      </c>
      <c r="L19" s="46">
        <v>4.7259880666367451E-2</v>
      </c>
      <c r="M19" s="46">
        <v>9.1312734132150158E-2</v>
      </c>
      <c r="O19" s="49" t="s">
        <v>1231</v>
      </c>
      <c r="P19" s="48">
        <v>85923</v>
      </c>
      <c r="Q19" s="46">
        <v>4.7026279391424619E-2</v>
      </c>
      <c r="R19" s="46">
        <v>8.9238845144356954E-2</v>
      </c>
    </row>
    <row r="20" spans="1:18" x14ac:dyDescent="0.3">
      <c r="A20" s="13">
        <v>42510</v>
      </c>
      <c r="B20" s="14" t="s">
        <v>735</v>
      </c>
      <c r="C20" s="14" t="s">
        <v>736</v>
      </c>
      <c r="D20" s="14" t="s">
        <v>737</v>
      </c>
      <c r="E20" s="25">
        <v>660</v>
      </c>
      <c r="I20" t="s">
        <v>1235</v>
      </c>
      <c r="K20">
        <v>940975</v>
      </c>
      <c r="L20" s="46">
        <v>0.51756067886404233</v>
      </c>
      <c r="M20" s="46">
        <v>0.51756067886404233</v>
      </c>
      <c r="O20" s="47" t="s">
        <v>1232</v>
      </c>
      <c r="P20" s="48"/>
      <c r="Q20" s="46"/>
      <c r="R20" s="46"/>
    </row>
    <row r="21" spans="1:18" x14ac:dyDescent="0.3">
      <c r="A21" s="13">
        <v>42744</v>
      </c>
      <c r="B21" s="14" t="s">
        <v>738</v>
      </c>
      <c r="C21" s="14" t="s">
        <v>736</v>
      </c>
      <c r="D21" s="14" t="s">
        <v>742</v>
      </c>
      <c r="E21" s="25">
        <v>1598</v>
      </c>
      <c r="I21" t="s">
        <v>1232</v>
      </c>
      <c r="J21" s="45" t="s">
        <v>1220</v>
      </c>
      <c r="K21">
        <v>55944</v>
      </c>
      <c r="L21" s="46">
        <v>3.0770652374792089E-2</v>
      </c>
      <c r="M21" s="46">
        <v>6.3781393901183536E-2</v>
      </c>
      <c r="O21" s="49" t="s">
        <v>1220</v>
      </c>
      <c r="P21" s="48">
        <v>55944</v>
      </c>
      <c r="Q21" s="46">
        <v>2.6279391424619641E-2</v>
      </c>
      <c r="R21" s="46">
        <v>5.5555555555555552E-2</v>
      </c>
    </row>
    <row r="22" spans="1:18" x14ac:dyDescent="0.3">
      <c r="A22" s="13">
        <v>42543</v>
      </c>
      <c r="B22" s="14" t="s">
        <v>735</v>
      </c>
      <c r="C22" s="14" t="s">
        <v>741</v>
      </c>
      <c r="D22" s="14" t="s">
        <v>743</v>
      </c>
      <c r="E22" s="25">
        <v>582</v>
      </c>
      <c r="J22" s="45" t="s">
        <v>1221</v>
      </c>
      <c r="K22">
        <v>56616</v>
      </c>
      <c r="L22" s="46">
        <v>3.114026982073554E-2</v>
      </c>
      <c r="M22" s="46">
        <v>6.4547536770867414E-2</v>
      </c>
      <c r="O22" s="49" t="s">
        <v>1221</v>
      </c>
      <c r="P22" s="48">
        <v>56616</v>
      </c>
      <c r="Q22" s="46">
        <v>3.3195020746887967E-2</v>
      </c>
      <c r="R22" s="46">
        <v>7.0175438596491224E-2</v>
      </c>
    </row>
    <row r="23" spans="1:18" x14ac:dyDescent="0.3">
      <c r="A23" s="13">
        <v>42788</v>
      </c>
      <c r="B23" s="14" t="s">
        <v>746</v>
      </c>
      <c r="C23" s="14" t="s">
        <v>736</v>
      </c>
      <c r="D23" s="14" t="s">
        <v>742</v>
      </c>
      <c r="E23" s="25">
        <v>1595</v>
      </c>
      <c r="J23" s="45" t="s">
        <v>1222</v>
      </c>
      <c r="K23">
        <v>93552</v>
      </c>
      <c r="L23" s="46">
        <v>5.1456028724555798E-2</v>
      </c>
      <c r="M23" s="46">
        <v>0.10665803235813531</v>
      </c>
      <c r="O23" s="49" t="s">
        <v>1222</v>
      </c>
      <c r="P23" s="48">
        <v>93552</v>
      </c>
      <c r="Q23" s="46">
        <v>4.5643153526970952E-2</v>
      </c>
      <c r="R23" s="46">
        <v>9.6491228070175433E-2</v>
      </c>
    </row>
    <row r="24" spans="1:18" x14ac:dyDescent="0.3">
      <c r="A24" s="13">
        <v>42592</v>
      </c>
      <c r="B24" s="14" t="s">
        <v>746</v>
      </c>
      <c r="C24" s="14" t="s">
        <v>736</v>
      </c>
      <c r="D24" s="14" t="s">
        <v>742</v>
      </c>
      <c r="E24" s="25">
        <v>4703</v>
      </c>
      <c r="J24" s="45" t="s">
        <v>1223</v>
      </c>
      <c r="K24">
        <v>56759</v>
      </c>
      <c r="L24" s="46">
        <v>3.1218923533190765E-2</v>
      </c>
      <c r="M24" s="46">
        <v>6.4710570149386457E-2</v>
      </c>
      <c r="O24" s="49" t="s">
        <v>1223</v>
      </c>
      <c r="P24" s="48">
        <v>56759</v>
      </c>
      <c r="Q24" s="46">
        <v>3.4578146611341634E-2</v>
      </c>
      <c r="R24" s="46">
        <v>7.3099415204678359E-2</v>
      </c>
    </row>
    <row r="25" spans="1:18" x14ac:dyDescent="0.3">
      <c r="A25" s="13">
        <v>42654</v>
      </c>
      <c r="B25" s="14" t="s">
        <v>738</v>
      </c>
      <c r="C25" s="14" t="s">
        <v>736</v>
      </c>
      <c r="D25" s="14" t="s">
        <v>743</v>
      </c>
      <c r="E25" s="25">
        <v>4514</v>
      </c>
      <c r="J25" s="45" t="s">
        <v>1224</v>
      </c>
      <c r="K25">
        <v>50119</v>
      </c>
      <c r="L25" s="46">
        <v>2.7566751150654312E-2</v>
      </c>
      <c r="M25" s="46">
        <v>5.7140348937033771E-2</v>
      </c>
      <c r="O25" s="49" t="s">
        <v>1224</v>
      </c>
      <c r="P25" s="48">
        <v>50119</v>
      </c>
      <c r="Q25" s="46">
        <v>3.3195020746887967E-2</v>
      </c>
      <c r="R25" s="46">
        <v>7.0175438596491224E-2</v>
      </c>
    </row>
    <row r="26" spans="1:18" x14ac:dyDescent="0.3">
      <c r="A26" s="13">
        <v>42769</v>
      </c>
      <c r="B26" s="14" t="s">
        <v>738</v>
      </c>
      <c r="C26" s="14" t="s">
        <v>736</v>
      </c>
      <c r="D26" s="14" t="s">
        <v>743</v>
      </c>
      <c r="E26" s="25">
        <v>408</v>
      </c>
      <c r="J26" s="45" t="s">
        <v>1225</v>
      </c>
      <c r="K26">
        <v>80793</v>
      </c>
      <c r="L26" s="46">
        <v>4.4438247485281308E-2</v>
      </c>
      <c r="M26" s="46">
        <v>9.2111578676146166E-2</v>
      </c>
      <c r="O26" s="49" t="s">
        <v>1225</v>
      </c>
      <c r="P26" s="48">
        <v>80793</v>
      </c>
      <c r="Q26" s="46">
        <v>4.2876901798063624E-2</v>
      </c>
      <c r="R26" s="46">
        <v>9.0643274853801165E-2</v>
      </c>
    </row>
    <row r="27" spans="1:18" x14ac:dyDescent="0.3">
      <c r="A27" s="13">
        <v>42447</v>
      </c>
      <c r="B27" s="14" t="s">
        <v>738</v>
      </c>
      <c r="C27" s="14" t="s">
        <v>736</v>
      </c>
      <c r="D27" s="14" t="s">
        <v>742</v>
      </c>
      <c r="E27" s="25">
        <v>2856</v>
      </c>
      <c r="J27" s="45" t="s">
        <v>1226</v>
      </c>
      <c r="K27">
        <v>78585</v>
      </c>
      <c r="L27" s="46">
        <v>4.3223790162895688E-2</v>
      </c>
      <c r="M27" s="46">
        <v>8.9594252104327685E-2</v>
      </c>
      <c r="O27" s="49" t="s">
        <v>1226</v>
      </c>
      <c r="P27" s="48">
        <v>78585</v>
      </c>
      <c r="Q27" s="46">
        <v>4.1493775933609957E-2</v>
      </c>
      <c r="R27" s="46">
        <v>8.771929824561403E-2</v>
      </c>
    </row>
    <row r="28" spans="1:18" x14ac:dyDescent="0.3">
      <c r="A28" s="13">
        <v>42898</v>
      </c>
      <c r="B28" s="14" t="s">
        <v>738</v>
      </c>
      <c r="C28" s="14" t="s">
        <v>736</v>
      </c>
      <c r="D28" s="14" t="s">
        <v>737</v>
      </c>
      <c r="E28" s="25">
        <v>3957</v>
      </c>
      <c r="J28" s="45" t="s">
        <v>1227</v>
      </c>
      <c r="K28">
        <v>113049</v>
      </c>
      <c r="L28" s="46">
        <v>6.2179884890566833E-2</v>
      </c>
      <c r="M28" s="46">
        <v>0.12888643642097269</v>
      </c>
      <c r="O28" s="49" t="s">
        <v>1227</v>
      </c>
      <c r="P28" s="48">
        <v>113049</v>
      </c>
      <c r="Q28" s="46">
        <v>5.8091286307053944E-2</v>
      </c>
      <c r="R28" s="46">
        <v>0.12280701754385964</v>
      </c>
    </row>
    <row r="29" spans="1:18" x14ac:dyDescent="0.3">
      <c r="A29" s="13">
        <v>42532</v>
      </c>
      <c r="B29" s="14" t="s">
        <v>735</v>
      </c>
      <c r="C29" s="14" t="s">
        <v>741</v>
      </c>
      <c r="D29" s="14" t="s">
        <v>739</v>
      </c>
      <c r="E29" s="25">
        <v>152</v>
      </c>
      <c r="J29" s="45" t="s">
        <v>1228</v>
      </c>
      <c r="K29">
        <v>66755</v>
      </c>
      <c r="L29" s="46">
        <v>3.6716983041599566E-2</v>
      </c>
      <c r="M29" s="46">
        <v>7.6106945335934262E-2</v>
      </c>
      <c r="O29" s="49" t="s">
        <v>1228</v>
      </c>
      <c r="P29" s="48">
        <v>66755</v>
      </c>
      <c r="Q29" s="46">
        <v>3.7344398340248962E-2</v>
      </c>
      <c r="R29" s="46">
        <v>7.8947368421052627E-2</v>
      </c>
    </row>
    <row r="30" spans="1:18" x14ac:dyDescent="0.3">
      <c r="A30" s="13">
        <v>42467</v>
      </c>
      <c r="B30" s="14" t="s">
        <v>735</v>
      </c>
      <c r="C30" s="14" t="s">
        <v>736</v>
      </c>
      <c r="D30" s="14" t="s">
        <v>739</v>
      </c>
      <c r="E30" s="25">
        <v>1726</v>
      </c>
      <c r="J30" s="45" t="s">
        <v>1229</v>
      </c>
      <c r="K30">
        <v>69893</v>
      </c>
      <c r="L30" s="46">
        <v>3.8442964507924775E-2</v>
      </c>
      <c r="M30" s="46">
        <v>7.9684558914904557E-2</v>
      </c>
      <c r="O30" s="49" t="s">
        <v>1229</v>
      </c>
      <c r="P30" s="48">
        <v>69893</v>
      </c>
      <c r="Q30" s="46">
        <v>3.5961272475795295E-2</v>
      </c>
      <c r="R30" s="46">
        <v>7.6023391812865493E-2</v>
      </c>
    </row>
    <row r="31" spans="1:18" x14ac:dyDescent="0.3">
      <c r="A31" s="13">
        <v>42949</v>
      </c>
      <c r="B31" s="14" t="s">
        <v>744</v>
      </c>
      <c r="C31" s="14" t="s">
        <v>745</v>
      </c>
      <c r="D31" s="14" t="s">
        <v>743</v>
      </c>
      <c r="E31" s="25">
        <v>2217</v>
      </c>
      <c r="J31" s="45" t="s">
        <v>1230</v>
      </c>
      <c r="K31">
        <v>48195</v>
      </c>
      <c r="L31" s="46">
        <v>2.6508501201256699E-2</v>
      </c>
      <c r="M31" s="46">
        <v>5.4946808935141214E-2</v>
      </c>
      <c r="O31" s="49" t="s">
        <v>1230</v>
      </c>
      <c r="P31" s="48">
        <v>48195</v>
      </c>
      <c r="Q31" s="46">
        <v>3.0428769017980636E-2</v>
      </c>
      <c r="R31" s="46">
        <v>6.4327485380116955E-2</v>
      </c>
    </row>
    <row r="32" spans="1:18" x14ac:dyDescent="0.3">
      <c r="A32" s="13">
        <v>43058</v>
      </c>
      <c r="B32" s="14" t="s">
        <v>740</v>
      </c>
      <c r="C32" s="14" t="s">
        <v>741</v>
      </c>
      <c r="D32" s="14" t="s">
        <v>742</v>
      </c>
      <c r="E32" s="25">
        <v>235</v>
      </c>
      <c r="J32" s="45" t="s">
        <v>1231</v>
      </c>
      <c r="K32">
        <v>106861</v>
      </c>
      <c r="L32" s="46">
        <v>5.8776324242504244E-2</v>
      </c>
      <c r="M32" s="46">
        <v>0.12183153749596692</v>
      </c>
      <c r="O32" s="49" t="s">
        <v>1231</v>
      </c>
      <c r="P32" s="48">
        <v>106861</v>
      </c>
      <c r="Q32" s="46">
        <v>5.3941908713692949E-2</v>
      </c>
      <c r="R32" s="46">
        <v>0.11403508771929824</v>
      </c>
    </row>
    <row r="33" spans="1:18" x14ac:dyDescent="0.3">
      <c r="A33" s="13">
        <v>42606</v>
      </c>
      <c r="B33" s="14" t="s">
        <v>740</v>
      </c>
      <c r="C33" s="14" t="s">
        <v>741</v>
      </c>
      <c r="D33" s="14" t="s">
        <v>742</v>
      </c>
      <c r="E33" s="25">
        <v>2997</v>
      </c>
      <c r="I33" t="s">
        <v>1236</v>
      </c>
      <c r="K33">
        <v>877121</v>
      </c>
      <c r="L33" s="46">
        <v>0.48243932113595761</v>
      </c>
      <c r="M33" s="46">
        <v>0.48243932113595761</v>
      </c>
      <c r="O33" s="47" t="s">
        <v>1218</v>
      </c>
      <c r="P33" s="48">
        <v>1818096</v>
      </c>
      <c r="Q33" s="46">
        <v>1</v>
      </c>
      <c r="R33" s="46">
        <v>1</v>
      </c>
    </row>
    <row r="34" spans="1:18" x14ac:dyDescent="0.3">
      <c r="A34" s="13">
        <v>42491</v>
      </c>
      <c r="B34" s="14" t="s">
        <v>738</v>
      </c>
      <c r="C34" s="14" t="s">
        <v>736</v>
      </c>
      <c r="D34" s="14" t="s">
        <v>742</v>
      </c>
      <c r="E34" s="25">
        <v>1704</v>
      </c>
      <c r="I34" t="s">
        <v>1218</v>
      </c>
      <c r="K34">
        <v>1818096</v>
      </c>
      <c r="L34" s="46">
        <v>1</v>
      </c>
      <c r="M34" s="46">
        <v>1</v>
      </c>
    </row>
    <row r="35" spans="1:18" x14ac:dyDescent="0.3">
      <c r="A35" s="13">
        <v>42487</v>
      </c>
      <c r="B35" s="14" t="s">
        <v>738</v>
      </c>
      <c r="C35" s="14" t="s">
        <v>736</v>
      </c>
      <c r="D35" s="14" t="s">
        <v>739</v>
      </c>
      <c r="E35" s="25">
        <v>1462</v>
      </c>
    </row>
    <row r="36" spans="1:18" x14ac:dyDescent="0.3">
      <c r="A36" s="13">
        <v>42895</v>
      </c>
      <c r="B36" s="14" t="s">
        <v>740</v>
      </c>
      <c r="C36" s="14" t="s">
        <v>741</v>
      </c>
      <c r="D36" s="14" t="s">
        <v>739</v>
      </c>
      <c r="E36" s="25">
        <v>2603</v>
      </c>
    </row>
    <row r="37" spans="1:18" x14ac:dyDescent="0.3">
      <c r="A37" s="13">
        <v>42619</v>
      </c>
      <c r="B37" s="14" t="s">
        <v>744</v>
      </c>
      <c r="C37" s="14" t="s">
        <v>741</v>
      </c>
      <c r="D37" s="14" t="s">
        <v>737</v>
      </c>
      <c r="E37" s="25">
        <v>1025</v>
      </c>
    </row>
    <row r="38" spans="1:18" x14ac:dyDescent="0.3">
      <c r="A38" s="13">
        <v>42499</v>
      </c>
      <c r="B38" s="14" t="s">
        <v>738</v>
      </c>
      <c r="C38" s="14" t="s">
        <v>736</v>
      </c>
      <c r="D38" s="14" t="s">
        <v>743</v>
      </c>
      <c r="E38" s="25">
        <v>2238</v>
      </c>
    </row>
    <row r="39" spans="1:18" x14ac:dyDescent="0.3">
      <c r="A39" s="13">
        <v>42465</v>
      </c>
      <c r="B39" s="14" t="s">
        <v>738</v>
      </c>
      <c r="C39" s="14" t="s">
        <v>736</v>
      </c>
      <c r="D39" s="14" t="s">
        <v>737</v>
      </c>
      <c r="E39" s="25">
        <v>2853</v>
      </c>
      <c r="I39" s="44" t="s">
        <v>1240</v>
      </c>
      <c r="J39" t="s">
        <v>1233</v>
      </c>
      <c r="K39" t="s">
        <v>1243</v>
      </c>
      <c r="L39" t="s">
        <v>1244</v>
      </c>
    </row>
    <row r="40" spans="1:18" x14ac:dyDescent="0.3">
      <c r="A40" s="13">
        <v>42952</v>
      </c>
      <c r="B40" s="14" t="s">
        <v>738</v>
      </c>
      <c r="C40" s="14" t="s">
        <v>736</v>
      </c>
      <c r="D40" s="14" t="s">
        <v>743</v>
      </c>
      <c r="E40" s="25">
        <v>1281</v>
      </c>
      <c r="I40" s="47" t="s">
        <v>1219</v>
      </c>
      <c r="J40" s="48">
        <v>940975</v>
      </c>
      <c r="K40" s="46">
        <v>0.51756067886404233</v>
      </c>
      <c r="L40" s="46">
        <v>1</v>
      </c>
    </row>
    <row r="41" spans="1:18" x14ac:dyDescent="0.3">
      <c r="A41" s="13">
        <v>42453</v>
      </c>
      <c r="B41" s="14" t="s">
        <v>746</v>
      </c>
      <c r="C41" s="14" t="s">
        <v>736</v>
      </c>
      <c r="D41" s="14" t="s">
        <v>739</v>
      </c>
      <c r="E41" s="25">
        <v>3524</v>
      </c>
      <c r="I41" s="49" t="s">
        <v>1220</v>
      </c>
      <c r="J41" s="48">
        <v>66413</v>
      </c>
      <c r="K41" s="46">
        <v>3.6528874162860485E-2</v>
      </c>
      <c r="L41" s="46">
        <v>7.0578920800233799E-2</v>
      </c>
    </row>
    <row r="42" spans="1:18" x14ac:dyDescent="0.3">
      <c r="A42" s="13">
        <v>42379</v>
      </c>
      <c r="B42" s="14" t="s">
        <v>738</v>
      </c>
      <c r="C42" s="14" t="s">
        <v>736</v>
      </c>
      <c r="D42" s="14" t="s">
        <v>739</v>
      </c>
      <c r="E42" s="25">
        <v>453</v>
      </c>
      <c r="I42" s="49" t="s">
        <v>1221</v>
      </c>
      <c r="J42" s="48">
        <v>91038</v>
      </c>
      <c r="K42" s="46">
        <v>5.0073263458035221E-2</v>
      </c>
      <c r="L42" s="46">
        <v>9.6748585244028795E-2</v>
      </c>
    </row>
    <row r="43" spans="1:18" x14ac:dyDescent="0.3">
      <c r="A43" s="13">
        <v>42632</v>
      </c>
      <c r="B43" s="14" t="s">
        <v>740</v>
      </c>
      <c r="C43" s="14" t="s">
        <v>741</v>
      </c>
      <c r="D43" s="14" t="s">
        <v>742</v>
      </c>
      <c r="E43" s="25">
        <v>2833</v>
      </c>
      <c r="I43" s="49" t="s">
        <v>1222</v>
      </c>
      <c r="J43" s="48">
        <v>78913</v>
      </c>
      <c r="K43" s="46">
        <v>4.3404198678177609E-2</v>
      </c>
      <c r="L43" s="46">
        <v>8.3863014426525676E-2</v>
      </c>
    </row>
    <row r="44" spans="1:18" x14ac:dyDescent="0.3">
      <c r="A44" s="13">
        <v>42690</v>
      </c>
      <c r="B44" s="14" t="s">
        <v>744</v>
      </c>
      <c r="C44" s="14" t="s">
        <v>741</v>
      </c>
      <c r="D44" s="14" t="s">
        <v>739</v>
      </c>
      <c r="E44" s="25">
        <v>1126</v>
      </c>
      <c r="I44" s="49" t="s">
        <v>1223</v>
      </c>
      <c r="J44" s="48">
        <v>78445</v>
      </c>
      <c r="K44" s="46">
        <v>4.3146786528324134E-2</v>
      </c>
      <c r="L44" s="46">
        <v>8.3365657961157316E-2</v>
      </c>
    </row>
    <row r="45" spans="1:18" x14ac:dyDescent="0.3">
      <c r="A45" s="13">
        <v>42814</v>
      </c>
      <c r="B45" s="14" t="s">
        <v>735</v>
      </c>
      <c r="C45" s="14" t="s">
        <v>741</v>
      </c>
      <c r="D45" s="14" t="s">
        <v>739</v>
      </c>
      <c r="E45" s="25">
        <v>4063</v>
      </c>
      <c r="I45" s="49" t="s">
        <v>1224</v>
      </c>
      <c r="J45" s="48">
        <v>84541</v>
      </c>
      <c r="K45" s="46">
        <v>4.6499744787953989E-2</v>
      </c>
      <c r="L45" s="46">
        <v>8.9844044740827328E-2</v>
      </c>
    </row>
    <row r="46" spans="1:18" x14ac:dyDescent="0.3">
      <c r="A46" s="13">
        <v>42542</v>
      </c>
      <c r="B46" s="14" t="s">
        <v>744</v>
      </c>
      <c r="C46" s="14" t="s">
        <v>741</v>
      </c>
      <c r="D46" s="14" t="s">
        <v>742</v>
      </c>
      <c r="E46" s="25">
        <v>642</v>
      </c>
      <c r="I46" s="49" t="s">
        <v>1225</v>
      </c>
      <c r="J46" s="48">
        <v>66084</v>
      </c>
      <c r="K46" s="46">
        <v>3.6347915621617342E-2</v>
      </c>
      <c r="L46" s="46">
        <v>7.0229283455989791E-2</v>
      </c>
    </row>
    <row r="47" spans="1:18" x14ac:dyDescent="0.3">
      <c r="A47" s="13">
        <v>42589</v>
      </c>
      <c r="B47" s="14" t="s">
        <v>738</v>
      </c>
      <c r="C47" s="14" t="s">
        <v>736</v>
      </c>
      <c r="D47" s="14" t="s">
        <v>742</v>
      </c>
      <c r="E47" s="25">
        <v>4505</v>
      </c>
      <c r="I47" s="49" t="s">
        <v>1226</v>
      </c>
      <c r="J47" s="48">
        <v>91865</v>
      </c>
      <c r="K47" s="46">
        <v>5.05281349279686E-2</v>
      </c>
      <c r="L47" s="46">
        <v>9.7627460878344272E-2</v>
      </c>
    </row>
    <row r="48" spans="1:18" x14ac:dyDescent="0.3">
      <c r="A48" s="13">
        <v>42617</v>
      </c>
      <c r="B48" s="14" t="s">
        <v>738</v>
      </c>
      <c r="C48" s="14" t="s">
        <v>736</v>
      </c>
      <c r="D48" s="14" t="s">
        <v>743</v>
      </c>
      <c r="E48" s="25">
        <v>1968</v>
      </c>
      <c r="I48" s="49" t="s">
        <v>1227</v>
      </c>
      <c r="J48" s="48">
        <v>76730</v>
      </c>
      <c r="K48" s="46">
        <v>4.2203492004822631E-2</v>
      </c>
      <c r="L48" s="46">
        <v>8.1543080315630068E-2</v>
      </c>
    </row>
    <row r="49" spans="1:12" x14ac:dyDescent="0.3">
      <c r="A49" s="13">
        <v>42387</v>
      </c>
      <c r="B49" s="14" t="s">
        <v>738</v>
      </c>
      <c r="C49" s="14" t="s">
        <v>736</v>
      </c>
      <c r="D49" s="14" t="s">
        <v>739</v>
      </c>
      <c r="E49" s="25">
        <v>1609</v>
      </c>
      <c r="I49" s="49" t="s">
        <v>1228</v>
      </c>
      <c r="J49" s="48">
        <v>71281</v>
      </c>
      <c r="K49" s="46">
        <v>3.9206400542105585E-2</v>
      </c>
      <c r="L49" s="46">
        <v>7.5752278222056907E-2</v>
      </c>
    </row>
    <row r="50" spans="1:12" x14ac:dyDescent="0.3">
      <c r="A50" s="13">
        <v>42835</v>
      </c>
      <c r="B50" s="14" t="s">
        <v>738</v>
      </c>
      <c r="C50" s="14" t="s">
        <v>736</v>
      </c>
      <c r="D50" s="14" t="s">
        <v>737</v>
      </c>
      <c r="E50" s="25">
        <v>4485</v>
      </c>
      <c r="I50" s="49" t="s">
        <v>1229</v>
      </c>
      <c r="J50" s="48">
        <v>82249</v>
      </c>
      <c r="K50" s="46">
        <v>4.5239085284825446E-2</v>
      </c>
      <c r="L50" s="46">
        <v>8.740827333351045E-2</v>
      </c>
    </row>
    <row r="51" spans="1:12" x14ac:dyDescent="0.3">
      <c r="A51" s="13">
        <v>42849</v>
      </c>
      <c r="B51" s="14" t="s">
        <v>738</v>
      </c>
      <c r="C51" s="14" t="s">
        <v>736</v>
      </c>
      <c r="D51" s="14" t="s">
        <v>739</v>
      </c>
      <c r="E51" s="25">
        <v>3263</v>
      </c>
      <c r="I51" s="49" t="s">
        <v>1230</v>
      </c>
      <c r="J51" s="48">
        <v>67493</v>
      </c>
      <c r="K51" s="46">
        <v>3.7122902200983889E-2</v>
      </c>
      <c r="L51" s="46">
        <v>7.1726666489545413E-2</v>
      </c>
    </row>
    <row r="52" spans="1:12" x14ac:dyDescent="0.3">
      <c r="A52" s="13">
        <v>42676</v>
      </c>
      <c r="B52" s="14" t="s">
        <v>738</v>
      </c>
      <c r="C52" s="14" t="s">
        <v>736</v>
      </c>
      <c r="D52" s="14" t="s">
        <v>743</v>
      </c>
      <c r="E52" s="25">
        <v>3621</v>
      </c>
      <c r="I52" s="49" t="s">
        <v>1231</v>
      </c>
      <c r="J52" s="48">
        <v>85923</v>
      </c>
      <c r="K52" s="46">
        <v>4.7259880666367451E-2</v>
      </c>
      <c r="L52" s="46">
        <v>9.1312734132150158E-2</v>
      </c>
    </row>
    <row r="53" spans="1:12" x14ac:dyDescent="0.3">
      <c r="A53" s="13">
        <v>43038</v>
      </c>
      <c r="B53" s="14" t="s">
        <v>746</v>
      </c>
      <c r="C53" s="14" t="s">
        <v>736</v>
      </c>
      <c r="D53" s="14" t="s">
        <v>739</v>
      </c>
      <c r="E53" s="25">
        <v>1471</v>
      </c>
      <c r="I53" s="47" t="s">
        <v>1232</v>
      </c>
      <c r="J53" s="48">
        <v>877121</v>
      </c>
      <c r="K53" s="46">
        <v>0.48243932113595761</v>
      </c>
      <c r="L53" s="46">
        <v>1</v>
      </c>
    </row>
    <row r="54" spans="1:12" x14ac:dyDescent="0.3">
      <c r="A54" s="13">
        <v>42610</v>
      </c>
      <c r="B54" s="14" t="s">
        <v>740</v>
      </c>
      <c r="C54" s="14" t="s">
        <v>741</v>
      </c>
      <c r="D54" s="14" t="s">
        <v>742</v>
      </c>
      <c r="E54" s="25">
        <v>373</v>
      </c>
      <c r="I54" s="49" t="s">
        <v>1220</v>
      </c>
      <c r="J54" s="48">
        <v>55944</v>
      </c>
      <c r="K54" s="46">
        <v>3.0770652374792089E-2</v>
      </c>
      <c r="L54" s="46">
        <v>6.3781393901183536E-2</v>
      </c>
    </row>
    <row r="55" spans="1:12" x14ac:dyDescent="0.3">
      <c r="A55" s="13">
        <v>42488</v>
      </c>
      <c r="B55" s="14" t="s">
        <v>738</v>
      </c>
      <c r="C55" s="14" t="s">
        <v>736</v>
      </c>
      <c r="D55" s="14" t="s">
        <v>739</v>
      </c>
      <c r="E55" s="25">
        <v>1474</v>
      </c>
      <c r="I55" s="49" t="s">
        <v>1221</v>
      </c>
      <c r="J55" s="48">
        <v>56616</v>
      </c>
      <c r="K55" s="46">
        <v>3.114026982073554E-2</v>
      </c>
      <c r="L55" s="46">
        <v>6.4547536770867414E-2</v>
      </c>
    </row>
    <row r="56" spans="1:12" x14ac:dyDescent="0.3">
      <c r="A56" s="13">
        <v>42928</v>
      </c>
      <c r="B56" s="14" t="s">
        <v>744</v>
      </c>
      <c r="C56" s="14" t="s">
        <v>745</v>
      </c>
      <c r="D56" s="14" t="s">
        <v>739</v>
      </c>
      <c r="E56" s="25">
        <v>2566</v>
      </c>
      <c r="I56" s="49" t="s">
        <v>1222</v>
      </c>
      <c r="J56" s="48">
        <v>93552</v>
      </c>
      <c r="K56" s="46">
        <v>5.1456028724555798E-2</v>
      </c>
      <c r="L56" s="46">
        <v>0.10665803235813531</v>
      </c>
    </row>
    <row r="57" spans="1:12" x14ac:dyDescent="0.3">
      <c r="A57" s="13">
        <v>42486</v>
      </c>
      <c r="B57" s="14" t="s">
        <v>746</v>
      </c>
      <c r="C57" s="14" t="s">
        <v>736</v>
      </c>
      <c r="D57" s="14" t="s">
        <v>743</v>
      </c>
      <c r="E57" s="25">
        <v>1120</v>
      </c>
      <c r="I57" s="49" t="s">
        <v>1223</v>
      </c>
      <c r="J57" s="48">
        <v>56759</v>
      </c>
      <c r="K57" s="46">
        <v>3.1218923533190765E-2</v>
      </c>
      <c r="L57" s="46">
        <v>6.4710570149386457E-2</v>
      </c>
    </row>
    <row r="58" spans="1:12" x14ac:dyDescent="0.3">
      <c r="A58" s="13">
        <v>42898</v>
      </c>
      <c r="B58" s="14" t="s">
        <v>744</v>
      </c>
      <c r="C58" s="14" t="s">
        <v>741</v>
      </c>
      <c r="D58" s="14" t="s">
        <v>739</v>
      </c>
      <c r="E58" s="25">
        <v>4091</v>
      </c>
      <c r="I58" s="49" t="s">
        <v>1224</v>
      </c>
      <c r="J58" s="48">
        <v>50119</v>
      </c>
      <c r="K58" s="46">
        <v>2.7566751150654312E-2</v>
      </c>
      <c r="L58" s="46">
        <v>5.7140348937033771E-2</v>
      </c>
    </row>
    <row r="59" spans="1:12" x14ac:dyDescent="0.3">
      <c r="A59" s="13">
        <v>42403</v>
      </c>
      <c r="B59" s="14" t="s">
        <v>746</v>
      </c>
      <c r="C59" s="14" t="s">
        <v>736</v>
      </c>
      <c r="D59" s="14" t="s">
        <v>742</v>
      </c>
      <c r="E59" s="25">
        <v>534</v>
      </c>
      <c r="I59" s="49" t="s">
        <v>1225</v>
      </c>
      <c r="J59" s="48">
        <v>80793</v>
      </c>
      <c r="K59" s="46">
        <v>4.4438247485281308E-2</v>
      </c>
      <c r="L59" s="46">
        <v>9.2111578676146166E-2</v>
      </c>
    </row>
    <row r="60" spans="1:12" x14ac:dyDescent="0.3">
      <c r="A60" s="13">
        <v>42487</v>
      </c>
      <c r="B60" s="14" t="s">
        <v>740</v>
      </c>
      <c r="C60" s="14" t="s">
        <v>741</v>
      </c>
      <c r="D60" s="14" t="s">
        <v>739</v>
      </c>
      <c r="E60" s="25">
        <v>1778</v>
      </c>
      <c r="I60" s="49" t="s">
        <v>1226</v>
      </c>
      <c r="J60" s="48">
        <v>78585</v>
      </c>
      <c r="K60" s="46">
        <v>4.3223790162895688E-2</v>
      </c>
      <c r="L60" s="46">
        <v>8.9594252104327685E-2</v>
      </c>
    </row>
    <row r="61" spans="1:12" x14ac:dyDescent="0.3">
      <c r="A61" s="13">
        <v>42663</v>
      </c>
      <c r="B61" s="14" t="s">
        <v>744</v>
      </c>
      <c r="C61" s="14" t="s">
        <v>745</v>
      </c>
      <c r="D61" s="14" t="s">
        <v>743</v>
      </c>
      <c r="E61" s="25">
        <v>3656</v>
      </c>
      <c r="I61" s="49" t="s">
        <v>1227</v>
      </c>
      <c r="J61" s="48">
        <v>113049</v>
      </c>
      <c r="K61" s="46">
        <v>6.2179884890566833E-2</v>
      </c>
      <c r="L61" s="46">
        <v>0.12888643642097269</v>
      </c>
    </row>
    <row r="62" spans="1:12" x14ac:dyDescent="0.3">
      <c r="A62" s="13">
        <v>42618</v>
      </c>
      <c r="B62" s="14" t="s">
        <v>744</v>
      </c>
      <c r="C62" s="14" t="s">
        <v>745</v>
      </c>
      <c r="D62" s="14" t="s">
        <v>739</v>
      </c>
      <c r="E62" s="25">
        <v>2941</v>
      </c>
      <c r="I62" s="49" t="s">
        <v>1228</v>
      </c>
      <c r="J62" s="48">
        <v>66755</v>
      </c>
      <c r="K62" s="46">
        <v>3.6716983041599566E-2</v>
      </c>
      <c r="L62" s="46">
        <v>7.6106945335934262E-2</v>
      </c>
    </row>
    <row r="63" spans="1:12" x14ac:dyDescent="0.3">
      <c r="A63" s="13">
        <v>42639</v>
      </c>
      <c r="B63" s="14" t="s">
        <v>735</v>
      </c>
      <c r="C63" s="14" t="s">
        <v>741</v>
      </c>
      <c r="D63" s="14" t="s">
        <v>739</v>
      </c>
      <c r="E63" s="25">
        <v>1980</v>
      </c>
      <c r="I63" s="49" t="s">
        <v>1229</v>
      </c>
      <c r="J63" s="48">
        <v>69893</v>
      </c>
      <c r="K63" s="46">
        <v>3.8442964507924775E-2</v>
      </c>
      <c r="L63" s="46">
        <v>7.9684558914904557E-2</v>
      </c>
    </row>
    <row r="64" spans="1:12" x14ac:dyDescent="0.3">
      <c r="A64" s="13">
        <v>42980</v>
      </c>
      <c r="B64" s="14" t="s">
        <v>735</v>
      </c>
      <c r="C64" s="14" t="s">
        <v>736</v>
      </c>
      <c r="D64" s="14" t="s">
        <v>742</v>
      </c>
      <c r="E64" s="25">
        <v>4464</v>
      </c>
      <c r="I64" s="49" t="s">
        <v>1230</v>
      </c>
      <c r="J64" s="48">
        <v>48195</v>
      </c>
      <c r="K64" s="46">
        <v>2.6508501201256699E-2</v>
      </c>
      <c r="L64" s="46">
        <v>5.4946808935141214E-2</v>
      </c>
    </row>
    <row r="65" spans="1:12" x14ac:dyDescent="0.3">
      <c r="A65" s="13">
        <v>42614</v>
      </c>
      <c r="B65" s="14" t="s">
        <v>738</v>
      </c>
      <c r="C65" s="14" t="s">
        <v>736</v>
      </c>
      <c r="D65" s="14" t="s">
        <v>743</v>
      </c>
      <c r="E65" s="25">
        <v>339</v>
      </c>
      <c r="I65" s="49" t="s">
        <v>1231</v>
      </c>
      <c r="J65" s="48">
        <v>106861</v>
      </c>
      <c r="K65" s="46">
        <v>5.8776324242504244E-2</v>
      </c>
      <c r="L65" s="46">
        <v>0.12183153749596692</v>
      </c>
    </row>
    <row r="66" spans="1:12" x14ac:dyDescent="0.3">
      <c r="A66" s="13">
        <v>42412</v>
      </c>
      <c r="B66" s="14" t="s">
        <v>735</v>
      </c>
      <c r="C66" s="14" t="s">
        <v>736</v>
      </c>
      <c r="D66" s="14" t="s">
        <v>737</v>
      </c>
      <c r="E66" s="25">
        <v>4294</v>
      </c>
      <c r="I66" s="47" t="s">
        <v>1218</v>
      </c>
      <c r="J66" s="48">
        <v>1818096</v>
      </c>
      <c r="K66" s="46">
        <v>1</v>
      </c>
      <c r="L66" s="46"/>
    </row>
    <row r="67" spans="1:12" x14ac:dyDescent="0.3">
      <c r="A67" s="13">
        <v>42865</v>
      </c>
      <c r="B67" s="14" t="s">
        <v>740</v>
      </c>
      <c r="C67" s="14" t="s">
        <v>741</v>
      </c>
      <c r="D67" s="14" t="s">
        <v>742</v>
      </c>
      <c r="E67" s="25">
        <v>2480</v>
      </c>
    </row>
    <row r="68" spans="1:12" x14ac:dyDescent="0.3">
      <c r="A68" s="13">
        <v>42623</v>
      </c>
      <c r="B68" s="14" t="s">
        <v>738</v>
      </c>
      <c r="C68" s="14" t="s">
        <v>736</v>
      </c>
      <c r="D68" s="14" t="s">
        <v>743</v>
      </c>
      <c r="E68" s="25">
        <v>366</v>
      </c>
    </row>
    <row r="69" spans="1:12" x14ac:dyDescent="0.3">
      <c r="A69" s="13">
        <v>42697</v>
      </c>
      <c r="B69" s="14" t="s">
        <v>738</v>
      </c>
      <c r="C69" s="14" t="s">
        <v>736</v>
      </c>
      <c r="D69" s="14" t="s">
        <v>742</v>
      </c>
      <c r="E69" s="25">
        <v>2635</v>
      </c>
    </row>
    <row r="70" spans="1:12" x14ac:dyDescent="0.3">
      <c r="A70" s="13">
        <v>42808</v>
      </c>
      <c r="B70" s="14" t="s">
        <v>744</v>
      </c>
      <c r="C70" s="14" t="s">
        <v>741</v>
      </c>
      <c r="D70" s="14" t="s">
        <v>743</v>
      </c>
      <c r="E70" s="25">
        <v>2091</v>
      </c>
    </row>
    <row r="71" spans="1:12" x14ac:dyDescent="0.3">
      <c r="A71" s="13">
        <v>42962</v>
      </c>
      <c r="B71" s="14" t="s">
        <v>744</v>
      </c>
      <c r="C71" s="14" t="s">
        <v>745</v>
      </c>
      <c r="D71" s="14" t="s">
        <v>739</v>
      </c>
      <c r="E71" s="25">
        <v>4768</v>
      </c>
    </row>
    <row r="72" spans="1:12" x14ac:dyDescent="0.3">
      <c r="A72" s="13">
        <v>42827</v>
      </c>
      <c r="B72" s="14" t="s">
        <v>738</v>
      </c>
      <c r="C72" s="14" t="s">
        <v>736</v>
      </c>
      <c r="D72" s="14" t="s">
        <v>742</v>
      </c>
      <c r="E72" s="25">
        <v>390</v>
      </c>
    </row>
    <row r="73" spans="1:12" x14ac:dyDescent="0.3">
      <c r="A73" s="13">
        <v>42445</v>
      </c>
      <c r="B73" s="14" t="s">
        <v>746</v>
      </c>
      <c r="C73" s="14" t="s">
        <v>736</v>
      </c>
      <c r="D73" s="14" t="s">
        <v>739</v>
      </c>
      <c r="E73" s="25">
        <v>4146</v>
      </c>
    </row>
    <row r="74" spans="1:12" x14ac:dyDescent="0.3">
      <c r="A74" s="13">
        <v>43033</v>
      </c>
      <c r="B74" s="14" t="s">
        <v>738</v>
      </c>
      <c r="C74" s="14" t="s">
        <v>736</v>
      </c>
      <c r="D74" s="14" t="s">
        <v>743</v>
      </c>
      <c r="E74" s="25">
        <v>963</v>
      </c>
    </row>
    <row r="75" spans="1:12" x14ac:dyDescent="0.3">
      <c r="A75" s="13">
        <v>42960</v>
      </c>
      <c r="B75" s="14" t="s">
        <v>744</v>
      </c>
      <c r="C75" s="14" t="s">
        <v>741</v>
      </c>
      <c r="D75" s="14" t="s">
        <v>739</v>
      </c>
      <c r="E75" s="25">
        <v>3492</v>
      </c>
    </row>
    <row r="76" spans="1:12" x14ac:dyDescent="0.3">
      <c r="A76" s="13">
        <v>42825</v>
      </c>
      <c r="B76" s="14" t="s">
        <v>740</v>
      </c>
      <c r="C76" s="14" t="s">
        <v>741</v>
      </c>
      <c r="D76" s="14" t="s">
        <v>739</v>
      </c>
      <c r="E76" s="25">
        <v>1352</v>
      </c>
    </row>
    <row r="77" spans="1:12" x14ac:dyDescent="0.3">
      <c r="A77" s="13">
        <v>42979</v>
      </c>
      <c r="B77" s="14" t="s">
        <v>738</v>
      </c>
      <c r="C77" s="14" t="s">
        <v>736</v>
      </c>
      <c r="D77" s="14" t="s">
        <v>737</v>
      </c>
      <c r="E77" s="25">
        <v>785</v>
      </c>
    </row>
    <row r="78" spans="1:12" x14ac:dyDescent="0.3">
      <c r="A78" s="13">
        <v>42699</v>
      </c>
      <c r="B78" s="14" t="s">
        <v>740</v>
      </c>
      <c r="C78" s="14" t="s">
        <v>741</v>
      </c>
      <c r="D78" s="14" t="s">
        <v>739</v>
      </c>
      <c r="E78" s="25">
        <v>4326</v>
      </c>
    </row>
    <row r="79" spans="1:12" x14ac:dyDescent="0.3">
      <c r="A79" s="13">
        <v>42605</v>
      </c>
      <c r="B79" s="14" t="s">
        <v>744</v>
      </c>
      <c r="C79" s="14" t="s">
        <v>741</v>
      </c>
      <c r="D79" s="14" t="s">
        <v>737</v>
      </c>
      <c r="E79" s="25">
        <v>1212</v>
      </c>
    </row>
    <row r="80" spans="1:12" x14ac:dyDescent="0.3">
      <c r="A80" s="13">
        <v>42883</v>
      </c>
      <c r="B80" s="14" t="s">
        <v>738</v>
      </c>
      <c r="C80" s="14" t="s">
        <v>736</v>
      </c>
      <c r="D80" s="14" t="s">
        <v>743</v>
      </c>
      <c r="E80" s="25">
        <v>1938</v>
      </c>
    </row>
    <row r="81" spans="1:5" x14ac:dyDescent="0.3">
      <c r="A81" s="13">
        <v>42795</v>
      </c>
      <c r="B81" s="14" t="s">
        <v>744</v>
      </c>
      <c r="C81" s="14" t="s">
        <v>741</v>
      </c>
      <c r="D81" s="14" t="s">
        <v>737</v>
      </c>
      <c r="E81" s="25">
        <v>1451</v>
      </c>
    </row>
    <row r="82" spans="1:5" x14ac:dyDescent="0.3">
      <c r="A82" s="13">
        <v>42715</v>
      </c>
      <c r="B82" s="14" t="s">
        <v>738</v>
      </c>
      <c r="C82" s="14" t="s">
        <v>736</v>
      </c>
      <c r="D82" s="14" t="s">
        <v>742</v>
      </c>
      <c r="E82" s="25">
        <v>1528</v>
      </c>
    </row>
    <row r="83" spans="1:5" x14ac:dyDescent="0.3">
      <c r="A83" s="13">
        <v>42817</v>
      </c>
      <c r="B83" s="14" t="s">
        <v>735</v>
      </c>
      <c r="C83" s="14" t="s">
        <v>736</v>
      </c>
      <c r="D83" s="14" t="s">
        <v>743</v>
      </c>
      <c r="E83" s="25">
        <v>2312</v>
      </c>
    </row>
    <row r="84" spans="1:5" x14ac:dyDescent="0.3">
      <c r="A84" s="13">
        <v>42658</v>
      </c>
      <c r="B84" s="14" t="s">
        <v>738</v>
      </c>
      <c r="C84" s="14" t="s">
        <v>736</v>
      </c>
      <c r="D84" s="14" t="s">
        <v>737</v>
      </c>
      <c r="E84" s="25">
        <v>3975</v>
      </c>
    </row>
    <row r="85" spans="1:5" x14ac:dyDescent="0.3">
      <c r="A85" s="13">
        <v>42595</v>
      </c>
      <c r="B85" s="14" t="s">
        <v>740</v>
      </c>
      <c r="C85" s="14" t="s">
        <v>741</v>
      </c>
      <c r="D85" s="14" t="s">
        <v>737</v>
      </c>
      <c r="E85" s="25">
        <v>1260</v>
      </c>
    </row>
    <row r="86" spans="1:5" x14ac:dyDescent="0.3">
      <c r="A86" s="13">
        <v>42512</v>
      </c>
      <c r="B86" s="14" t="s">
        <v>746</v>
      </c>
      <c r="C86" s="14" t="s">
        <v>736</v>
      </c>
      <c r="D86" s="14" t="s">
        <v>739</v>
      </c>
      <c r="E86" s="25">
        <v>3771</v>
      </c>
    </row>
    <row r="87" spans="1:5" x14ac:dyDescent="0.3">
      <c r="A87" s="13">
        <v>43081</v>
      </c>
      <c r="B87" s="14" t="s">
        <v>738</v>
      </c>
      <c r="C87" s="14" t="s">
        <v>736</v>
      </c>
      <c r="D87" s="14" t="s">
        <v>743</v>
      </c>
      <c r="E87" s="25">
        <v>2174</v>
      </c>
    </row>
    <row r="88" spans="1:5" x14ac:dyDescent="0.3">
      <c r="A88" s="13">
        <v>42496</v>
      </c>
      <c r="B88" s="14" t="s">
        <v>740</v>
      </c>
      <c r="C88" s="14" t="s">
        <v>741</v>
      </c>
      <c r="D88" s="14" t="s">
        <v>739</v>
      </c>
      <c r="E88" s="25">
        <v>940</v>
      </c>
    </row>
    <row r="89" spans="1:5" x14ac:dyDescent="0.3">
      <c r="A89" s="13">
        <v>42596</v>
      </c>
      <c r="B89" s="14" t="s">
        <v>746</v>
      </c>
      <c r="C89" s="14" t="s">
        <v>736</v>
      </c>
      <c r="D89" s="14" t="s">
        <v>739</v>
      </c>
      <c r="E89" s="25">
        <v>1925</v>
      </c>
    </row>
    <row r="90" spans="1:5" x14ac:dyDescent="0.3">
      <c r="A90" s="13">
        <v>42865</v>
      </c>
      <c r="B90" s="14" t="s">
        <v>738</v>
      </c>
      <c r="C90" s="14" t="s">
        <v>736</v>
      </c>
      <c r="D90" s="14" t="s">
        <v>743</v>
      </c>
      <c r="E90" s="25">
        <v>1334</v>
      </c>
    </row>
    <row r="91" spans="1:5" x14ac:dyDescent="0.3">
      <c r="A91" s="13">
        <v>42645</v>
      </c>
      <c r="B91" s="14" t="s">
        <v>747</v>
      </c>
      <c r="C91" s="14" t="s">
        <v>741</v>
      </c>
      <c r="D91" s="14" t="s">
        <v>737</v>
      </c>
      <c r="E91" s="25">
        <v>4869</v>
      </c>
    </row>
    <row r="92" spans="1:5" x14ac:dyDescent="0.3">
      <c r="A92" s="13">
        <v>42953</v>
      </c>
      <c r="B92" s="14" t="s">
        <v>738</v>
      </c>
      <c r="C92" s="14" t="s">
        <v>736</v>
      </c>
      <c r="D92" s="14" t="s">
        <v>743</v>
      </c>
      <c r="E92" s="25">
        <v>3085</v>
      </c>
    </row>
    <row r="93" spans="1:5" x14ac:dyDescent="0.3">
      <c r="A93" s="13">
        <v>42508</v>
      </c>
      <c r="B93" s="14" t="s">
        <v>740</v>
      </c>
      <c r="C93" s="14" t="s">
        <v>741</v>
      </c>
      <c r="D93" s="14" t="s">
        <v>742</v>
      </c>
      <c r="E93" s="25">
        <v>261</v>
      </c>
    </row>
    <row r="94" spans="1:5" x14ac:dyDescent="0.3">
      <c r="A94" s="13">
        <v>42915</v>
      </c>
      <c r="B94" s="14" t="s">
        <v>746</v>
      </c>
      <c r="C94" s="14" t="s">
        <v>736</v>
      </c>
      <c r="D94" s="14" t="s">
        <v>743</v>
      </c>
      <c r="E94" s="25">
        <v>1516</v>
      </c>
    </row>
    <row r="95" spans="1:5" x14ac:dyDescent="0.3">
      <c r="A95" s="13">
        <v>42651</v>
      </c>
      <c r="B95" s="14" t="s">
        <v>744</v>
      </c>
      <c r="C95" s="14" t="s">
        <v>745</v>
      </c>
      <c r="D95" s="14" t="s">
        <v>743</v>
      </c>
      <c r="E95" s="25">
        <v>1051</v>
      </c>
    </row>
    <row r="96" spans="1:5" x14ac:dyDescent="0.3">
      <c r="A96" s="13">
        <v>42410</v>
      </c>
      <c r="B96" s="14" t="s">
        <v>744</v>
      </c>
      <c r="C96" s="14" t="s">
        <v>745</v>
      </c>
      <c r="D96" s="14" t="s">
        <v>743</v>
      </c>
      <c r="E96" s="25">
        <v>585</v>
      </c>
    </row>
    <row r="97" spans="1:5" x14ac:dyDescent="0.3">
      <c r="A97" s="13">
        <v>43021</v>
      </c>
      <c r="B97" s="14" t="s">
        <v>735</v>
      </c>
      <c r="C97" s="14" t="s">
        <v>736</v>
      </c>
      <c r="D97" s="14" t="s">
        <v>742</v>
      </c>
      <c r="E97" s="25">
        <v>4124</v>
      </c>
    </row>
    <row r="98" spans="1:5" x14ac:dyDescent="0.3">
      <c r="A98" s="13">
        <v>42439</v>
      </c>
      <c r="B98" s="14" t="s">
        <v>738</v>
      </c>
      <c r="C98" s="14" t="s">
        <v>736</v>
      </c>
      <c r="D98" s="14" t="s">
        <v>737</v>
      </c>
      <c r="E98" s="25">
        <v>1733</v>
      </c>
    </row>
    <row r="99" spans="1:5" x14ac:dyDescent="0.3">
      <c r="A99" s="13">
        <v>42689</v>
      </c>
      <c r="B99" s="14" t="s">
        <v>746</v>
      </c>
      <c r="C99" s="14" t="s">
        <v>736</v>
      </c>
      <c r="D99" s="14" t="s">
        <v>739</v>
      </c>
      <c r="E99" s="25">
        <v>900</v>
      </c>
    </row>
    <row r="100" spans="1:5" x14ac:dyDescent="0.3">
      <c r="A100" s="13">
        <v>42799</v>
      </c>
      <c r="B100" s="14" t="s">
        <v>744</v>
      </c>
      <c r="C100" s="14" t="s">
        <v>741</v>
      </c>
      <c r="D100" s="14" t="s">
        <v>742</v>
      </c>
      <c r="E100" s="25">
        <v>1347</v>
      </c>
    </row>
    <row r="101" spans="1:5" x14ac:dyDescent="0.3">
      <c r="A101" s="13">
        <v>42707</v>
      </c>
      <c r="B101" s="14" t="s">
        <v>738</v>
      </c>
      <c r="C101" s="14" t="s">
        <v>736</v>
      </c>
      <c r="D101" s="14" t="s">
        <v>739</v>
      </c>
      <c r="E101" s="25">
        <v>3894</v>
      </c>
    </row>
    <row r="102" spans="1:5" x14ac:dyDescent="0.3">
      <c r="A102" s="13">
        <v>42421</v>
      </c>
      <c r="B102" s="14" t="s">
        <v>746</v>
      </c>
      <c r="C102" s="14" t="s">
        <v>736</v>
      </c>
      <c r="D102" s="14" t="s">
        <v>739</v>
      </c>
      <c r="E102" s="25">
        <v>4507</v>
      </c>
    </row>
    <row r="103" spans="1:5" x14ac:dyDescent="0.3">
      <c r="A103" s="13">
        <v>42406</v>
      </c>
      <c r="B103" s="14" t="s">
        <v>738</v>
      </c>
      <c r="C103" s="14" t="s">
        <v>736</v>
      </c>
      <c r="D103" s="14" t="s">
        <v>743</v>
      </c>
      <c r="E103" s="25">
        <v>3796</v>
      </c>
    </row>
    <row r="104" spans="1:5" x14ac:dyDescent="0.3">
      <c r="A104" s="13">
        <v>42998</v>
      </c>
      <c r="B104" s="14" t="s">
        <v>738</v>
      </c>
      <c r="C104" s="14" t="s">
        <v>736</v>
      </c>
      <c r="D104" s="14" t="s">
        <v>742</v>
      </c>
      <c r="E104" s="25">
        <v>1458</v>
      </c>
    </row>
    <row r="105" spans="1:5" x14ac:dyDescent="0.3">
      <c r="A105" s="13">
        <v>43058</v>
      </c>
      <c r="B105" s="14" t="s">
        <v>740</v>
      </c>
      <c r="C105" s="14" t="s">
        <v>741</v>
      </c>
      <c r="D105" s="14" t="s">
        <v>739</v>
      </c>
      <c r="E105" s="25">
        <v>1967</v>
      </c>
    </row>
    <row r="106" spans="1:5" x14ac:dyDescent="0.3">
      <c r="A106" s="13">
        <v>42604</v>
      </c>
      <c r="B106" s="14" t="s">
        <v>746</v>
      </c>
      <c r="C106" s="14" t="s">
        <v>736</v>
      </c>
      <c r="D106" s="14" t="s">
        <v>737</v>
      </c>
      <c r="E106" s="25">
        <v>2225</v>
      </c>
    </row>
    <row r="107" spans="1:5" x14ac:dyDescent="0.3">
      <c r="A107" s="13">
        <v>42875</v>
      </c>
      <c r="B107" s="14" t="s">
        <v>744</v>
      </c>
      <c r="C107" s="14" t="s">
        <v>741</v>
      </c>
      <c r="D107" s="14" t="s">
        <v>743</v>
      </c>
      <c r="E107" s="25">
        <v>2507</v>
      </c>
    </row>
    <row r="108" spans="1:5" x14ac:dyDescent="0.3">
      <c r="A108" s="13">
        <v>43070</v>
      </c>
      <c r="B108" s="14" t="s">
        <v>740</v>
      </c>
      <c r="C108" s="14" t="s">
        <v>741</v>
      </c>
      <c r="D108" s="14" t="s">
        <v>739</v>
      </c>
      <c r="E108" s="25">
        <v>886</v>
      </c>
    </row>
    <row r="109" spans="1:5" x14ac:dyDescent="0.3">
      <c r="A109" s="13">
        <v>43077</v>
      </c>
      <c r="B109" s="14" t="s">
        <v>735</v>
      </c>
      <c r="C109" s="14" t="s">
        <v>741</v>
      </c>
      <c r="D109" s="14" t="s">
        <v>742</v>
      </c>
      <c r="E109" s="25">
        <v>3373</v>
      </c>
    </row>
    <row r="110" spans="1:5" x14ac:dyDescent="0.3">
      <c r="A110" s="13">
        <v>42589</v>
      </c>
      <c r="B110" s="14" t="s">
        <v>747</v>
      </c>
      <c r="C110" s="14" t="s">
        <v>741</v>
      </c>
      <c r="D110" s="14" t="s">
        <v>742</v>
      </c>
      <c r="E110" s="25">
        <v>2877</v>
      </c>
    </row>
    <row r="111" spans="1:5" x14ac:dyDescent="0.3">
      <c r="A111" s="13">
        <v>43002</v>
      </c>
      <c r="B111" s="14" t="s">
        <v>744</v>
      </c>
      <c r="C111" s="14" t="s">
        <v>745</v>
      </c>
      <c r="D111" s="14" t="s">
        <v>737</v>
      </c>
      <c r="E111" s="25">
        <v>1276</v>
      </c>
    </row>
    <row r="112" spans="1:5" x14ac:dyDescent="0.3">
      <c r="A112" s="13">
        <v>42876</v>
      </c>
      <c r="B112" s="14" t="s">
        <v>746</v>
      </c>
      <c r="C112" s="14" t="s">
        <v>736</v>
      </c>
      <c r="D112" s="14" t="s">
        <v>737</v>
      </c>
      <c r="E112" s="25">
        <v>3813</v>
      </c>
    </row>
    <row r="113" spans="1:5" x14ac:dyDescent="0.3">
      <c r="A113" s="13">
        <v>42412</v>
      </c>
      <c r="B113" s="14" t="s">
        <v>744</v>
      </c>
      <c r="C113" s="14" t="s">
        <v>745</v>
      </c>
      <c r="D113" s="14" t="s">
        <v>742</v>
      </c>
      <c r="E113" s="25">
        <v>3755</v>
      </c>
    </row>
    <row r="114" spans="1:5" x14ac:dyDescent="0.3">
      <c r="A114" s="13">
        <v>42566</v>
      </c>
      <c r="B114" s="14" t="s">
        <v>744</v>
      </c>
      <c r="C114" s="14" t="s">
        <v>741</v>
      </c>
      <c r="D114" s="14" t="s">
        <v>743</v>
      </c>
      <c r="E114" s="25">
        <v>3539</v>
      </c>
    </row>
    <row r="115" spans="1:5" x14ac:dyDescent="0.3">
      <c r="A115" s="13">
        <v>42920</v>
      </c>
      <c r="B115" s="14" t="s">
        <v>744</v>
      </c>
      <c r="C115" s="14" t="s">
        <v>741</v>
      </c>
      <c r="D115" s="14" t="s">
        <v>742</v>
      </c>
      <c r="E115" s="25">
        <v>4028</v>
      </c>
    </row>
    <row r="116" spans="1:5" x14ac:dyDescent="0.3">
      <c r="A116" s="13">
        <v>43022</v>
      </c>
      <c r="B116" s="14" t="s">
        <v>744</v>
      </c>
      <c r="C116" s="14" t="s">
        <v>741</v>
      </c>
      <c r="D116" s="14" t="s">
        <v>739</v>
      </c>
      <c r="E116" s="25">
        <v>1032</v>
      </c>
    </row>
    <row r="117" spans="1:5" x14ac:dyDescent="0.3">
      <c r="A117" s="13">
        <v>42823</v>
      </c>
      <c r="B117" s="14" t="s">
        <v>744</v>
      </c>
      <c r="C117" s="14" t="s">
        <v>745</v>
      </c>
      <c r="D117" s="14" t="s">
        <v>743</v>
      </c>
      <c r="E117" s="25">
        <v>1314</v>
      </c>
    </row>
    <row r="118" spans="1:5" x14ac:dyDescent="0.3">
      <c r="A118" s="13">
        <v>42872</v>
      </c>
      <c r="B118" s="14" t="s">
        <v>744</v>
      </c>
      <c r="C118" s="14" t="s">
        <v>741</v>
      </c>
      <c r="D118" s="14" t="s">
        <v>743</v>
      </c>
      <c r="E118" s="25">
        <v>917</v>
      </c>
    </row>
    <row r="119" spans="1:5" x14ac:dyDescent="0.3">
      <c r="A119" s="13">
        <v>42688</v>
      </c>
      <c r="B119" s="14" t="s">
        <v>740</v>
      </c>
      <c r="C119" s="14" t="s">
        <v>741</v>
      </c>
      <c r="D119" s="14" t="s">
        <v>743</v>
      </c>
      <c r="E119" s="25">
        <v>4177</v>
      </c>
    </row>
    <row r="120" spans="1:5" x14ac:dyDescent="0.3">
      <c r="A120" s="13">
        <v>42852</v>
      </c>
      <c r="B120" s="14" t="s">
        <v>740</v>
      </c>
      <c r="C120" s="14" t="s">
        <v>741</v>
      </c>
      <c r="D120" s="14" t="s">
        <v>742</v>
      </c>
      <c r="E120" s="25">
        <v>2428</v>
      </c>
    </row>
    <row r="121" spans="1:5" x14ac:dyDescent="0.3">
      <c r="A121" s="13">
        <v>42856</v>
      </c>
      <c r="B121" s="14" t="s">
        <v>744</v>
      </c>
      <c r="C121" s="14" t="s">
        <v>741</v>
      </c>
      <c r="D121" s="14" t="s">
        <v>743</v>
      </c>
      <c r="E121" s="25">
        <v>3844</v>
      </c>
    </row>
    <row r="122" spans="1:5" x14ac:dyDescent="0.3">
      <c r="A122" s="13">
        <v>42821</v>
      </c>
      <c r="B122" s="14" t="s">
        <v>744</v>
      </c>
      <c r="C122" s="14" t="s">
        <v>741</v>
      </c>
      <c r="D122" s="14" t="s">
        <v>737</v>
      </c>
      <c r="E122" s="25">
        <v>4868</v>
      </c>
    </row>
    <row r="123" spans="1:5" x14ac:dyDescent="0.3">
      <c r="A123" s="13">
        <v>42478</v>
      </c>
      <c r="B123" s="14" t="s">
        <v>738</v>
      </c>
      <c r="C123" s="14" t="s">
        <v>736</v>
      </c>
      <c r="D123" s="14" t="s">
        <v>739</v>
      </c>
      <c r="E123" s="25">
        <v>4124</v>
      </c>
    </row>
    <row r="124" spans="1:5" x14ac:dyDescent="0.3">
      <c r="A124" s="13">
        <v>42745</v>
      </c>
      <c r="B124" s="14" t="s">
        <v>735</v>
      </c>
      <c r="C124" s="14" t="s">
        <v>741</v>
      </c>
      <c r="D124" s="14" t="s">
        <v>742</v>
      </c>
      <c r="E124" s="25">
        <v>2835</v>
      </c>
    </row>
    <row r="125" spans="1:5" x14ac:dyDescent="0.3">
      <c r="A125" s="13">
        <v>42589</v>
      </c>
      <c r="B125" s="14" t="s">
        <v>740</v>
      </c>
      <c r="C125" s="14" t="s">
        <v>741</v>
      </c>
      <c r="D125" s="14" t="s">
        <v>742</v>
      </c>
      <c r="E125" s="25">
        <v>3186</v>
      </c>
    </row>
    <row r="126" spans="1:5" x14ac:dyDescent="0.3">
      <c r="A126" s="13">
        <v>42480</v>
      </c>
      <c r="B126" s="14" t="s">
        <v>746</v>
      </c>
      <c r="C126" s="14" t="s">
        <v>736</v>
      </c>
      <c r="D126" s="14" t="s">
        <v>743</v>
      </c>
      <c r="E126" s="25">
        <v>1166</v>
      </c>
    </row>
    <row r="127" spans="1:5" x14ac:dyDescent="0.3">
      <c r="A127" s="13">
        <v>42372</v>
      </c>
      <c r="B127" s="14" t="s">
        <v>746</v>
      </c>
      <c r="C127" s="14" t="s">
        <v>736</v>
      </c>
      <c r="D127" s="14" t="s">
        <v>739</v>
      </c>
      <c r="E127" s="25">
        <v>1440</v>
      </c>
    </row>
    <row r="128" spans="1:5" x14ac:dyDescent="0.3">
      <c r="A128" s="13">
        <v>42444</v>
      </c>
      <c r="B128" s="14" t="s">
        <v>738</v>
      </c>
      <c r="C128" s="14" t="s">
        <v>736</v>
      </c>
      <c r="D128" s="14" t="s">
        <v>743</v>
      </c>
      <c r="E128" s="25">
        <v>3891</v>
      </c>
    </row>
    <row r="129" spans="1:5" x14ac:dyDescent="0.3">
      <c r="A129" s="13">
        <v>42745</v>
      </c>
      <c r="B129" s="14" t="s">
        <v>744</v>
      </c>
      <c r="C129" s="14" t="s">
        <v>741</v>
      </c>
      <c r="D129" s="14" t="s">
        <v>743</v>
      </c>
      <c r="E129" s="25">
        <v>4559</v>
      </c>
    </row>
    <row r="130" spans="1:5" x14ac:dyDescent="0.3">
      <c r="A130" s="13">
        <v>43083</v>
      </c>
      <c r="B130" s="14" t="s">
        <v>744</v>
      </c>
      <c r="C130" s="14" t="s">
        <v>745</v>
      </c>
      <c r="D130" s="14" t="s">
        <v>743</v>
      </c>
      <c r="E130" s="25">
        <v>1607</v>
      </c>
    </row>
    <row r="131" spans="1:5" x14ac:dyDescent="0.3">
      <c r="A131" s="13">
        <v>42947</v>
      </c>
      <c r="B131" s="14" t="s">
        <v>740</v>
      </c>
      <c r="C131" s="14" t="s">
        <v>741</v>
      </c>
      <c r="D131" s="14" t="s">
        <v>739</v>
      </c>
      <c r="E131" s="25">
        <v>411</v>
      </c>
    </row>
    <row r="132" spans="1:5" x14ac:dyDescent="0.3">
      <c r="A132" s="13">
        <v>43012</v>
      </c>
      <c r="B132" s="14" t="s">
        <v>738</v>
      </c>
      <c r="C132" s="14" t="s">
        <v>736</v>
      </c>
      <c r="D132" s="14" t="s">
        <v>743</v>
      </c>
      <c r="E132" s="25">
        <v>1397</v>
      </c>
    </row>
    <row r="133" spans="1:5" x14ac:dyDescent="0.3">
      <c r="A133" s="13">
        <v>42376</v>
      </c>
      <c r="B133" s="14" t="s">
        <v>738</v>
      </c>
      <c r="C133" s="14" t="s">
        <v>736</v>
      </c>
      <c r="D133" s="14" t="s">
        <v>742</v>
      </c>
      <c r="E133" s="25">
        <v>1338</v>
      </c>
    </row>
    <row r="134" spans="1:5" x14ac:dyDescent="0.3">
      <c r="A134" s="13">
        <v>42688</v>
      </c>
      <c r="B134" s="14" t="s">
        <v>740</v>
      </c>
      <c r="C134" s="14" t="s">
        <v>741</v>
      </c>
      <c r="D134" s="14" t="s">
        <v>743</v>
      </c>
      <c r="E134" s="25">
        <v>3556</v>
      </c>
    </row>
    <row r="135" spans="1:5" x14ac:dyDescent="0.3">
      <c r="A135" s="13">
        <v>42730</v>
      </c>
      <c r="B135" s="14" t="s">
        <v>738</v>
      </c>
      <c r="C135" s="14" t="s">
        <v>736</v>
      </c>
      <c r="D135" s="14" t="s">
        <v>742</v>
      </c>
      <c r="E135" s="25">
        <v>1328</v>
      </c>
    </row>
    <row r="136" spans="1:5" x14ac:dyDescent="0.3">
      <c r="A136" s="13">
        <v>42532</v>
      </c>
      <c r="B136" s="14" t="s">
        <v>738</v>
      </c>
      <c r="C136" s="14" t="s">
        <v>736</v>
      </c>
      <c r="D136" s="14" t="s">
        <v>737</v>
      </c>
      <c r="E136" s="25">
        <v>764</v>
      </c>
    </row>
    <row r="137" spans="1:5" x14ac:dyDescent="0.3">
      <c r="A137" s="13">
        <v>42517</v>
      </c>
      <c r="B137" s="14" t="s">
        <v>744</v>
      </c>
      <c r="C137" s="14" t="s">
        <v>741</v>
      </c>
      <c r="D137" s="14" t="s">
        <v>742</v>
      </c>
      <c r="E137" s="25">
        <v>2071</v>
      </c>
    </row>
    <row r="138" spans="1:5" x14ac:dyDescent="0.3">
      <c r="A138" s="13">
        <v>43073</v>
      </c>
      <c r="B138" s="14" t="s">
        <v>740</v>
      </c>
      <c r="C138" s="14" t="s">
        <v>741</v>
      </c>
      <c r="D138" s="14" t="s">
        <v>739</v>
      </c>
      <c r="E138" s="25">
        <v>4817</v>
      </c>
    </row>
    <row r="139" spans="1:5" x14ac:dyDescent="0.3">
      <c r="A139" s="13">
        <v>42396</v>
      </c>
      <c r="B139" s="14" t="s">
        <v>738</v>
      </c>
      <c r="C139" s="14" t="s">
        <v>736</v>
      </c>
      <c r="D139" s="14" t="s">
        <v>739</v>
      </c>
      <c r="E139" s="25">
        <v>1718</v>
      </c>
    </row>
    <row r="140" spans="1:5" x14ac:dyDescent="0.3">
      <c r="A140" s="13">
        <v>42568</v>
      </c>
      <c r="B140" s="14" t="s">
        <v>744</v>
      </c>
      <c r="C140" s="14" t="s">
        <v>741</v>
      </c>
      <c r="D140" s="14" t="s">
        <v>739</v>
      </c>
      <c r="E140" s="25">
        <v>3025</v>
      </c>
    </row>
    <row r="141" spans="1:5" x14ac:dyDescent="0.3">
      <c r="A141" s="13">
        <v>42948</v>
      </c>
      <c r="B141" s="14" t="s">
        <v>740</v>
      </c>
      <c r="C141" s="14" t="s">
        <v>741</v>
      </c>
      <c r="D141" s="14" t="s">
        <v>743</v>
      </c>
      <c r="E141" s="25">
        <v>3784</v>
      </c>
    </row>
    <row r="142" spans="1:5" x14ac:dyDescent="0.3">
      <c r="A142" s="13">
        <v>42585</v>
      </c>
      <c r="B142" s="14" t="s">
        <v>738</v>
      </c>
      <c r="C142" s="14" t="s">
        <v>736</v>
      </c>
      <c r="D142" s="14" t="s">
        <v>743</v>
      </c>
      <c r="E142" s="25">
        <v>1638</v>
      </c>
    </row>
    <row r="143" spans="1:5" x14ac:dyDescent="0.3">
      <c r="A143" s="13">
        <v>43038</v>
      </c>
      <c r="B143" s="14" t="s">
        <v>738</v>
      </c>
      <c r="C143" s="14" t="s">
        <v>736</v>
      </c>
      <c r="D143" s="14" t="s">
        <v>742</v>
      </c>
      <c r="E143" s="25">
        <v>2674</v>
      </c>
    </row>
    <row r="144" spans="1:5" x14ac:dyDescent="0.3">
      <c r="A144" s="13">
        <v>42523</v>
      </c>
      <c r="B144" s="14" t="s">
        <v>738</v>
      </c>
      <c r="C144" s="14" t="s">
        <v>736</v>
      </c>
      <c r="D144" s="14" t="s">
        <v>739</v>
      </c>
      <c r="E144" s="25">
        <v>2625</v>
      </c>
    </row>
    <row r="145" spans="1:5" x14ac:dyDescent="0.3">
      <c r="A145" s="13">
        <v>42825</v>
      </c>
      <c r="B145" s="14" t="s">
        <v>738</v>
      </c>
      <c r="C145" s="14" t="s">
        <v>736</v>
      </c>
      <c r="D145" s="14" t="s">
        <v>739</v>
      </c>
      <c r="E145" s="25">
        <v>4761</v>
      </c>
    </row>
    <row r="146" spans="1:5" x14ac:dyDescent="0.3">
      <c r="A146" s="13">
        <v>42488</v>
      </c>
      <c r="B146" s="14" t="s">
        <v>746</v>
      </c>
      <c r="C146" s="14" t="s">
        <v>736</v>
      </c>
      <c r="D146" s="14" t="s">
        <v>742</v>
      </c>
      <c r="E146" s="25">
        <v>3999</v>
      </c>
    </row>
    <row r="147" spans="1:5" x14ac:dyDescent="0.3">
      <c r="A147" s="13">
        <v>42923</v>
      </c>
      <c r="B147" s="14" t="s">
        <v>744</v>
      </c>
      <c r="C147" s="14" t="s">
        <v>741</v>
      </c>
      <c r="D147" s="14" t="s">
        <v>739</v>
      </c>
      <c r="E147" s="25">
        <v>3656</v>
      </c>
    </row>
    <row r="148" spans="1:5" x14ac:dyDescent="0.3">
      <c r="A148" s="13">
        <v>42473</v>
      </c>
      <c r="B148" s="14" t="s">
        <v>740</v>
      </c>
      <c r="C148" s="14" t="s">
        <v>741</v>
      </c>
      <c r="D148" s="14" t="s">
        <v>743</v>
      </c>
      <c r="E148" s="25">
        <v>2698</v>
      </c>
    </row>
    <row r="149" spans="1:5" x14ac:dyDescent="0.3">
      <c r="A149" s="13">
        <v>42509</v>
      </c>
      <c r="B149" s="14" t="s">
        <v>744</v>
      </c>
      <c r="C149" s="14" t="s">
        <v>741</v>
      </c>
      <c r="D149" s="14" t="s">
        <v>739</v>
      </c>
      <c r="E149" s="25">
        <v>1034</v>
      </c>
    </row>
    <row r="150" spans="1:5" x14ac:dyDescent="0.3">
      <c r="A150" s="13">
        <v>42954</v>
      </c>
      <c r="B150" s="14" t="s">
        <v>744</v>
      </c>
      <c r="C150" s="14" t="s">
        <v>741</v>
      </c>
      <c r="D150" s="14" t="s">
        <v>739</v>
      </c>
      <c r="E150" s="25">
        <v>4729</v>
      </c>
    </row>
    <row r="151" spans="1:5" x14ac:dyDescent="0.3">
      <c r="A151" s="13">
        <v>42598</v>
      </c>
      <c r="B151" s="14" t="s">
        <v>746</v>
      </c>
      <c r="C151" s="14" t="s">
        <v>736</v>
      </c>
      <c r="D151" s="14" t="s">
        <v>742</v>
      </c>
      <c r="E151" s="25">
        <v>985</v>
      </c>
    </row>
    <row r="152" spans="1:5" x14ac:dyDescent="0.3">
      <c r="A152" s="13">
        <v>42961</v>
      </c>
      <c r="B152" s="14" t="s">
        <v>735</v>
      </c>
      <c r="C152" s="14" t="s">
        <v>736</v>
      </c>
      <c r="D152" s="14" t="s">
        <v>737</v>
      </c>
      <c r="E152" s="25">
        <v>3491</v>
      </c>
    </row>
    <row r="153" spans="1:5" x14ac:dyDescent="0.3">
      <c r="A153" s="13">
        <v>42706</v>
      </c>
      <c r="B153" s="14" t="s">
        <v>744</v>
      </c>
      <c r="C153" s="14" t="s">
        <v>745</v>
      </c>
      <c r="D153" s="14" t="s">
        <v>743</v>
      </c>
      <c r="E153" s="25">
        <v>182</v>
      </c>
    </row>
    <row r="154" spans="1:5" x14ac:dyDescent="0.3">
      <c r="A154" s="13">
        <v>42885</v>
      </c>
      <c r="B154" s="14" t="s">
        <v>740</v>
      </c>
      <c r="C154" s="14" t="s">
        <v>741</v>
      </c>
      <c r="D154" s="14" t="s">
        <v>743</v>
      </c>
      <c r="E154" s="25">
        <v>481</v>
      </c>
    </row>
    <row r="155" spans="1:5" x14ac:dyDescent="0.3">
      <c r="A155" s="13">
        <v>42831</v>
      </c>
      <c r="B155" s="14" t="s">
        <v>744</v>
      </c>
      <c r="C155" s="14" t="s">
        <v>741</v>
      </c>
      <c r="D155" s="14" t="s">
        <v>737</v>
      </c>
      <c r="E155" s="25">
        <v>121</v>
      </c>
    </row>
    <row r="156" spans="1:5" x14ac:dyDescent="0.3">
      <c r="A156" s="13">
        <v>42697</v>
      </c>
      <c r="B156" s="14" t="s">
        <v>738</v>
      </c>
      <c r="C156" s="14" t="s">
        <v>736</v>
      </c>
      <c r="D156" s="14" t="s">
        <v>743</v>
      </c>
      <c r="E156" s="25">
        <v>4987</v>
      </c>
    </row>
    <row r="157" spans="1:5" x14ac:dyDescent="0.3">
      <c r="A157" s="13">
        <v>43030</v>
      </c>
      <c r="B157" s="14" t="s">
        <v>738</v>
      </c>
      <c r="C157" s="14" t="s">
        <v>736</v>
      </c>
      <c r="D157" s="14" t="s">
        <v>743</v>
      </c>
      <c r="E157" s="25">
        <v>4904</v>
      </c>
    </row>
    <row r="158" spans="1:5" x14ac:dyDescent="0.3">
      <c r="A158" s="13">
        <v>42828</v>
      </c>
      <c r="B158" s="14" t="s">
        <v>744</v>
      </c>
      <c r="C158" s="14" t="s">
        <v>741</v>
      </c>
      <c r="D158" s="14" t="s">
        <v>739</v>
      </c>
      <c r="E158" s="25">
        <v>2064</v>
      </c>
    </row>
    <row r="159" spans="1:5" x14ac:dyDescent="0.3">
      <c r="A159" s="13">
        <v>42621</v>
      </c>
      <c r="B159" s="14" t="s">
        <v>740</v>
      </c>
      <c r="C159" s="14" t="s">
        <v>741</v>
      </c>
      <c r="D159" s="14" t="s">
        <v>742</v>
      </c>
      <c r="E159" s="25">
        <v>4495</v>
      </c>
    </row>
    <row r="160" spans="1:5" x14ac:dyDescent="0.3">
      <c r="A160" s="13">
        <v>42571</v>
      </c>
      <c r="B160" s="14" t="s">
        <v>747</v>
      </c>
      <c r="C160" s="14" t="s">
        <v>741</v>
      </c>
      <c r="D160" s="14" t="s">
        <v>742</v>
      </c>
      <c r="E160" s="25">
        <v>1947</v>
      </c>
    </row>
    <row r="161" spans="1:5" x14ac:dyDescent="0.3">
      <c r="A161" s="13">
        <v>42735</v>
      </c>
      <c r="B161" s="14" t="s">
        <v>746</v>
      </c>
      <c r="C161" s="14" t="s">
        <v>736</v>
      </c>
      <c r="D161" s="14" t="s">
        <v>739</v>
      </c>
      <c r="E161" s="25">
        <v>3205</v>
      </c>
    </row>
    <row r="162" spans="1:5" x14ac:dyDescent="0.3">
      <c r="A162" s="13">
        <v>42610</v>
      </c>
      <c r="B162" s="14" t="s">
        <v>744</v>
      </c>
      <c r="C162" s="14" t="s">
        <v>741</v>
      </c>
      <c r="D162" s="14" t="s">
        <v>743</v>
      </c>
      <c r="E162" s="25">
        <v>2393</v>
      </c>
    </row>
    <row r="163" spans="1:5" x14ac:dyDescent="0.3">
      <c r="A163" s="13">
        <v>42559</v>
      </c>
      <c r="B163" s="14" t="s">
        <v>744</v>
      </c>
      <c r="C163" s="14" t="s">
        <v>745</v>
      </c>
      <c r="D163" s="14" t="s">
        <v>739</v>
      </c>
      <c r="E163" s="25">
        <v>4633</v>
      </c>
    </row>
    <row r="164" spans="1:5" x14ac:dyDescent="0.3">
      <c r="A164" s="13">
        <v>42392</v>
      </c>
      <c r="B164" s="14" t="s">
        <v>744</v>
      </c>
      <c r="C164" s="14" t="s">
        <v>741</v>
      </c>
      <c r="D164" s="14" t="s">
        <v>743</v>
      </c>
      <c r="E164" s="25">
        <v>3430</v>
      </c>
    </row>
    <row r="165" spans="1:5" x14ac:dyDescent="0.3">
      <c r="A165" s="13">
        <v>42712</v>
      </c>
      <c r="B165" s="14" t="s">
        <v>744</v>
      </c>
      <c r="C165" s="14" t="s">
        <v>745</v>
      </c>
      <c r="D165" s="14" t="s">
        <v>737</v>
      </c>
      <c r="E165" s="25">
        <v>4319</v>
      </c>
    </row>
    <row r="166" spans="1:5" x14ac:dyDescent="0.3">
      <c r="A166" s="13">
        <v>42927</v>
      </c>
      <c r="B166" s="14" t="s">
        <v>738</v>
      </c>
      <c r="C166" s="14" t="s">
        <v>736</v>
      </c>
      <c r="D166" s="14" t="s">
        <v>739</v>
      </c>
      <c r="E166" s="25">
        <v>3681</v>
      </c>
    </row>
    <row r="167" spans="1:5" x14ac:dyDescent="0.3">
      <c r="A167" s="13">
        <v>42530</v>
      </c>
      <c r="B167" s="14" t="s">
        <v>746</v>
      </c>
      <c r="C167" s="14" t="s">
        <v>736</v>
      </c>
      <c r="D167" s="14" t="s">
        <v>739</v>
      </c>
      <c r="E167" s="25">
        <v>3262</v>
      </c>
    </row>
    <row r="168" spans="1:5" x14ac:dyDescent="0.3">
      <c r="A168" s="13">
        <v>42542</v>
      </c>
      <c r="B168" s="14" t="s">
        <v>746</v>
      </c>
      <c r="C168" s="14" t="s">
        <v>736</v>
      </c>
      <c r="D168" s="14" t="s">
        <v>742</v>
      </c>
      <c r="E168" s="25">
        <v>4279</v>
      </c>
    </row>
    <row r="169" spans="1:5" x14ac:dyDescent="0.3">
      <c r="A169" s="13">
        <v>42964</v>
      </c>
      <c r="B169" s="14" t="s">
        <v>740</v>
      </c>
      <c r="C169" s="14" t="s">
        <v>741</v>
      </c>
      <c r="D169" s="14" t="s">
        <v>742</v>
      </c>
      <c r="E169" s="25">
        <v>3453</v>
      </c>
    </row>
    <row r="170" spans="1:5" x14ac:dyDescent="0.3">
      <c r="A170" s="13">
        <v>42761</v>
      </c>
      <c r="B170" s="14" t="s">
        <v>738</v>
      </c>
      <c r="C170" s="14" t="s">
        <v>736</v>
      </c>
      <c r="D170" s="14" t="s">
        <v>737</v>
      </c>
      <c r="E170" s="25">
        <v>3123</v>
      </c>
    </row>
    <row r="171" spans="1:5" x14ac:dyDescent="0.3">
      <c r="A171" s="13">
        <v>42402</v>
      </c>
      <c r="B171" s="14" t="s">
        <v>738</v>
      </c>
      <c r="C171" s="14" t="s">
        <v>736</v>
      </c>
      <c r="D171" s="14" t="s">
        <v>737</v>
      </c>
      <c r="E171" s="25">
        <v>1679</v>
      </c>
    </row>
    <row r="172" spans="1:5" x14ac:dyDescent="0.3">
      <c r="A172" s="13">
        <v>42822</v>
      </c>
      <c r="B172" s="14" t="s">
        <v>738</v>
      </c>
      <c r="C172" s="14" t="s">
        <v>736</v>
      </c>
      <c r="D172" s="14" t="s">
        <v>737</v>
      </c>
      <c r="E172" s="25">
        <v>3092</v>
      </c>
    </row>
    <row r="173" spans="1:5" x14ac:dyDescent="0.3">
      <c r="A173" s="13">
        <v>42714</v>
      </c>
      <c r="B173" s="14" t="s">
        <v>738</v>
      </c>
      <c r="C173" s="14" t="s">
        <v>736</v>
      </c>
      <c r="D173" s="14" t="s">
        <v>743</v>
      </c>
      <c r="E173" s="25">
        <v>4698</v>
      </c>
    </row>
    <row r="174" spans="1:5" x14ac:dyDescent="0.3">
      <c r="A174" s="13">
        <v>43057</v>
      </c>
      <c r="B174" s="14" t="s">
        <v>738</v>
      </c>
      <c r="C174" s="14" t="s">
        <v>736</v>
      </c>
      <c r="D174" s="14" t="s">
        <v>739</v>
      </c>
      <c r="E174" s="25">
        <v>2865</v>
      </c>
    </row>
    <row r="175" spans="1:5" x14ac:dyDescent="0.3">
      <c r="A175" s="13">
        <v>42654</v>
      </c>
      <c r="B175" s="14" t="s">
        <v>744</v>
      </c>
      <c r="C175" s="14" t="s">
        <v>741</v>
      </c>
      <c r="D175" s="14" t="s">
        <v>743</v>
      </c>
      <c r="E175" s="25">
        <v>1150</v>
      </c>
    </row>
    <row r="176" spans="1:5" x14ac:dyDescent="0.3">
      <c r="A176" s="13">
        <v>42514</v>
      </c>
      <c r="B176" s="14" t="s">
        <v>735</v>
      </c>
      <c r="C176" s="14" t="s">
        <v>736</v>
      </c>
      <c r="D176" s="14" t="s">
        <v>742</v>
      </c>
      <c r="E176" s="25">
        <v>4374</v>
      </c>
    </row>
    <row r="177" spans="1:5" x14ac:dyDescent="0.3">
      <c r="A177" s="13">
        <v>42687</v>
      </c>
      <c r="B177" s="14" t="s">
        <v>735</v>
      </c>
      <c r="C177" s="14" t="s">
        <v>741</v>
      </c>
      <c r="D177" s="14" t="s">
        <v>742</v>
      </c>
      <c r="E177" s="25">
        <v>883</v>
      </c>
    </row>
    <row r="178" spans="1:5" x14ac:dyDescent="0.3">
      <c r="A178" s="13">
        <v>42433</v>
      </c>
      <c r="B178" s="14" t="s">
        <v>740</v>
      </c>
      <c r="C178" s="14" t="s">
        <v>741</v>
      </c>
      <c r="D178" s="14" t="s">
        <v>742</v>
      </c>
      <c r="E178" s="25">
        <v>2686</v>
      </c>
    </row>
    <row r="179" spans="1:5" x14ac:dyDescent="0.3">
      <c r="A179" s="13">
        <v>42890</v>
      </c>
      <c r="B179" s="14" t="s">
        <v>735</v>
      </c>
      <c r="C179" s="14" t="s">
        <v>741</v>
      </c>
      <c r="D179" s="14" t="s">
        <v>742</v>
      </c>
      <c r="E179" s="25">
        <v>3164</v>
      </c>
    </row>
    <row r="180" spans="1:5" x14ac:dyDescent="0.3">
      <c r="A180" s="13">
        <v>42421</v>
      </c>
      <c r="B180" s="14" t="s">
        <v>744</v>
      </c>
      <c r="C180" s="14" t="s">
        <v>741</v>
      </c>
      <c r="D180" s="14" t="s">
        <v>739</v>
      </c>
      <c r="E180" s="25">
        <v>943</v>
      </c>
    </row>
    <row r="181" spans="1:5" x14ac:dyDescent="0.3">
      <c r="A181" s="13">
        <v>42528</v>
      </c>
      <c r="B181" s="14" t="s">
        <v>746</v>
      </c>
      <c r="C181" s="14" t="s">
        <v>736</v>
      </c>
      <c r="D181" s="14" t="s">
        <v>739</v>
      </c>
      <c r="E181" s="25">
        <v>375</v>
      </c>
    </row>
    <row r="182" spans="1:5" x14ac:dyDescent="0.3">
      <c r="A182" s="13">
        <v>42405</v>
      </c>
      <c r="B182" s="14" t="s">
        <v>746</v>
      </c>
      <c r="C182" s="14" t="s">
        <v>736</v>
      </c>
      <c r="D182" s="14" t="s">
        <v>737</v>
      </c>
      <c r="E182" s="25">
        <v>225</v>
      </c>
    </row>
    <row r="183" spans="1:5" x14ac:dyDescent="0.3">
      <c r="A183" s="13">
        <v>42808</v>
      </c>
      <c r="B183" s="14" t="s">
        <v>738</v>
      </c>
      <c r="C183" s="14" t="s">
        <v>736</v>
      </c>
      <c r="D183" s="14" t="s">
        <v>742</v>
      </c>
      <c r="E183" s="25">
        <v>1993</v>
      </c>
    </row>
    <row r="184" spans="1:5" x14ac:dyDescent="0.3">
      <c r="A184" s="13">
        <v>42966</v>
      </c>
      <c r="B184" s="14" t="s">
        <v>744</v>
      </c>
      <c r="C184" s="14" t="s">
        <v>745</v>
      </c>
      <c r="D184" s="14" t="s">
        <v>739</v>
      </c>
      <c r="E184" s="25">
        <v>355</v>
      </c>
    </row>
    <row r="185" spans="1:5" x14ac:dyDescent="0.3">
      <c r="A185" s="13">
        <v>42376</v>
      </c>
      <c r="B185" s="14" t="s">
        <v>738</v>
      </c>
      <c r="C185" s="14" t="s">
        <v>736</v>
      </c>
      <c r="D185" s="14" t="s">
        <v>743</v>
      </c>
      <c r="E185" s="25">
        <v>2715</v>
      </c>
    </row>
    <row r="186" spans="1:5" x14ac:dyDescent="0.3">
      <c r="A186" s="13">
        <v>42875</v>
      </c>
      <c r="B186" s="14" t="s">
        <v>744</v>
      </c>
      <c r="C186" s="14" t="s">
        <v>745</v>
      </c>
      <c r="D186" s="14" t="s">
        <v>737</v>
      </c>
      <c r="E186" s="25">
        <v>3058</v>
      </c>
    </row>
    <row r="187" spans="1:5" x14ac:dyDescent="0.3">
      <c r="A187" s="13">
        <v>43041</v>
      </c>
      <c r="B187" s="14" t="s">
        <v>738</v>
      </c>
      <c r="C187" s="14" t="s">
        <v>736</v>
      </c>
      <c r="D187" s="14" t="s">
        <v>742</v>
      </c>
      <c r="E187" s="25">
        <v>545</v>
      </c>
    </row>
    <row r="188" spans="1:5" x14ac:dyDescent="0.3">
      <c r="A188" s="13">
        <v>42570</v>
      </c>
      <c r="B188" s="14" t="s">
        <v>738</v>
      </c>
      <c r="C188" s="14" t="s">
        <v>736</v>
      </c>
      <c r="D188" s="14" t="s">
        <v>743</v>
      </c>
      <c r="E188" s="25">
        <v>1377</v>
      </c>
    </row>
    <row r="189" spans="1:5" x14ac:dyDescent="0.3">
      <c r="A189" s="13">
        <v>42465</v>
      </c>
      <c r="B189" s="14" t="s">
        <v>740</v>
      </c>
      <c r="C189" s="14" t="s">
        <v>741</v>
      </c>
      <c r="D189" s="14" t="s">
        <v>739</v>
      </c>
      <c r="E189" s="25">
        <v>3296</v>
      </c>
    </row>
    <row r="190" spans="1:5" x14ac:dyDescent="0.3">
      <c r="A190" s="13">
        <v>42412</v>
      </c>
      <c r="B190" s="14" t="s">
        <v>744</v>
      </c>
      <c r="C190" s="14" t="s">
        <v>741</v>
      </c>
      <c r="D190" s="14" t="s">
        <v>742</v>
      </c>
      <c r="E190" s="25">
        <v>777</v>
      </c>
    </row>
    <row r="191" spans="1:5" x14ac:dyDescent="0.3">
      <c r="A191" s="13">
        <v>42525</v>
      </c>
      <c r="B191" s="14" t="s">
        <v>744</v>
      </c>
      <c r="C191" s="14" t="s">
        <v>745</v>
      </c>
      <c r="D191" s="14" t="s">
        <v>742</v>
      </c>
      <c r="E191" s="25">
        <v>102</v>
      </c>
    </row>
    <row r="192" spans="1:5" x14ac:dyDescent="0.3">
      <c r="A192" s="13">
        <v>43087</v>
      </c>
      <c r="B192" s="14" t="s">
        <v>740</v>
      </c>
      <c r="C192" s="14" t="s">
        <v>741</v>
      </c>
      <c r="D192" s="14" t="s">
        <v>742</v>
      </c>
      <c r="E192" s="25">
        <v>131</v>
      </c>
    </row>
    <row r="193" spans="1:5" x14ac:dyDescent="0.3">
      <c r="A193" s="13">
        <v>42729</v>
      </c>
      <c r="B193" s="14" t="s">
        <v>747</v>
      </c>
      <c r="C193" s="14" t="s">
        <v>741</v>
      </c>
      <c r="D193" s="14" t="s">
        <v>743</v>
      </c>
      <c r="E193" s="25">
        <v>3332</v>
      </c>
    </row>
    <row r="194" spans="1:5" x14ac:dyDescent="0.3">
      <c r="A194" s="13">
        <v>42717</v>
      </c>
      <c r="B194" s="14" t="s">
        <v>738</v>
      </c>
      <c r="C194" s="14" t="s">
        <v>736</v>
      </c>
      <c r="D194" s="14" t="s">
        <v>739</v>
      </c>
      <c r="E194" s="25">
        <v>1701</v>
      </c>
    </row>
    <row r="195" spans="1:5" x14ac:dyDescent="0.3">
      <c r="A195" s="13">
        <v>42555</v>
      </c>
      <c r="B195" s="14" t="s">
        <v>744</v>
      </c>
      <c r="C195" s="14" t="s">
        <v>745</v>
      </c>
      <c r="D195" s="14" t="s">
        <v>743</v>
      </c>
      <c r="E195" s="25">
        <v>4067</v>
      </c>
    </row>
    <row r="196" spans="1:5" x14ac:dyDescent="0.3">
      <c r="A196" s="13">
        <v>42958</v>
      </c>
      <c r="B196" s="14" t="s">
        <v>738</v>
      </c>
      <c r="C196" s="14" t="s">
        <v>736</v>
      </c>
      <c r="D196" s="14" t="s">
        <v>743</v>
      </c>
      <c r="E196" s="25">
        <v>4630</v>
      </c>
    </row>
    <row r="197" spans="1:5" x14ac:dyDescent="0.3">
      <c r="A197" s="13">
        <v>42933</v>
      </c>
      <c r="B197" s="14" t="s">
        <v>738</v>
      </c>
      <c r="C197" s="14" t="s">
        <v>736</v>
      </c>
      <c r="D197" s="14" t="s">
        <v>743</v>
      </c>
      <c r="E197" s="25">
        <v>3782</v>
      </c>
    </row>
    <row r="198" spans="1:5" x14ac:dyDescent="0.3">
      <c r="A198" s="13">
        <v>43085</v>
      </c>
      <c r="B198" s="14" t="s">
        <v>744</v>
      </c>
      <c r="C198" s="14" t="s">
        <v>745</v>
      </c>
      <c r="D198" s="14" t="s">
        <v>742</v>
      </c>
      <c r="E198" s="25">
        <v>3349</v>
      </c>
    </row>
    <row r="199" spans="1:5" x14ac:dyDescent="0.3">
      <c r="A199" s="13">
        <v>42999</v>
      </c>
      <c r="B199" s="14" t="s">
        <v>744</v>
      </c>
      <c r="C199" s="14" t="s">
        <v>745</v>
      </c>
      <c r="D199" s="14" t="s">
        <v>743</v>
      </c>
      <c r="E199" s="25">
        <v>125</v>
      </c>
    </row>
    <row r="200" spans="1:5" x14ac:dyDescent="0.3">
      <c r="A200" s="13">
        <v>42934</v>
      </c>
      <c r="B200" s="14" t="s">
        <v>738</v>
      </c>
      <c r="C200" s="14" t="s">
        <v>736</v>
      </c>
      <c r="D200" s="14" t="s">
        <v>743</v>
      </c>
      <c r="E200" s="25">
        <v>2021</v>
      </c>
    </row>
    <row r="201" spans="1:5" x14ac:dyDescent="0.3">
      <c r="A201" s="13">
        <v>42769</v>
      </c>
      <c r="B201" s="14" t="s">
        <v>744</v>
      </c>
      <c r="C201" s="14" t="s">
        <v>741</v>
      </c>
      <c r="D201" s="14" t="s">
        <v>742</v>
      </c>
      <c r="E201" s="25">
        <v>4177</v>
      </c>
    </row>
    <row r="202" spans="1:5" x14ac:dyDescent="0.3">
      <c r="A202" s="13">
        <v>42501</v>
      </c>
      <c r="B202" s="14" t="s">
        <v>744</v>
      </c>
      <c r="C202" s="14" t="s">
        <v>741</v>
      </c>
      <c r="D202" s="14" t="s">
        <v>739</v>
      </c>
      <c r="E202" s="25">
        <v>1218</v>
      </c>
    </row>
    <row r="203" spans="1:5" x14ac:dyDescent="0.3">
      <c r="A203" s="13">
        <v>43084</v>
      </c>
      <c r="B203" s="14" t="s">
        <v>738</v>
      </c>
      <c r="C203" s="14" t="s">
        <v>736</v>
      </c>
      <c r="D203" s="14" t="s">
        <v>742</v>
      </c>
      <c r="E203" s="25">
        <v>3242</v>
      </c>
    </row>
    <row r="204" spans="1:5" x14ac:dyDescent="0.3">
      <c r="A204" s="13">
        <v>42653</v>
      </c>
      <c r="B204" s="14" t="s">
        <v>738</v>
      </c>
      <c r="C204" s="14" t="s">
        <v>736</v>
      </c>
      <c r="D204" s="14" t="s">
        <v>742</v>
      </c>
      <c r="E204" s="25">
        <v>2174</v>
      </c>
    </row>
    <row r="205" spans="1:5" x14ac:dyDescent="0.3">
      <c r="A205" s="13">
        <v>42702</v>
      </c>
      <c r="B205" s="14" t="s">
        <v>744</v>
      </c>
      <c r="C205" s="14" t="s">
        <v>741</v>
      </c>
      <c r="D205" s="14" t="s">
        <v>742</v>
      </c>
      <c r="E205" s="25">
        <v>1268</v>
      </c>
    </row>
    <row r="206" spans="1:5" x14ac:dyDescent="0.3">
      <c r="A206" s="13">
        <v>42594</v>
      </c>
      <c r="B206" s="14" t="s">
        <v>740</v>
      </c>
      <c r="C206" s="14" t="s">
        <v>741</v>
      </c>
      <c r="D206" s="14" t="s">
        <v>743</v>
      </c>
      <c r="E206" s="25">
        <v>4351</v>
      </c>
    </row>
    <row r="207" spans="1:5" x14ac:dyDescent="0.3">
      <c r="A207" s="13">
        <v>42997</v>
      </c>
      <c r="B207" s="14" t="s">
        <v>744</v>
      </c>
      <c r="C207" s="14" t="s">
        <v>741</v>
      </c>
      <c r="D207" s="14" t="s">
        <v>737</v>
      </c>
      <c r="E207" s="25">
        <v>1828</v>
      </c>
    </row>
    <row r="208" spans="1:5" x14ac:dyDescent="0.3">
      <c r="A208" s="13">
        <v>42715</v>
      </c>
      <c r="B208" s="14" t="s">
        <v>744</v>
      </c>
      <c r="C208" s="14" t="s">
        <v>741</v>
      </c>
      <c r="D208" s="14" t="s">
        <v>743</v>
      </c>
      <c r="E208" s="25">
        <v>4138</v>
      </c>
    </row>
    <row r="209" spans="1:5" x14ac:dyDescent="0.3">
      <c r="A209" s="13">
        <v>42592</v>
      </c>
      <c r="B209" s="14" t="s">
        <v>740</v>
      </c>
      <c r="C209" s="14" t="s">
        <v>741</v>
      </c>
      <c r="D209" s="14" t="s">
        <v>743</v>
      </c>
      <c r="E209" s="25">
        <v>2602</v>
      </c>
    </row>
    <row r="210" spans="1:5" x14ac:dyDescent="0.3">
      <c r="A210" s="13">
        <v>43051</v>
      </c>
      <c r="B210" s="14" t="s">
        <v>746</v>
      </c>
      <c r="C210" s="14" t="s">
        <v>736</v>
      </c>
      <c r="D210" s="14" t="s">
        <v>737</v>
      </c>
      <c r="E210" s="25">
        <v>3117</v>
      </c>
    </row>
    <row r="211" spans="1:5" x14ac:dyDescent="0.3">
      <c r="A211" s="13">
        <v>42505</v>
      </c>
      <c r="B211" s="14" t="s">
        <v>738</v>
      </c>
      <c r="C211" s="14" t="s">
        <v>736</v>
      </c>
      <c r="D211" s="14" t="s">
        <v>743</v>
      </c>
      <c r="E211" s="25">
        <v>3787</v>
      </c>
    </row>
    <row r="212" spans="1:5" x14ac:dyDescent="0.3">
      <c r="A212" s="13">
        <v>42503</v>
      </c>
      <c r="B212" s="14" t="s">
        <v>738</v>
      </c>
      <c r="C212" s="14" t="s">
        <v>736</v>
      </c>
      <c r="D212" s="14" t="s">
        <v>743</v>
      </c>
      <c r="E212" s="25">
        <v>333</v>
      </c>
    </row>
    <row r="213" spans="1:5" x14ac:dyDescent="0.3">
      <c r="A213" s="13">
        <v>42477</v>
      </c>
      <c r="B213" s="14" t="s">
        <v>738</v>
      </c>
      <c r="C213" s="14" t="s">
        <v>736</v>
      </c>
      <c r="D213" s="14" t="s">
        <v>737</v>
      </c>
      <c r="E213" s="25">
        <v>2062</v>
      </c>
    </row>
    <row r="214" spans="1:5" x14ac:dyDescent="0.3">
      <c r="A214" s="13">
        <v>43048</v>
      </c>
      <c r="B214" s="14" t="s">
        <v>735</v>
      </c>
      <c r="C214" s="14" t="s">
        <v>736</v>
      </c>
      <c r="D214" s="14" t="s">
        <v>739</v>
      </c>
      <c r="E214" s="25">
        <v>4323</v>
      </c>
    </row>
    <row r="215" spans="1:5" x14ac:dyDescent="0.3">
      <c r="A215" s="13">
        <v>42401</v>
      </c>
      <c r="B215" s="14" t="s">
        <v>746</v>
      </c>
      <c r="C215" s="14" t="s">
        <v>736</v>
      </c>
      <c r="D215" s="14" t="s">
        <v>743</v>
      </c>
      <c r="E215" s="25">
        <v>2942</v>
      </c>
    </row>
    <row r="216" spans="1:5" x14ac:dyDescent="0.3">
      <c r="A216" s="13">
        <v>43080</v>
      </c>
      <c r="B216" s="14" t="s">
        <v>744</v>
      </c>
      <c r="C216" s="14" t="s">
        <v>741</v>
      </c>
      <c r="D216" s="14" t="s">
        <v>743</v>
      </c>
      <c r="E216" s="25">
        <v>4310</v>
      </c>
    </row>
    <row r="217" spans="1:5" x14ac:dyDescent="0.3">
      <c r="A217" s="13">
        <v>42906</v>
      </c>
      <c r="B217" s="14" t="s">
        <v>740</v>
      </c>
      <c r="C217" s="14" t="s">
        <v>741</v>
      </c>
      <c r="D217" s="14" t="s">
        <v>742</v>
      </c>
      <c r="E217" s="25">
        <v>1789</v>
      </c>
    </row>
    <row r="218" spans="1:5" x14ac:dyDescent="0.3">
      <c r="A218" s="13">
        <v>42423</v>
      </c>
      <c r="B218" s="14" t="s">
        <v>738</v>
      </c>
      <c r="C218" s="14" t="s">
        <v>736</v>
      </c>
      <c r="D218" s="14" t="s">
        <v>739</v>
      </c>
      <c r="E218" s="25">
        <v>1199</v>
      </c>
    </row>
    <row r="219" spans="1:5" x14ac:dyDescent="0.3">
      <c r="A219" s="13">
        <v>42515</v>
      </c>
      <c r="B219" s="14" t="s">
        <v>738</v>
      </c>
      <c r="C219" s="14" t="s">
        <v>736</v>
      </c>
      <c r="D219" s="14" t="s">
        <v>737</v>
      </c>
      <c r="E219" s="25">
        <v>417</v>
      </c>
    </row>
    <row r="220" spans="1:5" x14ac:dyDescent="0.3">
      <c r="A220" s="13">
        <v>42512</v>
      </c>
      <c r="B220" s="14" t="s">
        <v>740</v>
      </c>
      <c r="C220" s="14" t="s">
        <v>741</v>
      </c>
      <c r="D220" s="14" t="s">
        <v>739</v>
      </c>
      <c r="E220" s="25">
        <v>2505</v>
      </c>
    </row>
    <row r="221" spans="1:5" x14ac:dyDescent="0.3">
      <c r="A221" s="13">
        <v>42374</v>
      </c>
      <c r="B221" s="14" t="s">
        <v>744</v>
      </c>
      <c r="C221" s="14" t="s">
        <v>741</v>
      </c>
      <c r="D221" s="14" t="s">
        <v>739</v>
      </c>
      <c r="E221" s="25">
        <v>3748</v>
      </c>
    </row>
    <row r="222" spans="1:5" x14ac:dyDescent="0.3">
      <c r="A222" s="13">
        <v>43030</v>
      </c>
      <c r="B222" s="14" t="s">
        <v>738</v>
      </c>
      <c r="C222" s="14" t="s">
        <v>736</v>
      </c>
      <c r="D222" s="14" t="s">
        <v>739</v>
      </c>
      <c r="E222" s="25">
        <v>3875</v>
      </c>
    </row>
    <row r="223" spans="1:5" x14ac:dyDescent="0.3">
      <c r="A223" s="13">
        <v>43047</v>
      </c>
      <c r="B223" s="14" t="s">
        <v>746</v>
      </c>
      <c r="C223" s="14" t="s">
        <v>736</v>
      </c>
      <c r="D223" s="14" t="s">
        <v>743</v>
      </c>
      <c r="E223" s="25">
        <v>921</v>
      </c>
    </row>
    <row r="224" spans="1:5" x14ac:dyDescent="0.3">
      <c r="A224" s="13">
        <v>42521</v>
      </c>
      <c r="B224" s="14" t="s">
        <v>738</v>
      </c>
      <c r="C224" s="14" t="s">
        <v>736</v>
      </c>
      <c r="D224" s="14" t="s">
        <v>743</v>
      </c>
      <c r="E224" s="25">
        <v>459</v>
      </c>
    </row>
    <row r="225" spans="1:5" x14ac:dyDescent="0.3">
      <c r="A225" s="13">
        <v>42736</v>
      </c>
      <c r="B225" s="14" t="s">
        <v>740</v>
      </c>
      <c r="C225" s="14" t="s">
        <v>741</v>
      </c>
      <c r="D225" s="14" t="s">
        <v>742</v>
      </c>
      <c r="E225" s="25">
        <v>1784</v>
      </c>
    </row>
    <row r="226" spans="1:5" x14ac:dyDescent="0.3">
      <c r="A226" s="13">
        <v>42566</v>
      </c>
      <c r="B226" s="14" t="s">
        <v>735</v>
      </c>
      <c r="C226" s="14" t="s">
        <v>736</v>
      </c>
      <c r="D226" s="14" t="s">
        <v>743</v>
      </c>
      <c r="E226" s="25">
        <v>2041</v>
      </c>
    </row>
    <row r="227" spans="1:5" x14ac:dyDescent="0.3">
      <c r="A227" s="13">
        <v>42925</v>
      </c>
      <c r="B227" s="14" t="s">
        <v>744</v>
      </c>
      <c r="C227" s="14" t="s">
        <v>745</v>
      </c>
      <c r="D227" s="14" t="s">
        <v>743</v>
      </c>
      <c r="E227" s="25">
        <v>3145</v>
      </c>
    </row>
    <row r="228" spans="1:5" x14ac:dyDescent="0.3">
      <c r="A228" s="13">
        <v>42469</v>
      </c>
      <c r="B228" s="14" t="s">
        <v>746</v>
      </c>
      <c r="C228" s="14" t="s">
        <v>736</v>
      </c>
      <c r="D228" s="14" t="s">
        <v>742</v>
      </c>
      <c r="E228" s="25">
        <v>3507</v>
      </c>
    </row>
    <row r="229" spans="1:5" x14ac:dyDescent="0.3">
      <c r="A229" s="13">
        <v>42583</v>
      </c>
      <c r="B229" s="14" t="s">
        <v>746</v>
      </c>
      <c r="C229" s="14" t="s">
        <v>736</v>
      </c>
      <c r="D229" s="14" t="s">
        <v>739</v>
      </c>
      <c r="E229" s="25">
        <v>2988</v>
      </c>
    </row>
    <row r="230" spans="1:5" x14ac:dyDescent="0.3">
      <c r="A230" s="13">
        <v>42666</v>
      </c>
      <c r="B230" s="14" t="s">
        <v>746</v>
      </c>
      <c r="C230" s="14" t="s">
        <v>736</v>
      </c>
      <c r="D230" s="14" t="s">
        <v>742</v>
      </c>
      <c r="E230" s="25">
        <v>2593</v>
      </c>
    </row>
    <row r="231" spans="1:5" x14ac:dyDescent="0.3">
      <c r="A231" s="13">
        <v>42900</v>
      </c>
      <c r="B231" s="14" t="s">
        <v>738</v>
      </c>
      <c r="C231" s="14" t="s">
        <v>736</v>
      </c>
      <c r="D231" s="14" t="s">
        <v>739</v>
      </c>
      <c r="E231" s="25">
        <v>2403</v>
      </c>
    </row>
    <row r="232" spans="1:5" x14ac:dyDescent="0.3">
      <c r="A232" s="13">
        <v>43091</v>
      </c>
      <c r="B232" s="14" t="s">
        <v>738</v>
      </c>
      <c r="C232" s="14" t="s">
        <v>736</v>
      </c>
      <c r="D232" s="14" t="s">
        <v>742</v>
      </c>
      <c r="E232" s="25">
        <v>1087</v>
      </c>
    </row>
    <row r="233" spans="1:5" x14ac:dyDescent="0.3">
      <c r="A233" s="13">
        <v>42954</v>
      </c>
      <c r="B233" s="14" t="s">
        <v>744</v>
      </c>
      <c r="C233" s="14" t="s">
        <v>741</v>
      </c>
      <c r="D233" s="14" t="s">
        <v>742</v>
      </c>
      <c r="E233" s="25">
        <v>2668</v>
      </c>
    </row>
    <row r="234" spans="1:5" x14ac:dyDescent="0.3">
      <c r="A234" s="13">
        <v>42993</v>
      </c>
      <c r="B234" s="14" t="s">
        <v>746</v>
      </c>
      <c r="C234" s="14" t="s">
        <v>736</v>
      </c>
      <c r="D234" s="14" t="s">
        <v>742</v>
      </c>
      <c r="E234" s="25">
        <v>1703</v>
      </c>
    </row>
    <row r="235" spans="1:5" x14ac:dyDescent="0.3">
      <c r="A235" s="13">
        <v>43011</v>
      </c>
      <c r="B235" s="14" t="s">
        <v>746</v>
      </c>
      <c r="C235" s="14" t="s">
        <v>736</v>
      </c>
      <c r="D235" s="14" t="s">
        <v>743</v>
      </c>
      <c r="E235" s="25">
        <v>1686</v>
      </c>
    </row>
    <row r="236" spans="1:5" x14ac:dyDescent="0.3">
      <c r="A236" s="13">
        <v>42966</v>
      </c>
      <c r="B236" s="14" t="s">
        <v>738</v>
      </c>
      <c r="C236" s="14" t="s">
        <v>736</v>
      </c>
      <c r="D236" s="14" t="s">
        <v>742</v>
      </c>
      <c r="E236" s="25">
        <v>4880</v>
      </c>
    </row>
    <row r="237" spans="1:5" x14ac:dyDescent="0.3">
      <c r="A237" s="13">
        <v>42932</v>
      </c>
      <c r="B237" s="14" t="s">
        <v>740</v>
      </c>
      <c r="C237" s="14" t="s">
        <v>741</v>
      </c>
      <c r="D237" s="14" t="s">
        <v>743</v>
      </c>
      <c r="E237" s="25">
        <v>4594</v>
      </c>
    </row>
    <row r="238" spans="1:5" x14ac:dyDescent="0.3">
      <c r="A238" s="13">
        <v>43077</v>
      </c>
      <c r="B238" s="14" t="s">
        <v>746</v>
      </c>
      <c r="C238" s="14" t="s">
        <v>736</v>
      </c>
      <c r="D238" s="14" t="s">
        <v>742</v>
      </c>
      <c r="E238" s="25">
        <v>2153</v>
      </c>
    </row>
    <row r="239" spans="1:5" x14ac:dyDescent="0.3">
      <c r="A239" s="13">
        <v>42631</v>
      </c>
      <c r="B239" s="14" t="s">
        <v>738</v>
      </c>
      <c r="C239" s="14" t="s">
        <v>736</v>
      </c>
      <c r="D239" s="14" t="s">
        <v>739</v>
      </c>
      <c r="E239" s="25">
        <v>4377</v>
      </c>
    </row>
    <row r="240" spans="1:5" x14ac:dyDescent="0.3">
      <c r="A240" s="13">
        <v>42944</v>
      </c>
      <c r="B240" s="14" t="s">
        <v>738</v>
      </c>
      <c r="C240" s="14" t="s">
        <v>736</v>
      </c>
      <c r="D240" s="14" t="s">
        <v>739</v>
      </c>
      <c r="E240" s="25">
        <v>3802</v>
      </c>
    </row>
    <row r="241" spans="1:5" x14ac:dyDescent="0.3">
      <c r="A241" s="13">
        <v>42549</v>
      </c>
      <c r="B241" s="14" t="s">
        <v>738</v>
      </c>
      <c r="C241" s="14" t="s">
        <v>736</v>
      </c>
      <c r="D241" s="14" t="s">
        <v>737</v>
      </c>
      <c r="E241" s="25">
        <v>327</v>
      </c>
    </row>
    <row r="242" spans="1:5" x14ac:dyDescent="0.3">
      <c r="A242" s="13">
        <v>42603</v>
      </c>
      <c r="B242" s="14" t="s">
        <v>746</v>
      </c>
      <c r="C242" s="14" t="s">
        <v>736</v>
      </c>
      <c r="D242" s="14" t="s">
        <v>737</v>
      </c>
      <c r="E242" s="25">
        <v>1155</v>
      </c>
    </row>
    <row r="243" spans="1:5" x14ac:dyDescent="0.3">
      <c r="A243" s="13">
        <v>42510</v>
      </c>
      <c r="B243" s="14" t="s">
        <v>738</v>
      </c>
      <c r="C243" s="14" t="s">
        <v>736</v>
      </c>
      <c r="D243" s="14" t="s">
        <v>742</v>
      </c>
      <c r="E243" s="25">
        <v>4079</v>
      </c>
    </row>
    <row r="244" spans="1:5" x14ac:dyDescent="0.3">
      <c r="A244" s="13">
        <v>42669</v>
      </c>
      <c r="B244" s="14" t="s">
        <v>738</v>
      </c>
      <c r="C244" s="14" t="s">
        <v>736</v>
      </c>
      <c r="D244" s="14" t="s">
        <v>737</v>
      </c>
      <c r="E244" s="25">
        <v>4961</v>
      </c>
    </row>
    <row r="245" spans="1:5" x14ac:dyDescent="0.3">
      <c r="A245" s="13">
        <v>42697</v>
      </c>
      <c r="B245" s="14" t="s">
        <v>746</v>
      </c>
      <c r="C245" s="14" t="s">
        <v>736</v>
      </c>
      <c r="D245" s="14" t="s">
        <v>743</v>
      </c>
      <c r="E245" s="25">
        <v>427</v>
      </c>
    </row>
    <row r="246" spans="1:5" x14ac:dyDescent="0.3">
      <c r="A246" s="13">
        <v>42490</v>
      </c>
      <c r="B246" s="14" t="s">
        <v>746</v>
      </c>
      <c r="C246" s="14" t="s">
        <v>736</v>
      </c>
      <c r="D246" s="14" t="s">
        <v>737</v>
      </c>
      <c r="E246" s="25">
        <v>1444</v>
      </c>
    </row>
    <row r="247" spans="1:5" x14ac:dyDescent="0.3">
      <c r="A247" s="13">
        <v>42570</v>
      </c>
      <c r="B247" s="14" t="s">
        <v>747</v>
      </c>
      <c r="C247" s="14" t="s">
        <v>741</v>
      </c>
      <c r="D247" s="14" t="s">
        <v>743</v>
      </c>
      <c r="E247" s="25">
        <v>1367</v>
      </c>
    </row>
    <row r="248" spans="1:5" x14ac:dyDescent="0.3">
      <c r="A248" s="13">
        <v>42658</v>
      </c>
      <c r="B248" s="14" t="s">
        <v>738</v>
      </c>
      <c r="C248" s="14" t="s">
        <v>736</v>
      </c>
      <c r="D248" s="14" t="s">
        <v>739</v>
      </c>
      <c r="E248" s="25">
        <v>2982</v>
      </c>
    </row>
    <row r="249" spans="1:5" x14ac:dyDescent="0.3">
      <c r="A249" s="13">
        <v>42385</v>
      </c>
      <c r="B249" s="14" t="s">
        <v>738</v>
      </c>
      <c r="C249" s="14" t="s">
        <v>736</v>
      </c>
      <c r="D249" s="14" t="s">
        <v>742</v>
      </c>
      <c r="E249" s="25">
        <v>4870</v>
      </c>
    </row>
    <row r="250" spans="1:5" x14ac:dyDescent="0.3">
      <c r="A250" s="13">
        <v>42762</v>
      </c>
      <c r="B250" s="14" t="s">
        <v>738</v>
      </c>
      <c r="C250" s="14" t="s">
        <v>736</v>
      </c>
      <c r="D250" s="14" t="s">
        <v>743</v>
      </c>
      <c r="E250" s="25">
        <v>2438</v>
      </c>
    </row>
    <row r="251" spans="1:5" x14ac:dyDescent="0.3">
      <c r="A251" s="13">
        <v>42843</v>
      </c>
      <c r="B251" s="14" t="s">
        <v>738</v>
      </c>
      <c r="C251" s="14" t="s">
        <v>736</v>
      </c>
      <c r="D251" s="14" t="s">
        <v>739</v>
      </c>
      <c r="E251" s="25">
        <v>2316</v>
      </c>
    </row>
    <row r="252" spans="1:5" x14ac:dyDescent="0.3">
      <c r="A252" s="13">
        <v>43083</v>
      </c>
      <c r="B252" s="14" t="s">
        <v>746</v>
      </c>
      <c r="C252" s="14" t="s">
        <v>736</v>
      </c>
      <c r="D252" s="14" t="s">
        <v>742</v>
      </c>
      <c r="E252" s="25">
        <v>1801</v>
      </c>
    </row>
    <row r="253" spans="1:5" x14ac:dyDescent="0.3">
      <c r="A253" s="13">
        <v>42873</v>
      </c>
      <c r="B253" s="14" t="s">
        <v>738</v>
      </c>
      <c r="C253" s="14" t="s">
        <v>736</v>
      </c>
      <c r="D253" s="14" t="s">
        <v>739</v>
      </c>
      <c r="E253" s="25">
        <v>1061</v>
      </c>
    </row>
    <row r="254" spans="1:5" x14ac:dyDescent="0.3">
      <c r="A254" s="13">
        <v>42936</v>
      </c>
      <c r="B254" s="14" t="s">
        <v>738</v>
      </c>
      <c r="C254" s="14" t="s">
        <v>736</v>
      </c>
      <c r="D254" s="14" t="s">
        <v>743</v>
      </c>
      <c r="E254" s="25">
        <v>1377</v>
      </c>
    </row>
    <row r="255" spans="1:5" x14ac:dyDescent="0.3">
      <c r="A255" s="13">
        <v>42717</v>
      </c>
      <c r="B255" s="14" t="s">
        <v>738</v>
      </c>
      <c r="C255" s="14" t="s">
        <v>736</v>
      </c>
      <c r="D255" s="14" t="s">
        <v>742</v>
      </c>
      <c r="E255" s="25">
        <v>560</v>
      </c>
    </row>
    <row r="256" spans="1:5" x14ac:dyDescent="0.3">
      <c r="A256" s="13">
        <v>42690</v>
      </c>
      <c r="B256" s="14" t="s">
        <v>746</v>
      </c>
      <c r="C256" s="14" t="s">
        <v>736</v>
      </c>
      <c r="D256" s="14" t="s">
        <v>742</v>
      </c>
      <c r="E256" s="25">
        <v>1466</v>
      </c>
    </row>
    <row r="257" spans="1:5" x14ac:dyDescent="0.3">
      <c r="A257" s="13">
        <v>42855</v>
      </c>
      <c r="B257" s="14" t="s">
        <v>738</v>
      </c>
      <c r="C257" s="14" t="s">
        <v>736</v>
      </c>
      <c r="D257" s="14" t="s">
        <v>739</v>
      </c>
      <c r="E257" s="25">
        <v>1240</v>
      </c>
    </row>
    <row r="258" spans="1:5" x14ac:dyDescent="0.3">
      <c r="A258" s="13">
        <v>42476</v>
      </c>
      <c r="B258" s="14" t="s">
        <v>735</v>
      </c>
      <c r="C258" s="14" t="s">
        <v>741</v>
      </c>
      <c r="D258" s="14" t="s">
        <v>739</v>
      </c>
      <c r="E258" s="25">
        <v>2155</v>
      </c>
    </row>
    <row r="259" spans="1:5" x14ac:dyDescent="0.3">
      <c r="A259" s="13">
        <v>42601</v>
      </c>
      <c r="B259" s="14" t="s">
        <v>744</v>
      </c>
      <c r="C259" s="14" t="s">
        <v>741</v>
      </c>
      <c r="D259" s="14" t="s">
        <v>742</v>
      </c>
      <c r="E259" s="25">
        <v>3723</v>
      </c>
    </row>
    <row r="260" spans="1:5" x14ac:dyDescent="0.3">
      <c r="A260" s="13">
        <v>42744</v>
      </c>
      <c r="B260" s="14" t="s">
        <v>738</v>
      </c>
      <c r="C260" s="14" t="s">
        <v>736</v>
      </c>
      <c r="D260" s="14" t="s">
        <v>742</v>
      </c>
      <c r="E260" s="25">
        <v>4228</v>
      </c>
    </row>
    <row r="261" spans="1:5" x14ac:dyDescent="0.3">
      <c r="A261" s="13">
        <v>42845</v>
      </c>
      <c r="B261" s="14" t="s">
        <v>738</v>
      </c>
      <c r="C261" s="14" t="s">
        <v>736</v>
      </c>
      <c r="D261" s="14" t="s">
        <v>742</v>
      </c>
      <c r="E261" s="25">
        <v>331</v>
      </c>
    </row>
    <row r="262" spans="1:5" x14ac:dyDescent="0.3">
      <c r="A262" s="13">
        <v>42452</v>
      </c>
      <c r="B262" s="14" t="s">
        <v>744</v>
      </c>
      <c r="C262" s="14" t="s">
        <v>745</v>
      </c>
      <c r="D262" s="14" t="s">
        <v>739</v>
      </c>
      <c r="E262" s="25">
        <v>1167</v>
      </c>
    </row>
    <row r="263" spans="1:5" x14ac:dyDescent="0.3">
      <c r="A263" s="13">
        <v>42840</v>
      </c>
      <c r="B263" s="14" t="s">
        <v>735</v>
      </c>
      <c r="C263" s="14" t="s">
        <v>741</v>
      </c>
      <c r="D263" s="14" t="s">
        <v>737</v>
      </c>
      <c r="E263" s="25">
        <v>1317</v>
      </c>
    </row>
    <row r="264" spans="1:5" x14ac:dyDescent="0.3">
      <c r="A264" s="13">
        <v>42584</v>
      </c>
      <c r="B264" s="14" t="s">
        <v>744</v>
      </c>
      <c r="C264" s="14" t="s">
        <v>741</v>
      </c>
      <c r="D264" s="14" t="s">
        <v>739</v>
      </c>
      <c r="E264" s="25">
        <v>1948</v>
      </c>
    </row>
    <row r="265" spans="1:5" x14ac:dyDescent="0.3">
      <c r="A265" s="13">
        <v>42617</v>
      </c>
      <c r="B265" s="14" t="s">
        <v>738</v>
      </c>
      <c r="C265" s="14" t="s">
        <v>736</v>
      </c>
      <c r="D265" s="14" t="s">
        <v>743</v>
      </c>
      <c r="E265" s="25">
        <v>3977</v>
      </c>
    </row>
    <row r="266" spans="1:5" x14ac:dyDescent="0.3">
      <c r="A266" s="13">
        <v>42540</v>
      </c>
      <c r="B266" s="14" t="s">
        <v>738</v>
      </c>
      <c r="C266" s="14" t="s">
        <v>736</v>
      </c>
      <c r="D266" s="14" t="s">
        <v>743</v>
      </c>
      <c r="E266" s="25">
        <v>3890</v>
      </c>
    </row>
    <row r="267" spans="1:5" x14ac:dyDescent="0.3">
      <c r="A267" s="13">
        <v>42872</v>
      </c>
      <c r="B267" s="14" t="s">
        <v>738</v>
      </c>
      <c r="C267" s="14" t="s">
        <v>736</v>
      </c>
      <c r="D267" s="14" t="s">
        <v>739</v>
      </c>
      <c r="E267" s="25">
        <v>4952</v>
      </c>
    </row>
    <row r="268" spans="1:5" x14ac:dyDescent="0.3">
      <c r="A268" s="13">
        <v>42930</v>
      </c>
      <c r="B268" s="14" t="s">
        <v>738</v>
      </c>
      <c r="C268" s="14" t="s">
        <v>736</v>
      </c>
      <c r="D268" s="14" t="s">
        <v>739</v>
      </c>
      <c r="E268" s="25">
        <v>4144</v>
      </c>
    </row>
    <row r="269" spans="1:5" x14ac:dyDescent="0.3">
      <c r="A269" s="13">
        <v>42950</v>
      </c>
      <c r="B269" s="14" t="s">
        <v>744</v>
      </c>
      <c r="C269" s="14" t="s">
        <v>741</v>
      </c>
      <c r="D269" s="14" t="s">
        <v>742</v>
      </c>
      <c r="E269" s="25">
        <v>1640</v>
      </c>
    </row>
    <row r="270" spans="1:5" x14ac:dyDescent="0.3">
      <c r="A270" s="13">
        <v>42657</v>
      </c>
      <c r="B270" s="14" t="s">
        <v>744</v>
      </c>
      <c r="C270" s="14" t="s">
        <v>741</v>
      </c>
      <c r="D270" s="14" t="s">
        <v>743</v>
      </c>
      <c r="E270" s="25">
        <v>3829</v>
      </c>
    </row>
    <row r="271" spans="1:5" x14ac:dyDescent="0.3">
      <c r="A271" s="13">
        <v>42880</v>
      </c>
      <c r="B271" s="14" t="s">
        <v>738</v>
      </c>
      <c r="C271" s="14" t="s">
        <v>736</v>
      </c>
      <c r="D271" s="14" t="s">
        <v>742</v>
      </c>
      <c r="E271" s="25">
        <v>2378</v>
      </c>
    </row>
    <row r="272" spans="1:5" x14ac:dyDescent="0.3">
      <c r="A272" s="13">
        <v>42741</v>
      </c>
      <c r="B272" s="14" t="s">
        <v>740</v>
      </c>
      <c r="C272" s="14" t="s">
        <v>741</v>
      </c>
      <c r="D272" s="14" t="s">
        <v>743</v>
      </c>
      <c r="E272" s="25">
        <v>1354</v>
      </c>
    </row>
    <row r="273" spans="1:5" x14ac:dyDescent="0.3">
      <c r="A273" s="13">
        <v>42444</v>
      </c>
      <c r="B273" s="14" t="s">
        <v>735</v>
      </c>
      <c r="C273" s="14" t="s">
        <v>736</v>
      </c>
      <c r="D273" s="14" t="s">
        <v>739</v>
      </c>
      <c r="E273" s="25">
        <v>3707</v>
      </c>
    </row>
    <row r="274" spans="1:5" x14ac:dyDescent="0.3">
      <c r="A274" s="13">
        <v>42635</v>
      </c>
      <c r="B274" s="14" t="s">
        <v>738</v>
      </c>
      <c r="C274" s="14" t="s">
        <v>736</v>
      </c>
      <c r="D274" s="14" t="s">
        <v>743</v>
      </c>
      <c r="E274" s="25">
        <v>4608</v>
      </c>
    </row>
    <row r="275" spans="1:5" x14ac:dyDescent="0.3">
      <c r="A275" s="13">
        <v>42783</v>
      </c>
      <c r="B275" s="14" t="s">
        <v>735</v>
      </c>
      <c r="C275" s="14" t="s">
        <v>741</v>
      </c>
      <c r="D275" s="14" t="s">
        <v>737</v>
      </c>
      <c r="E275" s="25">
        <v>1911</v>
      </c>
    </row>
    <row r="276" spans="1:5" x14ac:dyDescent="0.3">
      <c r="A276" s="13">
        <v>42534</v>
      </c>
      <c r="B276" s="14" t="s">
        <v>744</v>
      </c>
      <c r="C276" s="14" t="s">
        <v>741</v>
      </c>
      <c r="D276" s="14" t="s">
        <v>742</v>
      </c>
      <c r="E276" s="25">
        <v>3876</v>
      </c>
    </row>
    <row r="277" spans="1:5" x14ac:dyDescent="0.3">
      <c r="A277" s="13">
        <v>43084</v>
      </c>
      <c r="B277" s="14" t="s">
        <v>738</v>
      </c>
      <c r="C277" s="14" t="s">
        <v>736</v>
      </c>
      <c r="D277" s="14" t="s">
        <v>737</v>
      </c>
      <c r="E277" s="25">
        <v>2440</v>
      </c>
    </row>
    <row r="278" spans="1:5" x14ac:dyDescent="0.3">
      <c r="A278" s="13">
        <v>42569</v>
      </c>
      <c r="B278" s="14" t="s">
        <v>738</v>
      </c>
      <c r="C278" s="14" t="s">
        <v>736</v>
      </c>
      <c r="D278" s="14" t="s">
        <v>739</v>
      </c>
      <c r="E278" s="25">
        <v>3081</v>
      </c>
    </row>
    <row r="279" spans="1:5" x14ac:dyDescent="0.3">
      <c r="A279" s="13">
        <v>42418</v>
      </c>
      <c r="B279" s="14" t="s">
        <v>740</v>
      </c>
      <c r="C279" s="14" t="s">
        <v>741</v>
      </c>
      <c r="D279" s="14" t="s">
        <v>737</v>
      </c>
      <c r="E279" s="25">
        <v>635</v>
      </c>
    </row>
    <row r="280" spans="1:5" x14ac:dyDescent="0.3">
      <c r="A280" s="13">
        <v>42656</v>
      </c>
      <c r="B280" s="14" t="s">
        <v>735</v>
      </c>
      <c r="C280" s="14" t="s">
        <v>741</v>
      </c>
      <c r="D280" s="14" t="s">
        <v>739</v>
      </c>
      <c r="E280" s="25">
        <v>1900</v>
      </c>
    </row>
    <row r="281" spans="1:5" x14ac:dyDescent="0.3">
      <c r="A281" s="13">
        <v>42618</v>
      </c>
      <c r="B281" s="14" t="s">
        <v>744</v>
      </c>
      <c r="C281" s="14" t="s">
        <v>741</v>
      </c>
      <c r="D281" s="14" t="s">
        <v>743</v>
      </c>
      <c r="E281" s="25">
        <v>1169</v>
      </c>
    </row>
    <row r="282" spans="1:5" x14ac:dyDescent="0.3">
      <c r="A282" s="13">
        <v>42449</v>
      </c>
      <c r="B282" s="14" t="s">
        <v>735</v>
      </c>
      <c r="C282" s="14" t="s">
        <v>736</v>
      </c>
      <c r="D282" s="14" t="s">
        <v>743</v>
      </c>
      <c r="E282" s="25">
        <v>3146</v>
      </c>
    </row>
    <row r="283" spans="1:5" x14ac:dyDescent="0.3">
      <c r="A283" s="13">
        <v>43075</v>
      </c>
      <c r="B283" s="14" t="s">
        <v>738</v>
      </c>
      <c r="C283" s="14" t="s">
        <v>736</v>
      </c>
      <c r="D283" s="14" t="s">
        <v>743</v>
      </c>
      <c r="E283" s="25">
        <v>938</v>
      </c>
    </row>
    <row r="284" spans="1:5" x14ac:dyDescent="0.3">
      <c r="A284" s="13">
        <v>42919</v>
      </c>
      <c r="B284" s="14" t="s">
        <v>746</v>
      </c>
      <c r="C284" s="14" t="s">
        <v>736</v>
      </c>
      <c r="D284" s="14" t="s">
        <v>739</v>
      </c>
      <c r="E284" s="25">
        <v>4954</v>
      </c>
    </row>
    <row r="285" spans="1:5" x14ac:dyDescent="0.3">
      <c r="A285" s="13">
        <v>42797</v>
      </c>
      <c r="B285" s="14" t="s">
        <v>746</v>
      </c>
      <c r="C285" s="14" t="s">
        <v>736</v>
      </c>
      <c r="D285" s="14" t="s">
        <v>742</v>
      </c>
      <c r="E285" s="25">
        <v>2180</v>
      </c>
    </row>
    <row r="286" spans="1:5" x14ac:dyDescent="0.3">
      <c r="A286" s="13">
        <v>42501</v>
      </c>
      <c r="B286" s="14" t="s">
        <v>738</v>
      </c>
      <c r="C286" s="14" t="s">
        <v>736</v>
      </c>
      <c r="D286" s="14" t="s">
        <v>739</v>
      </c>
      <c r="E286" s="25">
        <v>629</v>
      </c>
    </row>
    <row r="287" spans="1:5" x14ac:dyDescent="0.3">
      <c r="A287" s="13">
        <v>42659</v>
      </c>
      <c r="B287" s="14" t="s">
        <v>746</v>
      </c>
      <c r="C287" s="14" t="s">
        <v>736</v>
      </c>
      <c r="D287" s="14" t="s">
        <v>737</v>
      </c>
      <c r="E287" s="25">
        <v>296</v>
      </c>
    </row>
    <row r="288" spans="1:5" x14ac:dyDescent="0.3">
      <c r="A288" s="13">
        <v>42393</v>
      </c>
      <c r="B288" s="14" t="s">
        <v>738</v>
      </c>
      <c r="C288" s="14" t="s">
        <v>736</v>
      </c>
      <c r="D288" s="14" t="s">
        <v>743</v>
      </c>
      <c r="E288" s="25">
        <v>3767</v>
      </c>
    </row>
    <row r="289" spans="1:5" x14ac:dyDescent="0.3">
      <c r="A289" s="13">
        <v>42446</v>
      </c>
      <c r="B289" s="14" t="s">
        <v>738</v>
      </c>
      <c r="C289" s="14" t="s">
        <v>736</v>
      </c>
      <c r="D289" s="14" t="s">
        <v>737</v>
      </c>
      <c r="E289" s="25">
        <v>4403</v>
      </c>
    </row>
    <row r="290" spans="1:5" x14ac:dyDescent="0.3">
      <c r="A290" s="13">
        <v>43047</v>
      </c>
      <c r="B290" s="14" t="s">
        <v>744</v>
      </c>
      <c r="C290" s="14" t="s">
        <v>741</v>
      </c>
      <c r="D290" s="14" t="s">
        <v>737</v>
      </c>
      <c r="E290" s="25">
        <v>2974</v>
      </c>
    </row>
    <row r="291" spans="1:5" x14ac:dyDescent="0.3">
      <c r="A291" s="13">
        <v>42552</v>
      </c>
      <c r="B291" s="14" t="s">
        <v>746</v>
      </c>
      <c r="C291" s="14" t="s">
        <v>736</v>
      </c>
      <c r="D291" s="14" t="s">
        <v>743</v>
      </c>
      <c r="E291" s="25">
        <v>193</v>
      </c>
    </row>
    <row r="292" spans="1:5" x14ac:dyDescent="0.3">
      <c r="A292" s="13">
        <v>42845</v>
      </c>
      <c r="B292" s="14" t="s">
        <v>740</v>
      </c>
      <c r="C292" s="14" t="s">
        <v>741</v>
      </c>
      <c r="D292" s="14" t="s">
        <v>743</v>
      </c>
      <c r="E292" s="25">
        <v>875</v>
      </c>
    </row>
    <row r="293" spans="1:5" x14ac:dyDescent="0.3">
      <c r="A293" s="13">
        <v>42422</v>
      </c>
      <c r="B293" s="14" t="s">
        <v>744</v>
      </c>
      <c r="C293" s="14" t="s">
        <v>745</v>
      </c>
      <c r="D293" s="14" t="s">
        <v>742</v>
      </c>
      <c r="E293" s="25">
        <v>3043</v>
      </c>
    </row>
    <row r="294" spans="1:5" x14ac:dyDescent="0.3">
      <c r="A294" s="13">
        <v>42644</v>
      </c>
      <c r="B294" s="14" t="s">
        <v>740</v>
      </c>
      <c r="C294" s="14" t="s">
        <v>741</v>
      </c>
      <c r="D294" s="14" t="s">
        <v>737</v>
      </c>
      <c r="E294" s="25">
        <v>4530</v>
      </c>
    </row>
    <row r="295" spans="1:5" x14ac:dyDescent="0.3">
      <c r="A295" s="13">
        <v>42771</v>
      </c>
      <c r="B295" s="14" t="s">
        <v>746</v>
      </c>
      <c r="C295" s="14" t="s">
        <v>736</v>
      </c>
      <c r="D295" s="14" t="s">
        <v>739</v>
      </c>
      <c r="E295" s="25">
        <v>3786</v>
      </c>
    </row>
    <row r="296" spans="1:5" x14ac:dyDescent="0.3">
      <c r="A296" s="13">
        <v>42791</v>
      </c>
      <c r="B296" s="14" t="s">
        <v>747</v>
      </c>
      <c r="C296" s="14" t="s">
        <v>741</v>
      </c>
      <c r="D296" s="14" t="s">
        <v>739</v>
      </c>
      <c r="E296" s="25">
        <v>4607</v>
      </c>
    </row>
    <row r="297" spans="1:5" x14ac:dyDescent="0.3">
      <c r="A297" s="13">
        <v>42532</v>
      </c>
      <c r="B297" s="14" t="s">
        <v>738</v>
      </c>
      <c r="C297" s="14" t="s">
        <v>736</v>
      </c>
      <c r="D297" s="14" t="s">
        <v>737</v>
      </c>
      <c r="E297" s="25">
        <v>1720</v>
      </c>
    </row>
    <row r="298" spans="1:5" x14ac:dyDescent="0.3">
      <c r="A298" s="13">
        <v>42705</v>
      </c>
      <c r="B298" s="14" t="s">
        <v>738</v>
      </c>
      <c r="C298" s="14" t="s">
        <v>736</v>
      </c>
      <c r="D298" s="14" t="s">
        <v>743</v>
      </c>
      <c r="E298" s="25">
        <v>2568</v>
      </c>
    </row>
    <row r="299" spans="1:5" x14ac:dyDescent="0.3">
      <c r="A299" s="13">
        <v>43003</v>
      </c>
      <c r="B299" s="14" t="s">
        <v>740</v>
      </c>
      <c r="C299" s="14" t="s">
        <v>741</v>
      </c>
      <c r="D299" s="14" t="s">
        <v>743</v>
      </c>
      <c r="E299" s="25">
        <v>2984</v>
      </c>
    </row>
    <row r="300" spans="1:5" x14ac:dyDescent="0.3">
      <c r="A300" s="13">
        <v>42402</v>
      </c>
      <c r="B300" s="14" t="s">
        <v>744</v>
      </c>
      <c r="C300" s="14" t="s">
        <v>745</v>
      </c>
      <c r="D300" s="14" t="s">
        <v>739</v>
      </c>
      <c r="E300" s="25">
        <v>4493</v>
      </c>
    </row>
    <row r="301" spans="1:5" x14ac:dyDescent="0.3">
      <c r="A301" s="13">
        <v>42715</v>
      </c>
      <c r="B301" s="14" t="s">
        <v>738</v>
      </c>
      <c r="C301" s="14" t="s">
        <v>736</v>
      </c>
      <c r="D301" s="14" t="s">
        <v>739</v>
      </c>
      <c r="E301" s="25">
        <v>4195</v>
      </c>
    </row>
    <row r="302" spans="1:5" x14ac:dyDescent="0.3">
      <c r="A302" s="13">
        <v>42564</v>
      </c>
      <c r="B302" s="14" t="s">
        <v>740</v>
      </c>
      <c r="C302" s="14" t="s">
        <v>741</v>
      </c>
      <c r="D302" s="14" t="s">
        <v>737</v>
      </c>
      <c r="E302" s="25">
        <v>4285</v>
      </c>
    </row>
    <row r="303" spans="1:5" x14ac:dyDescent="0.3">
      <c r="A303" s="13">
        <v>42441</v>
      </c>
      <c r="B303" s="14" t="s">
        <v>735</v>
      </c>
      <c r="C303" s="14" t="s">
        <v>741</v>
      </c>
      <c r="D303" s="14" t="s">
        <v>743</v>
      </c>
      <c r="E303" s="25">
        <v>1711</v>
      </c>
    </row>
    <row r="304" spans="1:5" x14ac:dyDescent="0.3">
      <c r="A304" s="13">
        <v>42838</v>
      </c>
      <c r="B304" s="14" t="s">
        <v>738</v>
      </c>
      <c r="C304" s="14" t="s">
        <v>736</v>
      </c>
      <c r="D304" s="14" t="s">
        <v>743</v>
      </c>
      <c r="E304" s="25">
        <v>2194</v>
      </c>
    </row>
    <row r="305" spans="1:5" x14ac:dyDescent="0.3">
      <c r="A305" s="13">
        <v>42371</v>
      </c>
      <c r="B305" s="14" t="s">
        <v>738</v>
      </c>
      <c r="C305" s="14" t="s">
        <v>736</v>
      </c>
      <c r="D305" s="14" t="s">
        <v>743</v>
      </c>
      <c r="E305" s="25">
        <v>1111</v>
      </c>
    </row>
    <row r="306" spans="1:5" x14ac:dyDescent="0.3">
      <c r="A306" s="13">
        <v>42461</v>
      </c>
      <c r="B306" s="14" t="s">
        <v>746</v>
      </c>
      <c r="C306" s="14" t="s">
        <v>736</v>
      </c>
      <c r="D306" s="14" t="s">
        <v>742</v>
      </c>
      <c r="E306" s="25">
        <v>4783</v>
      </c>
    </row>
    <row r="307" spans="1:5" x14ac:dyDescent="0.3">
      <c r="A307" s="13">
        <v>43092</v>
      </c>
      <c r="B307" s="14" t="s">
        <v>744</v>
      </c>
      <c r="C307" s="14" t="s">
        <v>741</v>
      </c>
      <c r="D307" s="14" t="s">
        <v>743</v>
      </c>
      <c r="E307" s="25">
        <v>494</v>
      </c>
    </row>
    <row r="308" spans="1:5" x14ac:dyDescent="0.3">
      <c r="A308" s="13">
        <v>42940</v>
      </c>
      <c r="B308" s="14" t="s">
        <v>735</v>
      </c>
      <c r="C308" s="14" t="s">
        <v>736</v>
      </c>
      <c r="D308" s="14" t="s">
        <v>739</v>
      </c>
      <c r="E308" s="25">
        <v>2137</v>
      </c>
    </row>
    <row r="309" spans="1:5" x14ac:dyDescent="0.3">
      <c r="A309" s="13">
        <v>42565</v>
      </c>
      <c r="B309" s="14" t="s">
        <v>740</v>
      </c>
      <c r="C309" s="14" t="s">
        <v>741</v>
      </c>
      <c r="D309" s="14" t="s">
        <v>743</v>
      </c>
      <c r="E309" s="25">
        <v>2945</v>
      </c>
    </row>
    <row r="310" spans="1:5" x14ac:dyDescent="0.3">
      <c r="A310" s="13">
        <v>42936</v>
      </c>
      <c r="B310" s="14" t="s">
        <v>744</v>
      </c>
      <c r="C310" s="14" t="s">
        <v>741</v>
      </c>
      <c r="D310" s="14" t="s">
        <v>739</v>
      </c>
      <c r="E310" s="25">
        <v>868</v>
      </c>
    </row>
    <row r="311" spans="1:5" x14ac:dyDescent="0.3">
      <c r="A311" s="13">
        <v>42383</v>
      </c>
      <c r="B311" s="14" t="s">
        <v>738</v>
      </c>
      <c r="C311" s="14" t="s">
        <v>736</v>
      </c>
      <c r="D311" s="14" t="s">
        <v>739</v>
      </c>
      <c r="E311" s="25">
        <v>2345</v>
      </c>
    </row>
    <row r="312" spans="1:5" x14ac:dyDescent="0.3">
      <c r="A312" s="13">
        <v>42929</v>
      </c>
      <c r="B312" s="14" t="s">
        <v>746</v>
      </c>
      <c r="C312" s="14" t="s">
        <v>736</v>
      </c>
      <c r="D312" s="14" t="s">
        <v>739</v>
      </c>
      <c r="E312" s="25">
        <v>4054</v>
      </c>
    </row>
    <row r="313" spans="1:5" x14ac:dyDescent="0.3">
      <c r="A313" s="13">
        <v>42556</v>
      </c>
      <c r="B313" s="14" t="s">
        <v>740</v>
      </c>
      <c r="C313" s="14" t="s">
        <v>741</v>
      </c>
      <c r="D313" s="14" t="s">
        <v>737</v>
      </c>
      <c r="E313" s="25">
        <v>2734</v>
      </c>
    </row>
    <row r="314" spans="1:5" x14ac:dyDescent="0.3">
      <c r="A314" s="13">
        <v>42850</v>
      </c>
      <c r="B314" s="14" t="s">
        <v>738</v>
      </c>
      <c r="C314" s="14" t="s">
        <v>736</v>
      </c>
      <c r="D314" s="14" t="s">
        <v>743</v>
      </c>
      <c r="E314" s="25">
        <v>106</v>
      </c>
    </row>
    <row r="315" spans="1:5" x14ac:dyDescent="0.3">
      <c r="A315" s="13">
        <v>42873</v>
      </c>
      <c r="B315" s="14" t="s">
        <v>740</v>
      </c>
      <c r="C315" s="14" t="s">
        <v>741</v>
      </c>
      <c r="D315" s="14" t="s">
        <v>737</v>
      </c>
      <c r="E315" s="25">
        <v>764</v>
      </c>
    </row>
    <row r="316" spans="1:5" x14ac:dyDescent="0.3">
      <c r="A316" s="13">
        <v>42854</v>
      </c>
      <c r="B316" s="14" t="s">
        <v>744</v>
      </c>
      <c r="C316" s="14" t="s">
        <v>741</v>
      </c>
      <c r="D316" s="14" t="s">
        <v>743</v>
      </c>
      <c r="E316" s="25">
        <v>3256</v>
      </c>
    </row>
    <row r="317" spans="1:5" x14ac:dyDescent="0.3">
      <c r="A317" s="13">
        <v>42509</v>
      </c>
      <c r="B317" s="14" t="s">
        <v>744</v>
      </c>
      <c r="C317" s="14" t="s">
        <v>745</v>
      </c>
      <c r="D317" s="14" t="s">
        <v>742</v>
      </c>
      <c r="E317" s="25">
        <v>4605</v>
      </c>
    </row>
    <row r="318" spans="1:5" x14ac:dyDescent="0.3">
      <c r="A318" s="13">
        <v>42816</v>
      </c>
      <c r="B318" s="14" t="s">
        <v>738</v>
      </c>
      <c r="C318" s="14" t="s">
        <v>736</v>
      </c>
      <c r="D318" s="14" t="s">
        <v>743</v>
      </c>
      <c r="E318" s="25">
        <v>3449</v>
      </c>
    </row>
    <row r="319" spans="1:5" x14ac:dyDescent="0.3">
      <c r="A319" s="13">
        <v>42991</v>
      </c>
      <c r="B319" s="14" t="s">
        <v>740</v>
      </c>
      <c r="C319" s="14" t="s">
        <v>741</v>
      </c>
      <c r="D319" s="14" t="s">
        <v>739</v>
      </c>
      <c r="E319" s="25">
        <v>4651</v>
      </c>
    </row>
    <row r="320" spans="1:5" x14ac:dyDescent="0.3">
      <c r="A320" s="13">
        <v>42405</v>
      </c>
      <c r="B320" s="14" t="s">
        <v>747</v>
      </c>
      <c r="C320" s="14" t="s">
        <v>741</v>
      </c>
      <c r="D320" s="14" t="s">
        <v>743</v>
      </c>
      <c r="E320" s="25">
        <v>4091</v>
      </c>
    </row>
    <row r="321" spans="1:5" x14ac:dyDescent="0.3">
      <c r="A321" s="13">
        <v>42728</v>
      </c>
      <c r="B321" s="14" t="s">
        <v>744</v>
      </c>
      <c r="C321" s="14" t="s">
        <v>741</v>
      </c>
      <c r="D321" s="14" t="s">
        <v>742</v>
      </c>
      <c r="E321" s="25">
        <v>1590</v>
      </c>
    </row>
    <row r="322" spans="1:5" x14ac:dyDescent="0.3">
      <c r="A322" s="13">
        <v>42397</v>
      </c>
      <c r="B322" s="14" t="s">
        <v>744</v>
      </c>
      <c r="C322" s="14" t="s">
        <v>741</v>
      </c>
      <c r="D322" s="14" t="s">
        <v>743</v>
      </c>
      <c r="E322" s="25">
        <v>1796</v>
      </c>
    </row>
    <row r="323" spans="1:5" x14ac:dyDescent="0.3">
      <c r="A323" s="13">
        <v>42922</v>
      </c>
      <c r="B323" s="14" t="s">
        <v>738</v>
      </c>
      <c r="C323" s="14" t="s">
        <v>736</v>
      </c>
      <c r="D323" s="14" t="s">
        <v>743</v>
      </c>
      <c r="E323" s="25">
        <v>4101</v>
      </c>
    </row>
    <row r="324" spans="1:5" x14ac:dyDescent="0.3">
      <c r="A324" s="13">
        <v>42964</v>
      </c>
      <c r="B324" s="14" t="s">
        <v>735</v>
      </c>
      <c r="C324" s="14" t="s">
        <v>736</v>
      </c>
      <c r="D324" s="14" t="s">
        <v>739</v>
      </c>
      <c r="E324" s="25">
        <v>3509</v>
      </c>
    </row>
    <row r="325" spans="1:5" x14ac:dyDescent="0.3">
      <c r="A325" s="13">
        <v>42943</v>
      </c>
      <c r="B325" s="14" t="s">
        <v>740</v>
      </c>
      <c r="C325" s="14" t="s">
        <v>741</v>
      </c>
      <c r="D325" s="14" t="s">
        <v>743</v>
      </c>
      <c r="E325" s="25">
        <v>1576</v>
      </c>
    </row>
    <row r="326" spans="1:5" x14ac:dyDescent="0.3">
      <c r="A326" s="13">
        <v>42542</v>
      </c>
      <c r="B326" s="14" t="s">
        <v>744</v>
      </c>
      <c r="C326" s="14" t="s">
        <v>741</v>
      </c>
      <c r="D326" s="14" t="s">
        <v>743</v>
      </c>
      <c r="E326" s="25">
        <v>902</v>
      </c>
    </row>
    <row r="327" spans="1:5" x14ac:dyDescent="0.3">
      <c r="A327" s="13">
        <v>43032</v>
      </c>
      <c r="B327" s="14" t="s">
        <v>747</v>
      </c>
      <c r="C327" s="14" t="s">
        <v>741</v>
      </c>
      <c r="D327" s="14" t="s">
        <v>743</v>
      </c>
      <c r="E327" s="25">
        <v>4048</v>
      </c>
    </row>
    <row r="328" spans="1:5" x14ac:dyDescent="0.3">
      <c r="A328" s="13">
        <v>42802</v>
      </c>
      <c r="B328" s="14" t="s">
        <v>746</v>
      </c>
      <c r="C328" s="14" t="s">
        <v>736</v>
      </c>
      <c r="D328" s="14" t="s">
        <v>737</v>
      </c>
      <c r="E328" s="25">
        <v>2273</v>
      </c>
    </row>
    <row r="329" spans="1:5" x14ac:dyDescent="0.3">
      <c r="A329" s="13">
        <v>42496</v>
      </c>
      <c r="B329" s="14" t="s">
        <v>735</v>
      </c>
      <c r="C329" s="14" t="s">
        <v>741</v>
      </c>
      <c r="D329" s="14" t="s">
        <v>737</v>
      </c>
      <c r="E329" s="25">
        <v>2961</v>
      </c>
    </row>
    <row r="330" spans="1:5" x14ac:dyDescent="0.3">
      <c r="A330" s="13">
        <v>42816</v>
      </c>
      <c r="B330" s="14" t="s">
        <v>738</v>
      </c>
      <c r="C330" s="14" t="s">
        <v>736</v>
      </c>
      <c r="D330" s="14" t="s">
        <v>742</v>
      </c>
      <c r="E330" s="25">
        <v>191</v>
      </c>
    </row>
    <row r="331" spans="1:5" x14ac:dyDescent="0.3">
      <c r="A331" s="13">
        <v>42934</v>
      </c>
      <c r="B331" s="14" t="s">
        <v>738</v>
      </c>
      <c r="C331" s="14" t="s">
        <v>736</v>
      </c>
      <c r="D331" s="14" t="s">
        <v>742</v>
      </c>
      <c r="E331" s="25">
        <v>3579</v>
      </c>
    </row>
    <row r="332" spans="1:5" x14ac:dyDescent="0.3">
      <c r="A332" s="13">
        <v>42477</v>
      </c>
      <c r="B332" s="14" t="s">
        <v>738</v>
      </c>
      <c r="C332" s="14" t="s">
        <v>736</v>
      </c>
      <c r="D332" s="14" t="s">
        <v>742</v>
      </c>
      <c r="E332" s="25">
        <v>650</v>
      </c>
    </row>
    <row r="333" spans="1:5" x14ac:dyDescent="0.3">
      <c r="A333" s="13">
        <v>42527</v>
      </c>
      <c r="B333" s="14" t="s">
        <v>735</v>
      </c>
      <c r="C333" s="14" t="s">
        <v>736</v>
      </c>
      <c r="D333" s="14" t="s">
        <v>742</v>
      </c>
      <c r="E333" s="25">
        <v>4046</v>
      </c>
    </row>
    <row r="334" spans="1:5" x14ac:dyDescent="0.3">
      <c r="A334" s="13">
        <v>43088</v>
      </c>
      <c r="B334" s="14" t="s">
        <v>735</v>
      </c>
      <c r="C334" s="14" t="s">
        <v>736</v>
      </c>
      <c r="D334" s="14" t="s">
        <v>742</v>
      </c>
      <c r="E334" s="25">
        <v>4822</v>
      </c>
    </row>
    <row r="335" spans="1:5" x14ac:dyDescent="0.3">
      <c r="A335" s="13">
        <v>42971</v>
      </c>
      <c r="B335" s="14" t="s">
        <v>735</v>
      </c>
      <c r="C335" s="14" t="s">
        <v>741</v>
      </c>
      <c r="D335" s="14" t="s">
        <v>743</v>
      </c>
      <c r="E335" s="25">
        <v>664</v>
      </c>
    </row>
    <row r="336" spans="1:5" x14ac:dyDescent="0.3">
      <c r="A336" s="13">
        <v>42744</v>
      </c>
      <c r="B336" s="14" t="s">
        <v>744</v>
      </c>
      <c r="C336" s="14" t="s">
        <v>745</v>
      </c>
      <c r="D336" s="14" t="s">
        <v>739</v>
      </c>
      <c r="E336" s="25">
        <v>3394</v>
      </c>
    </row>
    <row r="337" spans="1:5" x14ac:dyDescent="0.3">
      <c r="A337" s="13">
        <v>42412</v>
      </c>
      <c r="B337" s="14" t="s">
        <v>744</v>
      </c>
      <c r="C337" s="14" t="s">
        <v>745</v>
      </c>
      <c r="D337" s="14" t="s">
        <v>743</v>
      </c>
      <c r="E337" s="25">
        <v>4008</v>
      </c>
    </row>
    <row r="338" spans="1:5" x14ac:dyDescent="0.3">
      <c r="A338" s="13">
        <v>42498</v>
      </c>
      <c r="B338" s="14" t="s">
        <v>738</v>
      </c>
      <c r="C338" s="14" t="s">
        <v>736</v>
      </c>
      <c r="D338" s="14" t="s">
        <v>737</v>
      </c>
      <c r="E338" s="25">
        <v>3200</v>
      </c>
    </row>
    <row r="339" spans="1:5" x14ac:dyDescent="0.3">
      <c r="A339" s="13">
        <v>43054</v>
      </c>
      <c r="B339" s="14" t="s">
        <v>740</v>
      </c>
      <c r="C339" s="14" t="s">
        <v>741</v>
      </c>
      <c r="D339" s="14" t="s">
        <v>737</v>
      </c>
      <c r="E339" s="25">
        <v>4587</v>
      </c>
    </row>
    <row r="340" spans="1:5" x14ac:dyDescent="0.3">
      <c r="A340" s="13">
        <v>42616</v>
      </c>
      <c r="B340" s="14" t="s">
        <v>738</v>
      </c>
      <c r="C340" s="14" t="s">
        <v>736</v>
      </c>
      <c r="D340" s="14" t="s">
        <v>743</v>
      </c>
      <c r="E340" s="25">
        <v>1600</v>
      </c>
    </row>
    <row r="341" spans="1:5" x14ac:dyDescent="0.3">
      <c r="A341" s="13">
        <v>42841</v>
      </c>
      <c r="B341" s="14" t="s">
        <v>740</v>
      </c>
      <c r="C341" s="14" t="s">
        <v>741</v>
      </c>
      <c r="D341" s="14" t="s">
        <v>737</v>
      </c>
      <c r="E341" s="25">
        <v>4636</v>
      </c>
    </row>
    <row r="342" spans="1:5" x14ac:dyDescent="0.3">
      <c r="A342" s="13">
        <v>42767</v>
      </c>
      <c r="B342" s="14" t="s">
        <v>738</v>
      </c>
      <c r="C342" s="14" t="s">
        <v>736</v>
      </c>
      <c r="D342" s="14" t="s">
        <v>743</v>
      </c>
      <c r="E342" s="25">
        <v>1473</v>
      </c>
    </row>
    <row r="343" spans="1:5" x14ac:dyDescent="0.3">
      <c r="A343" s="13">
        <v>42423</v>
      </c>
      <c r="B343" s="14" t="s">
        <v>735</v>
      </c>
      <c r="C343" s="14" t="s">
        <v>736</v>
      </c>
      <c r="D343" s="14" t="s">
        <v>742</v>
      </c>
      <c r="E343" s="25">
        <v>3951</v>
      </c>
    </row>
    <row r="344" spans="1:5" x14ac:dyDescent="0.3">
      <c r="A344" s="13">
        <v>43074</v>
      </c>
      <c r="B344" s="14" t="s">
        <v>738</v>
      </c>
      <c r="C344" s="14" t="s">
        <v>736</v>
      </c>
      <c r="D344" s="14" t="s">
        <v>737</v>
      </c>
      <c r="E344" s="25">
        <v>1234</v>
      </c>
    </row>
    <row r="345" spans="1:5" x14ac:dyDescent="0.3">
      <c r="A345" s="13">
        <v>43035</v>
      </c>
      <c r="B345" s="14" t="s">
        <v>740</v>
      </c>
      <c r="C345" s="14" t="s">
        <v>741</v>
      </c>
      <c r="D345" s="14" t="s">
        <v>742</v>
      </c>
      <c r="E345" s="25">
        <v>1721</v>
      </c>
    </row>
    <row r="346" spans="1:5" x14ac:dyDescent="0.3">
      <c r="A346" s="13">
        <v>42956</v>
      </c>
      <c r="B346" s="14" t="s">
        <v>744</v>
      </c>
      <c r="C346" s="14" t="s">
        <v>741</v>
      </c>
      <c r="D346" s="14" t="s">
        <v>739</v>
      </c>
      <c r="E346" s="25">
        <v>242</v>
      </c>
    </row>
    <row r="347" spans="1:5" x14ac:dyDescent="0.3">
      <c r="A347" s="13">
        <v>42616</v>
      </c>
      <c r="B347" s="14" t="s">
        <v>738</v>
      </c>
      <c r="C347" s="14" t="s">
        <v>736</v>
      </c>
      <c r="D347" s="14" t="s">
        <v>742</v>
      </c>
      <c r="E347" s="25">
        <v>1331</v>
      </c>
    </row>
    <row r="348" spans="1:5" x14ac:dyDescent="0.3">
      <c r="A348" s="13">
        <v>42515</v>
      </c>
      <c r="B348" s="14" t="s">
        <v>738</v>
      </c>
      <c r="C348" s="14" t="s">
        <v>736</v>
      </c>
      <c r="D348" s="14" t="s">
        <v>742</v>
      </c>
      <c r="E348" s="25">
        <v>3806</v>
      </c>
    </row>
    <row r="349" spans="1:5" x14ac:dyDescent="0.3">
      <c r="A349" s="13">
        <v>42455</v>
      </c>
      <c r="B349" s="14" t="s">
        <v>738</v>
      </c>
      <c r="C349" s="14" t="s">
        <v>736</v>
      </c>
      <c r="D349" s="14" t="s">
        <v>742</v>
      </c>
      <c r="E349" s="25">
        <v>3028</v>
      </c>
    </row>
    <row r="350" spans="1:5" x14ac:dyDescent="0.3">
      <c r="A350" s="13">
        <v>42775</v>
      </c>
      <c r="B350" s="14" t="s">
        <v>744</v>
      </c>
      <c r="C350" s="14" t="s">
        <v>741</v>
      </c>
      <c r="D350" s="14" t="s">
        <v>739</v>
      </c>
      <c r="E350" s="25">
        <v>273</v>
      </c>
    </row>
    <row r="351" spans="1:5" x14ac:dyDescent="0.3">
      <c r="A351" s="13">
        <v>42730</v>
      </c>
      <c r="B351" s="14" t="s">
        <v>744</v>
      </c>
      <c r="C351" s="14" t="s">
        <v>741</v>
      </c>
      <c r="D351" s="14" t="s">
        <v>742</v>
      </c>
      <c r="E351" s="25">
        <v>2490</v>
      </c>
    </row>
    <row r="352" spans="1:5" x14ac:dyDescent="0.3">
      <c r="A352" s="13">
        <v>42415</v>
      </c>
      <c r="B352" s="14" t="s">
        <v>740</v>
      </c>
      <c r="C352" s="14" t="s">
        <v>741</v>
      </c>
      <c r="D352" s="14" t="s">
        <v>742</v>
      </c>
      <c r="E352" s="25">
        <v>1570</v>
      </c>
    </row>
    <row r="353" spans="1:5" x14ac:dyDescent="0.3">
      <c r="A353" s="13">
        <v>42445</v>
      </c>
      <c r="B353" s="14" t="s">
        <v>740</v>
      </c>
      <c r="C353" s="14" t="s">
        <v>741</v>
      </c>
      <c r="D353" s="14" t="s">
        <v>742</v>
      </c>
      <c r="E353" s="25">
        <v>3418</v>
      </c>
    </row>
    <row r="354" spans="1:5" x14ac:dyDescent="0.3">
      <c r="A354" s="13">
        <v>42870</v>
      </c>
      <c r="B354" s="14" t="s">
        <v>740</v>
      </c>
      <c r="C354" s="14" t="s">
        <v>741</v>
      </c>
      <c r="D354" s="14" t="s">
        <v>737</v>
      </c>
      <c r="E354" s="25">
        <v>1883</v>
      </c>
    </row>
    <row r="355" spans="1:5" x14ac:dyDescent="0.3">
      <c r="A355" s="13">
        <v>42658</v>
      </c>
      <c r="B355" s="14" t="s">
        <v>744</v>
      </c>
      <c r="C355" s="14" t="s">
        <v>745</v>
      </c>
      <c r="D355" s="14" t="s">
        <v>737</v>
      </c>
      <c r="E355" s="25">
        <v>3271</v>
      </c>
    </row>
    <row r="356" spans="1:5" x14ac:dyDescent="0.3">
      <c r="A356" s="13">
        <v>42371</v>
      </c>
      <c r="B356" s="14" t="s">
        <v>746</v>
      </c>
      <c r="C356" s="14" t="s">
        <v>736</v>
      </c>
      <c r="D356" s="14" t="s">
        <v>742</v>
      </c>
      <c r="E356" s="25">
        <v>2859</v>
      </c>
    </row>
    <row r="357" spans="1:5" x14ac:dyDescent="0.3">
      <c r="A357" s="13">
        <v>43047</v>
      </c>
      <c r="B357" s="14" t="s">
        <v>740</v>
      </c>
      <c r="C357" s="14" t="s">
        <v>741</v>
      </c>
      <c r="D357" s="14" t="s">
        <v>739</v>
      </c>
      <c r="E357" s="25">
        <v>721</v>
      </c>
    </row>
    <row r="358" spans="1:5" x14ac:dyDescent="0.3">
      <c r="A358" s="13">
        <v>42597</v>
      </c>
      <c r="B358" s="14" t="s">
        <v>744</v>
      </c>
      <c r="C358" s="14" t="s">
        <v>741</v>
      </c>
      <c r="D358" s="14" t="s">
        <v>742</v>
      </c>
      <c r="E358" s="25">
        <v>3469</v>
      </c>
    </row>
    <row r="359" spans="1:5" x14ac:dyDescent="0.3">
      <c r="A359" s="13">
        <v>42972</v>
      </c>
      <c r="B359" s="14" t="s">
        <v>738</v>
      </c>
      <c r="C359" s="14" t="s">
        <v>736</v>
      </c>
      <c r="D359" s="14" t="s">
        <v>737</v>
      </c>
      <c r="E359" s="25">
        <v>1117</v>
      </c>
    </row>
    <row r="360" spans="1:5" x14ac:dyDescent="0.3">
      <c r="A360" s="13">
        <v>43007</v>
      </c>
      <c r="B360" s="14" t="s">
        <v>735</v>
      </c>
      <c r="C360" s="14" t="s">
        <v>741</v>
      </c>
      <c r="D360" s="14" t="s">
        <v>739</v>
      </c>
      <c r="E360" s="25">
        <v>1235</v>
      </c>
    </row>
    <row r="361" spans="1:5" x14ac:dyDescent="0.3">
      <c r="A361" s="13">
        <v>42900</v>
      </c>
      <c r="B361" s="14" t="s">
        <v>738</v>
      </c>
      <c r="C361" s="14" t="s">
        <v>736</v>
      </c>
      <c r="D361" s="14" t="s">
        <v>739</v>
      </c>
      <c r="E361" s="25">
        <v>2129</v>
      </c>
    </row>
    <row r="362" spans="1:5" x14ac:dyDescent="0.3">
      <c r="A362" s="13">
        <v>43049</v>
      </c>
      <c r="B362" s="14" t="s">
        <v>738</v>
      </c>
      <c r="C362" s="14" t="s">
        <v>736</v>
      </c>
      <c r="D362" s="14" t="s">
        <v>743</v>
      </c>
      <c r="E362" s="25">
        <v>2360</v>
      </c>
    </row>
    <row r="363" spans="1:5" x14ac:dyDescent="0.3">
      <c r="A363" s="13">
        <v>42743</v>
      </c>
      <c r="B363" s="14" t="s">
        <v>740</v>
      </c>
      <c r="C363" s="14" t="s">
        <v>741</v>
      </c>
      <c r="D363" s="14" t="s">
        <v>739</v>
      </c>
      <c r="E363" s="25">
        <v>3047</v>
      </c>
    </row>
    <row r="364" spans="1:5" x14ac:dyDescent="0.3">
      <c r="A364" s="13">
        <v>42485</v>
      </c>
      <c r="B364" s="14" t="s">
        <v>738</v>
      </c>
      <c r="C364" s="14" t="s">
        <v>736</v>
      </c>
      <c r="D364" s="14" t="s">
        <v>739</v>
      </c>
      <c r="E364" s="25">
        <v>3079</v>
      </c>
    </row>
    <row r="365" spans="1:5" x14ac:dyDescent="0.3">
      <c r="A365" s="13">
        <v>42828</v>
      </c>
      <c r="B365" s="14" t="s">
        <v>744</v>
      </c>
      <c r="C365" s="14" t="s">
        <v>741</v>
      </c>
      <c r="D365" s="14" t="s">
        <v>739</v>
      </c>
      <c r="E365" s="25">
        <v>1602</v>
      </c>
    </row>
    <row r="366" spans="1:5" x14ac:dyDescent="0.3">
      <c r="A366" s="13">
        <v>42519</v>
      </c>
      <c r="B366" s="14" t="s">
        <v>747</v>
      </c>
      <c r="C366" s="14" t="s">
        <v>741</v>
      </c>
      <c r="D366" s="14" t="s">
        <v>737</v>
      </c>
      <c r="E366" s="25">
        <v>1424</v>
      </c>
    </row>
    <row r="367" spans="1:5" x14ac:dyDescent="0.3">
      <c r="A367" s="13">
        <v>43008</v>
      </c>
      <c r="B367" s="14" t="s">
        <v>744</v>
      </c>
      <c r="C367" s="14" t="s">
        <v>745</v>
      </c>
      <c r="D367" s="14" t="s">
        <v>737</v>
      </c>
      <c r="E367" s="25">
        <v>2402</v>
      </c>
    </row>
    <row r="368" spans="1:5" x14ac:dyDescent="0.3">
      <c r="A368" s="13">
        <v>42971</v>
      </c>
      <c r="B368" s="14" t="s">
        <v>740</v>
      </c>
      <c r="C368" s="14" t="s">
        <v>741</v>
      </c>
      <c r="D368" s="14" t="s">
        <v>742</v>
      </c>
      <c r="E368" s="25">
        <v>2211</v>
      </c>
    </row>
    <row r="369" spans="1:5" x14ac:dyDescent="0.3">
      <c r="A369" s="13">
        <v>42972</v>
      </c>
      <c r="B369" s="14" t="s">
        <v>744</v>
      </c>
      <c r="C369" s="14" t="s">
        <v>745</v>
      </c>
      <c r="D369" s="14" t="s">
        <v>739</v>
      </c>
      <c r="E369" s="25">
        <v>1326</v>
      </c>
    </row>
    <row r="370" spans="1:5" x14ac:dyDescent="0.3">
      <c r="A370" s="13">
        <v>43088</v>
      </c>
      <c r="B370" s="14" t="s">
        <v>738</v>
      </c>
      <c r="C370" s="14" t="s">
        <v>736</v>
      </c>
      <c r="D370" s="14" t="s">
        <v>743</v>
      </c>
      <c r="E370" s="25">
        <v>2751</v>
      </c>
    </row>
    <row r="371" spans="1:5" x14ac:dyDescent="0.3">
      <c r="A371" s="13">
        <v>42622</v>
      </c>
      <c r="B371" s="14" t="s">
        <v>746</v>
      </c>
      <c r="C371" s="14" t="s">
        <v>736</v>
      </c>
      <c r="D371" s="14" t="s">
        <v>743</v>
      </c>
      <c r="E371" s="25">
        <v>4087</v>
      </c>
    </row>
    <row r="372" spans="1:5" x14ac:dyDescent="0.3">
      <c r="A372" s="13">
        <v>43018</v>
      </c>
      <c r="B372" s="14" t="s">
        <v>744</v>
      </c>
      <c r="C372" s="14" t="s">
        <v>741</v>
      </c>
      <c r="D372" s="14" t="s">
        <v>742</v>
      </c>
      <c r="E372" s="25">
        <v>2563</v>
      </c>
    </row>
    <row r="373" spans="1:5" x14ac:dyDescent="0.3">
      <c r="A373" s="13">
        <v>42980</v>
      </c>
      <c r="B373" s="14" t="s">
        <v>740</v>
      </c>
      <c r="C373" s="14" t="s">
        <v>741</v>
      </c>
      <c r="D373" s="14" t="s">
        <v>743</v>
      </c>
      <c r="E373" s="25">
        <v>4035</v>
      </c>
    </row>
    <row r="374" spans="1:5" x14ac:dyDescent="0.3">
      <c r="A374" s="13">
        <v>42395</v>
      </c>
      <c r="B374" s="14" t="s">
        <v>746</v>
      </c>
      <c r="C374" s="14" t="s">
        <v>736</v>
      </c>
      <c r="D374" s="14" t="s">
        <v>743</v>
      </c>
      <c r="E374" s="25">
        <v>1386</v>
      </c>
    </row>
    <row r="375" spans="1:5" x14ac:dyDescent="0.3">
      <c r="A375" s="13">
        <v>42530</v>
      </c>
      <c r="B375" s="14" t="s">
        <v>746</v>
      </c>
      <c r="C375" s="14" t="s">
        <v>736</v>
      </c>
      <c r="D375" s="14" t="s">
        <v>743</v>
      </c>
      <c r="E375" s="25">
        <v>2359</v>
      </c>
    </row>
    <row r="376" spans="1:5" x14ac:dyDescent="0.3">
      <c r="A376" s="13">
        <v>43085</v>
      </c>
      <c r="B376" s="14" t="s">
        <v>744</v>
      </c>
      <c r="C376" s="14" t="s">
        <v>741</v>
      </c>
      <c r="D376" s="14" t="s">
        <v>742</v>
      </c>
      <c r="E376" s="25">
        <v>3757</v>
      </c>
    </row>
    <row r="377" spans="1:5" x14ac:dyDescent="0.3">
      <c r="A377" s="13">
        <v>42772</v>
      </c>
      <c r="B377" s="14" t="s">
        <v>735</v>
      </c>
      <c r="C377" s="14" t="s">
        <v>736</v>
      </c>
      <c r="D377" s="14" t="s">
        <v>743</v>
      </c>
      <c r="E377" s="25">
        <v>2535</v>
      </c>
    </row>
    <row r="378" spans="1:5" x14ac:dyDescent="0.3">
      <c r="A378" s="13">
        <v>42527</v>
      </c>
      <c r="B378" s="14" t="s">
        <v>744</v>
      </c>
      <c r="C378" s="14" t="s">
        <v>745</v>
      </c>
      <c r="D378" s="14" t="s">
        <v>737</v>
      </c>
      <c r="E378" s="25">
        <v>4316</v>
      </c>
    </row>
    <row r="379" spans="1:5" x14ac:dyDescent="0.3">
      <c r="A379" s="13">
        <v>42766</v>
      </c>
      <c r="B379" s="14" t="s">
        <v>744</v>
      </c>
      <c r="C379" s="14" t="s">
        <v>745</v>
      </c>
      <c r="D379" s="14" t="s">
        <v>742</v>
      </c>
      <c r="E379" s="25">
        <v>3634</v>
      </c>
    </row>
    <row r="380" spans="1:5" x14ac:dyDescent="0.3">
      <c r="A380" s="13">
        <v>42498</v>
      </c>
      <c r="B380" s="14" t="s">
        <v>735</v>
      </c>
      <c r="C380" s="14" t="s">
        <v>741</v>
      </c>
      <c r="D380" s="14" t="s">
        <v>743</v>
      </c>
      <c r="E380" s="25">
        <v>3518</v>
      </c>
    </row>
    <row r="381" spans="1:5" x14ac:dyDescent="0.3">
      <c r="A381" s="13">
        <v>43071</v>
      </c>
      <c r="B381" s="14" t="s">
        <v>744</v>
      </c>
      <c r="C381" s="14" t="s">
        <v>741</v>
      </c>
      <c r="D381" s="14" t="s">
        <v>743</v>
      </c>
      <c r="E381" s="25">
        <v>4542</v>
      </c>
    </row>
    <row r="382" spans="1:5" x14ac:dyDescent="0.3">
      <c r="A382" s="13">
        <v>42983</v>
      </c>
      <c r="B382" s="14" t="s">
        <v>747</v>
      </c>
      <c r="C382" s="14" t="s">
        <v>741</v>
      </c>
      <c r="D382" s="14" t="s">
        <v>743</v>
      </c>
      <c r="E382" s="25">
        <v>3195</v>
      </c>
    </row>
    <row r="383" spans="1:5" x14ac:dyDescent="0.3">
      <c r="A383" s="13">
        <v>42972</v>
      </c>
      <c r="B383" s="14" t="s">
        <v>747</v>
      </c>
      <c r="C383" s="14" t="s">
        <v>741</v>
      </c>
      <c r="D383" s="14" t="s">
        <v>742</v>
      </c>
      <c r="E383" s="25">
        <v>3372</v>
      </c>
    </row>
    <row r="384" spans="1:5" x14ac:dyDescent="0.3">
      <c r="A384" s="13">
        <v>42950</v>
      </c>
      <c r="B384" s="14" t="s">
        <v>746</v>
      </c>
      <c r="C384" s="14" t="s">
        <v>736</v>
      </c>
      <c r="D384" s="14" t="s">
        <v>743</v>
      </c>
      <c r="E384" s="25">
        <v>3176</v>
      </c>
    </row>
    <row r="385" spans="1:5" x14ac:dyDescent="0.3">
      <c r="A385" s="13">
        <v>42383</v>
      </c>
      <c r="B385" s="14" t="s">
        <v>744</v>
      </c>
      <c r="C385" s="14" t="s">
        <v>741</v>
      </c>
      <c r="D385" s="14" t="s">
        <v>742</v>
      </c>
      <c r="E385" s="25">
        <v>4425</v>
      </c>
    </row>
    <row r="386" spans="1:5" x14ac:dyDescent="0.3">
      <c r="A386" s="13">
        <v>43009</v>
      </c>
      <c r="B386" s="14" t="s">
        <v>744</v>
      </c>
      <c r="C386" s="14" t="s">
        <v>745</v>
      </c>
      <c r="D386" s="14" t="s">
        <v>739</v>
      </c>
      <c r="E386" s="25">
        <v>3539</v>
      </c>
    </row>
    <row r="387" spans="1:5" x14ac:dyDescent="0.3">
      <c r="A387" s="13">
        <v>42989</v>
      </c>
      <c r="B387" s="14" t="s">
        <v>744</v>
      </c>
      <c r="C387" s="14" t="s">
        <v>741</v>
      </c>
      <c r="D387" s="14" t="s">
        <v>743</v>
      </c>
      <c r="E387" s="25">
        <v>2063</v>
      </c>
    </row>
    <row r="388" spans="1:5" x14ac:dyDescent="0.3">
      <c r="A388" s="13">
        <v>42766</v>
      </c>
      <c r="B388" s="14" t="s">
        <v>740</v>
      </c>
      <c r="C388" s="14" t="s">
        <v>741</v>
      </c>
      <c r="D388" s="14" t="s">
        <v>742</v>
      </c>
      <c r="E388" s="25">
        <v>2809</v>
      </c>
    </row>
    <row r="389" spans="1:5" x14ac:dyDescent="0.3">
      <c r="A389" s="13">
        <v>42559</v>
      </c>
      <c r="B389" s="14" t="s">
        <v>746</v>
      </c>
      <c r="C389" s="14" t="s">
        <v>736</v>
      </c>
      <c r="D389" s="14" t="s">
        <v>742</v>
      </c>
      <c r="E389" s="25">
        <v>4973</v>
      </c>
    </row>
    <row r="390" spans="1:5" x14ac:dyDescent="0.3">
      <c r="A390" s="13">
        <v>42611</v>
      </c>
      <c r="B390" s="14" t="s">
        <v>744</v>
      </c>
      <c r="C390" s="14" t="s">
        <v>741</v>
      </c>
      <c r="D390" s="14" t="s">
        <v>739</v>
      </c>
      <c r="E390" s="25">
        <v>256</v>
      </c>
    </row>
    <row r="391" spans="1:5" x14ac:dyDescent="0.3">
      <c r="A391" s="13">
        <v>42757</v>
      </c>
      <c r="B391" s="14" t="s">
        <v>744</v>
      </c>
      <c r="C391" s="14" t="s">
        <v>741</v>
      </c>
      <c r="D391" s="14" t="s">
        <v>737</v>
      </c>
      <c r="E391" s="25">
        <v>2541</v>
      </c>
    </row>
    <row r="392" spans="1:5" x14ac:dyDescent="0.3">
      <c r="A392" s="13">
        <v>42573</v>
      </c>
      <c r="B392" s="14" t="s">
        <v>735</v>
      </c>
      <c r="C392" s="14" t="s">
        <v>741</v>
      </c>
      <c r="D392" s="14" t="s">
        <v>743</v>
      </c>
      <c r="E392" s="25">
        <v>1808</v>
      </c>
    </row>
    <row r="393" spans="1:5" x14ac:dyDescent="0.3">
      <c r="A393" s="13">
        <v>42946</v>
      </c>
      <c r="B393" s="14" t="s">
        <v>735</v>
      </c>
      <c r="C393" s="14" t="s">
        <v>736</v>
      </c>
      <c r="D393" s="14" t="s">
        <v>739</v>
      </c>
      <c r="E393" s="25">
        <v>246</v>
      </c>
    </row>
    <row r="394" spans="1:5" x14ac:dyDescent="0.3">
      <c r="A394" s="13">
        <v>42471</v>
      </c>
      <c r="B394" s="14" t="s">
        <v>735</v>
      </c>
      <c r="C394" s="14" t="s">
        <v>736</v>
      </c>
      <c r="D394" s="14" t="s">
        <v>742</v>
      </c>
      <c r="E394" s="25">
        <v>1020</v>
      </c>
    </row>
    <row r="395" spans="1:5" x14ac:dyDescent="0.3">
      <c r="A395" s="13">
        <v>42459</v>
      </c>
      <c r="B395" s="14" t="s">
        <v>738</v>
      </c>
      <c r="C395" s="14" t="s">
        <v>736</v>
      </c>
      <c r="D395" s="14" t="s">
        <v>742</v>
      </c>
      <c r="E395" s="25">
        <v>4427</v>
      </c>
    </row>
    <row r="396" spans="1:5" x14ac:dyDescent="0.3">
      <c r="A396" s="13">
        <v>42699</v>
      </c>
      <c r="B396" s="14" t="s">
        <v>738</v>
      </c>
      <c r="C396" s="14" t="s">
        <v>736</v>
      </c>
      <c r="D396" s="14" t="s">
        <v>742</v>
      </c>
      <c r="E396" s="25">
        <v>3352</v>
      </c>
    </row>
    <row r="397" spans="1:5" x14ac:dyDescent="0.3">
      <c r="A397" s="13">
        <v>43052</v>
      </c>
      <c r="B397" s="14" t="s">
        <v>738</v>
      </c>
      <c r="C397" s="14" t="s">
        <v>736</v>
      </c>
      <c r="D397" s="14" t="s">
        <v>743</v>
      </c>
      <c r="E397" s="25">
        <v>415</v>
      </c>
    </row>
    <row r="398" spans="1:5" x14ac:dyDescent="0.3">
      <c r="A398" s="13">
        <v>42548</v>
      </c>
      <c r="B398" s="14" t="s">
        <v>738</v>
      </c>
      <c r="C398" s="14" t="s">
        <v>736</v>
      </c>
      <c r="D398" s="14" t="s">
        <v>743</v>
      </c>
      <c r="E398" s="25">
        <v>1105</v>
      </c>
    </row>
    <row r="399" spans="1:5" x14ac:dyDescent="0.3">
      <c r="A399" s="13">
        <v>42717</v>
      </c>
      <c r="B399" s="14" t="s">
        <v>746</v>
      </c>
      <c r="C399" s="14" t="s">
        <v>736</v>
      </c>
      <c r="D399" s="14" t="s">
        <v>739</v>
      </c>
      <c r="E399" s="25">
        <v>2735</v>
      </c>
    </row>
    <row r="400" spans="1:5" x14ac:dyDescent="0.3">
      <c r="A400" s="13">
        <v>42579</v>
      </c>
      <c r="B400" s="14" t="s">
        <v>744</v>
      </c>
      <c r="C400" s="14" t="s">
        <v>741</v>
      </c>
      <c r="D400" s="14" t="s">
        <v>743</v>
      </c>
      <c r="E400" s="25">
        <v>426</v>
      </c>
    </row>
    <row r="401" spans="1:5" x14ac:dyDescent="0.3">
      <c r="A401" s="13">
        <v>42812</v>
      </c>
      <c r="B401" s="14" t="s">
        <v>746</v>
      </c>
      <c r="C401" s="14" t="s">
        <v>736</v>
      </c>
      <c r="D401" s="14" t="s">
        <v>742</v>
      </c>
      <c r="E401" s="25">
        <v>4030</v>
      </c>
    </row>
    <row r="402" spans="1:5" x14ac:dyDescent="0.3">
      <c r="A402" s="13">
        <v>42762</v>
      </c>
      <c r="B402" s="14" t="s">
        <v>735</v>
      </c>
      <c r="C402" s="14" t="s">
        <v>741</v>
      </c>
      <c r="D402" s="14" t="s">
        <v>742</v>
      </c>
      <c r="E402" s="25">
        <v>4093</v>
      </c>
    </row>
    <row r="403" spans="1:5" x14ac:dyDescent="0.3">
      <c r="A403" s="13">
        <v>42863</v>
      </c>
      <c r="B403" s="14" t="s">
        <v>738</v>
      </c>
      <c r="C403" s="14" t="s">
        <v>736</v>
      </c>
      <c r="D403" s="14" t="s">
        <v>739</v>
      </c>
      <c r="E403" s="25">
        <v>1145</v>
      </c>
    </row>
    <row r="404" spans="1:5" x14ac:dyDescent="0.3">
      <c r="A404" s="13">
        <v>42680</v>
      </c>
      <c r="B404" s="14" t="s">
        <v>746</v>
      </c>
      <c r="C404" s="14" t="s">
        <v>736</v>
      </c>
      <c r="D404" s="14" t="s">
        <v>742</v>
      </c>
      <c r="E404" s="25">
        <v>2765</v>
      </c>
    </row>
    <row r="405" spans="1:5" x14ac:dyDescent="0.3">
      <c r="A405" s="13">
        <v>42470</v>
      </c>
      <c r="B405" s="14" t="s">
        <v>740</v>
      </c>
      <c r="C405" s="14" t="s">
        <v>741</v>
      </c>
      <c r="D405" s="14" t="s">
        <v>743</v>
      </c>
      <c r="E405" s="25">
        <v>3208</v>
      </c>
    </row>
    <row r="406" spans="1:5" x14ac:dyDescent="0.3">
      <c r="A406" s="13">
        <v>42406</v>
      </c>
      <c r="B406" s="14" t="s">
        <v>744</v>
      </c>
      <c r="C406" s="14" t="s">
        <v>741</v>
      </c>
      <c r="D406" s="14" t="s">
        <v>737</v>
      </c>
      <c r="E406" s="25">
        <v>864</v>
      </c>
    </row>
    <row r="407" spans="1:5" x14ac:dyDescent="0.3">
      <c r="A407" s="13">
        <v>42898</v>
      </c>
      <c r="B407" s="14" t="s">
        <v>738</v>
      </c>
      <c r="C407" s="14" t="s">
        <v>736</v>
      </c>
      <c r="D407" s="14" t="s">
        <v>742</v>
      </c>
      <c r="E407" s="25">
        <v>1587</v>
      </c>
    </row>
    <row r="408" spans="1:5" x14ac:dyDescent="0.3">
      <c r="A408" s="13">
        <v>42605</v>
      </c>
      <c r="B408" s="14" t="s">
        <v>746</v>
      </c>
      <c r="C408" s="14" t="s">
        <v>736</v>
      </c>
      <c r="D408" s="14" t="s">
        <v>742</v>
      </c>
      <c r="E408" s="25">
        <v>1440</v>
      </c>
    </row>
    <row r="409" spans="1:5" x14ac:dyDescent="0.3">
      <c r="A409" s="13">
        <v>43030</v>
      </c>
      <c r="B409" s="14" t="s">
        <v>746</v>
      </c>
      <c r="C409" s="14" t="s">
        <v>736</v>
      </c>
      <c r="D409" s="14" t="s">
        <v>739</v>
      </c>
      <c r="E409" s="25">
        <v>4232</v>
      </c>
    </row>
    <row r="410" spans="1:5" x14ac:dyDescent="0.3">
      <c r="A410" s="13">
        <v>42551</v>
      </c>
      <c r="B410" s="14" t="s">
        <v>744</v>
      </c>
      <c r="C410" s="14" t="s">
        <v>741</v>
      </c>
      <c r="D410" s="14" t="s">
        <v>737</v>
      </c>
      <c r="E410" s="25">
        <v>245</v>
      </c>
    </row>
    <row r="411" spans="1:5" x14ac:dyDescent="0.3">
      <c r="A411" s="13">
        <v>42953</v>
      </c>
      <c r="B411" s="14" t="s">
        <v>738</v>
      </c>
      <c r="C411" s="14" t="s">
        <v>736</v>
      </c>
      <c r="D411" s="14" t="s">
        <v>742</v>
      </c>
      <c r="E411" s="25">
        <v>1863</v>
      </c>
    </row>
    <row r="412" spans="1:5" x14ac:dyDescent="0.3">
      <c r="A412" s="13">
        <v>42702</v>
      </c>
      <c r="B412" s="14" t="s">
        <v>735</v>
      </c>
      <c r="C412" s="14" t="s">
        <v>736</v>
      </c>
      <c r="D412" s="14" t="s">
        <v>739</v>
      </c>
      <c r="E412" s="25">
        <v>634</v>
      </c>
    </row>
    <row r="413" spans="1:5" x14ac:dyDescent="0.3">
      <c r="A413" s="13">
        <v>42599</v>
      </c>
      <c r="B413" s="14" t="s">
        <v>744</v>
      </c>
      <c r="C413" s="14" t="s">
        <v>741</v>
      </c>
      <c r="D413" s="14" t="s">
        <v>737</v>
      </c>
      <c r="E413" s="25">
        <v>2529</v>
      </c>
    </row>
    <row r="414" spans="1:5" x14ac:dyDescent="0.3">
      <c r="A414" s="13">
        <v>42390</v>
      </c>
      <c r="B414" s="14" t="s">
        <v>744</v>
      </c>
      <c r="C414" s="14" t="s">
        <v>741</v>
      </c>
      <c r="D414" s="14" t="s">
        <v>742</v>
      </c>
      <c r="E414" s="25">
        <v>1841</v>
      </c>
    </row>
    <row r="415" spans="1:5" x14ac:dyDescent="0.3">
      <c r="A415" s="13">
        <v>42949</v>
      </c>
      <c r="B415" s="14" t="s">
        <v>744</v>
      </c>
      <c r="C415" s="14" t="s">
        <v>745</v>
      </c>
      <c r="D415" s="14" t="s">
        <v>742</v>
      </c>
      <c r="E415" s="25">
        <v>3719</v>
      </c>
    </row>
    <row r="416" spans="1:5" x14ac:dyDescent="0.3">
      <c r="A416" s="13">
        <v>42662</v>
      </c>
      <c r="B416" s="14" t="s">
        <v>738</v>
      </c>
      <c r="C416" s="14" t="s">
        <v>736</v>
      </c>
      <c r="D416" s="14" t="s">
        <v>743</v>
      </c>
      <c r="E416" s="25">
        <v>108</v>
      </c>
    </row>
    <row r="417" spans="1:5" x14ac:dyDescent="0.3">
      <c r="A417" s="13">
        <v>42835</v>
      </c>
      <c r="B417" s="14" t="s">
        <v>740</v>
      </c>
      <c r="C417" s="14" t="s">
        <v>741</v>
      </c>
      <c r="D417" s="14" t="s">
        <v>743</v>
      </c>
      <c r="E417" s="25">
        <v>844</v>
      </c>
    </row>
    <row r="418" spans="1:5" x14ac:dyDescent="0.3">
      <c r="A418" s="13">
        <v>42426</v>
      </c>
      <c r="B418" s="14" t="s">
        <v>738</v>
      </c>
      <c r="C418" s="14" t="s">
        <v>736</v>
      </c>
      <c r="D418" s="14" t="s">
        <v>743</v>
      </c>
      <c r="E418" s="25">
        <v>3814</v>
      </c>
    </row>
    <row r="419" spans="1:5" x14ac:dyDescent="0.3">
      <c r="A419" s="13">
        <v>42880</v>
      </c>
      <c r="B419" s="14" t="s">
        <v>738</v>
      </c>
      <c r="C419" s="14" t="s">
        <v>736</v>
      </c>
      <c r="D419" s="14" t="s">
        <v>739</v>
      </c>
      <c r="E419" s="25">
        <v>2994</v>
      </c>
    </row>
    <row r="420" spans="1:5" x14ac:dyDescent="0.3">
      <c r="A420" s="13">
        <v>42967</v>
      </c>
      <c r="B420" s="14" t="s">
        <v>738</v>
      </c>
      <c r="C420" s="14" t="s">
        <v>736</v>
      </c>
      <c r="D420" s="14" t="s">
        <v>742</v>
      </c>
      <c r="E420" s="25">
        <v>927</v>
      </c>
    </row>
    <row r="421" spans="1:5" x14ac:dyDescent="0.3">
      <c r="A421" s="13">
        <v>42473</v>
      </c>
      <c r="B421" s="14" t="s">
        <v>738</v>
      </c>
      <c r="C421" s="14" t="s">
        <v>736</v>
      </c>
      <c r="D421" s="14" t="s">
        <v>739</v>
      </c>
      <c r="E421" s="25">
        <v>795</v>
      </c>
    </row>
    <row r="422" spans="1:5" x14ac:dyDescent="0.3">
      <c r="A422" s="13">
        <v>42470</v>
      </c>
      <c r="B422" s="14" t="s">
        <v>738</v>
      </c>
      <c r="C422" s="14" t="s">
        <v>736</v>
      </c>
      <c r="D422" s="14" t="s">
        <v>742</v>
      </c>
      <c r="E422" s="25">
        <v>457</v>
      </c>
    </row>
    <row r="423" spans="1:5" x14ac:dyDescent="0.3">
      <c r="A423" s="13">
        <v>42957</v>
      </c>
      <c r="B423" s="14" t="s">
        <v>738</v>
      </c>
      <c r="C423" s="14" t="s">
        <v>736</v>
      </c>
      <c r="D423" s="14" t="s">
        <v>739</v>
      </c>
      <c r="E423" s="25">
        <v>4693</v>
      </c>
    </row>
    <row r="424" spans="1:5" x14ac:dyDescent="0.3">
      <c r="A424" s="13">
        <v>43026</v>
      </c>
      <c r="B424" s="14" t="s">
        <v>738</v>
      </c>
      <c r="C424" s="14" t="s">
        <v>736</v>
      </c>
      <c r="D424" s="14" t="s">
        <v>743</v>
      </c>
      <c r="E424" s="25">
        <v>924</v>
      </c>
    </row>
    <row r="425" spans="1:5" x14ac:dyDescent="0.3">
      <c r="A425" s="13">
        <v>42971</v>
      </c>
      <c r="B425" s="14" t="s">
        <v>738</v>
      </c>
      <c r="C425" s="14" t="s">
        <v>736</v>
      </c>
      <c r="D425" s="14" t="s">
        <v>742</v>
      </c>
      <c r="E425" s="25">
        <v>403</v>
      </c>
    </row>
    <row r="426" spans="1:5" x14ac:dyDescent="0.3">
      <c r="A426" s="13">
        <v>43047</v>
      </c>
      <c r="B426" s="14" t="s">
        <v>746</v>
      </c>
      <c r="C426" s="14" t="s">
        <v>736</v>
      </c>
      <c r="D426" s="14" t="s">
        <v>739</v>
      </c>
      <c r="E426" s="25">
        <v>977</v>
      </c>
    </row>
    <row r="427" spans="1:5" x14ac:dyDescent="0.3">
      <c r="A427" s="13">
        <v>42437</v>
      </c>
      <c r="B427" s="14" t="s">
        <v>738</v>
      </c>
      <c r="C427" s="14" t="s">
        <v>736</v>
      </c>
      <c r="D427" s="14" t="s">
        <v>739</v>
      </c>
      <c r="E427" s="25">
        <v>411</v>
      </c>
    </row>
    <row r="428" spans="1:5" x14ac:dyDescent="0.3">
      <c r="A428" s="13">
        <v>42430</v>
      </c>
      <c r="B428" s="14" t="s">
        <v>738</v>
      </c>
      <c r="C428" s="14" t="s">
        <v>736</v>
      </c>
      <c r="D428" s="14" t="s">
        <v>743</v>
      </c>
      <c r="E428" s="25">
        <v>1129</v>
      </c>
    </row>
    <row r="429" spans="1:5" x14ac:dyDescent="0.3">
      <c r="A429" s="13">
        <v>42561</v>
      </c>
      <c r="B429" s="14" t="s">
        <v>740</v>
      </c>
      <c r="C429" s="14" t="s">
        <v>741</v>
      </c>
      <c r="D429" s="14" t="s">
        <v>742</v>
      </c>
      <c r="E429" s="25">
        <v>938</v>
      </c>
    </row>
    <row r="430" spans="1:5" x14ac:dyDescent="0.3">
      <c r="A430" s="13">
        <v>42692</v>
      </c>
      <c r="B430" s="14" t="s">
        <v>738</v>
      </c>
      <c r="C430" s="14" t="s">
        <v>736</v>
      </c>
      <c r="D430" s="14" t="s">
        <v>743</v>
      </c>
      <c r="E430" s="25">
        <v>134</v>
      </c>
    </row>
    <row r="431" spans="1:5" x14ac:dyDescent="0.3">
      <c r="A431" s="13">
        <v>42418</v>
      </c>
      <c r="B431" s="14" t="s">
        <v>738</v>
      </c>
      <c r="C431" s="14" t="s">
        <v>736</v>
      </c>
      <c r="D431" s="14" t="s">
        <v>742</v>
      </c>
      <c r="E431" s="25">
        <v>984</v>
      </c>
    </row>
    <row r="432" spans="1:5" x14ac:dyDescent="0.3">
      <c r="A432" s="13">
        <v>42973</v>
      </c>
      <c r="B432" s="14" t="s">
        <v>738</v>
      </c>
      <c r="C432" s="14" t="s">
        <v>736</v>
      </c>
      <c r="D432" s="14" t="s">
        <v>743</v>
      </c>
      <c r="E432" s="25">
        <v>2978</v>
      </c>
    </row>
    <row r="433" spans="1:5" x14ac:dyDescent="0.3">
      <c r="A433" s="13">
        <v>43053</v>
      </c>
      <c r="B433" s="14" t="s">
        <v>740</v>
      </c>
      <c r="C433" s="14" t="s">
        <v>741</v>
      </c>
      <c r="D433" s="14" t="s">
        <v>743</v>
      </c>
      <c r="E433" s="25">
        <v>3350</v>
      </c>
    </row>
    <row r="434" spans="1:5" x14ac:dyDescent="0.3">
      <c r="A434" s="13">
        <v>42805</v>
      </c>
      <c r="B434" s="14" t="s">
        <v>740</v>
      </c>
      <c r="C434" s="14" t="s">
        <v>741</v>
      </c>
      <c r="D434" s="14" t="s">
        <v>739</v>
      </c>
      <c r="E434" s="25">
        <v>4355</v>
      </c>
    </row>
    <row r="435" spans="1:5" x14ac:dyDescent="0.3">
      <c r="A435" s="13">
        <v>42907</v>
      </c>
      <c r="B435" s="14" t="s">
        <v>746</v>
      </c>
      <c r="C435" s="14" t="s">
        <v>736</v>
      </c>
      <c r="D435" s="14" t="s">
        <v>742</v>
      </c>
      <c r="E435" s="25">
        <v>2077</v>
      </c>
    </row>
    <row r="436" spans="1:5" x14ac:dyDescent="0.3">
      <c r="A436" s="13">
        <v>42963</v>
      </c>
      <c r="B436" s="14" t="s">
        <v>740</v>
      </c>
      <c r="C436" s="14" t="s">
        <v>741</v>
      </c>
      <c r="D436" s="14" t="s">
        <v>739</v>
      </c>
      <c r="E436" s="25">
        <v>4972</v>
      </c>
    </row>
    <row r="437" spans="1:5" x14ac:dyDescent="0.3">
      <c r="A437" s="13">
        <v>42794</v>
      </c>
      <c r="B437" s="14" t="s">
        <v>746</v>
      </c>
      <c r="C437" s="14" t="s">
        <v>736</v>
      </c>
      <c r="D437" s="14" t="s">
        <v>742</v>
      </c>
      <c r="E437" s="25">
        <v>1048</v>
      </c>
    </row>
    <row r="438" spans="1:5" x14ac:dyDescent="0.3">
      <c r="A438" s="13">
        <v>42676</v>
      </c>
      <c r="B438" s="14" t="s">
        <v>738</v>
      </c>
      <c r="C438" s="14" t="s">
        <v>736</v>
      </c>
      <c r="D438" s="14" t="s">
        <v>743</v>
      </c>
      <c r="E438" s="25">
        <v>2151</v>
      </c>
    </row>
    <row r="439" spans="1:5" x14ac:dyDescent="0.3">
      <c r="A439" s="13">
        <v>42413</v>
      </c>
      <c r="B439" s="14" t="s">
        <v>738</v>
      </c>
      <c r="C439" s="14" t="s">
        <v>736</v>
      </c>
      <c r="D439" s="14" t="s">
        <v>739</v>
      </c>
      <c r="E439" s="25">
        <v>1135</v>
      </c>
    </row>
    <row r="440" spans="1:5" x14ac:dyDescent="0.3">
      <c r="A440" s="13">
        <v>42433</v>
      </c>
      <c r="B440" s="14" t="s">
        <v>738</v>
      </c>
      <c r="C440" s="14" t="s">
        <v>736</v>
      </c>
      <c r="D440" s="14" t="s">
        <v>743</v>
      </c>
      <c r="E440" s="25">
        <v>577</v>
      </c>
    </row>
    <row r="441" spans="1:5" x14ac:dyDescent="0.3">
      <c r="A441" s="13">
        <v>42581</v>
      </c>
      <c r="B441" s="14" t="s">
        <v>744</v>
      </c>
      <c r="C441" s="14" t="s">
        <v>741</v>
      </c>
      <c r="D441" s="14" t="s">
        <v>739</v>
      </c>
      <c r="E441" s="25">
        <v>4559</v>
      </c>
    </row>
    <row r="442" spans="1:5" x14ac:dyDescent="0.3">
      <c r="A442" s="13">
        <v>43100</v>
      </c>
      <c r="B442" s="14" t="s">
        <v>735</v>
      </c>
      <c r="C442" s="14" t="s">
        <v>736</v>
      </c>
      <c r="D442" s="14" t="s">
        <v>742</v>
      </c>
      <c r="E442" s="25">
        <v>3725</v>
      </c>
    </row>
    <row r="443" spans="1:5" x14ac:dyDescent="0.3">
      <c r="A443" s="13">
        <v>42719</v>
      </c>
      <c r="B443" s="14" t="s">
        <v>735</v>
      </c>
      <c r="C443" s="14" t="s">
        <v>741</v>
      </c>
      <c r="D443" s="14" t="s">
        <v>742</v>
      </c>
      <c r="E443" s="25">
        <v>2317</v>
      </c>
    </row>
    <row r="444" spans="1:5" x14ac:dyDescent="0.3">
      <c r="A444" s="13">
        <v>42558</v>
      </c>
      <c r="B444" s="14" t="s">
        <v>738</v>
      </c>
      <c r="C444" s="14" t="s">
        <v>736</v>
      </c>
      <c r="D444" s="14" t="s">
        <v>742</v>
      </c>
      <c r="E444" s="25">
        <v>2766</v>
      </c>
    </row>
    <row r="445" spans="1:5" x14ac:dyDescent="0.3">
      <c r="A445" s="13">
        <v>42692</v>
      </c>
      <c r="B445" s="14" t="s">
        <v>740</v>
      </c>
      <c r="C445" s="14" t="s">
        <v>741</v>
      </c>
      <c r="D445" s="14" t="s">
        <v>739</v>
      </c>
      <c r="E445" s="25">
        <v>2427</v>
      </c>
    </row>
    <row r="446" spans="1:5" x14ac:dyDescent="0.3">
      <c r="A446" s="13">
        <v>42706</v>
      </c>
      <c r="B446" s="14" t="s">
        <v>740</v>
      </c>
      <c r="C446" s="14" t="s">
        <v>741</v>
      </c>
      <c r="D446" s="14" t="s">
        <v>743</v>
      </c>
      <c r="E446" s="25">
        <v>2003</v>
      </c>
    </row>
    <row r="447" spans="1:5" x14ac:dyDescent="0.3">
      <c r="A447" s="13">
        <v>43021</v>
      </c>
      <c r="B447" s="14" t="s">
        <v>735</v>
      </c>
      <c r="C447" s="14" t="s">
        <v>736</v>
      </c>
      <c r="D447" s="14" t="s">
        <v>737</v>
      </c>
      <c r="E447" s="25">
        <v>2627</v>
      </c>
    </row>
    <row r="448" spans="1:5" x14ac:dyDescent="0.3">
      <c r="A448" s="13">
        <v>42413</v>
      </c>
      <c r="B448" s="14" t="s">
        <v>744</v>
      </c>
      <c r="C448" s="14" t="s">
        <v>741</v>
      </c>
      <c r="D448" s="14" t="s">
        <v>739</v>
      </c>
      <c r="E448" s="25">
        <v>764</v>
      </c>
    </row>
    <row r="449" spans="1:5" x14ac:dyDescent="0.3">
      <c r="A449" s="13">
        <v>42895</v>
      </c>
      <c r="B449" s="14" t="s">
        <v>744</v>
      </c>
      <c r="C449" s="14" t="s">
        <v>741</v>
      </c>
      <c r="D449" s="14" t="s">
        <v>742</v>
      </c>
      <c r="E449" s="25">
        <v>4050</v>
      </c>
    </row>
    <row r="450" spans="1:5" x14ac:dyDescent="0.3">
      <c r="A450" s="13">
        <v>42417</v>
      </c>
      <c r="B450" s="14" t="s">
        <v>746</v>
      </c>
      <c r="C450" s="14" t="s">
        <v>736</v>
      </c>
      <c r="D450" s="14" t="s">
        <v>739</v>
      </c>
      <c r="E450" s="25">
        <v>1627</v>
      </c>
    </row>
    <row r="451" spans="1:5" x14ac:dyDescent="0.3">
      <c r="A451" s="13">
        <v>42533</v>
      </c>
      <c r="B451" s="14" t="s">
        <v>744</v>
      </c>
      <c r="C451" s="14" t="s">
        <v>745</v>
      </c>
      <c r="D451" s="14" t="s">
        <v>739</v>
      </c>
      <c r="E451" s="25">
        <v>1859</v>
      </c>
    </row>
    <row r="452" spans="1:5" x14ac:dyDescent="0.3">
      <c r="A452" s="13">
        <v>42637</v>
      </c>
      <c r="B452" s="14" t="s">
        <v>744</v>
      </c>
      <c r="C452" s="14" t="s">
        <v>741</v>
      </c>
      <c r="D452" s="14" t="s">
        <v>743</v>
      </c>
      <c r="E452" s="25">
        <v>3677</v>
      </c>
    </row>
    <row r="453" spans="1:5" x14ac:dyDescent="0.3">
      <c r="A453" s="13">
        <v>42904</v>
      </c>
      <c r="B453" s="14" t="s">
        <v>740</v>
      </c>
      <c r="C453" s="14" t="s">
        <v>741</v>
      </c>
      <c r="D453" s="14" t="s">
        <v>743</v>
      </c>
      <c r="E453" s="25">
        <v>247</v>
      </c>
    </row>
    <row r="454" spans="1:5" x14ac:dyDescent="0.3">
      <c r="A454" s="13">
        <v>42726</v>
      </c>
      <c r="B454" s="14" t="s">
        <v>740</v>
      </c>
      <c r="C454" s="14" t="s">
        <v>741</v>
      </c>
      <c r="D454" s="14" t="s">
        <v>739</v>
      </c>
      <c r="E454" s="25">
        <v>1952</v>
      </c>
    </row>
    <row r="455" spans="1:5" x14ac:dyDescent="0.3">
      <c r="A455" s="13">
        <v>43014</v>
      </c>
      <c r="B455" s="14" t="s">
        <v>746</v>
      </c>
      <c r="C455" s="14" t="s">
        <v>736</v>
      </c>
      <c r="D455" s="14" t="s">
        <v>739</v>
      </c>
      <c r="E455" s="25">
        <v>1488</v>
      </c>
    </row>
    <row r="456" spans="1:5" x14ac:dyDescent="0.3">
      <c r="A456" s="13">
        <v>42496</v>
      </c>
      <c r="B456" s="14" t="s">
        <v>744</v>
      </c>
      <c r="C456" s="14" t="s">
        <v>741</v>
      </c>
      <c r="D456" s="14" t="s">
        <v>739</v>
      </c>
      <c r="E456" s="25">
        <v>1018</v>
      </c>
    </row>
    <row r="457" spans="1:5" x14ac:dyDescent="0.3">
      <c r="A457" s="13">
        <v>42459</v>
      </c>
      <c r="B457" s="14" t="s">
        <v>740</v>
      </c>
      <c r="C457" s="14" t="s">
        <v>741</v>
      </c>
      <c r="D457" s="14" t="s">
        <v>737</v>
      </c>
      <c r="E457" s="25">
        <v>3104</v>
      </c>
    </row>
    <row r="458" spans="1:5" x14ac:dyDescent="0.3">
      <c r="A458" s="13">
        <v>42959</v>
      </c>
      <c r="B458" s="14" t="s">
        <v>735</v>
      </c>
      <c r="C458" s="14" t="s">
        <v>741</v>
      </c>
      <c r="D458" s="14" t="s">
        <v>742</v>
      </c>
      <c r="E458" s="25">
        <v>4992</v>
      </c>
    </row>
    <row r="459" spans="1:5" x14ac:dyDescent="0.3">
      <c r="A459" s="13">
        <v>42569</v>
      </c>
      <c r="B459" s="14" t="s">
        <v>746</v>
      </c>
      <c r="C459" s="14" t="s">
        <v>736</v>
      </c>
      <c r="D459" s="14" t="s">
        <v>743</v>
      </c>
      <c r="E459" s="25">
        <v>3757</v>
      </c>
    </row>
    <row r="460" spans="1:5" x14ac:dyDescent="0.3">
      <c r="A460" s="13">
        <v>42728</v>
      </c>
      <c r="B460" s="14" t="s">
        <v>746</v>
      </c>
      <c r="C460" s="14" t="s">
        <v>736</v>
      </c>
      <c r="D460" s="14" t="s">
        <v>739</v>
      </c>
      <c r="E460" s="25">
        <v>2235</v>
      </c>
    </row>
    <row r="461" spans="1:5" x14ac:dyDescent="0.3">
      <c r="A461" s="13">
        <v>42790</v>
      </c>
      <c r="B461" s="14" t="s">
        <v>738</v>
      </c>
      <c r="C461" s="14" t="s">
        <v>736</v>
      </c>
      <c r="D461" s="14" t="s">
        <v>739</v>
      </c>
      <c r="E461" s="25">
        <v>3567</v>
      </c>
    </row>
    <row r="462" spans="1:5" x14ac:dyDescent="0.3">
      <c r="A462" s="13">
        <v>42891</v>
      </c>
      <c r="B462" s="14" t="s">
        <v>744</v>
      </c>
      <c r="C462" s="14" t="s">
        <v>745</v>
      </c>
      <c r="D462" s="14" t="s">
        <v>739</v>
      </c>
      <c r="E462" s="25">
        <v>2374</v>
      </c>
    </row>
    <row r="463" spans="1:5" x14ac:dyDescent="0.3">
      <c r="A463" s="13">
        <v>42537</v>
      </c>
      <c r="B463" s="14" t="s">
        <v>738</v>
      </c>
      <c r="C463" s="14" t="s">
        <v>736</v>
      </c>
      <c r="D463" s="14" t="s">
        <v>742</v>
      </c>
      <c r="E463" s="25">
        <v>1785</v>
      </c>
    </row>
    <row r="464" spans="1:5" x14ac:dyDescent="0.3">
      <c r="A464" s="13">
        <v>42825</v>
      </c>
      <c r="B464" s="14" t="s">
        <v>738</v>
      </c>
      <c r="C464" s="14" t="s">
        <v>736</v>
      </c>
      <c r="D464" s="14" t="s">
        <v>743</v>
      </c>
      <c r="E464" s="25">
        <v>2143</v>
      </c>
    </row>
    <row r="465" spans="1:5" x14ac:dyDescent="0.3">
      <c r="A465" s="13">
        <v>42528</v>
      </c>
      <c r="B465" s="14" t="s">
        <v>738</v>
      </c>
      <c r="C465" s="14" t="s">
        <v>736</v>
      </c>
      <c r="D465" s="14" t="s">
        <v>739</v>
      </c>
      <c r="E465" s="25">
        <v>697</v>
      </c>
    </row>
    <row r="466" spans="1:5" x14ac:dyDescent="0.3">
      <c r="A466" s="13">
        <v>42781</v>
      </c>
      <c r="B466" s="14" t="s">
        <v>740</v>
      </c>
      <c r="C466" s="14" t="s">
        <v>741</v>
      </c>
      <c r="D466" s="14" t="s">
        <v>742</v>
      </c>
      <c r="E466" s="25">
        <v>3114</v>
      </c>
    </row>
    <row r="467" spans="1:5" x14ac:dyDescent="0.3">
      <c r="A467" s="13">
        <v>42898</v>
      </c>
      <c r="B467" s="14" t="s">
        <v>746</v>
      </c>
      <c r="C467" s="14" t="s">
        <v>736</v>
      </c>
      <c r="D467" s="14" t="s">
        <v>743</v>
      </c>
      <c r="E467" s="25">
        <v>606</v>
      </c>
    </row>
    <row r="468" spans="1:5" x14ac:dyDescent="0.3">
      <c r="A468" s="13">
        <v>42381</v>
      </c>
      <c r="B468" s="14" t="s">
        <v>744</v>
      </c>
      <c r="C468" s="14" t="s">
        <v>745</v>
      </c>
      <c r="D468" s="14" t="s">
        <v>739</v>
      </c>
      <c r="E468" s="25">
        <v>2336</v>
      </c>
    </row>
    <row r="469" spans="1:5" x14ac:dyDescent="0.3">
      <c r="A469" s="13">
        <v>43017</v>
      </c>
      <c r="B469" s="14" t="s">
        <v>738</v>
      </c>
      <c r="C469" s="14" t="s">
        <v>736</v>
      </c>
      <c r="D469" s="14" t="s">
        <v>742</v>
      </c>
      <c r="E469" s="25">
        <v>2665</v>
      </c>
    </row>
    <row r="470" spans="1:5" x14ac:dyDescent="0.3">
      <c r="A470" s="13">
        <v>42786</v>
      </c>
      <c r="B470" s="14" t="s">
        <v>735</v>
      </c>
      <c r="C470" s="14" t="s">
        <v>736</v>
      </c>
      <c r="D470" s="14" t="s">
        <v>743</v>
      </c>
      <c r="E470" s="25">
        <v>3026</v>
      </c>
    </row>
    <row r="471" spans="1:5" x14ac:dyDescent="0.3">
      <c r="A471" s="13">
        <v>42826</v>
      </c>
      <c r="B471" s="14" t="s">
        <v>740</v>
      </c>
      <c r="C471" s="14" t="s">
        <v>741</v>
      </c>
      <c r="D471" s="14" t="s">
        <v>743</v>
      </c>
      <c r="E471" s="25">
        <v>4828</v>
      </c>
    </row>
    <row r="472" spans="1:5" x14ac:dyDescent="0.3">
      <c r="A472" s="13">
        <v>42756</v>
      </c>
      <c r="B472" s="14" t="s">
        <v>738</v>
      </c>
      <c r="C472" s="14" t="s">
        <v>736</v>
      </c>
      <c r="D472" s="14" t="s">
        <v>743</v>
      </c>
      <c r="E472" s="25">
        <v>3518</v>
      </c>
    </row>
    <row r="473" spans="1:5" x14ac:dyDescent="0.3">
      <c r="A473" s="13">
        <v>42887</v>
      </c>
      <c r="B473" s="14" t="s">
        <v>738</v>
      </c>
      <c r="C473" s="14" t="s">
        <v>736</v>
      </c>
      <c r="D473" s="14" t="s">
        <v>739</v>
      </c>
      <c r="E473" s="25">
        <v>1932</v>
      </c>
    </row>
    <row r="474" spans="1:5" x14ac:dyDescent="0.3">
      <c r="A474" s="13">
        <v>42870</v>
      </c>
      <c r="B474" s="14" t="s">
        <v>744</v>
      </c>
      <c r="C474" s="14" t="s">
        <v>741</v>
      </c>
      <c r="D474" s="14" t="s">
        <v>739</v>
      </c>
      <c r="E474" s="25">
        <v>1071</v>
      </c>
    </row>
    <row r="475" spans="1:5" x14ac:dyDescent="0.3">
      <c r="A475" s="13">
        <v>42913</v>
      </c>
      <c r="B475" s="14" t="s">
        <v>735</v>
      </c>
      <c r="C475" s="14" t="s">
        <v>736</v>
      </c>
      <c r="D475" s="14" t="s">
        <v>739</v>
      </c>
      <c r="E475" s="25">
        <v>2611</v>
      </c>
    </row>
    <row r="476" spans="1:5" x14ac:dyDescent="0.3">
      <c r="A476" s="13">
        <v>43076</v>
      </c>
      <c r="B476" s="14" t="s">
        <v>735</v>
      </c>
      <c r="C476" s="14" t="s">
        <v>741</v>
      </c>
      <c r="D476" s="14" t="s">
        <v>739</v>
      </c>
      <c r="E476" s="25">
        <v>885</v>
      </c>
    </row>
    <row r="477" spans="1:5" x14ac:dyDescent="0.3">
      <c r="A477" s="13">
        <v>42980</v>
      </c>
      <c r="B477" s="14" t="s">
        <v>744</v>
      </c>
      <c r="C477" s="14" t="s">
        <v>741</v>
      </c>
      <c r="D477" s="14" t="s">
        <v>739</v>
      </c>
      <c r="E477" s="25">
        <v>139</v>
      </c>
    </row>
    <row r="478" spans="1:5" x14ac:dyDescent="0.3">
      <c r="A478" s="13">
        <v>43075</v>
      </c>
      <c r="B478" s="14" t="s">
        <v>746</v>
      </c>
      <c r="C478" s="14" t="s">
        <v>736</v>
      </c>
      <c r="D478" s="14" t="s">
        <v>743</v>
      </c>
      <c r="E478" s="25">
        <v>4556</v>
      </c>
    </row>
    <row r="479" spans="1:5" x14ac:dyDescent="0.3">
      <c r="A479" s="13">
        <v>43091</v>
      </c>
      <c r="B479" s="14" t="s">
        <v>738</v>
      </c>
      <c r="C479" s="14" t="s">
        <v>736</v>
      </c>
      <c r="D479" s="14" t="s">
        <v>739</v>
      </c>
      <c r="E479" s="25">
        <v>3288</v>
      </c>
    </row>
    <row r="480" spans="1:5" x14ac:dyDescent="0.3">
      <c r="A480" s="13">
        <v>42662</v>
      </c>
      <c r="B480" s="14" t="s">
        <v>738</v>
      </c>
      <c r="C480" s="14" t="s">
        <v>736</v>
      </c>
      <c r="D480" s="14" t="s">
        <v>739</v>
      </c>
      <c r="E480" s="25">
        <v>3176</v>
      </c>
    </row>
    <row r="481" spans="1:5" x14ac:dyDescent="0.3">
      <c r="A481" s="13">
        <v>42412</v>
      </c>
      <c r="B481" s="14" t="s">
        <v>740</v>
      </c>
      <c r="C481" s="14" t="s">
        <v>741</v>
      </c>
      <c r="D481" s="14" t="s">
        <v>742</v>
      </c>
      <c r="E481" s="25">
        <v>993</v>
      </c>
    </row>
    <row r="482" spans="1:5" x14ac:dyDescent="0.3">
      <c r="A482" s="13">
        <v>42795</v>
      </c>
      <c r="B482" s="14" t="s">
        <v>738</v>
      </c>
      <c r="C482" s="14" t="s">
        <v>736</v>
      </c>
      <c r="D482" s="14" t="s">
        <v>737</v>
      </c>
      <c r="E482" s="25">
        <v>2267</v>
      </c>
    </row>
    <row r="483" spans="1:5" x14ac:dyDescent="0.3">
      <c r="A483" s="13">
        <v>42484</v>
      </c>
      <c r="B483" s="14" t="s">
        <v>744</v>
      </c>
      <c r="C483" s="14" t="s">
        <v>741</v>
      </c>
      <c r="D483" s="14" t="s">
        <v>739</v>
      </c>
      <c r="E483" s="25">
        <v>1267</v>
      </c>
    </row>
    <row r="484" spans="1:5" x14ac:dyDescent="0.3">
      <c r="A484" s="13">
        <v>42800</v>
      </c>
      <c r="B484" s="14" t="s">
        <v>746</v>
      </c>
      <c r="C484" s="14" t="s">
        <v>736</v>
      </c>
      <c r="D484" s="14" t="s">
        <v>742</v>
      </c>
      <c r="E484" s="25">
        <v>1282</v>
      </c>
    </row>
    <row r="485" spans="1:5" x14ac:dyDescent="0.3">
      <c r="A485" s="13">
        <v>42497</v>
      </c>
      <c r="B485" s="14" t="s">
        <v>738</v>
      </c>
      <c r="C485" s="14" t="s">
        <v>736</v>
      </c>
      <c r="D485" s="14" t="s">
        <v>742</v>
      </c>
      <c r="E485" s="25">
        <v>1365</v>
      </c>
    </row>
    <row r="486" spans="1:5" x14ac:dyDescent="0.3">
      <c r="A486" s="13">
        <v>42904</v>
      </c>
      <c r="B486" s="14" t="s">
        <v>744</v>
      </c>
      <c r="C486" s="14" t="s">
        <v>745</v>
      </c>
      <c r="D486" s="14" t="s">
        <v>739</v>
      </c>
      <c r="E486" s="25">
        <v>1608</v>
      </c>
    </row>
    <row r="487" spans="1:5" x14ac:dyDescent="0.3">
      <c r="A487" s="13">
        <v>42383</v>
      </c>
      <c r="B487" s="14" t="s">
        <v>746</v>
      </c>
      <c r="C487" s="14" t="s">
        <v>736</v>
      </c>
      <c r="D487" s="14" t="s">
        <v>739</v>
      </c>
      <c r="E487" s="25">
        <v>3166</v>
      </c>
    </row>
    <row r="488" spans="1:5" x14ac:dyDescent="0.3">
      <c r="A488" s="13">
        <v>42982</v>
      </c>
      <c r="B488" s="14" t="s">
        <v>738</v>
      </c>
      <c r="C488" s="14" t="s">
        <v>736</v>
      </c>
      <c r="D488" s="14" t="s">
        <v>743</v>
      </c>
      <c r="E488" s="25">
        <v>3446</v>
      </c>
    </row>
    <row r="489" spans="1:5" x14ac:dyDescent="0.3">
      <c r="A489" s="13">
        <v>42651</v>
      </c>
      <c r="B489" s="14" t="s">
        <v>740</v>
      </c>
      <c r="C489" s="14" t="s">
        <v>741</v>
      </c>
      <c r="D489" s="14" t="s">
        <v>739</v>
      </c>
      <c r="E489" s="25">
        <v>4643</v>
      </c>
    </row>
    <row r="490" spans="1:5" x14ac:dyDescent="0.3">
      <c r="A490" s="13">
        <v>42503</v>
      </c>
      <c r="B490" s="14" t="s">
        <v>738</v>
      </c>
      <c r="C490" s="14" t="s">
        <v>736</v>
      </c>
      <c r="D490" s="14" t="s">
        <v>742</v>
      </c>
      <c r="E490" s="25">
        <v>4852</v>
      </c>
    </row>
    <row r="491" spans="1:5" x14ac:dyDescent="0.3">
      <c r="A491" s="13">
        <v>42577</v>
      </c>
      <c r="B491" s="14" t="s">
        <v>740</v>
      </c>
      <c r="C491" s="14" t="s">
        <v>741</v>
      </c>
      <c r="D491" s="14" t="s">
        <v>743</v>
      </c>
      <c r="E491" s="25">
        <v>4312</v>
      </c>
    </row>
    <row r="492" spans="1:5" x14ac:dyDescent="0.3">
      <c r="A492" s="13">
        <v>42403</v>
      </c>
      <c r="B492" s="14" t="s">
        <v>744</v>
      </c>
      <c r="C492" s="14" t="s">
        <v>745</v>
      </c>
      <c r="D492" s="14" t="s">
        <v>737</v>
      </c>
      <c r="E492" s="25">
        <v>1728</v>
      </c>
    </row>
    <row r="493" spans="1:5" x14ac:dyDescent="0.3">
      <c r="A493" s="13">
        <v>42833</v>
      </c>
      <c r="B493" s="14" t="s">
        <v>747</v>
      </c>
      <c r="C493" s="14" t="s">
        <v>741</v>
      </c>
      <c r="D493" s="14" t="s">
        <v>737</v>
      </c>
      <c r="E493" s="25">
        <v>4945</v>
      </c>
    </row>
    <row r="494" spans="1:5" x14ac:dyDescent="0.3">
      <c r="A494" s="13">
        <v>42483</v>
      </c>
      <c r="B494" s="14" t="s">
        <v>744</v>
      </c>
      <c r="C494" s="14" t="s">
        <v>745</v>
      </c>
      <c r="D494" s="14" t="s">
        <v>742</v>
      </c>
      <c r="E494" s="25">
        <v>3344</v>
      </c>
    </row>
    <row r="495" spans="1:5" x14ac:dyDescent="0.3">
      <c r="A495" s="13">
        <v>42654</v>
      </c>
      <c r="B495" s="14" t="s">
        <v>738</v>
      </c>
      <c r="C495" s="14" t="s">
        <v>736</v>
      </c>
      <c r="D495" s="14" t="s">
        <v>739</v>
      </c>
      <c r="E495" s="25">
        <v>2888</v>
      </c>
    </row>
    <row r="496" spans="1:5" x14ac:dyDescent="0.3">
      <c r="A496" s="13">
        <v>42969</v>
      </c>
      <c r="B496" s="14" t="s">
        <v>740</v>
      </c>
      <c r="C496" s="14" t="s">
        <v>741</v>
      </c>
      <c r="D496" s="14" t="s">
        <v>743</v>
      </c>
      <c r="E496" s="25">
        <v>319</v>
      </c>
    </row>
    <row r="497" spans="1:5" x14ac:dyDescent="0.3">
      <c r="A497" s="13">
        <v>42726</v>
      </c>
      <c r="B497" s="14" t="s">
        <v>744</v>
      </c>
      <c r="C497" s="14" t="s">
        <v>745</v>
      </c>
      <c r="D497" s="14" t="s">
        <v>739</v>
      </c>
      <c r="E497" s="25">
        <v>3789</v>
      </c>
    </row>
    <row r="498" spans="1:5" x14ac:dyDescent="0.3">
      <c r="A498" s="13">
        <v>42522</v>
      </c>
      <c r="B498" s="14" t="s">
        <v>738</v>
      </c>
      <c r="C498" s="14" t="s">
        <v>736</v>
      </c>
      <c r="D498" s="14" t="s">
        <v>742</v>
      </c>
      <c r="E498" s="25">
        <v>2526</v>
      </c>
    </row>
    <row r="499" spans="1:5" x14ac:dyDescent="0.3">
      <c r="A499" s="13">
        <v>43032</v>
      </c>
      <c r="B499" s="14" t="s">
        <v>738</v>
      </c>
      <c r="C499" s="14" t="s">
        <v>736</v>
      </c>
      <c r="D499" s="14" t="s">
        <v>743</v>
      </c>
      <c r="E499" s="25">
        <v>2591</v>
      </c>
    </row>
    <row r="500" spans="1:5" x14ac:dyDescent="0.3">
      <c r="A500" s="13">
        <v>43034</v>
      </c>
      <c r="B500" s="14" t="s">
        <v>738</v>
      </c>
      <c r="C500" s="14" t="s">
        <v>736</v>
      </c>
      <c r="D500" s="14" t="s">
        <v>743</v>
      </c>
      <c r="E500" s="25">
        <v>333</v>
      </c>
    </row>
    <row r="501" spans="1:5" x14ac:dyDescent="0.3">
      <c r="A501" s="13">
        <v>43016</v>
      </c>
      <c r="B501" s="14" t="s">
        <v>747</v>
      </c>
      <c r="C501" s="14" t="s">
        <v>741</v>
      </c>
      <c r="D501" s="14" t="s">
        <v>743</v>
      </c>
      <c r="E501" s="25">
        <v>2859</v>
      </c>
    </row>
    <row r="502" spans="1:5" x14ac:dyDescent="0.3">
      <c r="A502" s="13">
        <v>42383</v>
      </c>
      <c r="B502" s="14" t="s">
        <v>746</v>
      </c>
      <c r="C502" s="14" t="s">
        <v>736</v>
      </c>
      <c r="D502" s="14" t="s">
        <v>742</v>
      </c>
      <c r="E502" s="25">
        <v>3103</v>
      </c>
    </row>
    <row r="503" spans="1:5" x14ac:dyDescent="0.3">
      <c r="A503" s="13">
        <v>42659</v>
      </c>
      <c r="B503" s="14" t="s">
        <v>738</v>
      </c>
      <c r="C503" s="14" t="s">
        <v>736</v>
      </c>
      <c r="D503" s="14" t="s">
        <v>739</v>
      </c>
      <c r="E503" s="25">
        <v>1465</v>
      </c>
    </row>
    <row r="504" spans="1:5" x14ac:dyDescent="0.3">
      <c r="A504" s="13">
        <v>42864</v>
      </c>
      <c r="B504" s="14" t="s">
        <v>738</v>
      </c>
      <c r="C504" s="14" t="s">
        <v>736</v>
      </c>
      <c r="D504" s="14" t="s">
        <v>742</v>
      </c>
      <c r="E504" s="25">
        <v>648</v>
      </c>
    </row>
    <row r="505" spans="1:5" x14ac:dyDescent="0.3">
      <c r="A505" s="13">
        <v>43087</v>
      </c>
      <c r="B505" s="14" t="s">
        <v>735</v>
      </c>
      <c r="C505" s="14" t="s">
        <v>736</v>
      </c>
      <c r="D505" s="14" t="s">
        <v>739</v>
      </c>
      <c r="E505" s="25">
        <v>4438</v>
      </c>
    </row>
    <row r="506" spans="1:5" x14ac:dyDescent="0.3">
      <c r="A506" s="13">
        <v>42505</v>
      </c>
      <c r="B506" s="14" t="s">
        <v>740</v>
      </c>
      <c r="C506" s="14" t="s">
        <v>741</v>
      </c>
      <c r="D506" s="14" t="s">
        <v>742</v>
      </c>
      <c r="E506" s="25">
        <v>3579</v>
      </c>
    </row>
    <row r="507" spans="1:5" x14ac:dyDescent="0.3">
      <c r="A507" s="13">
        <v>42721</v>
      </c>
      <c r="B507" s="14" t="s">
        <v>735</v>
      </c>
      <c r="C507" s="14" t="s">
        <v>736</v>
      </c>
      <c r="D507" s="14" t="s">
        <v>743</v>
      </c>
      <c r="E507" s="25">
        <v>2723</v>
      </c>
    </row>
    <row r="508" spans="1:5" x14ac:dyDescent="0.3">
      <c r="A508" s="13">
        <v>42652</v>
      </c>
      <c r="B508" s="14" t="s">
        <v>738</v>
      </c>
      <c r="C508" s="14" t="s">
        <v>736</v>
      </c>
      <c r="D508" s="14" t="s">
        <v>739</v>
      </c>
      <c r="E508" s="25">
        <v>442</v>
      </c>
    </row>
    <row r="509" spans="1:5" x14ac:dyDescent="0.3">
      <c r="A509" s="13">
        <v>42979</v>
      </c>
      <c r="B509" s="14" t="s">
        <v>744</v>
      </c>
      <c r="C509" s="14" t="s">
        <v>741</v>
      </c>
      <c r="D509" s="14" t="s">
        <v>742</v>
      </c>
      <c r="E509" s="25">
        <v>1711</v>
      </c>
    </row>
    <row r="510" spans="1:5" x14ac:dyDescent="0.3">
      <c r="A510" s="13">
        <v>42421</v>
      </c>
      <c r="B510" s="14" t="s">
        <v>740</v>
      </c>
      <c r="C510" s="14" t="s">
        <v>741</v>
      </c>
      <c r="D510" s="14" t="s">
        <v>743</v>
      </c>
      <c r="E510" s="25">
        <v>4018</v>
      </c>
    </row>
    <row r="511" spans="1:5" x14ac:dyDescent="0.3">
      <c r="A511" s="13">
        <v>42822</v>
      </c>
      <c r="B511" s="14" t="s">
        <v>735</v>
      </c>
      <c r="C511" s="14" t="s">
        <v>741</v>
      </c>
      <c r="D511" s="14" t="s">
        <v>737</v>
      </c>
      <c r="E511" s="25">
        <v>4775</v>
      </c>
    </row>
    <row r="512" spans="1:5" x14ac:dyDescent="0.3">
      <c r="A512" s="13">
        <v>42789</v>
      </c>
      <c r="B512" s="14" t="s">
        <v>738</v>
      </c>
      <c r="C512" s="14" t="s">
        <v>736</v>
      </c>
      <c r="D512" s="14" t="s">
        <v>739</v>
      </c>
      <c r="E512" s="25">
        <v>1573</v>
      </c>
    </row>
    <row r="513" spans="1:5" x14ac:dyDescent="0.3">
      <c r="A513" s="13">
        <v>42926</v>
      </c>
      <c r="B513" s="14" t="s">
        <v>738</v>
      </c>
      <c r="C513" s="14" t="s">
        <v>736</v>
      </c>
      <c r="D513" s="14" t="s">
        <v>737</v>
      </c>
      <c r="E513" s="25">
        <v>856</v>
      </c>
    </row>
    <row r="514" spans="1:5" x14ac:dyDescent="0.3">
      <c r="A514" s="13">
        <v>42655</v>
      </c>
      <c r="B514" s="14" t="s">
        <v>738</v>
      </c>
      <c r="C514" s="14" t="s">
        <v>736</v>
      </c>
      <c r="D514" s="14" t="s">
        <v>739</v>
      </c>
      <c r="E514" s="25">
        <v>1565</v>
      </c>
    </row>
    <row r="515" spans="1:5" x14ac:dyDescent="0.3">
      <c r="A515" s="13">
        <v>42895</v>
      </c>
      <c r="B515" s="14" t="s">
        <v>735</v>
      </c>
      <c r="C515" s="14" t="s">
        <v>736</v>
      </c>
      <c r="D515" s="14" t="s">
        <v>743</v>
      </c>
      <c r="E515" s="25">
        <v>754</v>
      </c>
    </row>
    <row r="516" spans="1:5" x14ac:dyDescent="0.3">
      <c r="A516" s="13">
        <v>42618</v>
      </c>
      <c r="B516" s="14" t="s">
        <v>738</v>
      </c>
      <c r="C516" s="14" t="s">
        <v>736</v>
      </c>
      <c r="D516" s="14" t="s">
        <v>739</v>
      </c>
      <c r="E516" s="25">
        <v>3407</v>
      </c>
    </row>
    <row r="517" spans="1:5" x14ac:dyDescent="0.3">
      <c r="A517" s="13">
        <v>42695</v>
      </c>
      <c r="B517" s="14" t="s">
        <v>738</v>
      </c>
      <c r="C517" s="14" t="s">
        <v>736</v>
      </c>
      <c r="D517" s="14" t="s">
        <v>739</v>
      </c>
      <c r="E517" s="25">
        <v>1145</v>
      </c>
    </row>
    <row r="518" spans="1:5" x14ac:dyDescent="0.3">
      <c r="A518" s="13">
        <v>42932</v>
      </c>
      <c r="B518" s="14" t="s">
        <v>740</v>
      </c>
      <c r="C518" s="14" t="s">
        <v>741</v>
      </c>
      <c r="D518" s="14" t="s">
        <v>737</v>
      </c>
      <c r="E518" s="25">
        <v>631</v>
      </c>
    </row>
    <row r="519" spans="1:5" x14ac:dyDescent="0.3">
      <c r="A519" s="13">
        <v>42958</v>
      </c>
      <c r="B519" s="14" t="s">
        <v>738</v>
      </c>
      <c r="C519" s="14" t="s">
        <v>736</v>
      </c>
      <c r="D519" s="14" t="s">
        <v>739</v>
      </c>
      <c r="E519" s="25">
        <v>2178</v>
      </c>
    </row>
    <row r="520" spans="1:5" x14ac:dyDescent="0.3">
      <c r="A520" s="13">
        <v>42490</v>
      </c>
      <c r="B520" s="14" t="s">
        <v>735</v>
      </c>
      <c r="C520" s="14" t="s">
        <v>741</v>
      </c>
      <c r="D520" s="14" t="s">
        <v>739</v>
      </c>
      <c r="E520" s="25">
        <v>1542</v>
      </c>
    </row>
    <row r="521" spans="1:5" x14ac:dyDescent="0.3">
      <c r="A521" s="13">
        <v>42973</v>
      </c>
      <c r="B521" s="14" t="s">
        <v>740</v>
      </c>
      <c r="C521" s="14" t="s">
        <v>741</v>
      </c>
      <c r="D521" s="14" t="s">
        <v>743</v>
      </c>
      <c r="E521" s="25">
        <v>3552</v>
      </c>
    </row>
    <row r="522" spans="1:5" x14ac:dyDescent="0.3">
      <c r="A522" s="13">
        <v>43066</v>
      </c>
      <c r="B522" s="14" t="s">
        <v>738</v>
      </c>
      <c r="C522" s="14" t="s">
        <v>736</v>
      </c>
      <c r="D522" s="14" t="s">
        <v>742</v>
      </c>
      <c r="E522" s="25">
        <v>4382</v>
      </c>
    </row>
    <row r="523" spans="1:5" x14ac:dyDescent="0.3">
      <c r="A523" s="13">
        <v>42878</v>
      </c>
      <c r="B523" s="14" t="s">
        <v>738</v>
      </c>
      <c r="C523" s="14" t="s">
        <v>736</v>
      </c>
      <c r="D523" s="14" t="s">
        <v>743</v>
      </c>
      <c r="E523" s="25">
        <v>2880</v>
      </c>
    </row>
    <row r="524" spans="1:5" x14ac:dyDescent="0.3">
      <c r="A524" s="13">
        <v>42782</v>
      </c>
      <c r="B524" s="14" t="s">
        <v>747</v>
      </c>
      <c r="C524" s="14" t="s">
        <v>741</v>
      </c>
      <c r="D524" s="14" t="s">
        <v>742</v>
      </c>
      <c r="E524" s="25">
        <v>2968</v>
      </c>
    </row>
    <row r="525" spans="1:5" x14ac:dyDescent="0.3">
      <c r="A525" s="13">
        <v>42473</v>
      </c>
      <c r="B525" s="14" t="s">
        <v>744</v>
      </c>
      <c r="C525" s="14" t="s">
        <v>741</v>
      </c>
      <c r="D525" s="14" t="s">
        <v>743</v>
      </c>
      <c r="E525" s="25">
        <v>4778</v>
      </c>
    </row>
    <row r="526" spans="1:5" x14ac:dyDescent="0.3">
      <c r="A526" s="13">
        <v>42803</v>
      </c>
      <c r="B526" s="14" t="s">
        <v>747</v>
      </c>
      <c r="C526" s="14" t="s">
        <v>741</v>
      </c>
      <c r="D526" s="14" t="s">
        <v>743</v>
      </c>
      <c r="E526" s="25">
        <v>3059</v>
      </c>
    </row>
    <row r="527" spans="1:5" x14ac:dyDescent="0.3">
      <c r="A527" s="13">
        <v>42611</v>
      </c>
      <c r="B527" s="14" t="s">
        <v>744</v>
      </c>
      <c r="C527" s="14" t="s">
        <v>745</v>
      </c>
      <c r="D527" s="14" t="s">
        <v>743</v>
      </c>
      <c r="E527" s="25">
        <v>3587</v>
      </c>
    </row>
    <row r="528" spans="1:5" x14ac:dyDescent="0.3">
      <c r="A528" s="13">
        <v>43047</v>
      </c>
      <c r="B528" s="14" t="s">
        <v>744</v>
      </c>
      <c r="C528" s="14" t="s">
        <v>745</v>
      </c>
      <c r="D528" s="14" t="s">
        <v>743</v>
      </c>
      <c r="E528" s="25">
        <v>3891</v>
      </c>
    </row>
    <row r="529" spans="1:5" x14ac:dyDescent="0.3">
      <c r="A529" s="13">
        <v>42515</v>
      </c>
      <c r="B529" s="14" t="s">
        <v>744</v>
      </c>
      <c r="C529" s="14" t="s">
        <v>745</v>
      </c>
      <c r="D529" s="14" t="s">
        <v>737</v>
      </c>
      <c r="E529" s="25">
        <v>2886</v>
      </c>
    </row>
    <row r="530" spans="1:5" x14ac:dyDescent="0.3">
      <c r="A530" s="13">
        <v>42389</v>
      </c>
      <c r="B530" s="14" t="s">
        <v>744</v>
      </c>
      <c r="C530" s="14" t="s">
        <v>741</v>
      </c>
      <c r="D530" s="14" t="s">
        <v>742</v>
      </c>
      <c r="E530" s="25">
        <v>489</v>
      </c>
    </row>
    <row r="531" spans="1:5" x14ac:dyDescent="0.3">
      <c r="A531" s="13">
        <v>42526</v>
      </c>
      <c r="B531" s="14" t="s">
        <v>740</v>
      </c>
      <c r="C531" s="14" t="s">
        <v>741</v>
      </c>
      <c r="D531" s="14" t="s">
        <v>739</v>
      </c>
      <c r="E531" s="25">
        <v>1257</v>
      </c>
    </row>
    <row r="532" spans="1:5" x14ac:dyDescent="0.3">
      <c r="A532" s="13">
        <v>42482</v>
      </c>
      <c r="B532" s="14" t="s">
        <v>744</v>
      </c>
      <c r="C532" s="14" t="s">
        <v>741</v>
      </c>
      <c r="D532" s="14" t="s">
        <v>739</v>
      </c>
      <c r="E532" s="25">
        <v>3638</v>
      </c>
    </row>
    <row r="533" spans="1:5" x14ac:dyDescent="0.3">
      <c r="A533" s="13">
        <v>43012</v>
      </c>
      <c r="B533" s="14" t="s">
        <v>738</v>
      </c>
      <c r="C533" s="14" t="s">
        <v>736</v>
      </c>
      <c r="D533" s="14" t="s">
        <v>742</v>
      </c>
      <c r="E533" s="25">
        <v>4118</v>
      </c>
    </row>
    <row r="534" spans="1:5" x14ac:dyDescent="0.3">
      <c r="A534" s="13">
        <v>42617</v>
      </c>
      <c r="B534" s="14" t="s">
        <v>744</v>
      </c>
      <c r="C534" s="14" t="s">
        <v>741</v>
      </c>
      <c r="D534" s="14" t="s">
        <v>742</v>
      </c>
      <c r="E534" s="25">
        <v>2601</v>
      </c>
    </row>
    <row r="535" spans="1:5" x14ac:dyDescent="0.3">
      <c r="A535" s="13">
        <v>42732</v>
      </c>
      <c r="B535" s="14" t="s">
        <v>744</v>
      </c>
      <c r="C535" s="14" t="s">
        <v>741</v>
      </c>
      <c r="D535" s="14" t="s">
        <v>743</v>
      </c>
      <c r="E535" s="25">
        <v>1244</v>
      </c>
    </row>
    <row r="536" spans="1:5" x14ac:dyDescent="0.3">
      <c r="A536" s="13">
        <v>42990</v>
      </c>
      <c r="B536" s="14" t="s">
        <v>744</v>
      </c>
      <c r="C536" s="14" t="s">
        <v>741</v>
      </c>
      <c r="D536" s="14" t="s">
        <v>737</v>
      </c>
      <c r="E536" s="25">
        <v>4218</v>
      </c>
    </row>
    <row r="537" spans="1:5" x14ac:dyDescent="0.3">
      <c r="A537" s="13">
        <v>42502</v>
      </c>
      <c r="B537" s="14" t="s">
        <v>738</v>
      </c>
      <c r="C537" s="14" t="s">
        <v>736</v>
      </c>
      <c r="D537" s="14" t="s">
        <v>742</v>
      </c>
      <c r="E537" s="25">
        <v>2855</v>
      </c>
    </row>
    <row r="538" spans="1:5" x14ac:dyDescent="0.3">
      <c r="A538" s="13">
        <v>42585</v>
      </c>
      <c r="B538" s="14" t="s">
        <v>738</v>
      </c>
      <c r="C538" s="14" t="s">
        <v>736</v>
      </c>
      <c r="D538" s="14" t="s">
        <v>742</v>
      </c>
      <c r="E538" s="25">
        <v>2854</v>
      </c>
    </row>
    <row r="539" spans="1:5" x14ac:dyDescent="0.3">
      <c r="A539" s="13">
        <v>42897</v>
      </c>
      <c r="B539" s="14" t="s">
        <v>744</v>
      </c>
      <c r="C539" s="14" t="s">
        <v>741</v>
      </c>
      <c r="D539" s="14" t="s">
        <v>742</v>
      </c>
      <c r="E539" s="25">
        <v>4189</v>
      </c>
    </row>
    <row r="540" spans="1:5" x14ac:dyDescent="0.3">
      <c r="A540" s="13">
        <v>42988</v>
      </c>
      <c r="B540" s="14" t="s">
        <v>738</v>
      </c>
      <c r="C540" s="14" t="s">
        <v>736</v>
      </c>
      <c r="D540" s="14" t="s">
        <v>743</v>
      </c>
      <c r="E540" s="25">
        <v>578</v>
      </c>
    </row>
    <row r="541" spans="1:5" x14ac:dyDescent="0.3">
      <c r="A541" s="13">
        <v>42396</v>
      </c>
      <c r="B541" s="14" t="s">
        <v>740</v>
      </c>
      <c r="C541" s="14" t="s">
        <v>741</v>
      </c>
      <c r="D541" s="14" t="s">
        <v>739</v>
      </c>
      <c r="E541" s="25">
        <v>994</v>
      </c>
    </row>
    <row r="542" spans="1:5" x14ac:dyDescent="0.3">
      <c r="A542" s="13">
        <v>42792</v>
      </c>
      <c r="B542" s="14" t="s">
        <v>740</v>
      </c>
      <c r="C542" s="14" t="s">
        <v>741</v>
      </c>
      <c r="D542" s="14" t="s">
        <v>743</v>
      </c>
      <c r="E542" s="25">
        <v>3731</v>
      </c>
    </row>
    <row r="543" spans="1:5" x14ac:dyDescent="0.3">
      <c r="A543" s="13">
        <v>42408</v>
      </c>
      <c r="B543" s="14" t="s">
        <v>738</v>
      </c>
      <c r="C543" s="14" t="s">
        <v>736</v>
      </c>
      <c r="D543" s="14" t="s">
        <v>742</v>
      </c>
      <c r="E543" s="25">
        <v>3280</v>
      </c>
    </row>
    <row r="544" spans="1:5" x14ac:dyDescent="0.3">
      <c r="A544" s="13">
        <v>42697</v>
      </c>
      <c r="B544" s="14" t="s">
        <v>744</v>
      </c>
      <c r="C544" s="14" t="s">
        <v>741</v>
      </c>
      <c r="D544" s="14" t="s">
        <v>742</v>
      </c>
      <c r="E544" s="25">
        <v>4339</v>
      </c>
    </row>
    <row r="545" spans="1:5" x14ac:dyDescent="0.3">
      <c r="A545" s="13">
        <v>42418</v>
      </c>
      <c r="B545" s="14" t="s">
        <v>746</v>
      </c>
      <c r="C545" s="14" t="s">
        <v>736</v>
      </c>
      <c r="D545" s="14" t="s">
        <v>737</v>
      </c>
      <c r="E545" s="25">
        <v>855</v>
      </c>
    </row>
    <row r="546" spans="1:5" x14ac:dyDescent="0.3">
      <c r="A546" s="13">
        <v>42854</v>
      </c>
      <c r="B546" s="14" t="s">
        <v>744</v>
      </c>
      <c r="C546" s="14" t="s">
        <v>745</v>
      </c>
      <c r="D546" s="14" t="s">
        <v>739</v>
      </c>
      <c r="E546" s="25">
        <v>1241</v>
      </c>
    </row>
    <row r="547" spans="1:5" x14ac:dyDescent="0.3">
      <c r="A547" s="13">
        <v>42648</v>
      </c>
      <c r="B547" s="14" t="s">
        <v>738</v>
      </c>
      <c r="C547" s="14" t="s">
        <v>736</v>
      </c>
      <c r="D547" s="14" t="s">
        <v>737</v>
      </c>
      <c r="E547" s="25">
        <v>4937</v>
      </c>
    </row>
    <row r="548" spans="1:5" x14ac:dyDescent="0.3">
      <c r="A548" s="13">
        <v>42954</v>
      </c>
      <c r="B548" s="14" t="s">
        <v>740</v>
      </c>
      <c r="C548" s="14" t="s">
        <v>741</v>
      </c>
      <c r="D548" s="14" t="s">
        <v>742</v>
      </c>
      <c r="E548" s="25">
        <v>1576</v>
      </c>
    </row>
    <row r="549" spans="1:5" x14ac:dyDescent="0.3">
      <c r="A549" s="13">
        <v>42889</v>
      </c>
      <c r="B549" s="14" t="s">
        <v>738</v>
      </c>
      <c r="C549" s="14" t="s">
        <v>736</v>
      </c>
      <c r="D549" s="14" t="s">
        <v>739</v>
      </c>
      <c r="E549" s="25">
        <v>3744</v>
      </c>
    </row>
    <row r="550" spans="1:5" x14ac:dyDescent="0.3">
      <c r="A550" s="13">
        <v>42484</v>
      </c>
      <c r="B550" s="14" t="s">
        <v>738</v>
      </c>
      <c r="C550" s="14" t="s">
        <v>736</v>
      </c>
      <c r="D550" s="14" t="s">
        <v>739</v>
      </c>
      <c r="E550" s="25">
        <v>1115</v>
      </c>
    </row>
    <row r="551" spans="1:5" x14ac:dyDescent="0.3">
      <c r="A551" s="13">
        <v>43080</v>
      </c>
      <c r="B551" s="14" t="s">
        <v>740</v>
      </c>
      <c r="C551" s="14" t="s">
        <v>741</v>
      </c>
      <c r="D551" s="14" t="s">
        <v>739</v>
      </c>
      <c r="E551" s="25">
        <v>2028</v>
      </c>
    </row>
    <row r="552" spans="1:5" x14ac:dyDescent="0.3">
      <c r="A552" s="13">
        <v>42948</v>
      </c>
      <c r="B552" s="14" t="s">
        <v>738</v>
      </c>
      <c r="C552" s="14" t="s">
        <v>736</v>
      </c>
      <c r="D552" s="14" t="s">
        <v>739</v>
      </c>
      <c r="E552" s="25">
        <v>1279</v>
      </c>
    </row>
    <row r="553" spans="1:5" x14ac:dyDescent="0.3">
      <c r="A553" s="13">
        <v>42720</v>
      </c>
      <c r="B553" s="14" t="s">
        <v>746</v>
      </c>
      <c r="C553" s="14" t="s">
        <v>736</v>
      </c>
      <c r="D553" s="14" t="s">
        <v>739</v>
      </c>
      <c r="E553" s="25">
        <v>3815</v>
      </c>
    </row>
    <row r="554" spans="1:5" x14ac:dyDescent="0.3">
      <c r="A554" s="13">
        <v>43000</v>
      </c>
      <c r="B554" s="14" t="s">
        <v>747</v>
      </c>
      <c r="C554" s="14" t="s">
        <v>741</v>
      </c>
      <c r="D554" s="14" t="s">
        <v>742</v>
      </c>
      <c r="E554" s="25">
        <v>3658</v>
      </c>
    </row>
    <row r="555" spans="1:5" x14ac:dyDescent="0.3">
      <c r="A555" s="13">
        <v>42926</v>
      </c>
      <c r="B555" s="14" t="s">
        <v>744</v>
      </c>
      <c r="C555" s="14" t="s">
        <v>745</v>
      </c>
      <c r="D555" s="14" t="s">
        <v>742</v>
      </c>
      <c r="E555" s="25">
        <v>4251</v>
      </c>
    </row>
    <row r="556" spans="1:5" x14ac:dyDescent="0.3">
      <c r="A556" s="13">
        <v>43086</v>
      </c>
      <c r="B556" s="14" t="s">
        <v>738</v>
      </c>
      <c r="C556" s="14" t="s">
        <v>736</v>
      </c>
      <c r="D556" s="14" t="s">
        <v>742</v>
      </c>
      <c r="E556" s="25">
        <v>1239</v>
      </c>
    </row>
    <row r="557" spans="1:5" x14ac:dyDescent="0.3">
      <c r="A557" s="13">
        <v>42772</v>
      </c>
      <c r="B557" s="14" t="s">
        <v>744</v>
      </c>
      <c r="C557" s="14" t="s">
        <v>741</v>
      </c>
      <c r="D557" s="14" t="s">
        <v>743</v>
      </c>
      <c r="E557" s="25">
        <v>1220</v>
      </c>
    </row>
    <row r="558" spans="1:5" x14ac:dyDescent="0.3">
      <c r="A558" s="13">
        <v>42977</v>
      </c>
      <c r="B558" s="14" t="s">
        <v>735</v>
      </c>
      <c r="C558" s="14" t="s">
        <v>736</v>
      </c>
      <c r="D558" s="14" t="s">
        <v>742</v>
      </c>
      <c r="E558" s="25">
        <v>3196</v>
      </c>
    </row>
    <row r="559" spans="1:5" x14ac:dyDescent="0.3">
      <c r="A559" s="13">
        <v>42797</v>
      </c>
      <c r="B559" s="14" t="s">
        <v>744</v>
      </c>
      <c r="C559" s="14" t="s">
        <v>741</v>
      </c>
      <c r="D559" s="14" t="s">
        <v>743</v>
      </c>
      <c r="E559" s="25">
        <v>4094</v>
      </c>
    </row>
    <row r="560" spans="1:5" x14ac:dyDescent="0.3">
      <c r="A560" s="13">
        <v>42662</v>
      </c>
      <c r="B560" s="14" t="s">
        <v>738</v>
      </c>
      <c r="C560" s="14" t="s">
        <v>736</v>
      </c>
      <c r="D560" s="14" t="s">
        <v>742</v>
      </c>
      <c r="E560" s="25">
        <v>4819</v>
      </c>
    </row>
    <row r="561" spans="1:5" x14ac:dyDescent="0.3">
      <c r="A561" s="13">
        <v>42495</v>
      </c>
      <c r="B561" s="14" t="s">
        <v>738</v>
      </c>
      <c r="C561" s="14" t="s">
        <v>736</v>
      </c>
      <c r="D561" s="14" t="s">
        <v>739</v>
      </c>
      <c r="E561" s="25">
        <v>4942</v>
      </c>
    </row>
    <row r="562" spans="1:5" x14ac:dyDescent="0.3">
      <c r="A562" s="13">
        <v>42878</v>
      </c>
      <c r="B562" s="14" t="s">
        <v>740</v>
      </c>
      <c r="C562" s="14" t="s">
        <v>741</v>
      </c>
      <c r="D562" s="14" t="s">
        <v>739</v>
      </c>
      <c r="E562" s="25">
        <v>422</v>
      </c>
    </row>
    <row r="563" spans="1:5" x14ac:dyDescent="0.3">
      <c r="A563" s="13">
        <v>42630</v>
      </c>
      <c r="B563" s="14" t="s">
        <v>744</v>
      </c>
      <c r="C563" s="14" t="s">
        <v>741</v>
      </c>
      <c r="D563" s="14" t="s">
        <v>739</v>
      </c>
      <c r="E563" s="25">
        <v>831</v>
      </c>
    </row>
    <row r="564" spans="1:5" x14ac:dyDescent="0.3">
      <c r="A564" s="13">
        <v>43006</v>
      </c>
      <c r="B564" s="14" t="s">
        <v>740</v>
      </c>
      <c r="C564" s="14" t="s">
        <v>741</v>
      </c>
      <c r="D564" s="14" t="s">
        <v>739</v>
      </c>
      <c r="E564" s="25">
        <v>4736</v>
      </c>
    </row>
    <row r="565" spans="1:5" x14ac:dyDescent="0.3">
      <c r="A565" s="13">
        <v>42947</v>
      </c>
      <c r="B565" s="14" t="s">
        <v>735</v>
      </c>
      <c r="C565" s="14" t="s">
        <v>736</v>
      </c>
      <c r="D565" s="14" t="s">
        <v>742</v>
      </c>
      <c r="E565" s="25">
        <v>2978</v>
      </c>
    </row>
    <row r="566" spans="1:5" x14ac:dyDescent="0.3">
      <c r="A566" s="13">
        <v>42532</v>
      </c>
      <c r="B566" s="14" t="s">
        <v>738</v>
      </c>
      <c r="C566" s="14" t="s">
        <v>736</v>
      </c>
      <c r="D566" s="14" t="s">
        <v>742</v>
      </c>
      <c r="E566" s="25">
        <v>310</v>
      </c>
    </row>
    <row r="567" spans="1:5" x14ac:dyDescent="0.3">
      <c r="A567" s="13">
        <v>42885</v>
      </c>
      <c r="B567" s="14" t="s">
        <v>746</v>
      </c>
      <c r="C567" s="14" t="s">
        <v>736</v>
      </c>
      <c r="D567" s="14" t="s">
        <v>743</v>
      </c>
      <c r="E567" s="25">
        <v>1048</v>
      </c>
    </row>
    <row r="568" spans="1:5" x14ac:dyDescent="0.3">
      <c r="A568" s="13">
        <v>42691</v>
      </c>
      <c r="B568" s="14" t="s">
        <v>744</v>
      </c>
      <c r="C568" s="14" t="s">
        <v>741</v>
      </c>
      <c r="D568" s="14" t="s">
        <v>739</v>
      </c>
      <c r="E568" s="25">
        <v>4505</v>
      </c>
    </row>
    <row r="569" spans="1:5" x14ac:dyDescent="0.3">
      <c r="A569" s="13">
        <v>42434</v>
      </c>
      <c r="B569" s="14" t="s">
        <v>746</v>
      </c>
      <c r="C569" s="14" t="s">
        <v>736</v>
      </c>
      <c r="D569" s="14" t="s">
        <v>742</v>
      </c>
      <c r="E569" s="25">
        <v>3451</v>
      </c>
    </row>
    <row r="570" spans="1:5" x14ac:dyDescent="0.3">
      <c r="A570" s="13">
        <v>42619</v>
      </c>
      <c r="B570" s="14" t="s">
        <v>746</v>
      </c>
      <c r="C570" s="14" t="s">
        <v>736</v>
      </c>
      <c r="D570" s="14" t="s">
        <v>742</v>
      </c>
      <c r="E570" s="25">
        <v>514</v>
      </c>
    </row>
    <row r="571" spans="1:5" x14ac:dyDescent="0.3">
      <c r="A571" s="13">
        <v>42904</v>
      </c>
      <c r="B571" s="14" t="s">
        <v>738</v>
      </c>
      <c r="C571" s="14" t="s">
        <v>736</v>
      </c>
      <c r="D571" s="14" t="s">
        <v>742</v>
      </c>
      <c r="E571" s="25">
        <v>2570</v>
      </c>
    </row>
    <row r="572" spans="1:5" x14ac:dyDescent="0.3">
      <c r="A572" s="13">
        <v>42830</v>
      </c>
      <c r="B572" s="14" t="s">
        <v>740</v>
      </c>
      <c r="C572" s="14" t="s">
        <v>741</v>
      </c>
      <c r="D572" s="14" t="s">
        <v>737</v>
      </c>
      <c r="E572" s="25">
        <v>671</v>
      </c>
    </row>
    <row r="573" spans="1:5" x14ac:dyDescent="0.3">
      <c r="A573" s="13">
        <v>42849</v>
      </c>
      <c r="B573" s="14" t="s">
        <v>744</v>
      </c>
      <c r="C573" s="14" t="s">
        <v>741</v>
      </c>
      <c r="D573" s="14" t="s">
        <v>743</v>
      </c>
      <c r="E573" s="25">
        <v>2600</v>
      </c>
    </row>
    <row r="574" spans="1:5" x14ac:dyDescent="0.3">
      <c r="A574" s="13">
        <v>42734</v>
      </c>
      <c r="B574" s="14" t="s">
        <v>738</v>
      </c>
      <c r="C574" s="14" t="s">
        <v>736</v>
      </c>
      <c r="D574" s="14" t="s">
        <v>742</v>
      </c>
      <c r="E574" s="25">
        <v>1281</v>
      </c>
    </row>
    <row r="575" spans="1:5" x14ac:dyDescent="0.3">
      <c r="A575" s="13">
        <v>42842</v>
      </c>
      <c r="B575" s="14" t="s">
        <v>747</v>
      </c>
      <c r="C575" s="14" t="s">
        <v>741</v>
      </c>
      <c r="D575" s="14" t="s">
        <v>743</v>
      </c>
      <c r="E575" s="25">
        <v>4386</v>
      </c>
    </row>
    <row r="576" spans="1:5" x14ac:dyDescent="0.3">
      <c r="A576" s="13">
        <v>42419</v>
      </c>
      <c r="B576" s="14" t="s">
        <v>740</v>
      </c>
      <c r="C576" s="14" t="s">
        <v>741</v>
      </c>
      <c r="D576" s="14" t="s">
        <v>743</v>
      </c>
      <c r="E576" s="25">
        <v>3624</v>
      </c>
    </row>
    <row r="577" spans="1:5" x14ac:dyDescent="0.3">
      <c r="A577" s="13">
        <v>42859</v>
      </c>
      <c r="B577" s="14" t="s">
        <v>744</v>
      </c>
      <c r="C577" s="14" t="s">
        <v>745</v>
      </c>
      <c r="D577" s="14" t="s">
        <v>742</v>
      </c>
      <c r="E577" s="25">
        <v>1556</v>
      </c>
    </row>
    <row r="578" spans="1:5" x14ac:dyDescent="0.3">
      <c r="A578" s="13">
        <v>42574</v>
      </c>
      <c r="B578" s="14" t="s">
        <v>738</v>
      </c>
      <c r="C578" s="14" t="s">
        <v>736</v>
      </c>
      <c r="D578" s="14" t="s">
        <v>739</v>
      </c>
      <c r="E578" s="25">
        <v>3957</v>
      </c>
    </row>
    <row r="579" spans="1:5" x14ac:dyDescent="0.3">
      <c r="A579" s="13">
        <v>43040</v>
      </c>
      <c r="B579" s="14" t="s">
        <v>744</v>
      </c>
      <c r="C579" s="14" t="s">
        <v>741</v>
      </c>
      <c r="D579" s="14" t="s">
        <v>742</v>
      </c>
      <c r="E579" s="25">
        <v>637</v>
      </c>
    </row>
    <row r="580" spans="1:5" x14ac:dyDescent="0.3">
      <c r="A580" s="13">
        <v>42400</v>
      </c>
      <c r="B580" s="14" t="s">
        <v>744</v>
      </c>
      <c r="C580" s="14" t="s">
        <v>741</v>
      </c>
      <c r="D580" s="14" t="s">
        <v>739</v>
      </c>
      <c r="E580" s="25">
        <v>1279</v>
      </c>
    </row>
    <row r="581" spans="1:5" x14ac:dyDescent="0.3">
      <c r="A581" s="13">
        <v>42662</v>
      </c>
      <c r="B581" s="14" t="s">
        <v>738</v>
      </c>
      <c r="C581" s="14" t="s">
        <v>736</v>
      </c>
      <c r="D581" s="14" t="s">
        <v>742</v>
      </c>
      <c r="E581" s="25">
        <v>3825</v>
      </c>
    </row>
    <row r="582" spans="1:5" x14ac:dyDescent="0.3">
      <c r="A582" s="13">
        <v>42909</v>
      </c>
      <c r="B582" s="14" t="s">
        <v>740</v>
      </c>
      <c r="C582" s="14" t="s">
        <v>741</v>
      </c>
      <c r="D582" s="14" t="s">
        <v>739</v>
      </c>
      <c r="E582" s="25">
        <v>159</v>
      </c>
    </row>
    <row r="583" spans="1:5" x14ac:dyDescent="0.3">
      <c r="A583" s="13">
        <v>42614</v>
      </c>
      <c r="B583" s="14" t="s">
        <v>738</v>
      </c>
      <c r="C583" s="14" t="s">
        <v>736</v>
      </c>
      <c r="D583" s="14" t="s">
        <v>742</v>
      </c>
      <c r="E583" s="25">
        <v>2664</v>
      </c>
    </row>
    <row r="584" spans="1:5" x14ac:dyDescent="0.3">
      <c r="A584" s="13">
        <v>42630</v>
      </c>
      <c r="B584" s="14" t="s">
        <v>744</v>
      </c>
      <c r="C584" s="14" t="s">
        <v>745</v>
      </c>
      <c r="D584" s="14" t="s">
        <v>739</v>
      </c>
      <c r="E584" s="25">
        <v>3827</v>
      </c>
    </row>
    <row r="585" spans="1:5" x14ac:dyDescent="0.3">
      <c r="A585" s="13">
        <v>42554</v>
      </c>
      <c r="B585" s="14" t="s">
        <v>738</v>
      </c>
      <c r="C585" s="14" t="s">
        <v>736</v>
      </c>
      <c r="D585" s="14" t="s">
        <v>742</v>
      </c>
      <c r="E585" s="25">
        <v>503</v>
      </c>
    </row>
    <row r="586" spans="1:5" x14ac:dyDescent="0.3">
      <c r="A586" s="13">
        <v>42989</v>
      </c>
      <c r="B586" s="14" t="s">
        <v>738</v>
      </c>
      <c r="C586" s="14" t="s">
        <v>736</v>
      </c>
      <c r="D586" s="14" t="s">
        <v>737</v>
      </c>
      <c r="E586" s="25">
        <v>2668</v>
      </c>
    </row>
    <row r="587" spans="1:5" x14ac:dyDescent="0.3">
      <c r="A587" s="13">
        <v>42786</v>
      </c>
      <c r="B587" s="14" t="s">
        <v>735</v>
      </c>
      <c r="C587" s="14" t="s">
        <v>736</v>
      </c>
      <c r="D587" s="14" t="s">
        <v>743</v>
      </c>
      <c r="E587" s="25">
        <v>230</v>
      </c>
    </row>
    <row r="588" spans="1:5" x14ac:dyDescent="0.3">
      <c r="A588" s="13">
        <v>42423</v>
      </c>
      <c r="B588" s="14" t="s">
        <v>744</v>
      </c>
      <c r="C588" s="14" t="s">
        <v>745</v>
      </c>
      <c r="D588" s="14" t="s">
        <v>743</v>
      </c>
      <c r="E588" s="25">
        <v>3891</v>
      </c>
    </row>
    <row r="589" spans="1:5" x14ac:dyDescent="0.3">
      <c r="A589" s="13">
        <v>42570</v>
      </c>
      <c r="B589" s="14" t="s">
        <v>735</v>
      </c>
      <c r="C589" s="14" t="s">
        <v>736</v>
      </c>
      <c r="D589" s="14" t="s">
        <v>737</v>
      </c>
      <c r="E589" s="25">
        <v>2059</v>
      </c>
    </row>
    <row r="590" spans="1:5" x14ac:dyDescent="0.3">
      <c r="A590" s="13">
        <v>43047</v>
      </c>
      <c r="B590" s="14" t="s">
        <v>740</v>
      </c>
      <c r="C590" s="14" t="s">
        <v>741</v>
      </c>
      <c r="D590" s="14" t="s">
        <v>742</v>
      </c>
      <c r="E590" s="25">
        <v>2615</v>
      </c>
    </row>
    <row r="591" spans="1:5" x14ac:dyDescent="0.3">
      <c r="A591" s="13">
        <v>42451</v>
      </c>
      <c r="B591" s="14" t="s">
        <v>746</v>
      </c>
      <c r="C591" s="14" t="s">
        <v>736</v>
      </c>
      <c r="D591" s="14" t="s">
        <v>737</v>
      </c>
      <c r="E591" s="25">
        <v>4984</v>
      </c>
    </row>
    <row r="592" spans="1:5" x14ac:dyDescent="0.3">
      <c r="A592" s="13">
        <v>42974</v>
      </c>
      <c r="B592" s="14" t="s">
        <v>738</v>
      </c>
      <c r="C592" s="14" t="s">
        <v>736</v>
      </c>
      <c r="D592" s="14" t="s">
        <v>737</v>
      </c>
      <c r="E592" s="25">
        <v>3559</v>
      </c>
    </row>
    <row r="593" spans="1:5" x14ac:dyDescent="0.3">
      <c r="A593" s="13">
        <v>42447</v>
      </c>
      <c r="B593" s="14" t="s">
        <v>735</v>
      </c>
      <c r="C593" s="14" t="s">
        <v>736</v>
      </c>
      <c r="D593" s="14" t="s">
        <v>742</v>
      </c>
      <c r="E593" s="25">
        <v>522</v>
      </c>
    </row>
    <row r="594" spans="1:5" x14ac:dyDescent="0.3">
      <c r="A594" s="13">
        <v>42769</v>
      </c>
      <c r="B594" s="14" t="s">
        <v>738</v>
      </c>
      <c r="C594" s="14" t="s">
        <v>736</v>
      </c>
      <c r="D594" s="14" t="s">
        <v>739</v>
      </c>
      <c r="E594" s="25">
        <v>1806</v>
      </c>
    </row>
    <row r="595" spans="1:5" x14ac:dyDescent="0.3">
      <c r="A595" s="13">
        <v>42747</v>
      </c>
      <c r="B595" s="14" t="s">
        <v>735</v>
      </c>
      <c r="C595" s="14" t="s">
        <v>741</v>
      </c>
      <c r="D595" s="14" t="s">
        <v>742</v>
      </c>
      <c r="E595" s="25">
        <v>1710</v>
      </c>
    </row>
    <row r="596" spans="1:5" x14ac:dyDescent="0.3">
      <c r="A596" s="13">
        <v>42598</v>
      </c>
      <c r="B596" s="14" t="s">
        <v>746</v>
      </c>
      <c r="C596" s="14" t="s">
        <v>736</v>
      </c>
      <c r="D596" s="14" t="s">
        <v>742</v>
      </c>
      <c r="E596" s="25">
        <v>4809</v>
      </c>
    </row>
    <row r="597" spans="1:5" x14ac:dyDescent="0.3">
      <c r="A597" s="13">
        <v>43095</v>
      </c>
      <c r="B597" s="14" t="s">
        <v>738</v>
      </c>
      <c r="C597" s="14" t="s">
        <v>736</v>
      </c>
      <c r="D597" s="14" t="s">
        <v>739</v>
      </c>
      <c r="E597" s="25">
        <v>2090</v>
      </c>
    </row>
    <row r="598" spans="1:5" x14ac:dyDescent="0.3">
      <c r="A598" s="13">
        <v>42426</v>
      </c>
      <c r="B598" s="14" t="s">
        <v>738</v>
      </c>
      <c r="C598" s="14" t="s">
        <v>736</v>
      </c>
      <c r="D598" s="14" t="s">
        <v>743</v>
      </c>
      <c r="E598" s="25">
        <v>4729</v>
      </c>
    </row>
    <row r="599" spans="1:5" x14ac:dyDescent="0.3">
      <c r="A599" s="13">
        <v>42615</v>
      </c>
      <c r="B599" s="14" t="s">
        <v>738</v>
      </c>
      <c r="C599" s="14" t="s">
        <v>736</v>
      </c>
      <c r="D599" s="14" t="s">
        <v>743</v>
      </c>
      <c r="E599" s="25">
        <v>2522</v>
      </c>
    </row>
    <row r="600" spans="1:5" x14ac:dyDescent="0.3">
      <c r="A600" s="13">
        <v>42775</v>
      </c>
      <c r="B600" s="14" t="s">
        <v>746</v>
      </c>
      <c r="C600" s="14" t="s">
        <v>736</v>
      </c>
      <c r="D600" s="14" t="s">
        <v>743</v>
      </c>
      <c r="E600" s="25">
        <v>2941</v>
      </c>
    </row>
    <row r="601" spans="1:5" x14ac:dyDescent="0.3">
      <c r="A601" s="13">
        <v>42933</v>
      </c>
      <c r="B601" s="14" t="s">
        <v>740</v>
      </c>
      <c r="C601" s="14" t="s">
        <v>741</v>
      </c>
      <c r="D601" s="14" t="s">
        <v>743</v>
      </c>
      <c r="E601" s="25">
        <v>129</v>
      </c>
    </row>
    <row r="602" spans="1:5" x14ac:dyDescent="0.3">
      <c r="A602" s="13">
        <v>42824</v>
      </c>
      <c r="B602" s="14" t="s">
        <v>740</v>
      </c>
      <c r="C602" s="14" t="s">
        <v>741</v>
      </c>
      <c r="D602" s="14" t="s">
        <v>739</v>
      </c>
      <c r="E602" s="25">
        <v>4793</v>
      </c>
    </row>
    <row r="603" spans="1:5" x14ac:dyDescent="0.3">
      <c r="A603" s="13">
        <v>42735</v>
      </c>
      <c r="B603" s="14" t="s">
        <v>744</v>
      </c>
      <c r="C603" s="14" t="s">
        <v>741</v>
      </c>
      <c r="D603" s="14" t="s">
        <v>742</v>
      </c>
      <c r="E603" s="25">
        <v>1196</v>
      </c>
    </row>
    <row r="604" spans="1:5" x14ac:dyDescent="0.3">
      <c r="A604" s="13">
        <v>43087</v>
      </c>
      <c r="B604" s="14" t="s">
        <v>747</v>
      </c>
      <c r="C604" s="14" t="s">
        <v>741</v>
      </c>
      <c r="D604" s="14" t="s">
        <v>742</v>
      </c>
      <c r="E604" s="25">
        <v>3190</v>
      </c>
    </row>
    <row r="605" spans="1:5" x14ac:dyDescent="0.3">
      <c r="A605" s="13">
        <v>42645</v>
      </c>
      <c r="B605" s="14" t="s">
        <v>746</v>
      </c>
      <c r="C605" s="14" t="s">
        <v>736</v>
      </c>
      <c r="D605" s="14" t="s">
        <v>739</v>
      </c>
      <c r="E605" s="25">
        <v>1590</v>
      </c>
    </row>
    <row r="606" spans="1:5" x14ac:dyDescent="0.3">
      <c r="A606" s="13">
        <v>42535</v>
      </c>
      <c r="B606" s="14" t="s">
        <v>735</v>
      </c>
      <c r="C606" s="14" t="s">
        <v>736</v>
      </c>
      <c r="D606" s="14" t="s">
        <v>742</v>
      </c>
      <c r="E606" s="25">
        <v>4877</v>
      </c>
    </row>
    <row r="607" spans="1:5" x14ac:dyDescent="0.3">
      <c r="A607" s="13">
        <v>42959</v>
      </c>
      <c r="B607" s="14" t="s">
        <v>735</v>
      </c>
      <c r="C607" s="14" t="s">
        <v>741</v>
      </c>
      <c r="D607" s="14" t="s">
        <v>742</v>
      </c>
      <c r="E607" s="25">
        <v>1713</v>
      </c>
    </row>
    <row r="608" spans="1:5" x14ac:dyDescent="0.3">
      <c r="A608" s="13">
        <v>42950</v>
      </c>
      <c r="B608" s="14" t="s">
        <v>738</v>
      </c>
      <c r="C608" s="14" t="s">
        <v>736</v>
      </c>
      <c r="D608" s="14" t="s">
        <v>742</v>
      </c>
      <c r="E608" s="25">
        <v>3963</v>
      </c>
    </row>
    <row r="609" spans="1:5" x14ac:dyDescent="0.3">
      <c r="A609" s="13">
        <v>42597</v>
      </c>
      <c r="B609" s="14" t="s">
        <v>735</v>
      </c>
      <c r="C609" s="14" t="s">
        <v>741</v>
      </c>
      <c r="D609" s="14" t="s">
        <v>739</v>
      </c>
      <c r="E609" s="25">
        <v>2181</v>
      </c>
    </row>
    <row r="610" spans="1:5" x14ac:dyDescent="0.3">
      <c r="A610" s="13">
        <v>42935</v>
      </c>
      <c r="B610" s="14" t="s">
        <v>746</v>
      </c>
      <c r="C610" s="14" t="s">
        <v>736</v>
      </c>
      <c r="D610" s="14" t="s">
        <v>737</v>
      </c>
      <c r="E610" s="25">
        <v>505</v>
      </c>
    </row>
    <row r="611" spans="1:5" x14ac:dyDescent="0.3">
      <c r="A611" s="13">
        <v>42885</v>
      </c>
      <c r="B611" s="14" t="s">
        <v>747</v>
      </c>
      <c r="C611" s="14" t="s">
        <v>741</v>
      </c>
      <c r="D611" s="14" t="s">
        <v>739</v>
      </c>
      <c r="E611" s="25">
        <v>2609</v>
      </c>
    </row>
    <row r="612" spans="1:5" x14ac:dyDescent="0.3">
      <c r="A612" s="13">
        <v>42889</v>
      </c>
      <c r="B612" s="14" t="s">
        <v>738</v>
      </c>
      <c r="C612" s="14" t="s">
        <v>736</v>
      </c>
      <c r="D612" s="14" t="s">
        <v>739</v>
      </c>
      <c r="E612" s="25">
        <v>787</v>
      </c>
    </row>
    <row r="613" spans="1:5" x14ac:dyDescent="0.3">
      <c r="A613" s="13">
        <v>42512</v>
      </c>
      <c r="B613" s="14" t="s">
        <v>738</v>
      </c>
      <c r="C613" s="14" t="s">
        <v>736</v>
      </c>
      <c r="D613" s="14" t="s">
        <v>742</v>
      </c>
      <c r="E613" s="25">
        <v>4356</v>
      </c>
    </row>
    <row r="614" spans="1:5" x14ac:dyDescent="0.3">
      <c r="A614" s="13">
        <v>42594</v>
      </c>
      <c r="B614" s="14" t="s">
        <v>735</v>
      </c>
      <c r="C614" s="14" t="s">
        <v>736</v>
      </c>
      <c r="D614" s="14" t="s">
        <v>737</v>
      </c>
      <c r="E614" s="25">
        <v>668</v>
      </c>
    </row>
    <row r="615" spans="1:5" x14ac:dyDescent="0.3">
      <c r="A615" s="13">
        <v>42901</v>
      </c>
      <c r="B615" s="14" t="s">
        <v>738</v>
      </c>
      <c r="C615" s="14" t="s">
        <v>736</v>
      </c>
      <c r="D615" s="14" t="s">
        <v>743</v>
      </c>
      <c r="E615" s="25">
        <v>2562</v>
      </c>
    </row>
    <row r="616" spans="1:5" x14ac:dyDescent="0.3">
      <c r="A616" s="13">
        <v>42408</v>
      </c>
      <c r="B616" s="14" t="s">
        <v>738</v>
      </c>
      <c r="C616" s="14" t="s">
        <v>736</v>
      </c>
      <c r="D616" s="14" t="s">
        <v>739</v>
      </c>
      <c r="E616" s="25">
        <v>4739</v>
      </c>
    </row>
    <row r="617" spans="1:5" x14ac:dyDescent="0.3">
      <c r="A617" s="13">
        <v>43045</v>
      </c>
      <c r="B617" s="14" t="s">
        <v>738</v>
      </c>
      <c r="C617" s="14" t="s">
        <v>736</v>
      </c>
      <c r="D617" s="14" t="s">
        <v>742</v>
      </c>
      <c r="E617" s="25">
        <v>379</v>
      </c>
    </row>
    <row r="618" spans="1:5" x14ac:dyDescent="0.3">
      <c r="A618" s="13">
        <v>42578</v>
      </c>
      <c r="B618" s="14" t="s">
        <v>746</v>
      </c>
      <c r="C618" s="14" t="s">
        <v>736</v>
      </c>
      <c r="D618" s="14" t="s">
        <v>739</v>
      </c>
      <c r="E618" s="25">
        <v>2229</v>
      </c>
    </row>
    <row r="619" spans="1:5" x14ac:dyDescent="0.3">
      <c r="A619" s="13">
        <v>42720</v>
      </c>
      <c r="B619" s="14" t="s">
        <v>746</v>
      </c>
      <c r="C619" s="14" t="s">
        <v>736</v>
      </c>
      <c r="D619" s="14" t="s">
        <v>742</v>
      </c>
      <c r="E619" s="25">
        <v>3423</v>
      </c>
    </row>
    <row r="620" spans="1:5" x14ac:dyDescent="0.3">
      <c r="A620" s="13">
        <v>42988</v>
      </c>
      <c r="B620" s="14" t="s">
        <v>747</v>
      </c>
      <c r="C620" s="14" t="s">
        <v>741</v>
      </c>
      <c r="D620" s="14" t="s">
        <v>742</v>
      </c>
      <c r="E620" s="25">
        <v>4858</v>
      </c>
    </row>
    <row r="621" spans="1:5" x14ac:dyDescent="0.3">
      <c r="A621" s="13">
        <v>42676</v>
      </c>
      <c r="B621" s="14" t="s">
        <v>744</v>
      </c>
      <c r="C621" s="14" t="s">
        <v>741</v>
      </c>
      <c r="D621" s="14" t="s">
        <v>739</v>
      </c>
      <c r="E621" s="25">
        <v>1688</v>
      </c>
    </row>
    <row r="622" spans="1:5" x14ac:dyDescent="0.3">
      <c r="A622" s="13">
        <v>42400</v>
      </c>
      <c r="B622" s="14" t="s">
        <v>740</v>
      </c>
      <c r="C622" s="14" t="s">
        <v>741</v>
      </c>
      <c r="D622" s="14" t="s">
        <v>742</v>
      </c>
      <c r="E622" s="25">
        <v>3011</v>
      </c>
    </row>
    <row r="623" spans="1:5" x14ac:dyDescent="0.3">
      <c r="A623" s="13">
        <v>42822</v>
      </c>
      <c r="B623" s="14" t="s">
        <v>744</v>
      </c>
      <c r="C623" s="14" t="s">
        <v>745</v>
      </c>
      <c r="D623" s="14" t="s">
        <v>742</v>
      </c>
      <c r="E623" s="25">
        <v>571</v>
      </c>
    </row>
    <row r="624" spans="1:5" x14ac:dyDescent="0.3">
      <c r="A624" s="13">
        <v>42698</v>
      </c>
      <c r="B624" s="14" t="s">
        <v>738</v>
      </c>
      <c r="C624" s="14" t="s">
        <v>736</v>
      </c>
      <c r="D624" s="14" t="s">
        <v>743</v>
      </c>
      <c r="E624" s="25">
        <v>4009</v>
      </c>
    </row>
    <row r="625" spans="1:5" x14ac:dyDescent="0.3">
      <c r="A625" s="13">
        <v>42808</v>
      </c>
      <c r="B625" s="14" t="s">
        <v>738</v>
      </c>
      <c r="C625" s="14" t="s">
        <v>736</v>
      </c>
      <c r="D625" s="14" t="s">
        <v>739</v>
      </c>
      <c r="E625" s="25">
        <v>3117</v>
      </c>
    </row>
    <row r="626" spans="1:5" x14ac:dyDescent="0.3">
      <c r="A626" s="13">
        <v>42887</v>
      </c>
      <c r="B626" s="14" t="s">
        <v>738</v>
      </c>
      <c r="C626" s="14" t="s">
        <v>736</v>
      </c>
      <c r="D626" s="14" t="s">
        <v>743</v>
      </c>
      <c r="E626" s="25">
        <v>4587</v>
      </c>
    </row>
    <row r="627" spans="1:5" x14ac:dyDescent="0.3">
      <c r="A627" s="13">
        <v>42819</v>
      </c>
      <c r="B627" s="14" t="s">
        <v>744</v>
      </c>
      <c r="C627" s="14" t="s">
        <v>741</v>
      </c>
      <c r="D627" s="14" t="s">
        <v>739</v>
      </c>
      <c r="E627" s="25">
        <v>4229</v>
      </c>
    </row>
    <row r="628" spans="1:5" x14ac:dyDescent="0.3">
      <c r="A628" s="13">
        <v>42737</v>
      </c>
      <c r="B628" s="14" t="s">
        <v>740</v>
      </c>
      <c r="C628" s="14" t="s">
        <v>741</v>
      </c>
      <c r="D628" s="14" t="s">
        <v>743</v>
      </c>
      <c r="E628" s="25">
        <v>3539</v>
      </c>
    </row>
    <row r="629" spans="1:5" x14ac:dyDescent="0.3">
      <c r="A629" s="13">
        <v>42387</v>
      </c>
      <c r="B629" s="14" t="s">
        <v>744</v>
      </c>
      <c r="C629" s="14" t="s">
        <v>741</v>
      </c>
      <c r="D629" s="14" t="s">
        <v>742</v>
      </c>
      <c r="E629" s="25">
        <v>1130</v>
      </c>
    </row>
    <row r="630" spans="1:5" x14ac:dyDescent="0.3">
      <c r="A630" s="13">
        <v>42903</v>
      </c>
      <c r="B630" s="14" t="s">
        <v>738</v>
      </c>
      <c r="C630" s="14" t="s">
        <v>736</v>
      </c>
      <c r="D630" s="14" t="s">
        <v>743</v>
      </c>
      <c r="E630" s="25">
        <v>4045</v>
      </c>
    </row>
    <row r="631" spans="1:5" x14ac:dyDescent="0.3">
      <c r="A631" s="13">
        <v>42906</v>
      </c>
      <c r="B631" s="14" t="s">
        <v>744</v>
      </c>
      <c r="C631" s="14" t="s">
        <v>741</v>
      </c>
      <c r="D631" s="14" t="s">
        <v>739</v>
      </c>
      <c r="E631" s="25">
        <v>3496</v>
      </c>
    </row>
    <row r="632" spans="1:5" x14ac:dyDescent="0.3">
      <c r="A632" s="13">
        <v>43086</v>
      </c>
      <c r="B632" s="14" t="s">
        <v>740</v>
      </c>
      <c r="C632" s="14" t="s">
        <v>741</v>
      </c>
      <c r="D632" s="14" t="s">
        <v>739</v>
      </c>
      <c r="E632" s="25">
        <v>2981</v>
      </c>
    </row>
    <row r="633" spans="1:5" x14ac:dyDescent="0.3">
      <c r="A633" s="13">
        <v>42637</v>
      </c>
      <c r="B633" s="14" t="s">
        <v>735</v>
      </c>
      <c r="C633" s="14" t="s">
        <v>736</v>
      </c>
      <c r="D633" s="14" t="s">
        <v>742</v>
      </c>
      <c r="E633" s="25">
        <v>1671</v>
      </c>
    </row>
    <row r="634" spans="1:5" x14ac:dyDescent="0.3">
      <c r="A634" s="13">
        <v>42717</v>
      </c>
      <c r="B634" s="14" t="s">
        <v>738</v>
      </c>
      <c r="C634" s="14" t="s">
        <v>736</v>
      </c>
      <c r="D634" s="14" t="s">
        <v>743</v>
      </c>
      <c r="E634" s="25">
        <v>2417</v>
      </c>
    </row>
    <row r="635" spans="1:5" x14ac:dyDescent="0.3">
      <c r="A635" s="13">
        <v>42716</v>
      </c>
      <c r="B635" s="14" t="s">
        <v>738</v>
      </c>
      <c r="C635" s="14" t="s">
        <v>736</v>
      </c>
      <c r="D635" s="14" t="s">
        <v>739</v>
      </c>
      <c r="E635" s="25">
        <v>3770</v>
      </c>
    </row>
    <row r="636" spans="1:5" x14ac:dyDescent="0.3">
      <c r="A636" s="13">
        <v>42489</v>
      </c>
      <c r="B636" s="14" t="s">
        <v>740</v>
      </c>
      <c r="C636" s="14" t="s">
        <v>741</v>
      </c>
      <c r="D636" s="14" t="s">
        <v>737</v>
      </c>
      <c r="E636" s="25">
        <v>1273</v>
      </c>
    </row>
    <row r="637" spans="1:5" x14ac:dyDescent="0.3">
      <c r="A637" s="13">
        <v>42501</v>
      </c>
      <c r="B637" s="14" t="s">
        <v>738</v>
      </c>
      <c r="C637" s="14" t="s">
        <v>736</v>
      </c>
      <c r="D637" s="14" t="s">
        <v>739</v>
      </c>
      <c r="E637" s="25">
        <v>1503</v>
      </c>
    </row>
    <row r="638" spans="1:5" x14ac:dyDescent="0.3">
      <c r="A638" s="13">
        <v>42417</v>
      </c>
      <c r="B638" s="14" t="s">
        <v>740</v>
      </c>
      <c r="C638" s="14" t="s">
        <v>741</v>
      </c>
      <c r="D638" s="14" t="s">
        <v>739</v>
      </c>
      <c r="E638" s="25">
        <v>1905</v>
      </c>
    </row>
    <row r="639" spans="1:5" x14ac:dyDescent="0.3">
      <c r="A639" s="13">
        <v>42981</v>
      </c>
      <c r="B639" s="14" t="s">
        <v>746</v>
      </c>
      <c r="C639" s="14" t="s">
        <v>736</v>
      </c>
      <c r="D639" s="14" t="s">
        <v>743</v>
      </c>
      <c r="E639" s="25">
        <v>2457</v>
      </c>
    </row>
    <row r="640" spans="1:5" x14ac:dyDescent="0.3">
      <c r="A640" s="13">
        <v>42851</v>
      </c>
      <c r="B640" s="14" t="s">
        <v>740</v>
      </c>
      <c r="C640" s="14" t="s">
        <v>741</v>
      </c>
      <c r="D640" s="14" t="s">
        <v>742</v>
      </c>
      <c r="E640" s="25">
        <v>4863</v>
      </c>
    </row>
    <row r="641" spans="1:5" x14ac:dyDescent="0.3">
      <c r="A641" s="13">
        <v>42735</v>
      </c>
      <c r="B641" s="14" t="s">
        <v>746</v>
      </c>
      <c r="C641" s="14" t="s">
        <v>736</v>
      </c>
      <c r="D641" s="14" t="s">
        <v>742</v>
      </c>
      <c r="E641" s="25">
        <v>1995</v>
      </c>
    </row>
    <row r="642" spans="1:5" x14ac:dyDescent="0.3">
      <c r="A642" s="13">
        <v>42991</v>
      </c>
      <c r="B642" s="14" t="s">
        <v>740</v>
      </c>
      <c r="C642" s="14" t="s">
        <v>741</v>
      </c>
      <c r="D642" s="14" t="s">
        <v>743</v>
      </c>
      <c r="E642" s="25">
        <v>406</v>
      </c>
    </row>
    <row r="643" spans="1:5" x14ac:dyDescent="0.3">
      <c r="A643" s="13">
        <v>42553</v>
      </c>
      <c r="B643" s="14" t="s">
        <v>738</v>
      </c>
      <c r="C643" s="14" t="s">
        <v>736</v>
      </c>
      <c r="D643" s="14" t="s">
        <v>739</v>
      </c>
      <c r="E643" s="25">
        <v>3528</v>
      </c>
    </row>
    <row r="644" spans="1:5" x14ac:dyDescent="0.3">
      <c r="A644" s="13">
        <v>43096</v>
      </c>
      <c r="B644" s="14" t="s">
        <v>738</v>
      </c>
      <c r="C644" s="14" t="s">
        <v>736</v>
      </c>
      <c r="D644" s="14" t="s">
        <v>737</v>
      </c>
      <c r="E644" s="25">
        <v>1042</v>
      </c>
    </row>
    <row r="645" spans="1:5" x14ac:dyDescent="0.3">
      <c r="A645" s="13">
        <v>43083</v>
      </c>
      <c r="B645" s="14" t="s">
        <v>746</v>
      </c>
      <c r="C645" s="14" t="s">
        <v>736</v>
      </c>
      <c r="D645" s="14" t="s">
        <v>739</v>
      </c>
      <c r="E645" s="25">
        <v>787</v>
      </c>
    </row>
    <row r="646" spans="1:5" x14ac:dyDescent="0.3">
      <c r="A646" s="13">
        <v>42444</v>
      </c>
      <c r="B646" s="14" t="s">
        <v>744</v>
      </c>
      <c r="C646" s="14" t="s">
        <v>745</v>
      </c>
      <c r="D646" s="14" t="s">
        <v>742</v>
      </c>
      <c r="E646" s="25">
        <v>2521</v>
      </c>
    </row>
    <row r="647" spans="1:5" x14ac:dyDescent="0.3">
      <c r="A647" s="13">
        <v>42537</v>
      </c>
      <c r="B647" s="14" t="s">
        <v>738</v>
      </c>
      <c r="C647" s="14" t="s">
        <v>736</v>
      </c>
      <c r="D647" s="14" t="s">
        <v>739</v>
      </c>
      <c r="E647" s="25">
        <v>4987</v>
      </c>
    </row>
    <row r="648" spans="1:5" x14ac:dyDescent="0.3">
      <c r="A648" s="13">
        <v>42920</v>
      </c>
      <c r="B648" s="14" t="s">
        <v>747</v>
      </c>
      <c r="C648" s="14" t="s">
        <v>741</v>
      </c>
      <c r="D648" s="14" t="s">
        <v>739</v>
      </c>
      <c r="E648" s="25">
        <v>349</v>
      </c>
    </row>
    <row r="649" spans="1:5" x14ac:dyDescent="0.3">
      <c r="A649" s="13">
        <v>42818</v>
      </c>
      <c r="B649" s="14" t="s">
        <v>738</v>
      </c>
      <c r="C649" s="14" t="s">
        <v>736</v>
      </c>
      <c r="D649" s="14" t="s">
        <v>737</v>
      </c>
      <c r="E649" s="25">
        <v>3116</v>
      </c>
    </row>
    <row r="650" spans="1:5" x14ac:dyDescent="0.3">
      <c r="A650" s="13">
        <v>42720</v>
      </c>
      <c r="B650" s="14" t="s">
        <v>740</v>
      </c>
      <c r="C650" s="14" t="s">
        <v>741</v>
      </c>
      <c r="D650" s="14" t="s">
        <v>743</v>
      </c>
      <c r="E650" s="25">
        <v>1012</v>
      </c>
    </row>
    <row r="651" spans="1:5" x14ac:dyDescent="0.3">
      <c r="A651" s="13">
        <v>42605</v>
      </c>
      <c r="B651" s="14" t="s">
        <v>738</v>
      </c>
      <c r="C651" s="14" t="s">
        <v>736</v>
      </c>
      <c r="D651" s="14" t="s">
        <v>739</v>
      </c>
      <c r="E651" s="25">
        <v>2939</v>
      </c>
    </row>
    <row r="652" spans="1:5" x14ac:dyDescent="0.3">
      <c r="A652" s="13">
        <v>43080</v>
      </c>
      <c r="B652" s="14" t="s">
        <v>738</v>
      </c>
      <c r="C652" s="14" t="s">
        <v>736</v>
      </c>
      <c r="D652" s="14" t="s">
        <v>742</v>
      </c>
      <c r="E652" s="25">
        <v>4164</v>
      </c>
    </row>
    <row r="653" spans="1:5" x14ac:dyDescent="0.3">
      <c r="A653" s="13">
        <v>42423</v>
      </c>
      <c r="B653" s="14" t="s">
        <v>738</v>
      </c>
      <c r="C653" s="14" t="s">
        <v>736</v>
      </c>
      <c r="D653" s="14" t="s">
        <v>743</v>
      </c>
      <c r="E653" s="25">
        <v>4280</v>
      </c>
    </row>
    <row r="654" spans="1:5" x14ac:dyDescent="0.3">
      <c r="A654" s="13">
        <v>42405</v>
      </c>
      <c r="B654" s="14" t="s">
        <v>738</v>
      </c>
      <c r="C654" s="14" t="s">
        <v>736</v>
      </c>
      <c r="D654" s="14" t="s">
        <v>743</v>
      </c>
      <c r="E654" s="25">
        <v>781</v>
      </c>
    </row>
    <row r="655" spans="1:5" x14ac:dyDescent="0.3">
      <c r="A655" s="13">
        <v>42480</v>
      </c>
      <c r="B655" s="14" t="s">
        <v>738</v>
      </c>
      <c r="C655" s="14" t="s">
        <v>736</v>
      </c>
      <c r="D655" s="14" t="s">
        <v>737</v>
      </c>
      <c r="E655" s="25">
        <v>4411</v>
      </c>
    </row>
    <row r="656" spans="1:5" x14ac:dyDescent="0.3">
      <c r="A656" s="13">
        <v>42373</v>
      </c>
      <c r="B656" s="14" t="s">
        <v>746</v>
      </c>
      <c r="C656" s="14" t="s">
        <v>736</v>
      </c>
      <c r="D656" s="14" t="s">
        <v>742</v>
      </c>
      <c r="E656" s="25">
        <v>2158</v>
      </c>
    </row>
    <row r="657" spans="1:5" x14ac:dyDescent="0.3">
      <c r="A657" s="13">
        <v>42472</v>
      </c>
      <c r="B657" s="14" t="s">
        <v>738</v>
      </c>
      <c r="C657" s="14" t="s">
        <v>736</v>
      </c>
      <c r="D657" s="14" t="s">
        <v>742</v>
      </c>
      <c r="E657" s="25">
        <v>4757</v>
      </c>
    </row>
    <row r="658" spans="1:5" x14ac:dyDescent="0.3">
      <c r="A658" s="13">
        <v>42683</v>
      </c>
      <c r="B658" s="14" t="s">
        <v>746</v>
      </c>
      <c r="C658" s="14" t="s">
        <v>736</v>
      </c>
      <c r="D658" s="14" t="s">
        <v>742</v>
      </c>
      <c r="E658" s="25">
        <v>134</v>
      </c>
    </row>
    <row r="659" spans="1:5" x14ac:dyDescent="0.3">
      <c r="A659" s="13">
        <v>42949</v>
      </c>
      <c r="B659" s="14" t="s">
        <v>744</v>
      </c>
      <c r="C659" s="14" t="s">
        <v>741</v>
      </c>
      <c r="D659" s="14" t="s">
        <v>743</v>
      </c>
      <c r="E659" s="25">
        <v>692</v>
      </c>
    </row>
    <row r="660" spans="1:5" x14ac:dyDescent="0.3">
      <c r="A660" s="13">
        <v>43060</v>
      </c>
      <c r="B660" s="14" t="s">
        <v>735</v>
      </c>
      <c r="C660" s="14" t="s">
        <v>741</v>
      </c>
      <c r="D660" s="14" t="s">
        <v>743</v>
      </c>
      <c r="E660" s="25">
        <v>1053</v>
      </c>
    </row>
    <row r="661" spans="1:5" x14ac:dyDescent="0.3">
      <c r="A661" s="13">
        <v>42997</v>
      </c>
      <c r="B661" s="14" t="s">
        <v>744</v>
      </c>
      <c r="C661" s="14" t="s">
        <v>741</v>
      </c>
      <c r="D661" s="14" t="s">
        <v>743</v>
      </c>
      <c r="E661" s="25">
        <v>3277</v>
      </c>
    </row>
    <row r="662" spans="1:5" x14ac:dyDescent="0.3">
      <c r="A662" s="13">
        <v>42759</v>
      </c>
      <c r="B662" s="14" t="s">
        <v>746</v>
      </c>
      <c r="C662" s="14" t="s">
        <v>736</v>
      </c>
      <c r="D662" s="14" t="s">
        <v>739</v>
      </c>
      <c r="E662" s="25">
        <v>1136</v>
      </c>
    </row>
    <row r="663" spans="1:5" x14ac:dyDescent="0.3">
      <c r="A663" s="13">
        <v>42531</v>
      </c>
      <c r="B663" s="14" t="s">
        <v>738</v>
      </c>
      <c r="C663" s="14" t="s">
        <v>736</v>
      </c>
      <c r="D663" s="14" t="s">
        <v>739</v>
      </c>
      <c r="E663" s="25">
        <v>2986</v>
      </c>
    </row>
    <row r="664" spans="1:5" x14ac:dyDescent="0.3">
      <c r="A664" s="13">
        <v>42695</v>
      </c>
      <c r="B664" s="14" t="s">
        <v>744</v>
      </c>
      <c r="C664" s="14" t="s">
        <v>745</v>
      </c>
      <c r="D664" s="14" t="s">
        <v>742</v>
      </c>
      <c r="E664" s="25">
        <v>696</v>
      </c>
    </row>
    <row r="665" spans="1:5" x14ac:dyDescent="0.3">
      <c r="A665" s="13">
        <v>42814</v>
      </c>
      <c r="B665" s="14" t="s">
        <v>744</v>
      </c>
      <c r="C665" s="14" t="s">
        <v>741</v>
      </c>
      <c r="D665" s="14" t="s">
        <v>742</v>
      </c>
      <c r="E665" s="25">
        <v>3203</v>
      </c>
    </row>
    <row r="666" spans="1:5" x14ac:dyDescent="0.3">
      <c r="A666" s="13">
        <v>42723</v>
      </c>
      <c r="B666" s="14" t="s">
        <v>740</v>
      </c>
      <c r="C666" s="14" t="s">
        <v>741</v>
      </c>
      <c r="D666" s="14" t="s">
        <v>743</v>
      </c>
      <c r="E666" s="25">
        <v>690</v>
      </c>
    </row>
    <row r="667" spans="1:5" x14ac:dyDescent="0.3">
      <c r="A667" s="13">
        <v>43092</v>
      </c>
      <c r="B667" s="14" t="s">
        <v>740</v>
      </c>
      <c r="C667" s="14" t="s">
        <v>741</v>
      </c>
      <c r="D667" s="14" t="s">
        <v>743</v>
      </c>
      <c r="E667" s="25">
        <v>4891</v>
      </c>
    </row>
    <row r="668" spans="1:5" x14ac:dyDescent="0.3">
      <c r="A668" s="13">
        <v>42943</v>
      </c>
      <c r="B668" s="14" t="s">
        <v>740</v>
      </c>
      <c r="C668" s="14" t="s">
        <v>741</v>
      </c>
      <c r="D668" s="14" t="s">
        <v>743</v>
      </c>
      <c r="E668" s="25">
        <v>3903</v>
      </c>
    </row>
    <row r="669" spans="1:5" x14ac:dyDescent="0.3">
      <c r="A669" s="13">
        <v>42621</v>
      </c>
      <c r="B669" s="14" t="s">
        <v>746</v>
      </c>
      <c r="C669" s="14" t="s">
        <v>736</v>
      </c>
      <c r="D669" s="14" t="s">
        <v>737</v>
      </c>
      <c r="E669" s="25">
        <v>500</v>
      </c>
    </row>
    <row r="670" spans="1:5" x14ac:dyDescent="0.3">
      <c r="A670" s="13">
        <v>42834</v>
      </c>
      <c r="B670" s="14" t="s">
        <v>738</v>
      </c>
      <c r="C670" s="14" t="s">
        <v>736</v>
      </c>
      <c r="D670" s="14" t="s">
        <v>742</v>
      </c>
      <c r="E670" s="25">
        <v>1757</v>
      </c>
    </row>
    <row r="671" spans="1:5" x14ac:dyDescent="0.3">
      <c r="A671" s="13">
        <v>42568</v>
      </c>
      <c r="B671" s="14" t="s">
        <v>740</v>
      </c>
      <c r="C671" s="14" t="s">
        <v>741</v>
      </c>
      <c r="D671" s="14" t="s">
        <v>742</v>
      </c>
      <c r="E671" s="25">
        <v>861</v>
      </c>
    </row>
    <row r="672" spans="1:5" x14ac:dyDescent="0.3">
      <c r="A672" s="13">
        <v>42381</v>
      </c>
      <c r="B672" s="14" t="s">
        <v>738</v>
      </c>
      <c r="C672" s="14" t="s">
        <v>736</v>
      </c>
      <c r="D672" s="14" t="s">
        <v>739</v>
      </c>
      <c r="E672" s="25">
        <v>469</v>
      </c>
    </row>
    <row r="673" spans="1:5" x14ac:dyDescent="0.3">
      <c r="A673" s="13">
        <v>42906</v>
      </c>
      <c r="B673" s="14" t="s">
        <v>744</v>
      </c>
      <c r="C673" s="14" t="s">
        <v>741</v>
      </c>
      <c r="D673" s="14" t="s">
        <v>743</v>
      </c>
      <c r="E673" s="25">
        <v>4478</v>
      </c>
    </row>
    <row r="674" spans="1:5" x14ac:dyDescent="0.3">
      <c r="A674" s="13">
        <v>43002</v>
      </c>
      <c r="B674" s="14" t="s">
        <v>738</v>
      </c>
      <c r="C674" s="14" t="s">
        <v>736</v>
      </c>
      <c r="D674" s="14" t="s">
        <v>742</v>
      </c>
      <c r="E674" s="25">
        <v>2399</v>
      </c>
    </row>
    <row r="675" spans="1:5" x14ac:dyDescent="0.3">
      <c r="A675" s="13">
        <v>42820</v>
      </c>
      <c r="B675" s="14" t="s">
        <v>744</v>
      </c>
      <c r="C675" s="14" t="s">
        <v>741</v>
      </c>
      <c r="D675" s="14" t="s">
        <v>739</v>
      </c>
      <c r="E675" s="25">
        <v>4702</v>
      </c>
    </row>
    <row r="676" spans="1:5" x14ac:dyDescent="0.3">
      <c r="A676" s="13">
        <v>42528</v>
      </c>
      <c r="B676" s="14" t="s">
        <v>746</v>
      </c>
      <c r="C676" s="14" t="s">
        <v>736</v>
      </c>
      <c r="D676" s="14" t="s">
        <v>742</v>
      </c>
      <c r="E676" s="25">
        <v>3208</v>
      </c>
    </row>
    <row r="677" spans="1:5" x14ac:dyDescent="0.3">
      <c r="A677" s="13">
        <v>42749</v>
      </c>
      <c r="B677" s="14" t="s">
        <v>738</v>
      </c>
      <c r="C677" s="14" t="s">
        <v>736</v>
      </c>
      <c r="D677" s="14" t="s">
        <v>743</v>
      </c>
      <c r="E677" s="25">
        <v>4604</v>
      </c>
    </row>
    <row r="678" spans="1:5" x14ac:dyDescent="0.3">
      <c r="A678" s="13">
        <v>43034</v>
      </c>
      <c r="B678" s="14" t="s">
        <v>738</v>
      </c>
      <c r="C678" s="14" t="s">
        <v>736</v>
      </c>
      <c r="D678" s="14" t="s">
        <v>737</v>
      </c>
      <c r="E678" s="25">
        <v>4301</v>
      </c>
    </row>
    <row r="679" spans="1:5" x14ac:dyDescent="0.3">
      <c r="A679" s="13">
        <v>42521</v>
      </c>
      <c r="B679" s="14" t="s">
        <v>747</v>
      </c>
      <c r="C679" s="14" t="s">
        <v>741</v>
      </c>
      <c r="D679" s="14" t="s">
        <v>743</v>
      </c>
      <c r="E679" s="25">
        <v>707</v>
      </c>
    </row>
    <row r="680" spans="1:5" x14ac:dyDescent="0.3">
      <c r="A680" s="13">
        <v>42640</v>
      </c>
      <c r="B680" s="14" t="s">
        <v>738</v>
      </c>
      <c r="C680" s="14" t="s">
        <v>736</v>
      </c>
      <c r="D680" s="14" t="s">
        <v>742</v>
      </c>
      <c r="E680" s="25">
        <v>2410</v>
      </c>
    </row>
    <row r="681" spans="1:5" x14ac:dyDescent="0.3">
      <c r="A681" s="13">
        <v>42371</v>
      </c>
      <c r="B681" s="14" t="s">
        <v>747</v>
      </c>
      <c r="C681" s="14" t="s">
        <v>741</v>
      </c>
      <c r="D681" s="14" t="s">
        <v>743</v>
      </c>
      <c r="E681" s="25">
        <v>2093</v>
      </c>
    </row>
    <row r="682" spans="1:5" x14ac:dyDescent="0.3">
      <c r="A682" s="13">
        <v>42533</v>
      </c>
      <c r="B682" s="14" t="s">
        <v>738</v>
      </c>
      <c r="C682" s="14" t="s">
        <v>736</v>
      </c>
      <c r="D682" s="14" t="s">
        <v>737</v>
      </c>
      <c r="E682" s="25">
        <v>219</v>
      </c>
    </row>
    <row r="683" spans="1:5" x14ac:dyDescent="0.3">
      <c r="A683" s="13">
        <v>42490</v>
      </c>
      <c r="B683" s="14" t="s">
        <v>738</v>
      </c>
      <c r="C683" s="14" t="s">
        <v>736</v>
      </c>
      <c r="D683" s="14" t="s">
        <v>739</v>
      </c>
      <c r="E683" s="25">
        <v>462</v>
      </c>
    </row>
    <row r="684" spans="1:5" x14ac:dyDescent="0.3">
      <c r="A684" s="13">
        <v>42620</v>
      </c>
      <c r="B684" s="14" t="s">
        <v>738</v>
      </c>
      <c r="C684" s="14" t="s">
        <v>736</v>
      </c>
      <c r="D684" s="14" t="s">
        <v>737</v>
      </c>
      <c r="E684" s="25">
        <v>2058</v>
      </c>
    </row>
    <row r="685" spans="1:5" x14ac:dyDescent="0.3">
      <c r="A685" s="13">
        <v>42460</v>
      </c>
      <c r="B685" s="14" t="s">
        <v>738</v>
      </c>
      <c r="C685" s="14" t="s">
        <v>736</v>
      </c>
      <c r="D685" s="14" t="s">
        <v>739</v>
      </c>
      <c r="E685" s="25">
        <v>3906</v>
      </c>
    </row>
    <row r="686" spans="1:5" x14ac:dyDescent="0.3">
      <c r="A686" s="13">
        <v>42715</v>
      </c>
      <c r="B686" s="14" t="s">
        <v>740</v>
      </c>
      <c r="C686" s="14" t="s">
        <v>741</v>
      </c>
      <c r="D686" s="14" t="s">
        <v>743</v>
      </c>
      <c r="E686" s="25">
        <v>3472</v>
      </c>
    </row>
    <row r="687" spans="1:5" x14ac:dyDescent="0.3">
      <c r="A687" s="13">
        <v>42771</v>
      </c>
      <c r="B687" s="14" t="s">
        <v>740</v>
      </c>
      <c r="C687" s="14" t="s">
        <v>741</v>
      </c>
      <c r="D687" s="14" t="s">
        <v>743</v>
      </c>
      <c r="E687" s="25">
        <v>3552</v>
      </c>
    </row>
    <row r="688" spans="1:5" x14ac:dyDescent="0.3">
      <c r="A688" s="13">
        <v>43095</v>
      </c>
      <c r="B688" s="14" t="s">
        <v>744</v>
      </c>
      <c r="C688" s="14" t="s">
        <v>745</v>
      </c>
      <c r="D688" s="14" t="s">
        <v>737</v>
      </c>
      <c r="E688" s="25">
        <v>1976</v>
      </c>
    </row>
    <row r="689" spans="1:5" x14ac:dyDescent="0.3">
      <c r="A689" s="13">
        <v>42571</v>
      </c>
      <c r="B689" s="14" t="s">
        <v>746</v>
      </c>
      <c r="C689" s="14" t="s">
        <v>736</v>
      </c>
      <c r="D689" s="14" t="s">
        <v>742</v>
      </c>
      <c r="E689" s="25">
        <v>4889</v>
      </c>
    </row>
    <row r="690" spans="1:5" x14ac:dyDescent="0.3">
      <c r="A690" s="13">
        <v>42818</v>
      </c>
      <c r="B690" s="14" t="s">
        <v>740</v>
      </c>
      <c r="C690" s="14" t="s">
        <v>741</v>
      </c>
      <c r="D690" s="14" t="s">
        <v>739</v>
      </c>
      <c r="E690" s="25">
        <v>1509</v>
      </c>
    </row>
    <row r="691" spans="1:5" x14ac:dyDescent="0.3">
      <c r="A691" s="13">
        <v>42908</v>
      </c>
      <c r="B691" s="14" t="s">
        <v>738</v>
      </c>
      <c r="C691" s="14" t="s">
        <v>736</v>
      </c>
      <c r="D691" s="14" t="s">
        <v>743</v>
      </c>
      <c r="E691" s="25">
        <v>4199</v>
      </c>
    </row>
    <row r="692" spans="1:5" x14ac:dyDescent="0.3">
      <c r="A692" s="13">
        <v>43091</v>
      </c>
      <c r="B692" s="14" t="s">
        <v>735</v>
      </c>
      <c r="C692" s="14" t="s">
        <v>736</v>
      </c>
      <c r="D692" s="14" t="s">
        <v>739</v>
      </c>
      <c r="E692" s="25">
        <v>4713</v>
      </c>
    </row>
    <row r="693" spans="1:5" x14ac:dyDescent="0.3">
      <c r="A693" s="13">
        <v>42701</v>
      </c>
      <c r="B693" s="14" t="s">
        <v>738</v>
      </c>
      <c r="C693" s="14" t="s">
        <v>736</v>
      </c>
      <c r="D693" s="14" t="s">
        <v>737</v>
      </c>
      <c r="E693" s="25">
        <v>1453</v>
      </c>
    </row>
    <row r="694" spans="1:5" x14ac:dyDescent="0.3">
      <c r="A694" s="13">
        <v>42460</v>
      </c>
      <c r="B694" s="14" t="s">
        <v>744</v>
      </c>
      <c r="C694" s="14" t="s">
        <v>745</v>
      </c>
      <c r="D694" s="14" t="s">
        <v>743</v>
      </c>
      <c r="E694" s="25">
        <v>4763</v>
      </c>
    </row>
    <row r="695" spans="1:5" x14ac:dyDescent="0.3">
      <c r="A695" s="13">
        <v>42906</v>
      </c>
      <c r="B695" s="14" t="s">
        <v>744</v>
      </c>
      <c r="C695" s="14" t="s">
        <v>745</v>
      </c>
      <c r="D695" s="14" t="s">
        <v>739</v>
      </c>
      <c r="E695" s="25">
        <v>1502</v>
      </c>
    </row>
    <row r="696" spans="1:5" x14ac:dyDescent="0.3">
      <c r="A696" s="13">
        <v>42481</v>
      </c>
      <c r="B696" s="14" t="s">
        <v>738</v>
      </c>
      <c r="C696" s="14" t="s">
        <v>736</v>
      </c>
      <c r="D696" s="14" t="s">
        <v>739</v>
      </c>
      <c r="E696" s="25">
        <v>3002</v>
      </c>
    </row>
    <row r="697" spans="1:5" x14ac:dyDescent="0.3">
      <c r="A697" s="13">
        <v>43049</v>
      </c>
      <c r="B697" s="14" t="s">
        <v>744</v>
      </c>
      <c r="C697" s="14" t="s">
        <v>741</v>
      </c>
      <c r="D697" s="14" t="s">
        <v>743</v>
      </c>
      <c r="E697" s="25">
        <v>4958</v>
      </c>
    </row>
    <row r="698" spans="1:5" x14ac:dyDescent="0.3">
      <c r="A698" s="13">
        <v>43011</v>
      </c>
      <c r="B698" s="14" t="s">
        <v>740</v>
      </c>
      <c r="C698" s="14" t="s">
        <v>741</v>
      </c>
      <c r="D698" s="14" t="s">
        <v>739</v>
      </c>
      <c r="E698" s="25">
        <v>4262</v>
      </c>
    </row>
    <row r="699" spans="1:5" x14ac:dyDescent="0.3">
      <c r="A699" s="13">
        <v>43075</v>
      </c>
      <c r="B699" s="14" t="s">
        <v>744</v>
      </c>
      <c r="C699" s="14" t="s">
        <v>741</v>
      </c>
      <c r="D699" s="14" t="s">
        <v>739</v>
      </c>
      <c r="E699" s="25">
        <v>4006</v>
      </c>
    </row>
    <row r="700" spans="1:5" x14ac:dyDescent="0.3">
      <c r="A700" s="13">
        <v>42865</v>
      </c>
      <c r="B700" s="14" t="s">
        <v>738</v>
      </c>
      <c r="C700" s="14" t="s">
        <v>736</v>
      </c>
      <c r="D700" s="14" t="s">
        <v>742</v>
      </c>
      <c r="E700" s="25">
        <v>4336</v>
      </c>
    </row>
    <row r="701" spans="1:5" x14ac:dyDescent="0.3">
      <c r="A701" s="13">
        <v>42529</v>
      </c>
      <c r="B701" s="14" t="s">
        <v>738</v>
      </c>
      <c r="C701" s="14" t="s">
        <v>736</v>
      </c>
      <c r="D701" s="14" t="s">
        <v>742</v>
      </c>
      <c r="E701" s="25">
        <v>347</v>
      </c>
    </row>
    <row r="702" spans="1:5" x14ac:dyDescent="0.3">
      <c r="A702" s="13">
        <v>42642</v>
      </c>
      <c r="B702" s="14" t="s">
        <v>738</v>
      </c>
      <c r="C702" s="14" t="s">
        <v>736</v>
      </c>
      <c r="D702" s="14" t="s">
        <v>742</v>
      </c>
      <c r="E702" s="25">
        <v>3858</v>
      </c>
    </row>
    <row r="703" spans="1:5" x14ac:dyDescent="0.3">
      <c r="A703" s="13">
        <v>42578</v>
      </c>
      <c r="B703" s="14" t="s">
        <v>744</v>
      </c>
      <c r="C703" s="14" t="s">
        <v>741</v>
      </c>
      <c r="D703" s="14" t="s">
        <v>739</v>
      </c>
      <c r="E703" s="25">
        <v>3056</v>
      </c>
    </row>
    <row r="704" spans="1:5" x14ac:dyDescent="0.3">
      <c r="A704" s="13">
        <v>42721</v>
      </c>
      <c r="B704" s="14" t="s">
        <v>738</v>
      </c>
      <c r="C704" s="14" t="s">
        <v>736</v>
      </c>
      <c r="D704" s="14" t="s">
        <v>743</v>
      </c>
      <c r="E704" s="25">
        <v>4126</v>
      </c>
    </row>
    <row r="705" spans="1:5" x14ac:dyDescent="0.3">
      <c r="A705" s="13">
        <v>42386</v>
      </c>
      <c r="B705" s="14" t="s">
        <v>744</v>
      </c>
      <c r="C705" s="14" t="s">
        <v>741</v>
      </c>
      <c r="D705" s="14" t="s">
        <v>737</v>
      </c>
      <c r="E705" s="25">
        <v>3876</v>
      </c>
    </row>
    <row r="706" spans="1:5" x14ac:dyDescent="0.3">
      <c r="A706" s="13">
        <v>42802</v>
      </c>
      <c r="B706" s="14" t="s">
        <v>738</v>
      </c>
      <c r="C706" s="14" t="s">
        <v>736</v>
      </c>
      <c r="D706" s="14" t="s">
        <v>743</v>
      </c>
      <c r="E706" s="25">
        <v>3252</v>
      </c>
    </row>
    <row r="707" spans="1:5" x14ac:dyDescent="0.3">
      <c r="A707" s="13">
        <v>42656</v>
      </c>
      <c r="B707" s="14" t="s">
        <v>738</v>
      </c>
      <c r="C707" s="14" t="s">
        <v>736</v>
      </c>
      <c r="D707" s="14" t="s">
        <v>739</v>
      </c>
      <c r="E707" s="25">
        <v>2680</v>
      </c>
    </row>
    <row r="708" spans="1:5" x14ac:dyDescent="0.3">
      <c r="A708" s="13">
        <v>43013</v>
      </c>
      <c r="B708" s="14" t="s">
        <v>744</v>
      </c>
      <c r="C708" s="14" t="s">
        <v>745</v>
      </c>
      <c r="D708" s="14" t="s">
        <v>742</v>
      </c>
      <c r="E708" s="25">
        <v>2622</v>
      </c>
    </row>
    <row r="709" spans="1:5" x14ac:dyDescent="0.3">
      <c r="A709" s="13">
        <v>42551</v>
      </c>
      <c r="B709" s="14" t="s">
        <v>738</v>
      </c>
      <c r="C709" s="14" t="s">
        <v>736</v>
      </c>
      <c r="D709" s="14" t="s">
        <v>743</v>
      </c>
      <c r="E709" s="25">
        <v>1657</v>
      </c>
    </row>
    <row r="710" spans="1:5" x14ac:dyDescent="0.3">
      <c r="A710" s="13">
        <v>42603</v>
      </c>
      <c r="B710" s="14" t="s">
        <v>744</v>
      </c>
      <c r="C710" s="14" t="s">
        <v>741</v>
      </c>
      <c r="D710" s="14" t="s">
        <v>739</v>
      </c>
      <c r="E710" s="25">
        <v>2879</v>
      </c>
    </row>
    <row r="711" spans="1:5" x14ac:dyDescent="0.3">
      <c r="A711" s="13">
        <v>42596</v>
      </c>
      <c r="B711" s="14" t="s">
        <v>738</v>
      </c>
      <c r="C711" s="14" t="s">
        <v>736</v>
      </c>
      <c r="D711" s="14" t="s">
        <v>743</v>
      </c>
      <c r="E711" s="25">
        <v>2073</v>
      </c>
    </row>
    <row r="712" spans="1:5" x14ac:dyDescent="0.3">
      <c r="A712" s="13">
        <v>42522</v>
      </c>
      <c r="B712" s="14" t="s">
        <v>738</v>
      </c>
      <c r="C712" s="14" t="s">
        <v>736</v>
      </c>
      <c r="D712" s="14" t="s">
        <v>739</v>
      </c>
      <c r="E712" s="25">
        <v>3800</v>
      </c>
    </row>
    <row r="713" spans="1:5" x14ac:dyDescent="0.3">
      <c r="A713" s="13">
        <v>43091</v>
      </c>
      <c r="B713" s="14" t="s">
        <v>738</v>
      </c>
      <c r="C713" s="14" t="s">
        <v>736</v>
      </c>
      <c r="D713" s="14" t="s">
        <v>739</v>
      </c>
      <c r="E713" s="25">
        <v>2456</v>
      </c>
    </row>
    <row r="714" spans="1:5" x14ac:dyDescent="0.3">
      <c r="A714" s="13">
        <v>42459</v>
      </c>
      <c r="B714" s="14" t="s">
        <v>740</v>
      </c>
      <c r="C714" s="14" t="s">
        <v>741</v>
      </c>
      <c r="D714" s="14" t="s">
        <v>739</v>
      </c>
      <c r="E714" s="25">
        <v>4902</v>
      </c>
    </row>
    <row r="715" spans="1:5" x14ac:dyDescent="0.3">
      <c r="A715" s="13">
        <v>42922</v>
      </c>
      <c r="B715" s="14" t="s">
        <v>740</v>
      </c>
      <c r="C715" s="14" t="s">
        <v>741</v>
      </c>
      <c r="D715" s="14" t="s">
        <v>743</v>
      </c>
      <c r="E715" s="25">
        <v>1826</v>
      </c>
    </row>
    <row r="716" spans="1:5" x14ac:dyDescent="0.3">
      <c r="A716" s="13">
        <v>42393</v>
      </c>
      <c r="B716" s="14" t="s">
        <v>744</v>
      </c>
      <c r="C716" s="14" t="s">
        <v>741</v>
      </c>
      <c r="D716" s="14" t="s">
        <v>742</v>
      </c>
      <c r="E716" s="25">
        <v>1458</v>
      </c>
    </row>
    <row r="717" spans="1:5" x14ac:dyDescent="0.3">
      <c r="A717" s="13">
        <v>42513</v>
      </c>
      <c r="B717" s="14" t="s">
        <v>738</v>
      </c>
      <c r="C717" s="14" t="s">
        <v>736</v>
      </c>
      <c r="D717" s="14" t="s">
        <v>743</v>
      </c>
      <c r="E717" s="25">
        <v>1738</v>
      </c>
    </row>
    <row r="718" spans="1:5" x14ac:dyDescent="0.3">
      <c r="A718" s="13">
        <v>43035</v>
      </c>
      <c r="B718" s="14" t="s">
        <v>740</v>
      </c>
      <c r="C718" s="14" t="s">
        <v>741</v>
      </c>
      <c r="D718" s="14" t="s">
        <v>743</v>
      </c>
      <c r="E718" s="25">
        <v>2874</v>
      </c>
    </row>
    <row r="719" spans="1:5" x14ac:dyDescent="0.3">
      <c r="A719" s="13">
        <v>42555</v>
      </c>
      <c r="B719" s="14" t="s">
        <v>738</v>
      </c>
      <c r="C719" s="14" t="s">
        <v>736</v>
      </c>
      <c r="D719" s="14" t="s">
        <v>743</v>
      </c>
      <c r="E719" s="25">
        <v>4052</v>
      </c>
    </row>
    <row r="720" spans="1:5" x14ac:dyDescent="0.3">
      <c r="A720" s="13">
        <v>42789</v>
      </c>
      <c r="B720" s="14" t="s">
        <v>744</v>
      </c>
      <c r="C720" s="14" t="s">
        <v>741</v>
      </c>
      <c r="D720" s="14" t="s">
        <v>743</v>
      </c>
      <c r="E720" s="25">
        <v>864</v>
      </c>
    </row>
    <row r="721" spans="1:5" x14ac:dyDescent="0.3">
      <c r="A721" s="13">
        <v>42570</v>
      </c>
      <c r="B721" s="14" t="s">
        <v>744</v>
      </c>
      <c r="C721" s="14" t="s">
        <v>741</v>
      </c>
      <c r="D721" s="14" t="s">
        <v>742</v>
      </c>
      <c r="E721" s="25">
        <v>1644</v>
      </c>
    </row>
    <row r="722" spans="1:5" x14ac:dyDescent="0.3">
      <c r="A722" s="13">
        <v>42623</v>
      </c>
      <c r="B722" s="14" t="s">
        <v>746</v>
      </c>
      <c r="C722" s="14" t="s">
        <v>736</v>
      </c>
      <c r="D722" s="14" t="s">
        <v>743</v>
      </c>
      <c r="E722" s="25">
        <v>865</v>
      </c>
    </row>
    <row r="723" spans="1:5" x14ac:dyDescent="0.3">
      <c r="A723" s="13">
        <v>43094</v>
      </c>
      <c r="B723" s="14" t="s">
        <v>738</v>
      </c>
      <c r="C723" s="14" t="s">
        <v>736</v>
      </c>
      <c r="D723" s="14" t="s">
        <v>743</v>
      </c>
      <c r="E723" s="25">
        <v>4498</v>
      </c>
    </row>
    <row r="724" spans="1:5" x14ac:dyDescent="0.3">
      <c r="A724" s="13">
        <v>42695</v>
      </c>
      <c r="B724" s="14" t="s">
        <v>738</v>
      </c>
      <c r="C724" s="14" t="s">
        <v>736</v>
      </c>
      <c r="D724" s="14" t="s">
        <v>743</v>
      </c>
      <c r="E724" s="25">
        <v>4723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658C-BBE6-4A26-8BB1-2380843E1A9E}">
  <dimension ref="A1:I19"/>
  <sheetViews>
    <sheetView workbookViewId="0">
      <selection activeCell="K17" sqref="K17"/>
    </sheetView>
  </sheetViews>
  <sheetFormatPr defaultRowHeight="14.4" x14ac:dyDescent="0.3"/>
  <cols>
    <col min="1" max="1" width="12.88671875" bestFit="1" customWidth="1"/>
    <col min="2" max="2" width="19.88671875" bestFit="1" customWidth="1"/>
    <col min="3" max="3" width="10.33203125" customWidth="1"/>
    <col min="4" max="4" width="10.109375" customWidth="1"/>
    <col min="5" max="5" width="10.33203125" customWidth="1"/>
    <col min="8" max="8" width="13.5546875" customWidth="1"/>
    <col min="9" max="9" width="11.33203125" customWidth="1"/>
  </cols>
  <sheetData>
    <row r="1" spans="1:9" x14ac:dyDescent="0.3">
      <c r="A1" s="9" t="s">
        <v>11</v>
      </c>
      <c r="B1" s="10" t="s">
        <v>12</v>
      </c>
      <c r="D1" t="str">
        <f>LEFT(B1, FIND("AM",B1)+1)</f>
        <v>9:00 AM</v>
      </c>
      <c r="E1" t="str">
        <f>_xlfn.LET(_xlpm.a, FIND("to",B1)+1,MID(B1,_xlpm.a+2,LEN(B1)-_xlpm.a))</f>
        <v>5:00 PM</v>
      </c>
    </row>
    <row r="3" spans="1:9" x14ac:dyDescent="0.3">
      <c r="A3" s="11" t="s">
        <v>13</v>
      </c>
      <c r="B3" s="11" t="s">
        <v>14</v>
      </c>
      <c r="C3" s="11" t="s">
        <v>15</v>
      </c>
      <c r="D3" s="11" t="s">
        <v>16</v>
      </c>
      <c r="E3" s="11" t="s">
        <v>17</v>
      </c>
      <c r="F3" s="11" t="s">
        <v>18</v>
      </c>
      <c r="G3" s="12" t="s">
        <v>17</v>
      </c>
      <c r="H3" s="12" t="s">
        <v>19</v>
      </c>
      <c r="I3" s="12" t="s">
        <v>20</v>
      </c>
    </row>
    <row r="4" spans="1:9" x14ac:dyDescent="0.3">
      <c r="A4" s="13">
        <v>40415</v>
      </c>
      <c r="B4" s="14" t="s">
        <v>21</v>
      </c>
      <c r="C4" s="15" t="str">
        <f>LEFT(B4,FIND(" TO ",B4)-1)</f>
        <v>9:00  AM</v>
      </c>
      <c r="D4" s="15" t="str">
        <f>RIGHT(B4,LEN(B4)-FIND("TO ",B4)-2)</f>
        <v>4:00 PM</v>
      </c>
      <c r="E4" s="16">
        <f>TRIM(D4)-TRIM(C4)</f>
        <v>0.29166666666666663</v>
      </c>
      <c r="F4" s="17">
        <v>0.33333333333333331</v>
      </c>
      <c r="G4" s="18">
        <f>HOUR(E4)</f>
        <v>7</v>
      </c>
      <c r="H4" s="18">
        <f>MINUTE(E4)</f>
        <v>0</v>
      </c>
      <c r="I4" s="19" t="str">
        <f>IF(F4&gt;E4,"",E4-F4)</f>
        <v/>
      </c>
    </row>
    <row r="5" spans="1:9" x14ac:dyDescent="0.3">
      <c r="A5" s="13">
        <v>40416</v>
      </c>
      <c r="B5" s="14" t="s">
        <v>22</v>
      </c>
      <c r="C5" s="15" t="str">
        <f t="shared" ref="C5:C10" si="0">LEFT(B5,FIND(" TO ",B5)-1)</f>
        <v>9:30  AM</v>
      </c>
      <c r="D5" s="15" t="str">
        <f t="shared" ref="D5:D10" si="1">RIGHT(B5,LEN(B5)-FIND("TO ",B5)-2)</f>
        <v>5:00 PM</v>
      </c>
      <c r="E5" s="16">
        <f t="shared" ref="E5:E10" si="2">TRIM(D5)-TRIM(C5)</f>
        <v>0.31250000000000006</v>
      </c>
      <c r="F5" s="17">
        <v>0.33333333333333331</v>
      </c>
      <c r="G5" s="18">
        <f t="shared" ref="G5:G10" si="3">HOUR(E5)</f>
        <v>7</v>
      </c>
      <c r="H5" s="18">
        <f t="shared" ref="H5:H10" si="4">MINUTE(E5)</f>
        <v>30</v>
      </c>
      <c r="I5" s="19" t="str">
        <f t="shared" ref="I5:I10" si="5">IF(F5&gt;E5,"",E5-F5)</f>
        <v/>
      </c>
    </row>
    <row r="6" spans="1:9" x14ac:dyDescent="0.3">
      <c r="A6" s="13">
        <v>40417</v>
      </c>
      <c r="B6" s="14" t="s">
        <v>23</v>
      </c>
      <c r="C6" s="15" t="str">
        <f t="shared" si="0"/>
        <v>9:00  AM</v>
      </c>
      <c r="D6" s="15" t="str">
        <f t="shared" si="1"/>
        <v>4:45 PM</v>
      </c>
      <c r="E6" s="16">
        <f t="shared" si="2"/>
        <v>0.32291666666666663</v>
      </c>
      <c r="F6" s="17">
        <v>0.33333333333333331</v>
      </c>
      <c r="G6" s="18">
        <f t="shared" si="3"/>
        <v>7</v>
      </c>
      <c r="H6" s="18">
        <f t="shared" si="4"/>
        <v>45</v>
      </c>
      <c r="I6" s="19" t="str">
        <f t="shared" si="5"/>
        <v/>
      </c>
    </row>
    <row r="7" spans="1:9" x14ac:dyDescent="0.3">
      <c r="A7" s="13">
        <v>40418</v>
      </c>
      <c r="B7" s="14" t="s">
        <v>24</v>
      </c>
      <c r="C7" s="15" t="str">
        <f t="shared" si="0"/>
        <v>10:00  AM</v>
      </c>
      <c r="D7" s="15" t="str">
        <f t="shared" si="1"/>
        <v>4:00 PM</v>
      </c>
      <c r="E7" s="16">
        <f t="shared" si="2"/>
        <v>0.24999999999999994</v>
      </c>
      <c r="F7" s="17">
        <v>0.33333333333333331</v>
      </c>
      <c r="G7" s="18">
        <f t="shared" si="3"/>
        <v>6</v>
      </c>
      <c r="H7" s="18">
        <f t="shared" si="4"/>
        <v>0</v>
      </c>
      <c r="I7" s="19" t="str">
        <f t="shared" si="5"/>
        <v/>
      </c>
    </row>
    <row r="8" spans="1:9" x14ac:dyDescent="0.3">
      <c r="A8" s="13">
        <v>40419</v>
      </c>
      <c r="B8" s="14" t="s">
        <v>25</v>
      </c>
      <c r="C8" s="15" t="str">
        <f t="shared" si="0"/>
        <v>9:00  AM</v>
      </c>
      <c r="D8" s="15" t="str">
        <f t="shared" si="1"/>
        <v>5:00 PM</v>
      </c>
      <c r="E8" s="16">
        <f t="shared" si="2"/>
        <v>0.33333333333333337</v>
      </c>
      <c r="F8" s="17">
        <v>0.33333333333333331</v>
      </c>
      <c r="G8" s="18">
        <f t="shared" si="3"/>
        <v>8</v>
      </c>
      <c r="H8" s="18">
        <f t="shared" si="4"/>
        <v>0</v>
      </c>
      <c r="I8" s="19">
        <f t="shared" si="5"/>
        <v>5.5511151231257827E-17</v>
      </c>
    </row>
    <row r="9" spans="1:9" x14ac:dyDescent="0.3">
      <c r="A9" s="13">
        <v>40420</v>
      </c>
      <c r="B9" s="14" t="s">
        <v>26</v>
      </c>
      <c r="C9" s="15" t="str">
        <f t="shared" si="0"/>
        <v>9:00  AM</v>
      </c>
      <c r="D9" s="15" t="str">
        <f t="shared" si="1"/>
        <v>5:30 PM</v>
      </c>
      <c r="E9" s="16">
        <f t="shared" si="2"/>
        <v>0.35416666666666663</v>
      </c>
      <c r="F9" s="17">
        <v>0.33333333333333331</v>
      </c>
      <c r="G9" s="18">
        <f t="shared" si="3"/>
        <v>8</v>
      </c>
      <c r="H9" s="18">
        <f t="shared" si="4"/>
        <v>30</v>
      </c>
      <c r="I9" s="19">
        <f t="shared" si="5"/>
        <v>2.0833333333333315E-2</v>
      </c>
    </row>
    <row r="10" spans="1:9" x14ac:dyDescent="0.3">
      <c r="A10" s="13">
        <v>40421</v>
      </c>
      <c r="B10" s="14" t="s">
        <v>27</v>
      </c>
      <c r="C10" s="15" t="str">
        <f t="shared" si="0"/>
        <v>9:00  AM</v>
      </c>
      <c r="D10" s="15" t="str">
        <f t="shared" si="1"/>
        <v>10:00 PM</v>
      </c>
      <c r="E10" s="16">
        <f t="shared" si="2"/>
        <v>0.54166666666666663</v>
      </c>
      <c r="F10" s="17">
        <v>0.33333333333333331</v>
      </c>
      <c r="G10" s="18">
        <f t="shared" si="3"/>
        <v>13</v>
      </c>
      <c r="H10" s="18">
        <f t="shared" si="4"/>
        <v>0</v>
      </c>
      <c r="I10" s="19">
        <f t="shared" si="5"/>
        <v>0.20833333333333331</v>
      </c>
    </row>
    <row r="12" spans="1:9" x14ac:dyDescent="0.3">
      <c r="D12" s="50"/>
      <c r="G12" s="50"/>
    </row>
    <row r="13" spans="1:9" x14ac:dyDescent="0.3">
      <c r="D13" s="51">
        <f>TIMEVALUE(D10) - TIMEVALUE(C10)</f>
        <v>0.54166666666666663</v>
      </c>
      <c r="G13" s="56">
        <f>HOUR(D4-C4)</f>
        <v>7</v>
      </c>
      <c r="H13" s="56">
        <f>MINUTE(D4-C4)</f>
        <v>0</v>
      </c>
      <c r="I13" s="51" t="str">
        <f>_xlfn.LET(_xlpm.q,TIMEVALUE(D4)-TIMEVALUE($E$1),IF(_xlpm.q&gt;0,_xlpm.q,""))</f>
        <v/>
      </c>
    </row>
    <row r="14" spans="1:9" x14ac:dyDescent="0.3">
      <c r="G14" s="56">
        <f t="shared" ref="G14:G19" si="6">HOUR(D5-C5)</f>
        <v>7</v>
      </c>
      <c r="H14" s="56">
        <f t="shared" ref="H14:H19" si="7">MINUTE(D5-C5)</f>
        <v>30</v>
      </c>
      <c r="I14" s="51" t="str">
        <f t="shared" ref="I14:I19" si="8">_xlfn.LET(_xlpm.q,TIMEVALUE(D5)-TIMEVALUE($E$1),IF(_xlpm.q&gt;0,_xlpm.q,""))</f>
        <v/>
      </c>
    </row>
    <row r="15" spans="1:9" x14ac:dyDescent="0.3">
      <c r="G15" s="56">
        <f t="shared" si="6"/>
        <v>7</v>
      </c>
      <c r="H15" s="56">
        <f t="shared" si="7"/>
        <v>45</v>
      </c>
      <c r="I15" s="51" t="str">
        <f t="shared" si="8"/>
        <v/>
      </c>
    </row>
    <row r="16" spans="1:9" x14ac:dyDescent="0.3">
      <c r="G16" s="56">
        <f t="shared" si="6"/>
        <v>6</v>
      </c>
      <c r="H16" s="56">
        <f t="shared" si="7"/>
        <v>0</v>
      </c>
      <c r="I16" s="51" t="str">
        <f t="shared" si="8"/>
        <v/>
      </c>
    </row>
    <row r="17" spans="7:9" x14ac:dyDescent="0.3">
      <c r="G17" s="56">
        <f t="shared" si="6"/>
        <v>8</v>
      </c>
      <c r="H17" s="56">
        <f t="shared" si="7"/>
        <v>0</v>
      </c>
      <c r="I17" s="51" t="str">
        <f t="shared" si="8"/>
        <v/>
      </c>
    </row>
    <row r="18" spans="7:9" x14ac:dyDescent="0.3">
      <c r="G18" s="56">
        <f t="shared" si="6"/>
        <v>8</v>
      </c>
      <c r="H18" s="56">
        <f t="shared" si="7"/>
        <v>30</v>
      </c>
      <c r="I18" s="51">
        <f t="shared" si="8"/>
        <v>2.0833333333333259E-2</v>
      </c>
    </row>
    <row r="19" spans="7:9" x14ac:dyDescent="0.3">
      <c r="G19" s="56">
        <f t="shared" si="6"/>
        <v>13</v>
      </c>
      <c r="H19" s="56">
        <f t="shared" si="7"/>
        <v>0</v>
      </c>
      <c r="I19" s="51">
        <f t="shared" si="8"/>
        <v>0.20833333333333326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28A7-14C6-475B-BFE5-6F4DEBD308F1}">
  <dimension ref="C7:R20"/>
  <sheetViews>
    <sheetView showGridLines="0" tabSelected="1" topLeftCell="A6" workbookViewId="0">
      <selection activeCell="R21" sqref="R21"/>
    </sheetView>
  </sheetViews>
  <sheetFormatPr defaultRowHeight="14.4" x14ac:dyDescent="0.3"/>
  <cols>
    <col min="4" max="4" width="12.44140625" customWidth="1"/>
  </cols>
  <sheetData>
    <row r="7" spans="3:18" s="1" customFormat="1" ht="19.8" x14ac:dyDescent="0.3">
      <c r="C7" s="52" t="s">
        <v>0</v>
      </c>
      <c r="D7" s="53"/>
      <c r="E7" s="53"/>
      <c r="F7" s="53"/>
      <c r="G7" s="53"/>
      <c r="H7" s="53"/>
      <c r="I7" s="54"/>
    </row>
    <row r="8" spans="3:18" s="1" customFormat="1" ht="15.6" x14ac:dyDescent="0.3"/>
    <row r="9" spans="3:18" s="1" customFormat="1" ht="15.6" x14ac:dyDescent="0.3">
      <c r="D9" s="2" t="str">
        <f ca="1">CHAR(RANDBETWEEN(65,90))</f>
        <v>X</v>
      </c>
      <c r="E9" s="2" t="str">
        <f t="shared" ref="E9:H9" ca="1" si="0">CHAR(RANDBETWEEN(65,90))</f>
        <v>M</v>
      </c>
      <c r="F9" s="2" t="str">
        <f t="shared" ca="1" si="0"/>
        <v>I</v>
      </c>
      <c r="G9" s="2" t="str">
        <f t="shared" ca="1" si="0"/>
        <v>W</v>
      </c>
      <c r="H9" s="2" t="str">
        <f t="shared" ca="1" si="0"/>
        <v>C</v>
      </c>
      <c r="K9" s="1" t="str">
        <f ca="1">CHAR(RANDBETWEEN(65, 90))</f>
        <v>G</v>
      </c>
      <c r="L9" s="1" t="str">
        <f t="shared" ref="L9:P20" ca="1" si="1">CHAR(RANDBETWEEN(65, 90))</f>
        <v>O</v>
      </c>
      <c r="M9" s="1" t="str">
        <f t="shared" ca="1" si="1"/>
        <v>O</v>
      </c>
      <c r="N9" s="1" t="str">
        <f t="shared" ca="1" si="1"/>
        <v>R</v>
      </c>
      <c r="O9" s="1" t="str">
        <f t="shared" ca="1" si="1"/>
        <v>L</v>
      </c>
      <c r="P9" s="1" t="str">
        <f t="shared" ca="1" si="1"/>
        <v>E</v>
      </c>
      <c r="R9" s="1" t="str">
        <f ca="1">_xlfn.UNICHAR(RANDBETWEEN(65,90))</f>
        <v>Y</v>
      </c>
    </row>
    <row r="10" spans="3:18" s="1" customFormat="1" ht="15.6" x14ac:dyDescent="0.3">
      <c r="D10" s="2" t="str">
        <f t="shared" ref="D10:H20" ca="1" si="2">CHAR(RANDBETWEEN(65,90))</f>
        <v>J</v>
      </c>
      <c r="E10" s="2" t="str">
        <f t="shared" ca="1" si="2"/>
        <v>D</v>
      </c>
      <c r="F10" s="2" t="str">
        <f t="shared" ca="1" si="2"/>
        <v>S</v>
      </c>
      <c r="G10" s="2" t="str">
        <f t="shared" ca="1" si="2"/>
        <v>F</v>
      </c>
      <c r="H10" s="2" t="str">
        <f t="shared" ca="1" si="2"/>
        <v>V</v>
      </c>
      <c r="K10" s="1" t="str">
        <f t="shared" ref="K10:K20" ca="1" si="3">CHAR(RANDBETWEEN(65, 90))</f>
        <v>A</v>
      </c>
      <c r="L10" s="1" t="str">
        <f t="shared" ca="1" si="1"/>
        <v>E</v>
      </c>
      <c r="M10" s="1" t="str">
        <f t="shared" ca="1" si="1"/>
        <v>I</v>
      </c>
      <c r="N10" s="1" t="str">
        <f t="shared" ca="1" si="1"/>
        <v>K</v>
      </c>
      <c r="O10" s="1" t="str">
        <f t="shared" ca="1" si="1"/>
        <v>V</v>
      </c>
      <c r="P10" s="1" t="str">
        <f t="shared" ca="1" si="1"/>
        <v>W</v>
      </c>
    </row>
    <row r="11" spans="3:18" s="1" customFormat="1" ht="15.6" x14ac:dyDescent="0.3">
      <c r="D11" s="2" t="str">
        <f t="shared" ca="1" si="2"/>
        <v>O</v>
      </c>
      <c r="E11" s="2" t="str">
        <f t="shared" ca="1" si="2"/>
        <v>U</v>
      </c>
      <c r="F11" s="2" t="str">
        <f t="shared" ca="1" si="2"/>
        <v>Z</v>
      </c>
      <c r="G11" s="2" t="str">
        <f t="shared" ca="1" si="2"/>
        <v>P</v>
      </c>
      <c r="H11" s="2" t="str">
        <f t="shared" ca="1" si="2"/>
        <v>P</v>
      </c>
      <c r="K11" s="1" t="str">
        <f t="shared" ca="1" si="3"/>
        <v>V</v>
      </c>
      <c r="L11" s="1" t="str">
        <f t="shared" ca="1" si="1"/>
        <v>L</v>
      </c>
      <c r="M11" s="1" t="str">
        <f t="shared" ca="1" si="1"/>
        <v>I</v>
      </c>
      <c r="N11" s="1" t="str">
        <f t="shared" ca="1" si="1"/>
        <v>J</v>
      </c>
      <c r="O11" s="1" t="str">
        <f t="shared" ca="1" si="1"/>
        <v>T</v>
      </c>
      <c r="P11" s="1" t="str">
        <f t="shared" ca="1" si="1"/>
        <v>H</v>
      </c>
    </row>
    <row r="12" spans="3:18" s="1" customFormat="1" ht="15.6" x14ac:dyDescent="0.3">
      <c r="D12" s="2" t="str">
        <f t="shared" ca="1" si="2"/>
        <v>S</v>
      </c>
      <c r="E12" s="2" t="str">
        <f t="shared" ca="1" si="2"/>
        <v>K</v>
      </c>
      <c r="F12" s="2" t="str">
        <f t="shared" ca="1" si="2"/>
        <v>Q</v>
      </c>
      <c r="G12" s="2" t="str">
        <f t="shared" ca="1" si="2"/>
        <v>Y</v>
      </c>
      <c r="H12" s="2" t="str">
        <f t="shared" ca="1" si="2"/>
        <v>A</v>
      </c>
      <c r="K12" s="1" t="str">
        <f t="shared" ca="1" si="3"/>
        <v>G</v>
      </c>
      <c r="L12" s="1" t="str">
        <f t="shared" ca="1" si="1"/>
        <v>F</v>
      </c>
      <c r="M12" s="1" t="str">
        <f t="shared" ca="1" si="1"/>
        <v>A</v>
      </c>
      <c r="N12" s="1" t="str">
        <f t="shared" ca="1" si="1"/>
        <v>Z</v>
      </c>
      <c r="O12" s="1" t="str">
        <f t="shared" ca="1" si="1"/>
        <v>V</v>
      </c>
      <c r="P12" s="1" t="str">
        <f t="shared" ca="1" si="1"/>
        <v>B</v>
      </c>
    </row>
    <row r="13" spans="3:18" s="1" customFormat="1" ht="15.6" x14ac:dyDescent="0.3">
      <c r="D13" s="2" t="str">
        <f t="shared" ca="1" si="2"/>
        <v>M</v>
      </c>
      <c r="E13" s="2" t="str">
        <f t="shared" ca="1" si="2"/>
        <v>K</v>
      </c>
      <c r="F13" s="2" t="str">
        <f t="shared" ca="1" si="2"/>
        <v>T</v>
      </c>
      <c r="G13" s="2" t="str">
        <f t="shared" ca="1" si="2"/>
        <v>L</v>
      </c>
      <c r="H13" s="2" t="str">
        <f t="shared" ca="1" si="2"/>
        <v>D</v>
      </c>
      <c r="K13" s="1" t="str">
        <f t="shared" ca="1" si="3"/>
        <v>A</v>
      </c>
      <c r="L13" s="1" t="str">
        <f t="shared" ca="1" si="1"/>
        <v>R</v>
      </c>
      <c r="M13" s="1" t="str">
        <f t="shared" ca="1" si="1"/>
        <v>F</v>
      </c>
      <c r="N13" s="1" t="str">
        <f t="shared" ca="1" si="1"/>
        <v>Z</v>
      </c>
      <c r="O13" s="1" t="str">
        <f t="shared" ca="1" si="1"/>
        <v>E</v>
      </c>
      <c r="P13" s="1" t="str">
        <f t="shared" ca="1" si="1"/>
        <v>C</v>
      </c>
    </row>
    <row r="14" spans="3:18" s="1" customFormat="1" ht="15.6" x14ac:dyDescent="0.3">
      <c r="D14" s="2" t="str">
        <f t="shared" ca="1" si="2"/>
        <v>X</v>
      </c>
      <c r="E14" s="2" t="str">
        <f t="shared" ca="1" si="2"/>
        <v>C</v>
      </c>
      <c r="F14" s="2" t="str">
        <f t="shared" ca="1" si="2"/>
        <v>E</v>
      </c>
      <c r="G14" s="2" t="str">
        <f t="shared" ca="1" si="2"/>
        <v>Q</v>
      </c>
      <c r="H14" s="2" t="str">
        <f t="shared" ca="1" si="2"/>
        <v>C</v>
      </c>
      <c r="K14" s="1" t="str">
        <f t="shared" ca="1" si="3"/>
        <v>O</v>
      </c>
      <c r="L14" s="1" t="str">
        <f t="shared" ca="1" si="1"/>
        <v>K</v>
      </c>
      <c r="M14" s="1" t="str">
        <f t="shared" ca="1" si="1"/>
        <v>A</v>
      </c>
      <c r="N14" s="1" t="str">
        <f t="shared" ca="1" si="1"/>
        <v>W</v>
      </c>
      <c r="O14" s="1" t="str">
        <f t="shared" ca="1" si="1"/>
        <v>Q</v>
      </c>
      <c r="P14" s="1" t="str">
        <f t="shared" ca="1" si="1"/>
        <v>N</v>
      </c>
    </row>
    <row r="15" spans="3:18" s="1" customFormat="1" ht="15.6" x14ac:dyDescent="0.3">
      <c r="D15" s="2" t="str">
        <f t="shared" ca="1" si="2"/>
        <v>W</v>
      </c>
      <c r="E15" s="2" t="str">
        <f t="shared" ca="1" si="2"/>
        <v>F</v>
      </c>
      <c r="F15" s="2" t="str">
        <f t="shared" ca="1" si="2"/>
        <v>W</v>
      </c>
      <c r="G15" s="2" t="str">
        <f t="shared" ca="1" si="2"/>
        <v>J</v>
      </c>
      <c r="H15" s="2" t="str">
        <f t="shared" ca="1" si="2"/>
        <v>L</v>
      </c>
      <c r="K15" s="1" t="str">
        <f t="shared" ca="1" si="3"/>
        <v>K</v>
      </c>
      <c r="L15" s="1" t="str">
        <f t="shared" ca="1" si="1"/>
        <v>C</v>
      </c>
      <c r="M15" s="1" t="str">
        <f t="shared" ca="1" si="1"/>
        <v>B</v>
      </c>
      <c r="N15" s="1" t="str">
        <f t="shared" ca="1" si="1"/>
        <v>F</v>
      </c>
      <c r="O15" s="1" t="str">
        <f t="shared" ca="1" si="1"/>
        <v>A</v>
      </c>
      <c r="P15" s="1" t="str">
        <f t="shared" ca="1" si="1"/>
        <v>N</v>
      </c>
    </row>
    <row r="16" spans="3:18" s="1" customFormat="1" ht="15.6" x14ac:dyDescent="0.3">
      <c r="D16" s="2" t="str">
        <f t="shared" ca="1" si="2"/>
        <v>V</v>
      </c>
      <c r="E16" s="2" t="str">
        <f t="shared" ca="1" si="2"/>
        <v>K</v>
      </c>
      <c r="F16" s="2" t="str">
        <f t="shared" ca="1" si="2"/>
        <v>P</v>
      </c>
      <c r="G16" s="2" t="str">
        <f t="shared" ca="1" si="2"/>
        <v>G</v>
      </c>
      <c r="H16" s="2" t="str">
        <f t="shared" ca="1" si="2"/>
        <v>L</v>
      </c>
      <c r="K16" s="1" t="str">
        <f t="shared" ca="1" si="3"/>
        <v>O</v>
      </c>
      <c r="L16" s="1" t="str">
        <f t="shared" ca="1" si="1"/>
        <v>H</v>
      </c>
      <c r="M16" s="1" t="str">
        <f t="shared" ca="1" si="1"/>
        <v>S</v>
      </c>
      <c r="N16" s="1" t="str">
        <f t="shared" ca="1" si="1"/>
        <v>Y</v>
      </c>
      <c r="O16" s="1" t="str">
        <f t="shared" ca="1" si="1"/>
        <v>S</v>
      </c>
      <c r="P16" s="1" t="str">
        <f t="shared" ca="1" si="1"/>
        <v>P</v>
      </c>
    </row>
    <row r="17" spans="4:16" s="1" customFormat="1" ht="15.6" x14ac:dyDescent="0.3">
      <c r="D17" s="2" t="str">
        <f t="shared" ca="1" si="2"/>
        <v>O</v>
      </c>
      <c r="E17" s="2" t="str">
        <f t="shared" ca="1" si="2"/>
        <v>P</v>
      </c>
      <c r="F17" s="2" t="str">
        <f t="shared" ca="1" si="2"/>
        <v>N</v>
      </c>
      <c r="G17" s="2" t="str">
        <f t="shared" ca="1" si="2"/>
        <v>A</v>
      </c>
      <c r="H17" s="2" t="str">
        <f t="shared" ca="1" si="2"/>
        <v>G</v>
      </c>
      <c r="K17" s="1" t="str">
        <f t="shared" ca="1" si="3"/>
        <v>J</v>
      </c>
      <c r="L17" s="1" t="str">
        <f t="shared" ca="1" si="1"/>
        <v>O</v>
      </c>
      <c r="M17" s="1" t="str">
        <f t="shared" ca="1" si="1"/>
        <v>V</v>
      </c>
      <c r="N17" s="1" t="str">
        <f t="shared" ca="1" si="1"/>
        <v>U</v>
      </c>
      <c r="O17" s="1" t="str">
        <f t="shared" ca="1" si="1"/>
        <v>Z</v>
      </c>
      <c r="P17" s="1" t="str">
        <f t="shared" ca="1" si="1"/>
        <v>T</v>
      </c>
    </row>
    <row r="18" spans="4:16" s="1" customFormat="1" ht="15.6" x14ac:dyDescent="0.3">
      <c r="D18" s="2" t="str">
        <f t="shared" ca="1" si="2"/>
        <v>R</v>
      </c>
      <c r="E18" s="2" t="str">
        <f t="shared" ca="1" si="2"/>
        <v>F</v>
      </c>
      <c r="F18" s="2" t="str">
        <f t="shared" ca="1" si="2"/>
        <v>I</v>
      </c>
      <c r="G18" s="2" t="str">
        <f t="shared" ca="1" si="2"/>
        <v>O</v>
      </c>
      <c r="H18" s="2" t="str">
        <f t="shared" ca="1" si="2"/>
        <v>V</v>
      </c>
      <c r="K18" s="1" t="str">
        <f t="shared" ca="1" si="3"/>
        <v>Z</v>
      </c>
      <c r="L18" s="1" t="str">
        <f t="shared" ca="1" si="1"/>
        <v>E</v>
      </c>
      <c r="M18" s="1" t="str">
        <f t="shared" ca="1" si="1"/>
        <v>D</v>
      </c>
      <c r="N18" s="1" t="str">
        <f t="shared" ca="1" si="1"/>
        <v>T</v>
      </c>
      <c r="O18" s="1" t="str">
        <f t="shared" ca="1" si="1"/>
        <v>Y</v>
      </c>
      <c r="P18" s="1" t="str">
        <f t="shared" ca="1" si="1"/>
        <v>O</v>
      </c>
    </row>
    <row r="19" spans="4:16" s="1" customFormat="1" ht="15.6" x14ac:dyDescent="0.3">
      <c r="D19" s="2" t="str">
        <f t="shared" ca="1" si="2"/>
        <v>G</v>
      </c>
      <c r="E19" s="2" t="str">
        <f t="shared" ca="1" si="2"/>
        <v>H</v>
      </c>
      <c r="F19" s="2" t="str">
        <f t="shared" ca="1" si="2"/>
        <v>I</v>
      </c>
      <c r="G19" s="2" t="str">
        <f t="shared" ca="1" si="2"/>
        <v>V</v>
      </c>
      <c r="H19" s="2" t="str">
        <f t="shared" ca="1" si="2"/>
        <v>T</v>
      </c>
      <c r="K19" s="1" t="str">
        <f t="shared" ca="1" si="3"/>
        <v>G</v>
      </c>
      <c r="L19" s="1" t="str">
        <f t="shared" ca="1" si="1"/>
        <v>O</v>
      </c>
      <c r="M19" s="1" t="str">
        <f t="shared" ca="1" si="1"/>
        <v>O</v>
      </c>
      <c r="N19" s="1" t="str">
        <f t="shared" ca="1" si="1"/>
        <v>P</v>
      </c>
      <c r="O19" s="1" t="str">
        <f t="shared" ca="1" si="1"/>
        <v>N</v>
      </c>
      <c r="P19" s="1" t="str">
        <f t="shared" ca="1" si="1"/>
        <v>R</v>
      </c>
    </row>
    <row r="20" spans="4:16" s="1" customFormat="1" ht="15.6" x14ac:dyDescent="0.3">
      <c r="D20" s="2" t="str">
        <f t="shared" ca="1" si="2"/>
        <v>D</v>
      </c>
      <c r="E20" s="2" t="str">
        <f t="shared" ca="1" si="2"/>
        <v>B</v>
      </c>
      <c r="F20" s="2" t="str">
        <f t="shared" ca="1" si="2"/>
        <v>G</v>
      </c>
      <c r="G20" s="2" t="str">
        <f t="shared" ca="1" si="2"/>
        <v>M</v>
      </c>
      <c r="H20" s="2" t="str">
        <f t="shared" ca="1" si="2"/>
        <v>U</v>
      </c>
      <c r="K20" s="1" t="str">
        <f t="shared" ca="1" si="3"/>
        <v>Q</v>
      </c>
      <c r="L20" s="1" t="str">
        <f t="shared" ca="1" si="1"/>
        <v>O</v>
      </c>
      <c r="M20" s="1" t="str">
        <f t="shared" ca="1" si="1"/>
        <v>D</v>
      </c>
      <c r="N20" s="1" t="str">
        <f t="shared" ca="1" si="1"/>
        <v>D</v>
      </c>
      <c r="O20" s="1" t="str">
        <f t="shared" ca="1" si="1"/>
        <v>S</v>
      </c>
      <c r="P20" s="1" t="str">
        <f t="shared" ca="1" si="1"/>
        <v>E</v>
      </c>
    </row>
  </sheetData>
  <protectedRanges>
    <protectedRange sqref="D9:H20" name="Range1"/>
  </protectedRanges>
  <mergeCells count="1">
    <mergeCell ref="C7:I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2020-10-09T08:06:34Z</dcterms:created>
  <dcterms:modified xsi:type="dcterms:W3CDTF">2026-01-27T06:12:07Z</dcterms:modified>
</cp:coreProperties>
</file>