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FABB5F8E-6E6C-429E-B32F-209EDD1216E1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Q1" sheetId="1" r:id="rId1"/>
    <sheet name="Q2" sheetId="6" r:id="rId2"/>
    <sheet name="Q3" sheetId="3" r:id="rId3"/>
    <sheet name="Q4" sheetId="2" r:id="rId4"/>
    <sheet name="Sheet2" sheetId="9" r:id="rId5"/>
    <sheet name="Q5" sheetId="7" r:id="rId6"/>
  </sheets>
  <calcPr calcId="191029"/>
  <pivotCaches>
    <pivotCache cacheId="5" r:id="rId7"/>
    <pivotCache cacheId="1" r:id="rId8"/>
    <pivotCache cacheId="15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3" l="1" a="1"/>
  <c r="J6" i="3" s="1"/>
  <c r="J5" i="3" a="1"/>
  <c r="J5" i="3" s="1"/>
  <c r="E9" i="6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8" i="1"/>
  <c r="O9" i="1" a="1"/>
  <c r="O9" i="1" s="1"/>
  <c r="O10" i="1" a="1"/>
  <c r="O10" i="1"/>
  <c r="O11" i="1" a="1"/>
  <c r="O11" i="1"/>
  <c r="O12" i="1" a="1"/>
  <c r="O12" i="1"/>
  <c r="O13" i="1" a="1"/>
  <c r="O13" i="1"/>
  <c r="O14" i="1" a="1"/>
  <c r="O14" i="1"/>
  <c r="O15" i="1" a="1"/>
  <c r="O15" i="1"/>
  <c r="O16" i="1" a="1"/>
  <c r="O16" i="1"/>
  <c r="O17" i="1" a="1"/>
  <c r="O17" i="1" s="1"/>
  <c r="O18" i="1" a="1"/>
  <c r="O18" i="1"/>
  <c r="O19" i="1" a="1"/>
  <c r="O19" i="1"/>
  <c r="O20" i="1" a="1"/>
  <c r="O20" i="1"/>
  <c r="O21" i="1" a="1"/>
  <c r="O21" i="1"/>
  <c r="O22" i="1" a="1"/>
  <c r="O22" i="1"/>
  <c r="O23" i="1" a="1"/>
  <c r="O23" i="1"/>
  <c r="O24" i="1" a="1"/>
  <c r="O24" i="1"/>
  <c r="O25" i="1" a="1"/>
  <c r="O25" i="1" s="1"/>
  <c r="O26" i="1" a="1"/>
  <c r="O26" i="1"/>
  <c r="O27" i="1" a="1"/>
  <c r="O27" i="1" s="1"/>
  <c r="O28" i="1" a="1"/>
  <c r="O28" i="1" s="1"/>
  <c r="O29" i="1" a="1"/>
  <c r="O29" i="1"/>
  <c r="O30" i="1" a="1"/>
  <c r="O30" i="1" s="1"/>
  <c r="O31" i="1" a="1"/>
  <c r="O31" i="1" s="1"/>
  <c r="O32" i="1" a="1"/>
  <c r="O32" i="1"/>
  <c r="O33" i="1" a="1"/>
  <c r="O33" i="1" s="1"/>
  <c r="O34" i="1" a="1"/>
  <c r="O34" i="1" s="1"/>
  <c r="O8" i="1" a="1"/>
  <c r="O8" i="1"/>
  <c r="N9" i="1" a="1"/>
  <c r="N9" i="1"/>
  <c r="N10" i="1" a="1"/>
  <c r="N10" i="1"/>
  <c r="N11" i="1" a="1"/>
  <c r="N11" i="1"/>
  <c r="N12" i="1" a="1"/>
  <c r="N12" i="1"/>
  <c r="N13" i="1" a="1"/>
  <c r="N13" i="1"/>
  <c r="N14" i="1" a="1"/>
  <c r="N14" i="1"/>
  <c r="N15" i="1" a="1"/>
  <c r="N15" i="1"/>
  <c r="N16" i="1" a="1"/>
  <c r="N16" i="1"/>
  <c r="N17" i="1" a="1"/>
  <c r="N17" i="1"/>
  <c r="N18" i="1" a="1"/>
  <c r="N18" i="1"/>
  <c r="N19" i="1" a="1"/>
  <c r="N19" i="1"/>
  <c r="N20" i="1" a="1"/>
  <c r="N20" i="1"/>
  <c r="N21" i="1" a="1"/>
  <c r="N21" i="1"/>
  <c r="N22" i="1" a="1"/>
  <c r="N22" i="1"/>
  <c r="N23" i="1" a="1"/>
  <c r="N23" i="1"/>
  <c r="N24" i="1" a="1"/>
  <c r="N24" i="1"/>
  <c r="N25" i="1" a="1"/>
  <c r="N25" i="1"/>
  <c r="N26" i="1" a="1"/>
  <c r="N26" i="1"/>
  <c r="N27" i="1" a="1"/>
  <c r="N27" i="1"/>
  <c r="N28" i="1" a="1"/>
  <c r="N28" i="1"/>
  <c r="N29" i="1" a="1"/>
  <c r="N29" i="1"/>
  <c r="N30" i="1" a="1"/>
  <c r="N30" i="1"/>
  <c r="N31" i="1" a="1"/>
  <c r="N31" i="1"/>
  <c r="N32" i="1" a="1"/>
  <c r="N32" i="1"/>
  <c r="N33" i="1" a="1"/>
  <c r="N33" i="1"/>
  <c r="N34" i="1" a="1"/>
  <c r="N34" i="1"/>
  <c r="N8" i="1" a="1"/>
  <c r="N8" i="1" s="1"/>
  <c r="F10" i="3" a="1"/>
  <c r="F10" i="3" s="1"/>
  <c r="F9" i="3" a="1"/>
  <c r="F9" i="3" s="1"/>
  <c r="C9" i="6"/>
  <c r="B14" i="6"/>
  <c r="F5" i="3" a="1"/>
  <c r="F5" i="3" s="1"/>
  <c r="H6" i="3" a="1"/>
  <c r="H6" i="3"/>
  <c r="H5" i="3" a="1"/>
  <c r="H5" i="3" s="1"/>
  <c r="G6" i="3" a="1"/>
  <c r="G6" i="3"/>
  <c r="G5" i="3" a="1"/>
  <c r="G5" i="3" s="1"/>
  <c r="C12" i="6"/>
  <c r="F6" i="3" l="1" a="1"/>
  <c r="F6" i="3" s="1"/>
  <c r="A11" i="1"/>
  <c r="A12" i="1"/>
  <c r="A13" i="1"/>
  <c r="A16" i="1"/>
  <c r="A17" i="1"/>
  <c r="A20" i="1"/>
  <c r="A21" i="1"/>
  <c r="A22" i="1"/>
  <c r="A23" i="1"/>
  <c r="A26" i="1"/>
  <c r="A27" i="1"/>
  <c r="A28" i="1"/>
  <c r="A29" i="1"/>
  <c r="A30" i="1"/>
  <c r="A32" i="1"/>
  <c r="A33" i="1"/>
  <c r="A35" i="1"/>
  <c r="A36" i="1"/>
  <c r="A38" i="1"/>
  <c r="A39" i="1"/>
  <c r="A42" i="1"/>
  <c r="A43" i="1"/>
  <c r="A44" i="1"/>
  <c r="A45" i="1"/>
  <c r="A46" i="1"/>
  <c r="A47" i="1"/>
  <c r="A8" i="1"/>
  <c r="B9" i="1" l="1"/>
  <c r="C9" i="1"/>
  <c r="C10" i="1" s="1"/>
  <c r="B14" i="1"/>
  <c r="C14" i="1"/>
  <c r="C15" i="1" s="1"/>
  <c r="B15" i="1"/>
  <c r="A15" i="1" s="1"/>
  <c r="B18" i="1"/>
  <c r="C18" i="1"/>
  <c r="B19" i="1"/>
  <c r="C19" i="1"/>
  <c r="B24" i="1"/>
  <c r="C24" i="1"/>
  <c r="C25" i="1" s="1"/>
  <c r="B25" i="1"/>
  <c r="A25" i="1" s="1"/>
  <c r="B31" i="1"/>
  <c r="C31" i="1"/>
  <c r="B34" i="1"/>
  <c r="C34" i="1"/>
  <c r="B37" i="1"/>
  <c r="C37" i="1"/>
  <c r="B40" i="1"/>
  <c r="C40" i="1"/>
  <c r="C41" i="1" s="1"/>
  <c r="B41" i="1"/>
  <c r="A41" i="1" s="1"/>
  <c r="A37" i="1" l="1"/>
  <c r="A9" i="1"/>
  <c r="A34" i="1"/>
  <c r="A24" i="1"/>
  <c r="A19" i="1"/>
  <c r="A18" i="1"/>
  <c r="A40" i="1"/>
  <c r="B10" i="1"/>
  <c r="A10" i="1" s="1"/>
  <c r="H25" i="1" s="1"/>
  <c r="G28" i="1"/>
  <c r="G12" i="1"/>
  <c r="A31" i="1"/>
  <c r="A14" i="1"/>
  <c r="W27" i="1" l="1" a="1"/>
  <c r="W27" i="1" s="1"/>
  <c r="S32" i="1" a="1"/>
  <c r="S32" i="1" s="1"/>
  <c r="W20" i="1" a="1"/>
  <c r="W20" i="1" s="1"/>
  <c r="T17" i="1" a="1"/>
  <c r="T17" i="1" s="1"/>
  <c r="T24" i="1" a="1"/>
  <c r="T24" i="1" s="1"/>
  <c r="T15" i="1" a="1"/>
  <c r="T15" i="1" s="1"/>
  <c r="T8" i="1" a="1"/>
  <c r="T8" i="1" s="1"/>
  <c r="T10" i="1" a="1"/>
  <c r="T10" i="1" s="1"/>
  <c r="T29" i="1" a="1"/>
  <c r="T29" i="1" s="1"/>
  <c r="T21" i="1" a="1"/>
  <c r="T21" i="1" s="1"/>
  <c r="S8" i="1" a="1"/>
  <c r="S8" i="1" s="1"/>
  <c r="S22" i="1" a="1"/>
  <c r="S22" i="1" s="1"/>
  <c r="T25" i="1" a="1"/>
  <c r="T25" i="1" s="1"/>
  <c r="H8" i="1"/>
  <c r="W14" i="1" a="1"/>
  <c r="W14" i="1" s="1"/>
  <c r="W29" i="1" a="1"/>
  <c r="W29" i="1" s="1"/>
  <c r="I25" i="1"/>
  <c r="U25" i="1"/>
  <c r="T26" i="1" a="1"/>
  <c r="T26" i="1" s="1"/>
  <c r="W24" i="1" a="1"/>
  <c r="W24" i="1" s="1"/>
  <c r="S29" i="1" a="1"/>
  <c r="S29" i="1" s="1"/>
  <c r="G22" i="1"/>
  <c r="W26" i="1" a="1"/>
  <c r="W26" i="1" s="1"/>
  <c r="S19" i="1" a="1"/>
  <c r="S19" i="1" s="1"/>
  <c r="S33" i="1" a="1"/>
  <c r="S33" i="1" s="1"/>
  <c r="T19" i="1" a="1"/>
  <c r="T19" i="1" s="1"/>
  <c r="T16" i="1" a="1"/>
  <c r="T16" i="1" s="1"/>
  <c r="W21" i="1" a="1"/>
  <c r="W21" i="1" s="1"/>
  <c r="S23" i="1" a="1"/>
  <c r="S23" i="1" s="1"/>
  <c r="T11" i="1" a="1"/>
  <c r="T11" i="1" s="1"/>
  <c r="T13" i="1" a="1"/>
  <c r="T13" i="1" s="1"/>
  <c r="G19" i="1"/>
  <c r="T18" i="1" a="1"/>
  <c r="T18" i="1" s="1"/>
  <c r="W33" i="1" a="1"/>
  <c r="W33" i="1" s="1"/>
  <c r="S16" i="1" a="1"/>
  <c r="S16" i="1" s="1"/>
  <c r="S20" i="1" a="1"/>
  <c r="S20" i="1" s="1"/>
  <c r="G33" i="1"/>
  <c r="T32" i="1" a="1"/>
  <c r="T32" i="1" s="1"/>
  <c r="W19" i="1" a="1"/>
  <c r="W19" i="1" s="1"/>
  <c r="S34" i="1" a="1"/>
  <c r="S34" i="1" s="1"/>
  <c r="G18" i="1"/>
  <c r="S25" i="1" a="1"/>
  <c r="S25" i="1" s="1"/>
  <c r="S26" i="1" a="1"/>
  <c r="S26" i="1" s="1"/>
  <c r="S9" i="1" a="1"/>
  <c r="S9" i="1" s="1"/>
  <c r="G21" i="1"/>
  <c r="S15" i="1" a="1"/>
  <c r="S15" i="1" s="1"/>
  <c r="W15" i="1" a="1"/>
  <c r="W15" i="1" s="1"/>
  <c r="T9" i="1" a="1"/>
  <c r="T9" i="1" s="1"/>
  <c r="H11" i="1"/>
  <c r="W32" i="1" a="1"/>
  <c r="W32" i="1" s="1"/>
  <c r="T34" i="1" a="1"/>
  <c r="T34" i="1" s="1"/>
  <c r="W12" i="1" a="1"/>
  <c r="W12" i="1" s="1"/>
  <c r="W9" i="1" a="1"/>
  <c r="W9" i="1" s="1"/>
  <c r="W28" i="1" a="1"/>
  <c r="W28" i="1" s="1"/>
  <c r="T22" i="1" a="1"/>
  <c r="T22" i="1" s="1"/>
  <c r="T28" i="1" a="1"/>
  <c r="T28" i="1" s="1"/>
  <c r="S31" i="1" a="1"/>
  <c r="S31" i="1" s="1"/>
  <c r="S30" i="1" a="1"/>
  <c r="S30" i="1" s="1"/>
  <c r="W18" i="1" a="1"/>
  <c r="W18" i="1" s="1"/>
  <c r="S21" i="1" a="1"/>
  <c r="S21" i="1" s="1"/>
  <c r="W8" i="1" a="1"/>
  <c r="W8" i="1" s="1"/>
  <c r="S14" i="1" a="1"/>
  <c r="S14" i="1" s="1"/>
  <c r="T14" i="1" a="1"/>
  <c r="T14" i="1" s="1"/>
  <c r="W16" i="1" a="1"/>
  <c r="W16" i="1" s="1"/>
  <c r="H13" i="1"/>
  <c r="W34" i="1" a="1"/>
  <c r="W34" i="1" s="1"/>
  <c r="W13" i="1" a="1"/>
  <c r="W13" i="1" s="1"/>
  <c r="W11" i="1" a="1"/>
  <c r="W11" i="1" s="1"/>
  <c r="S18" i="1" a="1"/>
  <c r="S18" i="1" s="1"/>
  <c r="T30" i="1" a="1"/>
  <c r="T30" i="1" s="1"/>
  <c r="W17" i="1" a="1"/>
  <c r="W17" i="1" s="1"/>
  <c r="W31" i="1" a="1"/>
  <c r="W31" i="1" s="1"/>
  <c r="S10" i="1" a="1"/>
  <c r="S10" i="1" s="1"/>
  <c r="H24" i="1"/>
  <c r="W22" i="1" a="1"/>
  <c r="W22" i="1" s="1"/>
  <c r="S24" i="1" a="1"/>
  <c r="S24" i="1" s="1"/>
  <c r="S12" i="1" a="1"/>
  <c r="S12" i="1" s="1"/>
  <c r="W10" i="1" a="1"/>
  <c r="W10" i="1" s="1"/>
  <c r="T23" i="1" a="1"/>
  <c r="T23" i="1" s="1"/>
  <c r="G27" i="1"/>
  <c r="S13" i="1" a="1"/>
  <c r="S13" i="1" s="1"/>
  <c r="T20" i="1" a="1"/>
  <c r="T20" i="1" s="1"/>
  <c r="W30" i="1" a="1"/>
  <c r="W30" i="1" s="1"/>
  <c r="T12" i="1" a="1"/>
  <c r="T12" i="1" s="1"/>
  <c r="H10" i="1"/>
  <c r="S17" i="1" a="1"/>
  <c r="S17" i="1" s="1"/>
  <c r="S28" i="1" a="1"/>
  <c r="S28" i="1" s="1"/>
  <c r="T33" i="1" a="1"/>
  <c r="T33" i="1" s="1"/>
  <c r="S27" i="1" a="1"/>
  <c r="S27" i="1" s="1"/>
  <c r="T31" i="1" a="1"/>
  <c r="T31" i="1" s="1"/>
  <c r="T27" i="1" a="1"/>
  <c r="T27" i="1" s="1"/>
  <c r="W25" i="1" a="1"/>
  <c r="W25" i="1" s="1"/>
  <c r="S11" i="1" a="1"/>
  <c r="S11" i="1" s="1"/>
  <c r="W23" i="1" a="1"/>
  <c r="W23" i="1" s="1"/>
  <c r="H23" i="1"/>
  <c r="G34" i="1"/>
  <c r="H22" i="1"/>
  <c r="G32" i="1"/>
  <c r="H12" i="1"/>
  <c r="H20" i="1"/>
  <c r="H29" i="1"/>
  <c r="H34" i="1"/>
  <c r="G30" i="1"/>
  <c r="G15" i="1"/>
  <c r="H30" i="1"/>
  <c r="G14" i="1"/>
  <c r="G24" i="1"/>
  <c r="G17" i="1"/>
  <c r="H26" i="1"/>
  <c r="H19" i="1"/>
  <c r="H21" i="1"/>
  <c r="G20" i="1"/>
  <c r="G9" i="1"/>
  <c r="H15" i="1"/>
  <c r="G11" i="1"/>
  <c r="G25" i="1"/>
  <c r="G23" i="1"/>
  <c r="H16" i="1"/>
  <c r="G16" i="1"/>
  <c r="H27" i="1"/>
  <c r="G10" i="1"/>
  <c r="H18" i="1"/>
  <c r="H17" i="1"/>
  <c r="H28" i="1"/>
  <c r="H9" i="1"/>
  <c r="G8" i="1"/>
  <c r="G26" i="1"/>
  <c r="G29" i="1"/>
  <c r="H32" i="1"/>
  <c r="H33" i="1"/>
  <c r="G31" i="1"/>
  <c r="G13" i="1"/>
  <c r="H31" i="1"/>
  <c r="H14" i="1"/>
  <c r="I16" i="1" l="1"/>
  <c r="U16" i="1"/>
  <c r="I10" i="1"/>
  <c r="U10" i="1"/>
  <c r="I20" i="1"/>
  <c r="U20" i="1"/>
  <c r="I12" i="1"/>
  <c r="U12" i="1"/>
  <c r="I13" i="1"/>
  <c r="U13" i="1"/>
  <c r="I11" i="1"/>
  <c r="U11" i="1"/>
  <c r="I23" i="1"/>
  <c r="U23" i="1"/>
  <c r="I14" i="1"/>
  <c r="U14" i="1"/>
  <c r="I34" i="1"/>
  <c r="U34" i="1"/>
  <c r="I29" i="1"/>
  <c r="U29" i="1"/>
  <c r="I22" i="1"/>
  <c r="U22" i="1"/>
  <c r="I21" i="1"/>
  <c r="U21" i="1"/>
  <c r="I19" i="1"/>
  <c r="U19" i="1"/>
  <c r="I8" i="1"/>
  <c r="U8" i="1"/>
  <c r="I9" i="1"/>
  <c r="U9" i="1"/>
  <c r="I26" i="1"/>
  <c r="U26" i="1"/>
  <c r="I28" i="1"/>
  <c r="U28" i="1"/>
  <c r="I17" i="1"/>
  <c r="U17" i="1"/>
  <c r="I18" i="1"/>
  <c r="U18" i="1"/>
  <c r="I24" i="1"/>
  <c r="U24" i="1"/>
  <c r="I30" i="1"/>
  <c r="U30" i="1"/>
  <c r="I27" i="1"/>
  <c r="U27" i="1"/>
  <c r="I31" i="1"/>
  <c r="U31" i="1"/>
  <c r="I33" i="1"/>
  <c r="U33" i="1"/>
  <c r="I15" i="1"/>
  <c r="U15" i="1"/>
  <c r="I32" i="1"/>
  <c r="U32" i="1"/>
  <c r="I36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<sst xmlns="http://schemas.openxmlformats.org/spreadsheetml/2006/main" count="448" uniqueCount="265">
  <si>
    <t>DR</t>
  </si>
  <si>
    <t>CP</t>
  </si>
  <si>
    <t>ER</t>
  </si>
  <si>
    <t>ER351</t>
  </si>
  <si>
    <t>ER945</t>
  </si>
  <si>
    <t>ER177</t>
  </si>
  <si>
    <t>DR401</t>
  </si>
  <si>
    <t>DR104</t>
  </si>
  <si>
    <t>DR869</t>
  </si>
  <si>
    <t>DR605</t>
  </si>
  <si>
    <t>DR768</t>
  </si>
  <si>
    <t>DR205</t>
  </si>
  <si>
    <t>DR824</t>
  </si>
  <si>
    <t>DR880</t>
  </si>
  <si>
    <t>DR151</t>
  </si>
  <si>
    <t>CP569</t>
  </si>
  <si>
    <t>CP791</t>
  </si>
  <si>
    <t>CP548</t>
  </si>
  <si>
    <t>ER914</t>
  </si>
  <si>
    <t>ER698</t>
  </si>
  <si>
    <t>ER753</t>
  </si>
  <si>
    <t>ER632</t>
  </si>
  <si>
    <t>ER171</t>
  </si>
  <si>
    <t>CP254</t>
  </si>
  <si>
    <t>DR751</t>
  </si>
  <si>
    <t>DR405</t>
  </si>
  <si>
    <t>DR584</t>
  </si>
  <si>
    <t>CP118</t>
  </si>
  <si>
    <t>CP891</t>
  </si>
  <si>
    <t>CP869</t>
  </si>
  <si>
    <t>Dane</t>
  </si>
  <si>
    <t>Plan</t>
  </si>
  <si>
    <t>Code</t>
  </si>
  <si>
    <t>Sales</t>
  </si>
  <si>
    <t>Is it in line with plan?</t>
  </si>
  <si>
    <t>Data</t>
  </si>
  <si>
    <t>Calculations</t>
  </si>
  <si>
    <t>Planned Sales</t>
  </si>
  <si>
    <t>Category 1</t>
  </si>
  <si>
    <t>Category 2</t>
  </si>
  <si>
    <t>product</t>
  </si>
  <si>
    <t>product1</t>
  </si>
  <si>
    <t>product2</t>
  </si>
  <si>
    <t>product3</t>
  </si>
  <si>
    <t>product4</t>
  </si>
  <si>
    <t>product5</t>
  </si>
  <si>
    <t>product6</t>
  </si>
  <si>
    <t>product7</t>
  </si>
  <si>
    <t>product8</t>
  </si>
  <si>
    <t>product9</t>
  </si>
  <si>
    <t>product10</t>
  </si>
  <si>
    <t>product11</t>
  </si>
  <si>
    <t>product12</t>
  </si>
  <si>
    <t>product13</t>
  </si>
  <si>
    <t>product14</t>
  </si>
  <si>
    <t>product15</t>
  </si>
  <si>
    <t>product16</t>
  </si>
  <si>
    <t>product17</t>
  </si>
  <si>
    <t>product18</t>
  </si>
  <si>
    <t>product19</t>
  </si>
  <si>
    <t>product20</t>
  </si>
  <si>
    <t>product21</t>
  </si>
  <si>
    <t>product22</t>
  </si>
  <si>
    <t>product23</t>
  </si>
  <si>
    <t>product24</t>
  </si>
  <si>
    <t>product25</t>
  </si>
  <si>
    <t>product26</t>
  </si>
  <si>
    <t>product27</t>
  </si>
  <si>
    <t>product28</t>
  </si>
  <si>
    <t>product29</t>
  </si>
  <si>
    <t>product30</t>
  </si>
  <si>
    <t>product31</t>
  </si>
  <si>
    <t>product32</t>
  </si>
  <si>
    <t>product33</t>
  </si>
  <si>
    <t>product34</t>
  </si>
  <si>
    <t>product35</t>
  </si>
  <si>
    <t>product36</t>
  </si>
  <si>
    <t>product37</t>
  </si>
  <si>
    <t>product38</t>
  </si>
  <si>
    <t>product39</t>
  </si>
  <si>
    <t>product40</t>
  </si>
  <si>
    <t>product41</t>
  </si>
  <si>
    <t>product42</t>
  </si>
  <si>
    <t>product43</t>
  </si>
  <si>
    <t>product44</t>
  </si>
  <si>
    <t>product45</t>
  </si>
  <si>
    <t>product46</t>
  </si>
  <si>
    <t>product47</t>
  </si>
  <si>
    <t>product48</t>
  </si>
  <si>
    <t>product49</t>
  </si>
  <si>
    <t>product50</t>
  </si>
  <si>
    <t>product51</t>
  </si>
  <si>
    <t>product52</t>
  </si>
  <si>
    <t>product53</t>
  </si>
  <si>
    <t>product54</t>
  </si>
  <si>
    <t>product55</t>
  </si>
  <si>
    <t>product56</t>
  </si>
  <si>
    <t>product57</t>
  </si>
  <si>
    <t>product58</t>
  </si>
  <si>
    <t>product59</t>
  </si>
  <si>
    <t>product60</t>
  </si>
  <si>
    <t>product61</t>
  </si>
  <si>
    <t>product62</t>
  </si>
  <si>
    <t>product63</t>
  </si>
  <si>
    <t>product64</t>
  </si>
  <si>
    <t>product65</t>
  </si>
  <si>
    <t>product66</t>
  </si>
  <si>
    <t>product67</t>
  </si>
  <si>
    <t>product68</t>
  </si>
  <si>
    <t>product69</t>
  </si>
  <si>
    <t>product70</t>
  </si>
  <si>
    <t>product71</t>
  </si>
  <si>
    <t>product72</t>
  </si>
  <si>
    <t>product73</t>
  </si>
  <si>
    <t>product74</t>
  </si>
  <si>
    <t>product75</t>
  </si>
  <si>
    <t>product76</t>
  </si>
  <si>
    <t>product77</t>
  </si>
  <si>
    <t>product78</t>
  </si>
  <si>
    <t>product79</t>
  </si>
  <si>
    <t>product80</t>
  </si>
  <si>
    <t>product81</t>
  </si>
  <si>
    <t>product82</t>
  </si>
  <si>
    <t>product83</t>
  </si>
  <si>
    <t>product84</t>
  </si>
  <si>
    <t>product85</t>
  </si>
  <si>
    <t>product86</t>
  </si>
  <si>
    <t>product87</t>
  </si>
  <si>
    <t>product88</t>
  </si>
  <si>
    <t>product89</t>
  </si>
  <si>
    <t>product90</t>
  </si>
  <si>
    <t>product91</t>
  </si>
  <si>
    <t>product92</t>
  </si>
  <si>
    <t>product93</t>
  </si>
  <si>
    <t>product94</t>
  </si>
  <si>
    <t>product95</t>
  </si>
  <si>
    <t>product96</t>
  </si>
  <si>
    <t>product97</t>
  </si>
  <si>
    <t>product98</t>
  </si>
  <si>
    <t>product99</t>
  </si>
  <si>
    <t>product100</t>
  </si>
  <si>
    <t>product101</t>
  </si>
  <si>
    <t>product102</t>
  </si>
  <si>
    <t>product103</t>
  </si>
  <si>
    <t>product104</t>
  </si>
  <si>
    <t>product105</t>
  </si>
  <si>
    <t>product106</t>
  </si>
  <si>
    <t>product107</t>
  </si>
  <si>
    <t>product108</t>
  </si>
  <si>
    <t>product109</t>
  </si>
  <si>
    <t>product110</t>
  </si>
  <si>
    <t>product111</t>
  </si>
  <si>
    <t>product112</t>
  </si>
  <si>
    <t>product113</t>
  </si>
  <si>
    <t>product114</t>
  </si>
  <si>
    <t>product115</t>
  </si>
  <si>
    <t>product116</t>
  </si>
  <si>
    <t>product117</t>
  </si>
  <si>
    <t>product118</t>
  </si>
  <si>
    <t>product119</t>
  </si>
  <si>
    <t>product120</t>
  </si>
  <si>
    <t>product121</t>
  </si>
  <si>
    <t>product122</t>
  </si>
  <si>
    <t>product123</t>
  </si>
  <si>
    <t>product124</t>
  </si>
  <si>
    <t>product125</t>
  </si>
  <si>
    <t>product126</t>
  </si>
  <si>
    <t>product127</t>
  </si>
  <si>
    <t>product128</t>
  </si>
  <si>
    <t>product129</t>
  </si>
  <si>
    <t>product130</t>
  </si>
  <si>
    <t>product131</t>
  </si>
  <si>
    <t>product132</t>
  </si>
  <si>
    <t>product133</t>
  </si>
  <si>
    <t>product134</t>
  </si>
  <si>
    <t>product135</t>
  </si>
  <si>
    <t>product136</t>
  </si>
  <si>
    <t>product137</t>
  </si>
  <si>
    <t>product138</t>
  </si>
  <si>
    <t>product139</t>
  </si>
  <si>
    <t>product140</t>
  </si>
  <si>
    <t>product141</t>
  </si>
  <si>
    <t>product142</t>
  </si>
  <si>
    <t>product143</t>
  </si>
  <si>
    <t>product144</t>
  </si>
  <si>
    <t>product145</t>
  </si>
  <si>
    <t>product146</t>
  </si>
  <si>
    <t>product147</t>
  </si>
  <si>
    <t>product148</t>
  </si>
  <si>
    <t>product149</t>
  </si>
  <si>
    <t>product150</t>
  </si>
  <si>
    <t>product151</t>
  </si>
  <si>
    <t>product152</t>
  </si>
  <si>
    <t>product153</t>
  </si>
  <si>
    <t>product154</t>
  </si>
  <si>
    <t>product155</t>
  </si>
  <si>
    <t>product156</t>
  </si>
  <si>
    <t>Number of products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</si>
  <si>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</si>
  <si>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</si>
  <si>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</si>
  <si>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</si>
  <si>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</si>
  <si>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</si>
  <si>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</si>
  <si>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</si>
  <si>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</si>
  <si>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</si>
  <si>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Last month:</t>
  </si>
  <si>
    <t>Total Sales</t>
  </si>
  <si>
    <t>November</t>
  </si>
  <si>
    <t>December</t>
  </si>
  <si>
    <t>When performing tasks, please do not change the table layout.</t>
  </si>
  <si>
    <t>Count</t>
  </si>
  <si>
    <t>Grand Total</t>
  </si>
  <si>
    <t>Sum of Sales</t>
  </si>
  <si>
    <t>Count of product</t>
  </si>
  <si>
    <t>100-199</t>
  </si>
  <si>
    <t>200-299</t>
  </si>
  <si>
    <t>300-399</t>
  </si>
  <si>
    <t>400-499</t>
  </si>
  <si>
    <t>500-599</t>
  </si>
  <si>
    <t>600-699</t>
  </si>
  <si>
    <t>700-799</t>
  </si>
  <si>
    <t>800-899</t>
  </si>
  <si>
    <t>900-999</t>
  </si>
  <si>
    <t>0-99</t>
  </si>
  <si>
    <t>Sales 2018</t>
  </si>
  <si>
    <t>Sales 2019</t>
  </si>
  <si>
    <t>Sum of Sales 2018</t>
  </si>
  <si>
    <t>Sum of Sales 2019</t>
  </si>
  <si>
    <t>2019  vs 2018</t>
  </si>
  <si>
    <t>Using the OFFSET and SUM functions please create a formula which will calculate sales from the beginning of the year to the chosen month (number of the month will be inputed in cell C8).</t>
  </si>
  <si>
    <r>
      <rPr>
        <sz val="10"/>
        <rFont val="Arial"/>
        <family val="2"/>
        <charset val="238"/>
      </rPr>
      <t xml:space="preserve">Using </t>
    </r>
    <r>
      <rPr>
        <u/>
        <sz val="10"/>
        <rFont val="Arial"/>
        <family val="2"/>
        <charset val="238"/>
      </rPr>
      <t>array formula</t>
    </r>
    <r>
      <rPr>
        <sz val="10"/>
        <rFont val="Arial"/>
        <family val="2"/>
        <charset val="238"/>
      </rPr>
      <t xml:space="preserve"> please calculate total sales for each category (do not use SUMIF or SUMIFS functions)</t>
    </r>
  </si>
  <si>
    <t>Using pivot tables please calculate sales and number of products for each 'sales range' shown in below table.</t>
  </si>
  <si>
    <r>
      <t xml:space="preserve">Please add to the pivot table </t>
    </r>
    <r>
      <rPr>
        <u/>
        <sz val="10"/>
        <rFont val="Arial"/>
        <family val="2"/>
        <charset val="238"/>
      </rPr>
      <t>percentage</t>
    </r>
    <r>
      <rPr>
        <sz val="10"/>
        <rFont val="Arial"/>
        <family val="2"/>
        <charset val="238"/>
      </rPr>
      <t xml:space="preserve"> growth for 2019 v 2018.</t>
    </r>
  </si>
  <si>
    <t>(data for pivot table)</t>
  </si>
  <si>
    <t>Row Labels</t>
  </si>
  <si>
    <t>Count of Product</t>
  </si>
  <si>
    <r>
      <t xml:space="preserve">1. </t>
    </r>
    <r>
      <rPr>
        <sz val="14"/>
        <rFont val="Arial"/>
        <family val="2"/>
      </rPr>
      <t>In table "Calculations" in column "Count" please provide the information how many times each code appeared in table "Data".</t>
    </r>
  </si>
  <si>
    <r>
      <t xml:space="preserve">2. </t>
    </r>
    <r>
      <rPr>
        <sz val="14"/>
        <rFont val="Arial"/>
        <family val="2"/>
      </rPr>
      <t>In table "Calculations" in column "Sales" please provide total sale for each code</t>
    </r>
  </si>
  <si>
    <r>
      <t xml:space="preserve">3. </t>
    </r>
    <r>
      <rPr>
        <sz val="14"/>
        <rFont val="Arial"/>
        <family val="2"/>
      </rPr>
      <t>In the Calculations table in column I, please enter “YES” if the sales reached or exeeded the target, or the difference when it is not equal.</t>
    </r>
  </si>
  <si>
    <t xml:space="preserve">Sales </t>
  </si>
  <si>
    <t>Calculated Field</t>
  </si>
  <si>
    <t>Solve Order</t>
  </si>
  <si>
    <t>Field</t>
  </si>
  <si>
    <t>Formula</t>
  </si>
  <si>
    <t>Field1</t>
  </si>
  <si>
    <t>= (('Sales 2019'-'Sales 2018')/'Sales 2018')*100</t>
  </si>
  <si>
    <t>Calculated Item</t>
  </si>
  <si>
    <t>Item</t>
  </si>
  <si>
    <t>Note:</t>
  </si>
  <si>
    <t>When a cell is updated by more than one formula,</t>
  </si>
  <si>
    <t>the value is set by the formula with the last solve order.</t>
  </si>
  <si>
    <t>To change the solve order for multiple calculated items or fields,</t>
  </si>
  <si>
    <t>on the Options tab, in the Calculations group, click Fields, Items, &amp; Sets, and then click Solve Order.</t>
  </si>
  <si>
    <t>Sum of Field2</t>
  </si>
  <si>
    <t>Count of Sales</t>
  </si>
  <si>
    <t>Count of Sales2</t>
  </si>
  <si>
    <t>Sum of Sales2</t>
  </si>
  <si>
    <t>Count of Sales3</t>
  </si>
  <si>
    <t>Sum of versusField</t>
  </si>
  <si>
    <t>Field2</t>
  </si>
  <si>
    <t>= ('Sales 2019'-'Sales 2018')/'Sales 2018'</t>
  </si>
  <si>
    <t>versusField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</si>
</sst>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0"/>
      <name val="Arial"/>
      <charset val="238"/>
    </font>
    <font>
      <b/>
      <sz val="10"/>
      <name val="Arial"/>
      <family val="2"/>
      <charset val="238"/>
    </font>
    <font>
      <sz val="8"/>
      <name val="Arial"/>
      <family val="2"/>
    </font>
    <font>
      <sz val="10"/>
      <color indexed="9"/>
      <name val="Arial"/>
      <family val="2"/>
    </font>
    <font>
      <sz val="10"/>
      <name val="Arial"/>
      <family val="2"/>
      <charset val="238"/>
    </font>
    <font>
      <u/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i/>
      <sz val="10"/>
      <name val="Arial"/>
      <charset val="238"/>
    </font>
    <font>
      <b/>
      <sz val="10"/>
      <name val="Arial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6" fillId="0" borderId="0"/>
  </cellStyleXfs>
  <cellXfs count="6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3" fontId="0" fillId="0" borderId="3" xfId="0" applyNumberFormat="1" applyBorder="1"/>
    <xf numFmtId="0" fontId="0" fillId="2" borderId="3" xfId="0" applyFill="1" applyBorder="1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3" fillId="0" borderId="0" xfId="0" applyFont="1"/>
    <xf numFmtId="0" fontId="0" fillId="3" borderId="3" xfId="0" applyFill="1" applyBorder="1"/>
    <xf numFmtId="3" fontId="0" fillId="3" borderId="3" xfId="0" applyNumberFormat="1" applyFill="1" applyBorder="1"/>
    <xf numFmtId="0" fontId="0" fillId="0" borderId="3" xfId="0" applyBorder="1" applyAlignment="1">
      <alignment horizontal="center"/>
    </xf>
    <xf numFmtId="3" fontId="0" fillId="0" borderId="0" xfId="0" applyNumberFormat="1"/>
    <xf numFmtId="3" fontId="0" fillId="0" borderId="3" xfId="0" applyNumberFormat="1" applyBorder="1" applyAlignment="1">
      <alignment horizontal="center"/>
    </xf>
    <xf numFmtId="0" fontId="4" fillId="0" borderId="0" xfId="0" applyFont="1"/>
    <xf numFmtId="0" fontId="0" fillId="3" borderId="3" xfId="0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4" xfId="0" pivotButton="1" applyBorder="1"/>
    <xf numFmtId="3" fontId="0" fillId="0" borderId="4" xfId="0" applyNumberFormat="1" applyBorder="1"/>
    <xf numFmtId="3" fontId="0" fillId="0" borderId="6" xfId="0" applyNumberFormat="1" applyBorder="1"/>
    <xf numFmtId="3" fontId="0" fillId="0" borderId="7" xfId="0" applyNumberFormat="1" applyBorder="1"/>
    <xf numFmtId="0" fontId="0" fillId="0" borderId="8" xfId="0" applyBorder="1"/>
    <xf numFmtId="0" fontId="0" fillId="0" borderId="6" xfId="0" applyBorder="1"/>
    <xf numFmtId="0" fontId="0" fillId="0" borderId="9" xfId="0" applyBorder="1"/>
    <xf numFmtId="0" fontId="0" fillId="0" borderId="7" xfId="0" applyBorder="1"/>
    <xf numFmtId="0" fontId="0" fillId="0" borderId="10" xfId="0" applyBorder="1"/>
    <xf numFmtId="0" fontId="4" fillId="0" borderId="3" xfId="0" applyFont="1" applyBorder="1"/>
    <xf numFmtId="0" fontId="6" fillId="0" borderId="0" xfId="0" applyFont="1"/>
    <xf numFmtId="0" fontId="0" fillId="2" borderId="0" xfId="0" applyFill="1"/>
    <xf numFmtId="0" fontId="0" fillId="3" borderId="0" xfId="0" applyFill="1"/>
    <xf numFmtId="0" fontId="6" fillId="3" borderId="3" xfId="0" applyFont="1" applyFill="1" applyBorder="1"/>
    <xf numFmtId="0" fontId="0" fillId="0" borderId="0" xfId="0" pivotButton="1"/>
    <xf numFmtId="3" fontId="0" fillId="0" borderId="0" xfId="0" applyNumberFormat="1" applyAlignment="1">
      <alignment horizontal="left"/>
    </xf>
    <xf numFmtId="0" fontId="4" fillId="0" borderId="0" xfId="1" applyFont="1"/>
    <xf numFmtId="0" fontId="6" fillId="0" borderId="0" xfId="1"/>
    <xf numFmtId="0" fontId="6" fillId="0" borderId="4" xfId="1" applyBorder="1"/>
    <xf numFmtId="0" fontId="6" fillId="0" borderId="11" xfId="1" applyBorder="1"/>
    <xf numFmtId="0" fontId="6" fillId="0" borderId="5" xfId="1" applyBorder="1"/>
    <xf numFmtId="0" fontId="6" fillId="0" borderId="12" xfId="1" applyBorder="1"/>
    <xf numFmtId="0" fontId="6" fillId="0" borderId="8" xfId="1" applyBorder="1"/>
    <xf numFmtId="0" fontId="6" fillId="2" borderId="3" xfId="1" applyFill="1" applyBorder="1"/>
    <xf numFmtId="0" fontId="4" fillId="2" borderId="3" xfId="1" applyFont="1" applyFill="1" applyBorder="1"/>
    <xf numFmtId="3" fontId="6" fillId="0" borderId="12" xfId="1" applyNumberFormat="1" applyBorder="1"/>
    <xf numFmtId="164" fontId="6" fillId="0" borderId="8" xfId="1" applyNumberFormat="1" applyBorder="1"/>
    <xf numFmtId="0" fontId="6" fillId="0" borderId="3" xfId="1" applyBorder="1"/>
    <xf numFmtId="3" fontId="6" fillId="0" borderId="3" xfId="1" applyNumberFormat="1" applyBorder="1"/>
    <xf numFmtId="0" fontId="6" fillId="0" borderId="6" xfId="1" applyBorder="1"/>
    <xf numFmtId="3" fontId="6" fillId="0" borderId="0" xfId="1" applyNumberFormat="1"/>
    <xf numFmtId="164" fontId="6" fillId="0" borderId="9" xfId="1" applyNumberFormat="1" applyBorder="1"/>
    <xf numFmtId="0" fontId="6" fillId="0" borderId="7" xfId="1" applyBorder="1"/>
    <xf numFmtId="3" fontId="6" fillId="0" borderId="13" xfId="1" applyNumberFormat="1" applyBorder="1"/>
    <xf numFmtId="164" fontId="6" fillId="0" borderId="10" xfId="1" applyNumberFormat="1" applyBorder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1" fillId="2" borderId="0" xfId="0" applyFont="1" applyFill="1" applyBorder="1"/>
    <xf numFmtId="0" fontId="0" fillId="0" borderId="0" xfId="0" applyBorder="1"/>
    <xf numFmtId="0" fontId="0" fillId="0" borderId="0" xfId="0" applyNumberFormat="1"/>
    <xf numFmtId="0" fontId="9" fillId="0" borderId="0" xfId="0" applyFont="1"/>
    <xf numFmtId="0" fontId="10" fillId="0" borderId="14" xfId="0" applyFont="1" applyBorder="1"/>
    <xf numFmtId="2" fontId="0" fillId="0" borderId="0" xfId="0" applyNumberFormat="1"/>
  </cellXfs>
  <cellStyles count="2">
    <cellStyle name="Normal" xfId="0" builtinId="0"/>
    <cellStyle name="Normal 2" xfId="1" xr:uid="{BA71F43A-F385-4793-9BC8-1D2A9E5C7F37}"/>
  </cellStyles>
  <dxfs count="2">
    <dxf>
      <numFmt numFmtId="2" formatCode="0.00"/>
    </dxf>
    <dxf>
      <font>
        <b/>
        <i val="0"/>
        <condense val="0"/>
        <extend val="0"/>
        <color indexed="17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Desktop/Interview%20Cracker%20-%20Copy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4198.652437500001" createdVersion="6" refreshedVersion="6" minRefreshableVersion="3" recordCount="156" xr:uid="{287BE92C-C7ED-41C9-A023-3D19DF56FA30}">
  <cacheSource type="worksheet">
    <worksheetSource ref="B4:C160" sheet="Q4"/>
  </cacheSource>
  <cacheFields count="2">
    <cacheField name="product" numFmtId="0">
      <sharedItems count="156">
        <s v="product1"/>
        <s v="product2"/>
        <s v="product3"/>
        <s v="product4"/>
        <s v="product5"/>
        <s v="product6"/>
        <s v="product7"/>
        <s v="product8"/>
        <s v="product9"/>
        <s v="product10"/>
        <s v="product11"/>
        <s v="product12"/>
        <s v="product13"/>
        <s v="product14"/>
        <s v="product15"/>
        <s v="product16"/>
        <s v="product17"/>
        <s v="product18"/>
        <s v="product19"/>
        <s v="product20"/>
        <s v="product21"/>
        <s v="product22"/>
        <s v="product23"/>
        <s v="product24"/>
        <s v="product25"/>
        <s v="product26"/>
        <s v="product27"/>
        <s v="product28"/>
        <s v="product29"/>
        <s v="product30"/>
        <s v="product31"/>
        <s v="product32"/>
        <s v="product33"/>
        <s v="product34"/>
        <s v="product35"/>
        <s v="product36"/>
        <s v="product37"/>
        <s v="product38"/>
        <s v="product39"/>
        <s v="product40"/>
        <s v="product41"/>
        <s v="product42"/>
        <s v="product43"/>
        <s v="product44"/>
        <s v="product45"/>
        <s v="product46"/>
        <s v="product47"/>
        <s v="product48"/>
        <s v="product49"/>
        <s v="product50"/>
        <s v="product51"/>
        <s v="product52"/>
        <s v="product53"/>
        <s v="product54"/>
        <s v="product55"/>
        <s v="product56"/>
        <s v="product57"/>
        <s v="product58"/>
        <s v="product59"/>
        <s v="product60"/>
        <s v="product61"/>
        <s v="product62"/>
        <s v="product63"/>
        <s v="product64"/>
        <s v="product65"/>
        <s v="product66"/>
        <s v="product67"/>
        <s v="product68"/>
        <s v="product69"/>
        <s v="product70"/>
        <s v="product71"/>
        <s v="product72"/>
        <s v="product73"/>
        <s v="product74"/>
        <s v="product75"/>
        <s v="product76"/>
        <s v="product77"/>
        <s v="product78"/>
        <s v="product79"/>
        <s v="product80"/>
        <s v="product81"/>
        <s v="product82"/>
        <s v="product83"/>
        <s v="product84"/>
        <s v="product85"/>
        <s v="product86"/>
        <s v="product87"/>
        <s v="product88"/>
        <s v="product89"/>
        <s v="product90"/>
        <s v="product91"/>
        <s v="product92"/>
        <s v="product93"/>
        <s v="product94"/>
        <s v="product95"/>
        <s v="product96"/>
        <s v="product97"/>
        <s v="product98"/>
        <s v="product99"/>
        <s v="product100"/>
        <s v="product101"/>
        <s v="product102"/>
        <s v="product103"/>
        <s v="product104"/>
        <s v="product105"/>
        <s v="product106"/>
        <s v="product107"/>
        <s v="product108"/>
        <s v="product109"/>
        <s v="product110"/>
        <s v="product111"/>
        <s v="product112"/>
        <s v="product113"/>
        <s v="product114"/>
        <s v="product115"/>
        <s v="product116"/>
        <s v="product117"/>
        <s v="product118"/>
        <s v="product119"/>
        <s v="product120"/>
        <s v="product121"/>
        <s v="product122"/>
        <s v="product123"/>
        <s v="product124"/>
        <s v="product125"/>
        <s v="product126"/>
        <s v="product127"/>
        <s v="product128"/>
        <s v="product129"/>
        <s v="product130"/>
        <s v="product131"/>
        <s v="product132"/>
        <s v="product133"/>
        <s v="product134"/>
        <s v="product135"/>
        <s v="product136"/>
        <s v="product137"/>
        <s v="product138"/>
        <s v="product139"/>
        <s v="product140"/>
        <s v="product141"/>
        <s v="product142"/>
        <s v="product143"/>
        <s v="product144"/>
        <s v="product145"/>
        <s v="product146"/>
        <s v="product147"/>
        <s v="product148"/>
        <s v="product149"/>
        <s v="product150"/>
        <s v="product151"/>
        <s v="product152"/>
        <s v="product153"/>
        <s v="product154"/>
        <s v="product155"/>
        <s v="product156"/>
      </sharedItems>
    </cacheField>
    <cacheField name="Sales" numFmtId="3">
      <sharedItems containsSemiMixedTypes="0" containsString="0" containsNumber="1" containsInteger="1" minValue="9" maxValue="997" count="146">
        <n v="573"/>
        <n v="119"/>
        <n v="927"/>
        <n v="727"/>
        <n v="712"/>
        <n v="652"/>
        <n v="458"/>
        <n v="207"/>
        <n v="424"/>
        <n v="63"/>
        <n v="561"/>
        <n v="732"/>
        <n v="606"/>
        <n v="613"/>
        <n v="43"/>
        <n v="952"/>
        <n v="950"/>
        <n v="276"/>
        <n v="830"/>
        <n v="313"/>
        <n v="68"/>
        <n v="939"/>
        <n v="754"/>
        <n v="434"/>
        <n v="894"/>
        <n v="702"/>
        <n v="995"/>
        <n v="83"/>
        <n v="966"/>
        <n v="925"/>
        <n v="407"/>
        <n v="497"/>
        <n v="131"/>
        <n v="244"/>
        <n v="250"/>
        <n v="365"/>
        <n v="238"/>
        <n v="491"/>
        <n v="152"/>
        <n v="981"/>
        <n v="809"/>
        <n v="79"/>
        <n v="347"/>
        <n v="983"/>
        <n v="773"/>
        <n v="621"/>
        <n v="874"/>
        <n v="807"/>
        <n v="135"/>
        <n v="670"/>
        <n v="494"/>
        <n v="997"/>
        <n v="176"/>
        <n v="455"/>
        <n v="211"/>
        <n v="44"/>
        <n v="876"/>
        <n v="665"/>
        <n v="970"/>
        <n v="413"/>
        <n v="651"/>
        <n v="787"/>
        <n v="448"/>
        <n v="772"/>
        <n v="518"/>
        <n v="608"/>
        <n v="155"/>
        <n v="820"/>
        <n v="624"/>
        <n v="344"/>
        <n v="309"/>
        <n v="742"/>
        <n v="511"/>
        <n v="348"/>
        <n v="583"/>
        <n v="726"/>
        <n v="597"/>
        <n v="586"/>
        <n v="882"/>
        <n v="871"/>
        <n v="227"/>
        <n v="863"/>
        <n v="64"/>
        <n v="22"/>
        <n v="675"/>
        <n v="35"/>
        <n v="408"/>
        <n v="21"/>
        <n v="478"/>
        <n v="982"/>
        <n v="352"/>
        <n v="205"/>
        <n v="233"/>
        <n v="330"/>
        <n v="877"/>
        <n v="913"/>
        <n v="916"/>
        <n v="851"/>
        <n v="974"/>
        <n v="532"/>
        <n v="587"/>
        <n v="502"/>
        <n v="595"/>
        <n v="106"/>
        <n v="523"/>
        <n v="625"/>
        <n v="701"/>
        <n v="722"/>
        <n v="715"/>
        <n v="78"/>
        <n v="239"/>
        <n v="285"/>
        <n v="355"/>
        <n v="947"/>
        <n v="332"/>
        <n v="852"/>
        <n v="479"/>
        <n v="401"/>
        <n v="800"/>
        <n v="594"/>
        <n v="9"/>
        <n v="730"/>
        <n v="49"/>
        <n v="948"/>
        <n v="431"/>
        <n v="614"/>
        <n v="782"/>
        <n v="385"/>
        <n v="382"/>
        <n v="562"/>
        <n v="58"/>
        <n v="33"/>
        <n v="698"/>
        <n v="363"/>
        <n v="844"/>
        <n v="924"/>
        <n v="111"/>
        <n v="609"/>
        <n v="645"/>
        <n v="219"/>
        <n v="257"/>
        <n v="442"/>
        <n v="277"/>
        <n v="845"/>
        <n v="815"/>
        <n v="360"/>
      </sharedItems>
      <fieldGroup base="1">
        <rangePr autoStart="0" autoEnd="0" startNum="0" endNum="999" groupInterval="100"/>
        <groupItems count="12">
          <s v="&lt;0"/>
          <s v="0-99"/>
          <s v="100-199"/>
          <s v="200-299"/>
          <s v="300-399"/>
          <s v="400-499"/>
          <s v="500-599"/>
          <s v="600-699"/>
          <s v="700-799"/>
          <s v="800-899"/>
          <s v="900-999"/>
          <s v="&gt;10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zemyslaw Szyperski" refreshedDate="43647.67222951389" createdVersion="1" refreshedVersion="4" recordCount="10" upgradeOnRefresh="1" xr:uid="{F1EEA5D6-1BA8-4354-A01F-CDA034B5A5CE}">
  <cacheSource type="worksheet">
    <worksheetSource ref="M5:O15" sheet="Q5" r:id="rId2"/>
  </cacheSource>
  <cacheFields count="4">
    <cacheField name="product" numFmtId="0">
      <sharedItems count="10">
        <s v="product1"/>
        <s v="product2"/>
        <s v="product3"/>
        <s v="product4"/>
        <s v="product5"/>
        <s v="product6"/>
        <s v="product7"/>
        <s v="product8"/>
        <s v="product9"/>
        <s v="product10"/>
      </sharedItems>
    </cacheField>
    <cacheField name="Sales 2018" numFmtId="0">
      <sharedItems containsSemiMixedTypes="0" containsString="0" containsNumber="1" containsInteger="1" minValue="63" maxValue="927"/>
    </cacheField>
    <cacheField name="Sales 2019" numFmtId="0">
      <sharedItems containsSemiMixedTypes="0" containsString="0" containsNumber="1" minValue="51.506376127922877" maxValue="1037.2776666489447"/>
    </cacheField>
    <cacheField name="change" numFmtId="0" formula="'Sales 2019'/'Sales 2018'-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rsewak Singh" refreshedDate="45231.833102893521" createdVersion="8" refreshedVersion="8" minRefreshableVersion="3" recordCount="10" xr:uid="{7EE3972C-DE68-4157-BCE6-D69935789A4D}">
  <cacheSource type="worksheet">
    <worksheetSource ref="M5:O15" sheet="Q5"/>
  </cacheSource>
  <cacheFields count="6">
    <cacheField name="product" numFmtId="0">
      <sharedItems count="10">
        <s v="product1"/>
        <s v="product2"/>
        <s v="product3"/>
        <s v="product4"/>
        <s v="product5"/>
        <s v="product6"/>
        <s v="product7"/>
        <s v="product8"/>
        <s v="product9"/>
        <s v="product10"/>
      </sharedItems>
    </cacheField>
    <cacheField name="Sales 2018" numFmtId="3">
      <sharedItems containsSemiMixedTypes="0" containsString="0" containsNumber="1" containsInteger="1" minValue="63" maxValue="927" count="10">
        <n v="573"/>
        <n v="119"/>
        <n v="927"/>
        <n v="727"/>
        <n v="712"/>
        <n v="652"/>
        <n v="458"/>
        <n v="207"/>
        <n v="424"/>
        <n v="63"/>
      </sharedItems>
    </cacheField>
    <cacheField name="Sales 2019" numFmtId="3">
      <sharedItems containsSemiMixedTypes="0" containsString="0" containsNumber="1" minValue="51.506376127922877" maxValue="1037.2776666489447" count="10">
        <n v="604.2502993096291"/>
        <n v="51.506376127922877"/>
        <n v="353.42333399712027"/>
        <n v="336.20745247727496"/>
        <n v="494.14316525716492"/>
        <n v="561.29469154003323"/>
        <n v="519.80172577278699"/>
        <n v="149.3080132437529"/>
        <n v="1037.2776666489447"/>
        <n v="299.1744885455696"/>
      </sharedItems>
    </cacheField>
    <cacheField name="Field1" numFmtId="0" formula=" (('Sales 2019'-'Sales 2018')/'Sales 2018')*100" databaseField="0"/>
    <cacheField name="Field2" numFmtId="0" formula=" ('Sales 2019'-'Sales 2018')/'Sales 2018'" databaseField="0"/>
    <cacheField name="versusField" numFmtId="0" formula=" (('Sales 2019'-'Sales 2018') /'Sales 2018')*1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  <r>
    <x v="11"/>
    <x v="11"/>
  </r>
  <r>
    <x v="12"/>
    <x v="1"/>
  </r>
  <r>
    <x v="13"/>
    <x v="12"/>
  </r>
  <r>
    <x v="14"/>
    <x v="13"/>
  </r>
  <r>
    <x v="15"/>
    <x v="14"/>
  </r>
  <r>
    <x v="16"/>
    <x v="15"/>
  </r>
  <r>
    <x v="17"/>
    <x v="16"/>
  </r>
  <r>
    <x v="18"/>
    <x v="17"/>
  </r>
  <r>
    <x v="19"/>
    <x v="18"/>
  </r>
  <r>
    <x v="20"/>
    <x v="19"/>
  </r>
  <r>
    <x v="21"/>
    <x v="8"/>
  </r>
  <r>
    <x v="22"/>
    <x v="20"/>
  </r>
  <r>
    <x v="23"/>
    <x v="21"/>
  </r>
  <r>
    <x v="24"/>
    <x v="22"/>
  </r>
  <r>
    <x v="25"/>
    <x v="12"/>
  </r>
  <r>
    <x v="26"/>
    <x v="23"/>
  </r>
  <r>
    <x v="27"/>
    <x v="24"/>
  </r>
  <r>
    <x v="28"/>
    <x v="25"/>
  </r>
  <r>
    <x v="29"/>
    <x v="26"/>
  </r>
  <r>
    <x v="30"/>
    <x v="27"/>
  </r>
  <r>
    <x v="31"/>
    <x v="28"/>
  </r>
  <r>
    <x v="32"/>
    <x v="29"/>
  </r>
  <r>
    <x v="33"/>
    <x v="30"/>
  </r>
  <r>
    <x v="34"/>
    <x v="31"/>
  </r>
  <r>
    <x v="35"/>
    <x v="32"/>
  </r>
  <r>
    <x v="36"/>
    <x v="33"/>
  </r>
  <r>
    <x v="37"/>
    <x v="34"/>
  </r>
  <r>
    <x v="38"/>
    <x v="35"/>
  </r>
  <r>
    <x v="39"/>
    <x v="36"/>
  </r>
  <r>
    <x v="40"/>
    <x v="37"/>
  </r>
  <r>
    <x v="41"/>
    <x v="38"/>
  </r>
  <r>
    <x v="42"/>
    <x v="39"/>
  </r>
  <r>
    <x v="43"/>
    <x v="17"/>
  </r>
  <r>
    <x v="44"/>
    <x v="40"/>
  </r>
  <r>
    <x v="45"/>
    <x v="41"/>
  </r>
  <r>
    <x v="46"/>
    <x v="42"/>
  </r>
  <r>
    <x v="47"/>
    <x v="43"/>
  </r>
  <r>
    <x v="48"/>
    <x v="44"/>
  </r>
  <r>
    <x v="49"/>
    <x v="45"/>
  </r>
  <r>
    <x v="50"/>
    <x v="46"/>
  </r>
  <r>
    <x v="51"/>
    <x v="47"/>
  </r>
  <r>
    <x v="52"/>
    <x v="48"/>
  </r>
  <r>
    <x v="53"/>
    <x v="49"/>
  </r>
  <r>
    <x v="54"/>
    <x v="50"/>
  </r>
  <r>
    <x v="55"/>
    <x v="51"/>
  </r>
  <r>
    <x v="56"/>
    <x v="52"/>
  </r>
  <r>
    <x v="57"/>
    <x v="53"/>
  </r>
  <r>
    <x v="58"/>
    <x v="54"/>
  </r>
  <r>
    <x v="59"/>
    <x v="55"/>
  </r>
  <r>
    <x v="60"/>
    <x v="56"/>
  </r>
  <r>
    <x v="61"/>
    <x v="57"/>
  </r>
  <r>
    <x v="62"/>
    <x v="58"/>
  </r>
  <r>
    <x v="63"/>
    <x v="59"/>
  </r>
  <r>
    <x v="64"/>
    <x v="60"/>
  </r>
  <r>
    <x v="65"/>
    <x v="61"/>
  </r>
  <r>
    <x v="66"/>
    <x v="62"/>
  </r>
  <r>
    <x v="67"/>
    <x v="63"/>
  </r>
  <r>
    <x v="68"/>
    <x v="64"/>
  </r>
  <r>
    <x v="69"/>
    <x v="65"/>
  </r>
  <r>
    <x v="70"/>
    <x v="66"/>
  </r>
  <r>
    <x v="71"/>
    <x v="67"/>
  </r>
  <r>
    <x v="72"/>
    <x v="68"/>
  </r>
  <r>
    <x v="73"/>
    <x v="69"/>
  </r>
  <r>
    <x v="74"/>
    <x v="70"/>
  </r>
  <r>
    <x v="75"/>
    <x v="71"/>
  </r>
  <r>
    <x v="76"/>
    <x v="72"/>
  </r>
  <r>
    <x v="77"/>
    <x v="73"/>
  </r>
  <r>
    <x v="78"/>
    <x v="74"/>
  </r>
  <r>
    <x v="79"/>
    <x v="75"/>
  </r>
  <r>
    <x v="80"/>
    <x v="76"/>
  </r>
  <r>
    <x v="81"/>
    <x v="77"/>
  </r>
  <r>
    <x v="82"/>
    <x v="78"/>
  </r>
  <r>
    <x v="83"/>
    <x v="79"/>
  </r>
  <r>
    <x v="84"/>
    <x v="80"/>
  </r>
  <r>
    <x v="85"/>
    <x v="81"/>
  </r>
  <r>
    <x v="86"/>
    <x v="82"/>
  </r>
  <r>
    <x v="87"/>
    <x v="83"/>
  </r>
  <r>
    <x v="88"/>
    <x v="84"/>
  </r>
  <r>
    <x v="89"/>
    <x v="85"/>
  </r>
  <r>
    <x v="90"/>
    <x v="86"/>
  </r>
  <r>
    <x v="91"/>
    <x v="87"/>
  </r>
  <r>
    <x v="92"/>
    <x v="88"/>
  </r>
  <r>
    <x v="93"/>
    <x v="47"/>
  </r>
  <r>
    <x v="94"/>
    <x v="89"/>
  </r>
  <r>
    <x v="95"/>
    <x v="90"/>
  </r>
  <r>
    <x v="96"/>
    <x v="91"/>
  </r>
  <r>
    <x v="97"/>
    <x v="92"/>
  </r>
  <r>
    <x v="98"/>
    <x v="93"/>
  </r>
  <r>
    <x v="99"/>
    <x v="94"/>
  </r>
  <r>
    <x v="100"/>
    <x v="95"/>
  </r>
  <r>
    <x v="101"/>
    <x v="96"/>
  </r>
  <r>
    <x v="102"/>
    <x v="97"/>
  </r>
  <r>
    <x v="103"/>
    <x v="98"/>
  </r>
  <r>
    <x v="104"/>
    <x v="12"/>
  </r>
  <r>
    <x v="105"/>
    <x v="99"/>
  </r>
  <r>
    <x v="106"/>
    <x v="100"/>
  </r>
  <r>
    <x v="107"/>
    <x v="101"/>
  </r>
  <r>
    <x v="108"/>
    <x v="102"/>
  </r>
  <r>
    <x v="109"/>
    <x v="103"/>
  </r>
  <r>
    <x v="110"/>
    <x v="104"/>
  </r>
  <r>
    <x v="111"/>
    <x v="19"/>
  </r>
  <r>
    <x v="112"/>
    <x v="105"/>
  </r>
  <r>
    <x v="113"/>
    <x v="106"/>
  </r>
  <r>
    <x v="114"/>
    <x v="107"/>
  </r>
  <r>
    <x v="115"/>
    <x v="108"/>
  </r>
  <r>
    <x v="116"/>
    <x v="109"/>
  </r>
  <r>
    <x v="117"/>
    <x v="110"/>
  </r>
  <r>
    <x v="118"/>
    <x v="111"/>
  </r>
  <r>
    <x v="119"/>
    <x v="112"/>
  </r>
  <r>
    <x v="120"/>
    <x v="103"/>
  </r>
  <r>
    <x v="121"/>
    <x v="113"/>
  </r>
  <r>
    <x v="122"/>
    <x v="114"/>
  </r>
  <r>
    <x v="123"/>
    <x v="115"/>
  </r>
  <r>
    <x v="124"/>
    <x v="116"/>
  </r>
  <r>
    <x v="125"/>
    <x v="117"/>
  </r>
  <r>
    <x v="126"/>
    <x v="118"/>
  </r>
  <r>
    <x v="127"/>
    <x v="119"/>
  </r>
  <r>
    <x v="128"/>
    <x v="120"/>
  </r>
  <r>
    <x v="129"/>
    <x v="121"/>
  </r>
  <r>
    <x v="130"/>
    <x v="122"/>
  </r>
  <r>
    <x v="131"/>
    <x v="123"/>
  </r>
  <r>
    <x v="132"/>
    <x v="124"/>
  </r>
  <r>
    <x v="133"/>
    <x v="125"/>
  </r>
  <r>
    <x v="134"/>
    <x v="126"/>
  </r>
  <r>
    <x v="135"/>
    <x v="127"/>
  </r>
  <r>
    <x v="136"/>
    <x v="128"/>
  </r>
  <r>
    <x v="137"/>
    <x v="129"/>
  </r>
  <r>
    <x v="138"/>
    <x v="130"/>
  </r>
  <r>
    <x v="139"/>
    <x v="131"/>
  </r>
  <r>
    <x v="140"/>
    <x v="132"/>
  </r>
  <r>
    <x v="141"/>
    <x v="133"/>
  </r>
  <r>
    <x v="142"/>
    <x v="28"/>
  </r>
  <r>
    <x v="143"/>
    <x v="134"/>
  </r>
  <r>
    <x v="144"/>
    <x v="135"/>
  </r>
  <r>
    <x v="145"/>
    <x v="136"/>
  </r>
  <r>
    <x v="146"/>
    <x v="137"/>
  </r>
  <r>
    <x v="147"/>
    <x v="138"/>
  </r>
  <r>
    <x v="148"/>
    <x v="139"/>
  </r>
  <r>
    <x v="149"/>
    <x v="54"/>
  </r>
  <r>
    <x v="150"/>
    <x v="140"/>
  </r>
  <r>
    <x v="151"/>
    <x v="141"/>
  </r>
  <r>
    <x v="152"/>
    <x v="142"/>
  </r>
  <r>
    <x v="153"/>
    <x v="143"/>
  </r>
  <r>
    <x v="154"/>
    <x v="144"/>
  </r>
  <r>
    <x v="155"/>
    <x v="14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573"/>
    <n v="604.2502993096291"/>
  </r>
  <r>
    <x v="1"/>
    <n v="119"/>
    <n v="51.506376127922877"/>
  </r>
  <r>
    <x v="2"/>
    <n v="927"/>
    <n v="353.42333399712027"/>
  </r>
  <r>
    <x v="3"/>
    <n v="727"/>
    <n v="336.20745247727496"/>
  </r>
  <r>
    <x v="4"/>
    <n v="712"/>
    <n v="494.14316525716492"/>
  </r>
  <r>
    <x v="5"/>
    <n v="652"/>
    <n v="561.29469154003323"/>
  </r>
  <r>
    <x v="6"/>
    <n v="458"/>
    <n v="519.80172577278699"/>
  </r>
  <r>
    <x v="7"/>
    <n v="207"/>
    <n v="149.3080132437529"/>
  </r>
  <r>
    <x v="8"/>
    <n v="424"/>
    <n v="1037.2776666489447"/>
  </r>
  <r>
    <x v="9"/>
    <n v="63"/>
    <n v="299.174488545569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  <r>
    <x v="5"/>
    <x v="5"/>
    <x v="5"/>
  </r>
  <r>
    <x v="6"/>
    <x v="6"/>
    <x v="6"/>
  </r>
  <r>
    <x v="7"/>
    <x v="7"/>
    <x v="7"/>
  </r>
  <r>
    <x v="8"/>
    <x v="8"/>
    <x v="8"/>
  </r>
  <r>
    <x v="9"/>
    <x v="9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988FC1-A0F7-4800-81DC-A29F7EC159A3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E31:G42" firstHeaderRow="0" firstDataRow="1" firstDataCol="1"/>
  <pivotFields count="2">
    <pivotField showAll="0"/>
    <pivotField axis="axisRow" dataField="1" numFmtId="3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ales" fld="1" subtotal="count" baseField="0" baseItem="0"/>
    <dataField name="Sum of Sales2" fld="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ACBC4C-DF41-49B0-95C7-576DC147D207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O4:Q15" firstHeaderRow="0" firstDataRow="1" firstDataCol="1"/>
  <pivotFields count="2">
    <pivotField dataField="1" showAll="0"/>
    <pivotField axis="axisRow" dataField="1" numFmtId="3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1" baseItem="5" numFmtId="3"/>
    <dataField name="Count of produc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384753-2C2C-4210-88F4-F8BEAA919D60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J24:L35" firstHeaderRow="0" firstDataRow="1" firstDataCol="1"/>
  <pivotFields count="2">
    <pivotField dataField="1" showAll="0"/>
    <pivotField axis="axisRow" dataField="1" numFmtId="3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 " fld="1" baseField="1" baseItem="6"/>
    <dataField name="Count of produc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65B1B6-D554-42A1-A55E-091F597519A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E16:F27" firstHeaderRow="1" firstDataRow="1" firstDataCol="1"/>
  <pivotFields count="2">
    <pivotField showAll="0"/>
    <pivotField axis="axisRow" dataField="1" numFmtId="3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Produc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182C5D-DA65-4A3B-99AA-1D795456DE1E}" name="PivotTable7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5:V16" firstHeaderRow="0" firstDataRow="1" firstDataCol="1"/>
  <pivotFields count="6">
    <pivotField axis="axisRow" showAll="0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dataField="1" numFmtId="3" showAll="0"/>
    <pivotField dataField="1" numFmtId="3"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 2018" fld="1" baseField="0" baseItem="0" numFmtId="3"/>
    <dataField name="Sum of Sales 2019" fld="2" baseField="0" baseItem="0" numFmtId="3"/>
    <dataField name="Sum of versusField" fld="5" baseField="0" baseItem="0" numFmtId="3"/>
  </dataFields>
  <formats count="1">
    <format dxfId="0">
      <pivotArea collapsedLevelsAreSubtotals="1" fieldPosition="0">
        <references count="2">
          <reference field="4294967294" count="1" selected="0">
            <x v="2"/>
          </reference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FF23D5-A732-4492-BE85-E4266F5BEBB5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B21:D22" firstHeaderRow="0" firstDataRow="1" firstDataCol="0"/>
  <pivotFields count="2">
    <pivotField showAll="0">
      <items count="157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dataField="1" numFmtId="3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ount of Sales" fld="1" subtotal="count" baseField="0" baseItem="0"/>
    <dataField name="Count of Sales2" fld="1" subtotal="count" baseField="0" baseItem="0"/>
    <dataField name="Count of Sales3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184ECC-8E4C-49EF-A101-E87BA2F8B2AB}" name="Tabela przestawna2" cacheId="1" applyNumberFormats="0" applyBorderFormats="0" applyFontFormats="0" applyPatternFormats="0" applyAlignmentFormats="0" applyWidthHeightFormats="1" dataCaption="Dane" updatedVersion="6" showMemberPropertyTips="0" useAutoFormatting="1" itemPrintTitles="1" createdVersion="1" indent="0" compact="0" compactData="0" gridDropZones="1">
  <location ref="B4:E16" firstHeaderRow="1" firstDataRow="2" firstDataCol="1"/>
  <pivotFields count="4">
    <pivotField axis="axisRow" compact="0" outline="0" subtotalTop="0" showAll="0" includeNewItemsInFilter="1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numFmtId="3" outline="0" subtotalTop="0" showAll="0" includeNewItemsInFilter="1" defaultSubtotal="0"/>
    <pivotField dataField="1" compact="0" numFmtId="3" outline="0" subtotalTop="0" showAll="0" includeNewItemsInFilter="1" defaultSubtotal="0"/>
    <pivotField dataField="1" compact="0" outline="0" subtotalTop="0" dragToRow="0" dragToCol="0" dragToPage="0" showAll="0" includeNewItemsInFilter="1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 2018" fld="1" baseField="0" baseItem="0"/>
    <dataField name="Sum of Sales 2019" fld="2" baseField="0" baseItem="0" numFmtId="3"/>
    <dataField name="2019  vs 2018" fld="3" baseField="0" baseItem="0" numFmtId="164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E28F2C-1DFA-4FFB-A16A-C31EB9846B80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0:L31" firstHeaderRow="0" firstDataRow="1" firstDataCol="1"/>
  <pivotFields count="6">
    <pivotField axis="axisRow" showAll="0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dataField="1" numFmtId="3" showAll="0">
      <items count="11">
        <item x="9"/>
        <item x="1"/>
        <item x="7"/>
        <item x="8"/>
        <item x="6"/>
        <item x="0"/>
        <item x="5"/>
        <item x="4"/>
        <item x="3"/>
        <item x="2"/>
        <item t="default"/>
      </items>
    </pivotField>
    <pivotField dataField="1" numFmtId="3" showAll="0">
      <items count="11">
        <item x="1"/>
        <item x="7"/>
        <item x="9"/>
        <item x="3"/>
        <item x="2"/>
        <item x="4"/>
        <item x="6"/>
        <item x="5"/>
        <item x="0"/>
        <item x="8"/>
        <item t="default"/>
      </items>
    </pivotField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 2018" fld="1" baseField="0" baseItem="0"/>
    <dataField name="Sum of Sales 2019" fld="2" baseField="0" baseItem="0"/>
    <dataField name="Sum of Field2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W47"/>
  <sheetViews>
    <sheetView showGridLines="0" workbookViewId="0">
      <pane ySplit="4" topLeftCell="A5" activePane="bottomLeft" state="frozen"/>
      <selection pane="bottomLeft" activeCell="P8" sqref="P8:P34"/>
    </sheetView>
  </sheetViews>
  <sheetFormatPr defaultRowHeight="13.2" x14ac:dyDescent="0.25"/>
  <cols>
    <col min="1" max="1" width="6.44140625" bestFit="1" customWidth="1"/>
    <col min="2" max="2" width="3" customWidth="1"/>
    <col min="3" max="3" width="4" bestFit="1" customWidth="1"/>
    <col min="5" max="5" width="6.109375" customWidth="1"/>
    <col min="6" max="6" width="7.33203125" customWidth="1"/>
    <col min="7" max="8" width="11.33203125" customWidth="1"/>
    <col min="9" max="9" width="20" customWidth="1"/>
    <col min="10" max="10" width="6.109375" customWidth="1"/>
    <col min="12" max="12" width="20.109375" bestFit="1" customWidth="1"/>
    <col min="13" max="16" width="20.109375" customWidth="1"/>
    <col min="20" max="20" width="14.6640625" bestFit="1" customWidth="1"/>
  </cols>
  <sheetData>
    <row r="1" spans="1:23" ht="17.399999999999999" x14ac:dyDescent="0.3">
      <c r="B1" s="55" t="s">
        <v>212</v>
      </c>
    </row>
    <row r="2" spans="1:23" ht="17.399999999999999" x14ac:dyDescent="0.3">
      <c r="B2" s="56" t="s">
        <v>239</v>
      </c>
    </row>
    <row r="3" spans="1:23" ht="17.399999999999999" x14ac:dyDescent="0.3">
      <c r="B3" s="56" t="s">
        <v>240</v>
      </c>
    </row>
    <row r="4" spans="1:23" ht="17.399999999999999" x14ac:dyDescent="0.3">
      <c r="B4" s="56" t="s">
        <v>241</v>
      </c>
    </row>
    <row r="6" spans="1:23" s="6" customFormat="1" x14ac:dyDescent="0.25">
      <c r="B6" s="6" t="s">
        <v>35</v>
      </c>
      <c r="F6" s="6" t="s">
        <v>36</v>
      </c>
      <c r="K6" s="6" t="s">
        <v>31</v>
      </c>
    </row>
    <row r="7" spans="1:23" s="6" customFormat="1" x14ac:dyDescent="0.25">
      <c r="B7" s="7" t="s">
        <v>32</v>
      </c>
      <c r="C7" s="8"/>
      <c r="D7" s="9" t="s">
        <v>33</v>
      </c>
      <c r="F7" s="9" t="s">
        <v>32</v>
      </c>
      <c r="G7" s="9" t="s">
        <v>213</v>
      </c>
      <c r="H7" s="9" t="s">
        <v>33</v>
      </c>
      <c r="I7" s="9" t="s">
        <v>34</v>
      </c>
      <c r="K7" s="9" t="s">
        <v>32</v>
      </c>
      <c r="L7" s="9" t="s">
        <v>37</v>
      </c>
      <c r="M7" s="59"/>
      <c r="N7" s="59"/>
      <c r="O7" s="59"/>
      <c r="P7" s="59"/>
    </row>
    <row r="8" spans="1:23" x14ac:dyDescent="0.25">
      <c r="A8" s="16" t="str">
        <f>B8&amp;C8</f>
        <v>DR880</v>
      </c>
      <c r="B8" s="1" t="s">
        <v>0</v>
      </c>
      <c r="C8" s="2">
        <v>880</v>
      </c>
      <c r="D8" s="4">
        <v>1875</v>
      </c>
      <c r="F8" s="3" t="s">
        <v>3</v>
      </c>
      <c r="G8" s="17">
        <f>COUNTIF($A$8:$A$47,F8)</f>
        <v>1</v>
      </c>
      <c r="H8" s="12">
        <f>SUMIF($A$8:$A$47,F8,$D$8:$D$47)</f>
        <v>3582</v>
      </c>
      <c r="I8" s="33" t="str">
        <f>IF(VLOOKUP(F8,$K$8:$L$34,2,0)&gt;H8,H8-VLOOKUP(F8,$K$8:$L$34,2,0),"Yes")</f>
        <v>Yes</v>
      </c>
      <c r="K8" s="3" t="s">
        <v>12</v>
      </c>
      <c r="L8" s="3">
        <v>5639</v>
      </c>
      <c r="M8" s="60"/>
      <c r="N8" s="60" cm="1">
        <f t="array" ref="N8">SUM(--(($B$8:$B$47&amp;$C$8:$C$47)=F8))</f>
        <v>1</v>
      </c>
      <c r="O8" s="60" cm="1">
        <f t="array" ref="O8">SUM((--(($B$8:$B$47&amp;$C$8:$C$47)=F8))*$D$8:$D$47)</f>
        <v>3582</v>
      </c>
      <c r="P8" s="60" t="str">
        <f>_xlfn.LET(_xlpm.a, VLOOKUP(F8,$K$8:$L$34,2,0),IF(O8&gt;=_xlpm.a, "YES", O8-_xlpm.a))</f>
        <v>YES</v>
      </c>
      <c r="S8" cm="1">
        <f t="array" ref="S8">SUM(IF(F8=$B$8:$B$47&amp;$C$8:$C$47, 1,0))</f>
        <v>1</v>
      </c>
      <c r="T8" cm="1">
        <f t="array" ref="T8">SUM(IF(F8=$B$8:$B$47&amp;$C$8:$C$47, $D$8:$D$47,0))</f>
        <v>3582</v>
      </c>
      <c r="U8" t="str">
        <f>IF(H8&gt;=VLOOKUP(F8,$K$8:$L$34,2,0),"Yes",H8-VLOOKUP(F8,$K$8:$L$34,2,0))</f>
        <v>Yes</v>
      </c>
      <c r="W8" cm="1">
        <f t="array" ref="W8">SUM(--($B$8:$B$47&amp;$C$8:$C$47=F8))</f>
        <v>1</v>
      </c>
    </row>
    <row r="9" spans="1:23" x14ac:dyDescent="0.25">
      <c r="A9" s="16" t="str">
        <f t="shared" ref="A9:A47" si="0">B9&amp;C9</f>
        <v>DR880</v>
      </c>
      <c r="B9" s="1" t="str">
        <f>B8</f>
        <v>DR</v>
      </c>
      <c r="C9" s="2">
        <f>C8</f>
        <v>880</v>
      </c>
      <c r="D9" s="4">
        <v>870</v>
      </c>
      <c r="F9" s="3" t="s">
        <v>4</v>
      </c>
      <c r="G9" s="17">
        <f t="shared" ref="G9:G34" si="1">COUNTIF($A$8:$A$47,F9)</f>
        <v>2</v>
      </c>
      <c r="H9" s="12">
        <f t="shared" ref="H9:H34" si="2">SUMIF($A$8:$A$47,F9,$D$8:$D$47)</f>
        <v>6332</v>
      </c>
      <c r="I9" s="33" t="str">
        <f t="shared" ref="I9:I34" si="3">IF(VLOOKUP(F9,$K$8:$L$34,2,0)&gt;H9,H9-VLOOKUP(F9,$K$8:$L$34,2,0),"Yes")</f>
        <v>Yes</v>
      </c>
      <c r="K9" s="3" t="s">
        <v>6</v>
      </c>
      <c r="L9" s="3">
        <v>295</v>
      </c>
      <c r="M9" s="60"/>
      <c r="N9" s="60" cm="1">
        <f t="array" ref="N9">SUM(--(($B$8:$B$47&amp;$C$8:$C$47)=F9))</f>
        <v>2</v>
      </c>
      <c r="O9" s="60" cm="1">
        <f t="array" ref="O9">SUM((--(($B$8:$B$47&amp;$C$8:$C$47)=F9))*$D$8:$D$47)</f>
        <v>6332</v>
      </c>
      <c r="P9" s="60" t="str">
        <f t="shared" ref="P9:P34" si="4">_xlfn.LET(_xlpm.a, VLOOKUP(F9,$K$8:$L$34,2,0),IF(O9&gt;=_xlpm.a, "YES", O9-_xlpm.a))</f>
        <v>YES</v>
      </c>
      <c r="S9" cm="1">
        <f t="array" ref="S9">SUM(IF(F9=$B$8:$B$47&amp;$C$8:$C$47, 1,0))</f>
        <v>2</v>
      </c>
      <c r="T9" cm="1">
        <f t="array" ref="T9">SUM(IF(F9=$B$8:$B$47&amp;$C$8:$C$47, $D$8:$D$47,0))</f>
        <v>6332</v>
      </c>
      <c r="U9" t="str">
        <f t="shared" ref="U9:U34" si="5">IF(H9&gt;=VLOOKUP(F9,$K$8:$L$34,2,0),"Yes",H9-VLOOKUP(F9,$K$8:$L$34,2,0))</f>
        <v>Yes</v>
      </c>
      <c r="W9" cm="1">
        <f t="array" ref="W9">SUM(--($B$8:$B$47&amp;$C$8:$C$47=F9))</f>
        <v>2</v>
      </c>
    </row>
    <row r="10" spans="1:23" x14ac:dyDescent="0.25">
      <c r="A10" s="16" t="str">
        <f t="shared" si="0"/>
        <v>DR880</v>
      </c>
      <c r="B10" s="1" t="str">
        <f>B9</f>
        <v>DR</v>
      </c>
      <c r="C10" s="2">
        <f>C9</f>
        <v>880</v>
      </c>
      <c r="D10" s="4">
        <v>843</v>
      </c>
      <c r="F10" s="3" t="s">
        <v>5</v>
      </c>
      <c r="G10" s="17">
        <f t="shared" si="1"/>
        <v>1</v>
      </c>
      <c r="H10" s="12">
        <f t="shared" si="2"/>
        <v>1631</v>
      </c>
      <c r="I10" s="33">
        <f t="shared" si="3"/>
        <v>-938</v>
      </c>
      <c r="K10" s="3" t="s">
        <v>13</v>
      </c>
      <c r="L10" s="3">
        <v>3588</v>
      </c>
      <c r="M10" s="60"/>
      <c r="N10" s="60" cm="1">
        <f t="array" ref="N10">SUM(--(($B$8:$B$47&amp;$C$8:$C$47)=F10))</f>
        <v>1</v>
      </c>
      <c r="O10" s="60" cm="1">
        <f t="array" ref="O10">SUM((--(($B$8:$B$47&amp;$C$8:$C$47)=F10))*$D$8:$D$47)</f>
        <v>1631</v>
      </c>
      <c r="P10" s="60">
        <f t="shared" si="4"/>
        <v>-938</v>
      </c>
      <c r="S10" cm="1">
        <f t="array" ref="S10">SUM(IF(F10=$B$8:$B$47&amp;$C$8:$C$47, 1,0))</f>
        <v>1</v>
      </c>
      <c r="T10" cm="1">
        <f t="array" ref="T10">SUM(IF(F10=$B$8:$B$47&amp;$C$8:$C$47, $D$8:$D$47,0))</f>
        <v>1631</v>
      </c>
      <c r="U10">
        <f t="shared" si="5"/>
        <v>-938</v>
      </c>
      <c r="W10" cm="1">
        <f t="array" ref="W10">SUM(--($B$8:$B$47&amp;$C$8:$C$47=F10))</f>
        <v>1</v>
      </c>
    </row>
    <row r="11" spans="1:23" x14ac:dyDescent="0.25">
      <c r="A11" s="16" t="str">
        <f t="shared" si="0"/>
        <v>DR151</v>
      </c>
      <c r="B11" s="1" t="s">
        <v>0</v>
      </c>
      <c r="C11" s="2">
        <v>151</v>
      </c>
      <c r="D11" s="4">
        <v>3401</v>
      </c>
      <c r="F11" s="3" t="s">
        <v>6</v>
      </c>
      <c r="G11" s="17">
        <f t="shared" si="1"/>
        <v>1</v>
      </c>
      <c r="H11" s="12">
        <f t="shared" si="2"/>
        <v>295</v>
      </c>
      <c r="I11" s="33" t="str">
        <f t="shared" si="3"/>
        <v>Yes</v>
      </c>
      <c r="K11" s="3" t="s">
        <v>21</v>
      </c>
      <c r="L11" s="3">
        <v>457</v>
      </c>
      <c r="M11" s="60"/>
      <c r="N11" s="60" cm="1">
        <f t="array" ref="N11">SUM(--(($B$8:$B$47&amp;$C$8:$C$47)=F11))</f>
        <v>1</v>
      </c>
      <c r="O11" s="60" cm="1">
        <f t="array" ref="O11">SUM((--(($B$8:$B$47&amp;$C$8:$C$47)=F11))*$D$8:$D$47)</f>
        <v>295</v>
      </c>
      <c r="P11" s="60" t="str">
        <f t="shared" si="4"/>
        <v>YES</v>
      </c>
      <c r="S11" cm="1">
        <f t="array" ref="S11">SUM(IF(F11=$B$8:$B$47&amp;$C$8:$C$47, 1,0))</f>
        <v>1</v>
      </c>
      <c r="T11" cm="1">
        <f t="array" ref="T11">SUM(IF(F11=$B$8:$B$47&amp;$C$8:$C$47, $D$8:$D$47,0))</f>
        <v>295</v>
      </c>
      <c r="U11" t="str">
        <f t="shared" si="5"/>
        <v>Yes</v>
      </c>
      <c r="W11" cm="1">
        <f t="array" ref="W11">SUM(--($B$8:$B$47&amp;$C$8:$C$47=F11))</f>
        <v>1</v>
      </c>
    </row>
    <row r="12" spans="1:23" x14ac:dyDescent="0.25">
      <c r="A12" s="16" t="str">
        <f t="shared" si="0"/>
        <v>DR751</v>
      </c>
      <c r="B12" s="1" t="s">
        <v>0</v>
      </c>
      <c r="C12" s="2">
        <v>751</v>
      </c>
      <c r="D12" s="4">
        <v>3825</v>
      </c>
      <c r="F12" s="3" t="s">
        <v>7</v>
      </c>
      <c r="G12" s="17">
        <f t="shared" si="1"/>
        <v>3</v>
      </c>
      <c r="H12" s="12">
        <f t="shared" si="2"/>
        <v>6317</v>
      </c>
      <c r="I12" s="33">
        <f t="shared" si="3"/>
        <v>-252</v>
      </c>
      <c r="K12" s="3" t="s">
        <v>3</v>
      </c>
      <c r="L12" s="3">
        <v>3582</v>
      </c>
      <c r="M12" s="60"/>
      <c r="N12" s="60" cm="1">
        <f t="array" ref="N12">SUM(--(($B$8:$B$47&amp;$C$8:$C$47)=F12))</f>
        <v>3</v>
      </c>
      <c r="O12" s="60" cm="1">
        <f t="array" ref="O12">SUM((--(($B$8:$B$47&amp;$C$8:$C$47)=F12))*$D$8:$D$47)</f>
        <v>6317</v>
      </c>
      <c r="P12" s="60">
        <f t="shared" si="4"/>
        <v>-252</v>
      </c>
      <c r="S12" cm="1">
        <f t="array" ref="S12">SUM(IF(F12=$B$8:$B$47&amp;$C$8:$C$47, 1,0))</f>
        <v>3</v>
      </c>
      <c r="T12" cm="1">
        <f t="array" ref="T12">SUM(IF(F12=$B$8:$B$47&amp;$C$8:$C$47, $D$8:$D$47,0))</f>
        <v>6317</v>
      </c>
      <c r="U12">
        <f t="shared" si="5"/>
        <v>-252</v>
      </c>
      <c r="W12" cm="1">
        <f t="array" ref="W12">SUM(--($B$8:$B$47&amp;$C$8:$C$47=F12))</f>
        <v>3</v>
      </c>
    </row>
    <row r="13" spans="1:23" x14ac:dyDescent="0.25">
      <c r="A13" s="16" t="str">
        <f t="shared" si="0"/>
        <v>DR405</v>
      </c>
      <c r="B13" s="1" t="s">
        <v>0</v>
      </c>
      <c r="C13" s="2">
        <v>405</v>
      </c>
      <c r="D13" s="4">
        <v>2373</v>
      </c>
      <c r="F13" s="3" t="s">
        <v>8</v>
      </c>
      <c r="G13" s="17">
        <f t="shared" si="1"/>
        <v>1</v>
      </c>
      <c r="H13" s="12">
        <f t="shared" si="2"/>
        <v>1646</v>
      </c>
      <c r="I13" s="33" t="str">
        <f t="shared" si="3"/>
        <v>Yes</v>
      </c>
      <c r="K13" s="3" t="s">
        <v>11</v>
      </c>
      <c r="L13" s="3">
        <v>3565</v>
      </c>
      <c r="M13" s="60"/>
      <c r="N13" s="60" cm="1">
        <f t="array" ref="N13">SUM(--(($B$8:$B$47&amp;$C$8:$C$47)=F13))</f>
        <v>1</v>
      </c>
      <c r="O13" s="60" cm="1">
        <f t="array" ref="O13">SUM((--(($B$8:$B$47&amp;$C$8:$C$47)=F13))*$D$8:$D$47)</f>
        <v>1646</v>
      </c>
      <c r="P13" s="60" t="str">
        <f t="shared" si="4"/>
        <v>YES</v>
      </c>
      <c r="S13" cm="1">
        <f t="array" ref="S13">SUM(IF(F13=$B$8:$B$47&amp;$C$8:$C$47, 1,0))</f>
        <v>1</v>
      </c>
      <c r="T13" cm="1">
        <f t="array" ref="T13">SUM(IF(F13=$B$8:$B$47&amp;$C$8:$C$47, $D$8:$D$47,0))</f>
        <v>1646</v>
      </c>
      <c r="U13" t="str">
        <f t="shared" si="5"/>
        <v>Yes</v>
      </c>
      <c r="W13" cm="1">
        <f t="array" ref="W13">SUM(--($B$8:$B$47&amp;$C$8:$C$47=F13))</f>
        <v>1</v>
      </c>
    </row>
    <row r="14" spans="1:23" x14ac:dyDescent="0.25">
      <c r="A14" s="16" t="str">
        <f t="shared" si="0"/>
        <v>DR405</v>
      </c>
      <c r="B14" s="1" t="str">
        <f>B13</f>
        <v>DR</v>
      </c>
      <c r="C14" s="2">
        <f>C13</f>
        <v>405</v>
      </c>
      <c r="D14" s="4">
        <v>104</v>
      </c>
      <c r="F14" s="3" t="s">
        <v>9</v>
      </c>
      <c r="G14" s="17">
        <f t="shared" si="1"/>
        <v>1</v>
      </c>
      <c r="H14" s="12">
        <f t="shared" si="2"/>
        <v>3887</v>
      </c>
      <c r="I14" s="33" t="str">
        <f t="shared" si="3"/>
        <v>Yes</v>
      </c>
      <c r="K14" s="3" t="s">
        <v>15</v>
      </c>
      <c r="L14" s="3">
        <v>2945</v>
      </c>
      <c r="M14" s="60"/>
      <c r="N14" s="60" cm="1">
        <f t="array" ref="N14">SUM(--(($B$8:$B$47&amp;$C$8:$C$47)=F14))</f>
        <v>1</v>
      </c>
      <c r="O14" s="60" cm="1">
        <f t="array" ref="O14">SUM((--(($B$8:$B$47&amp;$C$8:$C$47)=F14))*$D$8:$D$47)</f>
        <v>3887</v>
      </c>
      <c r="P14" s="60" t="str">
        <f t="shared" si="4"/>
        <v>YES</v>
      </c>
      <c r="S14" cm="1">
        <f t="array" ref="S14">SUM(IF(F14=$B$8:$B$47&amp;$C$8:$C$47, 1,0))</f>
        <v>1</v>
      </c>
      <c r="T14" cm="1">
        <f t="array" ref="T14">SUM(IF(F14=$B$8:$B$47&amp;$C$8:$C$47, $D$8:$D$47,0))</f>
        <v>3887</v>
      </c>
      <c r="U14" t="str">
        <f t="shared" si="5"/>
        <v>Yes</v>
      </c>
      <c r="W14" cm="1">
        <f t="array" ref="W14">SUM(--($B$8:$B$47&amp;$C$8:$C$47=F14))</f>
        <v>1</v>
      </c>
    </row>
    <row r="15" spans="1:23" x14ac:dyDescent="0.25">
      <c r="A15" s="16" t="str">
        <f t="shared" si="0"/>
        <v>DR405</v>
      </c>
      <c r="B15" s="1" t="str">
        <f>B14</f>
        <v>DR</v>
      </c>
      <c r="C15" s="2">
        <f>C14</f>
        <v>405</v>
      </c>
      <c r="D15" s="4">
        <v>472</v>
      </c>
      <c r="F15" s="3" t="s">
        <v>10</v>
      </c>
      <c r="G15" s="17">
        <f t="shared" si="1"/>
        <v>3</v>
      </c>
      <c r="H15" s="12">
        <f t="shared" si="2"/>
        <v>1899</v>
      </c>
      <c r="I15" s="33" t="str">
        <f t="shared" si="3"/>
        <v>Yes</v>
      </c>
      <c r="K15" s="3" t="s">
        <v>20</v>
      </c>
      <c r="L15" s="3">
        <v>1447</v>
      </c>
      <c r="M15" s="60"/>
      <c r="N15" s="60" cm="1">
        <f t="array" ref="N15">SUM(--(($B$8:$B$47&amp;$C$8:$C$47)=F15))</f>
        <v>3</v>
      </c>
      <c r="O15" s="60" cm="1">
        <f t="array" ref="O15">SUM((--(($B$8:$B$47&amp;$C$8:$C$47)=F15))*$D$8:$D$47)</f>
        <v>1899</v>
      </c>
      <c r="P15" s="60" t="str">
        <f t="shared" si="4"/>
        <v>YES</v>
      </c>
      <c r="S15" cm="1">
        <f t="array" ref="S15">SUM(IF(F15=$B$8:$B$47&amp;$C$8:$C$47, 1,0))</f>
        <v>3</v>
      </c>
      <c r="T15" cm="1">
        <f t="array" ref="T15">SUM(IF(F15=$B$8:$B$47&amp;$C$8:$C$47, $D$8:$D$47,0))</f>
        <v>1899</v>
      </c>
      <c r="U15" t="str">
        <f t="shared" si="5"/>
        <v>Yes</v>
      </c>
      <c r="W15" cm="1">
        <f t="array" ref="W15">SUM(--($B$8:$B$47&amp;$C$8:$C$47=F15))</f>
        <v>3</v>
      </c>
    </row>
    <row r="16" spans="1:23" x14ac:dyDescent="0.25">
      <c r="A16" s="16" t="str">
        <f t="shared" si="0"/>
        <v>DR605</v>
      </c>
      <c r="B16" s="1" t="s">
        <v>0</v>
      </c>
      <c r="C16" s="2">
        <v>605</v>
      </c>
      <c r="D16" s="4">
        <v>3887</v>
      </c>
      <c r="F16" s="3" t="s">
        <v>11</v>
      </c>
      <c r="G16" s="17">
        <f t="shared" si="1"/>
        <v>1</v>
      </c>
      <c r="H16" s="12">
        <f t="shared" si="2"/>
        <v>3606</v>
      </c>
      <c r="I16" s="33" t="str">
        <f t="shared" si="3"/>
        <v>Yes</v>
      </c>
      <c r="K16" s="3" t="s">
        <v>29</v>
      </c>
      <c r="L16" s="3">
        <v>1521</v>
      </c>
      <c r="M16" s="60"/>
      <c r="N16" s="60" cm="1">
        <f t="array" ref="N16">SUM(--(($B$8:$B$47&amp;$C$8:$C$47)=F16))</f>
        <v>1</v>
      </c>
      <c r="O16" s="60" cm="1">
        <f t="array" ref="O16">SUM((--(($B$8:$B$47&amp;$C$8:$C$47)=F16))*$D$8:$D$47)</f>
        <v>3606</v>
      </c>
      <c r="P16" s="60" t="str">
        <f t="shared" si="4"/>
        <v>YES</v>
      </c>
      <c r="S16" cm="1">
        <f t="array" ref="S16">SUM(IF(F16=$B$8:$B$47&amp;$C$8:$C$47, 1,0))</f>
        <v>1</v>
      </c>
      <c r="T16" cm="1">
        <f t="array" ref="T16">SUM(IF(F16=$B$8:$B$47&amp;$C$8:$C$47, $D$8:$D$47,0))</f>
        <v>3606</v>
      </c>
      <c r="U16" t="str">
        <f t="shared" si="5"/>
        <v>Yes</v>
      </c>
      <c r="W16" cm="1">
        <f t="array" ref="W16">SUM(--($B$8:$B$47&amp;$C$8:$C$47=F16))</f>
        <v>1</v>
      </c>
    </row>
    <row r="17" spans="1:23" x14ac:dyDescent="0.25">
      <c r="A17" s="16" t="str">
        <f t="shared" si="0"/>
        <v>DR768</v>
      </c>
      <c r="B17" s="1" t="s">
        <v>0</v>
      </c>
      <c r="C17" s="2">
        <v>768</v>
      </c>
      <c r="D17" s="4">
        <v>1270</v>
      </c>
      <c r="F17" s="3" t="s">
        <v>12</v>
      </c>
      <c r="G17" s="17">
        <f t="shared" si="1"/>
        <v>1</v>
      </c>
      <c r="H17" s="12">
        <f t="shared" si="2"/>
        <v>5639</v>
      </c>
      <c r="I17" s="33" t="str">
        <f t="shared" si="3"/>
        <v>Yes</v>
      </c>
      <c r="K17" s="3" t="s">
        <v>22</v>
      </c>
      <c r="L17" s="3">
        <v>6353</v>
      </c>
      <c r="M17" s="60"/>
      <c r="N17" s="60" cm="1">
        <f t="array" ref="N17">SUM(--(($B$8:$B$47&amp;$C$8:$C$47)=F17))</f>
        <v>1</v>
      </c>
      <c r="O17" s="60" cm="1">
        <f t="array" ref="O17">SUM((--(($B$8:$B$47&amp;$C$8:$C$47)=F17))*$D$8:$D$47)</f>
        <v>5639</v>
      </c>
      <c r="P17" s="60" t="str">
        <f t="shared" si="4"/>
        <v>YES</v>
      </c>
      <c r="S17" cm="1">
        <f t="array" ref="S17">SUM(IF(F17=$B$8:$B$47&amp;$C$8:$C$47, 1,0))</f>
        <v>1</v>
      </c>
      <c r="T17" cm="1">
        <f t="array" ref="T17">SUM(IF(F17=$B$8:$B$47&amp;$C$8:$C$47, $D$8:$D$47,0))</f>
        <v>5639</v>
      </c>
      <c r="U17" t="str">
        <f t="shared" si="5"/>
        <v>Yes</v>
      </c>
      <c r="W17" cm="1">
        <f t="array" ref="W17">SUM(--($B$8:$B$47&amp;$C$8:$C$47=F17))</f>
        <v>1</v>
      </c>
    </row>
    <row r="18" spans="1:23" x14ac:dyDescent="0.25">
      <c r="A18" s="16" t="str">
        <f t="shared" si="0"/>
        <v>DR768</v>
      </c>
      <c r="B18" s="1" t="str">
        <f>B17</f>
        <v>DR</v>
      </c>
      <c r="C18" s="2">
        <f>C17</f>
        <v>768</v>
      </c>
      <c r="D18" s="4">
        <v>193</v>
      </c>
      <c r="F18" s="3" t="s">
        <v>13</v>
      </c>
      <c r="G18" s="17">
        <f t="shared" si="1"/>
        <v>3</v>
      </c>
      <c r="H18" s="12">
        <f t="shared" si="2"/>
        <v>3588</v>
      </c>
      <c r="I18" s="33" t="str">
        <f t="shared" si="3"/>
        <v>Yes</v>
      </c>
      <c r="K18" s="3" t="s">
        <v>8</v>
      </c>
      <c r="L18" s="3">
        <v>1646</v>
      </c>
      <c r="M18" s="60"/>
      <c r="N18" s="60" cm="1">
        <f t="array" ref="N18">SUM(--(($B$8:$B$47&amp;$C$8:$C$47)=F18))</f>
        <v>3</v>
      </c>
      <c r="O18" s="60" cm="1">
        <f t="array" ref="O18">SUM((--(($B$8:$B$47&amp;$C$8:$C$47)=F18))*$D$8:$D$47)</f>
        <v>3588</v>
      </c>
      <c r="P18" s="60" t="str">
        <f t="shared" si="4"/>
        <v>YES</v>
      </c>
      <c r="S18" cm="1">
        <f t="array" ref="S18">SUM(IF(F18=$B$8:$B$47&amp;$C$8:$C$47, 1,0))</f>
        <v>3</v>
      </c>
      <c r="T18" cm="1">
        <f t="array" ref="T18">SUM(IF(F18=$B$8:$B$47&amp;$C$8:$C$47, $D$8:$D$47,0))</f>
        <v>3588</v>
      </c>
      <c r="U18" t="str">
        <f t="shared" si="5"/>
        <v>Yes</v>
      </c>
      <c r="W18" cm="1">
        <f t="array" ref="W18">SUM(--($B$8:$B$47&amp;$C$8:$C$47=F18))</f>
        <v>3</v>
      </c>
    </row>
    <row r="19" spans="1:23" x14ac:dyDescent="0.25">
      <c r="A19" s="16" t="str">
        <f t="shared" si="0"/>
        <v>DR768</v>
      </c>
      <c r="B19" s="1" t="str">
        <f>B18</f>
        <v>DR</v>
      </c>
      <c r="C19" s="2">
        <f>C18</f>
        <v>768</v>
      </c>
      <c r="D19" s="4">
        <v>436</v>
      </c>
      <c r="F19" s="3" t="s">
        <v>14</v>
      </c>
      <c r="G19" s="17">
        <f t="shared" si="1"/>
        <v>1</v>
      </c>
      <c r="H19" s="12">
        <f t="shared" si="2"/>
        <v>3401</v>
      </c>
      <c r="I19" s="33" t="str">
        <f t="shared" si="3"/>
        <v>Yes</v>
      </c>
      <c r="K19" s="3" t="s">
        <v>16</v>
      </c>
      <c r="L19" s="3">
        <v>2179</v>
      </c>
      <c r="M19" s="60"/>
      <c r="N19" s="60" cm="1">
        <f t="array" ref="N19">SUM(--(($B$8:$B$47&amp;$C$8:$C$47)=F19))</f>
        <v>1</v>
      </c>
      <c r="O19" s="60" cm="1">
        <f t="array" ref="O19">SUM((--(($B$8:$B$47&amp;$C$8:$C$47)=F19))*$D$8:$D$47)</f>
        <v>3401</v>
      </c>
      <c r="P19" s="60" t="str">
        <f t="shared" si="4"/>
        <v>YES</v>
      </c>
      <c r="S19" cm="1">
        <f t="array" ref="S19">SUM(IF(F19=$B$8:$B$47&amp;$C$8:$C$47, 1,0))</f>
        <v>1</v>
      </c>
      <c r="T19" cm="1">
        <f t="array" ref="T19">SUM(IF(F19=$B$8:$B$47&amp;$C$8:$C$47, $D$8:$D$47,0))</f>
        <v>3401</v>
      </c>
      <c r="U19" t="str">
        <f t="shared" si="5"/>
        <v>Yes</v>
      </c>
      <c r="W19" cm="1">
        <f t="array" ref="W19">SUM(--($B$8:$B$47&amp;$C$8:$C$47=F19))</f>
        <v>1</v>
      </c>
    </row>
    <row r="20" spans="1:23" x14ac:dyDescent="0.25">
      <c r="A20" s="16" t="str">
        <f t="shared" si="0"/>
        <v>DR205</v>
      </c>
      <c r="B20" s="1" t="s">
        <v>0</v>
      </c>
      <c r="C20" s="2">
        <v>205</v>
      </c>
      <c r="D20" s="4">
        <v>3606</v>
      </c>
      <c r="F20" s="3" t="s">
        <v>15</v>
      </c>
      <c r="G20" s="17">
        <f t="shared" si="1"/>
        <v>3</v>
      </c>
      <c r="H20" s="12">
        <f t="shared" si="2"/>
        <v>2945</v>
      </c>
      <c r="I20" s="33" t="str">
        <f t="shared" si="3"/>
        <v>Yes</v>
      </c>
      <c r="K20" s="3" t="s">
        <v>19</v>
      </c>
      <c r="L20" s="3">
        <v>5556</v>
      </c>
      <c r="M20" s="60"/>
      <c r="N20" s="60" cm="1">
        <f t="array" ref="N20">SUM(--(($B$8:$B$47&amp;$C$8:$C$47)=F20))</f>
        <v>3</v>
      </c>
      <c r="O20" s="60" cm="1">
        <f t="array" ref="O20">SUM((--(($B$8:$B$47&amp;$C$8:$C$47)=F20))*$D$8:$D$47)</f>
        <v>2945</v>
      </c>
      <c r="P20" s="60" t="str">
        <f t="shared" si="4"/>
        <v>YES</v>
      </c>
      <c r="S20" cm="1">
        <f t="array" ref="S20">SUM(IF(F20=$B$8:$B$47&amp;$C$8:$C$47, 1,0))</f>
        <v>3</v>
      </c>
      <c r="T20" cm="1">
        <f t="array" ref="T20">SUM(IF(F20=$B$8:$B$47&amp;$C$8:$C$47, $D$8:$D$47,0))</f>
        <v>2945</v>
      </c>
      <c r="U20" t="str">
        <f t="shared" si="5"/>
        <v>Yes</v>
      </c>
      <c r="W20" cm="1">
        <f t="array" ref="W20">SUM(--($B$8:$B$47&amp;$C$8:$C$47=F20))</f>
        <v>3</v>
      </c>
    </row>
    <row r="21" spans="1:23" x14ac:dyDescent="0.25">
      <c r="A21" s="16" t="str">
        <f t="shared" si="0"/>
        <v>DR824</v>
      </c>
      <c r="B21" s="1" t="s">
        <v>0</v>
      </c>
      <c r="C21" s="2">
        <v>824</v>
      </c>
      <c r="D21" s="4">
        <v>5639</v>
      </c>
      <c r="F21" s="3" t="s">
        <v>16</v>
      </c>
      <c r="G21" s="17">
        <f t="shared" si="1"/>
        <v>1</v>
      </c>
      <c r="H21" s="12">
        <f t="shared" si="2"/>
        <v>2179</v>
      </c>
      <c r="I21" s="33" t="str">
        <f t="shared" si="3"/>
        <v>Yes</v>
      </c>
      <c r="K21" s="3" t="s">
        <v>28</v>
      </c>
      <c r="L21" s="3">
        <v>2598</v>
      </c>
      <c r="M21" s="60"/>
      <c r="N21" s="60" cm="1">
        <f t="array" ref="N21">SUM(--(($B$8:$B$47&amp;$C$8:$C$47)=F21))</f>
        <v>1</v>
      </c>
      <c r="O21" s="60" cm="1">
        <f t="array" ref="O21">SUM((--(($B$8:$B$47&amp;$C$8:$C$47)=F21))*$D$8:$D$47)</f>
        <v>2179</v>
      </c>
      <c r="P21" s="60" t="str">
        <f t="shared" si="4"/>
        <v>YES</v>
      </c>
      <c r="S21" cm="1">
        <f t="array" ref="S21">SUM(IF(F21=$B$8:$B$47&amp;$C$8:$C$47, 1,0))</f>
        <v>1</v>
      </c>
      <c r="T21" cm="1">
        <f t="array" ref="T21">SUM(IF(F21=$B$8:$B$47&amp;$C$8:$C$47, $D$8:$D$47,0))</f>
        <v>2179</v>
      </c>
      <c r="U21" t="str">
        <f t="shared" si="5"/>
        <v>Yes</v>
      </c>
      <c r="W21" cm="1">
        <f t="array" ref="W21">SUM(--($B$8:$B$47&amp;$C$8:$C$47=F21))</f>
        <v>1</v>
      </c>
    </row>
    <row r="22" spans="1:23" x14ac:dyDescent="0.25">
      <c r="A22" s="16" t="str">
        <f t="shared" si="0"/>
        <v>DR401</v>
      </c>
      <c r="B22" s="1" t="s">
        <v>0</v>
      </c>
      <c r="C22" s="2">
        <v>401</v>
      </c>
      <c r="D22" s="4">
        <v>295</v>
      </c>
      <c r="F22" s="3" t="s">
        <v>17</v>
      </c>
      <c r="G22" s="17">
        <f t="shared" si="1"/>
        <v>1</v>
      </c>
      <c r="H22" s="12">
        <f t="shared" si="2"/>
        <v>2852</v>
      </c>
      <c r="I22" s="33" t="str">
        <f t="shared" si="3"/>
        <v>Yes</v>
      </c>
      <c r="K22" s="3" t="s">
        <v>24</v>
      </c>
      <c r="L22" s="3">
        <v>3825</v>
      </c>
      <c r="M22" s="60"/>
      <c r="N22" s="60" cm="1">
        <f t="array" ref="N22">SUM(--(($B$8:$B$47&amp;$C$8:$C$47)=F22))</f>
        <v>1</v>
      </c>
      <c r="O22" s="60" cm="1">
        <f t="array" ref="O22">SUM((--(($B$8:$B$47&amp;$C$8:$C$47)=F22))*$D$8:$D$47)</f>
        <v>2852</v>
      </c>
      <c r="P22" s="60" t="str">
        <f t="shared" si="4"/>
        <v>YES</v>
      </c>
      <c r="S22" cm="1">
        <f t="array" ref="S22">SUM(IF(F22=$B$8:$B$47&amp;$C$8:$C$47, 1,0))</f>
        <v>1</v>
      </c>
      <c r="T22" cm="1">
        <f t="array" ref="T22">SUM(IF(F22=$B$8:$B$47&amp;$C$8:$C$47, $D$8:$D$47,0))</f>
        <v>2852</v>
      </c>
      <c r="U22" t="str">
        <f t="shared" si="5"/>
        <v>Yes</v>
      </c>
      <c r="W22" cm="1">
        <f t="array" ref="W22">SUM(--($B$8:$B$47&amp;$C$8:$C$47=F22))</f>
        <v>1</v>
      </c>
    </row>
    <row r="23" spans="1:23" x14ac:dyDescent="0.25">
      <c r="A23" s="16" t="str">
        <f t="shared" si="0"/>
        <v>DR104</v>
      </c>
      <c r="B23" s="1" t="s">
        <v>0</v>
      </c>
      <c r="C23" s="2">
        <v>104</v>
      </c>
      <c r="D23" s="4">
        <v>5365</v>
      </c>
      <c r="F23" s="3" t="s">
        <v>18</v>
      </c>
      <c r="G23" s="17">
        <f t="shared" si="1"/>
        <v>1</v>
      </c>
      <c r="H23" s="12">
        <f t="shared" si="2"/>
        <v>2756</v>
      </c>
      <c r="I23" s="33" t="str">
        <f t="shared" si="3"/>
        <v>Yes</v>
      </c>
      <c r="K23" s="3" t="s">
        <v>27</v>
      </c>
      <c r="L23" s="3">
        <v>3035</v>
      </c>
      <c r="M23" s="60"/>
      <c r="N23" s="60" cm="1">
        <f t="array" ref="N23">SUM(--(($B$8:$B$47&amp;$C$8:$C$47)=F23))</f>
        <v>1</v>
      </c>
      <c r="O23" s="60" cm="1">
        <f t="array" ref="O23">SUM((--(($B$8:$B$47&amp;$C$8:$C$47)=F23))*$D$8:$D$47)</f>
        <v>2756</v>
      </c>
      <c r="P23" s="60" t="str">
        <f t="shared" si="4"/>
        <v>YES</v>
      </c>
      <c r="S23" cm="1">
        <f t="array" ref="S23">SUM(IF(F23=$B$8:$B$47&amp;$C$8:$C$47, 1,0))</f>
        <v>1</v>
      </c>
      <c r="T23" cm="1">
        <f t="array" ref="T23">SUM(IF(F23=$B$8:$B$47&amp;$C$8:$C$47, $D$8:$D$47,0))</f>
        <v>2756</v>
      </c>
      <c r="U23" t="str">
        <f t="shared" si="5"/>
        <v>Yes</v>
      </c>
      <c r="W23" cm="1">
        <f t="array" ref="W23">SUM(--($B$8:$B$47&amp;$C$8:$C$47=F23))</f>
        <v>1</v>
      </c>
    </row>
    <row r="24" spans="1:23" x14ac:dyDescent="0.25">
      <c r="A24" s="16" t="str">
        <f t="shared" si="0"/>
        <v>DR104</v>
      </c>
      <c r="B24" s="1" t="str">
        <f>B23</f>
        <v>DR</v>
      </c>
      <c r="C24" s="2">
        <f>C23</f>
        <v>104</v>
      </c>
      <c r="D24" s="4">
        <v>730</v>
      </c>
      <c r="F24" s="3" t="s">
        <v>19</v>
      </c>
      <c r="G24" s="17">
        <f t="shared" si="1"/>
        <v>1</v>
      </c>
      <c r="H24" s="12">
        <f t="shared" si="2"/>
        <v>5556</v>
      </c>
      <c r="I24" s="33" t="str">
        <f t="shared" si="3"/>
        <v>Yes</v>
      </c>
      <c r="K24" s="3" t="s">
        <v>18</v>
      </c>
      <c r="L24" s="3">
        <v>2756</v>
      </c>
      <c r="M24" s="60"/>
      <c r="N24" s="60" cm="1">
        <f t="array" ref="N24">SUM(--(($B$8:$B$47&amp;$C$8:$C$47)=F24))</f>
        <v>1</v>
      </c>
      <c r="O24" s="60" cm="1">
        <f t="array" ref="O24">SUM((--(($B$8:$B$47&amp;$C$8:$C$47)=F24))*$D$8:$D$47)</f>
        <v>5556</v>
      </c>
      <c r="P24" s="60" t="str">
        <f t="shared" si="4"/>
        <v>YES</v>
      </c>
      <c r="S24" cm="1">
        <f t="array" ref="S24">SUM(IF(F24=$B$8:$B$47&amp;$C$8:$C$47, 1,0))</f>
        <v>1</v>
      </c>
      <c r="T24" cm="1">
        <f t="array" ref="T24">SUM(IF(F24=$B$8:$B$47&amp;$C$8:$C$47, $D$8:$D$47,0))</f>
        <v>5556</v>
      </c>
      <c r="U24" t="str">
        <f t="shared" si="5"/>
        <v>Yes</v>
      </c>
      <c r="W24" cm="1">
        <f t="array" ref="W24">SUM(--($B$8:$B$47&amp;$C$8:$C$47=F24))</f>
        <v>1</v>
      </c>
    </row>
    <row r="25" spans="1:23" x14ac:dyDescent="0.25">
      <c r="A25" s="16" t="str">
        <f t="shared" si="0"/>
        <v>DR104</v>
      </c>
      <c r="B25" s="1" t="str">
        <f>B24</f>
        <v>DR</v>
      </c>
      <c r="C25" s="2">
        <f>C24</f>
        <v>104</v>
      </c>
      <c r="D25" s="4">
        <v>222</v>
      </c>
      <c r="F25" s="3" t="s">
        <v>20</v>
      </c>
      <c r="G25" s="17">
        <f t="shared" si="1"/>
        <v>2</v>
      </c>
      <c r="H25" s="12">
        <f t="shared" si="2"/>
        <v>1447</v>
      </c>
      <c r="I25" s="33" t="str">
        <f t="shared" si="3"/>
        <v>Yes</v>
      </c>
      <c r="K25" s="3" t="s">
        <v>25</v>
      </c>
      <c r="L25" s="3">
        <v>2949</v>
      </c>
      <c r="M25" s="60"/>
      <c r="N25" s="60" cm="1">
        <f t="array" ref="N25">SUM(--(($B$8:$B$47&amp;$C$8:$C$47)=F25))</f>
        <v>2</v>
      </c>
      <c r="O25" s="60" cm="1">
        <f t="array" ref="O25">SUM((--(($B$8:$B$47&amp;$C$8:$C$47)=F25))*$D$8:$D$47)</f>
        <v>1447</v>
      </c>
      <c r="P25" s="60" t="str">
        <f t="shared" si="4"/>
        <v>YES</v>
      </c>
      <c r="S25" cm="1">
        <f t="array" ref="S25">SUM(IF(F25=$B$8:$B$47&amp;$C$8:$C$47, 1,0))</f>
        <v>2</v>
      </c>
      <c r="T25" cm="1">
        <f t="array" ref="T25">SUM(IF(F25=$B$8:$B$47&amp;$C$8:$C$47, $D$8:$D$47,0))</f>
        <v>1447</v>
      </c>
      <c r="U25" t="str">
        <f t="shared" si="5"/>
        <v>Yes</v>
      </c>
      <c r="W25" cm="1">
        <f t="array" ref="W25">SUM(--($B$8:$B$47&amp;$C$8:$C$47=F25))</f>
        <v>2</v>
      </c>
    </row>
    <row r="26" spans="1:23" x14ac:dyDescent="0.25">
      <c r="A26" s="16" t="str">
        <f t="shared" si="0"/>
        <v>DR869</v>
      </c>
      <c r="B26" s="1" t="s">
        <v>0</v>
      </c>
      <c r="C26" s="2">
        <v>869</v>
      </c>
      <c r="D26" s="4">
        <v>1646</v>
      </c>
      <c r="F26" s="3" t="s">
        <v>21</v>
      </c>
      <c r="G26" s="17">
        <f t="shared" si="1"/>
        <v>1</v>
      </c>
      <c r="H26" s="12">
        <f t="shared" si="2"/>
        <v>457</v>
      </c>
      <c r="I26" s="33" t="str">
        <f t="shared" si="3"/>
        <v>Yes</v>
      </c>
      <c r="K26" s="3" t="s">
        <v>5</v>
      </c>
      <c r="L26" s="3">
        <v>2569</v>
      </c>
      <c r="M26" s="60"/>
      <c r="N26" s="60" cm="1">
        <f t="array" ref="N26">SUM(--(($B$8:$B$47&amp;$C$8:$C$47)=F26))</f>
        <v>1</v>
      </c>
      <c r="O26" s="60" cm="1">
        <f t="array" ref="O26">SUM((--(($B$8:$B$47&amp;$C$8:$C$47)=F26))*$D$8:$D$47)</f>
        <v>457</v>
      </c>
      <c r="P26" s="60" t="str">
        <f t="shared" si="4"/>
        <v>YES</v>
      </c>
      <c r="S26" cm="1">
        <f t="array" ref="S26">SUM(IF(F26=$B$8:$B$47&amp;$C$8:$C$47, 1,0))</f>
        <v>1</v>
      </c>
      <c r="T26" cm="1">
        <f t="array" ref="T26">SUM(IF(F26=$B$8:$B$47&amp;$C$8:$C$47, $D$8:$D$47,0))</f>
        <v>457</v>
      </c>
      <c r="U26" t="str">
        <f t="shared" si="5"/>
        <v>Yes</v>
      </c>
      <c r="W26" cm="1">
        <f t="array" ref="W26">SUM(--($B$8:$B$47&amp;$C$8:$C$47=F26))</f>
        <v>1</v>
      </c>
    </row>
    <row r="27" spans="1:23" x14ac:dyDescent="0.25">
      <c r="A27" s="16" t="str">
        <f t="shared" si="0"/>
        <v>DR584</v>
      </c>
      <c r="B27" s="1" t="s">
        <v>0</v>
      </c>
      <c r="C27" s="2">
        <v>584</v>
      </c>
      <c r="D27" s="4">
        <v>3240</v>
      </c>
      <c r="F27" s="3" t="s">
        <v>22</v>
      </c>
      <c r="G27" s="17">
        <f t="shared" si="1"/>
        <v>2</v>
      </c>
      <c r="H27" s="12">
        <f t="shared" si="2"/>
        <v>6353</v>
      </c>
      <c r="I27" s="33" t="str">
        <f t="shared" si="3"/>
        <v>Yes</v>
      </c>
      <c r="K27" s="3" t="s">
        <v>9</v>
      </c>
      <c r="L27" s="3">
        <v>3887</v>
      </c>
      <c r="M27" s="60"/>
      <c r="N27" s="60" cm="1">
        <f t="array" ref="N27">SUM(--(($B$8:$B$47&amp;$C$8:$C$47)=F27))</f>
        <v>2</v>
      </c>
      <c r="O27" s="60" cm="1">
        <f t="array" ref="O27">SUM((--(($B$8:$B$47&amp;$C$8:$C$47)=F27))*$D$8:$D$47)</f>
        <v>6353</v>
      </c>
      <c r="P27" s="60" t="str">
        <f t="shared" si="4"/>
        <v>YES</v>
      </c>
      <c r="S27" cm="1">
        <f t="array" ref="S27">SUM(IF(F27=$B$8:$B$47&amp;$C$8:$C$47, 1,0))</f>
        <v>2</v>
      </c>
      <c r="T27" cm="1">
        <f t="array" ref="T27">SUM(IF(F27=$B$8:$B$47&amp;$C$8:$C$47, $D$8:$D$47,0))</f>
        <v>6353</v>
      </c>
      <c r="U27" t="str">
        <f t="shared" si="5"/>
        <v>Yes</v>
      </c>
      <c r="W27" cm="1">
        <f t="array" ref="W27">SUM(--($B$8:$B$47&amp;$C$8:$C$47=F27))</f>
        <v>2</v>
      </c>
    </row>
    <row r="28" spans="1:23" x14ac:dyDescent="0.25">
      <c r="A28" s="16" t="str">
        <f t="shared" si="0"/>
        <v>ER914</v>
      </c>
      <c r="B28" s="1" t="s">
        <v>2</v>
      </c>
      <c r="C28" s="2">
        <v>914</v>
      </c>
      <c r="D28" s="4">
        <v>2756</v>
      </c>
      <c r="F28" s="3" t="s">
        <v>23</v>
      </c>
      <c r="G28" s="17">
        <f t="shared" si="1"/>
        <v>1</v>
      </c>
      <c r="H28" s="12">
        <f t="shared" si="2"/>
        <v>2592</v>
      </c>
      <c r="I28" s="33" t="str">
        <f t="shared" si="3"/>
        <v>Yes</v>
      </c>
      <c r="K28" s="3" t="s">
        <v>26</v>
      </c>
      <c r="L28" s="3">
        <v>3240</v>
      </c>
      <c r="M28" s="60"/>
      <c r="N28" s="60" cm="1">
        <f t="array" ref="N28">SUM(--(($B$8:$B$47&amp;$C$8:$C$47)=F28))</f>
        <v>1</v>
      </c>
      <c r="O28" s="60" cm="1">
        <f t="array" ref="O28">SUM((--(($B$8:$B$47&amp;$C$8:$C$47)=F28))*$D$8:$D$47)</f>
        <v>2592</v>
      </c>
      <c r="P28" s="60" t="str">
        <f t="shared" si="4"/>
        <v>YES</v>
      </c>
      <c r="S28" cm="1">
        <f t="array" ref="S28">SUM(IF(F28=$B$8:$B$47&amp;$C$8:$C$47, 1,0))</f>
        <v>1</v>
      </c>
      <c r="T28" cm="1">
        <f t="array" ref="T28">SUM(IF(F28=$B$8:$B$47&amp;$C$8:$C$47, $D$8:$D$47,0))</f>
        <v>2592</v>
      </c>
      <c r="U28" t="str">
        <f t="shared" si="5"/>
        <v>Yes</v>
      </c>
      <c r="W28" cm="1">
        <f t="array" ref="W28">SUM(--($B$8:$B$47&amp;$C$8:$C$47=F28))</f>
        <v>1</v>
      </c>
    </row>
    <row r="29" spans="1:23" x14ac:dyDescent="0.25">
      <c r="A29" s="16" t="str">
        <f t="shared" si="0"/>
        <v>ER698</v>
      </c>
      <c r="B29" s="1" t="s">
        <v>2</v>
      </c>
      <c r="C29" s="2">
        <v>698</v>
      </c>
      <c r="D29" s="4">
        <v>5556</v>
      </c>
      <c r="F29" s="3" t="s">
        <v>24</v>
      </c>
      <c r="G29" s="17">
        <f t="shared" si="1"/>
        <v>1</v>
      </c>
      <c r="H29" s="12">
        <f t="shared" si="2"/>
        <v>3825</v>
      </c>
      <c r="I29" s="33" t="str">
        <f t="shared" si="3"/>
        <v>Yes</v>
      </c>
      <c r="K29" s="3" t="s">
        <v>17</v>
      </c>
      <c r="L29" s="3">
        <v>2852</v>
      </c>
      <c r="M29" s="60"/>
      <c r="N29" s="60" cm="1">
        <f t="array" ref="N29">SUM(--(($B$8:$B$47&amp;$C$8:$C$47)=F29))</f>
        <v>1</v>
      </c>
      <c r="O29" s="60" cm="1">
        <f t="array" ref="O29">SUM((--(($B$8:$B$47&amp;$C$8:$C$47)=F29))*$D$8:$D$47)</f>
        <v>3825</v>
      </c>
      <c r="P29" s="60" t="str">
        <f t="shared" si="4"/>
        <v>YES</v>
      </c>
      <c r="S29" cm="1">
        <f t="array" ref="S29">SUM(IF(F29=$B$8:$B$47&amp;$C$8:$C$47, 1,0))</f>
        <v>1</v>
      </c>
      <c r="T29" cm="1">
        <f t="array" ref="T29">SUM(IF(F29=$B$8:$B$47&amp;$C$8:$C$47, $D$8:$D$47,0))</f>
        <v>3825</v>
      </c>
      <c r="U29" t="str">
        <f t="shared" si="5"/>
        <v>Yes</v>
      </c>
      <c r="W29" cm="1">
        <f t="array" ref="W29">SUM(--($B$8:$B$47&amp;$C$8:$C$47=F29))</f>
        <v>1</v>
      </c>
    </row>
    <row r="30" spans="1:23" x14ac:dyDescent="0.25">
      <c r="A30" s="16" t="str">
        <f t="shared" si="0"/>
        <v>ER753</v>
      </c>
      <c r="B30" s="1" t="s">
        <v>2</v>
      </c>
      <c r="C30" s="2">
        <v>753</v>
      </c>
      <c r="D30" s="4">
        <v>940</v>
      </c>
      <c r="F30" s="3" t="s">
        <v>25</v>
      </c>
      <c r="G30" s="17">
        <f t="shared" si="1"/>
        <v>3</v>
      </c>
      <c r="H30" s="12">
        <f t="shared" si="2"/>
        <v>2949</v>
      </c>
      <c r="I30" s="33" t="str">
        <f t="shared" si="3"/>
        <v>Yes</v>
      </c>
      <c r="K30" s="3" t="s">
        <v>4</v>
      </c>
      <c r="L30" s="3">
        <v>6332</v>
      </c>
      <c r="M30" s="60"/>
      <c r="N30" s="60" cm="1">
        <f t="array" ref="N30">SUM(--(($B$8:$B$47&amp;$C$8:$C$47)=F30))</f>
        <v>3</v>
      </c>
      <c r="O30" s="60" cm="1">
        <f t="array" ref="O30">SUM((--(($B$8:$B$47&amp;$C$8:$C$47)=F30))*$D$8:$D$47)</f>
        <v>2949</v>
      </c>
      <c r="P30" s="60" t="str">
        <f t="shared" si="4"/>
        <v>YES</v>
      </c>
      <c r="S30" cm="1">
        <f t="array" ref="S30">SUM(IF(F30=$B$8:$B$47&amp;$C$8:$C$47, 1,0))</f>
        <v>3</v>
      </c>
      <c r="T30" cm="1">
        <f t="array" ref="T30">SUM(IF(F30=$B$8:$B$47&amp;$C$8:$C$47, $D$8:$D$47,0))</f>
        <v>2949</v>
      </c>
      <c r="U30" t="str">
        <f t="shared" si="5"/>
        <v>Yes</v>
      </c>
      <c r="W30" cm="1">
        <f t="array" ref="W30">SUM(--($B$8:$B$47&amp;$C$8:$C$47=F30))</f>
        <v>3</v>
      </c>
    </row>
    <row r="31" spans="1:23" x14ac:dyDescent="0.25">
      <c r="A31" s="16" t="str">
        <f t="shared" si="0"/>
        <v>ER753</v>
      </c>
      <c r="B31" s="1" t="str">
        <f>B30</f>
        <v>ER</v>
      </c>
      <c r="C31" s="2">
        <f>C30</f>
        <v>753</v>
      </c>
      <c r="D31" s="4">
        <v>507</v>
      </c>
      <c r="F31" s="3" t="s">
        <v>26</v>
      </c>
      <c r="G31" s="17">
        <f t="shared" si="1"/>
        <v>1</v>
      </c>
      <c r="H31" s="12">
        <f t="shared" si="2"/>
        <v>3240</v>
      </c>
      <c r="I31" s="33" t="str">
        <f t="shared" si="3"/>
        <v>Yes</v>
      </c>
      <c r="K31" s="3" t="s">
        <v>7</v>
      </c>
      <c r="L31" s="3">
        <v>6569</v>
      </c>
      <c r="M31" s="60"/>
      <c r="N31" s="60" cm="1">
        <f t="array" ref="N31">SUM(--(($B$8:$B$47&amp;$C$8:$C$47)=F31))</f>
        <v>1</v>
      </c>
      <c r="O31" s="60" cm="1">
        <f t="array" ref="O31">SUM((--(($B$8:$B$47&amp;$C$8:$C$47)=F31))*$D$8:$D$47)</f>
        <v>3240</v>
      </c>
      <c r="P31" s="60" t="str">
        <f t="shared" si="4"/>
        <v>YES</v>
      </c>
      <c r="S31" cm="1">
        <f t="array" ref="S31">SUM(IF(F31=$B$8:$B$47&amp;$C$8:$C$47, 1,0))</f>
        <v>1</v>
      </c>
      <c r="T31" cm="1">
        <f t="array" ref="T31">SUM(IF(F31=$B$8:$B$47&amp;$C$8:$C$47, $D$8:$D$47,0))</f>
        <v>3240</v>
      </c>
      <c r="U31" t="str">
        <f t="shared" si="5"/>
        <v>Yes</v>
      </c>
      <c r="W31" cm="1">
        <f t="array" ref="W31">SUM(--($B$8:$B$47&amp;$C$8:$C$47=F31))</f>
        <v>1</v>
      </c>
    </row>
    <row r="32" spans="1:23" x14ac:dyDescent="0.25">
      <c r="A32" s="16" t="str">
        <f t="shared" si="0"/>
        <v>ER632</v>
      </c>
      <c r="B32" s="1" t="s">
        <v>2</v>
      </c>
      <c r="C32" s="2">
        <v>632</v>
      </c>
      <c r="D32" s="4">
        <v>457</v>
      </c>
      <c r="F32" s="3" t="s">
        <v>27</v>
      </c>
      <c r="G32" s="17">
        <f t="shared" si="1"/>
        <v>1</v>
      </c>
      <c r="H32" s="12">
        <f t="shared" si="2"/>
        <v>3035</v>
      </c>
      <c r="I32" s="33" t="str">
        <f t="shared" si="3"/>
        <v>Yes</v>
      </c>
      <c r="K32" s="3" t="s">
        <v>10</v>
      </c>
      <c r="L32" s="3">
        <v>1899</v>
      </c>
      <c r="M32" s="60"/>
      <c r="N32" s="60" cm="1">
        <f t="array" ref="N32">SUM(--(($B$8:$B$47&amp;$C$8:$C$47)=F32))</f>
        <v>1</v>
      </c>
      <c r="O32" s="60" cm="1">
        <f t="array" ref="O32">SUM((--(($B$8:$B$47&amp;$C$8:$C$47)=F32))*$D$8:$D$47)</f>
        <v>3035</v>
      </c>
      <c r="P32" s="60" t="str">
        <f t="shared" si="4"/>
        <v>YES</v>
      </c>
      <c r="S32" cm="1">
        <f t="array" ref="S32">SUM(IF(F32=$B$8:$B$47&amp;$C$8:$C$47, 1,0))</f>
        <v>1</v>
      </c>
      <c r="T32" cm="1">
        <f t="array" ref="T32">SUM(IF(F32=$B$8:$B$47&amp;$C$8:$C$47, $D$8:$D$47,0))</f>
        <v>3035</v>
      </c>
      <c r="U32" t="str">
        <f t="shared" si="5"/>
        <v>Yes</v>
      </c>
      <c r="W32" cm="1">
        <f t="array" ref="W32">SUM(--($B$8:$B$47&amp;$C$8:$C$47=F32))</f>
        <v>1</v>
      </c>
    </row>
    <row r="33" spans="1:23" x14ac:dyDescent="0.25">
      <c r="A33" s="16" t="str">
        <f t="shared" si="0"/>
        <v>ER171</v>
      </c>
      <c r="B33" s="1" t="s">
        <v>2</v>
      </c>
      <c r="C33" s="2">
        <v>171</v>
      </c>
      <c r="D33" s="4">
        <v>5602</v>
      </c>
      <c r="F33" s="3" t="s">
        <v>28</v>
      </c>
      <c r="G33" s="17">
        <f t="shared" si="1"/>
        <v>1</v>
      </c>
      <c r="H33" s="12">
        <f t="shared" si="2"/>
        <v>647</v>
      </c>
      <c r="I33" s="33">
        <f t="shared" si="3"/>
        <v>-1951</v>
      </c>
      <c r="K33" s="3" t="s">
        <v>23</v>
      </c>
      <c r="L33" s="3">
        <v>2592</v>
      </c>
      <c r="M33" s="60"/>
      <c r="N33" s="60" cm="1">
        <f t="array" ref="N33">SUM(--(($B$8:$B$47&amp;$C$8:$C$47)=F33))</f>
        <v>1</v>
      </c>
      <c r="O33" s="60" cm="1">
        <f t="array" ref="O33">SUM((--(($B$8:$B$47&amp;$C$8:$C$47)=F33))*$D$8:$D$47)</f>
        <v>647</v>
      </c>
      <c r="P33" s="60">
        <f t="shared" si="4"/>
        <v>-1951</v>
      </c>
      <c r="S33" cm="1">
        <f t="array" ref="S33">SUM(IF(F33=$B$8:$B$47&amp;$C$8:$C$47, 1,0))</f>
        <v>1</v>
      </c>
      <c r="T33" cm="1">
        <f t="array" ref="T33">SUM(IF(F33=$B$8:$B$47&amp;$C$8:$C$47, $D$8:$D$47,0))</f>
        <v>647</v>
      </c>
      <c r="U33">
        <f t="shared" si="5"/>
        <v>-1951</v>
      </c>
      <c r="W33" cm="1">
        <f t="array" ref="W33">SUM(--($B$8:$B$47&amp;$C$8:$C$47=F33))</f>
        <v>1</v>
      </c>
    </row>
    <row r="34" spans="1:23" x14ac:dyDescent="0.25">
      <c r="A34" s="16" t="str">
        <f t="shared" si="0"/>
        <v>ER171</v>
      </c>
      <c r="B34" s="1" t="str">
        <f>B33</f>
        <v>ER</v>
      </c>
      <c r="C34" s="2">
        <f>C33</f>
        <v>171</v>
      </c>
      <c r="D34" s="4">
        <v>751</v>
      </c>
      <c r="F34" s="3" t="s">
        <v>29</v>
      </c>
      <c r="G34" s="17">
        <f t="shared" si="1"/>
        <v>1</v>
      </c>
      <c r="H34" s="12">
        <f t="shared" si="2"/>
        <v>1521</v>
      </c>
      <c r="I34" s="33" t="str">
        <f t="shared" si="3"/>
        <v>Yes</v>
      </c>
      <c r="K34" s="3" t="s">
        <v>14</v>
      </c>
      <c r="L34" s="3">
        <v>3401</v>
      </c>
      <c r="M34" s="60"/>
      <c r="N34" s="60" cm="1">
        <f t="array" ref="N34">SUM(--(($B$8:$B$47&amp;$C$8:$C$47)=F34))</f>
        <v>1</v>
      </c>
      <c r="O34" s="60" cm="1">
        <f t="array" ref="O34">SUM((--(($B$8:$B$47&amp;$C$8:$C$47)=F34))*$D$8:$D$47)</f>
        <v>1521</v>
      </c>
      <c r="P34" s="60" t="str">
        <f t="shared" si="4"/>
        <v>YES</v>
      </c>
      <c r="S34" cm="1">
        <f t="array" ref="S34">SUM(IF(F34=$B$8:$B$47&amp;$C$8:$C$47, 1,0))</f>
        <v>1</v>
      </c>
      <c r="T34" cm="1">
        <f t="array" ref="T34">SUM(IF(F34=$B$8:$B$47&amp;$C$8:$C$47, $D$8:$D$47,0))</f>
        <v>1521</v>
      </c>
      <c r="U34" t="str">
        <f t="shared" si="5"/>
        <v>Yes</v>
      </c>
      <c r="W34" cm="1">
        <f t="array" ref="W34">SUM(--($B$8:$B$47&amp;$C$8:$C$47=F34))</f>
        <v>1</v>
      </c>
    </row>
    <row r="35" spans="1:23" x14ac:dyDescent="0.25">
      <c r="A35" s="16" t="str">
        <f t="shared" si="0"/>
        <v>ER351</v>
      </c>
      <c r="B35" s="1" t="s">
        <v>2</v>
      </c>
      <c r="C35" s="2">
        <v>351</v>
      </c>
      <c r="D35" s="4">
        <v>3582</v>
      </c>
    </row>
    <row r="36" spans="1:23" x14ac:dyDescent="0.25">
      <c r="A36" s="16" t="str">
        <f t="shared" si="0"/>
        <v>ER945</v>
      </c>
      <c r="B36" s="1" t="s">
        <v>2</v>
      </c>
      <c r="C36" s="2">
        <v>945</v>
      </c>
      <c r="D36" s="4">
        <v>5516</v>
      </c>
      <c r="I36" s="10" t="str">
        <f>IF(SUM(I10:I33)=3100,"Dobrze!","")</f>
        <v/>
      </c>
    </row>
    <row r="37" spans="1:23" x14ac:dyDescent="0.25">
      <c r="A37" s="16" t="str">
        <f t="shared" si="0"/>
        <v>ER945</v>
      </c>
      <c r="B37" s="1" t="str">
        <f>B36</f>
        <v>ER</v>
      </c>
      <c r="C37" s="2">
        <f>C36</f>
        <v>945</v>
      </c>
      <c r="D37" s="4">
        <v>816</v>
      </c>
    </row>
    <row r="38" spans="1:23" x14ac:dyDescent="0.25">
      <c r="A38" s="16" t="str">
        <f t="shared" si="0"/>
        <v>ER177</v>
      </c>
      <c r="B38" s="1" t="s">
        <v>2</v>
      </c>
      <c r="C38" s="2">
        <v>177</v>
      </c>
      <c r="D38" s="4">
        <v>1631</v>
      </c>
    </row>
    <row r="39" spans="1:23" x14ac:dyDescent="0.25">
      <c r="A39" s="16" t="str">
        <f t="shared" si="0"/>
        <v>CP569</v>
      </c>
      <c r="B39" s="1" t="s">
        <v>1</v>
      </c>
      <c r="C39" s="2">
        <v>569</v>
      </c>
      <c r="D39" s="4">
        <v>1817</v>
      </c>
    </row>
    <row r="40" spans="1:23" x14ac:dyDescent="0.25">
      <c r="A40" s="16" t="str">
        <f t="shared" si="0"/>
        <v>CP569</v>
      </c>
      <c r="B40" s="1" t="str">
        <f>B39</f>
        <v>CP</v>
      </c>
      <c r="C40" s="2">
        <f>C39</f>
        <v>569</v>
      </c>
      <c r="D40" s="4">
        <v>736</v>
      </c>
    </row>
    <row r="41" spans="1:23" x14ac:dyDescent="0.25">
      <c r="A41" s="16" t="str">
        <f t="shared" si="0"/>
        <v>CP569</v>
      </c>
      <c r="B41" s="1" t="str">
        <f>B40</f>
        <v>CP</v>
      </c>
      <c r="C41" s="2">
        <f>C40</f>
        <v>569</v>
      </c>
      <c r="D41" s="4">
        <v>392</v>
      </c>
    </row>
    <row r="42" spans="1:23" x14ac:dyDescent="0.25">
      <c r="A42" s="16" t="str">
        <f t="shared" si="0"/>
        <v>CP791</v>
      </c>
      <c r="B42" s="1" t="s">
        <v>1</v>
      </c>
      <c r="C42" s="2">
        <v>791</v>
      </c>
      <c r="D42" s="4">
        <v>2179</v>
      </c>
    </row>
    <row r="43" spans="1:23" x14ac:dyDescent="0.25">
      <c r="A43" s="16" t="str">
        <f t="shared" si="0"/>
        <v>CP548</v>
      </c>
      <c r="B43" s="1" t="s">
        <v>1</v>
      </c>
      <c r="C43" s="2">
        <v>548</v>
      </c>
      <c r="D43" s="4">
        <v>2852</v>
      </c>
    </row>
    <row r="44" spans="1:23" x14ac:dyDescent="0.25">
      <c r="A44" s="16" t="str">
        <f t="shared" si="0"/>
        <v>CP118</v>
      </c>
      <c r="B44" s="1" t="s">
        <v>1</v>
      </c>
      <c r="C44" s="2">
        <v>118</v>
      </c>
      <c r="D44" s="4">
        <v>3035</v>
      </c>
    </row>
    <row r="45" spans="1:23" x14ac:dyDescent="0.25">
      <c r="A45" s="16" t="str">
        <f t="shared" si="0"/>
        <v>CP891</v>
      </c>
      <c r="B45" s="1" t="s">
        <v>1</v>
      </c>
      <c r="C45" s="2">
        <v>891</v>
      </c>
      <c r="D45" s="4">
        <v>647</v>
      </c>
    </row>
    <row r="46" spans="1:23" x14ac:dyDescent="0.25">
      <c r="A46" s="16" t="str">
        <f t="shared" si="0"/>
        <v>CP869</v>
      </c>
      <c r="B46" s="1" t="s">
        <v>1</v>
      </c>
      <c r="C46" s="2">
        <v>869</v>
      </c>
      <c r="D46" s="4">
        <v>1521</v>
      </c>
    </row>
    <row r="47" spans="1:23" x14ac:dyDescent="0.25">
      <c r="A47" s="16" t="str">
        <f t="shared" si="0"/>
        <v>CP254</v>
      </c>
      <c r="B47" s="1" t="s">
        <v>1</v>
      </c>
      <c r="C47" s="2">
        <v>254</v>
      </c>
      <c r="D47" s="4">
        <v>2592</v>
      </c>
    </row>
  </sheetData>
  <phoneticPr fontId="2" type="noConversion"/>
  <conditionalFormatting sqref="I36">
    <cfRule type="cellIs" dxfId="1" priority="1" stopIfTrue="1" operator="equal">
      <formula>"Dobrze!"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/>
  <dimension ref="B2:N14"/>
  <sheetViews>
    <sheetView showGridLines="0" workbookViewId="0">
      <selection activeCell="E10" sqref="E10"/>
    </sheetView>
  </sheetViews>
  <sheetFormatPr defaultRowHeight="13.2" x14ac:dyDescent="0.25"/>
  <cols>
    <col min="2" max="2" width="11" customWidth="1"/>
    <col min="3" max="10" width="9" customWidth="1"/>
    <col min="11" max="11" width="10" bestFit="1" customWidth="1"/>
    <col min="12" max="12" width="9" customWidth="1"/>
    <col min="13" max="13" width="9.109375" bestFit="1" customWidth="1"/>
    <col min="14" max="14" width="9.44140625" bestFit="1" customWidth="1"/>
  </cols>
  <sheetData>
    <row r="2" spans="2:14" x14ac:dyDescent="0.25">
      <c r="B2" s="16" t="s">
        <v>232</v>
      </c>
    </row>
    <row r="5" spans="2:14" x14ac:dyDescent="0.25">
      <c r="B5" s="3"/>
      <c r="C5" s="13" t="s">
        <v>198</v>
      </c>
      <c r="D5" s="13" t="s">
        <v>199</v>
      </c>
      <c r="E5" s="13" t="s">
        <v>200</v>
      </c>
      <c r="F5" s="13" t="s">
        <v>201</v>
      </c>
      <c r="G5" s="13" t="s">
        <v>202</v>
      </c>
      <c r="H5" s="13" t="s">
        <v>203</v>
      </c>
      <c r="I5" s="13" t="s">
        <v>204</v>
      </c>
      <c r="J5" s="13" t="s">
        <v>205</v>
      </c>
      <c r="K5" s="13" t="s">
        <v>206</v>
      </c>
      <c r="L5" s="13" t="s">
        <v>207</v>
      </c>
      <c r="M5" s="13" t="s">
        <v>210</v>
      </c>
      <c r="N5" s="13" t="s">
        <v>211</v>
      </c>
    </row>
    <row r="6" spans="2:14" x14ac:dyDescent="0.25">
      <c r="B6" s="3" t="s">
        <v>33</v>
      </c>
      <c r="C6" s="15">
        <v>1610.3556230888521</v>
      </c>
      <c r="D6" s="15">
        <v>2212.7922926079764</v>
      </c>
      <c r="E6" s="15">
        <v>1870.5537038668986</v>
      </c>
      <c r="F6" s="15">
        <v>1660.4024596348568</v>
      </c>
      <c r="G6" s="15">
        <v>2322.8177369139112</v>
      </c>
      <c r="H6" s="15">
        <v>1900.8064068192987</v>
      </c>
      <c r="I6" s="15">
        <v>1581.8592268149957</v>
      </c>
      <c r="J6" s="15">
        <v>1913.1174009914967</v>
      </c>
      <c r="K6" s="15">
        <v>1304.7557288128658</v>
      </c>
      <c r="L6" s="15">
        <v>1944.1074114223843</v>
      </c>
      <c r="M6" s="15">
        <v>1637.4239915009857</v>
      </c>
      <c r="N6" s="15">
        <v>2154.218637017942</v>
      </c>
    </row>
    <row r="8" spans="2:14" x14ac:dyDescent="0.25">
      <c r="B8" s="3" t="s">
        <v>208</v>
      </c>
      <c r="C8" s="13">
        <v>10</v>
      </c>
      <c r="F8" s="14"/>
    </row>
    <row r="9" spans="2:14" x14ac:dyDescent="0.25">
      <c r="B9" s="3" t="s">
        <v>209</v>
      </c>
      <c r="C9" s="12">
        <f ca="1">SUM(C6:OFFSET(C6,0,C8-1))</f>
        <v>18321.567990973537</v>
      </c>
      <c r="E9">
        <f ca="1">SUM(OFFSET(B6,,1,,C8))</f>
        <v>18321.567990973537</v>
      </c>
    </row>
    <row r="11" spans="2:14" x14ac:dyDescent="0.25">
      <c r="C11" s="14"/>
    </row>
    <row r="12" spans="2:14" x14ac:dyDescent="0.25">
      <c r="C12">
        <f ca="1">SUM(OFFSET(B5,1,1,,C8))</f>
        <v>18321.567990973537</v>
      </c>
    </row>
    <row r="14" spans="2:14" x14ac:dyDescent="0.25">
      <c r="B14">
        <f ca="1">SUM(OFFSET(O6,0,-1,,-C8))</f>
        <v>18290.062703795636</v>
      </c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B2:J20"/>
  <sheetViews>
    <sheetView showGridLines="0" workbookViewId="0">
      <selection activeCell="J5" sqref="J5:J6"/>
    </sheetView>
  </sheetViews>
  <sheetFormatPr defaultRowHeight="13.2" x14ac:dyDescent="0.25"/>
  <cols>
    <col min="2" max="2" width="11.44140625" customWidth="1"/>
    <col min="5" max="5" width="10.44140625" bestFit="1" customWidth="1"/>
  </cols>
  <sheetData>
    <row r="2" spans="2:10" x14ac:dyDescent="0.25">
      <c r="B2" s="16" t="s">
        <v>233</v>
      </c>
    </row>
    <row r="4" spans="2:10" x14ac:dyDescent="0.25">
      <c r="B4" s="3"/>
      <c r="C4" s="3" t="s">
        <v>33</v>
      </c>
      <c r="E4" s="3"/>
      <c r="F4" s="3" t="s">
        <v>33</v>
      </c>
    </row>
    <row r="5" spans="2:10" x14ac:dyDescent="0.25">
      <c r="B5" s="3" t="s">
        <v>38</v>
      </c>
      <c r="C5" s="3">
        <v>778</v>
      </c>
      <c r="E5" s="3" t="s">
        <v>38</v>
      </c>
      <c r="F5" s="11" cm="1">
        <f t="array" ref="F5">SUM(IF(E5=$B$5:$B$13,$C$5:$C$12))</f>
        <v>1926</v>
      </c>
      <c r="G5" cm="1">
        <f t="array" ref="G5">SUM(IF($B$5:$B$12=E5,$C$5:$C$12,0))</f>
        <v>1926</v>
      </c>
      <c r="H5" cm="1">
        <f t="array" ref="H5">SUMPRODUCT(($B$5:$B$12=E5)*($C$5:$C$12))</f>
        <v>1926</v>
      </c>
      <c r="J5" cm="1">
        <f t="array" ref="J5">SUM(IF($B$5:$B$12=E5,$C$5:$C$12,0))</f>
        <v>1926</v>
      </c>
    </row>
    <row r="6" spans="2:10" x14ac:dyDescent="0.25">
      <c r="B6" s="3" t="s">
        <v>39</v>
      </c>
      <c r="C6" s="3">
        <v>205</v>
      </c>
      <c r="E6" s="3" t="s">
        <v>39</v>
      </c>
      <c r="F6" s="11">
        <f t="array" ref="F6">SUM(IF(E6=$B$5:$B$13,$C$5:$C$12))</f>
        <v>2049</v>
      </c>
      <c r="G6" cm="1">
        <f t="array" ref="G6">SUM(IF($B$5:$B$12=E6,$C$5:$C$12,0))</f>
        <v>2049</v>
      </c>
      <c r="H6" cm="1">
        <f t="array" ref="H6">SUMPRODUCT(($B$5:$B$12=E6)*($C$5:$C$12))</f>
        <v>2049</v>
      </c>
      <c r="J6" cm="1">
        <f t="array" ref="J6">SUM(IF($B$5:$B$12=E6,$C$5:$C$12,0))</f>
        <v>2049</v>
      </c>
    </row>
    <row r="7" spans="2:10" x14ac:dyDescent="0.25">
      <c r="B7" s="3" t="s">
        <v>38</v>
      </c>
      <c r="C7" s="3">
        <v>171</v>
      </c>
    </row>
    <row r="8" spans="2:10" x14ac:dyDescent="0.25">
      <c r="B8" s="3" t="s">
        <v>38</v>
      </c>
      <c r="C8" s="3">
        <v>349</v>
      </c>
    </row>
    <row r="9" spans="2:10" x14ac:dyDescent="0.25">
      <c r="B9" s="3" t="s">
        <v>39</v>
      </c>
      <c r="C9" s="3">
        <v>834</v>
      </c>
      <c r="F9" cm="1">
        <f t="array" ref="F9">SUM(IF($B$5:$B$12=E5, $C$5:$C$12,0))</f>
        <v>1926</v>
      </c>
    </row>
    <row r="10" spans="2:10" x14ac:dyDescent="0.25">
      <c r="B10" s="3" t="s">
        <v>39</v>
      </c>
      <c r="C10" s="3">
        <v>571</v>
      </c>
      <c r="F10" cm="1">
        <f t="array" ref="F10">SUM(IF($B$5:$B$12=E6, $C$5:$C$12,0))</f>
        <v>2049</v>
      </c>
    </row>
    <row r="11" spans="2:10" x14ac:dyDescent="0.25">
      <c r="B11" s="3" t="s">
        <v>38</v>
      </c>
      <c r="C11" s="3">
        <v>628</v>
      </c>
    </row>
    <row r="12" spans="2:10" x14ac:dyDescent="0.25">
      <c r="B12" s="3" t="s">
        <v>39</v>
      </c>
      <c r="C12" s="3">
        <v>439</v>
      </c>
    </row>
    <row r="20" spans="6:6" x14ac:dyDescent="0.25">
      <c r="F20" s="30"/>
    </row>
  </sheetData>
  <phoneticPr fontId="2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B2:Q160"/>
  <sheetViews>
    <sheetView showGridLines="0" workbookViewId="0">
      <selection activeCell="C42" sqref="C42"/>
    </sheetView>
  </sheetViews>
  <sheetFormatPr defaultRowHeight="13.2" x14ac:dyDescent="0.25"/>
  <cols>
    <col min="2" max="2" width="9.6640625" customWidth="1"/>
    <col min="5" max="5" width="13.33203125" bestFit="1" customWidth="1"/>
    <col min="6" max="6" width="13.88671875" bestFit="1" customWidth="1"/>
    <col min="7" max="7" width="13.44140625" bestFit="1" customWidth="1"/>
    <col min="8" max="8" width="17.44140625" customWidth="1"/>
    <col min="10" max="10" width="13.33203125" bestFit="1" customWidth="1"/>
    <col min="11" max="11" width="6.21875" bestFit="1" customWidth="1"/>
    <col min="12" max="12" width="16.109375" bestFit="1" customWidth="1"/>
    <col min="15" max="15" width="13.33203125" bestFit="1" customWidth="1"/>
    <col min="16" max="16" width="12.33203125" bestFit="1" customWidth="1"/>
    <col min="17" max="17" width="16.109375" bestFit="1" customWidth="1"/>
  </cols>
  <sheetData>
    <row r="2" spans="2:17" x14ac:dyDescent="0.25">
      <c r="B2" s="16" t="s">
        <v>234</v>
      </c>
    </row>
    <row r="4" spans="2:17" x14ac:dyDescent="0.25">
      <c r="B4" s="5" t="s">
        <v>40</v>
      </c>
      <c r="C4" s="5" t="s">
        <v>33</v>
      </c>
      <c r="E4" s="5"/>
      <c r="F4" s="5" t="s">
        <v>33</v>
      </c>
      <c r="G4" s="5" t="s">
        <v>197</v>
      </c>
      <c r="H4" s="31"/>
      <c r="J4" s="18"/>
      <c r="K4" s="20" t="s">
        <v>35</v>
      </c>
      <c r="L4" s="19"/>
      <c r="O4" s="34" t="s">
        <v>237</v>
      </c>
      <c r="P4" t="s">
        <v>215</v>
      </c>
      <c r="Q4" t="s">
        <v>216</v>
      </c>
    </row>
    <row r="5" spans="2:17" x14ac:dyDescent="0.25">
      <c r="B5" s="3" t="s">
        <v>41</v>
      </c>
      <c r="C5" s="4">
        <v>573</v>
      </c>
      <c r="E5" s="3" t="s">
        <v>226</v>
      </c>
      <c r="F5" s="11">
        <v>749</v>
      </c>
      <c r="G5" s="11">
        <v>15</v>
      </c>
      <c r="H5" s="32"/>
      <c r="J5" s="20" t="s">
        <v>33</v>
      </c>
      <c r="K5" s="18" t="s">
        <v>215</v>
      </c>
      <c r="L5" s="24" t="s">
        <v>216</v>
      </c>
      <c r="O5" s="35" t="s">
        <v>226</v>
      </c>
      <c r="P5" s="14">
        <v>749</v>
      </c>
      <c r="Q5">
        <v>15</v>
      </c>
    </row>
    <row r="6" spans="2:17" x14ac:dyDescent="0.25">
      <c r="B6" s="3" t="s">
        <v>42</v>
      </c>
      <c r="C6" s="4">
        <v>119</v>
      </c>
      <c r="E6" s="3" t="s">
        <v>217</v>
      </c>
      <c r="F6" s="11">
        <v>1310</v>
      </c>
      <c r="G6" s="11">
        <v>10</v>
      </c>
      <c r="H6" s="32"/>
      <c r="J6" s="21" t="s">
        <v>226</v>
      </c>
      <c r="K6" s="18">
        <v>749</v>
      </c>
      <c r="L6" s="24">
        <v>15</v>
      </c>
      <c r="O6" s="35" t="s">
        <v>217</v>
      </c>
      <c r="P6" s="14">
        <v>1310</v>
      </c>
      <c r="Q6">
        <v>10</v>
      </c>
    </row>
    <row r="7" spans="2:17" x14ac:dyDescent="0.25">
      <c r="B7" s="3" t="s">
        <v>43</v>
      </c>
      <c r="C7" s="4">
        <v>927</v>
      </c>
      <c r="E7" s="3" t="s">
        <v>218</v>
      </c>
      <c r="F7" s="11">
        <v>3855</v>
      </c>
      <c r="G7" s="11">
        <v>16</v>
      </c>
      <c r="H7" s="32"/>
      <c r="J7" s="22" t="s">
        <v>217</v>
      </c>
      <c r="K7" s="25">
        <v>1310</v>
      </c>
      <c r="L7" s="26">
        <v>10</v>
      </c>
      <c r="O7" s="35" t="s">
        <v>218</v>
      </c>
      <c r="P7" s="14">
        <v>3855</v>
      </c>
      <c r="Q7">
        <v>16</v>
      </c>
    </row>
    <row r="8" spans="2:17" x14ac:dyDescent="0.25">
      <c r="B8" s="3" t="s">
        <v>44</v>
      </c>
      <c r="C8" s="4">
        <v>727</v>
      </c>
      <c r="E8" s="3" t="s">
        <v>219</v>
      </c>
      <c r="F8" s="11">
        <v>5198</v>
      </c>
      <c r="G8" s="11">
        <v>15</v>
      </c>
      <c r="H8" s="32"/>
      <c r="J8" s="22" t="s">
        <v>218</v>
      </c>
      <c r="K8" s="25">
        <v>3855</v>
      </c>
      <c r="L8" s="26">
        <v>16</v>
      </c>
      <c r="O8" s="35" t="s">
        <v>219</v>
      </c>
      <c r="P8" s="14">
        <v>5198</v>
      </c>
      <c r="Q8">
        <v>15</v>
      </c>
    </row>
    <row r="9" spans="2:17" x14ac:dyDescent="0.25">
      <c r="B9" s="3" t="s">
        <v>45</v>
      </c>
      <c r="C9" s="4">
        <v>712</v>
      </c>
      <c r="E9" s="3" t="s">
        <v>220</v>
      </c>
      <c r="F9" s="11">
        <v>7584</v>
      </c>
      <c r="G9" s="11">
        <v>17</v>
      </c>
      <c r="H9" s="32"/>
      <c r="J9" s="22" t="s">
        <v>219</v>
      </c>
      <c r="K9" s="25">
        <v>5198</v>
      </c>
      <c r="L9" s="26">
        <v>15</v>
      </c>
      <c r="O9" s="35" t="s">
        <v>220</v>
      </c>
      <c r="P9" s="14">
        <v>7584</v>
      </c>
      <c r="Q9">
        <v>17</v>
      </c>
    </row>
    <row r="10" spans="2:17" x14ac:dyDescent="0.25">
      <c r="B10" s="3" t="s">
        <v>46</v>
      </c>
      <c r="C10" s="4">
        <v>652</v>
      </c>
      <c r="E10" s="3" t="s">
        <v>221</v>
      </c>
      <c r="F10" s="11">
        <v>7824</v>
      </c>
      <c r="G10" s="11">
        <v>14</v>
      </c>
      <c r="H10" s="32"/>
      <c r="J10" s="22" t="s">
        <v>220</v>
      </c>
      <c r="K10" s="25">
        <v>7584</v>
      </c>
      <c r="L10" s="26">
        <v>17</v>
      </c>
      <c r="O10" s="35" t="s">
        <v>221</v>
      </c>
      <c r="P10" s="14">
        <v>7824</v>
      </c>
      <c r="Q10">
        <v>14</v>
      </c>
    </row>
    <row r="11" spans="2:17" x14ac:dyDescent="0.25">
      <c r="B11" s="3" t="s">
        <v>47</v>
      </c>
      <c r="C11" s="4">
        <v>458</v>
      </c>
      <c r="E11" s="3" t="s">
        <v>222</v>
      </c>
      <c r="F11" s="11">
        <v>10788</v>
      </c>
      <c r="G11" s="11">
        <v>17</v>
      </c>
      <c r="H11" s="32"/>
      <c r="J11" s="22" t="s">
        <v>221</v>
      </c>
      <c r="K11" s="25">
        <v>7824</v>
      </c>
      <c r="L11" s="26">
        <v>14</v>
      </c>
      <c r="O11" s="35" t="s">
        <v>222</v>
      </c>
      <c r="P11" s="14">
        <v>10788</v>
      </c>
      <c r="Q11">
        <v>17</v>
      </c>
    </row>
    <row r="12" spans="2:17" x14ac:dyDescent="0.25">
      <c r="B12" s="3" t="s">
        <v>48</v>
      </c>
      <c r="C12" s="4">
        <v>207</v>
      </c>
      <c r="E12" s="3" t="s">
        <v>223</v>
      </c>
      <c r="F12" s="11">
        <v>11077</v>
      </c>
      <c r="G12" s="11">
        <v>15</v>
      </c>
      <c r="H12" s="32"/>
      <c r="J12" s="22" t="s">
        <v>222</v>
      </c>
      <c r="K12" s="25">
        <v>10788</v>
      </c>
      <c r="L12" s="26">
        <v>17</v>
      </c>
      <c r="O12" s="35" t="s">
        <v>223</v>
      </c>
      <c r="P12" s="14">
        <v>11077</v>
      </c>
      <c r="Q12">
        <v>15</v>
      </c>
    </row>
    <row r="13" spans="2:17" x14ac:dyDescent="0.25">
      <c r="B13" s="3" t="s">
        <v>49</v>
      </c>
      <c r="C13" s="4">
        <v>424</v>
      </c>
      <c r="E13" s="3" t="s">
        <v>224</v>
      </c>
      <c r="F13" s="11">
        <v>15217</v>
      </c>
      <c r="G13" s="11">
        <v>18</v>
      </c>
      <c r="H13" s="32"/>
      <c r="J13" s="22" t="s">
        <v>223</v>
      </c>
      <c r="K13" s="25">
        <v>11077</v>
      </c>
      <c r="L13" s="26">
        <v>15</v>
      </c>
      <c r="O13" s="35" t="s">
        <v>224</v>
      </c>
      <c r="P13" s="14">
        <v>15217</v>
      </c>
      <c r="Q13">
        <v>18</v>
      </c>
    </row>
    <row r="14" spans="2:17" x14ac:dyDescent="0.25">
      <c r="B14" s="3" t="s">
        <v>50</v>
      </c>
      <c r="C14" s="4">
        <v>63</v>
      </c>
      <c r="E14" s="29" t="s">
        <v>225</v>
      </c>
      <c r="F14" s="11">
        <v>18155</v>
      </c>
      <c r="G14" s="11">
        <v>19</v>
      </c>
      <c r="H14" s="32"/>
      <c r="J14" s="22" t="s">
        <v>224</v>
      </c>
      <c r="K14" s="25">
        <v>15217</v>
      </c>
      <c r="L14" s="26">
        <v>18</v>
      </c>
      <c r="O14" s="35" t="s">
        <v>225</v>
      </c>
      <c r="P14" s="14">
        <v>18155</v>
      </c>
      <c r="Q14">
        <v>19</v>
      </c>
    </row>
    <row r="15" spans="2:17" x14ac:dyDescent="0.25">
      <c r="B15" s="3" t="s">
        <v>51</v>
      </c>
      <c r="C15" s="4">
        <v>561</v>
      </c>
      <c r="J15" s="22" t="s">
        <v>225</v>
      </c>
      <c r="K15" s="25">
        <v>18155</v>
      </c>
      <c r="L15" s="26">
        <v>19</v>
      </c>
      <c r="O15" s="35" t="s">
        <v>214</v>
      </c>
      <c r="P15" s="14">
        <v>81757</v>
      </c>
      <c r="Q15">
        <v>156</v>
      </c>
    </row>
    <row r="16" spans="2:17" x14ac:dyDescent="0.25">
      <c r="B16" s="3" t="s">
        <v>52</v>
      </c>
      <c r="C16" s="4">
        <v>732</v>
      </c>
      <c r="E16" s="34" t="s">
        <v>237</v>
      </c>
      <c r="F16" t="s">
        <v>238</v>
      </c>
      <c r="J16" s="23" t="s">
        <v>214</v>
      </c>
      <c r="K16" s="27">
        <v>81757</v>
      </c>
      <c r="L16" s="28">
        <v>156</v>
      </c>
    </row>
    <row r="17" spans="2:12" x14ac:dyDescent="0.25">
      <c r="B17" s="3" t="s">
        <v>53</v>
      </c>
      <c r="C17" s="4">
        <v>119</v>
      </c>
      <c r="E17" s="35" t="s">
        <v>226</v>
      </c>
      <c r="F17">
        <v>15</v>
      </c>
    </row>
    <row r="18" spans="2:12" x14ac:dyDescent="0.25">
      <c r="B18" s="3" t="s">
        <v>54</v>
      </c>
      <c r="C18" s="4">
        <v>606</v>
      </c>
      <c r="E18" s="35" t="s">
        <v>217</v>
      </c>
      <c r="F18">
        <v>10</v>
      </c>
    </row>
    <row r="19" spans="2:12" x14ac:dyDescent="0.25">
      <c r="B19" s="3" t="s">
        <v>55</v>
      </c>
      <c r="C19" s="4">
        <v>613</v>
      </c>
      <c r="E19" s="35" t="s">
        <v>218</v>
      </c>
      <c r="F19">
        <v>16</v>
      </c>
    </row>
    <row r="20" spans="2:12" x14ac:dyDescent="0.25">
      <c r="B20" s="3" t="s">
        <v>56</v>
      </c>
      <c r="C20" s="4">
        <v>43</v>
      </c>
      <c r="E20" s="35" t="s">
        <v>219</v>
      </c>
      <c r="F20">
        <v>15</v>
      </c>
    </row>
    <row r="21" spans="2:12" x14ac:dyDescent="0.25">
      <c r="B21" s="3" t="s">
        <v>57</v>
      </c>
      <c r="C21" s="4">
        <v>952</v>
      </c>
      <c r="E21" s="35" t="s">
        <v>220</v>
      </c>
      <c r="F21">
        <v>17</v>
      </c>
    </row>
    <row r="22" spans="2:12" x14ac:dyDescent="0.25">
      <c r="B22" s="3" t="s">
        <v>58</v>
      </c>
      <c r="C22" s="4">
        <v>950</v>
      </c>
      <c r="E22" s="35" t="s">
        <v>221</v>
      </c>
      <c r="F22">
        <v>14</v>
      </c>
    </row>
    <row r="23" spans="2:12" x14ac:dyDescent="0.25">
      <c r="B23" s="3" t="s">
        <v>59</v>
      </c>
      <c r="C23" s="4">
        <v>276</v>
      </c>
      <c r="E23" s="35" t="s">
        <v>222</v>
      </c>
      <c r="F23">
        <v>17</v>
      </c>
    </row>
    <row r="24" spans="2:12" x14ac:dyDescent="0.25">
      <c r="B24" s="3" t="s">
        <v>60</v>
      </c>
      <c r="C24" s="4">
        <v>830</v>
      </c>
      <c r="E24" s="35" t="s">
        <v>223</v>
      </c>
      <c r="F24">
        <v>15</v>
      </c>
      <c r="J24" s="34" t="s">
        <v>237</v>
      </c>
      <c r="K24" t="s">
        <v>242</v>
      </c>
      <c r="L24" t="s">
        <v>216</v>
      </c>
    </row>
    <row r="25" spans="2:12" x14ac:dyDescent="0.25">
      <c r="B25" s="3" t="s">
        <v>61</v>
      </c>
      <c r="C25" s="4">
        <v>313</v>
      </c>
      <c r="E25" s="35" t="s">
        <v>224</v>
      </c>
      <c r="F25">
        <v>18</v>
      </c>
      <c r="J25" s="35" t="s">
        <v>226</v>
      </c>
      <c r="K25">
        <v>749</v>
      </c>
      <c r="L25">
        <v>15</v>
      </c>
    </row>
    <row r="26" spans="2:12" x14ac:dyDescent="0.25">
      <c r="B26" s="3" t="s">
        <v>62</v>
      </c>
      <c r="C26" s="4">
        <v>424</v>
      </c>
      <c r="E26" s="35" t="s">
        <v>225</v>
      </c>
      <c r="F26">
        <v>19</v>
      </c>
      <c r="J26" s="35" t="s">
        <v>217</v>
      </c>
      <c r="K26">
        <v>1310</v>
      </c>
      <c r="L26">
        <v>10</v>
      </c>
    </row>
    <row r="27" spans="2:12" x14ac:dyDescent="0.25">
      <c r="B27" s="3" t="s">
        <v>63</v>
      </c>
      <c r="C27" s="4">
        <v>68</v>
      </c>
      <c r="E27" s="35" t="s">
        <v>214</v>
      </c>
      <c r="F27">
        <v>156</v>
      </c>
      <c r="J27" s="35" t="s">
        <v>218</v>
      </c>
      <c r="K27">
        <v>3855</v>
      </c>
      <c r="L27">
        <v>16</v>
      </c>
    </row>
    <row r="28" spans="2:12" x14ac:dyDescent="0.25">
      <c r="B28" s="3" t="s">
        <v>64</v>
      </c>
      <c r="C28" s="4">
        <v>939</v>
      </c>
      <c r="J28" s="35" t="s">
        <v>219</v>
      </c>
      <c r="K28">
        <v>5198</v>
      </c>
      <c r="L28">
        <v>15</v>
      </c>
    </row>
    <row r="29" spans="2:12" x14ac:dyDescent="0.25">
      <c r="B29" s="3" t="s">
        <v>65</v>
      </c>
      <c r="C29" s="4">
        <v>754</v>
      </c>
      <c r="J29" s="35" t="s">
        <v>220</v>
      </c>
      <c r="K29">
        <v>7584</v>
      </c>
      <c r="L29">
        <v>17</v>
      </c>
    </row>
    <row r="30" spans="2:12" x14ac:dyDescent="0.25">
      <c r="B30" s="3" t="s">
        <v>66</v>
      </c>
      <c r="C30" s="4">
        <v>606</v>
      </c>
      <c r="J30" s="35" t="s">
        <v>221</v>
      </c>
      <c r="K30">
        <v>7824</v>
      </c>
      <c r="L30">
        <v>14</v>
      </c>
    </row>
    <row r="31" spans="2:12" x14ac:dyDescent="0.25">
      <c r="B31" s="3" t="s">
        <v>67</v>
      </c>
      <c r="C31" s="4">
        <v>434</v>
      </c>
      <c r="E31" s="34" t="s">
        <v>237</v>
      </c>
      <c r="F31" t="s">
        <v>257</v>
      </c>
      <c r="G31" t="s">
        <v>259</v>
      </c>
      <c r="J31" s="35" t="s">
        <v>222</v>
      </c>
      <c r="K31">
        <v>10788</v>
      </c>
      <c r="L31">
        <v>17</v>
      </c>
    </row>
    <row r="32" spans="2:12" x14ac:dyDescent="0.25">
      <c r="B32" s="3" t="s">
        <v>68</v>
      </c>
      <c r="C32" s="4">
        <v>894</v>
      </c>
      <c r="E32" s="35" t="s">
        <v>226</v>
      </c>
      <c r="F32" s="61">
        <v>15</v>
      </c>
      <c r="G32" s="14">
        <v>749</v>
      </c>
      <c r="J32" s="35" t="s">
        <v>223</v>
      </c>
      <c r="K32">
        <v>11077</v>
      </c>
      <c r="L32">
        <v>15</v>
      </c>
    </row>
    <row r="33" spans="2:12" x14ac:dyDescent="0.25">
      <c r="B33" s="3" t="s">
        <v>69</v>
      </c>
      <c r="C33" s="4">
        <v>702</v>
      </c>
      <c r="E33" s="35" t="s">
        <v>217</v>
      </c>
      <c r="F33" s="61">
        <v>10</v>
      </c>
      <c r="G33" s="14">
        <v>1310</v>
      </c>
      <c r="J33" s="35" t="s">
        <v>224</v>
      </c>
      <c r="K33">
        <v>15217</v>
      </c>
      <c r="L33">
        <v>18</v>
      </c>
    </row>
    <row r="34" spans="2:12" x14ac:dyDescent="0.25">
      <c r="B34" s="3" t="s">
        <v>70</v>
      </c>
      <c r="C34" s="4">
        <v>995</v>
      </c>
      <c r="E34" s="35" t="s">
        <v>218</v>
      </c>
      <c r="F34" s="61">
        <v>16</v>
      </c>
      <c r="G34" s="14">
        <v>3855</v>
      </c>
      <c r="J34" s="35" t="s">
        <v>225</v>
      </c>
      <c r="K34">
        <v>18155</v>
      </c>
      <c r="L34">
        <v>19</v>
      </c>
    </row>
    <row r="35" spans="2:12" x14ac:dyDescent="0.25">
      <c r="B35" s="3" t="s">
        <v>71</v>
      </c>
      <c r="C35" s="4">
        <v>83</v>
      </c>
      <c r="E35" s="35" t="s">
        <v>219</v>
      </c>
      <c r="F35" s="61">
        <v>15</v>
      </c>
      <c r="G35" s="14">
        <v>5198</v>
      </c>
      <c r="J35" s="35" t="s">
        <v>214</v>
      </c>
      <c r="K35">
        <v>81757</v>
      </c>
      <c r="L35">
        <v>156</v>
      </c>
    </row>
    <row r="36" spans="2:12" x14ac:dyDescent="0.25">
      <c r="B36" s="3" t="s">
        <v>72</v>
      </c>
      <c r="C36" s="4">
        <v>966</v>
      </c>
      <c r="E36" s="35" t="s">
        <v>220</v>
      </c>
      <c r="F36" s="61">
        <v>17</v>
      </c>
      <c r="G36" s="14">
        <v>7584</v>
      </c>
    </row>
    <row r="37" spans="2:12" x14ac:dyDescent="0.25">
      <c r="B37" s="3" t="s">
        <v>73</v>
      </c>
      <c r="C37" s="4">
        <v>925</v>
      </c>
      <c r="E37" s="35" t="s">
        <v>221</v>
      </c>
      <c r="F37" s="61">
        <v>14</v>
      </c>
      <c r="G37" s="14">
        <v>7824</v>
      </c>
    </row>
    <row r="38" spans="2:12" x14ac:dyDescent="0.25">
      <c r="B38" s="3" t="s">
        <v>74</v>
      </c>
      <c r="C38" s="4">
        <v>407</v>
      </c>
      <c r="E38" s="35" t="s">
        <v>222</v>
      </c>
      <c r="F38" s="61">
        <v>17</v>
      </c>
      <c r="G38" s="14">
        <v>10788</v>
      </c>
    </row>
    <row r="39" spans="2:12" x14ac:dyDescent="0.25">
      <c r="B39" s="3" t="s">
        <v>75</v>
      </c>
      <c r="C39" s="4">
        <v>497</v>
      </c>
      <c r="E39" s="35" t="s">
        <v>223</v>
      </c>
      <c r="F39" s="61">
        <v>15</v>
      </c>
      <c r="G39" s="14">
        <v>11077</v>
      </c>
    </row>
    <row r="40" spans="2:12" x14ac:dyDescent="0.25">
      <c r="B40" s="3" t="s">
        <v>76</v>
      </c>
      <c r="C40" s="4">
        <v>131</v>
      </c>
      <c r="E40" s="35" t="s">
        <v>224</v>
      </c>
      <c r="F40" s="61">
        <v>18</v>
      </c>
      <c r="G40" s="14">
        <v>15217</v>
      </c>
    </row>
    <row r="41" spans="2:12" x14ac:dyDescent="0.25">
      <c r="B41" s="3" t="s">
        <v>77</v>
      </c>
      <c r="C41" s="4">
        <v>244</v>
      </c>
      <c r="E41" s="35" t="s">
        <v>225</v>
      </c>
      <c r="F41" s="61">
        <v>19</v>
      </c>
      <c r="G41" s="14">
        <v>18155</v>
      </c>
    </row>
    <row r="42" spans="2:12" x14ac:dyDescent="0.25">
      <c r="B42" s="3" t="s">
        <v>78</v>
      </c>
      <c r="C42" s="4">
        <v>250</v>
      </c>
      <c r="E42" s="35" t="s">
        <v>214</v>
      </c>
      <c r="F42" s="61">
        <v>156</v>
      </c>
      <c r="G42" s="14">
        <v>81757</v>
      </c>
    </row>
    <row r="43" spans="2:12" x14ac:dyDescent="0.25">
      <c r="B43" s="3" t="s">
        <v>79</v>
      </c>
      <c r="C43" s="4">
        <v>365</v>
      </c>
    </row>
    <row r="44" spans="2:12" x14ac:dyDescent="0.25">
      <c r="B44" s="3" t="s">
        <v>80</v>
      </c>
      <c r="C44" s="4">
        <v>238</v>
      </c>
    </row>
    <row r="45" spans="2:12" x14ac:dyDescent="0.25">
      <c r="B45" s="3" t="s">
        <v>81</v>
      </c>
      <c r="C45" s="4">
        <v>491</v>
      </c>
    </row>
    <row r="46" spans="2:12" x14ac:dyDescent="0.25">
      <c r="B46" s="3" t="s">
        <v>82</v>
      </c>
      <c r="C46" s="4">
        <v>152</v>
      </c>
    </row>
    <row r="47" spans="2:12" x14ac:dyDescent="0.25">
      <c r="B47" s="3" t="s">
        <v>83</v>
      </c>
      <c r="C47" s="4">
        <v>981</v>
      </c>
    </row>
    <row r="48" spans="2:12" x14ac:dyDescent="0.25">
      <c r="B48" s="3" t="s">
        <v>84</v>
      </c>
      <c r="C48" s="4">
        <v>276</v>
      </c>
    </row>
    <row r="49" spans="2:3" x14ac:dyDescent="0.25">
      <c r="B49" s="3" t="s">
        <v>85</v>
      </c>
      <c r="C49" s="4">
        <v>809</v>
      </c>
    </row>
    <row r="50" spans="2:3" x14ac:dyDescent="0.25">
      <c r="B50" s="3" t="s">
        <v>86</v>
      </c>
      <c r="C50" s="4">
        <v>79</v>
      </c>
    </row>
    <row r="51" spans="2:3" x14ac:dyDescent="0.25">
      <c r="B51" s="3" t="s">
        <v>87</v>
      </c>
      <c r="C51" s="4">
        <v>347</v>
      </c>
    </row>
    <row r="52" spans="2:3" x14ac:dyDescent="0.25">
      <c r="B52" s="3" t="s">
        <v>88</v>
      </c>
      <c r="C52" s="4">
        <v>983</v>
      </c>
    </row>
    <row r="53" spans="2:3" x14ac:dyDescent="0.25">
      <c r="B53" s="3" t="s">
        <v>89</v>
      </c>
      <c r="C53" s="4">
        <v>773</v>
      </c>
    </row>
    <row r="54" spans="2:3" x14ac:dyDescent="0.25">
      <c r="B54" s="3" t="s">
        <v>90</v>
      </c>
      <c r="C54" s="4">
        <v>621</v>
      </c>
    </row>
    <row r="55" spans="2:3" x14ac:dyDescent="0.25">
      <c r="B55" s="3" t="s">
        <v>91</v>
      </c>
      <c r="C55" s="4">
        <v>874</v>
      </c>
    </row>
    <row r="56" spans="2:3" x14ac:dyDescent="0.25">
      <c r="B56" s="3" t="s">
        <v>92</v>
      </c>
      <c r="C56" s="4">
        <v>807</v>
      </c>
    </row>
    <row r="57" spans="2:3" x14ac:dyDescent="0.25">
      <c r="B57" s="3" t="s">
        <v>93</v>
      </c>
      <c r="C57" s="4">
        <v>135</v>
      </c>
    </row>
    <row r="58" spans="2:3" x14ac:dyDescent="0.25">
      <c r="B58" s="3" t="s">
        <v>94</v>
      </c>
      <c r="C58" s="4">
        <v>670</v>
      </c>
    </row>
    <row r="59" spans="2:3" x14ac:dyDescent="0.25">
      <c r="B59" s="3" t="s">
        <v>95</v>
      </c>
      <c r="C59" s="4">
        <v>494</v>
      </c>
    </row>
    <row r="60" spans="2:3" x14ac:dyDescent="0.25">
      <c r="B60" s="3" t="s">
        <v>96</v>
      </c>
      <c r="C60" s="4">
        <v>997</v>
      </c>
    </row>
    <row r="61" spans="2:3" x14ac:dyDescent="0.25">
      <c r="B61" s="3" t="s">
        <v>97</v>
      </c>
      <c r="C61" s="4">
        <v>176</v>
      </c>
    </row>
    <row r="62" spans="2:3" x14ac:dyDescent="0.25">
      <c r="B62" s="3" t="s">
        <v>98</v>
      </c>
      <c r="C62" s="4">
        <v>455</v>
      </c>
    </row>
    <row r="63" spans="2:3" x14ac:dyDescent="0.25">
      <c r="B63" s="3" t="s">
        <v>99</v>
      </c>
      <c r="C63" s="4">
        <v>211</v>
      </c>
    </row>
    <row r="64" spans="2:3" x14ac:dyDescent="0.25">
      <c r="B64" s="3" t="s">
        <v>100</v>
      </c>
      <c r="C64" s="4">
        <v>44</v>
      </c>
    </row>
    <row r="65" spans="2:3" x14ac:dyDescent="0.25">
      <c r="B65" s="3" t="s">
        <v>101</v>
      </c>
      <c r="C65" s="4">
        <v>876</v>
      </c>
    </row>
    <row r="66" spans="2:3" x14ac:dyDescent="0.25">
      <c r="B66" s="3" t="s">
        <v>102</v>
      </c>
      <c r="C66" s="4">
        <v>665</v>
      </c>
    </row>
    <row r="67" spans="2:3" x14ac:dyDescent="0.25">
      <c r="B67" s="3" t="s">
        <v>103</v>
      </c>
      <c r="C67" s="4">
        <v>970</v>
      </c>
    </row>
    <row r="68" spans="2:3" x14ac:dyDescent="0.25">
      <c r="B68" s="3" t="s">
        <v>104</v>
      </c>
      <c r="C68" s="4">
        <v>413</v>
      </c>
    </row>
    <row r="69" spans="2:3" x14ac:dyDescent="0.25">
      <c r="B69" s="3" t="s">
        <v>105</v>
      </c>
      <c r="C69" s="4">
        <v>651</v>
      </c>
    </row>
    <row r="70" spans="2:3" x14ac:dyDescent="0.25">
      <c r="B70" s="3" t="s">
        <v>106</v>
      </c>
      <c r="C70" s="4">
        <v>787</v>
      </c>
    </row>
    <row r="71" spans="2:3" x14ac:dyDescent="0.25">
      <c r="B71" s="3" t="s">
        <v>107</v>
      </c>
      <c r="C71" s="4">
        <v>448</v>
      </c>
    </row>
    <row r="72" spans="2:3" x14ac:dyDescent="0.25">
      <c r="B72" s="3" t="s">
        <v>108</v>
      </c>
      <c r="C72" s="4">
        <v>772</v>
      </c>
    </row>
    <row r="73" spans="2:3" x14ac:dyDescent="0.25">
      <c r="B73" s="3" t="s">
        <v>109</v>
      </c>
      <c r="C73" s="4">
        <v>518</v>
      </c>
    </row>
    <row r="74" spans="2:3" x14ac:dyDescent="0.25">
      <c r="B74" s="3" t="s">
        <v>110</v>
      </c>
      <c r="C74" s="4">
        <v>608</v>
      </c>
    </row>
    <row r="75" spans="2:3" x14ac:dyDescent="0.25">
      <c r="B75" s="3" t="s">
        <v>111</v>
      </c>
      <c r="C75" s="4">
        <v>155</v>
      </c>
    </row>
    <row r="76" spans="2:3" x14ac:dyDescent="0.25">
      <c r="B76" s="3" t="s">
        <v>112</v>
      </c>
      <c r="C76" s="4">
        <v>820</v>
      </c>
    </row>
    <row r="77" spans="2:3" x14ac:dyDescent="0.25">
      <c r="B77" s="3" t="s">
        <v>113</v>
      </c>
      <c r="C77" s="4">
        <v>624</v>
      </c>
    </row>
    <row r="78" spans="2:3" x14ac:dyDescent="0.25">
      <c r="B78" s="3" t="s">
        <v>114</v>
      </c>
      <c r="C78" s="4">
        <v>344</v>
      </c>
    </row>
    <row r="79" spans="2:3" x14ac:dyDescent="0.25">
      <c r="B79" s="3" t="s">
        <v>115</v>
      </c>
      <c r="C79" s="4">
        <v>309</v>
      </c>
    </row>
    <row r="80" spans="2:3" x14ac:dyDescent="0.25">
      <c r="B80" s="3" t="s">
        <v>116</v>
      </c>
      <c r="C80" s="4">
        <v>742</v>
      </c>
    </row>
    <row r="81" spans="2:3" x14ac:dyDescent="0.25">
      <c r="B81" s="3" t="s">
        <v>117</v>
      </c>
      <c r="C81" s="4">
        <v>511</v>
      </c>
    </row>
    <row r="82" spans="2:3" x14ac:dyDescent="0.25">
      <c r="B82" s="3" t="s">
        <v>118</v>
      </c>
      <c r="C82" s="4">
        <v>348</v>
      </c>
    </row>
    <row r="83" spans="2:3" x14ac:dyDescent="0.25">
      <c r="B83" s="3" t="s">
        <v>119</v>
      </c>
      <c r="C83" s="4">
        <v>583</v>
      </c>
    </row>
    <row r="84" spans="2:3" x14ac:dyDescent="0.25">
      <c r="B84" s="3" t="s">
        <v>120</v>
      </c>
      <c r="C84" s="4">
        <v>726</v>
      </c>
    </row>
    <row r="85" spans="2:3" x14ac:dyDescent="0.25">
      <c r="B85" s="3" t="s">
        <v>121</v>
      </c>
      <c r="C85" s="4">
        <v>597</v>
      </c>
    </row>
    <row r="86" spans="2:3" x14ac:dyDescent="0.25">
      <c r="B86" s="3" t="s">
        <v>122</v>
      </c>
      <c r="C86" s="4">
        <v>586</v>
      </c>
    </row>
    <row r="87" spans="2:3" x14ac:dyDescent="0.25">
      <c r="B87" s="3" t="s">
        <v>123</v>
      </c>
      <c r="C87" s="4">
        <v>882</v>
      </c>
    </row>
    <row r="88" spans="2:3" x14ac:dyDescent="0.25">
      <c r="B88" s="3" t="s">
        <v>124</v>
      </c>
      <c r="C88" s="4">
        <v>871</v>
      </c>
    </row>
    <row r="89" spans="2:3" x14ac:dyDescent="0.25">
      <c r="B89" s="3" t="s">
        <v>125</v>
      </c>
      <c r="C89" s="4">
        <v>227</v>
      </c>
    </row>
    <row r="90" spans="2:3" x14ac:dyDescent="0.25">
      <c r="B90" s="3" t="s">
        <v>126</v>
      </c>
      <c r="C90" s="4">
        <v>863</v>
      </c>
    </row>
    <row r="91" spans="2:3" x14ac:dyDescent="0.25">
      <c r="B91" s="3" t="s">
        <v>127</v>
      </c>
      <c r="C91" s="4">
        <v>64</v>
      </c>
    </row>
    <row r="92" spans="2:3" x14ac:dyDescent="0.25">
      <c r="B92" s="3" t="s">
        <v>128</v>
      </c>
      <c r="C92" s="4">
        <v>22</v>
      </c>
    </row>
    <row r="93" spans="2:3" x14ac:dyDescent="0.25">
      <c r="B93" s="3" t="s">
        <v>129</v>
      </c>
      <c r="C93" s="4">
        <v>675</v>
      </c>
    </row>
    <row r="94" spans="2:3" x14ac:dyDescent="0.25">
      <c r="B94" s="3" t="s">
        <v>130</v>
      </c>
      <c r="C94" s="4">
        <v>35</v>
      </c>
    </row>
    <row r="95" spans="2:3" x14ac:dyDescent="0.25">
      <c r="B95" s="3" t="s">
        <v>131</v>
      </c>
      <c r="C95" s="4">
        <v>408</v>
      </c>
    </row>
    <row r="96" spans="2:3" x14ac:dyDescent="0.25">
      <c r="B96" s="3" t="s">
        <v>132</v>
      </c>
      <c r="C96" s="4">
        <v>21</v>
      </c>
    </row>
    <row r="97" spans="2:3" x14ac:dyDescent="0.25">
      <c r="B97" s="3" t="s">
        <v>133</v>
      </c>
      <c r="C97" s="4">
        <v>478</v>
      </c>
    </row>
    <row r="98" spans="2:3" x14ac:dyDescent="0.25">
      <c r="B98" s="3" t="s">
        <v>134</v>
      </c>
      <c r="C98" s="4">
        <v>807</v>
      </c>
    </row>
    <row r="99" spans="2:3" x14ac:dyDescent="0.25">
      <c r="B99" s="3" t="s">
        <v>135</v>
      </c>
      <c r="C99" s="4">
        <v>982</v>
      </c>
    </row>
    <row r="100" spans="2:3" x14ac:dyDescent="0.25">
      <c r="B100" s="3" t="s">
        <v>136</v>
      </c>
      <c r="C100" s="4">
        <v>352</v>
      </c>
    </row>
    <row r="101" spans="2:3" x14ac:dyDescent="0.25">
      <c r="B101" s="3" t="s">
        <v>137</v>
      </c>
      <c r="C101" s="4">
        <v>205</v>
      </c>
    </row>
    <row r="102" spans="2:3" x14ac:dyDescent="0.25">
      <c r="B102" s="3" t="s">
        <v>138</v>
      </c>
      <c r="C102" s="4">
        <v>233</v>
      </c>
    </row>
    <row r="103" spans="2:3" x14ac:dyDescent="0.25">
      <c r="B103" s="3" t="s">
        <v>139</v>
      </c>
      <c r="C103" s="4">
        <v>330</v>
      </c>
    </row>
    <row r="104" spans="2:3" x14ac:dyDescent="0.25">
      <c r="B104" s="3" t="s">
        <v>140</v>
      </c>
      <c r="C104" s="4">
        <v>877</v>
      </c>
    </row>
    <row r="105" spans="2:3" x14ac:dyDescent="0.25">
      <c r="B105" s="3" t="s">
        <v>141</v>
      </c>
      <c r="C105" s="4">
        <v>913</v>
      </c>
    </row>
    <row r="106" spans="2:3" x14ac:dyDescent="0.25">
      <c r="B106" s="3" t="s">
        <v>142</v>
      </c>
      <c r="C106" s="4">
        <v>916</v>
      </c>
    </row>
    <row r="107" spans="2:3" x14ac:dyDescent="0.25">
      <c r="B107" s="3" t="s">
        <v>143</v>
      </c>
      <c r="C107" s="4">
        <v>851</v>
      </c>
    </row>
    <row r="108" spans="2:3" x14ac:dyDescent="0.25">
      <c r="B108" s="3" t="s">
        <v>144</v>
      </c>
      <c r="C108" s="4">
        <v>974</v>
      </c>
    </row>
    <row r="109" spans="2:3" x14ac:dyDescent="0.25">
      <c r="B109" s="3" t="s">
        <v>145</v>
      </c>
      <c r="C109" s="4">
        <v>606</v>
      </c>
    </row>
    <row r="110" spans="2:3" x14ac:dyDescent="0.25">
      <c r="B110" s="3" t="s">
        <v>146</v>
      </c>
      <c r="C110" s="4">
        <v>532</v>
      </c>
    </row>
    <row r="111" spans="2:3" x14ac:dyDescent="0.25">
      <c r="B111" s="3" t="s">
        <v>147</v>
      </c>
      <c r="C111" s="4">
        <v>587</v>
      </c>
    </row>
    <row r="112" spans="2:3" x14ac:dyDescent="0.25">
      <c r="B112" s="3" t="s">
        <v>148</v>
      </c>
      <c r="C112" s="4">
        <v>502</v>
      </c>
    </row>
    <row r="113" spans="2:3" x14ac:dyDescent="0.25">
      <c r="B113" s="3" t="s">
        <v>149</v>
      </c>
      <c r="C113" s="4">
        <v>595</v>
      </c>
    </row>
    <row r="114" spans="2:3" x14ac:dyDescent="0.25">
      <c r="B114" s="3" t="s">
        <v>150</v>
      </c>
      <c r="C114" s="4">
        <v>106</v>
      </c>
    </row>
    <row r="115" spans="2:3" x14ac:dyDescent="0.25">
      <c r="B115" s="3" t="s">
        <v>151</v>
      </c>
      <c r="C115" s="4">
        <v>523</v>
      </c>
    </row>
    <row r="116" spans="2:3" x14ac:dyDescent="0.25">
      <c r="B116" s="3" t="s">
        <v>152</v>
      </c>
      <c r="C116" s="4">
        <v>313</v>
      </c>
    </row>
    <row r="117" spans="2:3" x14ac:dyDescent="0.25">
      <c r="B117" s="3" t="s">
        <v>153</v>
      </c>
      <c r="C117" s="4">
        <v>625</v>
      </c>
    </row>
    <row r="118" spans="2:3" x14ac:dyDescent="0.25">
      <c r="B118" s="3" t="s">
        <v>154</v>
      </c>
      <c r="C118" s="4">
        <v>701</v>
      </c>
    </row>
    <row r="119" spans="2:3" x14ac:dyDescent="0.25">
      <c r="B119" s="3" t="s">
        <v>155</v>
      </c>
      <c r="C119" s="4">
        <v>722</v>
      </c>
    </row>
    <row r="120" spans="2:3" x14ac:dyDescent="0.25">
      <c r="B120" s="3" t="s">
        <v>156</v>
      </c>
      <c r="C120" s="4">
        <v>715</v>
      </c>
    </row>
    <row r="121" spans="2:3" x14ac:dyDescent="0.25">
      <c r="B121" s="3" t="s">
        <v>157</v>
      </c>
      <c r="C121" s="4">
        <v>78</v>
      </c>
    </row>
    <row r="122" spans="2:3" x14ac:dyDescent="0.25">
      <c r="B122" s="3" t="s">
        <v>158</v>
      </c>
      <c r="C122" s="4">
        <v>239</v>
      </c>
    </row>
    <row r="123" spans="2:3" x14ac:dyDescent="0.25">
      <c r="B123" s="3" t="s">
        <v>159</v>
      </c>
      <c r="C123" s="4">
        <v>285</v>
      </c>
    </row>
    <row r="124" spans="2:3" x14ac:dyDescent="0.25">
      <c r="B124" s="3" t="s">
        <v>160</v>
      </c>
      <c r="C124" s="4">
        <v>355</v>
      </c>
    </row>
    <row r="125" spans="2:3" x14ac:dyDescent="0.25">
      <c r="B125" s="3" t="s">
        <v>161</v>
      </c>
      <c r="C125" s="4">
        <v>106</v>
      </c>
    </row>
    <row r="126" spans="2:3" x14ac:dyDescent="0.25">
      <c r="B126" s="3" t="s">
        <v>162</v>
      </c>
      <c r="C126" s="4">
        <v>947</v>
      </c>
    </row>
    <row r="127" spans="2:3" x14ac:dyDescent="0.25">
      <c r="B127" s="3" t="s">
        <v>163</v>
      </c>
      <c r="C127" s="4">
        <v>332</v>
      </c>
    </row>
    <row r="128" spans="2:3" x14ac:dyDescent="0.25">
      <c r="B128" s="3" t="s">
        <v>164</v>
      </c>
      <c r="C128" s="4">
        <v>852</v>
      </c>
    </row>
    <row r="129" spans="2:3" x14ac:dyDescent="0.25">
      <c r="B129" s="3" t="s">
        <v>165</v>
      </c>
      <c r="C129" s="4">
        <v>479</v>
      </c>
    </row>
    <row r="130" spans="2:3" x14ac:dyDescent="0.25">
      <c r="B130" s="3" t="s">
        <v>166</v>
      </c>
      <c r="C130" s="4">
        <v>401</v>
      </c>
    </row>
    <row r="131" spans="2:3" x14ac:dyDescent="0.25">
      <c r="B131" s="3" t="s">
        <v>167</v>
      </c>
      <c r="C131" s="4">
        <v>800</v>
      </c>
    </row>
    <row r="132" spans="2:3" x14ac:dyDescent="0.25">
      <c r="B132" s="3" t="s">
        <v>168</v>
      </c>
      <c r="C132" s="4">
        <v>594</v>
      </c>
    </row>
    <row r="133" spans="2:3" x14ac:dyDescent="0.25">
      <c r="B133" s="3" t="s">
        <v>169</v>
      </c>
      <c r="C133" s="4">
        <v>9</v>
      </c>
    </row>
    <row r="134" spans="2:3" x14ac:dyDescent="0.25">
      <c r="B134" s="3" t="s">
        <v>170</v>
      </c>
      <c r="C134" s="4">
        <v>730</v>
      </c>
    </row>
    <row r="135" spans="2:3" x14ac:dyDescent="0.25">
      <c r="B135" s="3" t="s">
        <v>171</v>
      </c>
      <c r="C135" s="4">
        <v>49</v>
      </c>
    </row>
    <row r="136" spans="2:3" x14ac:dyDescent="0.25">
      <c r="B136" s="3" t="s">
        <v>172</v>
      </c>
      <c r="C136" s="4">
        <v>948</v>
      </c>
    </row>
    <row r="137" spans="2:3" x14ac:dyDescent="0.25">
      <c r="B137" s="3" t="s">
        <v>173</v>
      </c>
      <c r="C137" s="4">
        <v>431</v>
      </c>
    </row>
    <row r="138" spans="2:3" x14ac:dyDescent="0.25">
      <c r="B138" s="3" t="s">
        <v>174</v>
      </c>
      <c r="C138" s="4">
        <v>614</v>
      </c>
    </row>
    <row r="139" spans="2:3" x14ac:dyDescent="0.25">
      <c r="B139" s="3" t="s">
        <v>175</v>
      </c>
      <c r="C139" s="4">
        <v>782</v>
      </c>
    </row>
    <row r="140" spans="2:3" x14ac:dyDescent="0.25">
      <c r="B140" s="3" t="s">
        <v>176</v>
      </c>
      <c r="C140" s="4">
        <v>385</v>
      </c>
    </row>
    <row r="141" spans="2:3" x14ac:dyDescent="0.25">
      <c r="B141" s="3" t="s">
        <v>177</v>
      </c>
      <c r="C141" s="4">
        <v>382</v>
      </c>
    </row>
    <row r="142" spans="2:3" x14ac:dyDescent="0.25">
      <c r="B142" s="3" t="s">
        <v>178</v>
      </c>
      <c r="C142" s="4">
        <v>562</v>
      </c>
    </row>
    <row r="143" spans="2:3" x14ac:dyDescent="0.25">
      <c r="B143" s="3" t="s">
        <v>179</v>
      </c>
      <c r="C143" s="4">
        <v>58</v>
      </c>
    </row>
    <row r="144" spans="2:3" x14ac:dyDescent="0.25">
      <c r="B144" s="3" t="s">
        <v>180</v>
      </c>
      <c r="C144" s="4">
        <v>33</v>
      </c>
    </row>
    <row r="145" spans="2:3" x14ac:dyDescent="0.25">
      <c r="B145" s="3" t="s">
        <v>181</v>
      </c>
      <c r="C145" s="4">
        <v>698</v>
      </c>
    </row>
    <row r="146" spans="2:3" x14ac:dyDescent="0.25">
      <c r="B146" s="3" t="s">
        <v>182</v>
      </c>
      <c r="C146" s="4">
        <v>363</v>
      </c>
    </row>
    <row r="147" spans="2:3" x14ac:dyDescent="0.25">
      <c r="B147" s="3" t="s">
        <v>183</v>
      </c>
      <c r="C147" s="4">
        <v>966</v>
      </c>
    </row>
    <row r="148" spans="2:3" x14ac:dyDescent="0.25">
      <c r="B148" s="3" t="s">
        <v>184</v>
      </c>
      <c r="C148" s="4">
        <v>844</v>
      </c>
    </row>
    <row r="149" spans="2:3" x14ac:dyDescent="0.25">
      <c r="B149" s="3" t="s">
        <v>185</v>
      </c>
      <c r="C149" s="4">
        <v>924</v>
      </c>
    </row>
    <row r="150" spans="2:3" x14ac:dyDescent="0.25">
      <c r="B150" s="3" t="s">
        <v>186</v>
      </c>
      <c r="C150" s="4">
        <v>111</v>
      </c>
    </row>
    <row r="151" spans="2:3" x14ac:dyDescent="0.25">
      <c r="B151" s="3" t="s">
        <v>187</v>
      </c>
      <c r="C151" s="4">
        <v>609</v>
      </c>
    </row>
    <row r="152" spans="2:3" x14ac:dyDescent="0.25">
      <c r="B152" s="3" t="s">
        <v>188</v>
      </c>
      <c r="C152" s="4">
        <v>645</v>
      </c>
    </row>
    <row r="153" spans="2:3" x14ac:dyDescent="0.25">
      <c r="B153" s="3" t="s">
        <v>189</v>
      </c>
      <c r="C153" s="4">
        <v>219</v>
      </c>
    </row>
    <row r="154" spans="2:3" x14ac:dyDescent="0.25">
      <c r="B154" s="3" t="s">
        <v>190</v>
      </c>
      <c r="C154" s="4">
        <v>211</v>
      </c>
    </row>
    <row r="155" spans="2:3" x14ac:dyDescent="0.25">
      <c r="B155" s="3" t="s">
        <v>191</v>
      </c>
      <c r="C155" s="4">
        <v>257</v>
      </c>
    </row>
    <row r="156" spans="2:3" x14ac:dyDescent="0.25">
      <c r="B156" s="3" t="s">
        <v>192</v>
      </c>
      <c r="C156" s="4">
        <v>442</v>
      </c>
    </row>
    <row r="157" spans="2:3" x14ac:dyDescent="0.25">
      <c r="B157" s="3" t="s">
        <v>193</v>
      </c>
      <c r="C157" s="4">
        <v>277</v>
      </c>
    </row>
    <row r="158" spans="2:3" x14ac:dyDescent="0.25">
      <c r="B158" s="3" t="s">
        <v>194</v>
      </c>
      <c r="C158" s="4">
        <v>845</v>
      </c>
    </row>
    <row r="159" spans="2:3" x14ac:dyDescent="0.25">
      <c r="B159" s="3" t="s">
        <v>195</v>
      </c>
      <c r="C159" s="4">
        <v>815</v>
      </c>
    </row>
    <row r="160" spans="2:3" x14ac:dyDescent="0.25">
      <c r="B160" s="3" t="s">
        <v>196</v>
      </c>
      <c r="C160" s="4">
        <v>360</v>
      </c>
    </row>
  </sheetData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14467-FDFE-44EA-B29F-E8C6101999A4}">
  <dimension ref="A1:C15"/>
  <sheetViews>
    <sheetView workbookViewId="0">
      <selection activeCell="C20" sqref="C20"/>
    </sheetView>
  </sheetViews>
  <sheetFormatPr defaultRowHeight="13.2" x14ac:dyDescent="0.25"/>
  <cols>
    <col min="1" max="1" width="15.21875" bestFit="1" customWidth="1"/>
    <col min="2" max="2" width="10.109375" bestFit="1" customWidth="1"/>
    <col min="3" max="3" width="40.109375" bestFit="1" customWidth="1"/>
  </cols>
  <sheetData>
    <row r="1" spans="1:3" x14ac:dyDescent="0.25">
      <c r="A1" s="62" t="s">
        <v>243</v>
      </c>
    </row>
    <row r="2" spans="1:3" x14ac:dyDescent="0.25">
      <c r="A2" s="63" t="s">
        <v>244</v>
      </c>
      <c r="B2" s="63" t="s">
        <v>245</v>
      </c>
      <c r="C2" s="63" t="s">
        <v>246</v>
      </c>
    </row>
    <row r="3" spans="1:3" x14ac:dyDescent="0.25">
      <c r="A3">
        <v>1</v>
      </c>
      <c r="B3" t="s">
        <v>247</v>
      </c>
      <c r="C3" t="s">
        <v>248</v>
      </c>
    </row>
    <row r="4" spans="1:3" x14ac:dyDescent="0.25">
      <c r="A4">
        <v>2</v>
      </c>
      <c r="B4" t="s">
        <v>262</v>
      </c>
      <c r="C4" t="s">
        <v>263</v>
      </c>
    </row>
    <row r="5" spans="1:3" x14ac:dyDescent="0.25">
      <c r="A5">
        <v>3</v>
      </c>
      <c r="B5" t="s">
        <v>264</v>
      </c>
    </row>
    <row r="7" spans="1:3" x14ac:dyDescent="0.25">
      <c r="A7" s="62" t="s">
        <v>249</v>
      </c>
    </row>
    <row r="8" spans="1:3" x14ac:dyDescent="0.25">
      <c r="A8" s="63" t="s">
        <v>244</v>
      </c>
      <c r="B8" s="63" t="s">
        <v>250</v>
      </c>
      <c r="C8" s="63" t="s">
        <v>246</v>
      </c>
    </row>
    <row r="11" spans="1:3" x14ac:dyDescent="0.25">
      <c r="A11" s="62" t="s">
        <v>251</v>
      </c>
      <c r="B11" t="s">
        <v>252</v>
      </c>
    </row>
    <row r="12" spans="1:3" x14ac:dyDescent="0.25">
      <c r="B12" t="s">
        <v>253</v>
      </c>
    </row>
    <row r="14" spans="1:3" x14ac:dyDescent="0.25">
      <c r="B14" t="s">
        <v>254</v>
      </c>
    </row>
    <row r="15" spans="1:3" x14ac:dyDescent="0.25">
      <c r="B15" t="s">
        <v>255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C9D9-5357-45A7-A8F0-1F36EB9B987B}">
  <dimension ref="B2:AD178"/>
  <sheetViews>
    <sheetView showGridLines="0" tabSelected="1" topLeftCell="J46" workbookViewId="0">
      <selection activeCell="V15" sqref="V6:V15"/>
    </sheetView>
  </sheetViews>
  <sheetFormatPr defaultColWidth="9.109375" defaultRowHeight="13.2" x14ac:dyDescent="0.25"/>
  <cols>
    <col min="1" max="1" width="9.109375" style="37"/>
    <col min="2" max="2" width="13.88671875" style="37" bestFit="1" customWidth="1"/>
    <col min="3" max="5" width="14.88671875" style="37" bestFit="1" customWidth="1"/>
    <col min="6" max="8" width="9.109375" style="37"/>
    <col min="9" max="9" width="13.33203125" style="37" bestFit="1" customWidth="1"/>
    <col min="10" max="11" width="17" style="37" bestFit="1" customWidth="1"/>
    <col min="12" max="13" width="12.77734375" style="37" bestFit="1" customWidth="1"/>
    <col min="14" max="14" width="9.21875" style="37" customWidth="1"/>
    <col min="15" max="15" width="12.88671875" style="37" customWidth="1"/>
    <col min="16" max="18" width="4" style="37" bestFit="1" customWidth="1"/>
    <col min="19" max="19" width="13.33203125" style="37" bestFit="1" customWidth="1"/>
    <col min="20" max="21" width="17" style="37" bestFit="1" customWidth="1"/>
    <col min="22" max="22" width="17.88671875" style="37" bestFit="1" customWidth="1"/>
    <col min="23" max="23" width="8.88671875" style="37" bestFit="1" customWidth="1"/>
    <col min="24" max="24" width="4" style="37" bestFit="1" customWidth="1"/>
    <col min="25" max="25" width="8.88671875" style="37" bestFit="1" customWidth="1"/>
    <col min="26" max="26" width="4" style="37" bestFit="1" customWidth="1"/>
    <col min="27" max="27" width="8.88671875" style="37" bestFit="1" customWidth="1"/>
    <col min="28" max="28" width="4" style="37" bestFit="1" customWidth="1"/>
    <col min="29" max="29" width="8.88671875" style="37" bestFit="1" customWidth="1"/>
    <col min="30" max="30" width="11.33203125" style="37" bestFit="1" customWidth="1"/>
    <col min="31" max="16384" width="9.109375" style="37"/>
  </cols>
  <sheetData>
    <row r="2" spans="2:22" x14ac:dyDescent="0.25">
      <c r="B2" s="36" t="s">
        <v>235</v>
      </c>
    </row>
    <row r="4" spans="2:22" x14ac:dyDescent="0.25">
      <c r="B4" s="38"/>
      <c r="C4" s="38" t="s">
        <v>30</v>
      </c>
      <c r="D4" s="39"/>
      <c r="E4" s="40"/>
      <c r="M4" s="37" t="s">
        <v>236</v>
      </c>
    </row>
    <row r="5" spans="2:22" x14ac:dyDescent="0.25">
      <c r="B5" s="38" t="s">
        <v>40</v>
      </c>
      <c r="C5" s="38" t="s">
        <v>229</v>
      </c>
      <c r="D5" s="41" t="s">
        <v>230</v>
      </c>
      <c r="E5" s="42" t="s">
        <v>231</v>
      </c>
      <c r="M5" s="43" t="s">
        <v>40</v>
      </c>
      <c r="N5" s="44" t="s">
        <v>227</v>
      </c>
      <c r="O5" s="44" t="s">
        <v>228</v>
      </c>
      <c r="S5" s="34" t="s">
        <v>237</v>
      </c>
      <c r="T5" t="s">
        <v>229</v>
      </c>
      <c r="U5" t="s">
        <v>230</v>
      </c>
      <c r="V5" t="s">
        <v>261</v>
      </c>
    </row>
    <row r="6" spans="2:22" x14ac:dyDescent="0.25">
      <c r="B6" s="38" t="s">
        <v>41</v>
      </c>
      <c r="C6" s="38">
        <v>573</v>
      </c>
      <c r="D6" s="45">
        <v>604.2502993096291</v>
      </c>
      <c r="E6" s="46">
        <v>5.4538044170382438E-2</v>
      </c>
      <c r="M6" s="47" t="s">
        <v>41</v>
      </c>
      <c r="N6" s="48">
        <v>573</v>
      </c>
      <c r="O6" s="48">
        <v>604.2502993096291</v>
      </c>
      <c r="S6" s="57" t="s">
        <v>41</v>
      </c>
      <c r="T6" s="14">
        <v>573</v>
      </c>
      <c r="U6" s="14">
        <v>604.2502993096291</v>
      </c>
      <c r="V6" s="64">
        <v>5.4538044170382376</v>
      </c>
    </row>
    <row r="7" spans="2:22" x14ac:dyDescent="0.25">
      <c r="B7" s="49" t="s">
        <v>50</v>
      </c>
      <c r="C7" s="49">
        <v>63</v>
      </c>
      <c r="D7" s="50">
        <v>299.1744885455696</v>
      </c>
      <c r="E7" s="51">
        <v>3.7488014054852314</v>
      </c>
      <c r="M7" s="47" t="s">
        <v>42</v>
      </c>
      <c r="N7" s="48">
        <v>119</v>
      </c>
      <c r="O7" s="48">
        <v>51.506376127922877</v>
      </c>
      <c r="S7" s="57" t="s">
        <v>50</v>
      </c>
      <c r="T7" s="14">
        <v>63</v>
      </c>
      <c r="U7" s="14">
        <v>299.1744885455696</v>
      </c>
      <c r="V7" s="64">
        <v>374.88014054852317</v>
      </c>
    </row>
    <row r="8" spans="2:22" x14ac:dyDescent="0.25">
      <c r="B8" s="49" t="s">
        <v>42</v>
      </c>
      <c r="C8" s="49">
        <v>119</v>
      </c>
      <c r="D8" s="50">
        <v>51.506376127922877</v>
      </c>
      <c r="E8" s="51">
        <v>-0.56717330984938763</v>
      </c>
      <c r="M8" s="47" t="s">
        <v>43</v>
      </c>
      <c r="N8" s="48">
        <v>927</v>
      </c>
      <c r="O8" s="48">
        <v>353.42333399712027</v>
      </c>
      <c r="S8" s="57" t="s">
        <v>42</v>
      </c>
      <c r="T8" s="14">
        <v>119</v>
      </c>
      <c r="U8" s="14">
        <v>51.506376127922877</v>
      </c>
      <c r="V8" s="64">
        <v>-56.717330984938762</v>
      </c>
    </row>
    <row r="9" spans="2:22" x14ac:dyDescent="0.25">
      <c r="B9" s="49" t="s">
        <v>43</v>
      </c>
      <c r="C9" s="49">
        <v>927</v>
      </c>
      <c r="D9" s="50">
        <v>353.42333399712027</v>
      </c>
      <c r="E9" s="51">
        <v>-0.61874505501928767</v>
      </c>
      <c r="M9" s="47" t="s">
        <v>44</v>
      </c>
      <c r="N9" s="48">
        <v>727</v>
      </c>
      <c r="O9" s="48">
        <v>336.20745247727496</v>
      </c>
      <c r="S9" s="57" t="s">
        <v>43</v>
      </c>
      <c r="T9" s="14">
        <v>927</v>
      </c>
      <c r="U9" s="14">
        <v>353.42333399712027</v>
      </c>
      <c r="V9" s="64">
        <v>-61.87450550192878</v>
      </c>
    </row>
    <row r="10" spans="2:22" x14ac:dyDescent="0.25">
      <c r="B10" s="49" t="s">
        <v>44</v>
      </c>
      <c r="C10" s="49">
        <v>727</v>
      </c>
      <c r="D10" s="50">
        <v>336.20745247727496</v>
      </c>
      <c r="E10" s="51">
        <v>-0.53754133084281297</v>
      </c>
      <c r="M10" s="47" t="s">
        <v>45</v>
      </c>
      <c r="N10" s="48">
        <v>712</v>
      </c>
      <c r="O10" s="48">
        <v>494.14316525716492</v>
      </c>
      <c r="S10" s="57" t="s">
        <v>44</v>
      </c>
      <c r="T10" s="14">
        <v>727</v>
      </c>
      <c r="U10" s="14">
        <v>336.20745247727496</v>
      </c>
      <c r="V10" s="64">
        <v>-53.7541330842813</v>
      </c>
    </row>
    <row r="11" spans="2:22" x14ac:dyDescent="0.25">
      <c r="B11" s="49" t="s">
        <v>45</v>
      </c>
      <c r="C11" s="49">
        <v>712</v>
      </c>
      <c r="D11" s="50">
        <v>494.14316525716492</v>
      </c>
      <c r="E11" s="51">
        <v>-0.30597870048150999</v>
      </c>
      <c r="M11" s="47" t="s">
        <v>46</v>
      </c>
      <c r="N11" s="48">
        <v>652</v>
      </c>
      <c r="O11" s="48">
        <v>561.29469154003323</v>
      </c>
      <c r="S11" s="57" t="s">
        <v>45</v>
      </c>
      <c r="T11" s="14">
        <v>712</v>
      </c>
      <c r="U11" s="14">
        <v>494.14316525716492</v>
      </c>
      <c r="V11" s="64">
        <v>-30.597870048150995</v>
      </c>
    </row>
    <row r="12" spans="2:22" x14ac:dyDescent="0.25">
      <c r="B12" s="49" t="s">
        <v>46</v>
      </c>
      <c r="C12" s="49">
        <v>652</v>
      </c>
      <c r="D12" s="50">
        <v>561.29469154003323</v>
      </c>
      <c r="E12" s="51">
        <v>-0.13911857125761773</v>
      </c>
      <c r="M12" s="47" t="s">
        <v>47</v>
      </c>
      <c r="N12" s="48">
        <v>458</v>
      </c>
      <c r="O12" s="48">
        <v>519.80172577278699</v>
      </c>
      <c r="S12" s="57" t="s">
        <v>46</v>
      </c>
      <c r="T12" s="14">
        <v>652</v>
      </c>
      <c r="U12" s="14">
        <v>561.29469154003323</v>
      </c>
      <c r="V12" s="64">
        <v>-13.911857125761776</v>
      </c>
    </row>
    <row r="13" spans="2:22" x14ac:dyDescent="0.25">
      <c r="B13" s="49" t="s">
        <v>47</v>
      </c>
      <c r="C13" s="49">
        <v>458</v>
      </c>
      <c r="D13" s="50">
        <v>519.80172577278699</v>
      </c>
      <c r="E13" s="51">
        <v>0.13493826587944757</v>
      </c>
      <c r="M13" s="47" t="s">
        <v>48</v>
      </c>
      <c r="N13" s="48">
        <v>207</v>
      </c>
      <c r="O13" s="48">
        <v>149.3080132437529</v>
      </c>
      <c r="S13" s="57" t="s">
        <v>47</v>
      </c>
      <c r="T13" s="14">
        <v>458</v>
      </c>
      <c r="U13" s="14">
        <v>519.80172577278699</v>
      </c>
      <c r="V13" s="64">
        <v>13.49382658794476</v>
      </c>
    </row>
    <row r="14" spans="2:22" x14ac:dyDescent="0.25">
      <c r="B14" s="49" t="s">
        <v>48</v>
      </c>
      <c r="C14" s="49">
        <v>207</v>
      </c>
      <c r="D14" s="50">
        <v>149.3080132437529</v>
      </c>
      <c r="E14" s="51">
        <v>-0.27870525003017921</v>
      </c>
      <c r="M14" s="47" t="s">
        <v>49</v>
      </c>
      <c r="N14" s="48">
        <v>424</v>
      </c>
      <c r="O14" s="48">
        <v>1037.2776666489447</v>
      </c>
      <c r="S14" s="57" t="s">
        <v>48</v>
      </c>
      <c r="T14" s="14">
        <v>207</v>
      </c>
      <c r="U14" s="14">
        <v>149.3080132437529</v>
      </c>
      <c r="V14" s="64">
        <v>-27.870525003017928</v>
      </c>
    </row>
    <row r="15" spans="2:22" x14ac:dyDescent="0.25">
      <c r="B15" s="49" t="s">
        <v>49</v>
      </c>
      <c r="C15" s="49">
        <v>424</v>
      </c>
      <c r="D15" s="50">
        <v>1037.2776666489447</v>
      </c>
      <c r="E15" s="51">
        <v>1.4464095911531714</v>
      </c>
      <c r="M15" s="47" t="s">
        <v>50</v>
      </c>
      <c r="N15" s="48">
        <v>63</v>
      </c>
      <c r="O15" s="48">
        <v>299.1744885455696</v>
      </c>
      <c r="S15" s="57" t="s">
        <v>49</v>
      </c>
      <c r="T15" s="14">
        <v>424</v>
      </c>
      <c r="U15" s="14">
        <v>1037.2776666489447</v>
      </c>
      <c r="V15" s="64">
        <v>144.64095911531714</v>
      </c>
    </row>
    <row r="16" spans="2:22" x14ac:dyDescent="0.25">
      <c r="B16" s="52" t="s">
        <v>214</v>
      </c>
      <c r="C16" s="52">
        <v>4862</v>
      </c>
      <c r="D16" s="53">
        <v>4406.3872129202</v>
      </c>
      <c r="E16" s="54">
        <v>-9.3708923710366099E-2</v>
      </c>
      <c r="S16" s="57" t="s">
        <v>214</v>
      </c>
      <c r="T16" s="14">
        <v>4862</v>
      </c>
      <c r="U16" s="14">
        <v>4406.3872129202</v>
      </c>
      <c r="V16" s="14">
        <v>-9.3708923710366108</v>
      </c>
    </row>
    <row r="17" spans="2:30" x14ac:dyDescent="0.25">
      <c r="S17"/>
      <c r="T17"/>
      <c r="U17"/>
    </row>
    <row r="18" spans="2:30" x14ac:dyDescent="0.25">
      <c r="S18"/>
      <c r="T18"/>
      <c r="U18"/>
    </row>
    <row r="19" spans="2:30" x14ac:dyDescent="0.25">
      <c r="S19"/>
      <c r="T19"/>
      <c r="U19"/>
    </row>
    <row r="20" spans="2:30" x14ac:dyDescent="0.25">
      <c r="I20" s="34" t="s">
        <v>237</v>
      </c>
      <c r="J20" t="s">
        <v>229</v>
      </c>
      <c r="K20" t="s">
        <v>230</v>
      </c>
      <c r="L20" t="s">
        <v>256</v>
      </c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</row>
    <row r="21" spans="2:30" x14ac:dyDescent="0.25">
      <c r="B21" t="s">
        <v>257</v>
      </c>
      <c r="C21" t="s">
        <v>258</v>
      </c>
      <c r="D21" t="s">
        <v>260</v>
      </c>
      <c r="E21"/>
      <c r="I21" s="57" t="s">
        <v>41</v>
      </c>
      <c r="J21" s="61">
        <v>573</v>
      </c>
      <c r="K21" s="61">
        <v>604.2502993096291</v>
      </c>
      <c r="L21" s="58">
        <v>5.4538044170382376E-2</v>
      </c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 spans="2:30" x14ac:dyDescent="0.25">
      <c r="B22" s="61">
        <v>156</v>
      </c>
      <c r="C22" s="61">
        <v>156</v>
      </c>
      <c r="D22" s="61">
        <v>156</v>
      </c>
      <c r="E22"/>
      <c r="I22" s="57" t="s">
        <v>50</v>
      </c>
      <c r="J22" s="61">
        <v>63</v>
      </c>
      <c r="K22" s="61">
        <v>299.1744885455696</v>
      </c>
      <c r="L22" s="58">
        <v>3.7488014054852319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 spans="2:30" x14ac:dyDescent="0.25">
      <c r="B23"/>
      <c r="C23"/>
      <c r="D23"/>
      <c r="E23"/>
      <c r="I23" s="57" t="s">
        <v>42</v>
      </c>
      <c r="J23" s="61">
        <v>119</v>
      </c>
      <c r="K23" s="61">
        <v>51.506376127922877</v>
      </c>
      <c r="L23" s="58">
        <v>-0.56717330984938763</v>
      </c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 spans="2:30" x14ac:dyDescent="0.25">
      <c r="B24"/>
      <c r="C24"/>
      <c r="D24"/>
      <c r="E24"/>
      <c r="I24" s="57" t="s">
        <v>43</v>
      </c>
      <c r="J24" s="61">
        <v>927</v>
      </c>
      <c r="K24" s="61">
        <v>353.42333399712027</v>
      </c>
      <c r="L24" s="58">
        <v>-0.61874505501928778</v>
      </c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 spans="2:30" x14ac:dyDescent="0.25">
      <c r="B25"/>
      <c r="C25"/>
      <c r="D25"/>
      <c r="E25"/>
      <c r="I25" s="57" t="s">
        <v>44</v>
      </c>
      <c r="J25" s="61">
        <v>727</v>
      </c>
      <c r="K25" s="61">
        <v>336.20745247727496</v>
      </c>
      <c r="L25" s="58">
        <v>-0.53754133084281297</v>
      </c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 spans="2:30" x14ac:dyDescent="0.25">
      <c r="B26"/>
      <c r="C26"/>
      <c r="D26"/>
      <c r="E26"/>
      <c r="I26" s="57" t="s">
        <v>45</v>
      </c>
      <c r="J26" s="61">
        <v>712</v>
      </c>
      <c r="K26" s="61">
        <v>494.14316525716492</v>
      </c>
      <c r="L26" s="58">
        <v>-0.30597870048150994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 spans="2:30" x14ac:dyDescent="0.25">
      <c r="B27"/>
      <c r="C27"/>
      <c r="D27"/>
      <c r="E27"/>
      <c r="I27" s="57" t="s">
        <v>46</v>
      </c>
      <c r="J27" s="61">
        <v>652</v>
      </c>
      <c r="K27" s="61">
        <v>561.29469154003323</v>
      </c>
      <c r="L27" s="58">
        <v>-0.13911857125761776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 spans="2:30" x14ac:dyDescent="0.25">
      <c r="B28"/>
      <c r="C28"/>
      <c r="D28"/>
      <c r="E28"/>
      <c r="I28" s="57" t="s">
        <v>47</v>
      </c>
      <c r="J28" s="61">
        <v>458</v>
      </c>
      <c r="K28" s="61">
        <v>519.80172577278699</v>
      </c>
      <c r="L28" s="58">
        <v>0.1349382658794476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 spans="2:30" x14ac:dyDescent="0.25">
      <c r="B29"/>
      <c r="C29"/>
      <c r="D29"/>
      <c r="E29"/>
      <c r="I29" s="57" t="s">
        <v>48</v>
      </c>
      <c r="J29" s="61">
        <v>207</v>
      </c>
      <c r="K29" s="61">
        <v>149.3080132437529</v>
      </c>
      <c r="L29" s="58">
        <v>-0.27870525003017926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 spans="2:30" x14ac:dyDescent="0.25">
      <c r="B30"/>
      <c r="C30"/>
      <c r="D30"/>
      <c r="E30"/>
      <c r="I30" s="57" t="s">
        <v>49</v>
      </c>
      <c r="J30" s="61">
        <v>424</v>
      </c>
      <c r="K30" s="61">
        <v>1037.2776666489447</v>
      </c>
      <c r="L30" s="58">
        <v>1.4464095911531714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 spans="2:30" x14ac:dyDescent="0.25">
      <c r="B31"/>
      <c r="C31"/>
      <c r="D31"/>
      <c r="E31"/>
      <c r="I31" s="57" t="s">
        <v>214</v>
      </c>
      <c r="J31" s="61">
        <v>4862</v>
      </c>
      <c r="K31" s="61">
        <v>4406.3872129202</v>
      </c>
      <c r="L31" s="58">
        <v>-9.3708923710366099E-2</v>
      </c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 spans="2:30" x14ac:dyDescent="0.25">
      <c r="B32"/>
      <c r="C32"/>
      <c r="D32"/>
      <c r="E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 spans="2:30" x14ac:dyDescent="0.25">
      <c r="B33"/>
      <c r="C33"/>
      <c r="D33"/>
      <c r="E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 spans="2:30" x14ac:dyDescent="0.25">
      <c r="B34"/>
      <c r="C34"/>
      <c r="D34"/>
      <c r="E34"/>
      <c r="I34"/>
      <c r="J34"/>
      <c r="K34"/>
    </row>
    <row r="35" spans="2:30" x14ac:dyDescent="0.25">
      <c r="B35"/>
      <c r="C35"/>
      <c r="D35"/>
      <c r="E35"/>
      <c r="I35"/>
      <c r="J35"/>
      <c r="K35"/>
    </row>
    <row r="36" spans="2:30" x14ac:dyDescent="0.25">
      <c r="B36"/>
      <c r="C36"/>
      <c r="D36"/>
      <c r="E36"/>
      <c r="I36"/>
      <c r="J36"/>
      <c r="K36"/>
    </row>
    <row r="37" spans="2:30" x14ac:dyDescent="0.25">
      <c r="B37"/>
      <c r="C37"/>
      <c r="D37"/>
      <c r="E37"/>
      <c r="I37"/>
      <c r="J37"/>
      <c r="K37"/>
    </row>
    <row r="38" spans="2:30" x14ac:dyDescent="0.25">
      <c r="B38"/>
      <c r="C38"/>
      <c r="D38"/>
      <c r="E38"/>
    </row>
    <row r="39" spans="2:30" x14ac:dyDescent="0.25">
      <c r="B39"/>
      <c r="C39"/>
      <c r="D39"/>
      <c r="E39"/>
    </row>
    <row r="40" spans="2:30" x14ac:dyDescent="0.25">
      <c r="B40"/>
      <c r="C40"/>
      <c r="D40"/>
      <c r="E40"/>
    </row>
    <row r="41" spans="2:30" x14ac:dyDescent="0.25">
      <c r="B41"/>
      <c r="C41"/>
      <c r="D41"/>
      <c r="E41"/>
    </row>
    <row r="42" spans="2:30" x14ac:dyDescent="0.25">
      <c r="B42"/>
      <c r="C42"/>
      <c r="D42"/>
      <c r="E42"/>
    </row>
    <row r="43" spans="2:30" x14ac:dyDescent="0.25">
      <c r="B43"/>
      <c r="C43"/>
      <c r="D43"/>
      <c r="E43"/>
    </row>
    <row r="44" spans="2:30" x14ac:dyDescent="0.25">
      <c r="B44"/>
      <c r="C44"/>
      <c r="D44"/>
      <c r="E44"/>
    </row>
    <row r="45" spans="2:30" x14ac:dyDescent="0.25">
      <c r="B45"/>
      <c r="C45"/>
      <c r="D45"/>
      <c r="E45"/>
    </row>
    <row r="46" spans="2:30" x14ac:dyDescent="0.25">
      <c r="B46"/>
      <c r="C46"/>
      <c r="D46"/>
      <c r="E46"/>
    </row>
    <row r="47" spans="2:30" x14ac:dyDescent="0.25">
      <c r="B47"/>
      <c r="C47"/>
      <c r="D47"/>
      <c r="E47"/>
    </row>
    <row r="48" spans="2:30" x14ac:dyDescent="0.25">
      <c r="B48"/>
      <c r="C48"/>
      <c r="D48"/>
      <c r="E48"/>
    </row>
    <row r="49" spans="2:5" x14ac:dyDescent="0.25">
      <c r="B49"/>
      <c r="C49"/>
      <c r="D49"/>
      <c r="E49"/>
    </row>
    <row r="50" spans="2:5" x14ac:dyDescent="0.25">
      <c r="B50"/>
      <c r="C50"/>
      <c r="D50"/>
      <c r="E50"/>
    </row>
    <row r="51" spans="2:5" x14ac:dyDescent="0.25">
      <c r="B51"/>
      <c r="C51"/>
      <c r="D51"/>
      <c r="E51"/>
    </row>
    <row r="52" spans="2:5" x14ac:dyDescent="0.25">
      <c r="B52"/>
      <c r="C52"/>
      <c r="D52"/>
      <c r="E52"/>
    </row>
    <row r="53" spans="2:5" x14ac:dyDescent="0.25">
      <c r="B53"/>
      <c r="C53"/>
      <c r="D53"/>
      <c r="E53"/>
    </row>
    <row r="54" spans="2:5" x14ac:dyDescent="0.25">
      <c r="B54"/>
      <c r="C54"/>
      <c r="D54"/>
      <c r="E54"/>
    </row>
    <row r="55" spans="2:5" x14ac:dyDescent="0.25">
      <c r="B55"/>
      <c r="C55"/>
      <c r="D55"/>
      <c r="E55"/>
    </row>
    <row r="56" spans="2:5" x14ac:dyDescent="0.25">
      <c r="B56"/>
      <c r="C56"/>
      <c r="D56"/>
      <c r="E56"/>
    </row>
    <row r="57" spans="2:5" x14ac:dyDescent="0.25">
      <c r="B57"/>
      <c r="C57"/>
      <c r="D57"/>
      <c r="E57"/>
    </row>
    <row r="58" spans="2:5" x14ac:dyDescent="0.25">
      <c r="B58"/>
      <c r="C58"/>
      <c r="D58"/>
      <c r="E58"/>
    </row>
    <row r="59" spans="2:5" x14ac:dyDescent="0.25">
      <c r="B59"/>
      <c r="C59"/>
      <c r="D59"/>
      <c r="E59"/>
    </row>
    <row r="60" spans="2:5" x14ac:dyDescent="0.25">
      <c r="B60"/>
      <c r="C60"/>
      <c r="D60"/>
      <c r="E60"/>
    </row>
    <row r="61" spans="2:5" x14ac:dyDescent="0.25">
      <c r="B61"/>
      <c r="C61"/>
      <c r="D61"/>
      <c r="E61"/>
    </row>
    <row r="62" spans="2:5" x14ac:dyDescent="0.25">
      <c r="B62"/>
      <c r="C62"/>
      <c r="D62"/>
      <c r="E62"/>
    </row>
    <row r="63" spans="2:5" x14ac:dyDescent="0.25">
      <c r="B63"/>
      <c r="C63"/>
      <c r="D63"/>
      <c r="E63"/>
    </row>
    <row r="64" spans="2:5" x14ac:dyDescent="0.25">
      <c r="B64"/>
      <c r="C64"/>
      <c r="D64"/>
      <c r="E64"/>
    </row>
    <row r="65" spans="2:5" x14ac:dyDescent="0.25">
      <c r="B65"/>
      <c r="C65"/>
      <c r="D65"/>
      <c r="E65"/>
    </row>
    <row r="66" spans="2:5" x14ac:dyDescent="0.25">
      <c r="B66"/>
      <c r="C66"/>
      <c r="D66"/>
      <c r="E66"/>
    </row>
    <row r="67" spans="2:5" x14ac:dyDescent="0.25">
      <c r="B67"/>
      <c r="C67"/>
      <c r="D67"/>
      <c r="E67"/>
    </row>
    <row r="68" spans="2:5" x14ac:dyDescent="0.25">
      <c r="B68"/>
      <c r="C68"/>
      <c r="D68"/>
      <c r="E68"/>
    </row>
    <row r="69" spans="2:5" x14ac:dyDescent="0.25">
      <c r="B69"/>
      <c r="C69"/>
      <c r="D69"/>
      <c r="E69"/>
    </row>
    <row r="70" spans="2:5" x14ac:dyDescent="0.25">
      <c r="B70"/>
      <c r="C70"/>
      <c r="D70"/>
      <c r="E70"/>
    </row>
    <row r="71" spans="2:5" x14ac:dyDescent="0.25">
      <c r="B71"/>
      <c r="C71"/>
      <c r="D71"/>
      <c r="E71"/>
    </row>
    <row r="72" spans="2:5" x14ac:dyDescent="0.25">
      <c r="B72"/>
      <c r="C72"/>
      <c r="D72"/>
      <c r="E72"/>
    </row>
    <row r="73" spans="2:5" x14ac:dyDescent="0.25">
      <c r="B73"/>
      <c r="C73"/>
      <c r="D73"/>
      <c r="E73"/>
    </row>
    <row r="74" spans="2:5" x14ac:dyDescent="0.25">
      <c r="B74"/>
      <c r="C74"/>
      <c r="D74"/>
      <c r="E74"/>
    </row>
    <row r="75" spans="2:5" x14ac:dyDescent="0.25">
      <c r="B75"/>
      <c r="C75"/>
      <c r="D75"/>
      <c r="E75"/>
    </row>
    <row r="76" spans="2:5" x14ac:dyDescent="0.25">
      <c r="B76"/>
      <c r="C76"/>
      <c r="D76"/>
      <c r="E76"/>
    </row>
    <row r="77" spans="2:5" x14ac:dyDescent="0.25">
      <c r="B77"/>
      <c r="C77"/>
      <c r="D77"/>
      <c r="E77"/>
    </row>
    <row r="78" spans="2:5" x14ac:dyDescent="0.25">
      <c r="B78"/>
      <c r="C78"/>
      <c r="D78"/>
      <c r="E78"/>
    </row>
    <row r="79" spans="2:5" x14ac:dyDescent="0.25">
      <c r="B79"/>
      <c r="C79"/>
      <c r="D79"/>
      <c r="E79"/>
    </row>
    <row r="80" spans="2:5" x14ac:dyDescent="0.25">
      <c r="B80"/>
      <c r="C80"/>
      <c r="D80"/>
      <c r="E80"/>
    </row>
    <row r="81" spans="2:5" x14ac:dyDescent="0.25">
      <c r="B81"/>
      <c r="C81"/>
      <c r="D81"/>
      <c r="E81"/>
    </row>
    <row r="82" spans="2:5" x14ac:dyDescent="0.25">
      <c r="B82"/>
      <c r="C82"/>
      <c r="D82"/>
      <c r="E82"/>
    </row>
    <row r="83" spans="2:5" x14ac:dyDescent="0.25">
      <c r="B83"/>
      <c r="C83"/>
      <c r="D83"/>
      <c r="E83"/>
    </row>
    <row r="84" spans="2:5" x14ac:dyDescent="0.25">
      <c r="B84"/>
      <c r="C84"/>
      <c r="D84"/>
      <c r="E84"/>
    </row>
    <row r="85" spans="2:5" x14ac:dyDescent="0.25">
      <c r="B85"/>
      <c r="C85"/>
      <c r="D85"/>
      <c r="E85"/>
    </row>
    <row r="86" spans="2:5" x14ac:dyDescent="0.25">
      <c r="B86"/>
      <c r="C86"/>
      <c r="D86"/>
      <c r="E86"/>
    </row>
    <row r="87" spans="2:5" x14ac:dyDescent="0.25">
      <c r="B87"/>
      <c r="C87"/>
      <c r="D87"/>
      <c r="E87"/>
    </row>
    <row r="88" spans="2:5" x14ac:dyDescent="0.25">
      <c r="B88"/>
      <c r="C88"/>
      <c r="D88"/>
      <c r="E88"/>
    </row>
    <row r="89" spans="2:5" x14ac:dyDescent="0.25">
      <c r="B89"/>
      <c r="C89"/>
      <c r="D89"/>
      <c r="E89"/>
    </row>
    <row r="90" spans="2:5" x14ac:dyDescent="0.25">
      <c r="B90"/>
      <c r="C90"/>
      <c r="D90"/>
      <c r="E90"/>
    </row>
    <row r="91" spans="2:5" x14ac:dyDescent="0.25">
      <c r="B91"/>
      <c r="C91"/>
      <c r="D91"/>
      <c r="E91"/>
    </row>
    <row r="92" spans="2:5" x14ac:dyDescent="0.25">
      <c r="B92"/>
      <c r="C92"/>
      <c r="D92"/>
      <c r="E92"/>
    </row>
    <row r="93" spans="2:5" x14ac:dyDescent="0.25">
      <c r="B93"/>
      <c r="C93"/>
      <c r="D93"/>
      <c r="E93"/>
    </row>
    <row r="94" spans="2:5" x14ac:dyDescent="0.25">
      <c r="B94"/>
      <c r="C94"/>
      <c r="D94"/>
      <c r="E94"/>
    </row>
    <row r="95" spans="2:5" x14ac:dyDescent="0.25">
      <c r="B95"/>
      <c r="C95"/>
      <c r="D95"/>
      <c r="E95"/>
    </row>
    <row r="96" spans="2:5" x14ac:dyDescent="0.25">
      <c r="B96"/>
      <c r="C96"/>
      <c r="D96"/>
      <c r="E96"/>
    </row>
    <row r="97" spans="2:5" x14ac:dyDescent="0.25">
      <c r="B97"/>
      <c r="C97"/>
      <c r="D97"/>
      <c r="E97"/>
    </row>
    <row r="98" spans="2:5" x14ac:dyDescent="0.25">
      <c r="B98"/>
      <c r="C98"/>
      <c r="D98"/>
      <c r="E98"/>
    </row>
    <row r="99" spans="2:5" x14ac:dyDescent="0.25">
      <c r="B99"/>
      <c r="C99"/>
      <c r="D99"/>
      <c r="E99"/>
    </row>
    <row r="100" spans="2:5" x14ac:dyDescent="0.25">
      <c r="B100"/>
      <c r="C100"/>
      <c r="D100"/>
      <c r="E100"/>
    </row>
    <row r="101" spans="2:5" x14ac:dyDescent="0.25">
      <c r="B101"/>
      <c r="C101"/>
      <c r="D101"/>
      <c r="E101"/>
    </row>
    <row r="102" spans="2:5" x14ac:dyDescent="0.25">
      <c r="B102"/>
      <c r="C102"/>
      <c r="D102"/>
      <c r="E102"/>
    </row>
    <row r="103" spans="2:5" x14ac:dyDescent="0.25">
      <c r="B103"/>
      <c r="C103"/>
      <c r="D103"/>
      <c r="E103"/>
    </row>
    <row r="104" spans="2:5" x14ac:dyDescent="0.25">
      <c r="B104"/>
      <c r="C104"/>
      <c r="D104"/>
      <c r="E104"/>
    </row>
    <row r="105" spans="2:5" x14ac:dyDescent="0.25">
      <c r="B105"/>
      <c r="C105"/>
      <c r="D105"/>
      <c r="E105"/>
    </row>
    <row r="106" spans="2:5" x14ac:dyDescent="0.25">
      <c r="B106"/>
      <c r="C106"/>
      <c r="D106"/>
      <c r="E106"/>
    </row>
    <row r="107" spans="2:5" x14ac:dyDescent="0.25">
      <c r="B107"/>
      <c r="C107"/>
      <c r="D107"/>
      <c r="E107"/>
    </row>
    <row r="108" spans="2:5" x14ac:dyDescent="0.25">
      <c r="B108"/>
      <c r="C108"/>
      <c r="D108"/>
      <c r="E108"/>
    </row>
    <row r="109" spans="2:5" x14ac:dyDescent="0.25">
      <c r="B109"/>
      <c r="C109"/>
      <c r="D109"/>
      <c r="E109"/>
    </row>
    <row r="110" spans="2:5" x14ac:dyDescent="0.25">
      <c r="B110"/>
      <c r="C110"/>
      <c r="D110"/>
      <c r="E110"/>
    </row>
    <row r="111" spans="2:5" x14ac:dyDescent="0.25">
      <c r="B111"/>
      <c r="C111"/>
      <c r="D111"/>
      <c r="E111"/>
    </row>
    <row r="112" spans="2:5" x14ac:dyDescent="0.25">
      <c r="B112"/>
      <c r="C112"/>
      <c r="D112"/>
      <c r="E112"/>
    </row>
    <row r="113" spans="2:5" x14ac:dyDescent="0.25">
      <c r="B113"/>
      <c r="C113"/>
      <c r="D113"/>
      <c r="E113"/>
    </row>
    <row r="114" spans="2:5" x14ac:dyDescent="0.25">
      <c r="B114"/>
      <c r="C114"/>
      <c r="D114"/>
      <c r="E114"/>
    </row>
    <row r="115" spans="2:5" x14ac:dyDescent="0.25">
      <c r="B115"/>
      <c r="C115"/>
      <c r="D115"/>
      <c r="E115"/>
    </row>
    <row r="116" spans="2:5" x14ac:dyDescent="0.25">
      <c r="B116"/>
      <c r="C116"/>
      <c r="D116"/>
      <c r="E116"/>
    </row>
    <row r="117" spans="2:5" x14ac:dyDescent="0.25">
      <c r="B117"/>
      <c r="C117"/>
      <c r="D117"/>
      <c r="E117"/>
    </row>
    <row r="118" spans="2:5" x14ac:dyDescent="0.25">
      <c r="B118"/>
      <c r="C118"/>
      <c r="D118"/>
      <c r="E118"/>
    </row>
    <row r="119" spans="2:5" x14ac:dyDescent="0.25">
      <c r="B119"/>
      <c r="C119"/>
      <c r="D119"/>
      <c r="E119"/>
    </row>
    <row r="120" spans="2:5" x14ac:dyDescent="0.25">
      <c r="B120"/>
      <c r="C120"/>
      <c r="D120"/>
      <c r="E120"/>
    </row>
    <row r="121" spans="2:5" x14ac:dyDescent="0.25">
      <c r="B121"/>
      <c r="C121"/>
      <c r="D121"/>
      <c r="E121"/>
    </row>
    <row r="122" spans="2:5" x14ac:dyDescent="0.25">
      <c r="B122"/>
      <c r="C122"/>
      <c r="D122"/>
      <c r="E122"/>
    </row>
    <row r="123" spans="2:5" x14ac:dyDescent="0.25">
      <c r="B123"/>
      <c r="C123"/>
      <c r="D123"/>
      <c r="E123"/>
    </row>
    <row r="124" spans="2:5" x14ac:dyDescent="0.25">
      <c r="B124"/>
      <c r="C124"/>
      <c r="D124"/>
      <c r="E124"/>
    </row>
    <row r="125" spans="2:5" x14ac:dyDescent="0.25">
      <c r="B125"/>
      <c r="C125"/>
      <c r="D125"/>
      <c r="E125"/>
    </row>
    <row r="126" spans="2:5" x14ac:dyDescent="0.25">
      <c r="B126"/>
      <c r="C126"/>
      <c r="D126"/>
      <c r="E126"/>
    </row>
    <row r="127" spans="2:5" x14ac:dyDescent="0.25">
      <c r="B127"/>
      <c r="C127"/>
      <c r="D127"/>
      <c r="E127"/>
    </row>
    <row r="128" spans="2:5" x14ac:dyDescent="0.25">
      <c r="B128"/>
      <c r="C128"/>
      <c r="D128"/>
      <c r="E128"/>
    </row>
    <row r="129" spans="2:5" x14ac:dyDescent="0.25">
      <c r="B129"/>
      <c r="C129"/>
      <c r="D129"/>
      <c r="E129"/>
    </row>
    <row r="130" spans="2:5" x14ac:dyDescent="0.25">
      <c r="B130"/>
      <c r="C130"/>
      <c r="D130"/>
      <c r="E130"/>
    </row>
    <row r="131" spans="2:5" x14ac:dyDescent="0.25">
      <c r="B131"/>
      <c r="C131"/>
      <c r="D131"/>
      <c r="E131"/>
    </row>
    <row r="132" spans="2:5" x14ac:dyDescent="0.25">
      <c r="B132"/>
      <c r="C132"/>
      <c r="D132"/>
      <c r="E132"/>
    </row>
    <row r="133" spans="2:5" x14ac:dyDescent="0.25">
      <c r="B133"/>
      <c r="C133"/>
      <c r="D133"/>
      <c r="E133"/>
    </row>
    <row r="134" spans="2:5" x14ac:dyDescent="0.25">
      <c r="B134"/>
      <c r="C134"/>
      <c r="D134"/>
      <c r="E134"/>
    </row>
    <row r="135" spans="2:5" x14ac:dyDescent="0.25">
      <c r="B135"/>
      <c r="C135"/>
      <c r="D135"/>
      <c r="E135"/>
    </row>
    <row r="136" spans="2:5" x14ac:dyDescent="0.25">
      <c r="B136"/>
      <c r="C136"/>
      <c r="D136"/>
      <c r="E136"/>
    </row>
    <row r="137" spans="2:5" x14ac:dyDescent="0.25">
      <c r="B137"/>
      <c r="C137"/>
      <c r="D137"/>
      <c r="E137"/>
    </row>
    <row r="138" spans="2:5" x14ac:dyDescent="0.25">
      <c r="B138"/>
      <c r="C138"/>
      <c r="D138"/>
      <c r="E138"/>
    </row>
    <row r="139" spans="2:5" x14ac:dyDescent="0.25">
      <c r="B139"/>
      <c r="C139"/>
      <c r="D139"/>
      <c r="E139"/>
    </row>
    <row r="140" spans="2:5" x14ac:dyDescent="0.25">
      <c r="B140"/>
      <c r="C140"/>
      <c r="D140"/>
      <c r="E140"/>
    </row>
    <row r="141" spans="2:5" x14ac:dyDescent="0.25">
      <c r="B141"/>
      <c r="C141"/>
      <c r="D141"/>
      <c r="E141"/>
    </row>
    <row r="142" spans="2:5" x14ac:dyDescent="0.25">
      <c r="B142"/>
      <c r="C142"/>
      <c r="D142"/>
      <c r="E142"/>
    </row>
    <row r="143" spans="2:5" x14ac:dyDescent="0.25">
      <c r="B143"/>
      <c r="C143"/>
      <c r="D143"/>
      <c r="E143"/>
    </row>
    <row r="144" spans="2:5" x14ac:dyDescent="0.25">
      <c r="B144"/>
      <c r="C144"/>
      <c r="D144"/>
      <c r="E144"/>
    </row>
    <row r="145" spans="2:5" x14ac:dyDescent="0.25">
      <c r="B145"/>
      <c r="C145"/>
      <c r="D145"/>
      <c r="E145"/>
    </row>
    <row r="146" spans="2:5" x14ac:dyDescent="0.25">
      <c r="B146"/>
      <c r="C146"/>
      <c r="D146"/>
      <c r="E146"/>
    </row>
    <row r="147" spans="2:5" x14ac:dyDescent="0.25">
      <c r="B147"/>
      <c r="C147"/>
      <c r="D147"/>
      <c r="E147"/>
    </row>
    <row r="148" spans="2:5" x14ac:dyDescent="0.25">
      <c r="B148"/>
      <c r="C148"/>
      <c r="D148"/>
      <c r="E148"/>
    </row>
    <row r="149" spans="2:5" x14ac:dyDescent="0.25">
      <c r="B149"/>
      <c r="C149"/>
      <c r="D149"/>
      <c r="E149"/>
    </row>
    <row r="150" spans="2:5" x14ac:dyDescent="0.25">
      <c r="B150"/>
      <c r="C150"/>
      <c r="D150"/>
      <c r="E150"/>
    </row>
    <row r="151" spans="2:5" x14ac:dyDescent="0.25">
      <c r="B151"/>
      <c r="C151"/>
      <c r="D151"/>
      <c r="E151"/>
    </row>
    <row r="152" spans="2:5" x14ac:dyDescent="0.25">
      <c r="B152"/>
      <c r="C152"/>
      <c r="D152"/>
      <c r="E152"/>
    </row>
    <row r="153" spans="2:5" x14ac:dyDescent="0.25">
      <c r="B153"/>
      <c r="C153"/>
      <c r="D153"/>
      <c r="E153"/>
    </row>
    <row r="154" spans="2:5" x14ac:dyDescent="0.25">
      <c r="B154"/>
      <c r="C154"/>
      <c r="D154"/>
      <c r="E154"/>
    </row>
    <row r="155" spans="2:5" x14ac:dyDescent="0.25">
      <c r="B155"/>
      <c r="C155"/>
      <c r="D155"/>
      <c r="E155"/>
    </row>
    <row r="156" spans="2:5" x14ac:dyDescent="0.25">
      <c r="B156"/>
      <c r="C156"/>
      <c r="D156"/>
      <c r="E156"/>
    </row>
    <row r="157" spans="2:5" x14ac:dyDescent="0.25">
      <c r="B157"/>
      <c r="C157"/>
      <c r="D157"/>
      <c r="E157"/>
    </row>
    <row r="158" spans="2:5" x14ac:dyDescent="0.25">
      <c r="B158"/>
      <c r="C158"/>
      <c r="D158"/>
      <c r="E158"/>
    </row>
    <row r="159" spans="2:5" x14ac:dyDescent="0.25">
      <c r="B159"/>
      <c r="C159"/>
      <c r="D159"/>
      <c r="E159"/>
    </row>
    <row r="160" spans="2:5" x14ac:dyDescent="0.25">
      <c r="B160"/>
      <c r="C160"/>
      <c r="D160"/>
      <c r="E160"/>
    </row>
    <row r="161" spans="2:5" x14ac:dyDescent="0.25">
      <c r="B161"/>
      <c r="C161"/>
      <c r="D161"/>
      <c r="E161"/>
    </row>
    <row r="162" spans="2:5" x14ac:dyDescent="0.25">
      <c r="B162"/>
      <c r="C162"/>
      <c r="D162"/>
      <c r="E162"/>
    </row>
    <row r="163" spans="2:5" x14ac:dyDescent="0.25">
      <c r="B163"/>
      <c r="C163"/>
      <c r="D163"/>
      <c r="E163"/>
    </row>
    <row r="164" spans="2:5" x14ac:dyDescent="0.25">
      <c r="B164"/>
      <c r="C164"/>
      <c r="D164"/>
      <c r="E164"/>
    </row>
    <row r="165" spans="2:5" x14ac:dyDescent="0.25">
      <c r="B165"/>
      <c r="C165"/>
      <c r="D165"/>
      <c r="E165"/>
    </row>
    <row r="166" spans="2:5" x14ac:dyDescent="0.25">
      <c r="B166"/>
      <c r="C166"/>
      <c r="D166"/>
      <c r="E166"/>
    </row>
    <row r="167" spans="2:5" x14ac:dyDescent="0.25">
      <c r="B167"/>
      <c r="C167"/>
      <c r="D167"/>
      <c r="E167"/>
    </row>
    <row r="168" spans="2:5" x14ac:dyDescent="0.25">
      <c r="B168"/>
      <c r="C168"/>
      <c r="D168"/>
      <c r="E168"/>
    </row>
    <row r="169" spans="2:5" x14ac:dyDescent="0.25">
      <c r="B169"/>
      <c r="C169"/>
      <c r="D169"/>
      <c r="E169"/>
    </row>
    <row r="170" spans="2:5" x14ac:dyDescent="0.25">
      <c r="B170"/>
      <c r="C170"/>
      <c r="D170"/>
      <c r="E170"/>
    </row>
    <row r="171" spans="2:5" x14ac:dyDescent="0.25">
      <c r="B171"/>
      <c r="C171"/>
      <c r="D171"/>
      <c r="E171"/>
    </row>
    <row r="172" spans="2:5" x14ac:dyDescent="0.25">
      <c r="B172"/>
      <c r="C172"/>
      <c r="D172"/>
      <c r="E172"/>
    </row>
    <row r="173" spans="2:5" x14ac:dyDescent="0.25">
      <c r="B173"/>
      <c r="C173"/>
      <c r="D173"/>
      <c r="E173"/>
    </row>
    <row r="174" spans="2:5" x14ac:dyDescent="0.25">
      <c r="B174"/>
      <c r="C174"/>
      <c r="D174"/>
      <c r="E174"/>
    </row>
    <row r="175" spans="2:5" x14ac:dyDescent="0.25">
      <c r="B175"/>
      <c r="C175"/>
      <c r="D175"/>
      <c r="E175"/>
    </row>
    <row r="176" spans="2:5" x14ac:dyDescent="0.25">
      <c r="B176"/>
      <c r="C176"/>
      <c r="D176"/>
      <c r="E176"/>
    </row>
    <row r="177" spans="2:5" x14ac:dyDescent="0.25">
      <c r="B177"/>
      <c r="C177"/>
      <c r="D177"/>
      <c r="E177"/>
    </row>
    <row r="178" spans="2:5" x14ac:dyDescent="0.25">
      <c r="B178"/>
      <c r="C178"/>
      <c r="D178"/>
      <c r="E178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Q1</vt:lpstr>
      <vt:lpstr>Q2</vt:lpstr>
      <vt:lpstr>Q3</vt:lpstr>
      <vt:lpstr>Q4</vt:lpstr>
      <vt:lpstr>Sheet2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2010-04-06T10:10:32Z</dcterms:created>
  <dcterms:modified xsi:type="dcterms:W3CDTF">2026-01-27T16:20:58Z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hinkcellXlWorkbookDoNotDelete" linkTarget="&lt;?xml version=&quot;1.0&quot; encoding=&quot;UTF-16&quot; standalone=&quot;yes&quot;?&gt;&#10;&lt;root reqver=&quot;16160&quot;&gt;&lt;version val=&quot;17971&quot;/&gt;&lt;CXlWorkbook id=&quot;1&quot;&gt;&lt;m_cxllink/&gt;&lt;/CXlWorkbook&gt;&lt;/root&gt;">
    <vt:bool>false</vt:bool>
  </property>
</Properties>
</file>