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2C29569F-1DC4-4F91-9514-11052F5B2B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42" r:id="rId1"/>
    <sheet name="Q2" sheetId="44" r:id="rId2"/>
    <sheet name="Q3" sheetId="45" r:id="rId3"/>
    <sheet name="Q4" sheetId="48" r:id="rId4"/>
    <sheet name="Q5" sheetId="41" r:id="rId5"/>
  </sheets>
  <externalReferences>
    <externalReference r:id="rId6"/>
    <externalReference r:id="rId7"/>
    <externalReference r:id="rId8"/>
    <externalReference r:id="rId9"/>
  </externalReferences>
  <definedNames>
    <definedName name="_mth1">#REF!</definedName>
    <definedName name="COL">'[1]OFFSET-1'!$N$4</definedName>
    <definedName name="County">#REF!</definedName>
    <definedName name="Dhoni">'Q4'!$C$10:$F$13</definedName>
    <definedName name="Dynamic_Range">OFFSET('[1]OFFSET-9'!$J$2,0,'[1]OFFSET-9'!$A$1,COUNTA(INDIRECT('[1]OFFSET-9'!$D$14)),1)</definedName>
    <definedName name="Harbhajan">'Q4'!$C$26:$F$29</definedName>
    <definedName name="Hgt">'[1]OFFSET-1'!$N$5</definedName>
    <definedName name="ImportTextUsingOpenText">[2]!ImportTextUsingOpenText</definedName>
    <definedName name="ImportTextUsingXlDialogOpen">[2]!ImportTextUsingXlDialogOpen</definedName>
    <definedName name="mth">'[3]Question B'!$B$2:$G$2</definedName>
    <definedName name="MyRange">OFFSET('[1]OFFSET-10'!$A$1,0,0,COUNTA('[1]OFFSET-10'!$A:$A),COUNTA('[1]OFFSET-10'!$1:$1))</definedName>
    <definedName name="Offset_Ka_Jaadu">OFFSET(INDIRECT(Ref),RW,COL,Hgt,Wdh)</definedName>
    <definedName name="prd">'[3]Question B'!$A$3:$A$12</definedName>
    <definedName name="pst">[4]Variable!$A$2:$A$5</definedName>
    <definedName name="Raina">'Q4'!$C$16:$F$19</definedName>
    <definedName name="Ref">'[1]OFFSET-1'!$N$2</definedName>
    <definedName name="RW">'[1]OFFSET-1'!$N$3</definedName>
    <definedName name="Sachin">'Q4'!$C$5:$F$8</definedName>
    <definedName name="Virat">'Q4'!$C$21:$F$24</definedName>
    <definedName name="Wdh">'[1]OFFSET-1'!$N$6</definedName>
  </definedNames>
  <calcPr calcId="191029" calcMode="autoNoTable" iterate="1" iterateCount="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1" l="1"/>
  <c r="I6" i="41"/>
  <c r="I4" i="41"/>
  <c r="Q20" i="48" a="1"/>
  <c r="Q20" i="48" s="1"/>
  <c r="M6" i="45"/>
  <c r="M7" i="45"/>
  <c r="M8" i="45"/>
  <c r="M9" i="45"/>
  <c r="M10" i="45"/>
  <c r="M11" i="45"/>
  <c r="M5" i="45"/>
  <c r="F5" i="44"/>
  <c r="F6" i="44"/>
  <c r="F7" i="44"/>
  <c r="F8" i="44"/>
  <c r="F4" i="44"/>
  <c r="Q15" i="48" a="1"/>
  <c r="Q15" i="48" s="1"/>
  <c r="G5" i="45" a="1"/>
  <c r="G5" i="45" s="1"/>
  <c r="D5" i="44"/>
  <c r="D6" i="44"/>
  <c r="D7" i="44"/>
  <c r="D8" i="44"/>
  <c r="D4" i="44"/>
  <c r="G4" i="41"/>
  <c r="K15" i="48" a="1"/>
  <c r="K15" i="48" s="1"/>
  <c r="K9" i="48" a="1"/>
  <c r="N12" i="48" s="1"/>
  <c r="K27" i="48" a="1"/>
  <c r="K20" i="48" a="1"/>
  <c r="K27" i="48" l="1"/>
  <c r="K20" i="48"/>
  <c r="K9" i="48"/>
  <c r="K10" i="48"/>
  <c r="K11" i="48"/>
  <c r="K12" i="48"/>
  <c r="L9" i="48"/>
  <c r="L10" i="48"/>
  <c r="L11" i="48"/>
  <c r="L12" i="48"/>
  <c r="M9" i="48"/>
  <c r="M10" i="48"/>
  <c r="M11" i="48"/>
  <c r="M12" i="48"/>
  <c r="N9" i="48"/>
  <c r="N10" i="48"/>
  <c r="N11" i="48"/>
  <c r="B8" i="44"/>
  <c r="B7" i="44"/>
  <c r="B6" i="44"/>
  <c r="B5" i="44"/>
  <c r="B4" i="44"/>
  <c r="D4" i="41" l="1"/>
  <c r="E4" i="41" l="1"/>
  <c r="F4" i="41" l="1"/>
  <c r="D5" i="41"/>
  <c r="E5" i="41" l="1"/>
  <c r="G5" i="41" s="1"/>
  <c r="F5" i="41" l="1"/>
  <c r="D6" i="41"/>
  <c r="E6" i="41" l="1"/>
  <c r="F6" i="41" l="1"/>
  <c r="G6" i="4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<sst xmlns="http://schemas.openxmlformats.org/spreadsheetml/2006/main" count="46" uniqueCount="31">
  <si>
    <t>Labels</t>
  </si>
  <si>
    <t>FREQUENCY w COUNTIF</t>
  </si>
  <si>
    <t>Increment</t>
  </si>
  <si>
    <t>Canidate Age</t>
  </si>
  <si>
    <t>Start</t>
  </si>
  <si>
    <t>Name</t>
  </si>
  <si>
    <t>Amit</t>
  </si>
  <si>
    <t>Amit Kumar</t>
  </si>
  <si>
    <t>Anumeet Singh Kaur</t>
  </si>
  <si>
    <t>Pandit Madan Mohan Malviya</t>
  </si>
  <si>
    <t>ms Arti karan singh grover</t>
  </si>
  <si>
    <t>Color</t>
  </si>
  <si>
    <t>amount</t>
  </si>
  <si>
    <t>blue</t>
  </si>
  <si>
    <t>red</t>
  </si>
  <si>
    <t>green</t>
  </si>
  <si>
    <t>NZ</t>
  </si>
  <si>
    <t>Players</t>
  </si>
  <si>
    <t>Eng</t>
  </si>
  <si>
    <t>Aus</t>
  </si>
  <si>
    <t>Ban</t>
  </si>
  <si>
    <t>Sachin</t>
  </si>
  <si>
    <t>Virat</t>
  </si>
  <si>
    <t>Dhoni</t>
  </si>
  <si>
    <t>Raina</t>
  </si>
  <si>
    <t>Harbhajan</t>
  </si>
  <si>
    <t>MAKE PIVOT REPORT FROM THE PDF FILE</t>
  </si>
  <si>
    <t>WORD COUNT</t>
  </si>
  <si>
    <t>Highlight 3 smallest values with criteria with blue color</t>
  </si>
  <si>
    <t>When Players is Selected From Drop Down List ,All the Scores for the respective countries should be displayed below</t>
  </si>
  <si>
    <t>Find out the Frequency of Candidate age given using Countif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</si>
</sst>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2" xfId="0" applyBorder="1"/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5" borderId="0" xfId="0" applyFill="1"/>
    <xf numFmtId="0" fontId="4" fillId="5" borderId="1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9">
    <dxf>
      <font>
        <b/>
        <i val="0"/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182880</xdr:colOff>
          <xdr:row>10</xdr:row>
          <xdr:rowOff>0</xdr:rowOff>
        </xdr:from>
        <xdr:to>
          <xdr:col>10</xdr:col>
          <xdr:colOff>487680</xdr:colOff>
          <xdr:row>13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15</xdr:row>
      <xdr:rowOff>40005</xdr:rowOff>
    </xdr:from>
    <xdr:to>
      <xdr:col>5</xdr:col>
      <xdr:colOff>590550</xdr:colOff>
      <xdr:row>33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28925"/>
          <a:ext cx="3562350" cy="3368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DAY%2035%20TO%2046-%20LOOKUP%20AND%20REFERENCE\CLASS\Class%2010%20OFFSET\2.%20OFFSET_CLASS_MOR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Excel\DEMO\IMPORTX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Excel_Test_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ninggngsk02\GSK%20CHBI%20Common\Operational%20Non%20Sensitive\Excel%20Tests\CHF\Excel%20Test-Swati\Excel_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Sheet"/>
      <sheetName val="OFFSET-1"/>
      <sheetName val="OFFSET-2"/>
      <sheetName val="OFFSET-3"/>
      <sheetName val="OFFSET-4"/>
      <sheetName val="OFFSET-5"/>
      <sheetName val="OFFSET-6"/>
      <sheetName val="OFFSET-7"/>
      <sheetName val="OFFSET-8"/>
      <sheetName val="OFFSET-9"/>
      <sheetName val="OFFSET-10"/>
    </sheetNames>
    <sheetDataSet>
      <sheetData sheetId="0"/>
      <sheetData sheetId="1">
        <row r="2">
          <cell r="N2" t="str">
            <v>E4</v>
          </cell>
        </row>
        <row r="3">
          <cell r="N3">
            <v>0</v>
          </cell>
        </row>
        <row r="4">
          <cell r="N4">
            <v>0</v>
          </cell>
        </row>
        <row r="5">
          <cell r="N5">
            <v>5</v>
          </cell>
        </row>
        <row r="6">
          <cell r="N6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>
            <v>4</v>
          </cell>
        </row>
        <row r="14">
          <cell r="D14" t="str">
            <v>$N$2:$N$1000</v>
          </cell>
        </row>
      </sheetData>
      <sheetData sheetId="10">
        <row r="1">
          <cell r="A1" t="str">
            <v>EmpName</v>
          </cell>
          <cell r="B1" t="str">
            <v>Salary</v>
          </cell>
          <cell r="C1" t="str">
            <v>Incentive</v>
          </cell>
        </row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d</v>
          </cell>
        </row>
        <row r="6">
          <cell r="A6" t="str">
            <v>e</v>
          </cell>
        </row>
        <row r="7">
          <cell r="A7" t="str">
            <v>f</v>
          </cell>
        </row>
        <row r="8">
          <cell r="A8" t="str">
            <v>k</v>
          </cell>
        </row>
        <row r="9">
          <cell r="A9" t="str">
            <v>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XT"/>
    </sheetNames>
    <definedNames>
      <definedName name="ImportTextUsingOpenText"/>
      <definedName name="ImportTextUsingXlDialogOpe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1"/>
      <sheetName val="Question A"/>
      <sheetName val="Question B"/>
      <sheetName val="Question1"/>
      <sheetName val="Question2"/>
      <sheetName val="Question3"/>
      <sheetName val="Question4"/>
      <sheetName val="Question5"/>
      <sheetName val="Question6"/>
      <sheetName val="Question7"/>
      <sheetName val="Question8"/>
      <sheetName val="ProductA"/>
      <sheetName val="ProductB"/>
      <sheetName val="ProductC"/>
      <sheetName val="Question8_"/>
      <sheetName val="Question9"/>
      <sheetName val="Question10"/>
      <sheetName val="Question11"/>
      <sheetName val="Question12"/>
      <sheetName val="Question13&amp;14"/>
      <sheetName val="DataQ13&amp;14"/>
      <sheetName val="ANS2"/>
    </sheetNames>
    <sheetDataSet>
      <sheetData sheetId="0" refreshError="1"/>
      <sheetData sheetId="1" refreshError="1"/>
      <sheetData sheetId="2">
        <row r="2">
          <cell r="B2" t="str">
            <v>Month 1</v>
          </cell>
          <cell r="C2" t="str">
            <v>Month 2</v>
          </cell>
          <cell r="D2" t="str">
            <v>Month 3</v>
          </cell>
          <cell r="E2" t="str">
            <v>Month 4</v>
          </cell>
          <cell r="F2" t="str">
            <v>Month 5</v>
          </cell>
          <cell r="G2" t="str">
            <v>Month 6</v>
          </cell>
        </row>
        <row r="3">
          <cell r="A3" t="str">
            <v>Product 1</v>
          </cell>
        </row>
        <row r="4">
          <cell r="A4" t="str">
            <v>Product 2</v>
          </cell>
        </row>
        <row r="5">
          <cell r="A5" t="str">
            <v>Product 3</v>
          </cell>
        </row>
        <row r="6">
          <cell r="A6" t="str">
            <v>Product 4</v>
          </cell>
        </row>
        <row r="7">
          <cell r="A7" t="str">
            <v>Product 5</v>
          </cell>
        </row>
        <row r="8">
          <cell r="A8" t="str">
            <v>Product 6</v>
          </cell>
        </row>
        <row r="9">
          <cell r="A9" t="str">
            <v>Product 7</v>
          </cell>
        </row>
        <row r="10">
          <cell r="A10" t="str">
            <v>Product 8</v>
          </cell>
        </row>
        <row r="11">
          <cell r="A11" t="str">
            <v>Product 9</v>
          </cell>
        </row>
        <row r="12">
          <cell r="A12" t="str">
            <v>Product 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estion 1"/>
      <sheetName val="Question 2"/>
      <sheetName val="Question 3"/>
      <sheetName val="Question 4"/>
      <sheetName val="Sheet1"/>
      <sheetName val="Sheet2"/>
      <sheetName val="Sheet3"/>
      <sheetName val="Question 5"/>
      <sheetName val="Question 6"/>
      <sheetName val="Question 7"/>
      <sheetName val="Question 8"/>
      <sheetName val="Question 9"/>
      <sheetName val="Question 10"/>
      <sheetName val="Question 11"/>
      <sheetName val="Variabl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2" t="str">
            <v>TA</v>
          </cell>
        </row>
        <row r="3">
          <cell r="A3" t="str">
            <v>JA</v>
          </cell>
        </row>
        <row r="4">
          <cell r="A4" t="str">
            <v>A</v>
          </cell>
        </row>
        <row r="5">
          <cell r="A5" t="str">
            <v>SA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"/>
  <sheetViews>
    <sheetView workbookViewId="0">
      <selection activeCell="I15" sqref="I15"/>
    </sheetView>
  </sheetViews>
  <sheetFormatPr defaultRowHeight="14.4" x14ac:dyDescent="0.3"/>
  <sheetData>
    <row r="1" spans="1:1" ht="18" x14ac:dyDescent="0.35">
      <c r="A1" s="16" t="s">
        <v>26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2049" r:id="rId3">
          <objectPr defaultSize="0" autoPict="0" r:id="rId4">
            <anchor moveWithCells="1">
              <from>
                <xdr:col>9</xdr:col>
                <xdr:colOff>182880</xdr:colOff>
                <xdr:row>10</xdr:row>
                <xdr:rowOff>0</xdr:rowOff>
              </from>
              <to>
                <xdr:col>10</xdr:col>
                <xdr:colOff>487680</xdr:colOff>
                <xdr:row>13</xdr:row>
                <xdr:rowOff>114300</xdr:rowOff>
              </to>
            </anchor>
          </objectPr>
        </oleObject>
      </mc:Choice>
      <mc:Fallback>
        <oleObject progId="Acrobat Document" dvAspect="DVASPECT_ICON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8"/>
  <sheetViews>
    <sheetView workbookViewId="0">
      <selection activeCell="F4" sqref="F4:F8"/>
    </sheetView>
  </sheetViews>
  <sheetFormatPr defaultRowHeight="14.4" x14ac:dyDescent="0.3"/>
  <cols>
    <col min="1" max="1" width="35" customWidth="1"/>
  </cols>
  <sheetData>
    <row r="1" spans="1:6" ht="18" x14ac:dyDescent="0.35">
      <c r="A1" s="16" t="s">
        <v>27</v>
      </c>
    </row>
    <row r="3" spans="1:6" x14ac:dyDescent="0.3">
      <c r="A3" t="s">
        <v>5</v>
      </c>
    </row>
    <row r="4" spans="1:6" x14ac:dyDescent="0.3">
      <c r="A4" t="s">
        <v>6</v>
      </c>
      <c r="B4">
        <f>LEN(A4)-LEN(SUBSTITUTE(A4," ",""))+1</f>
        <v>1</v>
      </c>
      <c r="D4">
        <f>_xlfn.LET(_xlpm.a, PROPER(A4), LEN(_xlpm.a) - LEN(SUBSTITUTE(_xlpm.a, " ", ""))) + 1</f>
        <v>1</v>
      </c>
      <c r="F4">
        <f>COUNTA(_xlfn.TEXTSPLIT(TRIM(A4), " "))</f>
        <v>1</v>
      </c>
    </row>
    <row r="5" spans="1:6" x14ac:dyDescent="0.3">
      <c r="A5" t="s">
        <v>7</v>
      </c>
      <c r="B5">
        <f t="shared" ref="B5:B8" si="0">LEN(A5)-LEN(SUBSTITUTE(A5," ",""))+1</f>
        <v>2</v>
      </c>
      <c r="D5">
        <f t="shared" ref="D5:D8" si="1">_xlfn.LET(_xlpm.a, PROPER(A5), LEN(_xlpm.a) - LEN(SUBSTITUTE(_xlpm.a, " ", ""))) + 1</f>
        <v>2</v>
      </c>
      <c r="F5">
        <f t="shared" ref="F5:F8" si="2">COUNTA(_xlfn.TEXTSPLIT(TRIM(A5), " "))</f>
        <v>2</v>
      </c>
    </row>
    <row r="6" spans="1:6" x14ac:dyDescent="0.3">
      <c r="A6" t="s">
        <v>8</v>
      </c>
      <c r="B6">
        <f t="shared" si="0"/>
        <v>3</v>
      </c>
      <c r="D6">
        <f t="shared" si="1"/>
        <v>3</v>
      </c>
      <c r="F6">
        <f t="shared" si="2"/>
        <v>3</v>
      </c>
    </row>
    <row r="7" spans="1:6" x14ac:dyDescent="0.3">
      <c r="A7" t="s">
        <v>9</v>
      </c>
      <c r="B7">
        <f t="shared" si="0"/>
        <v>4</v>
      </c>
      <c r="D7">
        <f t="shared" si="1"/>
        <v>4</v>
      </c>
      <c r="F7">
        <f t="shared" si="2"/>
        <v>4</v>
      </c>
    </row>
    <row r="8" spans="1:6" x14ac:dyDescent="0.3">
      <c r="A8" t="s">
        <v>10</v>
      </c>
      <c r="B8">
        <f t="shared" si="0"/>
        <v>5</v>
      </c>
      <c r="D8">
        <f t="shared" si="1"/>
        <v>5</v>
      </c>
      <c r="F8">
        <f t="shared" si="2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M11"/>
  <sheetViews>
    <sheetView workbookViewId="0">
      <selection activeCell="D5" sqref="D5:D11"/>
    </sheetView>
  </sheetViews>
  <sheetFormatPr defaultRowHeight="14.4" x14ac:dyDescent="0.3"/>
  <sheetData>
    <row r="2" spans="1:13" ht="18" x14ac:dyDescent="0.35">
      <c r="A2" s="16" t="s">
        <v>28</v>
      </c>
    </row>
    <row r="3" spans="1:13" x14ac:dyDescent="0.3">
      <c r="A3" s="10"/>
      <c r="B3" s="10"/>
    </row>
    <row r="4" spans="1:13" x14ac:dyDescent="0.3">
      <c r="A4" s="11" t="s">
        <v>11</v>
      </c>
      <c r="B4" s="12" t="s">
        <v>12</v>
      </c>
    </row>
    <row r="5" spans="1:13" x14ac:dyDescent="0.3">
      <c r="A5" s="13" t="s">
        <v>13</v>
      </c>
      <c r="B5" s="14">
        <v>10</v>
      </c>
      <c r="D5">
        <v>10</v>
      </c>
      <c r="G5" t="b" cm="1">
        <f t="array" ref="G5:I11">B5:B11=SMALL(B5:B11, {1,2,3})</f>
        <v>1</v>
      </c>
      <c r="H5" t="b">
        <v>0</v>
      </c>
      <c r="I5" t="b">
        <v>0</v>
      </c>
      <c r="K5" s="14">
        <v>10</v>
      </c>
      <c r="M5">
        <f>K5</f>
        <v>10</v>
      </c>
    </row>
    <row r="6" spans="1:13" x14ac:dyDescent="0.3">
      <c r="A6" s="13" t="s">
        <v>14</v>
      </c>
      <c r="B6" s="14">
        <v>23</v>
      </c>
      <c r="D6">
        <v>23</v>
      </c>
      <c r="G6" t="b">
        <v>0</v>
      </c>
      <c r="H6" t="b">
        <v>1</v>
      </c>
      <c r="I6" t="b">
        <v>0</v>
      </c>
      <c r="K6" s="14">
        <v>23</v>
      </c>
      <c r="M6">
        <f t="shared" ref="M6:M11" si="0">K6</f>
        <v>23</v>
      </c>
    </row>
    <row r="7" spans="1:13" x14ac:dyDescent="0.3">
      <c r="A7" s="13" t="s">
        <v>13</v>
      </c>
      <c r="B7" s="14">
        <v>45</v>
      </c>
      <c r="D7">
        <v>45</v>
      </c>
      <c r="G7" t="b">
        <v>0</v>
      </c>
      <c r="H7" t="b">
        <v>0</v>
      </c>
      <c r="I7" t="b">
        <v>0</v>
      </c>
      <c r="K7" s="14">
        <v>45</v>
      </c>
      <c r="M7">
        <f t="shared" si="0"/>
        <v>45</v>
      </c>
    </row>
    <row r="8" spans="1:13" x14ac:dyDescent="0.3">
      <c r="A8" s="13" t="s">
        <v>13</v>
      </c>
      <c r="B8" s="14">
        <v>34</v>
      </c>
      <c r="D8">
        <v>34</v>
      </c>
      <c r="G8" t="b">
        <v>0</v>
      </c>
      <c r="H8" t="b">
        <v>0</v>
      </c>
      <c r="I8" t="b">
        <v>1</v>
      </c>
      <c r="K8" s="14">
        <v>34</v>
      </c>
      <c r="M8">
        <f t="shared" si="0"/>
        <v>34</v>
      </c>
    </row>
    <row r="9" spans="1:13" x14ac:dyDescent="0.3">
      <c r="A9" s="13" t="s">
        <v>14</v>
      </c>
      <c r="B9" s="14">
        <v>67</v>
      </c>
      <c r="D9">
        <v>67</v>
      </c>
      <c r="G9" t="b">
        <v>0</v>
      </c>
      <c r="H9" t="b">
        <v>0</v>
      </c>
      <c r="I9" t="b">
        <v>0</v>
      </c>
      <c r="K9" s="14">
        <v>67</v>
      </c>
      <c r="M9">
        <f t="shared" si="0"/>
        <v>67</v>
      </c>
    </row>
    <row r="10" spans="1:13" x14ac:dyDescent="0.3">
      <c r="A10" s="13" t="s">
        <v>15</v>
      </c>
      <c r="B10" s="14">
        <v>98</v>
      </c>
      <c r="D10">
        <v>98</v>
      </c>
      <c r="G10" t="b">
        <v>0</v>
      </c>
      <c r="H10" t="b">
        <v>0</v>
      </c>
      <c r="I10" t="b">
        <v>0</v>
      </c>
      <c r="K10" s="14">
        <v>98</v>
      </c>
      <c r="M10">
        <f t="shared" si="0"/>
        <v>98</v>
      </c>
    </row>
    <row r="11" spans="1:13" x14ac:dyDescent="0.3">
      <c r="A11" s="13" t="s">
        <v>13</v>
      </c>
      <c r="B11" s="14">
        <v>42</v>
      </c>
      <c r="D11">
        <v>42</v>
      </c>
      <c r="G11" t="b">
        <v>0</v>
      </c>
      <c r="H11" t="b">
        <v>0</v>
      </c>
      <c r="I11" t="b">
        <v>0</v>
      </c>
      <c r="K11" s="14">
        <v>42</v>
      </c>
      <c r="M11">
        <f t="shared" si="0"/>
        <v>42</v>
      </c>
    </row>
  </sheetData>
  <conditionalFormatting sqref="B5:B11">
    <cfRule type="expression" dxfId="7" priority="8">
      <formula>AND($A5="blue",$B5&lt;=SMALL(IF($A$5:$A$11="blue",$B$5:$B$11),3))</formula>
    </cfRule>
  </conditionalFormatting>
  <conditionalFormatting sqref="D5:D11">
    <cfRule type="expression" dxfId="6" priority="7">
      <formula>SMALL($D$5:$D$11,4)&gt;D5</formula>
    </cfRule>
  </conditionalFormatting>
  <conditionalFormatting sqref="K5:K11">
    <cfRule type="top10" dxfId="5" priority="4" bottom="1" rank="3"/>
  </conditionalFormatting>
  <conditionalFormatting sqref="M5:M11">
    <cfRule type="expression" dxfId="4" priority="1">
      <formula>RANK($M5:$M11,$M$5:$M$11,1)&lt;4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30"/>
  <sheetViews>
    <sheetView workbookViewId="0">
      <selection activeCell="Q15" sqref="Q15"/>
    </sheetView>
  </sheetViews>
  <sheetFormatPr defaultRowHeight="14.4" x14ac:dyDescent="0.3"/>
  <sheetData>
    <row r="2" spans="1:20" ht="18" x14ac:dyDescent="0.35">
      <c r="B2" s="16" t="s">
        <v>29</v>
      </c>
    </row>
    <row r="4" spans="1:20" x14ac:dyDescent="0.3">
      <c r="A4" t="s">
        <v>17</v>
      </c>
      <c r="C4" t="s">
        <v>18</v>
      </c>
      <c r="D4" t="s">
        <v>19</v>
      </c>
      <c r="E4" t="s">
        <v>16</v>
      </c>
      <c r="F4" t="s">
        <v>20</v>
      </c>
    </row>
    <row r="5" spans="1:20" x14ac:dyDescent="0.3">
      <c r="A5" t="s">
        <v>21</v>
      </c>
      <c r="C5" s="1">
        <v>26</v>
      </c>
      <c r="D5" s="1">
        <v>86</v>
      </c>
      <c r="E5" s="1">
        <v>25</v>
      </c>
      <c r="F5" s="1">
        <v>55</v>
      </c>
      <c r="K5" t="s">
        <v>17</v>
      </c>
      <c r="L5" t="s">
        <v>22</v>
      </c>
      <c r="T5" t="s">
        <v>21</v>
      </c>
    </row>
    <row r="6" spans="1:20" x14ac:dyDescent="0.3">
      <c r="C6" s="1">
        <v>89</v>
      </c>
      <c r="D6" s="1">
        <v>93</v>
      </c>
      <c r="E6" s="1">
        <v>73</v>
      </c>
      <c r="F6" s="1">
        <v>58</v>
      </c>
      <c r="T6" t="s">
        <v>23</v>
      </c>
    </row>
    <row r="7" spans="1:20" x14ac:dyDescent="0.3">
      <c r="C7" s="1">
        <v>49</v>
      </c>
      <c r="D7" s="1">
        <v>95</v>
      </c>
      <c r="E7" s="1">
        <v>5</v>
      </c>
      <c r="F7" s="1">
        <v>88</v>
      </c>
      <c r="T7" t="s">
        <v>24</v>
      </c>
    </row>
    <row r="8" spans="1:20" x14ac:dyDescent="0.3">
      <c r="C8" s="1">
        <v>90</v>
      </c>
      <c r="D8" s="1">
        <v>55</v>
      </c>
      <c r="E8" s="1">
        <v>100</v>
      </c>
      <c r="F8" s="1">
        <v>39</v>
      </c>
      <c r="K8" s="15" t="s">
        <v>18</v>
      </c>
      <c r="L8" s="15" t="s">
        <v>19</v>
      </c>
      <c r="M8" s="15" t="s">
        <v>16</v>
      </c>
      <c r="N8" s="15" t="s">
        <v>20</v>
      </c>
      <c r="T8" t="s">
        <v>22</v>
      </c>
    </row>
    <row r="9" spans="1:20" x14ac:dyDescent="0.3">
      <c r="K9">
        <f t="array" aca="1" ref="K9:N12" ca="1">OFFSET(INDEX($A$5:$A$29,MATCH($L$5,$A$5:$A$29,0)),0,2,4,4)</f>
        <v>91</v>
      </c>
      <c r="L9">
        <f ca="1"/>
        <v>47</v>
      </c>
      <c r="M9">
        <f ca="1"/>
        <v>32</v>
      </c>
      <c r="N9">
        <f ca="1"/>
        <v>96</v>
      </c>
      <c r="T9" t="s">
        <v>25</v>
      </c>
    </row>
    <row r="10" spans="1:20" x14ac:dyDescent="0.3">
      <c r="A10" t="s">
        <v>23</v>
      </c>
      <c r="C10" s="1">
        <v>43</v>
      </c>
      <c r="D10" s="1">
        <v>25</v>
      </c>
      <c r="E10" s="1">
        <v>23</v>
      </c>
      <c r="F10" s="1">
        <v>98</v>
      </c>
      <c r="K10">
        <f ca="1"/>
        <v>50</v>
      </c>
      <c r="L10">
        <f ca="1"/>
        <v>17</v>
      </c>
      <c r="M10">
        <f ca="1"/>
        <v>63</v>
      </c>
      <c r="N10">
        <f ca="1"/>
        <v>62</v>
      </c>
    </row>
    <row r="11" spans="1:20" x14ac:dyDescent="0.3">
      <c r="C11" s="1">
        <v>50</v>
      </c>
      <c r="D11" s="1">
        <v>74</v>
      </c>
      <c r="E11" s="1">
        <v>59</v>
      </c>
      <c r="F11" s="1">
        <v>79</v>
      </c>
      <c r="K11">
        <f ca="1"/>
        <v>80</v>
      </c>
      <c r="L11">
        <f ca="1"/>
        <v>79</v>
      </c>
      <c r="M11">
        <f ca="1"/>
        <v>68</v>
      </c>
      <c r="N11">
        <f ca="1"/>
        <v>73</v>
      </c>
    </row>
    <row r="12" spans="1:20" x14ac:dyDescent="0.3">
      <c r="C12" s="1">
        <v>40</v>
      </c>
      <c r="D12" s="1">
        <v>96</v>
      </c>
      <c r="E12" s="1">
        <v>5</v>
      </c>
      <c r="F12" s="1">
        <v>57</v>
      </c>
      <c r="K12">
        <f ca="1"/>
        <v>64</v>
      </c>
      <c r="L12">
        <f ca="1"/>
        <v>40</v>
      </c>
      <c r="M12">
        <f ca="1"/>
        <v>47</v>
      </c>
      <c r="N12">
        <f ca="1"/>
        <v>98</v>
      </c>
    </row>
    <row r="13" spans="1:20" x14ac:dyDescent="0.3">
      <c r="C13" s="1">
        <v>48</v>
      </c>
      <c r="D13" s="1">
        <v>83</v>
      </c>
      <c r="E13" s="1">
        <v>34</v>
      </c>
      <c r="F13" s="1">
        <v>71</v>
      </c>
    </row>
    <row r="15" spans="1:20" x14ac:dyDescent="0.3">
      <c r="K15" cm="1">
        <f t="array" aca="1" ref="K15:N18" ca="1">OFFSET(A4,MATCH(L5,A5:A26,0),2,4,4)</f>
        <v>91</v>
      </c>
      <c r="L15">
        <f ca="1"/>
        <v>47</v>
      </c>
      <c r="M15">
        <f ca="1"/>
        <v>32</v>
      </c>
      <c r="N15">
        <f ca="1"/>
        <v>96</v>
      </c>
      <c r="Q15" cm="1">
        <f t="array" aca="1" ref="Q15:T18" ca="1">OFFSET(A4, MATCH($L$5,$A$5:$A$26,0),2,4,4)</f>
        <v>91</v>
      </c>
      <c r="R15">
        <f ca="1"/>
        <v>47</v>
      </c>
      <c r="S15">
        <f ca="1"/>
        <v>32</v>
      </c>
      <c r="T15">
        <f ca="1"/>
        <v>96</v>
      </c>
    </row>
    <row r="16" spans="1:20" x14ac:dyDescent="0.3">
      <c r="A16" t="s">
        <v>24</v>
      </c>
      <c r="C16" s="1">
        <v>32</v>
      </c>
      <c r="D16" s="1">
        <v>57</v>
      </c>
      <c r="E16" s="1">
        <v>43</v>
      </c>
      <c r="F16" s="1">
        <v>1</v>
      </c>
      <c r="K16">
        <f ca="1"/>
        <v>50</v>
      </c>
      <c r="L16">
        <f ca="1"/>
        <v>17</v>
      </c>
      <c r="M16">
        <f ca="1"/>
        <v>63</v>
      </c>
      <c r="N16">
        <f ca="1"/>
        <v>62</v>
      </c>
      <c r="Q16">
        <f ca="1"/>
        <v>50</v>
      </c>
      <c r="R16">
        <f ca="1"/>
        <v>17</v>
      </c>
      <c r="S16">
        <f ca="1"/>
        <v>63</v>
      </c>
      <c r="T16">
        <f ca="1"/>
        <v>62</v>
      </c>
    </row>
    <row r="17" spans="1:20" x14ac:dyDescent="0.3">
      <c r="C17" s="1">
        <v>59</v>
      </c>
      <c r="D17" s="1">
        <v>72</v>
      </c>
      <c r="E17" s="1">
        <v>50</v>
      </c>
      <c r="F17" s="1">
        <v>48</v>
      </c>
      <c r="K17">
        <f ca="1"/>
        <v>80</v>
      </c>
      <c r="L17">
        <f ca="1"/>
        <v>79</v>
      </c>
      <c r="M17">
        <f ca="1"/>
        <v>68</v>
      </c>
      <c r="N17">
        <f ca="1"/>
        <v>73</v>
      </c>
      <c r="Q17">
        <f ca="1"/>
        <v>80</v>
      </c>
      <c r="R17">
        <f ca="1"/>
        <v>79</v>
      </c>
      <c r="S17">
        <f ca="1"/>
        <v>68</v>
      </c>
      <c r="T17">
        <f ca="1"/>
        <v>73</v>
      </c>
    </row>
    <row r="18" spans="1:20" x14ac:dyDescent="0.3">
      <c r="C18" s="1">
        <v>50</v>
      </c>
      <c r="D18" s="1">
        <v>92</v>
      </c>
      <c r="E18" s="1">
        <v>90</v>
      </c>
      <c r="F18" s="1">
        <v>32</v>
      </c>
      <c r="K18">
        <f ca="1"/>
        <v>64</v>
      </c>
      <c r="L18">
        <f ca="1"/>
        <v>40</v>
      </c>
      <c r="M18">
        <f ca="1"/>
        <v>47</v>
      </c>
      <c r="N18">
        <f ca="1"/>
        <v>98</v>
      </c>
      <c r="Q18">
        <f ca="1"/>
        <v>64</v>
      </c>
      <c r="R18">
        <f ca="1"/>
        <v>40</v>
      </c>
      <c r="S18">
        <f ca="1"/>
        <v>47</v>
      </c>
      <c r="T18">
        <f ca="1"/>
        <v>98</v>
      </c>
    </row>
    <row r="19" spans="1:20" x14ac:dyDescent="0.3">
      <c r="C19" s="1">
        <v>38</v>
      </c>
      <c r="D19" s="1">
        <v>64</v>
      </c>
      <c r="E19" s="1">
        <v>97</v>
      </c>
      <c r="F19" s="1">
        <v>63</v>
      </c>
    </row>
    <row r="20" spans="1:20" x14ac:dyDescent="0.3">
      <c r="K20" cm="1">
        <f t="array" aca="1" ref="K20:N23" ca="1">INDIRECT(L5)</f>
        <v>91</v>
      </c>
      <c r="L20">
        <f ca="1"/>
        <v>47</v>
      </c>
      <c r="M20">
        <f ca="1"/>
        <v>32</v>
      </c>
      <c r="N20">
        <f ca="1"/>
        <v>96</v>
      </c>
      <c r="Q20" cm="1">
        <f t="array" aca="1" ref="Q20:T23" ca="1">OFFSET(A4,MATCH(L5,A5:A26,0),2,4,4)</f>
        <v>91</v>
      </c>
      <c r="R20">
        <f ca="1"/>
        <v>47</v>
      </c>
      <c r="S20">
        <f ca="1"/>
        <v>32</v>
      </c>
      <c r="T20">
        <f ca="1"/>
        <v>96</v>
      </c>
    </row>
    <row r="21" spans="1:20" x14ac:dyDescent="0.3">
      <c r="A21" t="s">
        <v>22</v>
      </c>
      <c r="C21" s="1">
        <v>91</v>
      </c>
      <c r="D21" s="1">
        <v>47</v>
      </c>
      <c r="E21" s="1">
        <v>32</v>
      </c>
      <c r="F21" s="1">
        <v>96</v>
      </c>
      <c r="K21">
        <f ca="1"/>
        <v>50</v>
      </c>
      <c r="L21">
        <f ca="1"/>
        <v>17</v>
      </c>
      <c r="M21">
        <f ca="1"/>
        <v>63</v>
      </c>
      <c r="N21">
        <f ca="1"/>
        <v>62</v>
      </c>
      <c r="Q21">
        <f ca="1"/>
        <v>50</v>
      </c>
      <c r="R21">
        <f ca="1"/>
        <v>17</v>
      </c>
      <c r="S21">
        <f ca="1"/>
        <v>63</v>
      </c>
      <c r="T21">
        <f ca="1"/>
        <v>62</v>
      </c>
    </row>
    <row r="22" spans="1:20" x14ac:dyDescent="0.3">
      <c r="C22" s="1">
        <v>50</v>
      </c>
      <c r="D22" s="1">
        <v>17</v>
      </c>
      <c r="E22" s="1">
        <v>63</v>
      </c>
      <c r="F22" s="1">
        <v>62</v>
      </c>
      <c r="K22">
        <f ca="1"/>
        <v>80</v>
      </c>
      <c r="L22">
        <f ca="1"/>
        <v>79</v>
      </c>
      <c r="M22">
        <f ca="1"/>
        <v>68</v>
      </c>
      <c r="N22">
        <f ca="1"/>
        <v>73</v>
      </c>
      <c r="Q22">
        <f ca="1"/>
        <v>80</v>
      </c>
      <c r="R22">
        <f ca="1"/>
        <v>79</v>
      </c>
      <c r="S22">
        <f ca="1"/>
        <v>68</v>
      </c>
      <c r="T22">
        <f ca="1"/>
        <v>73</v>
      </c>
    </row>
    <row r="23" spans="1:20" x14ac:dyDescent="0.3">
      <c r="C23" s="1">
        <v>80</v>
      </c>
      <c r="D23" s="1">
        <v>79</v>
      </c>
      <c r="E23" s="1">
        <v>68</v>
      </c>
      <c r="F23" s="1">
        <v>73</v>
      </c>
      <c r="K23">
        <f ca="1"/>
        <v>64</v>
      </c>
      <c r="L23">
        <f ca="1"/>
        <v>40</v>
      </c>
      <c r="M23">
        <f ca="1"/>
        <v>47</v>
      </c>
      <c r="N23">
        <f ca="1"/>
        <v>98</v>
      </c>
      <c r="Q23">
        <f ca="1"/>
        <v>64</v>
      </c>
      <c r="R23">
        <f ca="1"/>
        <v>40</v>
      </c>
      <c r="S23">
        <f ca="1"/>
        <v>47</v>
      </c>
      <c r="T23">
        <f ca="1"/>
        <v>98</v>
      </c>
    </row>
    <row r="24" spans="1:20" x14ac:dyDescent="0.3">
      <c r="C24" s="1">
        <v>64</v>
      </c>
      <c r="D24" s="1">
        <v>40</v>
      </c>
      <c r="E24" s="1">
        <v>47</v>
      </c>
      <c r="F24" s="1">
        <v>98</v>
      </c>
    </row>
    <row r="26" spans="1:20" x14ac:dyDescent="0.3">
      <c r="A26" t="s">
        <v>25</v>
      </c>
      <c r="C26" s="1">
        <v>69</v>
      </c>
      <c r="D26" s="1">
        <v>20</v>
      </c>
      <c r="E26" s="1">
        <v>71</v>
      </c>
      <c r="F26" s="1">
        <v>26</v>
      </c>
    </row>
    <row r="27" spans="1:20" x14ac:dyDescent="0.3">
      <c r="C27" s="1">
        <v>41</v>
      </c>
      <c r="D27" s="1">
        <v>11</v>
      </c>
      <c r="E27" s="1">
        <v>83</v>
      </c>
      <c r="F27" s="1">
        <v>54</v>
      </c>
      <c r="K27" cm="1">
        <f t="array" aca="1" ref="K27:N30" ca="1">INDIRECT(L5)</f>
        <v>91</v>
      </c>
      <c r="L27">
        <f ca="1"/>
        <v>47</v>
      </c>
      <c r="M27">
        <f ca="1"/>
        <v>32</v>
      </c>
      <c r="N27">
        <f ca="1"/>
        <v>96</v>
      </c>
    </row>
    <row r="28" spans="1:20" x14ac:dyDescent="0.3">
      <c r="C28" s="1">
        <v>25</v>
      </c>
      <c r="D28" s="1">
        <v>37</v>
      </c>
      <c r="E28" s="1">
        <v>5</v>
      </c>
      <c r="F28" s="1">
        <v>83</v>
      </c>
      <c r="K28">
        <f ca="1"/>
        <v>50</v>
      </c>
      <c r="L28">
        <f ca="1"/>
        <v>17</v>
      </c>
      <c r="M28">
        <f ca="1"/>
        <v>63</v>
      </c>
      <c r="N28">
        <f ca="1"/>
        <v>62</v>
      </c>
    </row>
    <row r="29" spans="1:20" x14ac:dyDescent="0.3">
      <c r="C29" s="1">
        <v>28</v>
      </c>
      <c r="D29" s="1">
        <v>92</v>
      </c>
      <c r="E29" s="1">
        <v>33</v>
      </c>
      <c r="F29" s="1">
        <v>91</v>
      </c>
      <c r="K29">
        <f ca="1"/>
        <v>80</v>
      </c>
      <c r="L29">
        <f ca="1"/>
        <v>79</v>
      </c>
      <c r="M29">
        <f ca="1"/>
        <v>68</v>
      </c>
      <c r="N29">
        <f ca="1"/>
        <v>73</v>
      </c>
    </row>
    <row r="30" spans="1:20" x14ac:dyDescent="0.3">
      <c r="K30">
        <f ca="1"/>
        <v>64</v>
      </c>
      <c r="L30">
        <f ca="1"/>
        <v>40</v>
      </c>
      <c r="M30">
        <f ca="1"/>
        <v>47</v>
      </c>
      <c r="N30">
        <f ca="1"/>
        <v>98</v>
      </c>
    </row>
  </sheetData>
  <conditionalFormatting sqref="C5:F8">
    <cfRule type="expression" dxfId="8" priority="1" stopIfTrue="1">
      <formula>$A5=$L$5</formula>
    </cfRule>
  </conditionalFormatting>
  <dataValidations count="1">
    <dataValidation type="list" allowBlank="1" showInputMessage="1" showErrorMessage="1" sqref="L5" xr:uid="{00000000-0002-0000-0300-000000000000}">
      <formula1>$T$5:$T$9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28"/>
  <sheetViews>
    <sheetView tabSelected="1" zoomScale="115" zoomScaleNormal="115" workbookViewId="0">
      <selection activeCell="D6" sqref="D6"/>
    </sheetView>
  </sheetViews>
  <sheetFormatPr defaultRowHeight="14.4" x14ac:dyDescent="0.3"/>
  <cols>
    <col min="1" max="1" width="3.6640625" bestFit="1" customWidth="1"/>
    <col min="2" max="2" width="13.109375" customWidth="1"/>
    <col min="3" max="3" width="2" customWidth="1"/>
    <col min="4" max="4" width="4" customWidth="1"/>
    <col min="5" max="5" width="8" customWidth="1"/>
    <col min="6" max="6" width="14.88671875" customWidth="1"/>
    <col min="7" max="7" width="13.44140625" customWidth="1"/>
    <col min="8" max="8" width="2" customWidth="1"/>
    <col min="9" max="9" width="11.44140625" bestFit="1" customWidth="1"/>
    <col min="11" max="11" width="10.109375" bestFit="1" customWidth="1"/>
    <col min="13" max="13" width="10.109375" bestFit="1" customWidth="1"/>
    <col min="14" max="14" width="3.44140625" bestFit="1" customWidth="1"/>
  </cols>
  <sheetData>
    <row r="1" spans="1:14" x14ac:dyDescent="0.3">
      <c r="B1" s="9" t="s">
        <v>30</v>
      </c>
    </row>
    <row r="2" spans="1:14" x14ac:dyDescent="0.3">
      <c r="A2" s="5"/>
      <c r="M2" s="1" t="s">
        <v>4</v>
      </c>
      <c r="N2" s="1">
        <v>0</v>
      </c>
    </row>
    <row r="3" spans="1:14" ht="28.8" x14ac:dyDescent="0.3">
      <c r="B3" s="2" t="s">
        <v>3</v>
      </c>
      <c r="F3" s="3" t="s">
        <v>0</v>
      </c>
      <c r="G3" s="3" t="s">
        <v>1</v>
      </c>
      <c r="M3" s="1" t="s">
        <v>2</v>
      </c>
      <c r="N3" s="1">
        <v>20</v>
      </c>
    </row>
    <row r="4" spans="1:14" x14ac:dyDescent="0.3">
      <c r="B4" s="4">
        <v>55</v>
      </c>
      <c r="D4" s="1">
        <f>N2</f>
        <v>0</v>
      </c>
      <c r="E4" s="1">
        <f>D4+N$3</f>
        <v>20</v>
      </c>
      <c r="F4" s="1" t="str">
        <f>D4&amp;" up to "&amp;E4</f>
        <v>0 up to 20</v>
      </c>
      <c r="G4" s="1">
        <f>COUNTIF(B$4:B$28,"&lt;="&amp;E4)-COUNTIF(B$4:B$28,"&lt;"&amp;D4)</f>
        <v>4</v>
      </c>
      <c r="I4">
        <f>COUNTIF($B$4:$B$28,"&lt;="&amp;E4)-COUNTIF($B$4:$B$28,"&lt;="&amp;D4)</f>
        <v>4</v>
      </c>
    </row>
    <row r="5" spans="1:14" x14ac:dyDescent="0.3">
      <c r="B5" s="4">
        <v>32</v>
      </c>
      <c r="D5" s="1">
        <f>E4</f>
        <v>20</v>
      </c>
      <c r="E5" s="1">
        <f>D5+N$3</f>
        <v>40</v>
      </c>
      <c r="F5" s="1" t="str">
        <f>D5&amp;" up to "&amp;E5</f>
        <v>20 up to 40</v>
      </c>
      <c r="G5" s="1">
        <f t="shared" ref="G5:G6" si="0">COUNTIF(B$4:B$28,"&lt;="&amp;E5)-COUNTIF(B$4:B$28,"&lt;"&amp;D5)</f>
        <v>14</v>
      </c>
      <c r="I5">
        <f t="shared" ref="I5:I6" si="1">COUNTIF($B$4:$B$28,"&lt;="&amp;E5)-COUNTIF($B$4:$B$28,"&lt;="&amp;D5)</f>
        <v>13</v>
      </c>
    </row>
    <row r="6" spans="1:14" x14ac:dyDescent="0.3">
      <c r="B6" s="4">
        <v>29</v>
      </c>
      <c r="D6" s="1">
        <f>E5</f>
        <v>40</v>
      </c>
      <c r="E6" s="1">
        <f>D6+N$3</f>
        <v>60</v>
      </c>
      <c r="F6" s="1" t="str">
        <f>D6&amp;" up to "&amp;E6</f>
        <v>40 up to 60</v>
      </c>
      <c r="G6" s="1">
        <f t="shared" si="0"/>
        <v>6</v>
      </c>
      <c r="I6">
        <f t="shared" si="1"/>
        <v>6</v>
      </c>
    </row>
    <row r="7" spans="1:14" x14ac:dyDescent="0.3">
      <c r="B7" s="4">
        <v>15</v>
      </c>
    </row>
    <row r="8" spans="1:14" x14ac:dyDescent="0.3">
      <c r="B8" s="4">
        <v>32</v>
      </c>
      <c r="E8" s="6"/>
      <c r="F8" s="7"/>
      <c r="G8" s="7"/>
    </row>
    <row r="9" spans="1:14" x14ac:dyDescent="0.3">
      <c r="B9" s="4">
        <v>30</v>
      </c>
    </row>
    <row r="10" spans="1:14" x14ac:dyDescent="0.3">
      <c r="B10" s="4">
        <v>14</v>
      </c>
    </row>
    <row r="11" spans="1:14" x14ac:dyDescent="0.3">
      <c r="B11" s="4">
        <v>48</v>
      </c>
      <c r="F11" s="6"/>
    </row>
    <row r="12" spans="1:14" x14ac:dyDescent="0.3">
      <c r="B12" s="4">
        <v>41</v>
      </c>
    </row>
    <row r="13" spans="1:14" x14ac:dyDescent="0.3">
      <c r="B13" s="4">
        <v>20</v>
      </c>
    </row>
    <row r="14" spans="1:14" x14ac:dyDescent="0.3">
      <c r="B14" s="4">
        <v>15</v>
      </c>
      <c r="E14" s="6"/>
      <c r="F14" s="7"/>
      <c r="G14" s="7"/>
    </row>
    <row r="15" spans="1:14" x14ac:dyDescent="0.3">
      <c r="B15" s="4">
        <v>32</v>
      </c>
      <c r="F15" s="8"/>
    </row>
    <row r="16" spans="1:14" x14ac:dyDescent="0.3">
      <c r="B16" s="4">
        <v>-2</v>
      </c>
      <c r="F16" s="8"/>
    </row>
    <row r="17" spans="2:6" x14ac:dyDescent="0.3">
      <c r="B17" s="4">
        <v>100</v>
      </c>
      <c r="F17" s="8"/>
    </row>
    <row r="18" spans="2:6" x14ac:dyDescent="0.3">
      <c r="B18" s="4">
        <v>49</v>
      </c>
      <c r="F18" s="8"/>
    </row>
    <row r="19" spans="2:6" x14ac:dyDescent="0.3">
      <c r="B19" s="4">
        <v>30</v>
      </c>
    </row>
    <row r="20" spans="2:6" x14ac:dyDescent="0.3">
      <c r="B20" s="4">
        <v>33</v>
      </c>
    </row>
    <row r="21" spans="2:6" x14ac:dyDescent="0.3">
      <c r="B21" s="4">
        <v>51</v>
      </c>
    </row>
    <row r="22" spans="2:6" x14ac:dyDescent="0.3">
      <c r="B22" s="4">
        <v>32</v>
      </c>
    </row>
    <row r="23" spans="2:6" x14ac:dyDescent="0.3">
      <c r="B23" s="4">
        <v>46</v>
      </c>
    </row>
    <row r="24" spans="2:6" x14ac:dyDescent="0.3">
      <c r="B24" s="4">
        <v>39</v>
      </c>
    </row>
    <row r="25" spans="2:6" x14ac:dyDescent="0.3">
      <c r="B25" s="4">
        <v>33</v>
      </c>
    </row>
    <row r="26" spans="2:6" x14ac:dyDescent="0.3">
      <c r="B26" s="4">
        <v>31</v>
      </c>
    </row>
    <row r="27" spans="2:6" x14ac:dyDescent="0.3">
      <c r="B27" s="4">
        <v>25</v>
      </c>
    </row>
    <row r="28" spans="2:6" x14ac:dyDescent="0.3">
      <c r="B28" s="4">
        <v>33</v>
      </c>
    </row>
  </sheetData>
  <pageMargins left="0.7" right="0.7" top="0.75" bottom="0.75" header="0.3" footer="0.3"/>
  <pageSetup scale="140" orientation="landscape" r:id="rId1"/>
  <headerFoot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Dhoni</vt:lpstr>
      <vt:lpstr>Harbhajan</vt:lpstr>
      <vt:lpstr>Raina</vt:lpstr>
      <vt:lpstr>Sachin</vt:lpstr>
      <vt:lpstr>Virat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cp:lastPrinted>2008-06-26T14:30:18Z</cp:lastPrinted>
  <dcterms:created xsi:type="dcterms:W3CDTF">2008-06-14T22:40:48Z</dcterms:created>
  <dcterms:modified xsi:type="dcterms:W3CDTF">2026-01-26T11:37:04Z</dcterms:modified>
</cp:coreProperties>
</file>