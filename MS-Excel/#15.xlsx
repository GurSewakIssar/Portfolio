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6C4DA2E5-E990-42AC-A499-EF3F420A6FC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 a="1"/>
  <c r="G3" i="5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2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" i="2"/>
  <c r="C8" i="1"/>
  <c r="C5" i="1"/>
  <c r="H7" i="4"/>
  <c r="F7" i="4"/>
  <c r="D3" i="5"/>
  <c r="E4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2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H5" i="1"/>
  <c r="G5" i="1"/>
  <c r="F5" i="1"/>
  <c r="D4" i="1" s="1"/>
  <c r="F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<sst xmlns="http://schemas.openxmlformats.org/spreadsheetml/2006/main" count="379" uniqueCount="145">
  <si>
    <t>Ques. 1</t>
  </si>
  <si>
    <t>Using below data, provide DATE as  "09-November-2012" ?</t>
  </si>
  <si>
    <t>Date</t>
  </si>
  <si>
    <t>Formula</t>
  </si>
  <si>
    <t>Ques. 3</t>
  </si>
  <si>
    <t>Sales Data</t>
  </si>
  <si>
    <t>Sr. No.</t>
  </si>
  <si>
    <t>Name</t>
  </si>
  <si>
    <t>Product</t>
  </si>
  <si>
    <t>Sales Volume</t>
  </si>
  <si>
    <t>Commision</t>
  </si>
  <si>
    <t>Comm%</t>
  </si>
  <si>
    <t>Pizza</t>
  </si>
  <si>
    <t>Maggi</t>
  </si>
  <si>
    <t>Munch</t>
  </si>
  <si>
    <t>Burger</t>
  </si>
  <si>
    <t xml:space="preserve">a. </t>
  </si>
  <si>
    <t>Using the commission % given above, calculate the commissions earned by each of the salespeople</t>
  </si>
  <si>
    <t xml:space="preserve">b. </t>
  </si>
  <si>
    <t>Use the data given below to assign ratings to all salespeople (use the most appropriate Excel function)</t>
  </si>
  <si>
    <t>G1</t>
  </si>
  <si>
    <t>G2</t>
  </si>
  <si>
    <t>G3</t>
  </si>
  <si>
    <t>G4</t>
  </si>
  <si>
    <t>G5</t>
  </si>
  <si>
    <t>greater than 30000</t>
  </si>
  <si>
    <t>greater than 25,000 but less than or equal to 30,000</t>
  </si>
  <si>
    <t>greater than 20,000 but less than or equal to 25,000</t>
  </si>
  <si>
    <t>greater than 15,000 but less than or equal to 20,000</t>
  </si>
  <si>
    <t>less than or equal to 15,000</t>
  </si>
  <si>
    <t xml:space="preserve">c. </t>
  </si>
  <si>
    <t>Use an appropriate Excel function to rank the salespeople based on the volume of sales</t>
  </si>
  <si>
    <t>d</t>
  </si>
  <si>
    <t>Create a chart showing commission and sales by each person</t>
  </si>
  <si>
    <t>e</t>
  </si>
  <si>
    <t>Create a pie chart showing product sale</t>
  </si>
  <si>
    <t>Employee Name</t>
  </si>
  <si>
    <t>Employee Id</t>
  </si>
  <si>
    <t>Area</t>
  </si>
  <si>
    <t>Sale</t>
  </si>
  <si>
    <t>North</t>
  </si>
  <si>
    <t>South</t>
  </si>
  <si>
    <t>Maggy</t>
  </si>
  <si>
    <t>East</t>
  </si>
  <si>
    <t>West</t>
  </si>
  <si>
    <t>Subway</t>
  </si>
  <si>
    <t>a.</t>
  </si>
  <si>
    <t>Add Employee Names from the second table into the first table against the corresponding Employee ID using an appropriate Excel function</t>
  </si>
  <si>
    <t>(DO NOT sort the data)</t>
  </si>
  <si>
    <t>b.</t>
  </si>
  <si>
    <t>Using Pivot Tables, place the data above in the following grid -</t>
  </si>
  <si>
    <t>Grand Total</t>
  </si>
  <si>
    <t>Is Leap Year</t>
  </si>
  <si>
    <t>Returns True if Year is a leap year. Returns False if not a leap year.</t>
  </si>
  <si>
    <t>Year</t>
  </si>
  <si>
    <t>Formula Required</t>
  </si>
  <si>
    <t>Count How Many Errors in the Range</t>
  </si>
  <si>
    <t>Jitender Kumar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</si>
  <si>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</si>
  <si>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</si>
  <si>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</si>
  <si>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</si>
  <si>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</si>
  <si>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</si>
  <si>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</si>
  <si>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Sujata Mohanty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</si>
  <si>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</si>
  <si>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</si>
  <si>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</si>
  <si>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</si>
  <si>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</si>
  <si>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</si>
  <si>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</si>
  <si>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</si>
  <si>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</si>
  <si>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</si>
  <si>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</si>
  <si>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Ques. 2</t>
  </si>
  <si>
    <t>Ques.4</t>
  </si>
  <si>
    <t>Data</t>
  </si>
  <si>
    <t>Ques.5</t>
  </si>
  <si>
    <t>Arban Khan</t>
  </si>
  <si>
    <t>Naeem Khan</t>
  </si>
  <si>
    <t>Tejpal Sain</t>
  </si>
  <si>
    <t>Sourav Maity</t>
  </si>
  <si>
    <t>Anmol Singh</t>
  </si>
  <si>
    <t>Dheeraj Attri</t>
  </si>
  <si>
    <t>Tarjit Malka</t>
  </si>
  <si>
    <t>Lokesh Singh Bisht</t>
  </si>
  <si>
    <t>Bhoopendra Raghav</t>
  </si>
  <si>
    <t>Ram Singh</t>
  </si>
  <si>
    <t>Shagor Ahmed</t>
  </si>
  <si>
    <t>Abir Sarkar</t>
  </si>
  <si>
    <t>Shiv Kumar</t>
  </si>
  <si>
    <t>Deeksha Agrawal</t>
  </si>
  <si>
    <t>Heman Gusain</t>
  </si>
  <si>
    <t>Vikram Kumar</t>
  </si>
  <si>
    <t>Ekanshika Kalra</t>
  </si>
  <si>
    <t>Rav Kumar</t>
  </si>
  <si>
    <t>Manpreet Kaur</t>
  </si>
  <si>
    <t>Sandeep Aswal</t>
  </si>
  <si>
    <t>Ayushi Patel</t>
  </si>
  <si>
    <t>Nadeem Ahmed</t>
  </si>
  <si>
    <t>Archana Kumari</t>
  </si>
  <si>
    <t>Rakesh Singh</t>
  </si>
  <si>
    <t>Asihwarya Ambasta</t>
  </si>
  <si>
    <t>Meenav Shah</t>
  </si>
  <si>
    <t>Karan Kapoor</t>
  </si>
  <si>
    <t>Sunil Kumar</t>
  </si>
  <si>
    <t>Shivam Daksh</t>
  </si>
  <si>
    <t>Banda Satyanarayana</t>
  </si>
  <si>
    <t>Harish Tote</t>
  </si>
  <si>
    <t>Ajay Singh</t>
  </si>
  <si>
    <t>Ajinkya Shinde</t>
  </si>
  <si>
    <t>Kishor Panara</t>
  </si>
  <si>
    <t>Puran Singh</t>
  </si>
  <si>
    <t>Prashant Pnajabi</t>
  </si>
  <si>
    <t>Vandan Dave</t>
  </si>
  <si>
    <t>Rakesh Ky</t>
  </si>
  <si>
    <t>Aftab Alam</t>
  </si>
  <si>
    <t>Sanjay Chaurasia</t>
  </si>
  <si>
    <t>Ubaidillah Muhammad</t>
  </si>
  <si>
    <t>Pavan Kumar</t>
  </si>
  <si>
    <t>Narayan Lohar</t>
  </si>
  <si>
    <t>Anil Hoge</t>
  </si>
  <si>
    <t>Rajnikant Kamble</t>
  </si>
  <si>
    <t>Raj Kumar</t>
  </si>
  <si>
    <t>Vicky Singh</t>
  </si>
  <si>
    <t>Aakanksha Srivastava</t>
  </si>
  <si>
    <t>Mahboob Hossain</t>
  </si>
  <si>
    <t>Kiran Dodke</t>
  </si>
  <si>
    <t>Paramjeet Singh</t>
  </si>
  <si>
    <t>Kanika Mathur</t>
  </si>
  <si>
    <t>Jyoti Chaudhary</t>
  </si>
  <si>
    <t>Feroz Khilji</t>
  </si>
  <si>
    <t>Sudhakar Arya</t>
  </si>
  <si>
    <t>Month</t>
  </si>
  <si>
    <t>year</t>
  </si>
  <si>
    <t>Rating</t>
  </si>
  <si>
    <t>Rank</t>
  </si>
  <si>
    <t>Row Labels</t>
  </si>
  <si>
    <t>Column Labels</t>
  </si>
  <si>
    <t>Sum of Sales Volume</t>
  </si>
  <si>
    <t>Sum of Commision</t>
  </si>
  <si>
    <t>Sum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</si>
</sst>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8"/>
      <name val="Times New Roman"/>
      <family val="1"/>
    </font>
    <font>
      <sz val="14"/>
      <name val="Times New Roman"/>
      <family val="1"/>
    </font>
    <font>
      <sz val="10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sz val="14"/>
      <color theme="1"/>
      <name val="Times New Roman"/>
      <family val="1"/>
    </font>
    <font>
      <sz val="9"/>
      <name val="Times New Roman"/>
      <family val="1"/>
    </font>
    <font>
      <b/>
      <sz val="10"/>
      <color theme="0"/>
      <name val="Times New Roman"/>
      <family val="1"/>
    </font>
    <font>
      <sz val="14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Times New Roman"/>
      <family val="1"/>
    </font>
    <font>
      <sz val="14"/>
      <color theme="1"/>
      <name val="Calibri"/>
      <family val="2"/>
      <scheme val="minor"/>
    </font>
    <font>
      <b/>
      <sz val="13"/>
      <name val="Times New Roman"/>
      <family val="1"/>
    </font>
    <font>
      <sz val="14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gradientFill type="path" left="0.5" right="0.5" top="0.5" bottom="0.5">
        <stop position="0">
          <color theme="7" tint="-0.25098422193060094"/>
        </stop>
        <stop position="1">
          <color rgb="FF002060"/>
        </stop>
      </gradient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6" fillId="3" borderId="1" applyBorder="0">
      <alignment horizontal="center" vertical="center"/>
    </xf>
  </cellStyleXfs>
  <cellXfs count="62">
    <xf numFmtId="0" fontId="0" fillId="0" borderId="0" xfId="0"/>
    <xf numFmtId="0" fontId="4" fillId="0" borderId="0" xfId="2" applyFont="1" applyProtection="1">
      <protection locked="0"/>
    </xf>
    <xf numFmtId="0" fontId="5" fillId="0" borderId="0" xfId="2" applyFont="1" applyProtection="1">
      <protection locked="0"/>
    </xf>
    <xf numFmtId="0" fontId="7" fillId="3" borderId="2" xfId="3" applyFont="1" applyBorder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/>
      <protection locked="0"/>
    </xf>
    <xf numFmtId="164" fontId="5" fillId="0" borderId="0" xfId="2" applyNumberFormat="1" applyFont="1" applyProtection="1">
      <protection locked="0"/>
    </xf>
    <xf numFmtId="0" fontId="8" fillId="3" borderId="2" xfId="3" applyFont="1" applyBorder="1" applyProtection="1">
      <alignment horizontal="center" vertical="center"/>
      <protection locked="0"/>
    </xf>
    <xf numFmtId="165" fontId="9" fillId="4" borderId="3" xfId="2" applyNumberFormat="1" applyFont="1" applyFill="1" applyBorder="1" applyAlignment="1" applyProtection="1">
      <alignment horizontal="center"/>
      <protection locked="0"/>
    </xf>
    <xf numFmtId="0" fontId="9" fillId="4" borderId="3" xfId="2" applyFont="1" applyFill="1" applyBorder="1" applyAlignment="1" applyProtection="1">
      <alignment horizontal="center"/>
      <protection locked="0"/>
    </xf>
    <xf numFmtId="9" fontId="5" fillId="0" borderId="2" xfId="2" applyNumberFormat="1" applyFont="1" applyBorder="1" applyAlignment="1" applyProtection="1">
      <alignment horizontal="center"/>
      <protection locked="0"/>
    </xf>
    <xf numFmtId="165" fontId="9" fillId="0" borderId="2" xfId="2" applyNumberFormat="1" applyFont="1" applyBorder="1" applyAlignment="1" applyProtection="1">
      <alignment horizontal="center"/>
      <protection locked="0"/>
    </xf>
    <xf numFmtId="0" fontId="9" fillId="0" borderId="2" xfId="2" applyFont="1" applyBorder="1" applyAlignment="1" applyProtection="1">
      <alignment horizontal="center"/>
      <protection locked="0"/>
    </xf>
    <xf numFmtId="0" fontId="9" fillId="0" borderId="3" xfId="2" applyFont="1" applyBorder="1" applyAlignment="1" applyProtection="1">
      <alignment horizontal="center"/>
      <protection locked="0"/>
    </xf>
    <xf numFmtId="9" fontId="5" fillId="0" borderId="4" xfId="2" applyNumberFormat="1" applyFont="1" applyBorder="1" applyAlignment="1" applyProtection="1">
      <alignment horizontal="center"/>
      <protection locked="0"/>
    </xf>
    <xf numFmtId="165" fontId="9" fillId="4" borderId="2" xfId="2" applyNumberFormat="1" applyFont="1" applyFill="1" applyBorder="1" applyAlignment="1" applyProtection="1">
      <alignment horizontal="center"/>
      <protection locked="0"/>
    </xf>
    <xf numFmtId="0" fontId="9" fillId="4" borderId="2" xfId="2" applyFont="1" applyFill="1" applyBorder="1" applyAlignment="1" applyProtection="1">
      <alignment horizontal="center"/>
      <protection locked="0"/>
    </xf>
    <xf numFmtId="0" fontId="6" fillId="3" borderId="2" xfId="3" applyBorder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 wrapText="1"/>
      <protection locked="0"/>
    </xf>
    <xf numFmtId="165" fontId="10" fillId="0" borderId="0" xfId="2" applyNumberFormat="1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left"/>
      <protection locked="0"/>
    </xf>
    <xf numFmtId="0" fontId="11" fillId="3" borderId="2" xfId="3" applyFont="1" applyBorder="1" applyProtection="1">
      <alignment horizontal="center" vertical="center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9" fillId="4" borderId="2" xfId="2" applyFont="1" applyFill="1" applyBorder="1" applyProtection="1">
      <protection locked="0"/>
    </xf>
    <xf numFmtId="1" fontId="9" fillId="4" borderId="2" xfId="2" applyNumberFormat="1" applyFont="1" applyFill="1" applyBorder="1" applyAlignment="1" applyProtection="1">
      <alignment horizontal="center"/>
      <protection locked="0"/>
    </xf>
    <xf numFmtId="1" fontId="9" fillId="0" borderId="2" xfId="2" applyNumberFormat="1" applyFont="1" applyBorder="1" applyAlignment="1" applyProtection="1">
      <alignment horizontal="center"/>
      <protection locked="0"/>
    </xf>
    <xf numFmtId="0" fontId="9" fillId="0" borderId="2" xfId="2" applyFont="1" applyBorder="1" applyProtection="1">
      <protection locked="0"/>
    </xf>
    <xf numFmtId="0" fontId="1" fillId="5" borderId="8" xfId="1" applyFont="1" applyFill="1" applyBorder="1" applyAlignment="1" applyProtection="1">
      <alignment horizontal="center" vertical="center" wrapText="1"/>
      <protection locked="0"/>
    </xf>
    <xf numFmtId="0" fontId="9" fillId="6" borderId="8" xfId="2" applyFont="1" applyFill="1" applyBorder="1" applyAlignment="1" applyProtection="1">
      <alignment horizontal="center" vertical="center" wrapText="1"/>
      <protection locked="0"/>
    </xf>
    <xf numFmtId="0" fontId="9" fillId="0" borderId="8" xfId="2" applyFont="1" applyBorder="1" applyAlignment="1" applyProtection="1">
      <alignment horizontal="center" vertical="center" wrapText="1"/>
      <protection locked="0"/>
    </xf>
    <xf numFmtId="0" fontId="12" fillId="0" borderId="9" xfId="2" applyFont="1" applyBorder="1"/>
    <xf numFmtId="0" fontId="3" fillId="0" borderId="10" xfId="2" applyBorder="1"/>
    <xf numFmtId="0" fontId="3" fillId="0" borderId="11" xfId="2" applyBorder="1" applyAlignment="1">
      <alignment horizontal="center"/>
    </xf>
    <xf numFmtId="0" fontId="3" fillId="0" borderId="12" xfId="2" applyBorder="1"/>
    <xf numFmtId="0" fontId="3" fillId="0" borderId="0" xfId="2"/>
    <xf numFmtId="0" fontId="3" fillId="0" borderId="13" xfId="2" applyBorder="1" applyAlignment="1">
      <alignment horizontal="center"/>
    </xf>
    <xf numFmtId="0" fontId="3" fillId="0" borderId="12" xfId="2" applyBorder="1" applyAlignment="1">
      <alignment horizontal="center"/>
    </xf>
    <xf numFmtId="0" fontId="13" fillId="0" borderId="14" xfId="2" applyFont="1" applyBorder="1" applyAlignment="1">
      <alignment horizontal="center"/>
    </xf>
    <xf numFmtId="0" fontId="3" fillId="0" borderId="15" xfId="2" applyBorder="1"/>
    <xf numFmtId="0" fontId="14" fillId="0" borderId="1" xfId="3" applyFont="1" applyFill="1" applyBorder="1" applyAlignment="1">
      <alignment vertical="center"/>
    </xf>
    <xf numFmtId="0" fontId="6" fillId="7" borderId="16" xfId="3" applyFill="1" applyBorder="1" applyAlignment="1">
      <alignment vertical="center"/>
    </xf>
    <xf numFmtId="0" fontId="6" fillId="7" borderId="17" xfId="3" applyFill="1" applyBorder="1" applyAlignment="1">
      <alignment vertical="center"/>
    </xf>
    <xf numFmtId="0" fontId="0" fillId="8" borderId="0" xfId="0" applyFill="1"/>
    <xf numFmtId="0" fontId="0" fillId="9" borderId="2" xfId="0" applyFill="1" applyBorder="1"/>
    <xf numFmtId="0" fontId="0" fillId="0" borderId="0" xfId="0" quotePrefix="1"/>
    <xf numFmtId="0" fontId="15" fillId="0" borderId="0" xfId="0" applyFont="1"/>
    <xf numFmtId="0" fontId="9" fillId="4" borderId="3" xfId="2" applyFont="1" applyFill="1" applyBorder="1" applyAlignment="1" applyProtection="1">
      <alignment horizontal="left"/>
      <protection locked="0"/>
    </xf>
    <xf numFmtId="0" fontId="9" fillId="0" borderId="3" xfId="2" applyFont="1" applyBorder="1" applyAlignment="1" applyProtection="1">
      <alignment horizontal="left"/>
      <protection locked="0"/>
    </xf>
    <xf numFmtId="0" fontId="6" fillId="3" borderId="2" xfId="3" applyBorder="1">
      <alignment horizontal="center" vertical="center"/>
    </xf>
    <xf numFmtId="0" fontId="9" fillId="0" borderId="2" xfId="2" applyFont="1" applyBorder="1" applyAlignment="1" applyProtection="1">
      <alignment horizontal="left"/>
      <protection locked="0"/>
    </xf>
    <xf numFmtId="0" fontId="9" fillId="4" borderId="2" xfId="2" applyFont="1" applyFill="1" applyBorder="1" applyAlignment="1" applyProtection="1">
      <alignment horizontal="left"/>
      <protection locked="0"/>
    </xf>
    <xf numFmtId="164" fontId="0" fillId="0" borderId="0" xfId="0" applyNumberFormat="1"/>
    <xf numFmtId="164" fontId="5" fillId="0" borderId="2" xfId="2" applyNumberFormat="1" applyFont="1" applyBorder="1" applyAlignment="1" applyProtection="1">
      <alignment horizontal="center"/>
      <protection locked="0"/>
    </xf>
    <xf numFmtId="0" fontId="16" fillId="0" borderId="0" xfId="2" applyFont="1" applyProtection="1">
      <protection locked="0"/>
    </xf>
    <xf numFmtId="0" fontId="8" fillId="3" borderId="18" xfId="3" applyFont="1" applyBorder="1" applyProtection="1">
      <alignment horizontal="center" vertical="center"/>
      <protection locked="0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10" borderId="0" xfId="0" applyFont="1" applyFill="1" applyAlignment="1">
      <alignment horizontal="center" vertical="center"/>
    </xf>
    <xf numFmtId="0" fontId="17" fillId="10" borderId="0" xfId="2" applyFont="1" applyFill="1" applyProtection="1">
      <protection locked="0"/>
    </xf>
    <xf numFmtId="0" fontId="6" fillId="3" borderId="5" xfId="3" applyBorder="1" applyProtection="1">
      <alignment horizontal="center" vertical="center"/>
      <protection locked="0"/>
    </xf>
    <xf numFmtId="0" fontId="6" fillId="3" borderId="6" xfId="3" applyBorder="1" applyProtection="1">
      <alignment horizontal="center" vertical="center"/>
      <protection locked="0"/>
    </xf>
    <xf numFmtId="0" fontId="6" fillId="3" borderId="7" xfId="3" applyBorder="1" applyProtection="1">
      <alignment horizontal="center" vertical="center"/>
      <protection locked="0"/>
    </xf>
  </cellXfs>
  <cellStyles count="4">
    <cellStyle name="Accent5" xfId="1" builtinId="45"/>
    <cellStyle name="Normal" xfId="0" builtinId="0"/>
    <cellStyle name="Normal 3" xfId="2" xr:uid="{00000000-0005-0000-0000-000002000000}"/>
    <cellStyle name="Style 1" xfId="3" xr:uid="{00000000-0005-0000-0000-000003000000}"/>
  </cellStyles>
  <dxfs count="1"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'Q2'!$F$2</c:f>
              <c:strCache>
                <c:ptCount val="1"/>
                <c:pt idx="0">
                  <c:v>Sales Volume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89-4E09-9EBF-B8635B2959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89-4E09-9EBF-B8635B2959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89-4E09-9EBF-B8635B2959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89-4E09-9EBF-B8635B2959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89-4E09-9EBF-B8635B2959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89-4E09-9EBF-B8635B2959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89-4E09-9EBF-B8635B2959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89-4E09-9EBF-B8635B29595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89-4E09-9EBF-B8635B29595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89-4E09-9EBF-B8635B29595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789-4E09-9EBF-B8635B29595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789-4E09-9EBF-B8635B29595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789-4E09-9EBF-B8635B29595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789-4E09-9EBF-B8635B29595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789-4E09-9EBF-B8635B29595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789-4E09-9EBF-B8635B29595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789-4E09-9EBF-B8635B29595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789-4E09-9EBF-B8635B29595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789-4E09-9EBF-B8635B29595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789-4E09-9EBF-B8635B2959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'Q2'!$F$3:$F$22</c:f>
              <c:numCache>
                <c:formatCode>General</c:formatCode>
                <c:ptCount val="20"/>
                <c:pt idx="0">
                  <c:v>38493</c:v>
                </c:pt>
                <c:pt idx="1">
                  <c:v>18886</c:v>
                </c:pt>
                <c:pt idx="2">
                  <c:v>17635</c:v>
                </c:pt>
                <c:pt idx="3">
                  <c:v>33262</c:v>
                </c:pt>
                <c:pt idx="4">
                  <c:v>16441</c:v>
                </c:pt>
                <c:pt idx="5">
                  <c:v>19172</c:v>
                </c:pt>
                <c:pt idx="6">
                  <c:v>24435</c:v>
                </c:pt>
                <c:pt idx="7">
                  <c:v>23949</c:v>
                </c:pt>
                <c:pt idx="8">
                  <c:v>28913</c:v>
                </c:pt>
                <c:pt idx="9">
                  <c:v>10640</c:v>
                </c:pt>
                <c:pt idx="10">
                  <c:v>36418</c:v>
                </c:pt>
                <c:pt idx="11">
                  <c:v>20988</c:v>
                </c:pt>
                <c:pt idx="12">
                  <c:v>12663</c:v>
                </c:pt>
                <c:pt idx="13">
                  <c:v>38010</c:v>
                </c:pt>
                <c:pt idx="14">
                  <c:v>15339</c:v>
                </c:pt>
                <c:pt idx="15">
                  <c:v>27429</c:v>
                </c:pt>
                <c:pt idx="16">
                  <c:v>10382</c:v>
                </c:pt>
                <c:pt idx="17">
                  <c:v>12324</c:v>
                </c:pt>
                <c:pt idx="18">
                  <c:v>13728</c:v>
                </c:pt>
                <c:pt idx="19">
                  <c:v>29263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789-4E09-9EBF-B8635B29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33</xdr:row>
      <xdr:rowOff>185737</xdr:rowOff>
    </xdr:from>
    <xdr:to>
      <xdr:col>9</xdr:col>
      <xdr:colOff>476250</xdr:colOff>
      <xdr:row>50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086.68121145833" createdVersion="5" refreshedVersion="5" minRefreshableVersion="3" recordCount="20" xr:uid="{00000000-000A-0000-FFFF-FFFF07000000}">
  <cacheSource type="worksheet">
    <worksheetSource ref="C2:J22" sheet="Q2"/>
  </cacheSource>
  <cacheFields count="8">
    <cacheField name="Sr. No." numFmtId="165">
      <sharedItems containsSemiMixedTypes="0" containsString="0" containsNumber="1" containsInteger="1" minValue="1" maxValue="20"/>
    </cacheField>
    <cacheField name="Name" numFmtId="0">
      <sharedItems count="20">
        <s v="Sujata Mohanty"/>
        <s v="Suraj Rajput"/>
        <s v="Pramod Bhavsar"/>
        <s v="Satsh Ojha"/>
        <s v="Sintu Kumar"/>
        <s v="Krutika Shelar"/>
        <s v="Arjun Shaw"/>
        <s v="Shrikant Badge"/>
        <s v="Jitender Kumar"/>
        <s v="Dharmendar Rana"/>
        <s v="Adnan Soukat"/>
        <s v="Sheetal Nishad"/>
        <s v="Monika Pawar"/>
        <s v="Meena Mourya"/>
        <s v="Ashu Sharma"/>
        <s v="Harivansh Gautam"/>
        <s v="Vini Saini"/>
        <s v="Anand Singh Rajput"/>
        <s v="Jaishri Saxena"/>
        <s v="Virender Sroha"/>
      </sharedItems>
    </cacheField>
    <cacheField name="Product" numFmtId="0">
      <sharedItems/>
    </cacheField>
    <cacheField name="Sales Volume" numFmtId="0">
      <sharedItems containsSemiMixedTypes="0" containsString="0" containsNumber="1" containsInteger="1" minValue="10382" maxValue="38493"/>
    </cacheField>
    <cacheField name="Commision" numFmtId="0">
      <sharedItems containsSemiMixedTypes="0" containsString="0" containsNumber="1" minValue="2595.5" maxValue="9623.25"/>
    </cacheField>
    <cacheField name="Comm%" numFmtId="0">
      <sharedItems containsString="0" containsBlank="1" containsNumber="1" minValue="0.25" maxValue="0.25" count="2">
        <n v="0.25"/>
        <m/>
      </sharedItems>
    </cacheField>
    <cacheField name="Rating" numFmtId="0">
      <sharedItems/>
    </cacheField>
    <cacheField name="Rank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086.688075694445" createdVersion="5" refreshedVersion="5" minRefreshableVersion="3" recordCount="75" xr:uid="{00000000-000A-0000-FFFF-FFFF0B000000}">
  <cacheSource type="worksheet">
    <worksheetSource ref="C1:G76" sheet="Q3"/>
  </cacheSource>
  <cacheFields count="5">
    <cacheField name="Employee Name" numFmtId="0">
      <sharedItems/>
    </cacheField>
    <cacheField name="Employee Id" numFmtId="1">
      <sharedItems containsSemiMixedTypes="0" containsString="0" containsNumber="1" containsInteger="1" minValue="1" maxValue="75"/>
    </cacheField>
    <cacheField name="Product" numFmtId="0">
      <sharedItems count="5">
        <s v="Burger"/>
        <s v="Maggy"/>
        <s v="Munch"/>
        <s v="Pizza"/>
        <s v="Subway"/>
      </sharedItems>
    </cacheField>
    <cacheField name="Area" numFmtId="0">
      <sharedItems count="4">
        <s v="North"/>
        <s v="South"/>
        <s v="East"/>
        <s v="West"/>
      </sharedItems>
    </cacheField>
    <cacheField name="Sale" numFmtId="0">
      <sharedItems containsSemiMixedTypes="0" containsString="0" containsNumber="1" containsInteger="1" minValue="12014" maxValue="14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x v="0"/>
    <s v="Pizza"/>
    <n v="38493"/>
    <n v="9623.25"/>
    <x v="0"/>
    <s v="G1"/>
    <n v="1"/>
  </r>
  <r>
    <n v="2"/>
    <x v="1"/>
    <s v="Maggi"/>
    <n v="18886"/>
    <n v="4721.5"/>
    <x v="1"/>
    <s v="G4"/>
    <n v="12"/>
  </r>
  <r>
    <n v="3"/>
    <x v="2"/>
    <s v="Maggi"/>
    <n v="17635"/>
    <n v="4408.75"/>
    <x v="1"/>
    <s v="G4"/>
    <n v="13"/>
  </r>
  <r>
    <n v="4"/>
    <x v="3"/>
    <s v="Maggi"/>
    <n v="33262"/>
    <n v="8315.5"/>
    <x v="1"/>
    <s v="G1"/>
    <n v="4"/>
  </r>
  <r>
    <n v="5"/>
    <x v="4"/>
    <s v="Munch"/>
    <n v="16441"/>
    <n v="4110.25"/>
    <x v="1"/>
    <s v="G4"/>
    <n v="14"/>
  </r>
  <r>
    <n v="6"/>
    <x v="5"/>
    <s v="Munch"/>
    <n v="19172"/>
    <n v="4793"/>
    <x v="1"/>
    <s v="G4"/>
    <n v="11"/>
  </r>
  <r>
    <n v="7"/>
    <x v="6"/>
    <s v="Burger"/>
    <n v="24435"/>
    <n v="6108.75"/>
    <x v="1"/>
    <s v="G3"/>
    <n v="8"/>
  </r>
  <r>
    <n v="8"/>
    <x v="7"/>
    <s v="Munch"/>
    <n v="23949"/>
    <n v="5987.25"/>
    <x v="1"/>
    <s v="G3"/>
    <n v="9"/>
  </r>
  <r>
    <n v="9"/>
    <x v="8"/>
    <s v="Burger"/>
    <n v="28913"/>
    <n v="7228.25"/>
    <x v="1"/>
    <s v="G2"/>
    <n v="6"/>
  </r>
  <r>
    <n v="10"/>
    <x v="9"/>
    <s v="Pizza"/>
    <n v="10640"/>
    <n v="2660"/>
    <x v="1"/>
    <s v="G5"/>
    <n v="19"/>
  </r>
  <r>
    <n v="11"/>
    <x v="10"/>
    <s v="Munch"/>
    <n v="36418"/>
    <n v="9104.5"/>
    <x v="1"/>
    <s v="G1"/>
    <n v="3"/>
  </r>
  <r>
    <n v="12"/>
    <x v="11"/>
    <s v="Burger"/>
    <n v="20988"/>
    <n v="5247"/>
    <x v="1"/>
    <s v="G3"/>
    <n v="10"/>
  </r>
  <r>
    <n v="13"/>
    <x v="12"/>
    <s v="Pizza"/>
    <n v="12663"/>
    <n v="3165.75"/>
    <x v="1"/>
    <s v="G5"/>
    <n v="17"/>
  </r>
  <r>
    <n v="14"/>
    <x v="13"/>
    <s v="Burger"/>
    <n v="38010"/>
    <n v="9502.5"/>
    <x v="1"/>
    <s v="G1"/>
    <n v="2"/>
  </r>
  <r>
    <n v="15"/>
    <x v="14"/>
    <s v="Pizza"/>
    <n v="15339"/>
    <n v="3834.75"/>
    <x v="1"/>
    <s v="G4"/>
    <n v="15"/>
  </r>
  <r>
    <n v="16"/>
    <x v="15"/>
    <s v="Pizza"/>
    <n v="27429"/>
    <n v="6857.25"/>
    <x v="1"/>
    <s v="G2"/>
    <n v="7"/>
  </r>
  <r>
    <n v="17"/>
    <x v="16"/>
    <s v="Burger"/>
    <n v="10382"/>
    <n v="2595.5"/>
    <x v="1"/>
    <s v="G5"/>
    <n v="20"/>
  </r>
  <r>
    <n v="18"/>
    <x v="17"/>
    <s v="Maggi"/>
    <n v="12324"/>
    <n v="3081"/>
    <x v="1"/>
    <s v="G5"/>
    <n v="18"/>
  </r>
  <r>
    <n v="19"/>
    <x v="18"/>
    <s v="Pizza"/>
    <n v="13728"/>
    <n v="3432"/>
    <x v="1"/>
    <s v="G5"/>
    <n v="16"/>
  </r>
  <r>
    <n v="20"/>
    <x v="19"/>
    <s v="Maggi"/>
    <n v="29263"/>
    <n v="7315.75"/>
    <x v="1"/>
    <s v="G2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">
  <r>
    <s v="Shrikant Badge"/>
    <n v="1"/>
    <x v="0"/>
    <x v="0"/>
    <n v="13811"/>
  </r>
  <r>
    <s v="Harivansh Gautam"/>
    <n v="2"/>
    <x v="0"/>
    <x v="0"/>
    <n v="14080"/>
  </r>
  <r>
    <s v="Sourav Maity"/>
    <n v="3"/>
    <x v="0"/>
    <x v="1"/>
    <n v="13536"/>
  </r>
  <r>
    <s v="Abir Sarkar"/>
    <n v="4"/>
    <x v="1"/>
    <x v="0"/>
    <n v="14730"/>
  </r>
  <r>
    <s v="Sandeep Aswal"/>
    <n v="5"/>
    <x v="1"/>
    <x v="2"/>
    <n v="12154"/>
  </r>
  <r>
    <s v="Karan Kapoor"/>
    <n v="6"/>
    <x v="2"/>
    <x v="2"/>
    <n v="14291"/>
  </r>
  <r>
    <s v="Kishor Panara"/>
    <n v="7"/>
    <x v="3"/>
    <x v="3"/>
    <n v="12609"/>
  </r>
  <r>
    <s v="Ubaidillah Muhammad"/>
    <n v="8"/>
    <x v="3"/>
    <x v="3"/>
    <n v="14580"/>
  </r>
  <r>
    <s v="Aakanksha Srivastava"/>
    <n v="9"/>
    <x v="4"/>
    <x v="0"/>
    <n v="14986"/>
  </r>
  <r>
    <s v="Sudhakar Arya"/>
    <n v="10"/>
    <x v="4"/>
    <x v="1"/>
    <n v="12088"/>
  </r>
  <r>
    <s v="Arjun Shaw"/>
    <n v="11"/>
    <x v="4"/>
    <x v="1"/>
    <n v="12418"/>
  </r>
  <r>
    <s v="Ashu Sharma"/>
    <n v="12"/>
    <x v="0"/>
    <x v="0"/>
    <n v="13535"/>
  </r>
  <r>
    <s v="Tejpal Sain"/>
    <n v="13"/>
    <x v="2"/>
    <x v="0"/>
    <n v="12323"/>
  </r>
  <r>
    <s v="Shagor Ahmed"/>
    <n v="14"/>
    <x v="1"/>
    <x v="2"/>
    <n v="13037"/>
  </r>
  <r>
    <s v="Manpreet Kaur"/>
    <n v="15"/>
    <x v="0"/>
    <x v="3"/>
    <n v="14391"/>
  </r>
  <r>
    <s v="Meenav Shah"/>
    <n v="16"/>
    <x v="0"/>
    <x v="0"/>
    <n v="12873"/>
  </r>
  <r>
    <s v="Ajinkya Shinde"/>
    <n v="17"/>
    <x v="0"/>
    <x v="1"/>
    <n v="12801"/>
  </r>
  <r>
    <s v="Sanjay Chaurasia"/>
    <n v="18"/>
    <x v="1"/>
    <x v="1"/>
    <n v="12993"/>
  </r>
  <r>
    <s v="Vicky Singh"/>
    <n v="19"/>
    <x v="1"/>
    <x v="0"/>
    <n v="13491"/>
  </r>
  <r>
    <s v="Feroz Khilji"/>
    <n v="20"/>
    <x v="2"/>
    <x v="2"/>
    <n v="12577"/>
  </r>
  <r>
    <s v="Krutika Shelar"/>
    <n v="21"/>
    <x v="2"/>
    <x v="2"/>
    <n v="13857"/>
  </r>
  <r>
    <s v="Meena Mourya"/>
    <n v="22"/>
    <x v="3"/>
    <x v="3"/>
    <n v="14831"/>
  </r>
  <r>
    <s v="Naeem Khan"/>
    <n v="23"/>
    <x v="3"/>
    <x v="3"/>
    <n v="14402"/>
  </r>
  <r>
    <s v="Ram Singh"/>
    <n v="24"/>
    <x v="4"/>
    <x v="0"/>
    <n v="14708"/>
  </r>
  <r>
    <s v="Rav Kumar"/>
    <n v="25"/>
    <x v="4"/>
    <x v="1"/>
    <n v="12984"/>
  </r>
  <r>
    <s v="Asihwarya Ambasta"/>
    <n v="26"/>
    <x v="4"/>
    <x v="1"/>
    <n v="13113"/>
  </r>
  <r>
    <s v="Ajay Singh"/>
    <n v="27"/>
    <x v="2"/>
    <x v="0"/>
    <n v="12102"/>
  </r>
  <r>
    <s v="Aftab Alam"/>
    <n v="28"/>
    <x v="2"/>
    <x v="0"/>
    <n v="12570"/>
  </r>
  <r>
    <s v="Raj Kumar"/>
    <n v="29"/>
    <x v="1"/>
    <x v="2"/>
    <n v="14235"/>
  </r>
  <r>
    <s v="Jyoti Chaudhary"/>
    <n v="30"/>
    <x v="0"/>
    <x v="3"/>
    <n v="14897"/>
  </r>
  <r>
    <s v="Sintu Kumar"/>
    <n v="31"/>
    <x v="0"/>
    <x v="0"/>
    <n v="12451"/>
  </r>
  <r>
    <s v="Monika Pawar"/>
    <n v="32"/>
    <x v="0"/>
    <x v="1"/>
    <n v="13765"/>
  </r>
  <r>
    <s v="Arban Khan"/>
    <n v="33"/>
    <x v="1"/>
    <x v="1"/>
    <n v="13449"/>
  </r>
  <r>
    <s v="Bhoopendra Raghav"/>
    <n v="34"/>
    <x v="1"/>
    <x v="1"/>
    <n v="12030"/>
  </r>
  <r>
    <s v="Ekanshika Kalra"/>
    <n v="35"/>
    <x v="2"/>
    <x v="2"/>
    <n v="12040"/>
  </r>
  <r>
    <s v="Rakesh Singh"/>
    <n v="36"/>
    <x v="2"/>
    <x v="2"/>
    <n v="14521"/>
  </r>
  <r>
    <s v="Harish Tote"/>
    <n v="37"/>
    <x v="3"/>
    <x v="3"/>
    <n v="14045"/>
  </r>
  <r>
    <s v="Rakesh Ky"/>
    <n v="38"/>
    <x v="3"/>
    <x v="3"/>
    <n v="13400"/>
  </r>
  <r>
    <s v="Rajnikant Kamble"/>
    <n v="39"/>
    <x v="4"/>
    <x v="0"/>
    <n v="13661"/>
  </r>
  <r>
    <s v="Kanika Mathur"/>
    <n v="40"/>
    <x v="4"/>
    <x v="0"/>
    <n v="12449"/>
  </r>
  <r>
    <s v="Satsh Ojha"/>
    <n v="41"/>
    <x v="4"/>
    <x v="1"/>
    <n v="12014"/>
  </r>
  <r>
    <s v="Sheetal Nishad"/>
    <n v="42"/>
    <x v="2"/>
    <x v="1"/>
    <n v="14557"/>
  </r>
  <r>
    <s v="Virender Sroha"/>
    <n v="43"/>
    <x v="2"/>
    <x v="1"/>
    <n v="14347"/>
  </r>
  <r>
    <s v="Lokesh Singh Bisht"/>
    <n v="44"/>
    <x v="1"/>
    <x v="2"/>
    <n v="12111"/>
  </r>
  <r>
    <s v="Vikram Kumar"/>
    <n v="45"/>
    <x v="0"/>
    <x v="3"/>
    <n v="12898"/>
  </r>
  <r>
    <s v="Archana Kumari"/>
    <n v="46"/>
    <x v="0"/>
    <x v="0"/>
    <n v="14485"/>
  </r>
  <r>
    <s v="Banda Satyanarayana"/>
    <n v="47"/>
    <x v="0"/>
    <x v="1"/>
    <n v="14068"/>
  </r>
  <r>
    <s v="Vandan Dave"/>
    <n v="48"/>
    <x v="1"/>
    <x v="1"/>
    <n v="14295"/>
  </r>
  <r>
    <s v="Anil Hoge"/>
    <n v="49"/>
    <x v="1"/>
    <x v="0"/>
    <n v="12200"/>
  </r>
  <r>
    <s v="Paramjeet Singh"/>
    <n v="50"/>
    <x v="2"/>
    <x v="2"/>
    <n v="12672"/>
  </r>
  <r>
    <s v="Pramod Bhavsar"/>
    <n v="51"/>
    <x v="2"/>
    <x v="2"/>
    <n v="12858"/>
  </r>
  <r>
    <s v="Adnan Soukat"/>
    <n v="52"/>
    <x v="3"/>
    <x v="3"/>
    <n v="13707"/>
  </r>
  <r>
    <s v="Jaishri Saxena"/>
    <n v="53"/>
    <x v="3"/>
    <x v="3"/>
    <n v="12549"/>
  </r>
  <r>
    <s v="Tarjit Malka"/>
    <n v="54"/>
    <x v="4"/>
    <x v="0"/>
    <n v="14160"/>
  </r>
  <r>
    <s v="Heman Gusain"/>
    <n v="55"/>
    <x v="4"/>
    <x v="0"/>
    <n v="13776"/>
  </r>
  <r>
    <s v="Nadeem Ahmed"/>
    <n v="56"/>
    <x v="4"/>
    <x v="0"/>
    <n v="13251"/>
  </r>
  <r>
    <s v="Shivam Daksh"/>
    <n v="57"/>
    <x v="2"/>
    <x v="0"/>
    <n v="13131"/>
  </r>
  <r>
    <s v="Prashant Pnajabi"/>
    <n v="58"/>
    <x v="2"/>
    <x v="0"/>
    <n v="12911"/>
  </r>
  <r>
    <s v="Narayan Lohar"/>
    <n v="59"/>
    <x v="1"/>
    <x v="1"/>
    <n v="14463"/>
  </r>
  <r>
    <s v="Kiran Dodke"/>
    <n v="60"/>
    <x v="0"/>
    <x v="3"/>
    <n v="14995"/>
  </r>
  <r>
    <s v="Suraj Rajput"/>
    <n v="61"/>
    <x v="0"/>
    <x v="0"/>
    <n v="12036"/>
  </r>
  <r>
    <s v="Dharmendar Rana"/>
    <n v="62"/>
    <x v="0"/>
    <x v="1"/>
    <n v="13397"/>
  </r>
  <r>
    <s v="Anand Singh Rajput"/>
    <n v="63"/>
    <x v="1"/>
    <x v="1"/>
    <n v="14064"/>
  </r>
  <r>
    <s v="Dheeraj Attri"/>
    <n v="64"/>
    <x v="1"/>
    <x v="0"/>
    <n v="14403"/>
  </r>
  <r>
    <s v="Deeksha Agrawal"/>
    <n v="65"/>
    <x v="2"/>
    <x v="2"/>
    <n v="12248"/>
  </r>
  <r>
    <s v="Ayushi Patel"/>
    <n v="66"/>
    <x v="2"/>
    <x v="2"/>
    <n v="13691"/>
  </r>
  <r>
    <s v="Sunil Kumar"/>
    <n v="67"/>
    <x v="3"/>
    <x v="3"/>
    <n v="12061"/>
  </r>
  <r>
    <s v="Puran Singh"/>
    <n v="68"/>
    <x v="3"/>
    <x v="3"/>
    <n v="13673"/>
  </r>
  <r>
    <s v="Pavan Kumar"/>
    <n v="69"/>
    <x v="4"/>
    <x v="0"/>
    <n v="13480"/>
  </r>
  <r>
    <s v="Mahboob Hossain"/>
    <n v="70"/>
    <x v="4"/>
    <x v="0"/>
    <n v="13404"/>
  </r>
  <r>
    <s v="Sujata Mohanty"/>
    <n v="71"/>
    <x v="4"/>
    <x v="1"/>
    <n v="13527"/>
  </r>
  <r>
    <s v="Jitender Kumar"/>
    <n v="72"/>
    <x v="2"/>
    <x v="1"/>
    <n v="14362"/>
  </r>
  <r>
    <s v="Vini Saini"/>
    <n v="73"/>
    <x v="2"/>
    <x v="1"/>
    <n v="13714"/>
  </r>
  <r>
    <s v="Anmol Singh"/>
    <n v="74"/>
    <x v="1"/>
    <x v="2"/>
    <n v="13101"/>
  </r>
  <r>
    <s v="Shiv Kumar"/>
    <n v="75"/>
    <x v="0"/>
    <x v="3"/>
    <n v="14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11:N32" firstHeaderRow="0" firstDataRow="1" firstDataCol="1"/>
  <pivotFields count="8">
    <pivotField numFmtId="165" showAll="0"/>
    <pivotField axis="axisRow" showAll="0">
      <items count="21">
        <item x="10"/>
        <item x="17"/>
        <item x="6"/>
        <item x="14"/>
        <item x="9"/>
        <item x="15"/>
        <item x="18"/>
        <item x="8"/>
        <item x="5"/>
        <item x="13"/>
        <item x="12"/>
        <item x="2"/>
        <item x="3"/>
        <item x="11"/>
        <item x="7"/>
        <item x="4"/>
        <item x="0"/>
        <item x="1"/>
        <item x="16"/>
        <item x="19"/>
        <item t="default"/>
      </items>
    </pivotField>
    <pivotField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olume" fld="3" baseField="0" baseItem="0"/>
    <dataField name="Sum of Commisi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92:I98" firstHeaderRow="1" firstDataRow="2" firstDataCol="1"/>
  <pivotFields count="5">
    <pivotField showAll="0"/>
    <pivotField numFmtI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3" displayName="Table143" ref="B1:B15" totalsRowShown="0" headerRowDxfId="0">
  <tableColumns count="1">
    <tableColumn id="1" xr3:uid="{00000000-0010-0000-0000-000001000000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C9" sqref="C9"/>
    </sheetView>
  </sheetViews>
  <sheetFormatPr defaultRowHeight="18" x14ac:dyDescent="0.35"/>
  <cols>
    <col min="1" max="1" width="11.6640625" style="44" bestFit="1" customWidth="1"/>
    <col min="3" max="3" width="24.44140625" customWidth="1"/>
    <col min="4" max="4" width="22" bestFit="1" customWidth="1"/>
    <col min="6" max="6" width="22.6640625" customWidth="1"/>
  </cols>
  <sheetData>
    <row r="1" spans="1:8" x14ac:dyDescent="0.35">
      <c r="A1" s="2" t="s">
        <v>0</v>
      </c>
      <c r="B1" s="2"/>
      <c r="C1" s="2" t="s">
        <v>1</v>
      </c>
      <c r="D1" s="2"/>
      <c r="E1" s="2"/>
      <c r="F1" s="2"/>
      <c r="G1" s="2"/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3" t="s">
        <v>2</v>
      </c>
      <c r="D3" s="3" t="s">
        <v>3</v>
      </c>
      <c r="E3" s="2"/>
      <c r="F3" s="2"/>
      <c r="G3" s="2"/>
      <c r="H3" s="2"/>
    </row>
    <row r="4" spans="1:8" x14ac:dyDescent="0.35">
      <c r="A4" s="2"/>
      <c r="B4" s="2"/>
      <c r="C4" s="4">
        <v>20121109</v>
      </c>
      <c r="D4" s="51">
        <f>DATE(H5,G5,F5)</f>
        <v>41222</v>
      </c>
      <c r="E4" s="2"/>
      <c r="F4" s="2" t="s">
        <v>2</v>
      </c>
      <c r="G4" s="2" t="s">
        <v>136</v>
      </c>
      <c r="H4" s="2" t="s">
        <v>137</v>
      </c>
    </row>
    <row r="5" spans="1:8" x14ac:dyDescent="0.35">
      <c r="A5" s="2"/>
      <c r="B5" s="2"/>
      <c r="C5" s="58" t="str">
        <f>RIGHT(C4,2) &amp;"-"&amp; TEXT(DATE(1,MID(C4, 5,2),1), "mmmm") &amp;"-"&amp; LEFT(C4, 4)</f>
        <v>09-November-2012</v>
      </c>
      <c r="D5" s="2"/>
      <c r="E5" s="2"/>
      <c r="F5" s="5" t="str">
        <f>RIGHT(C4,2)</f>
        <v>09</v>
      </c>
      <c r="G5" s="2" t="str">
        <f>MID(C4,5,2)</f>
        <v>11</v>
      </c>
      <c r="H5" s="2" t="str">
        <f>LEFT(C4,4)</f>
        <v>2012</v>
      </c>
    </row>
    <row r="7" spans="1:8" x14ac:dyDescent="0.35">
      <c r="F7" s="50">
        <f>DATE(H5,G5,F5)</f>
        <v>41222</v>
      </c>
    </row>
    <row r="8" spans="1:8" x14ac:dyDescent="0.35">
      <c r="C8" t="str">
        <f>RIGHT(C4,2) &amp; "-"&amp;TEXT(DATE(2020,INT(MID(C4,5,2)),1),"mmmm")&amp;"-"&amp;LEFT(C4,4)</f>
        <v>09-November-2012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topLeftCell="B28" workbookViewId="0">
      <selection activeCell="K3" sqref="K3:K33"/>
    </sheetView>
  </sheetViews>
  <sheetFormatPr defaultRowHeight="14.4" x14ac:dyDescent="0.3"/>
  <cols>
    <col min="4" max="4" width="25.44140625" customWidth="1"/>
    <col min="6" max="6" width="15.5546875" bestFit="1" customWidth="1"/>
    <col min="7" max="7" width="12.6640625" bestFit="1" customWidth="1"/>
    <col min="12" max="12" width="18.44140625" customWidth="1"/>
    <col min="13" max="13" width="19.88671875" customWidth="1"/>
    <col min="14" max="14" width="17.88671875" customWidth="1"/>
    <col min="15" max="15" width="11.33203125" bestFit="1" customWidth="1"/>
  </cols>
  <sheetData>
    <row r="1" spans="1:15" ht="22.8" x14ac:dyDescent="0.4">
      <c r="A1" s="2" t="s">
        <v>77</v>
      </c>
      <c r="B1" s="1"/>
      <c r="C1" s="2" t="s">
        <v>5</v>
      </c>
      <c r="D1" s="1"/>
      <c r="E1" s="2"/>
      <c r="F1" s="2"/>
      <c r="G1" s="2"/>
      <c r="H1" s="2"/>
    </row>
    <row r="2" spans="1:15" ht="18" x14ac:dyDescent="0.35">
      <c r="A2" s="2"/>
      <c r="B2" s="2"/>
      <c r="C2" s="6" t="s">
        <v>6</v>
      </c>
      <c r="D2" s="6" t="s">
        <v>7</v>
      </c>
      <c r="E2" s="6" t="s">
        <v>8</v>
      </c>
      <c r="F2" s="6" t="s">
        <v>9</v>
      </c>
      <c r="G2" s="52" t="s">
        <v>10</v>
      </c>
      <c r="H2" s="3" t="s">
        <v>11</v>
      </c>
      <c r="I2" s="53" t="s">
        <v>138</v>
      </c>
      <c r="J2" s="53" t="s">
        <v>139</v>
      </c>
    </row>
    <row r="3" spans="1:15" ht="18" x14ac:dyDescent="0.35">
      <c r="A3" s="2"/>
      <c r="B3" s="2"/>
      <c r="C3" s="7">
        <v>1</v>
      </c>
      <c r="D3" s="45" t="s">
        <v>65</v>
      </c>
      <c r="E3" s="8" t="s">
        <v>12</v>
      </c>
      <c r="F3" s="8">
        <v>38493</v>
      </c>
      <c r="G3" s="8">
        <f>F3*$H$3</f>
        <v>9623.25</v>
      </c>
      <c r="H3" s="9">
        <v>0.25</v>
      </c>
      <c r="I3" t="str">
        <f>VLOOKUP(F3,$N$3:$O$7,2,1)</f>
        <v>G1</v>
      </c>
      <c r="J3">
        <f>RANK(F3,$F$3:$F$22)</f>
        <v>1</v>
      </c>
      <c r="K3">
        <f>RANK(F3,$F$3:$F$22,0)</f>
        <v>1</v>
      </c>
      <c r="N3" s="54">
        <v>0</v>
      </c>
      <c r="O3" s="54" t="s">
        <v>24</v>
      </c>
    </row>
    <row r="4" spans="1:15" ht="18" x14ac:dyDescent="0.35">
      <c r="A4" s="2"/>
      <c r="B4" s="2"/>
      <c r="C4" s="10">
        <v>2</v>
      </c>
      <c r="D4" s="46" t="s">
        <v>58</v>
      </c>
      <c r="E4" s="11" t="s">
        <v>13</v>
      </c>
      <c r="F4" s="12">
        <v>18886</v>
      </c>
      <c r="G4" s="8">
        <f t="shared" ref="G4:G22" si="0">F4*$H$3</f>
        <v>4721.5</v>
      </c>
      <c r="H4" s="13"/>
      <c r="I4" t="str">
        <f t="shared" ref="I4:I22" si="1">VLOOKUP(F4,$N$3:$O$7,2,1)</f>
        <v>G4</v>
      </c>
      <c r="J4">
        <f t="shared" ref="J4:J22" si="2">RANK(F4,$F$3:$F$22)</f>
        <v>12</v>
      </c>
      <c r="K4">
        <f t="shared" ref="K4:K33" si="3">RANK(F4,$F$3:$F$22,0)</f>
        <v>12</v>
      </c>
      <c r="N4" s="54">
        <v>15000</v>
      </c>
      <c r="O4" s="54" t="s">
        <v>23</v>
      </c>
    </row>
    <row r="5" spans="1:15" ht="18" x14ac:dyDescent="0.35">
      <c r="A5" s="2"/>
      <c r="B5" s="2"/>
      <c r="C5" s="14">
        <v>3</v>
      </c>
      <c r="D5" s="45" t="s">
        <v>59</v>
      </c>
      <c r="E5" s="15" t="s">
        <v>13</v>
      </c>
      <c r="F5" s="8">
        <v>17635</v>
      </c>
      <c r="G5" s="8">
        <f t="shared" si="0"/>
        <v>4408.75</v>
      </c>
      <c r="H5" s="2"/>
      <c r="I5" t="str">
        <f t="shared" si="1"/>
        <v>G4</v>
      </c>
      <c r="J5">
        <f t="shared" si="2"/>
        <v>13</v>
      </c>
      <c r="K5">
        <f t="shared" si="3"/>
        <v>13</v>
      </c>
      <c r="N5" s="54">
        <v>20000</v>
      </c>
      <c r="O5" s="54" t="s">
        <v>22</v>
      </c>
    </row>
    <row r="6" spans="1:15" ht="18" x14ac:dyDescent="0.35">
      <c r="A6" s="2"/>
      <c r="B6" s="2"/>
      <c r="C6" s="10">
        <v>4</v>
      </c>
      <c r="D6" s="46" t="s">
        <v>60</v>
      </c>
      <c r="E6" s="11" t="s">
        <v>13</v>
      </c>
      <c r="F6" s="12">
        <v>33262</v>
      </c>
      <c r="G6" s="8">
        <f t="shared" si="0"/>
        <v>8315.5</v>
      </c>
      <c r="H6" s="2"/>
      <c r="I6" t="str">
        <f t="shared" si="1"/>
        <v>G1</v>
      </c>
      <c r="J6">
        <f t="shared" si="2"/>
        <v>4</v>
      </c>
      <c r="K6">
        <f t="shared" si="3"/>
        <v>4</v>
      </c>
      <c r="N6" s="54">
        <v>25000</v>
      </c>
      <c r="O6" s="54" t="s">
        <v>21</v>
      </c>
    </row>
    <row r="7" spans="1:15" ht="18" x14ac:dyDescent="0.35">
      <c r="A7" s="2"/>
      <c r="B7" s="2"/>
      <c r="C7" s="14">
        <v>5</v>
      </c>
      <c r="D7" s="45" t="s">
        <v>61</v>
      </c>
      <c r="E7" s="15" t="s">
        <v>14</v>
      </c>
      <c r="F7" s="8">
        <v>16441</v>
      </c>
      <c r="G7" s="8">
        <f t="shared" si="0"/>
        <v>4110.25</v>
      </c>
      <c r="H7" s="2"/>
      <c r="I7" t="str">
        <f t="shared" si="1"/>
        <v>G4</v>
      </c>
      <c r="J7">
        <f t="shared" si="2"/>
        <v>14</v>
      </c>
      <c r="K7">
        <f t="shared" si="3"/>
        <v>14</v>
      </c>
      <c r="N7" s="54">
        <v>30000</v>
      </c>
      <c r="O7" s="54" t="s">
        <v>20</v>
      </c>
    </row>
    <row r="8" spans="1:15" ht="18" x14ac:dyDescent="0.35">
      <c r="A8" s="2"/>
      <c r="B8" s="2"/>
      <c r="C8" s="10">
        <v>6</v>
      </c>
      <c r="D8" s="46" t="s">
        <v>62</v>
      </c>
      <c r="E8" s="11" t="s">
        <v>14</v>
      </c>
      <c r="F8" s="12">
        <v>19172</v>
      </c>
      <c r="G8" s="8">
        <f t="shared" si="0"/>
        <v>4793</v>
      </c>
      <c r="H8" s="2"/>
      <c r="I8" t="str">
        <f t="shared" si="1"/>
        <v>G4</v>
      </c>
      <c r="J8">
        <f t="shared" si="2"/>
        <v>11</v>
      </c>
      <c r="K8">
        <f t="shared" si="3"/>
        <v>11</v>
      </c>
    </row>
    <row r="9" spans="1:15" ht="18" x14ac:dyDescent="0.35">
      <c r="A9" s="2"/>
      <c r="B9" s="2"/>
      <c r="C9" s="14">
        <v>7</v>
      </c>
      <c r="D9" s="45" t="s">
        <v>63</v>
      </c>
      <c r="E9" s="15" t="s">
        <v>15</v>
      </c>
      <c r="F9" s="8">
        <v>24435</v>
      </c>
      <c r="G9" s="8">
        <f t="shared" si="0"/>
        <v>6108.75</v>
      </c>
      <c r="H9" s="2"/>
      <c r="I9" t="str">
        <f t="shared" si="1"/>
        <v>G3</v>
      </c>
      <c r="J9">
        <f t="shared" si="2"/>
        <v>8</v>
      </c>
      <c r="K9">
        <f t="shared" si="3"/>
        <v>8</v>
      </c>
    </row>
    <row r="10" spans="1:15" ht="18" x14ac:dyDescent="0.35">
      <c r="A10" s="2"/>
      <c r="B10" s="2"/>
      <c r="C10" s="10">
        <v>8</v>
      </c>
      <c r="D10" s="46" t="s">
        <v>64</v>
      </c>
      <c r="E10" s="11" t="s">
        <v>14</v>
      </c>
      <c r="F10" s="12">
        <v>23949</v>
      </c>
      <c r="G10" s="8">
        <f t="shared" si="0"/>
        <v>5987.25</v>
      </c>
      <c r="H10" s="2"/>
      <c r="I10" t="str">
        <f t="shared" si="1"/>
        <v>G3</v>
      </c>
      <c r="J10">
        <f t="shared" si="2"/>
        <v>9</v>
      </c>
      <c r="K10">
        <f t="shared" si="3"/>
        <v>9</v>
      </c>
    </row>
    <row r="11" spans="1:15" ht="22.8" x14ac:dyDescent="0.4">
      <c r="A11" s="1"/>
      <c r="B11" s="1"/>
      <c r="C11" s="14">
        <v>9</v>
      </c>
      <c r="D11" s="45" t="s">
        <v>57</v>
      </c>
      <c r="E11" s="15" t="s">
        <v>15</v>
      </c>
      <c r="F11" s="8">
        <v>28913</v>
      </c>
      <c r="G11" s="8">
        <f t="shared" si="0"/>
        <v>7228.25</v>
      </c>
      <c r="H11" s="1"/>
      <c r="I11" t="str">
        <f t="shared" si="1"/>
        <v>G2</v>
      </c>
      <c r="J11">
        <f t="shared" si="2"/>
        <v>6</v>
      </c>
      <c r="K11">
        <f t="shared" si="3"/>
        <v>6</v>
      </c>
      <c r="L11" s="55" t="s">
        <v>140</v>
      </c>
      <c r="M11" t="s">
        <v>142</v>
      </c>
      <c r="N11" t="s">
        <v>143</v>
      </c>
    </row>
    <row r="12" spans="1:15" ht="22.8" x14ac:dyDescent="0.4">
      <c r="A12" s="1"/>
      <c r="B12" s="1"/>
      <c r="C12" s="10">
        <v>10</v>
      </c>
      <c r="D12" s="46" t="s">
        <v>66</v>
      </c>
      <c r="E12" s="11" t="s">
        <v>12</v>
      </c>
      <c r="F12" s="12">
        <v>10640</v>
      </c>
      <c r="G12" s="8">
        <f t="shared" si="0"/>
        <v>2660</v>
      </c>
      <c r="H12" s="1"/>
      <c r="I12" t="str">
        <f t="shared" si="1"/>
        <v>G5</v>
      </c>
      <c r="J12">
        <f t="shared" si="2"/>
        <v>19</v>
      </c>
      <c r="K12">
        <f t="shared" si="3"/>
        <v>19</v>
      </c>
      <c r="L12" s="56" t="s">
        <v>67</v>
      </c>
      <c r="M12">
        <v>36418</v>
      </c>
      <c r="N12">
        <v>9104.5</v>
      </c>
    </row>
    <row r="13" spans="1:15" ht="22.8" x14ac:dyDescent="0.4">
      <c r="A13" s="1"/>
      <c r="B13" s="1"/>
      <c r="C13" s="14">
        <v>11</v>
      </c>
      <c r="D13" s="45" t="s">
        <v>67</v>
      </c>
      <c r="E13" s="15" t="s">
        <v>14</v>
      </c>
      <c r="F13" s="8">
        <v>36418</v>
      </c>
      <c r="G13" s="8">
        <f t="shared" si="0"/>
        <v>9104.5</v>
      </c>
      <c r="H13" s="1"/>
      <c r="I13" t="str">
        <f t="shared" si="1"/>
        <v>G1</v>
      </c>
      <c r="J13">
        <f t="shared" si="2"/>
        <v>3</v>
      </c>
      <c r="K13">
        <f t="shared" si="3"/>
        <v>3</v>
      </c>
      <c r="L13" s="56" t="s">
        <v>74</v>
      </c>
      <c r="M13">
        <v>12324</v>
      </c>
      <c r="N13">
        <v>3081</v>
      </c>
    </row>
    <row r="14" spans="1:15" ht="22.8" x14ac:dyDescent="0.4">
      <c r="A14" s="1"/>
      <c r="B14" s="1"/>
      <c r="C14" s="10">
        <v>12</v>
      </c>
      <c r="D14" s="46" t="s">
        <v>68</v>
      </c>
      <c r="E14" s="11" t="s">
        <v>15</v>
      </c>
      <c r="F14" s="12">
        <v>20988</v>
      </c>
      <c r="G14" s="8">
        <f t="shared" si="0"/>
        <v>5247</v>
      </c>
      <c r="H14" s="1"/>
      <c r="I14" t="str">
        <f t="shared" si="1"/>
        <v>G3</v>
      </c>
      <c r="J14">
        <f t="shared" si="2"/>
        <v>10</v>
      </c>
      <c r="K14">
        <f t="shared" si="3"/>
        <v>10</v>
      </c>
      <c r="L14" s="56" t="s">
        <v>63</v>
      </c>
      <c r="M14">
        <v>24435</v>
      </c>
      <c r="N14">
        <v>6108.75</v>
      </c>
    </row>
    <row r="15" spans="1:15" ht="22.8" x14ac:dyDescent="0.4">
      <c r="A15" s="1"/>
      <c r="B15" s="1"/>
      <c r="C15" s="14">
        <v>13</v>
      </c>
      <c r="D15" s="45" t="s">
        <v>69</v>
      </c>
      <c r="E15" s="15" t="s">
        <v>12</v>
      </c>
      <c r="F15" s="8">
        <v>12663</v>
      </c>
      <c r="G15" s="8">
        <f t="shared" si="0"/>
        <v>3165.75</v>
      </c>
      <c r="H15" s="1"/>
      <c r="I15" t="str">
        <f t="shared" si="1"/>
        <v>G5</v>
      </c>
      <c r="J15">
        <f t="shared" si="2"/>
        <v>17</v>
      </c>
      <c r="K15">
        <f t="shared" si="3"/>
        <v>17</v>
      </c>
      <c r="L15" s="56" t="s">
        <v>71</v>
      </c>
      <c r="M15">
        <v>15339</v>
      </c>
      <c r="N15">
        <v>3834.75</v>
      </c>
    </row>
    <row r="16" spans="1:15" ht="22.8" x14ac:dyDescent="0.4">
      <c r="A16" s="1"/>
      <c r="B16" s="1"/>
      <c r="C16" s="10">
        <v>14</v>
      </c>
      <c r="D16" s="46" t="s">
        <v>70</v>
      </c>
      <c r="E16" s="11" t="s">
        <v>15</v>
      </c>
      <c r="F16" s="12">
        <v>38010</v>
      </c>
      <c r="G16" s="8">
        <f t="shared" si="0"/>
        <v>9502.5</v>
      </c>
      <c r="H16" s="1"/>
      <c r="I16" t="str">
        <f t="shared" si="1"/>
        <v>G1</v>
      </c>
      <c r="J16">
        <f t="shared" si="2"/>
        <v>2</v>
      </c>
      <c r="K16">
        <f t="shared" si="3"/>
        <v>2</v>
      </c>
      <c r="L16" s="56" t="s">
        <v>66</v>
      </c>
      <c r="M16">
        <v>10640</v>
      </c>
      <c r="N16">
        <v>2660</v>
      </c>
    </row>
    <row r="17" spans="1:14" ht="22.8" x14ac:dyDescent="0.4">
      <c r="A17" s="1"/>
      <c r="B17" s="1"/>
      <c r="C17" s="14">
        <v>15</v>
      </c>
      <c r="D17" s="45" t="s">
        <v>71</v>
      </c>
      <c r="E17" s="15" t="s">
        <v>12</v>
      </c>
      <c r="F17" s="8">
        <v>15339</v>
      </c>
      <c r="G17" s="8">
        <f t="shared" si="0"/>
        <v>3834.75</v>
      </c>
      <c r="H17" s="1"/>
      <c r="I17" t="str">
        <f t="shared" si="1"/>
        <v>G4</v>
      </c>
      <c r="J17">
        <f t="shared" si="2"/>
        <v>15</v>
      </c>
      <c r="K17">
        <f t="shared" si="3"/>
        <v>15</v>
      </c>
      <c r="L17" s="56" t="s">
        <v>72</v>
      </c>
      <c r="M17">
        <v>27429</v>
      </c>
      <c r="N17">
        <v>6857.25</v>
      </c>
    </row>
    <row r="18" spans="1:14" ht="22.8" x14ac:dyDescent="0.4">
      <c r="A18" s="1"/>
      <c r="B18" s="1"/>
      <c r="C18" s="10">
        <v>16</v>
      </c>
      <c r="D18" s="46" t="s">
        <v>72</v>
      </c>
      <c r="E18" s="11" t="s">
        <v>12</v>
      </c>
      <c r="F18" s="12">
        <v>27429</v>
      </c>
      <c r="G18" s="8">
        <f t="shared" si="0"/>
        <v>6857.25</v>
      </c>
      <c r="H18" s="1"/>
      <c r="I18" t="str">
        <f t="shared" si="1"/>
        <v>G2</v>
      </c>
      <c r="J18">
        <f t="shared" si="2"/>
        <v>7</v>
      </c>
      <c r="K18">
        <f t="shared" si="3"/>
        <v>7</v>
      </c>
      <c r="L18" s="56" t="s">
        <v>75</v>
      </c>
      <c r="M18">
        <v>13728</v>
      </c>
      <c r="N18">
        <v>3432</v>
      </c>
    </row>
    <row r="19" spans="1:14" ht="22.8" x14ac:dyDescent="0.4">
      <c r="A19" s="1"/>
      <c r="B19" s="1"/>
      <c r="C19" s="14">
        <v>17</v>
      </c>
      <c r="D19" s="45" t="s">
        <v>73</v>
      </c>
      <c r="E19" s="15" t="s">
        <v>15</v>
      </c>
      <c r="F19" s="8">
        <v>10382</v>
      </c>
      <c r="G19" s="8">
        <f t="shared" si="0"/>
        <v>2595.5</v>
      </c>
      <c r="H19" s="1"/>
      <c r="I19" t="str">
        <f t="shared" si="1"/>
        <v>G5</v>
      </c>
      <c r="J19">
        <f t="shared" si="2"/>
        <v>20</v>
      </c>
      <c r="K19">
        <f t="shared" si="3"/>
        <v>20</v>
      </c>
      <c r="L19" s="56" t="s">
        <v>57</v>
      </c>
      <c r="M19">
        <v>28913</v>
      </c>
      <c r="N19">
        <v>7228.25</v>
      </c>
    </row>
    <row r="20" spans="1:14" ht="22.8" x14ac:dyDescent="0.4">
      <c r="A20" s="1"/>
      <c r="B20" s="1"/>
      <c r="C20" s="10">
        <v>18</v>
      </c>
      <c r="D20" s="46" t="s">
        <v>74</v>
      </c>
      <c r="E20" s="11" t="s">
        <v>13</v>
      </c>
      <c r="F20" s="12">
        <v>12324</v>
      </c>
      <c r="G20" s="8">
        <f t="shared" si="0"/>
        <v>3081</v>
      </c>
      <c r="H20" s="1"/>
      <c r="I20" t="str">
        <f t="shared" si="1"/>
        <v>G5</v>
      </c>
      <c r="J20">
        <f t="shared" si="2"/>
        <v>18</v>
      </c>
      <c r="K20">
        <f t="shared" si="3"/>
        <v>18</v>
      </c>
      <c r="L20" s="56" t="s">
        <v>62</v>
      </c>
      <c r="M20">
        <v>19172</v>
      </c>
      <c r="N20">
        <v>4793</v>
      </c>
    </row>
    <row r="21" spans="1:14" ht="22.8" x14ac:dyDescent="0.4">
      <c r="A21" s="1"/>
      <c r="B21" s="1"/>
      <c r="C21" s="14">
        <v>19</v>
      </c>
      <c r="D21" s="45" t="s">
        <v>75</v>
      </c>
      <c r="E21" s="15" t="s">
        <v>12</v>
      </c>
      <c r="F21" s="8">
        <v>13728</v>
      </c>
      <c r="G21" s="8">
        <f t="shared" si="0"/>
        <v>3432</v>
      </c>
      <c r="H21" s="1"/>
      <c r="I21" t="str">
        <f t="shared" si="1"/>
        <v>G5</v>
      </c>
      <c r="J21">
        <f t="shared" si="2"/>
        <v>16</v>
      </c>
      <c r="K21">
        <f t="shared" si="3"/>
        <v>16</v>
      </c>
      <c r="L21" s="56" t="s">
        <v>70</v>
      </c>
      <c r="M21">
        <v>38010</v>
      </c>
      <c r="N21">
        <v>9502.5</v>
      </c>
    </row>
    <row r="22" spans="1:14" ht="22.8" x14ac:dyDescent="0.4">
      <c r="A22" s="1"/>
      <c r="B22" s="1"/>
      <c r="C22" s="10">
        <v>20</v>
      </c>
      <c r="D22" s="46" t="s">
        <v>76</v>
      </c>
      <c r="E22" s="11" t="s">
        <v>13</v>
      </c>
      <c r="F22" s="12">
        <v>29263</v>
      </c>
      <c r="G22" s="8">
        <f t="shared" si="0"/>
        <v>7315.75</v>
      </c>
      <c r="H22" s="1"/>
      <c r="I22" t="str">
        <f t="shared" si="1"/>
        <v>G2</v>
      </c>
      <c r="J22">
        <f t="shared" si="2"/>
        <v>5</v>
      </c>
      <c r="K22">
        <f t="shared" si="3"/>
        <v>5</v>
      </c>
      <c r="L22" s="56" t="s">
        <v>69</v>
      </c>
      <c r="M22">
        <v>12663</v>
      </c>
      <c r="N22">
        <v>3165.75</v>
      </c>
    </row>
    <row r="23" spans="1:14" ht="22.8" x14ac:dyDescent="0.4">
      <c r="A23" s="1"/>
      <c r="B23" s="1"/>
      <c r="C23" s="1"/>
      <c r="D23" s="1"/>
      <c r="E23" s="1"/>
      <c r="F23" s="1"/>
      <c r="G23" s="1"/>
      <c r="H23" s="1"/>
      <c r="K23" t="e">
        <f t="shared" si="3"/>
        <v>#N/A</v>
      </c>
      <c r="L23" s="56" t="s">
        <v>59</v>
      </c>
      <c r="M23">
        <v>17635</v>
      </c>
      <c r="N23">
        <v>4408.75</v>
      </c>
    </row>
    <row r="24" spans="1:14" ht="22.8" x14ac:dyDescent="0.4">
      <c r="A24" s="1"/>
      <c r="B24" s="1" t="s">
        <v>16</v>
      </c>
      <c r="C24" s="2" t="s">
        <v>17</v>
      </c>
      <c r="D24" s="1"/>
      <c r="E24" s="1"/>
      <c r="F24" s="1"/>
      <c r="G24" s="1"/>
      <c r="H24" s="1"/>
      <c r="K24" t="e">
        <f t="shared" si="3"/>
        <v>#N/A</v>
      </c>
      <c r="L24" s="56" t="s">
        <v>60</v>
      </c>
      <c r="M24">
        <v>33262</v>
      </c>
      <c r="N24">
        <v>8315.5</v>
      </c>
    </row>
    <row r="25" spans="1:14" ht="22.8" x14ac:dyDescent="0.4">
      <c r="A25" s="1"/>
      <c r="B25" s="1" t="s">
        <v>18</v>
      </c>
      <c r="C25" s="2" t="s">
        <v>19</v>
      </c>
      <c r="D25" s="1"/>
      <c r="E25" s="1"/>
      <c r="F25" s="1"/>
      <c r="G25" s="1"/>
      <c r="H25" s="1"/>
      <c r="K25" t="e">
        <f t="shared" si="3"/>
        <v>#N/A</v>
      </c>
      <c r="L25" s="56" t="s">
        <v>68</v>
      </c>
      <c r="M25">
        <v>20988</v>
      </c>
      <c r="N25">
        <v>5247</v>
      </c>
    </row>
    <row r="26" spans="1:14" ht="22.8" x14ac:dyDescent="0.4">
      <c r="A26" s="1"/>
      <c r="B26" s="1"/>
      <c r="C26" s="1"/>
      <c r="D26" s="1"/>
      <c r="E26" s="1"/>
      <c r="F26" s="1"/>
      <c r="G26" s="1"/>
      <c r="H26" s="1"/>
      <c r="K26" t="e">
        <f t="shared" si="3"/>
        <v>#N/A</v>
      </c>
      <c r="L26" s="56" t="s">
        <v>64</v>
      </c>
      <c r="M26">
        <v>23949</v>
      </c>
      <c r="N26">
        <v>5987.25</v>
      </c>
    </row>
    <row r="27" spans="1:14" ht="18" x14ac:dyDescent="0.35">
      <c r="A27" s="2"/>
      <c r="B27" s="2"/>
      <c r="C27" s="2"/>
      <c r="D27" s="16" t="s">
        <v>20</v>
      </c>
      <c r="E27" s="16" t="s">
        <v>21</v>
      </c>
      <c r="F27" s="16" t="s">
        <v>22</v>
      </c>
      <c r="G27" s="16" t="s">
        <v>23</v>
      </c>
      <c r="H27" s="16" t="s">
        <v>24</v>
      </c>
      <c r="K27" t="e">
        <f t="shared" si="3"/>
        <v>#VALUE!</v>
      </c>
      <c r="L27" s="56" t="s">
        <v>61</v>
      </c>
      <c r="M27">
        <v>16441</v>
      </c>
      <c r="N27">
        <v>4110.25</v>
      </c>
    </row>
    <row r="28" spans="1:14" ht="144" x14ac:dyDescent="0.35">
      <c r="A28" s="2"/>
      <c r="B28" s="2"/>
      <c r="C28" s="2"/>
      <c r="D28" s="17" t="s">
        <v>25</v>
      </c>
      <c r="E28" s="17" t="s">
        <v>26</v>
      </c>
      <c r="F28" s="17" t="s">
        <v>27</v>
      </c>
      <c r="G28" s="17" t="s">
        <v>28</v>
      </c>
      <c r="H28" s="17" t="s">
        <v>29</v>
      </c>
      <c r="K28" t="e">
        <f t="shared" si="3"/>
        <v>#VALUE!</v>
      </c>
      <c r="L28" s="56" t="s">
        <v>65</v>
      </c>
      <c r="M28">
        <v>38493</v>
      </c>
      <c r="N28">
        <v>9623.25</v>
      </c>
    </row>
    <row r="29" spans="1:14" ht="18" x14ac:dyDescent="0.35">
      <c r="A29" s="2"/>
      <c r="B29" s="2"/>
      <c r="C29" s="2"/>
      <c r="D29" s="2"/>
      <c r="E29" s="2"/>
      <c r="F29" s="2"/>
      <c r="G29" s="18"/>
      <c r="H29" s="19"/>
      <c r="K29" t="e">
        <f t="shared" si="3"/>
        <v>#N/A</v>
      </c>
      <c r="L29" s="56" t="s">
        <v>58</v>
      </c>
      <c r="M29">
        <v>18886</v>
      </c>
      <c r="N29">
        <v>4721.5</v>
      </c>
    </row>
    <row r="30" spans="1:14" ht="18" x14ac:dyDescent="0.35">
      <c r="A30" s="2"/>
      <c r="B30" s="2"/>
      <c r="C30" s="2"/>
      <c r="D30" s="2"/>
      <c r="E30" s="2"/>
      <c r="F30" s="2"/>
      <c r="G30" s="18"/>
      <c r="H30" s="19"/>
      <c r="K30" t="e">
        <f t="shared" si="3"/>
        <v>#N/A</v>
      </c>
      <c r="L30" s="56" t="s">
        <v>73</v>
      </c>
      <c r="M30">
        <v>10382</v>
      </c>
      <c r="N30">
        <v>2595.5</v>
      </c>
    </row>
    <row r="31" spans="1:14" ht="22.8" x14ac:dyDescent="0.4">
      <c r="A31" s="2"/>
      <c r="B31" s="1" t="s">
        <v>30</v>
      </c>
      <c r="C31" s="2" t="s">
        <v>31</v>
      </c>
      <c r="D31" s="2"/>
      <c r="E31" s="2"/>
      <c r="F31" s="2"/>
      <c r="G31" s="18"/>
      <c r="H31" s="19"/>
      <c r="K31" t="e">
        <f t="shared" si="3"/>
        <v>#N/A</v>
      </c>
      <c r="L31" s="56" t="s">
        <v>76</v>
      </c>
      <c r="M31">
        <v>29263</v>
      </c>
      <c r="N31">
        <v>7315.75</v>
      </c>
    </row>
    <row r="32" spans="1:14" ht="22.8" x14ac:dyDescent="0.4">
      <c r="A32" s="2"/>
      <c r="B32" s="1" t="s">
        <v>32</v>
      </c>
      <c r="C32" s="2" t="s">
        <v>33</v>
      </c>
      <c r="D32" s="2"/>
      <c r="E32" s="2"/>
      <c r="F32" s="2"/>
      <c r="G32" s="18"/>
      <c r="H32" s="19"/>
      <c r="K32" t="e">
        <f t="shared" si="3"/>
        <v>#N/A</v>
      </c>
      <c r="L32" s="56" t="s">
        <v>51</v>
      </c>
      <c r="M32">
        <v>448370</v>
      </c>
      <c r="N32">
        <v>112092.5</v>
      </c>
    </row>
    <row r="33" spans="1:11" ht="22.8" x14ac:dyDescent="0.4">
      <c r="A33" s="2"/>
      <c r="B33" s="1" t="s">
        <v>34</v>
      </c>
      <c r="C33" s="2" t="s">
        <v>35</v>
      </c>
      <c r="D33" s="2"/>
      <c r="E33" s="2"/>
      <c r="F33" s="2"/>
      <c r="G33" s="18"/>
      <c r="H33" s="19"/>
      <c r="K33" t="e">
        <f t="shared" si="3"/>
        <v>#N/A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8"/>
  <sheetViews>
    <sheetView topLeftCell="A71" zoomScale="84" workbookViewId="0">
      <selection activeCell="J86" sqref="J86"/>
    </sheetView>
  </sheetViews>
  <sheetFormatPr defaultRowHeight="14.4" x14ac:dyDescent="0.3"/>
  <cols>
    <col min="3" max="3" width="13.109375" customWidth="1"/>
    <col min="4" max="4" width="16.33203125" bestFit="1" customWidth="1"/>
    <col min="5" max="5" width="7" customWidth="1"/>
    <col min="6" max="6" width="7.109375" customWidth="1"/>
    <col min="7" max="7" width="13.88671875" customWidth="1"/>
    <col min="8" max="8" width="7.88671875" customWidth="1"/>
    <col min="9" max="9" width="11.33203125" bestFit="1" customWidth="1"/>
    <col min="10" max="10" width="25.5546875" bestFit="1" customWidth="1"/>
  </cols>
  <sheetData>
    <row r="1" spans="1:12" ht="22.8" x14ac:dyDescent="0.4">
      <c r="A1" s="2" t="s">
        <v>4</v>
      </c>
      <c r="B1" s="1"/>
      <c r="C1" s="20" t="s">
        <v>36</v>
      </c>
      <c r="D1" s="20" t="s">
        <v>37</v>
      </c>
      <c r="E1" s="20" t="s">
        <v>8</v>
      </c>
      <c r="F1" s="20" t="s">
        <v>38</v>
      </c>
      <c r="G1" s="20" t="s">
        <v>39</v>
      </c>
      <c r="H1" s="21"/>
      <c r="I1" s="16" t="s">
        <v>37</v>
      </c>
      <c r="J1" s="16" t="s">
        <v>36</v>
      </c>
    </row>
    <row r="2" spans="1:12" ht="18" x14ac:dyDescent="0.35">
      <c r="A2" s="2"/>
      <c r="B2" s="2"/>
      <c r="C2" s="22" t="str">
        <f>INDEX($J$2:$J$76,MATCH(D2,$I$2:$I$76,0))</f>
        <v>Shrikant Badge</v>
      </c>
      <c r="D2" s="23">
        <v>1</v>
      </c>
      <c r="E2" s="22" t="s">
        <v>15</v>
      </c>
      <c r="F2" s="22" t="s">
        <v>40</v>
      </c>
      <c r="G2" s="22">
        <v>13811</v>
      </c>
      <c r="H2" s="2"/>
      <c r="I2" s="15">
        <v>71</v>
      </c>
      <c r="J2" s="45" t="s">
        <v>65</v>
      </c>
      <c r="L2" t="str">
        <f ca="1">OFFSET($I$1,MATCH(D2,$I$2:$I$76,0),1)</f>
        <v>Shrikant Badge</v>
      </c>
    </row>
    <row r="3" spans="1:12" ht="18" x14ac:dyDescent="0.35">
      <c r="A3" s="2"/>
      <c r="B3" s="2"/>
      <c r="C3" s="22" t="str">
        <f t="shared" ref="C3:C66" si="0">INDEX($J$2:$J$76,MATCH(D3,$I$2:$I$76,0))</f>
        <v>Harivansh Gautam</v>
      </c>
      <c r="D3" s="24">
        <v>2</v>
      </c>
      <c r="E3" s="25" t="s">
        <v>15</v>
      </c>
      <c r="F3" s="25" t="s">
        <v>40</v>
      </c>
      <c r="G3" s="25">
        <v>14080</v>
      </c>
      <c r="H3" s="2"/>
      <c r="I3" s="11">
        <v>61</v>
      </c>
      <c r="J3" s="46" t="s">
        <v>58</v>
      </c>
      <c r="L3" t="str">
        <f t="shared" ref="L3:L66" ca="1" si="1">OFFSET($I$1,MATCH(D3,$I$2:$I$76,0),1)</f>
        <v>Harivansh Gautam</v>
      </c>
    </row>
    <row r="4" spans="1:12" ht="18" x14ac:dyDescent="0.35">
      <c r="A4" s="2"/>
      <c r="B4" s="2"/>
      <c r="C4" s="22" t="str">
        <f t="shared" si="0"/>
        <v>Sourav Maity</v>
      </c>
      <c r="D4" s="23">
        <v>3</v>
      </c>
      <c r="E4" s="22" t="s">
        <v>15</v>
      </c>
      <c r="F4" s="22" t="s">
        <v>41</v>
      </c>
      <c r="G4" s="22">
        <v>13536</v>
      </c>
      <c r="H4" s="2"/>
      <c r="I4" s="15">
        <v>51</v>
      </c>
      <c r="J4" s="45" t="s">
        <v>59</v>
      </c>
      <c r="L4" t="str">
        <f t="shared" ca="1" si="1"/>
        <v>Sourav Maity</v>
      </c>
    </row>
    <row r="5" spans="1:12" ht="18" x14ac:dyDescent="0.35">
      <c r="A5" s="2"/>
      <c r="B5" s="2"/>
      <c r="C5" s="22" t="str">
        <f t="shared" si="0"/>
        <v>Abir Sarkar</v>
      </c>
      <c r="D5" s="24">
        <v>4</v>
      </c>
      <c r="E5" s="25" t="s">
        <v>42</v>
      </c>
      <c r="F5" s="25" t="s">
        <v>40</v>
      </c>
      <c r="G5" s="25">
        <v>14730</v>
      </c>
      <c r="H5" s="2"/>
      <c r="I5" s="11">
        <v>41</v>
      </c>
      <c r="J5" s="46" t="s">
        <v>60</v>
      </c>
      <c r="L5" t="str">
        <f t="shared" ca="1" si="1"/>
        <v>Abir Sarkar</v>
      </c>
    </row>
    <row r="6" spans="1:12" ht="18" x14ac:dyDescent="0.35">
      <c r="A6" s="2"/>
      <c r="B6" s="2"/>
      <c r="C6" s="22" t="str">
        <f t="shared" si="0"/>
        <v>Sandeep Aswal</v>
      </c>
      <c r="D6" s="23">
        <v>5</v>
      </c>
      <c r="E6" s="22" t="s">
        <v>42</v>
      </c>
      <c r="F6" s="22" t="s">
        <v>43</v>
      </c>
      <c r="G6" s="22">
        <v>12154</v>
      </c>
      <c r="H6" s="2"/>
      <c r="I6" s="15">
        <v>31</v>
      </c>
      <c r="J6" s="45" t="s">
        <v>61</v>
      </c>
      <c r="L6" t="str">
        <f t="shared" ca="1" si="1"/>
        <v>Sandeep Aswal</v>
      </c>
    </row>
    <row r="7" spans="1:12" ht="18" x14ac:dyDescent="0.35">
      <c r="A7" s="2"/>
      <c r="B7" s="2"/>
      <c r="C7" s="22" t="str">
        <f t="shared" si="0"/>
        <v>Karan Kapoor</v>
      </c>
      <c r="D7" s="24">
        <v>6</v>
      </c>
      <c r="E7" s="25" t="s">
        <v>14</v>
      </c>
      <c r="F7" s="25" t="s">
        <v>43</v>
      </c>
      <c r="G7" s="25">
        <v>14291</v>
      </c>
      <c r="H7" s="2"/>
      <c r="I7" s="11">
        <v>21</v>
      </c>
      <c r="J7" s="46" t="s">
        <v>62</v>
      </c>
      <c r="L7" t="str">
        <f t="shared" ca="1" si="1"/>
        <v>Karan Kapoor</v>
      </c>
    </row>
    <row r="8" spans="1:12" ht="18" x14ac:dyDescent="0.35">
      <c r="A8" s="2"/>
      <c r="B8" s="2"/>
      <c r="C8" s="22" t="str">
        <f t="shared" si="0"/>
        <v>Kishor Panara</v>
      </c>
      <c r="D8" s="23">
        <v>7</v>
      </c>
      <c r="E8" s="22" t="s">
        <v>12</v>
      </c>
      <c r="F8" s="22" t="s">
        <v>44</v>
      </c>
      <c r="G8" s="22">
        <v>12609</v>
      </c>
      <c r="H8" s="2"/>
      <c r="I8" s="15">
        <v>11</v>
      </c>
      <c r="J8" s="45" t="s">
        <v>63</v>
      </c>
      <c r="L8" t="str">
        <f t="shared" ca="1" si="1"/>
        <v>Kishor Panara</v>
      </c>
    </row>
    <row r="9" spans="1:12" ht="18" x14ac:dyDescent="0.35">
      <c r="A9" s="2"/>
      <c r="B9" s="2"/>
      <c r="C9" s="22" t="str">
        <f t="shared" si="0"/>
        <v>Ubaidillah Muhammad</v>
      </c>
      <c r="D9" s="24">
        <v>8</v>
      </c>
      <c r="E9" s="25" t="s">
        <v>12</v>
      </c>
      <c r="F9" s="25" t="s">
        <v>44</v>
      </c>
      <c r="G9" s="25">
        <v>14580</v>
      </c>
      <c r="H9" s="2"/>
      <c r="I9" s="11">
        <v>1</v>
      </c>
      <c r="J9" s="46" t="s">
        <v>64</v>
      </c>
      <c r="L9" t="str">
        <f t="shared" ca="1" si="1"/>
        <v>Ubaidillah Muhammad</v>
      </c>
    </row>
    <row r="10" spans="1:12" ht="18" x14ac:dyDescent="0.35">
      <c r="A10" s="2"/>
      <c r="B10" s="2"/>
      <c r="C10" s="22" t="str">
        <f t="shared" si="0"/>
        <v>Aakanksha Srivastava</v>
      </c>
      <c r="D10" s="23">
        <v>9</v>
      </c>
      <c r="E10" s="22" t="s">
        <v>45</v>
      </c>
      <c r="F10" s="22" t="s">
        <v>40</v>
      </c>
      <c r="G10" s="22">
        <v>14986</v>
      </c>
      <c r="H10" s="2"/>
      <c r="I10" s="15">
        <v>72</v>
      </c>
      <c r="J10" s="45" t="s">
        <v>57</v>
      </c>
      <c r="L10" t="str">
        <f t="shared" ca="1" si="1"/>
        <v>Aakanksha Srivastava</v>
      </c>
    </row>
    <row r="11" spans="1:12" ht="18" x14ac:dyDescent="0.35">
      <c r="A11" s="2"/>
      <c r="B11" s="2"/>
      <c r="C11" s="22" t="str">
        <f t="shared" si="0"/>
        <v>Sudhakar Arya</v>
      </c>
      <c r="D11" s="24">
        <v>10</v>
      </c>
      <c r="E11" s="25" t="s">
        <v>45</v>
      </c>
      <c r="F11" s="25" t="s">
        <v>41</v>
      </c>
      <c r="G11" s="25">
        <v>12088</v>
      </c>
      <c r="H11" s="2"/>
      <c r="I11" s="11">
        <v>62</v>
      </c>
      <c r="J11" s="46" t="s">
        <v>66</v>
      </c>
      <c r="L11" t="str">
        <f t="shared" ca="1" si="1"/>
        <v>Sudhakar Arya</v>
      </c>
    </row>
    <row r="12" spans="1:12" ht="18" x14ac:dyDescent="0.35">
      <c r="A12" s="2"/>
      <c r="B12" s="2"/>
      <c r="C12" s="22" t="str">
        <f t="shared" si="0"/>
        <v>Arjun Shaw</v>
      </c>
      <c r="D12" s="23">
        <v>11</v>
      </c>
      <c r="E12" s="22" t="s">
        <v>45</v>
      </c>
      <c r="F12" s="22" t="s">
        <v>41</v>
      </c>
      <c r="G12" s="22">
        <v>12418</v>
      </c>
      <c r="H12" s="2"/>
      <c r="I12" s="15">
        <v>52</v>
      </c>
      <c r="J12" s="45" t="s">
        <v>67</v>
      </c>
      <c r="L12" t="str">
        <f t="shared" ca="1" si="1"/>
        <v>Arjun Shaw</v>
      </c>
    </row>
    <row r="13" spans="1:12" ht="18" x14ac:dyDescent="0.35">
      <c r="A13" s="2"/>
      <c r="B13" s="2"/>
      <c r="C13" s="22" t="str">
        <f t="shared" si="0"/>
        <v>Ashu Sharma</v>
      </c>
      <c r="D13" s="24">
        <v>12</v>
      </c>
      <c r="E13" s="25" t="s">
        <v>15</v>
      </c>
      <c r="F13" s="25" t="s">
        <v>40</v>
      </c>
      <c r="G13" s="25">
        <v>13535</v>
      </c>
      <c r="H13" s="2"/>
      <c r="I13" s="11">
        <v>42</v>
      </c>
      <c r="J13" s="46" t="s">
        <v>68</v>
      </c>
      <c r="L13" t="str">
        <f t="shared" ca="1" si="1"/>
        <v>Ashu Sharma</v>
      </c>
    </row>
    <row r="14" spans="1:12" ht="18" x14ac:dyDescent="0.35">
      <c r="A14" s="2"/>
      <c r="B14" s="2"/>
      <c r="C14" s="22" t="str">
        <f t="shared" si="0"/>
        <v>Tejpal Sain</v>
      </c>
      <c r="D14" s="23">
        <v>13</v>
      </c>
      <c r="E14" s="22" t="s">
        <v>14</v>
      </c>
      <c r="F14" s="22" t="s">
        <v>40</v>
      </c>
      <c r="G14" s="22">
        <v>12323</v>
      </c>
      <c r="H14" s="2"/>
      <c r="I14" s="15">
        <v>32</v>
      </c>
      <c r="J14" s="45" t="s">
        <v>69</v>
      </c>
      <c r="L14" t="str">
        <f t="shared" ca="1" si="1"/>
        <v>Tejpal Sain</v>
      </c>
    </row>
    <row r="15" spans="1:12" ht="18" x14ac:dyDescent="0.35">
      <c r="A15" s="2"/>
      <c r="B15" s="2"/>
      <c r="C15" s="22" t="str">
        <f t="shared" si="0"/>
        <v>Shagor Ahmed</v>
      </c>
      <c r="D15" s="24">
        <v>14</v>
      </c>
      <c r="E15" s="25" t="s">
        <v>42</v>
      </c>
      <c r="F15" s="25" t="s">
        <v>43</v>
      </c>
      <c r="G15" s="25">
        <v>13037</v>
      </c>
      <c r="H15" s="2"/>
      <c r="I15" s="11">
        <v>22</v>
      </c>
      <c r="J15" s="46" t="s">
        <v>70</v>
      </c>
      <c r="L15" t="str">
        <f t="shared" ca="1" si="1"/>
        <v>Shagor Ahmed</v>
      </c>
    </row>
    <row r="16" spans="1:12" ht="18" x14ac:dyDescent="0.35">
      <c r="A16" s="2"/>
      <c r="B16" s="2"/>
      <c r="C16" s="22" t="str">
        <f t="shared" si="0"/>
        <v>Manpreet Kaur</v>
      </c>
      <c r="D16" s="23">
        <v>15</v>
      </c>
      <c r="E16" s="22" t="s">
        <v>15</v>
      </c>
      <c r="F16" s="22" t="s">
        <v>44</v>
      </c>
      <c r="G16" s="22">
        <v>14391</v>
      </c>
      <c r="H16" s="2"/>
      <c r="I16" s="15">
        <v>12</v>
      </c>
      <c r="J16" s="45" t="s">
        <v>71</v>
      </c>
      <c r="L16" t="str">
        <f t="shared" ca="1" si="1"/>
        <v>Manpreet Kaur</v>
      </c>
    </row>
    <row r="17" spans="1:12" ht="18" x14ac:dyDescent="0.35">
      <c r="A17" s="2"/>
      <c r="B17" s="2"/>
      <c r="C17" s="22" t="str">
        <f t="shared" si="0"/>
        <v>Meenav Shah</v>
      </c>
      <c r="D17" s="24">
        <v>16</v>
      </c>
      <c r="E17" s="25" t="s">
        <v>15</v>
      </c>
      <c r="F17" s="25" t="s">
        <v>40</v>
      </c>
      <c r="G17" s="25">
        <v>12873</v>
      </c>
      <c r="H17" s="2"/>
      <c r="I17" s="11">
        <v>2</v>
      </c>
      <c r="J17" s="46" t="s">
        <v>72</v>
      </c>
      <c r="L17" t="str">
        <f t="shared" ca="1" si="1"/>
        <v>Meenav Shah</v>
      </c>
    </row>
    <row r="18" spans="1:12" ht="18" x14ac:dyDescent="0.35">
      <c r="A18" s="2"/>
      <c r="B18" s="2"/>
      <c r="C18" s="22" t="str">
        <f t="shared" si="0"/>
        <v>Ajinkya Shinde</v>
      </c>
      <c r="D18" s="23">
        <v>17</v>
      </c>
      <c r="E18" s="22" t="s">
        <v>15</v>
      </c>
      <c r="F18" s="22" t="s">
        <v>41</v>
      </c>
      <c r="G18" s="22">
        <v>12801</v>
      </c>
      <c r="H18" s="2"/>
      <c r="I18" s="15">
        <v>73</v>
      </c>
      <c r="J18" s="45" t="s">
        <v>73</v>
      </c>
      <c r="L18" t="str">
        <f t="shared" ca="1" si="1"/>
        <v>Ajinkya Shinde</v>
      </c>
    </row>
    <row r="19" spans="1:12" ht="18" x14ac:dyDescent="0.35">
      <c r="A19" s="2"/>
      <c r="B19" s="2"/>
      <c r="C19" s="22" t="str">
        <f t="shared" si="0"/>
        <v>Sanjay Chaurasia</v>
      </c>
      <c r="D19" s="24">
        <v>18</v>
      </c>
      <c r="E19" s="25" t="s">
        <v>42</v>
      </c>
      <c r="F19" s="25" t="s">
        <v>41</v>
      </c>
      <c r="G19" s="25">
        <v>12993</v>
      </c>
      <c r="H19" s="2"/>
      <c r="I19" s="11">
        <v>63</v>
      </c>
      <c r="J19" s="46" t="s">
        <v>74</v>
      </c>
      <c r="L19" t="str">
        <f t="shared" ca="1" si="1"/>
        <v>Sanjay Chaurasia</v>
      </c>
    </row>
    <row r="20" spans="1:12" ht="18" x14ac:dyDescent="0.35">
      <c r="A20" s="2"/>
      <c r="B20" s="2"/>
      <c r="C20" s="22" t="str">
        <f t="shared" si="0"/>
        <v>Vicky Singh</v>
      </c>
      <c r="D20" s="23">
        <v>19</v>
      </c>
      <c r="E20" s="22" t="s">
        <v>42</v>
      </c>
      <c r="F20" s="22" t="s">
        <v>40</v>
      </c>
      <c r="G20" s="22">
        <v>13491</v>
      </c>
      <c r="H20" s="2"/>
      <c r="I20" s="15">
        <v>53</v>
      </c>
      <c r="J20" s="45" t="s">
        <v>75</v>
      </c>
      <c r="L20" t="str">
        <f t="shared" ca="1" si="1"/>
        <v>Vicky Singh</v>
      </c>
    </row>
    <row r="21" spans="1:12" ht="18" x14ac:dyDescent="0.35">
      <c r="A21" s="2"/>
      <c r="B21" s="2"/>
      <c r="C21" s="22" t="str">
        <f t="shared" si="0"/>
        <v>Feroz Khilji</v>
      </c>
      <c r="D21" s="24">
        <v>20</v>
      </c>
      <c r="E21" s="25" t="s">
        <v>14</v>
      </c>
      <c r="F21" s="25" t="s">
        <v>43</v>
      </c>
      <c r="G21" s="25">
        <v>12577</v>
      </c>
      <c r="H21" s="2"/>
      <c r="I21" s="11">
        <v>43</v>
      </c>
      <c r="J21" s="46" t="s">
        <v>76</v>
      </c>
      <c r="L21" t="str">
        <f t="shared" ca="1" si="1"/>
        <v>Feroz Khilji</v>
      </c>
    </row>
    <row r="22" spans="1:12" ht="18" x14ac:dyDescent="0.35">
      <c r="A22" s="2"/>
      <c r="B22" s="2"/>
      <c r="C22" s="22" t="str">
        <f t="shared" si="0"/>
        <v>Krutika Shelar</v>
      </c>
      <c r="D22" s="23">
        <v>21</v>
      </c>
      <c r="E22" s="22" t="s">
        <v>14</v>
      </c>
      <c r="F22" s="22" t="s">
        <v>43</v>
      </c>
      <c r="G22" s="22">
        <v>13857</v>
      </c>
      <c r="H22" s="2"/>
      <c r="I22" s="15">
        <v>33</v>
      </c>
      <c r="J22" s="45" t="s">
        <v>81</v>
      </c>
      <c r="L22" t="str">
        <f t="shared" ca="1" si="1"/>
        <v>Krutika Shelar</v>
      </c>
    </row>
    <row r="23" spans="1:12" ht="18" x14ac:dyDescent="0.35">
      <c r="A23" s="2"/>
      <c r="B23" s="2"/>
      <c r="C23" s="22" t="str">
        <f t="shared" si="0"/>
        <v>Meena Mourya</v>
      </c>
      <c r="D23" s="24">
        <v>22</v>
      </c>
      <c r="E23" s="25" t="s">
        <v>12</v>
      </c>
      <c r="F23" s="25" t="s">
        <v>44</v>
      </c>
      <c r="G23" s="25">
        <v>14831</v>
      </c>
      <c r="H23" s="2"/>
      <c r="I23" s="11">
        <v>23</v>
      </c>
      <c r="J23" s="46" t="s">
        <v>82</v>
      </c>
      <c r="L23" t="str">
        <f t="shared" ca="1" si="1"/>
        <v>Meena Mourya</v>
      </c>
    </row>
    <row r="24" spans="1:12" ht="18" x14ac:dyDescent="0.35">
      <c r="A24" s="2"/>
      <c r="B24" s="2"/>
      <c r="C24" s="22" t="str">
        <f t="shared" si="0"/>
        <v>Naeem Khan</v>
      </c>
      <c r="D24" s="23">
        <v>23</v>
      </c>
      <c r="E24" s="22" t="s">
        <v>12</v>
      </c>
      <c r="F24" s="22" t="s">
        <v>44</v>
      </c>
      <c r="G24" s="22">
        <v>14402</v>
      </c>
      <c r="H24" s="2"/>
      <c r="I24" s="15">
        <v>13</v>
      </c>
      <c r="J24" s="45" t="s">
        <v>83</v>
      </c>
      <c r="L24" t="str">
        <f t="shared" ca="1" si="1"/>
        <v>Naeem Khan</v>
      </c>
    </row>
    <row r="25" spans="1:12" ht="18" x14ac:dyDescent="0.35">
      <c r="A25" s="2"/>
      <c r="B25" s="2"/>
      <c r="C25" s="22" t="str">
        <f t="shared" si="0"/>
        <v>Ram Singh</v>
      </c>
      <c r="D25" s="24">
        <v>24</v>
      </c>
      <c r="E25" s="25" t="s">
        <v>45</v>
      </c>
      <c r="F25" s="25" t="s">
        <v>40</v>
      </c>
      <c r="G25" s="25">
        <v>14708</v>
      </c>
      <c r="H25" s="2"/>
      <c r="I25" s="11">
        <v>3</v>
      </c>
      <c r="J25" s="46" t="s">
        <v>84</v>
      </c>
      <c r="L25" t="str">
        <f t="shared" ca="1" si="1"/>
        <v>Ram Singh</v>
      </c>
    </row>
    <row r="26" spans="1:12" ht="18" x14ac:dyDescent="0.35">
      <c r="A26" s="2"/>
      <c r="B26" s="2"/>
      <c r="C26" s="22" t="str">
        <f t="shared" si="0"/>
        <v>Rav Kumar</v>
      </c>
      <c r="D26" s="23">
        <v>25</v>
      </c>
      <c r="E26" s="22" t="s">
        <v>45</v>
      </c>
      <c r="F26" s="22" t="s">
        <v>41</v>
      </c>
      <c r="G26" s="22">
        <v>12984</v>
      </c>
      <c r="H26" s="2"/>
      <c r="I26" s="15">
        <v>74</v>
      </c>
      <c r="J26" s="45" t="s">
        <v>85</v>
      </c>
      <c r="L26" t="str">
        <f t="shared" ca="1" si="1"/>
        <v>Rav Kumar</v>
      </c>
    </row>
    <row r="27" spans="1:12" ht="18" x14ac:dyDescent="0.35">
      <c r="A27" s="2"/>
      <c r="B27" s="2"/>
      <c r="C27" s="22" t="str">
        <f t="shared" si="0"/>
        <v>Asihwarya Ambasta</v>
      </c>
      <c r="D27" s="24">
        <v>26</v>
      </c>
      <c r="E27" s="25" t="s">
        <v>45</v>
      </c>
      <c r="F27" s="25" t="s">
        <v>41</v>
      </c>
      <c r="G27" s="25">
        <v>13113</v>
      </c>
      <c r="H27" s="2"/>
      <c r="I27" s="11">
        <v>64</v>
      </c>
      <c r="J27" s="46" t="s">
        <v>86</v>
      </c>
      <c r="L27" t="str">
        <f t="shared" ca="1" si="1"/>
        <v>Asihwarya Ambasta</v>
      </c>
    </row>
    <row r="28" spans="1:12" ht="18" x14ac:dyDescent="0.35">
      <c r="A28" s="2"/>
      <c r="B28" s="2"/>
      <c r="C28" s="22" t="str">
        <f t="shared" si="0"/>
        <v>Ajay Singh</v>
      </c>
      <c r="D28" s="23">
        <v>27</v>
      </c>
      <c r="E28" s="22" t="s">
        <v>14</v>
      </c>
      <c r="F28" s="22" t="s">
        <v>40</v>
      </c>
      <c r="G28" s="22">
        <v>12102</v>
      </c>
      <c r="H28" s="2"/>
      <c r="I28" s="15">
        <v>54</v>
      </c>
      <c r="J28" s="45" t="s">
        <v>87</v>
      </c>
      <c r="L28" t="str">
        <f t="shared" ca="1" si="1"/>
        <v>Ajay Singh</v>
      </c>
    </row>
    <row r="29" spans="1:12" ht="18" x14ac:dyDescent="0.35">
      <c r="A29" s="2"/>
      <c r="B29" s="2"/>
      <c r="C29" s="22" t="str">
        <f t="shared" si="0"/>
        <v>Aftab Alam</v>
      </c>
      <c r="D29" s="24">
        <v>28</v>
      </c>
      <c r="E29" s="25" t="s">
        <v>14</v>
      </c>
      <c r="F29" s="25" t="s">
        <v>40</v>
      </c>
      <c r="G29" s="25">
        <v>12570</v>
      </c>
      <c r="H29" s="2"/>
      <c r="I29" s="11">
        <v>44</v>
      </c>
      <c r="J29" s="46" t="s">
        <v>88</v>
      </c>
      <c r="L29" t="str">
        <f t="shared" ca="1" si="1"/>
        <v>Aftab Alam</v>
      </c>
    </row>
    <row r="30" spans="1:12" ht="18" x14ac:dyDescent="0.35">
      <c r="A30" s="2"/>
      <c r="B30" s="2"/>
      <c r="C30" s="22" t="str">
        <f t="shared" si="0"/>
        <v>Raj Kumar</v>
      </c>
      <c r="D30" s="23">
        <v>29</v>
      </c>
      <c r="E30" s="22" t="s">
        <v>42</v>
      </c>
      <c r="F30" s="22" t="s">
        <v>43</v>
      </c>
      <c r="G30" s="22">
        <v>14235</v>
      </c>
      <c r="H30" s="2"/>
      <c r="I30" s="15">
        <v>34</v>
      </c>
      <c r="J30" s="45" t="s">
        <v>89</v>
      </c>
      <c r="L30" t="str">
        <f t="shared" ca="1" si="1"/>
        <v>Raj Kumar</v>
      </c>
    </row>
    <row r="31" spans="1:12" ht="18" x14ac:dyDescent="0.35">
      <c r="A31" s="2"/>
      <c r="B31" s="2"/>
      <c r="C31" s="22" t="str">
        <f t="shared" si="0"/>
        <v>Jyoti Chaudhary</v>
      </c>
      <c r="D31" s="24">
        <v>30</v>
      </c>
      <c r="E31" s="25" t="s">
        <v>15</v>
      </c>
      <c r="F31" s="25" t="s">
        <v>44</v>
      </c>
      <c r="G31" s="25">
        <v>14897</v>
      </c>
      <c r="H31" s="2"/>
      <c r="I31" s="11">
        <v>24</v>
      </c>
      <c r="J31" s="46" t="s">
        <v>90</v>
      </c>
      <c r="L31" t="str">
        <f t="shared" ca="1" si="1"/>
        <v>Jyoti Chaudhary</v>
      </c>
    </row>
    <row r="32" spans="1:12" ht="18" x14ac:dyDescent="0.35">
      <c r="A32" s="2"/>
      <c r="B32" s="2"/>
      <c r="C32" s="22" t="str">
        <f t="shared" si="0"/>
        <v>Sintu Kumar</v>
      </c>
      <c r="D32" s="23">
        <v>31</v>
      </c>
      <c r="E32" s="22" t="s">
        <v>15</v>
      </c>
      <c r="F32" s="22" t="s">
        <v>40</v>
      </c>
      <c r="G32" s="22">
        <v>12451</v>
      </c>
      <c r="H32" s="2"/>
      <c r="I32" s="15">
        <v>14</v>
      </c>
      <c r="J32" s="45" t="s">
        <v>91</v>
      </c>
      <c r="L32" t="str">
        <f t="shared" ca="1" si="1"/>
        <v>Sintu Kumar</v>
      </c>
    </row>
    <row r="33" spans="1:12" ht="18" x14ac:dyDescent="0.35">
      <c r="A33" s="2"/>
      <c r="B33" s="2"/>
      <c r="C33" s="22" t="str">
        <f t="shared" si="0"/>
        <v>Monika Pawar</v>
      </c>
      <c r="D33" s="24">
        <v>32</v>
      </c>
      <c r="E33" s="25" t="s">
        <v>15</v>
      </c>
      <c r="F33" s="25" t="s">
        <v>41</v>
      </c>
      <c r="G33" s="25">
        <v>13765</v>
      </c>
      <c r="H33" s="2"/>
      <c r="I33" s="11">
        <v>4</v>
      </c>
      <c r="J33" s="46" t="s">
        <v>92</v>
      </c>
      <c r="L33" t="str">
        <f t="shared" ca="1" si="1"/>
        <v>Monika Pawar</v>
      </c>
    </row>
    <row r="34" spans="1:12" ht="18" x14ac:dyDescent="0.35">
      <c r="A34" s="2"/>
      <c r="B34" s="2"/>
      <c r="C34" s="22" t="str">
        <f t="shared" si="0"/>
        <v>Arban Khan</v>
      </c>
      <c r="D34" s="23">
        <v>33</v>
      </c>
      <c r="E34" s="22" t="s">
        <v>42</v>
      </c>
      <c r="F34" s="22" t="s">
        <v>41</v>
      </c>
      <c r="G34" s="22">
        <v>13449</v>
      </c>
      <c r="H34" s="2"/>
      <c r="I34" s="15">
        <v>75</v>
      </c>
      <c r="J34" s="45" t="s">
        <v>93</v>
      </c>
      <c r="L34" t="str">
        <f t="shared" ca="1" si="1"/>
        <v>Arban Khan</v>
      </c>
    </row>
    <row r="35" spans="1:12" ht="18" x14ac:dyDescent="0.35">
      <c r="A35" s="2"/>
      <c r="B35" s="2"/>
      <c r="C35" s="22" t="str">
        <f t="shared" si="0"/>
        <v>Bhoopendra Raghav</v>
      </c>
      <c r="D35" s="24">
        <v>34</v>
      </c>
      <c r="E35" s="25" t="s">
        <v>42</v>
      </c>
      <c r="F35" s="25" t="s">
        <v>41</v>
      </c>
      <c r="G35" s="25">
        <v>12030</v>
      </c>
      <c r="H35" s="2"/>
      <c r="I35" s="11">
        <v>65</v>
      </c>
      <c r="J35" s="46" t="s">
        <v>94</v>
      </c>
      <c r="L35" t="str">
        <f t="shared" ca="1" si="1"/>
        <v>Bhoopendra Raghav</v>
      </c>
    </row>
    <row r="36" spans="1:12" ht="18" x14ac:dyDescent="0.35">
      <c r="A36" s="2"/>
      <c r="B36" s="2"/>
      <c r="C36" s="22" t="str">
        <f t="shared" si="0"/>
        <v>Ekanshika Kalra</v>
      </c>
      <c r="D36" s="23">
        <v>35</v>
      </c>
      <c r="E36" s="22" t="s">
        <v>14</v>
      </c>
      <c r="F36" s="22" t="s">
        <v>43</v>
      </c>
      <c r="G36" s="22">
        <v>12040</v>
      </c>
      <c r="H36" s="2"/>
      <c r="I36" s="15">
        <v>55</v>
      </c>
      <c r="J36" s="45" t="s">
        <v>95</v>
      </c>
      <c r="L36" t="str">
        <f t="shared" ca="1" si="1"/>
        <v>Ekanshika Kalra</v>
      </c>
    </row>
    <row r="37" spans="1:12" ht="18" x14ac:dyDescent="0.35">
      <c r="A37" s="2"/>
      <c r="B37" s="2"/>
      <c r="C37" s="22" t="str">
        <f t="shared" si="0"/>
        <v>Rakesh Singh</v>
      </c>
      <c r="D37" s="24">
        <v>36</v>
      </c>
      <c r="E37" s="25" t="s">
        <v>14</v>
      </c>
      <c r="F37" s="25" t="s">
        <v>43</v>
      </c>
      <c r="G37" s="25">
        <v>14521</v>
      </c>
      <c r="H37" s="2"/>
      <c r="I37" s="11">
        <v>45</v>
      </c>
      <c r="J37" s="46" t="s">
        <v>96</v>
      </c>
      <c r="L37" t="str">
        <f t="shared" ca="1" si="1"/>
        <v>Rakesh Singh</v>
      </c>
    </row>
    <row r="38" spans="1:12" ht="18" x14ac:dyDescent="0.35">
      <c r="A38" s="2"/>
      <c r="B38" s="2"/>
      <c r="C38" s="22" t="str">
        <f t="shared" si="0"/>
        <v>Harish Tote</v>
      </c>
      <c r="D38" s="23">
        <v>37</v>
      </c>
      <c r="E38" s="22" t="s">
        <v>12</v>
      </c>
      <c r="F38" s="22" t="s">
        <v>44</v>
      </c>
      <c r="G38" s="22">
        <v>14045</v>
      </c>
      <c r="H38" s="2"/>
      <c r="I38" s="15">
        <v>35</v>
      </c>
      <c r="J38" s="45" t="s">
        <v>97</v>
      </c>
      <c r="L38" t="str">
        <f t="shared" ca="1" si="1"/>
        <v>Harish Tote</v>
      </c>
    </row>
    <row r="39" spans="1:12" ht="18" x14ac:dyDescent="0.35">
      <c r="A39" s="2"/>
      <c r="B39" s="2"/>
      <c r="C39" s="22" t="str">
        <f t="shared" si="0"/>
        <v>Rakesh Ky</v>
      </c>
      <c r="D39" s="24">
        <v>38</v>
      </c>
      <c r="E39" s="25" t="s">
        <v>12</v>
      </c>
      <c r="F39" s="25" t="s">
        <v>44</v>
      </c>
      <c r="G39" s="25">
        <v>13400</v>
      </c>
      <c r="H39" s="2"/>
      <c r="I39" s="11">
        <v>25</v>
      </c>
      <c r="J39" s="46" t="s">
        <v>98</v>
      </c>
      <c r="L39" t="str">
        <f t="shared" ca="1" si="1"/>
        <v>Rakesh Ky</v>
      </c>
    </row>
    <row r="40" spans="1:12" ht="18" x14ac:dyDescent="0.35">
      <c r="A40" s="2"/>
      <c r="B40" s="2"/>
      <c r="C40" s="22" t="str">
        <f t="shared" si="0"/>
        <v>Rajnikant Kamble</v>
      </c>
      <c r="D40" s="23">
        <v>39</v>
      </c>
      <c r="E40" s="22" t="s">
        <v>45</v>
      </c>
      <c r="F40" s="22" t="s">
        <v>40</v>
      </c>
      <c r="G40" s="22">
        <v>13661</v>
      </c>
      <c r="H40" s="2"/>
      <c r="I40" s="15">
        <v>15</v>
      </c>
      <c r="J40" s="45" t="s">
        <v>99</v>
      </c>
      <c r="L40" t="str">
        <f t="shared" ca="1" si="1"/>
        <v>Rajnikant Kamble</v>
      </c>
    </row>
    <row r="41" spans="1:12" ht="18" x14ac:dyDescent="0.35">
      <c r="A41" s="2"/>
      <c r="B41" s="2"/>
      <c r="C41" s="22" t="str">
        <f t="shared" si="0"/>
        <v>Kanika Mathur</v>
      </c>
      <c r="D41" s="24">
        <v>40</v>
      </c>
      <c r="E41" s="25" t="s">
        <v>45</v>
      </c>
      <c r="F41" s="25" t="s">
        <v>40</v>
      </c>
      <c r="G41" s="25">
        <v>12449</v>
      </c>
      <c r="H41" s="2"/>
      <c r="I41" s="11">
        <v>5</v>
      </c>
      <c r="J41" s="48" t="s">
        <v>100</v>
      </c>
      <c r="L41" t="str">
        <f t="shared" ca="1" si="1"/>
        <v>Kanika Mathur</v>
      </c>
    </row>
    <row r="42" spans="1:12" ht="18" x14ac:dyDescent="0.35">
      <c r="A42" s="2"/>
      <c r="B42" s="2"/>
      <c r="C42" s="22" t="str">
        <f t="shared" si="0"/>
        <v>Satsh Ojha</v>
      </c>
      <c r="D42" s="23">
        <v>41</v>
      </c>
      <c r="E42" s="22" t="s">
        <v>45</v>
      </c>
      <c r="F42" s="22" t="s">
        <v>41</v>
      </c>
      <c r="G42" s="22">
        <v>12014</v>
      </c>
      <c r="H42" s="2"/>
      <c r="I42" s="15">
        <v>66</v>
      </c>
      <c r="J42" s="49" t="s">
        <v>101</v>
      </c>
      <c r="L42" t="str">
        <f t="shared" ca="1" si="1"/>
        <v>Satsh Ojha</v>
      </c>
    </row>
    <row r="43" spans="1:12" ht="18" x14ac:dyDescent="0.35">
      <c r="A43" s="2"/>
      <c r="B43" s="2"/>
      <c r="C43" s="22" t="str">
        <f t="shared" si="0"/>
        <v>Sheetal Nishad</v>
      </c>
      <c r="D43" s="24">
        <v>42</v>
      </c>
      <c r="E43" s="25" t="s">
        <v>14</v>
      </c>
      <c r="F43" s="25" t="s">
        <v>41</v>
      </c>
      <c r="G43" s="25">
        <v>14557</v>
      </c>
      <c r="H43" s="2"/>
      <c r="I43" s="11">
        <v>56</v>
      </c>
      <c r="J43" s="48" t="s">
        <v>102</v>
      </c>
      <c r="L43" t="str">
        <f t="shared" ca="1" si="1"/>
        <v>Sheetal Nishad</v>
      </c>
    </row>
    <row r="44" spans="1:12" ht="18" x14ac:dyDescent="0.35">
      <c r="A44" s="2"/>
      <c r="B44" s="2"/>
      <c r="C44" s="22" t="str">
        <f t="shared" si="0"/>
        <v>Virender Sroha</v>
      </c>
      <c r="D44" s="23">
        <v>43</v>
      </c>
      <c r="E44" s="22" t="s">
        <v>14</v>
      </c>
      <c r="F44" s="22" t="s">
        <v>41</v>
      </c>
      <c r="G44" s="22">
        <v>14347</v>
      </c>
      <c r="H44" s="2"/>
      <c r="I44" s="15">
        <v>46</v>
      </c>
      <c r="J44" s="49" t="s">
        <v>103</v>
      </c>
      <c r="L44" t="str">
        <f t="shared" ca="1" si="1"/>
        <v>Virender Sroha</v>
      </c>
    </row>
    <row r="45" spans="1:12" ht="18" x14ac:dyDescent="0.35">
      <c r="A45" s="2"/>
      <c r="B45" s="2"/>
      <c r="C45" s="22" t="str">
        <f t="shared" si="0"/>
        <v>Lokesh Singh Bisht</v>
      </c>
      <c r="D45" s="24">
        <v>44</v>
      </c>
      <c r="E45" s="25" t="s">
        <v>42</v>
      </c>
      <c r="F45" s="25" t="s">
        <v>43</v>
      </c>
      <c r="G45" s="25">
        <v>12111</v>
      </c>
      <c r="H45" s="2"/>
      <c r="I45" s="11">
        <v>36</v>
      </c>
      <c r="J45" s="48" t="s">
        <v>104</v>
      </c>
      <c r="L45" t="str">
        <f t="shared" ca="1" si="1"/>
        <v>Lokesh Singh Bisht</v>
      </c>
    </row>
    <row r="46" spans="1:12" ht="18" x14ac:dyDescent="0.35">
      <c r="A46" s="2"/>
      <c r="B46" s="2"/>
      <c r="C46" s="22" t="str">
        <f t="shared" si="0"/>
        <v>Vikram Kumar</v>
      </c>
      <c r="D46" s="23">
        <v>45</v>
      </c>
      <c r="E46" s="22" t="s">
        <v>15</v>
      </c>
      <c r="F46" s="22" t="s">
        <v>44</v>
      </c>
      <c r="G46" s="22">
        <v>12898</v>
      </c>
      <c r="H46" s="2"/>
      <c r="I46" s="15">
        <v>26</v>
      </c>
      <c r="J46" s="49" t="s">
        <v>105</v>
      </c>
      <c r="L46" t="str">
        <f t="shared" ca="1" si="1"/>
        <v>Vikram Kumar</v>
      </c>
    </row>
    <row r="47" spans="1:12" ht="18" x14ac:dyDescent="0.35">
      <c r="A47" s="2"/>
      <c r="B47" s="2"/>
      <c r="C47" s="22" t="str">
        <f t="shared" si="0"/>
        <v>Archana Kumari</v>
      </c>
      <c r="D47" s="24">
        <v>46</v>
      </c>
      <c r="E47" s="25" t="s">
        <v>15</v>
      </c>
      <c r="F47" s="25" t="s">
        <v>40</v>
      </c>
      <c r="G47" s="25">
        <v>14485</v>
      </c>
      <c r="H47" s="2"/>
      <c r="I47" s="11">
        <v>16</v>
      </c>
      <c r="J47" s="48" t="s">
        <v>106</v>
      </c>
      <c r="L47" t="str">
        <f t="shared" ca="1" si="1"/>
        <v>Archana Kumari</v>
      </c>
    </row>
    <row r="48" spans="1:12" ht="18" x14ac:dyDescent="0.35">
      <c r="A48" s="2"/>
      <c r="B48" s="2"/>
      <c r="C48" s="22" t="str">
        <f t="shared" si="0"/>
        <v>Banda Satyanarayana</v>
      </c>
      <c r="D48" s="23">
        <v>47</v>
      </c>
      <c r="E48" s="22" t="s">
        <v>15</v>
      </c>
      <c r="F48" s="22" t="s">
        <v>41</v>
      </c>
      <c r="G48" s="22">
        <v>14068</v>
      </c>
      <c r="H48" s="2"/>
      <c r="I48" s="15">
        <v>6</v>
      </c>
      <c r="J48" s="49" t="s">
        <v>107</v>
      </c>
      <c r="L48" t="str">
        <f t="shared" ca="1" si="1"/>
        <v>Banda Satyanarayana</v>
      </c>
    </row>
    <row r="49" spans="1:12" ht="18" x14ac:dyDescent="0.35">
      <c r="A49" s="2"/>
      <c r="B49" s="2"/>
      <c r="C49" s="22" t="str">
        <f t="shared" si="0"/>
        <v>Vandan Dave</v>
      </c>
      <c r="D49" s="24">
        <v>48</v>
      </c>
      <c r="E49" s="25" t="s">
        <v>42</v>
      </c>
      <c r="F49" s="25" t="s">
        <v>41</v>
      </c>
      <c r="G49" s="25">
        <v>14295</v>
      </c>
      <c r="H49" s="2"/>
      <c r="I49" s="11">
        <v>67</v>
      </c>
      <c r="J49" s="48" t="s">
        <v>108</v>
      </c>
      <c r="L49" t="str">
        <f t="shared" ca="1" si="1"/>
        <v>Vandan Dave</v>
      </c>
    </row>
    <row r="50" spans="1:12" ht="18" x14ac:dyDescent="0.35">
      <c r="A50" s="2"/>
      <c r="B50" s="2"/>
      <c r="C50" s="22" t="str">
        <f t="shared" si="0"/>
        <v>Anil Hoge</v>
      </c>
      <c r="D50" s="23">
        <v>49</v>
      </c>
      <c r="E50" s="22" t="s">
        <v>42</v>
      </c>
      <c r="F50" s="22" t="s">
        <v>40</v>
      </c>
      <c r="G50" s="22">
        <v>12200</v>
      </c>
      <c r="H50" s="2"/>
      <c r="I50" s="15">
        <v>57</v>
      </c>
      <c r="J50" s="49" t="s">
        <v>109</v>
      </c>
      <c r="L50" t="str">
        <f t="shared" ca="1" si="1"/>
        <v>Anil Hoge</v>
      </c>
    </row>
    <row r="51" spans="1:12" ht="18" x14ac:dyDescent="0.35">
      <c r="A51" s="2"/>
      <c r="B51" s="2"/>
      <c r="C51" s="22" t="str">
        <f t="shared" si="0"/>
        <v>Paramjeet Singh</v>
      </c>
      <c r="D51" s="24">
        <v>50</v>
      </c>
      <c r="E51" s="25" t="s">
        <v>14</v>
      </c>
      <c r="F51" s="25" t="s">
        <v>43</v>
      </c>
      <c r="G51" s="25">
        <v>12672</v>
      </c>
      <c r="H51" s="2"/>
      <c r="I51" s="11">
        <v>47</v>
      </c>
      <c r="J51" s="48" t="s">
        <v>110</v>
      </c>
      <c r="L51" t="str">
        <f t="shared" ca="1" si="1"/>
        <v>Paramjeet Singh</v>
      </c>
    </row>
    <row r="52" spans="1:12" ht="18" x14ac:dyDescent="0.35">
      <c r="A52" s="2"/>
      <c r="B52" s="2"/>
      <c r="C52" s="22" t="str">
        <f t="shared" si="0"/>
        <v>Pramod Bhavsar</v>
      </c>
      <c r="D52" s="23">
        <v>51</v>
      </c>
      <c r="E52" s="22" t="s">
        <v>14</v>
      </c>
      <c r="F52" s="22" t="s">
        <v>43</v>
      </c>
      <c r="G52" s="22">
        <v>12858</v>
      </c>
      <c r="H52" s="2"/>
      <c r="I52" s="15">
        <v>37</v>
      </c>
      <c r="J52" s="49" t="s">
        <v>111</v>
      </c>
      <c r="L52" t="str">
        <f t="shared" ca="1" si="1"/>
        <v>Pramod Bhavsar</v>
      </c>
    </row>
    <row r="53" spans="1:12" ht="18" x14ac:dyDescent="0.35">
      <c r="A53" s="2"/>
      <c r="B53" s="2"/>
      <c r="C53" s="22" t="str">
        <f t="shared" si="0"/>
        <v>Adnan Soukat</v>
      </c>
      <c r="D53" s="24">
        <v>52</v>
      </c>
      <c r="E53" s="25" t="s">
        <v>12</v>
      </c>
      <c r="F53" s="25" t="s">
        <v>44</v>
      </c>
      <c r="G53" s="25">
        <v>13707</v>
      </c>
      <c r="H53" s="2"/>
      <c r="I53" s="11">
        <v>27</v>
      </c>
      <c r="J53" s="48" t="s">
        <v>112</v>
      </c>
      <c r="L53" t="str">
        <f t="shared" ca="1" si="1"/>
        <v>Adnan Soukat</v>
      </c>
    </row>
    <row r="54" spans="1:12" ht="18" x14ac:dyDescent="0.35">
      <c r="A54" s="2"/>
      <c r="B54" s="2"/>
      <c r="C54" s="22" t="str">
        <f t="shared" si="0"/>
        <v>Jaishri Saxena</v>
      </c>
      <c r="D54" s="23">
        <v>53</v>
      </c>
      <c r="E54" s="22" t="s">
        <v>12</v>
      </c>
      <c r="F54" s="22" t="s">
        <v>44</v>
      </c>
      <c r="G54" s="22">
        <v>12549</v>
      </c>
      <c r="H54" s="2"/>
      <c r="I54" s="15">
        <v>17</v>
      </c>
      <c r="J54" s="49" t="s">
        <v>113</v>
      </c>
      <c r="L54" t="str">
        <f t="shared" ca="1" si="1"/>
        <v>Jaishri Saxena</v>
      </c>
    </row>
    <row r="55" spans="1:12" ht="18" x14ac:dyDescent="0.35">
      <c r="A55" s="2"/>
      <c r="B55" s="2"/>
      <c r="C55" s="22" t="str">
        <f t="shared" si="0"/>
        <v>Tarjit Malka</v>
      </c>
      <c r="D55" s="24">
        <v>54</v>
      </c>
      <c r="E55" s="25" t="s">
        <v>45</v>
      </c>
      <c r="F55" s="25" t="s">
        <v>40</v>
      </c>
      <c r="G55" s="25">
        <v>14160</v>
      </c>
      <c r="H55" s="2"/>
      <c r="I55" s="11">
        <v>7</v>
      </c>
      <c r="J55" s="48" t="s">
        <v>114</v>
      </c>
      <c r="L55" t="str">
        <f t="shared" ca="1" si="1"/>
        <v>Tarjit Malka</v>
      </c>
    </row>
    <row r="56" spans="1:12" ht="18" x14ac:dyDescent="0.35">
      <c r="A56" s="2"/>
      <c r="B56" s="2"/>
      <c r="C56" s="22" t="str">
        <f t="shared" si="0"/>
        <v>Heman Gusain</v>
      </c>
      <c r="D56" s="23">
        <v>55</v>
      </c>
      <c r="E56" s="22" t="s">
        <v>45</v>
      </c>
      <c r="F56" s="22" t="s">
        <v>40</v>
      </c>
      <c r="G56" s="22">
        <v>13776</v>
      </c>
      <c r="H56" s="2"/>
      <c r="I56" s="15">
        <v>68</v>
      </c>
      <c r="J56" s="49" t="s">
        <v>115</v>
      </c>
      <c r="L56" t="str">
        <f t="shared" ca="1" si="1"/>
        <v>Heman Gusain</v>
      </c>
    </row>
    <row r="57" spans="1:12" ht="18" x14ac:dyDescent="0.35">
      <c r="A57" s="2"/>
      <c r="B57" s="2"/>
      <c r="C57" s="22" t="str">
        <f t="shared" si="0"/>
        <v>Nadeem Ahmed</v>
      </c>
      <c r="D57" s="24">
        <v>56</v>
      </c>
      <c r="E57" s="25" t="s">
        <v>45</v>
      </c>
      <c r="F57" s="25" t="s">
        <v>40</v>
      </c>
      <c r="G57" s="25">
        <v>13251</v>
      </c>
      <c r="H57" s="2"/>
      <c r="I57" s="11">
        <v>58</v>
      </c>
      <c r="J57" s="48" t="s">
        <v>116</v>
      </c>
      <c r="L57" t="str">
        <f t="shared" ca="1" si="1"/>
        <v>Nadeem Ahmed</v>
      </c>
    </row>
    <row r="58" spans="1:12" ht="18" x14ac:dyDescent="0.35">
      <c r="A58" s="2"/>
      <c r="B58" s="2"/>
      <c r="C58" s="22" t="str">
        <f t="shared" si="0"/>
        <v>Shivam Daksh</v>
      </c>
      <c r="D58" s="23">
        <v>57</v>
      </c>
      <c r="E58" s="22" t="s">
        <v>14</v>
      </c>
      <c r="F58" s="22" t="s">
        <v>40</v>
      </c>
      <c r="G58" s="22">
        <v>13131</v>
      </c>
      <c r="H58" s="2"/>
      <c r="I58" s="15">
        <v>48</v>
      </c>
      <c r="J58" s="49" t="s">
        <v>117</v>
      </c>
      <c r="L58" t="str">
        <f t="shared" ca="1" si="1"/>
        <v>Shivam Daksh</v>
      </c>
    </row>
    <row r="59" spans="1:12" ht="18" x14ac:dyDescent="0.35">
      <c r="A59" s="2"/>
      <c r="B59" s="2"/>
      <c r="C59" s="22" t="str">
        <f t="shared" si="0"/>
        <v>Prashant Pnajabi</v>
      </c>
      <c r="D59" s="24">
        <v>58</v>
      </c>
      <c r="E59" s="25" t="s">
        <v>14</v>
      </c>
      <c r="F59" s="25" t="s">
        <v>40</v>
      </c>
      <c r="G59" s="25">
        <v>12911</v>
      </c>
      <c r="H59" s="2"/>
      <c r="I59" s="11">
        <v>38</v>
      </c>
      <c r="J59" s="48" t="s">
        <v>118</v>
      </c>
      <c r="L59" t="str">
        <f t="shared" ca="1" si="1"/>
        <v>Prashant Pnajabi</v>
      </c>
    </row>
    <row r="60" spans="1:12" ht="18" x14ac:dyDescent="0.35">
      <c r="A60" s="2"/>
      <c r="B60" s="2"/>
      <c r="C60" s="22" t="str">
        <f t="shared" si="0"/>
        <v>Narayan Lohar</v>
      </c>
      <c r="D60" s="23">
        <v>59</v>
      </c>
      <c r="E60" s="22" t="s">
        <v>42</v>
      </c>
      <c r="F60" s="22" t="s">
        <v>41</v>
      </c>
      <c r="G60" s="22">
        <v>14463</v>
      </c>
      <c r="H60" s="2"/>
      <c r="I60" s="15">
        <v>28</v>
      </c>
      <c r="J60" s="49" t="s">
        <v>119</v>
      </c>
      <c r="L60" t="str">
        <f t="shared" ca="1" si="1"/>
        <v>Narayan Lohar</v>
      </c>
    </row>
    <row r="61" spans="1:12" ht="18" x14ac:dyDescent="0.35">
      <c r="A61" s="2"/>
      <c r="B61" s="2"/>
      <c r="C61" s="22" t="str">
        <f t="shared" si="0"/>
        <v>Kiran Dodke</v>
      </c>
      <c r="D61" s="24">
        <v>60</v>
      </c>
      <c r="E61" s="25" t="s">
        <v>15</v>
      </c>
      <c r="F61" s="25" t="s">
        <v>44</v>
      </c>
      <c r="G61" s="25">
        <v>14995</v>
      </c>
      <c r="H61" s="2"/>
      <c r="I61" s="11">
        <v>18</v>
      </c>
      <c r="J61" s="48" t="s">
        <v>120</v>
      </c>
      <c r="L61" t="str">
        <f t="shared" ca="1" si="1"/>
        <v>Kiran Dodke</v>
      </c>
    </row>
    <row r="62" spans="1:12" ht="18" x14ac:dyDescent="0.35">
      <c r="A62" s="2"/>
      <c r="B62" s="2"/>
      <c r="C62" s="22" t="str">
        <f t="shared" si="0"/>
        <v>Suraj Rajput</v>
      </c>
      <c r="D62" s="23">
        <v>61</v>
      </c>
      <c r="E62" s="22" t="s">
        <v>15</v>
      </c>
      <c r="F62" s="22" t="s">
        <v>40</v>
      </c>
      <c r="G62" s="22">
        <v>12036</v>
      </c>
      <c r="H62" s="2"/>
      <c r="I62" s="15">
        <v>8</v>
      </c>
      <c r="J62" s="49" t="s">
        <v>121</v>
      </c>
      <c r="L62" t="str">
        <f t="shared" ca="1" si="1"/>
        <v>Suraj Rajput</v>
      </c>
    </row>
    <row r="63" spans="1:12" ht="18" x14ac:dyDescent="0.35">
      <c r="A63" s="2"/>
      <c r="B63" s="2"/>
      <c r="C63" s="22" t="str">
        <f t="shared" si="0"/>
        <v>Dharmendar Rana</v>
      </c>
      <c r="D63" s="24">
        <v>62</v>
      </c>
      <c r="E63" s="25" t="s">
        <v>15</v>
      </c>
      <c r="F63" s="25" t="s">
        <v>41</v>
      </c>
      <c r="G63" s="25">
        <v>13397</v>
      </c>
      <c r="H63" s="2"/>
      <c r="I63" s="11">
        <v>69</v>
      </c>
      <c r="J63" s="48" t="s">
        <v>122</v>
      </c>
      <c r="L63" t="str">
        <f t="shared" ca="1" si="1"/>
        <v>Dharmendar Rana</v>
      </c>
    </row>
    <row r="64" spans="1:12" ht="18" x14ac:dyDescent="0.35">
      <c r="A64" s="2"/>
      <c r="B64" s="2"/>
      <c r="C64" s="22" t="str">
        <f t="shared" si="0"/>
        <v>Anand Singh Rajput</v>
      </c>
      <c r="D64" s="23">
        <v>63</v>
      </c>
      <c r="E64" s="22" t="s">
        <v>42</v>
      </c>
      <c r="F64" s="22" t="s">
        <v>41</v>
      </c>
      <c r="G64" s="22">
        <v>14064</v>
      </c>
      <c r="H64" s="2"/>
      <c r="I64" s="15">
        <v>59</v>
      </c>
      <c r="J64" s="49" t="s">
        <v>123</v>
      </c>
      <c r="L64" t="str">
        <f t="shared" ca="1" si="1"/>
        <v>Anand Singh Rajput</v>
      </c>
    </row>
    <row r="65" spans="1:12" ht="18" x14ac:dyDescent="0.35">
      <c r="A65" s="2"/>
      <c r="B65" s="2"/>
      <c r="C65" s="22" t="str">
        <f t="shared" si="0"/>
        <v>Dheeraj Attri</v>
      </c>
      <c r="D65" s="24">
        <v>64</v>
      </c>
      <c r="E65" s="25" t="s">
        <v>42</v>
      </c>
      <c r="F65" s="25" t="s">
        <v>40</v>
      </c>
      <c r="G65" s="25">
        <v>14403</v>
      </c>
      <c r="H65" s="2"/>
      <c r="I65" s="11">
        <v>49</v>
      </c>
      <c r="J65" s="48" t="s">
        <v>124</v>
      </c>
      <c r="L65" t="str">
        <f t="shared" ca="1" si="1"/>
        <v>Dheeraj Attri</v>
      </c>
    </row>
    <row r="66" spans="1:12" ht="18" x14ac:dyDescent="0.35">
      <c r="A66" s="2"/>
      <c r="B66" s="2"/>
      <c r="C66" s="22" t="str">
        <f t="shared" si="0"/>
        <v>Deeksha Agrawal</v>
      </c>
      <c r="D66" s="23">
        <v>65</v>
      </c>
      <c r="E66" s="22" t="s">
        <v>14</v>
      </c>
      <c r="F66" s="22" t="s">
        <v>43</v>
      </c>
      <c r="G66" s="22">
        <v>12248</v>
      </c>
      <c r="H66" s="2"/>
      <c r="I66" s="15">
        <v>39</v>
      </c>
      <c r="J66" s="49" t="s">
        <v>125</v>
      </c>
      <c r="L66" t="str">
        <f t="shared" ca="1" si="1"/>
        <v>Deeksha Agrawal</v>
      </c>
    </row>
    <row r="67" spans="1:12" ht="18" x14ac:dyDescent="0.35">
      <c r="A67" s="2"/>
      <c r="B67" s="2"/>
      <c r="C67" s="22" t="str">
        <f t="shared" ref="C67:C76" si="2">INDEX($J$2:$J$76,MATCH(D67,$I$2:$I$76,0))</f>
        <v>Ayushi Patel</v>
      </c>
      <c r="D67" s="24">
        <v>66</v>
      </c>
      <c r="E67" s="25" t="s">
        <v>14</v>
      </c>
      <c r="F67" s="25" t="s">
        <v>43</v>
      </c>
      <c r="G67" s="25">
        <v>13691</v>
      </c>
      <c r="H67" s="2"/>
      <c r="I67" s="11">
        <v>29</v>
      </c>
      <c r="J67" s="48" t="s">
        <v>126</v>
      </c>
      <c r="L67" t="str">
        <f t="shared" ref="L67:L76" ca="1" si="3">OFFSET($I$1,MATCH(D67,$I$2:$I$76,0),1)</f>
        <v>Ayushi Patel</v>
      </c>
    </row>
    <row r="68" spans="1:12" ht="18" x14ac:dyDescent="0.35">
      <c r="A68" s="2"/>
      <c r="B68" s="2"/>
      <c r="C68" s="22" t="str">
        <f t="shared" si="2"/>
        <v>Sunil Kumar</v>
      </c>
      <c r="D68" s="23">
        <v>67</v>
      </c>
      <c r="E68" s="22" t="s">
        <v>12</v>
      </c>
      <c r="F68" s="22" t="s">
        <v>44</v>
      </c>
      <c r="G68" s="22">
        <v>12061</v>
      </c>
      <c r="H68" s="2"/>
      <c r="I68" s="15">
        <v>19</v>
      </c>
      <c r="J68" s="49" t="s">
        <v>127</v>
      </c>
      <c r="L68" t="str">
        <f t="shared" ca="1" si="3"/>
        <v>Sunil Kumar</v>
      </c>
    </row>
    <row r="69" spans="1:12" ht="18" x14ac:dyDescent="0.35">
      <c r="A69" s="2"/>
      <c r="B69" s="2"/>
      <c r="C69" s="22" t="str">
        <f t="shared" si="2"/>
        <v>Puran Singh</v>
      </c>
      <c r="D69" s="24">
        <v>68</v>
      </c>
      <c r="E69" s="25" t="s">
        <v>12</v>
      </c>
      <c r="F69" s="25" t="s">
        <v>44</v>
      </c>
      <c r="G69" s="25">
        <v>13673</v>
      </c>
      <c r="H69" s="2"/>
      <c r="I69" s="11">
        <v>9</v>
      </c>
      <c r="J69" s="48" t="s">
        <v>128</v>
      </c>
      <c r="L69" t="str">
        <f t="shared" ca="1" si="3"/>
        <v>Puran Singh</v>
      </c>
    </row>
    <row r="70" spans="1:12" ht="18" x14ac:dyDescent="0.35">
      <c r="A70" s="2"/>
      <c r="B70" s="2"/>
      <c r="C70" s="22" t="str">
        <f t="shared" si="2"/>
        <v>Pavan Kumar</v>
      </c>
      <c r="D70" s="23">
        <v>69</v>
      </c>
      <c r="E70" s="22" t="s">
        <v>45</v>
      </c>
      <c r="F70" s="22" t="s">
        <v>40</v>
      </c>
      <c r="G70" s="22">
        <v>13480</v>
      </c>
      <c r="H70" s="2"/>
      <c r="I70" s="15">
        <v>70</v>
      </c>
      <c r="J70" s="49" t="s">
        <v>129</v>
      </c>
      <c r="L70" t="str">
        <f t="shared" ca="1" si="3"/>
        <v>Pavan Kumar</v>
      </c>
    </row>
    <row r="71" spans="1:12" ht="18" x14ac:dyDescent="0.35">
      <c r="A71" s="2"/>
      <c r="B71" s="2"/>
      <c r="C71" s="22" t="str">
        <f t="shared" si="2"/>
        <v>Mahboob Hossain</v>
      </c>
      <c r="D71" s="24">
        <v>70</v>
      </c>
      <c r="E71" s="25" t="s">
        <v>45</v>
      </c>
      <c r="F71" s="25" t="s">
        <v>40</v>
      </c>
      <c r="G71" s="25">
        <v>13404</v>
      </c>
      <c r="H71" s="2"/>
      <c r="I71" s="11">
        <v>60</v>
      </c>
      <c r="J71" s="48" t="s">
        <v>130</v>
      </c>
      <c r="L71" t="str">
        <f t="shared" ca="1" si="3"/>
        <v>Mahboob Hossain</v>
      </c>
    </row>
    <row r="72" spans="1:12" ht="18" x14ac:dyDescent="0.35">
      <c r="A72" s="2"/>
      <c r="B72" s="2"/>
      <c r="C72" s="22" t="str">
        <f t="shared" si="2"/>
        <v>Sujata Mohanty</v>
      </c>
      <c r="D72" s="23">
        <v>71</v>
      </c>
      <c r="E72" s="22" t="s">
        <v>45</v>
      </c>
      <c r="F72" s="22" t="s">
        <v>41</v>
      </c>
      <c r="G72" s="22">
        <v>13527</v>
      </c>
      <c r="H72" s="2"/>
      <c r="I72" s="15">
        <v>50</v>
      </c>
      <c r="J72" s="49" t="s">
        <v>131</v>
      </c>
      <c r="L72" t="str">
        <f t="shared" ca="1" si="3"/>
        <v>Sujata Mohanty</v>
      </c>
    </row>
    <row r="73" spans="1:12" ht="18" x14ac:dyDescent="0.35">
      <c r="A73" s="2"/>
      <c r="B73" s="2"/>
      <c r="C73" s="22" t="str">
        <f t="shared" si="2"/>
        <v>Jitender Kumar</v>
      </c>
      <c r="D73" s="24">
        <v>72</v>
      </c>
      <c r="E73" s="25" t="s">
        <v>14</v>
      </c>
      <c r="F73" s="25" t="s">
        <v>41</v>
      </c>
      <c r="G73" s="25">
        <v>14362</v>
      </c>
      <c r="H73" s="2"/>
      <c r="I73" s="11">
        <v>40</v>
      </c>
      <c r="J73" s="48" t="s">
        <v>132</v>
      </c>
      <c r="L73" t="str">
        <f t="shared" ca="1" si="3"/>
        <v>Jitender Kumar</v>
      </c>
    </row>
    <row r="74" spans="1:12" ht="18" x14ac:dyDescent="0.35">
      <c r="A74" s="2"/>
      <c r="B74" s="2"/>
      <c r="C74" s="22" t="str">
        <f t="shared" si="2"/>
        <v>Vini Saini</v>
      </c>
      <c r="D74" s="23">
        <v>73</v>
      </c>
      <c r="E74" s="22" t="s">
        <v>14</v>
      </c>
      <c r="F74" s="22" t="s">
        <v>41</v>
      </c>
      <c r="G74" s="22">
        <v>13714</v>
      </c>
      <c r="H74" s="2"/>
      <c r="I74" s="15">
        <v>30</v>
      </c>
      <c r="J74" s="49" t="s">
        <v>133</v>
      </c>
      <c r="L74" t="str">
        <f t="shared" ca="1" si="3"/>
        <v>Vini Saini</v>
      </c>
    </row>
    <row r="75" spans="1:12" ht="18" x14ac:dyDescent="0.35">
      <c r="A75" s="2"/>
      <c r="B75" s="2"/>
      <c r="C75" s="22" t="str">
        <f t="shared" si="2"/>
        <v>Anmol Singh</v>
      </c>
      <c r="D75" s="24">
        <v>74</v>
      </c>
      <c r="E75" s="25" t="s">
        <v>42</v>
      </c>
      <c r="F75" s="25" t="s">
        <v>43</v>
      </c>
      <c r="G75" s="25">
        <v>13101</v>
      </c>
      <c r="H75" s="2"/>
      <c r="I75" s="11">
        <v>20</v>
      </c>
      <c r="J75" s="48" t="s">
        <v>134</v>
      </c>
      <c r="L75" t="str">
        <f t="shared" ca="1" si="3"/>
        <v>Anmol Singh</v>
      </c>
    </row>
    <row r="76" spans="1:12" ht="18" x14ac:dyDescent="0.35">
      <c r="A76" s="2"/>
      <c r="B76" s="2"/>
      <c r="C76" s="22" t="str">
        <f t="shared" si="2"/>
        <v>Shiv Kumar</v>
      </c>
      <c r="D76" s="23">
        <v>75</v>
      </c>
      <c r="E76" s="22" t="s">
        <v>15</v>
      </c>
      <c r="F76" s="22" t="s">
        <v>44</v>
      </c>
      <c r="G76" s="22">
        <v>14976</v>
      </c>
      <c r="H76" s="2"/>
      <c r="I76" s="15">
        <v>10</v>
      </c>
      <c r="J76" s="49" t="s">
        <v>135</v>
      </c>
      <c r="L76" t="str">
        <f t="shared" ca="1" si="3"/>
        <v>Shiv Kumar</v>
      </c>
    </row>
    <row r="77" spans="1:12" ht="18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2" ht="1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2" ht="22.8" x14ac:dyDescent="0.4">
      <c r="A79" s="2"/>
      <c r="B79" s="1" t="s">
        <v>46</v>
      </c>
      <c r="C79" s="2" t="s">
        <v>47</v>
      </c>
      <c r="D79" s="2"/>
      <c r="E79" s="2"/>
      <c r="F79" s="2"/>
      <c r="G79" s="2"/>
      <c r="H79" s="2"/>
      <c r="I79" s="2"/>
      <c r="J79" s="2"/>
    </row>
    <row r="80" spans="1:12" ht="22.8" x14ac:dyDescent="0.4">
      <c r="A80" s="2"/>
      <c r="B80" s="2"/>
      <c r="C80" s="1" t="s">
        <v>48</v>
      </c>
      <c r="D80" s="2"/>
      <c r="E80" s="2"/>
      <c r="F80" s="2"/>
      <c r="G80" s="2"/>
      <c r="H80" s="2"/>
      <c r="I80" s="2"/>
      <c r="J80" s="2"/>
    </row>
    <row r="81" spans="1:10" ht="22.8" x14ac:dyDescent="0.4">
      <c r="A81" s="2"/>
      <c r="B81" s="1" t="s">
        <v>49</v>
      </c>
      <c r="C81" s="2" t="s">
        <v>50</v>
      </c>
      <c r="D81" s="2"/>
      <c r="E81" s="2"/>
      <c r="F81" s="2"/>
      <c r="G81" s="2"/>
      <c r="H81" s="2"/>
      <c r="I81" s="2"/>
      <c r="J81" s="2"/>
    </row>
    <row r="82" spans="1:10" ht="18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8" x14ac:dyDescent="0.35">
      <c r="A83" s="2"/>
      <c r="B83" s="2"/>
      <c r="C83" s="59" t="s">
        <v>8</v>
      </c>
      <c r="D83" s="60"/>
      <c r="E83" s="60"/>
      <c r="F83" s="60"/>
      <c r="G83" s="60"/>
      <c r="H83" s="60"/>
      <c r="I83" s="61"/>
      <c r="J83" s="2"/>
    </row>
    <row r="84" spans="1:10" ht="18" x14ac:dyDescent="0.35">
      <c r="A84" s="2"/>
      <c r="B84" s="2"/>
      <c r="C84" s="26" t="s">
        <v>38</v>
      </c>
      <c r="D84" s="26" t="s">
        <v>15</v>
      </c>
      <c r="E84" s="26" t="s">
        <v>42</v>
      </c>
      <c r="F84" s="26" t="s">
        <v>14</v>
      </c>
      <c r="G84" s="26" t="s">
        <v>12</v>
      </c>
      <c r="H84" s="26" t="s">
        <v>45</v>
      </c>
      <c r="I84" s="26" t="s">
        <v>51</v>
      </c>
      <c r="J84" s="2"/>
    </row>
    <row r="85" spans="1:10" ht="18" x14ac:dyDescent="0.35">
      <c r="A85" s="2"/>
      <c r="B85" s="2"/>
      <c r="C85" s="27" t="s">
        <v>43</v>
      </c>
      <c r="D85" s="27"/>
      <c r="E85" s="27"/>
      <c r="F85" s="27"/>
      <c r="G85" s="27"/>
      <c r="H85" s="27"/>
      <c r="I85" s="27"/>
      <c r="J85" s="2"/>
    </row>
    <row r="86" spans="1:10" ht="18" x14ac:dyDescent="0.35">
      <c r="A86" s="2"/>
      <c r="B86" s="2"/>
      <c r="C86" s="28" t="s">
        <v>40</v>
      </c>
      <c r="D86" s="28"/>
      <c r="E86" s="28"/>
      <c r="F86" s="28"/>
      <c r="G86" s="28"/>
      <c r="H86" s="28"/>
      <c r="I86" s="28"/>
      <c r="J86" s="2"/>
    </row>
    <row r="87" spans="1:10" ht="18" x14ac:dyDescent="0.35">
      <c r="A87" s="2"/>
      <c r="B87" s="2"/>
      <c r="C87" s="27" t="s">
        <v>41</v>
      </c>
      <c r="D87" s="27"/>
      <c r="E87" s="27"/>
      <c r="F87" s="27"/>
      <c r="G87" s="27"/>
      <c r="H87" s="27"/>
      <c r="I87" s="27"/>
      <c r="J87" s="2"/>
    </row>
    <row r="88" spans="1:10" ht="18" x14ac:dyDescent="0.35">
      <c r="A88" s="2"/>
      <c r="B88" s="2"/>
      <c r="C88" s="28" t="s">
        <v>44</v>
      </c>
      <c r="D88" s="28"/>
      <c r="E88" s="28"/>
      <c r="F88" s="28"/>
      <c r="G88" s="28"/>
      <c r="H88" s="28"/>
      <c r="I88" s="28"/>
      <c r="J88" s="2"/>
    </row>
    <row r="89" spans="1:10" ht="36" x14ac:dyDescent="0.35">
      <c r="A89" s="2"/>
      <c r="B89" s="2"/>
      <c r="C89" s="27" t="s">
        <v>51</v>
      </c>
      <c r="D89" s="27"/>
      <c r="E89" s="27"/>
      <c r="F89" s="27"/>
      <c r="G89" s="27"/>
      <c r="H89" s="27"/>
      <c r="I89" s="27"/>
      <c r="J89" s="2"/>
    </row>
    <row r="92" spans="1:10" x14ac:dyDescent="0.3">
      <c r="C92" s="55" t="s">
        <v>144</v>
      </c>
      <c r="D92" s="55" t="s">
        <v>141</v>
      </c>
    </row>
    <row r="93" spans="1:10" x14ac:dyDescent="0.3">
      <c r="C93" s="55" t="s">
        <v>140</v>
      </c>
      <c r="D93" t="s">
        <v>15</v>
      </c>
      <c r="E93" t="s">
        <v>42</v>
      </c>
      <c r="F93" t="s">
        <v>14</v>
      </c>
      <c r="G93" t="s">
        <v>12</v>
      </c>
      <c r="H93" t="s">
        <v>45</v>
      </c>
      <c r="I93" t="s">
        <v>51</v>
      </c>
    </row>
    <row r="94" spans="1:10" x14ac:dyDescent="0.3">
      <c r="C94" s="56" t="s">
        <v>43</v>
      </c>
      <c r="E94">
        <v>64638</v>
      </c>
      <c r="F94">
        <v>118755</v>
      </c>
      <c r="I94">
        <v>183393</v>
      </c>
    </row>
    <row r="95" spans="1:10" x14ac:dyDescent="0.3">
      <c r="C95" s="56" t="s">
        <v>40</v>
      </c>
      <c r="D95">
        <v>93271</v>
      </c>
      <c r="E95">
        <v>54824</v>
      </c>
      <c r="F95">
        <v>63037</v>
      </c>
      <c r="H95">
        <v>123875</v>
      </c>
      <c r="I95">
        <v>335007</v>
      </c>
    </row>
    <row r="96" spans="1:10" x14ac:dyDescent="0.3">
      <c r="C96" s="56" t="s">
        <v>41</v>
      </c>
      <c r="D96">
        <v>67567</v>
      </c>
      <c r="E96">
        <v>81294</v>
      </c>
      <c r="F96">
        <v>56980</v>
      </c>
      <c r="H96">
        <v>76144</v>
      </c>
      <c r="I96">
        <v>281985</v>
      </c>
    </row>
    <row r="97" spans="3:9" x14ac:dyDescent="0.3">
      <c r="C97" s="56" t="s">
        <v>44</v>
      </c>
      <c r="D97">
        <v>72157</v>
      </c>
      <c r="G97">
        <v>135857</v>
      </c>
      <c r="I97">
        <v>208014</v>
      </c>
    </row>
    <row r="98" spans="3:9" x14ac:dyDescent="0.3">
      <c r="C98" s="56" t="s">
        <v>51</v>
      </c>
      <c r="D98">
        <v>232995</v>
      </c>
      <c r="E98">
        <v>200756</v>
      </c>
      <c r="F98">
        <v>238772</v>
      </c>
      <c r="G98">
        <v>135857</v>
      </c>
      <c r="H98">
        <v>200019</v>
      </c>
      <c r="I98">
        <v>1008399</v>
      </c>
    </row>
  </sheetData>
  <mergeCells count="1">
    <mergeCell ref="C83:I83"/>
  </mergeCells>
  <dataValidations disablePrompts="1" count="2">
    <dataValidation type="list" allowBlank="1" showInputMessage="1" showErrorMessage="1" sqref="F68 F53 F38 F23 F8" xr:uid="{00000000-0002-0000-0200-000000000000}">
      <formula1>#REF!</formula1>
    </dataValidation>
    <dataValidation type="textLength" operator="lessThanOrEqual" allowBlank="1" showInputMessage="1" showErrorMessage="1" sqref="F7 F67 F52 F37 F22" xr:uid="{00000000-0002-0000-0200-000001000000}">
      <formula1>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G12" sqref="G12"/>
    </sheetView>
  </sheetViews>
  <sheetFormatPr defaultRowHeight="14.4" x14ac:dyDescent="0.3"/>
  <cols>
    <col min="5" max="5" width="14.5546875" bestFit="1" customWidth="1"/>
  </cols>
  <sheetData>
    <row r="1" spans="1:8" ht="18" x14ac:dyDescent="0.35">
      <c r="A1" s="44" t="s">
        <v>78</v>
      </c>
      <c r="B1" s="29" t="s">
        <v>52</v>
      </c>
      <c r="C1" s="30"/>
      <c r="D1" s="30"/>
      <c r="E1" s="30"/>
      <c r="F1" s="30"/>
      <c r="G1" s="31"/>
    </row>
    <row r="2" spans="1:8" x14ac:dyDescent="0.3">
      <c r="B2" s="32" t="s">
        <v>53</v>
      </c>
      <c r="C2" s="33"/>
      <c r="D2" s="33"/>
      <c r="E2" s="33"/>
      <c r="F2" s="33"/>
      <c r="G2" s="34"/>
    </row>
    <row r="3" spans="1:8" x14ac:dyDescent="0.3">
      <c r="B3" s="35" t="s">
        <v>54</v>
      </c>
      <c r="C3" s="33"/>
      <c r="D3" s="33"/>
      <c r="E3" s="47" t="s">
        <v>55</v>
      </c>
      <c r="F3" s="47"/>
      <c r="G3" s="47"/>
    </row>
    <row r="4" spans="1:8" ht="15" thickBot="1" x14ac:dyDescent="0.35">
      <c r="B4" s="36">
        <v>2000</v>
      </c>
      <c r="C4" s="37"/>
      <c r="D4" s="33"/>
      <c r="E4" s="38" t="str">
        <f>IF(MOD(B4,4),"false","true")</f>
        <v>true</v>
      </c>
      <c r="F4" s="39"/>
      <c r="G4" s="40"/>
    </row>
    <row r="7" spans="1:8" x14ac:dyDescent="0.3">
      <c r="F7" s="57" t="str">
        <f>IF(AND(MOD(B4,4)=0, MOD(B4,400)=0), "Leap", IF(AND(MOD(B4,4)=0, MOD(B4,100)&lt;&gt;0), "Leap", "Not a Leap"))</f>
        <v>Leap</v>
      </c>
      <c r="H7" t="b">
        <f>AND(MOD(B4,4)=0, OR(MOD(B4, 100)&lt;&gt;0, MOD(B4,400)=0))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abSelected="1" workbookViewId="0">
      <selection activeCell="E9" sqref="E9"/>
    </sheetView>
  </sheetViews>
  <sheetFormatPr defaultRowHeight="14.4" x14ac:dyDescent="0.3"/>
  <sheetData>
    <row r="1" spans="1:7" x14ac:dyDescent="0.3">
      <c r="A1" t="s">
        <v>80</v>
      </c>
      <c r="B1" s="41" t="s">
        <v>79</v>
      </c>
      <c r="D1" t="s">
        <v>56</v>
      </c>
    </row>
    <row r="2" spans="1:7" x14ac:dyDescent="0.3">
      <c r="B2">
        <v>79</v>
      </c>
    </row>
    <row r="3" spans="1:7" x14ac:dyDescent="0.3">
      <c r="B3">
        <v>91</v>
      </c>
      <c r="D3" s="42">
        <f>SUMPRODUCT(--(ISERROR(Table143[Data])))</f>
        <v>3</v>
      </c>
      <c r="E3" s="43"/>
      <c r="G3" cm="1">
        <f t="array" ref="G3">SUM(--ISERROR(Table143[Data]))</f>
        <v>3</v>
      </c>
    </row>
    <row r="4" spans="1:7" x14ac:dyDescent="0.3">
      <c r="B4">
        <v>26</v>
      </c>
    </row>
    <row r="5" spans="1:7" x14ac:dyDescent="0.3">
      <c r="B5" t="e">
        <v>#N/A</v>
      </c>
    </row>
    <row r="6" spans="1:7" x14ac:dyDescent="0.3">
      <c r="B6">
        <v>10</v>
      </c>
    </row>
    <row r="7" spans="1:7" x14ac:dyDescent="0.3">
      <c r="B7" t="e">
        <v>#N/A</v>
      </c>
    </row>
    <row r="8" spans="1:7" x14ac:dyDescent="0.3">
      <c r="B8">
        <v>41</v>
      </c>
    </row>
    <row r="9" spans="1:7" x14ac:dyDescent="0.3">
      <c r="B9">
        <v>76</v>
      </c>
    </row>
    <row r="10" spans="1:7" x14ac:dyDescent="0.3">
      <c r="B10" t="e">
        <v>#N/A</v>
      </c>
    </row>
    <row r="11" spans="1:7" x14ac:dyDescent="0.3">
      <c r="B11">
        <v>14</v>
      </c>
    </row>
    <row r="12" spans="1:7" x14ac:dyDescent="0.3">
      <c r="B12">
        <v>61</v>
      </c>
    </row>
    <row r="13" spans="1:7" x14ac:dyDescent="0.3">
      <c r="B13">
        <v>60</v>
      </c>
    </row>
    <row r="14" spans="1:7" x14ac:dyDescent="0.3">
      <c r="B14">
        <v>1</v>
      </c>
    </row>
    <row r="15" spans="1:7" x14ac:dyDescent="0.3">
      <c r="B15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2020-09-12T05:31:12Z</dcterms:created>
  <dcterms:modified xsi:type="dcterms:W3CDTF">2026-01-26T16:59:22Z</dcterms:modified>
</cp:coreProperties>
</file>