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2C1AB5EC-DEE1-47F1-B3FF-F10CB1BB5CE4}" xr6:coauthVersionLast="47" xr6:coauthVersionMax="47" xr10:uidLastSave="{00000000-0000-0000-0000-000000000000}"/>
  <bookViews>
    <workbookView xWindow="-108" yWindow="-108" windowWidth="23256" windowHeight="12456" activeTab="2" xr2:uid="{E6641F1A-BB90-4D37-907E-D7787C09FD75}"/>
  </bookViews>
  <sheets>
    <sheet name="Q 1" sheetId="4" r:id="rId1"/>
    <sheet name="Q 2" sheetId="1" r:id="rId2"/>
    <sheet name="Q 3" sheetId="5" r:id="rId3"/>
    <sheet name="Q 4" sheetId="6" r:id="rId4"/>
    <sheet name="Q 5" sheetId="3" r:id="rId5"/>
  </sheets>
  <definedNames>
    <definedName name="_xlnm._FilterDatabase" localSheetId="0" hidden="1">'Q 1'!$A$1:$E$40</definedName>
    <definedName name="_xlnm._FilterDatabase" localSheetId="1" hidden="1">'Q 2'!$A$1:$B$5949</definedName>
    <definedName name="_xlnm._FilterDatabase" localSheetId="4" hidden="1">'Q 5'!$A$1:$D$135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6" l="1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2" i="6"/>
  <c r="I3" i="6"/>
  <c r="I4" i="6" s="1"/>
  <c r="E6" i="6"/>
  <c r="G35" i="5"/>
  <c r="G36" i="5"/>
  <c r="G37" i="5"/>
  <c r="G38" i="5"/>
  <c r="G39" i="5"/>
  <c r="G40" i="5"/>
  <c r="G41" i="5"/>
  <c r="G34" i="5"/>
  <c r="G33" i="5"/>
  <c r="G32" i="5"/>
  <c r="G42" i="5"/>
  <c r="F16" i="5"/>
  <c r="J28" i="5" a="1"/>
  <c r="J28" i="5" s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 s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4" i="1" a="1"/>
  <c r="J4" i="1" s="1"/>
  <c r="E4" i="1"/>
  <c r="E16" i="4"/>
  <c r="E17" i="4"/>
  <c r="E18" i="4"/>
  <c r="E19" i="4"/>
  <c r="E20" i="4"/>
  <c r="E15" i="4"/>
  <c r="N20" i="5"/>
  <c r="H5" i="1" a="1"/>
  <c r="H5" i="1"/>
  <c r="H6" i="1" a="1"/>
  <c r="H6" i="1" s="1"/>
  <c r="H7" i="1" a="1"/>
  <c r="H7" i="1" s="1"/>
  <c r="H8" i="1" a="1"/>
  <c r="H8" i="1"/>
  <c r="H9" i="1" a="1"/>
  <c r="H9" i="1" s="1"/>
  <c r="H10" i="1" a="1"/>
  <c r="H10" i="1"/>
  <c r="H11" i="1" a="1"/>
  <c r="H11" i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/>
  <c r="H4" i="1" a="1"/>
  <c r="H4" i="1" s="1"/>
  <c r="J2" i="4"/>
  <c r="I5" i="6"/>
  <c r="I6" i="6"/>
  <c r="I7" i="6" s="1"/>
  <c r="I8" i="6"/>
  <c r="I9" i="6"/>
  <c r="I10" i="6" s="1"/>
  <c r="I11" i="6" s="1"/>
  <c r="I12" i="6"/>
  <c r="I13" i="6" s="1"/>
  <c r="I14" i="6" s="1"/>
  <c r="I15" i="6" s="1"/>
  <c r="I16" i="6"/>
  <c r="I17" i="6"/>
  <c r="I18" i="6"/>
  <c r="I2" i="6"/>
  <c r="F17" i="5"/>
  <c r="F18" i="5"/>
  <c r="F19" i="5"/>
  <c r="F20" i="5"/>
  <c r="F21" i="5"/>
  <c r="F22" i="5"/>
  <c r="F23" i="5"/>
  <c r="F24" i="5"/>
  <c r="F25" i="5"/>
  <c r="F26" i="5"/>
  <c r="F27" i="5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 s="1"/>
  <c r="F13" i="1" a="1"/>
  <c r="F13" i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4" i="1" a="1"/>
  <c r="F4" i="1" s="1"/>
  <c r="F13" i="4"/>
  <c r="H3" i="4"/>
  <c r="H4" i="4"/>
  <c r="H5" i="4"/>
  <c r="H6" i="4"/>
  <c r="H7" i="4"/>
  <c r="H8" i="4"/>
  <c r="H9" i="4"/>
  <c r="H2" i="4"/>
  <c r="G3" i="4"/>
  <c r="G4" i="4"/>
  <c r="G5" i="4"/>
  <c r="G6" i="4"/>
  <c r="G7" i="4"/>
  <c r="G8" i="4"/>
  <c r="G9" i="4"/>
  <c r="G2" i="4"/>
  <c r="F3" i="4"/>
  <c r="F4" i="4"/>
  <c r="F5" i="4"/>
  <c r="F6" i="4"/>
  <c r="F7" i="4"/>
  <c r="F8" i="4"/>
  <c r="F9" i="4"/>
  <c r="F2" i="4"/>
  <c r="E3" i="6"/>
  <c r="E4" i="6"/>
  <c r="E5" i="6"/>
  <c r="E7" i="6"/>
  <c r="E8" i="6"/>
  <c r="E9" i="6"/>
  <c r="E10" i="6"/>
  <c r="E11" i="6"/>
  <c r="E12" i="6"/>
  <c r="E13" i="6"/>
  <c r="E14" i="6"/>
  <c r="E15" i="6"/>
  <c r="E16" i="6"/>
  <c r="E17" i="6"/>
  <c r="E18" i="6"/>
  <c r="E2" i="6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3" i="4" l="1"/>
  <c r="E3" i="4" s="1"/>
  <c r="D4" i="4"/>
  <c r="E4" i="4" s="1"/>
  <c r="D5" i="4"/>
  <c r="E5" i="4" s="1"/>
  <c r="D6" i="4"/>
  <c r="E6" i="4" s="1"/>
  <c r="D7" i="4"/>
  <c r="E7" i="4" s="1"/>
  <c r="D8" i="4"/>
  <c r="E8" i="4" s="1"/>
  <c r="D9" i="4"/>
  <c r="E9" i="4" s="1"/>
  <c r="D2" i="4"/>
  <c r="E2" i="4" s="1"/>
  <c r="K13" i="3" l="1"/>
  <c r="J13" i="3"/>
  <c r="I13" i="3"/>
  <c r="M13" i="3" s="1"/>
  <c r="H13" i="3"/>
  <c r="L13" i="3" s="1"/>
  <c r="K12" i="3"/>
  <c r="J12" i="3"/>
  <c r="I12" i="3"/>
  <c r="M12" i="3" s="1"/>
  <c r="H12" i="3"/>
  <c r="L12" i="3" s="1"/>
  <c r="K11" i="3"/>
  <c r="J11" i="3"/>
  <c r="I11" i="3"/>
  <c r="M11" i="3" s="1"/>
  <c r="H11" i="3"/>
  <c r="L11" i="3" s="1"/>
  <c r="K10" i="3"/>
  <c r="J10" i="3"/>
  <c r="I10" i="3"/>
  <c r="M10" i="3" s="1"/>
  <c r="H10" i="3"/>
  <c r="L10" i="3" s="1"/>
  <c r="K9" i="3"/>
  <c r="J9" i="3"/>
  <c r="I9" i="3"/>
  <c r="M9" i="3" s="1"/>
  <c r="H9" i="3"/>
  <c r="L9" i="3" s="1"/>
  <c r="K8" i="3"/>
  <c r="J8" i="3"/>
  <c r="I8" i="3"/>
  <c r="M8" i="3" s="1"/>
  <c r="H8" i="3"/>
  <c r="L8" i="3" s="1"/>
  <c r="K7" i="3"/>
  <c r="J7" i="3"/>
  <c r="I7" i="3"/>
  <c r="M7" i="3" s="1"/>
  <c r="H7" i="3"/>
  <c r="L7" i="3" s="1"/>
  <c r="K6" i="3"/>
  <c r="J6" i="3"/>
  <c r="I6" i="3"/>
  <c r="M6" i="3" s="1"/>
  <c r="H6" i="3"/>
  <c r="L6" i="3" s="1"/>
  <c r="K5" i="3"/>
  <c r="K14" i="3" s="1"/>
  <c r="J5" i="3"/>
  <c r="J14" i="3" s="1"/>
  <c r="I5" i="3"/>
  <c r="I14" i="3" s="1"/>
  <c r="H5" i="3"/>
  <c r="H14" i="3" s="1"/>
  <c r="L5" i="3" l="1"/>
  <c r="L14" i="3" s="1"/>
  <c r="M5" i="3"/>
  <c r="M14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<sst xmlns="http://schemas.openxmlformats.org/spreadsheetml/2006/main" count="6438" uniqueCount="112">
  <si>
    <t>States</t>
  </si>
  <si>
    <t>Value</t>
  </si>
  <si>
    <t>Find the sum of Value as per states</t>
  </si>
  <si>
    <t>Andhra Pradesh</t>
  </si>
  <si>
    <t>Bihar</t>
  </si>
  <si>
    <t>Total Value</t>
  </si>
  <si>
    <t>Madhya Pradesh</t>
  </si>
  <si>
    <t>Pondicherry</t>
  </si>
  <si>
    <t>Arunanchal Pradesh</t>
  </si>
  <si>
    <t>Uttar Pradesh</t>
  </si>
  <si>
    <t>Assam</t>
  </si>
  <si>
    <t>Punjab</t>
  </si>
  <si>
    <t>Kerala</t>
  </si>
  <si>
    <t>Chandigarh</t>
  </si>
  <si>
    <t>Chhattisgarh</t>
  </si>
  <si>
    <t>Delhi</t>
  </si>
  <si>
    <t>Haryana</t>
  </si>
  <si>
    <t>Jammu &amp; Kashmir</t>
  </si>
  <si>
    <t>Maharashtra</t>
  </si>
  <si>
    <t>Telangana</t>
  </si>
  <si>
    <t>B</t>
  </si>
  <si>
    <t>E</t>
  </si>
  <si>
    <t>I</t>
  </si>
  <si>
    <t>C</t>
  </si>
  <si>
    <t>H</t>
  </si>
  <si>
    <t>A</t>
  </si>
  <si>
    <t>G</t>
  </si>
  <si>
    <t>D</t>
  </si>
  <si>
    <t>F</t>
  </si>
  <si>
    <t>Qty</t>
  </si>
  <si>
    <t>Names</t>
  </si>
  <si>
    <t>Section</t>
  </si>
  <si>
    <t>Approved/Cancelled</t>
  </si>
  <si>
    <t>Find out the results shown as given below by using pivot table</t>
  </si>
  <si>
    <t>Approved</t>
  </si>
  <si>
    <t>Row Labels</t>
  </si>
  <si>
    <t>Cancelled</t>
  </si>
  <si>
    <t>Total</t>
  </si>
  <si>
    <t>Sum</t>
  </si>
  <si>
    <t>Total Qty</t>
  </si>
  <si>
    <t>Total Sum</t>
  </si>
  <si>
    <t>Grand Total</t>
  </si>
  <si>
    <t>Criteria</t>
  </si>
  <si>
    <t>Bill Generate Date</t>
  </si>
  <si>
    <t>Due Date</t>
  </si>
  <si>
    <t>Overdue Days as on Today</t>
  </si>
  <si>
    <t>Abhishek</t>
  </si>
  <si>
    <t>Rahul</t>
  </si>
  <si>
    <t>Amit</t>
  </si>
  <si>
    <t>Naresh</t>
  </si>
  <si>
    <t>Amitabh</t>
  </si>
  <si>
    <t>Kumar</t>
  </si>
  <si>
    <t>Ramesh</t>
  </si>
  <si>
    <t>Kamal</t>
  </si>
  <si>
    <t>Month</t>
  </si>
  <si>
    <t>CODE</t>
  </si>
  <si>
    <t>EmpName</t>
  </si>
  <si>
    <t>Productivity</t>
  </si>
  <si>
    <t>Jan</t>
  </si>
  <si>
    <t>KBD</t>
  </si>
  <si>
    <t>Feb</t>
  </si>
  <si>
    <t>NWH</t>
  </si>
  <si>
    <t>Mar</t>
  </si>
  <si>
    <t>ZFS</t>
  </si>
  <si>
    <t>Apr</t>
  </si>
  <si>
    <t>QBL</t>
  </si>
  <si>
    <t>May</t>
  </si>
  <si>
    <t>XOI</t>
  </si>
  <si>
    <t>Jun</t>
  </si>
  <si>
    <t>NXE</t>
  </si>
  <si>
    <t>Jul</t>
  </si>
  <si>
    <t>WMQ</t>
  </si>
  <si>
    <t>Aug</t>
  </si>
  <si>
    <t>YWY</t>
  </si>
  <si>
    <t>Sep</t>
  </si>
  <si>
    <t>SMW</t>
  </si>
  <si>
    <t>Oct</t>
  </si>
  <si>
    <t>YWW</t>
  </si>
  <si>
    <t>Nov</t>
  </si>
  <si>
    <t>XLV</t>
  </si>
  <si>
    <t>Dec</t>
  </si>
  <si>
    <t>XLR</t>
  </si>
  <si>
    <t>Salary</t>
  </si>
  <si>
    <t>Output</t>
  </si>
  <si>
    <t>Desired Output</t>
  </si>
  <si>
    <t>Meenakshi</t>
  </si>
  <si>
    <t>Sandeep</t>
  </si>
  <si>
    <t>Anumeet</t>
  </si>
  <si>
    <t>Tejpal</t>
  </si>
  <si>
    <t>Hemant</t>
  </si>
  <si>
    <t>Meenakshi(15852)</t>
  </si>
  <si>
    <t>Meenakshi(26545)</t>
  </si>
  <si>
    <t>Meenkashi(16505)</t>
  </si>
  <si>
    <t>SATISH OJHA</t>
  </si>
  <si>
    <t>MONIKA PAWAR</t>
  </si>
  <si>
    <t>VIRRENDER SIROHA</t>
  </si>
  <si>
    <t>SAURABH MAITY</t>
  </si>
  <si>
    <t>SANDEEP ASWAL</t>
  </si>
  <si>
    <t>KARAN KAPOOR</t>
  </si>
  <si>
    <t>TEJPAL SAIN</t>
  </si>
  <si>
    <t>MANPREET KAUR</t>
  </si>
  <si>
    <t>JAISHRI SAXENA</t>
  </si>
  <si>
    <t>VINI SAINI</t>
  </si>
  <si>
    <t>ARJUN SHAW</t>
  </si>
  <si>
    <t>SHRIKANT BADGE</t>
  </si>
  <si>
    <t>Q. Highlight the Data as given month selected</t>
  </si>
  <si>
    <t>Sum of Qty</t>
  </si>
  <si>
    <t>Total Sum of Qty</t>
  </si>
  <si>
    <t>Values</t>
  </si>
  <si>
    <t>Total Sum of Value</t>
  </si>
  <si>
    <t>Sum of Value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</si>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</sst>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pivotButton="1"/>
    <xf numFmtId="14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18"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2" tint="-0.89996032593768116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2" tint="-0.89996032593768116"/>
        </patternFill>
      </fill>
    </dxf>
    <dxf>
      <fill>
        <patternFill>
          <bgColor rgb="FF00B0F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2" tint="-0.89996032593768116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22" fmlaLink="$J$1" fmlaRange="$A$2:$A$13" sel="4" val="0"/>
</file>

<file path=xl/ctrlProps/ctrlProp2.xml><?xml version="1.0" encoding="utf-8"?>
<formControlPr xmlns="http://schemas.microsoft.com/office/spreadsheetml/2009/9/main" objectType="Drop" dropStyle="combo" dx="22" fmlaLink="$L$1" fmlaRange="$A$2:$A$13" sel="8" val="4"/>
</file>

<file path=xl/ctrlProps/ctrlProp3.xml><?xml version="1.0" encoding="utf-8"?>
<formControlPr xmlns="http://schemas.microsoft.com/office/spreadsheetml/2009/9/main" objectType="Drop" dropStyle="combo" dx="26" fmlaLink="$I$20" fmlaRange="$A$2:$A$13" sel="5" val="0"/>
</file>

<file path=xl/ctrlProps/ctrlProp4.xml><?xml version="1.0" encoding="utf-8"?>
<formControlPr xmlns="http://schemas.microsoft.com/office/spreadsheetml/2009/9/main" objectType="Drop" dropStyle="combo" dx="26" fmlaLink="$K$20" fmlaRange="$A$2:$A$13" sel="12" val="4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5</xdr:row>
      <xdr:rowOff>114300</xdr:rowOff>
    </xdr:from>
    <xdr:to>
      <xdr:col>14</xdr:col>
      <xdr:colOff>123825</xdr:colOff>
      <xdr:row>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076825" y="1066800"/>
          <a:ext cx="4410075" cy="457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83820</xdr:colOff>
          <xdr:row>5</xdr:row>
          <xdr:rowOff>152400</xdr:rowOff>
        </xdr:from>
        <xdr:to>
          <xdr:col>9</xdr:col>
          <xdr:colOff>601980</xdr:colOff>
          <xdr:row>7</xdr:row>
          <xdr:rowOff>114300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5</xdr:row>
          <xdr:rowOff>160020</xdr:rowOff>
        </xdr:from>
        <xdr:to>
          <xdr:col>14</xdr:col>
          <xdr:colOff>0</xdr:colOff>
          <xdr:row>7</xdr:row>
          <xdr:rowOff>99060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12</xdr:row>
          <xdr:rowOff>76200</xdr:rowOff>
        </xdr:from>
        <xdr:to>
          <xdr:col>10</xdr:col>
          <xdr:colOff>213360</xdr:colOff>
          <xdr:row>15</xdr:row>
          <xdr:rowOff>0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12</xdr:row>
          <xdr:rowOff>76200</xdr:rowOff>
        </xdr:from>
        <xdr:to>
          <xdr:col>13</xdr:col>
          <xdr:colOff>220980</xdr:colOff>
          <xdr:row>15</xdr:row>
          <xdr:rowOff>0</xdr:rowOff>
        </xdr:to>
        <xdr:sp macro="" textlink="">
          <xdr:nvSpPr>
            <xdr:cNvPr id="1035" name="Drop Dow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4135.480293055552" createdVersion="6" refreshedVersion="6" minRefreshableVersion="3" recordCount="134" xr:uid="{17D72A39-5D42-4152-8691-F83BBC06AE49}">
  <cacheSource type="worksheet">
    <worksheetSource ref="A1:D135" sheet="Q 5"/>
  </cacheSource>
  <cacheFields count="4">
    <cacheField name="Section" numFmtId="0">
      <sharedItems count="9">
        <s v="A"/>
        <s v="B"/>
        <s v="C"/>
        <s v="D"/>
        <s v="E"/>
        <s v="F"/>
        <s v="G"/>
        <s v="H"/>
        <s v="I"/>
      </sharedItems>
    </cacheField>
    <cacheField name="Approved/Cancelled" numFmtId="0">
      <sharedItems count="2">
        <s v="Approved"/>
        <s v="Cancelled"/>
      </sharedItems>
    </cacheField>
    <cacheField name="Qty" numFmtId="0">
      <sharedItems containsSemiMixedTypes="0" containsString="0" containsNumber="1" containsInteger="1" minValue="8" maxValue="999"/>
    </cacheField>
    <cacheField name="Value" numFmtId="3">
      <sharedItems containsSemiMixedTypes="0" containsString="0" containsNumber="1" containsInteger="1" minValue="23237" maxValue="9986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177"/>
    <n v="530168"/>
  </r>
  <r>
    <x v="1"/>
    <x v="0"/>
    <n v="198"/>
    <n v="381107"/>
  </r>
  <r>
    <x v="2"/>
    <x v="1"/>
    <n v="222"/>
    <n v="520183"/>
  </r>
  <r>
    <x v="3"/>
    <x v="0"/>
    <n v="999"/>
    <n v="482789"/>
  </r>
  <r>
    <x v="4"/>
    <x v="0"/>
    <n v="625"/>
    <n v="686068"/>
  </r>
  <r>
    <x v="5"/>
    <x v="0"/>
    <n v="800"/>
    <n v="278438"/>
  </r>
  <r>
    <x v="6"/>
    <x v="1"/>
    <n v="478"/>
    <n v="693809"/>
  </r>
  <r>
    <x v="7"/>
    <x v="0"/>
    <n v="405"/>
    <n v="449841"/>
  </r>
  <r>
    <x v="8"/>
    <x v="0"/>
    <n v="231"/>
    <n v="511539"/>
  </r>
  <r>
    <x v="0"/>
    <x v="0"/>
    <n v="989"/>
    <n v="940289"/>
  </r>
  <r>
    <x v="1"/>
    <x v="1"/>
    <n v="641"/>
    <n v="844651"/>
  </r>
  <r>
    <x v="2"/>
    <x v="0"/>
    <n v="983"/>
    <n v="373381"/>
  </r>
  <r>
    <x v="3"/>
    <x v="0"/>
    <n v="295"/>
    <n v="48666"/>
  </r>
  <r>
    <x v="4"/>
    <x v="1"/>
    <n v="606"/>
    <n v="93314"/>
  </r>
  <r>
    <x v="5"/>
    <x v="0"/>
    <n v="886"/>
    <n v="941206"/>
  </r>
  <r>
    <x v="0"/>
    <x v="1"/>
    <n v="329"/>
    <n v="194735"/>
  </r>
  <r>
    <x v="1"/>
    <x v="0"/>
    <n v="627"/>
    <n v="360058"/>
  </r>
  <r>
    <x v="2"/>
    <x v="0"/>
    <n v="650"/>
    <n v="339908"/>
  </r>
  <r>
    <x v="3"/>
    <x v="0"/>
    <n v="266"/>
    <n v="920215"/>
  </r>
  <r>
    <x v="4"/>
    <x v="1"/>
    <n v="423"/>
    <n v="638626"/>
  </r>
  <r>
    <x v="5"/>
    <x v="0"/>
    <n v="69"/>
    <n v="911856"/>
  </r>
  <r>
    <x v="6"/>
    <x v="0"/>
    <n v="683"/>
    <n v="710226"/>
  </r>
  <r>
    <x v="7"/>
    <x v="1"/>
    <n v="948"/>
    <n v="273734"/>
  </r>
  <r>
    <x v="8"/>
    <x v="0"/>
    <n v="34"/>
    <n v="316205"/>
  </r>
  <r>
    <x v="0"/>
    <x v="0"/>
    <n v="674"/>
    <n v="250842"/>
  </r>
  <r>
    <x v="1"/>
    <x v="1"/>
    <n v="434"/>
    <n v="736614"/>
  </r>
  <r>
    <x v="2"/>
    <x v="0"/>
    <n v="190"/>
    <n v="459502"/>
  </r>
  <r>
    <x v="3"/>
    <x v="0"/>
    <n v="484"/>
    <n v="947110"/>
  </r>
  <r>
    <x v="4"/>
    <x v="0"/>
    <n v="835"/>
    <n v="351515"/>
  </r>
  <r>
    <x v="5"/>
    <x v="0"/>
    <n v="671"/>
    <n v="512866"/>
  </r>
  <r>
    <x v="6"/>
    <x v="0"/>
    <n v="670"/>
    <n v="36821"/>
  </r>
  <r>
    <x v="7"/>
    <x v="1"/>
    <n v="47"/>
    <n v="521755"/>
  </r>
  <r>
    <x v="8"/>
    <x v="0"/>
    <n v="640"/>
    <n v="625942"/>
  </r>
  <r>
    <x v="0"/>
    <x v="0"/>
    <n v="712"/>
    <n v="96076"/>
  </r>
  <r>
    <x v="1"/>
    <x v="0"/>
    <n v="631"/>
    <n v="966670"/>
  </r>
  <r>
    <x v="2"/>
    <x v="1"/>
    <n v="269"/>
    <n v="144780"/>
  </r>
  <r>
    <x v="3"/>
    <x v="0"/>
    <n v="643"/>
    <n v="23237"/>
  </r>
  <r>
    <x v="4"/>
    <x v="0"/>
    <n v="463"/>
    <n v="408689"/>
  </r>
  <r>
    <x v="5"/>
    <x v="0"/>
    <n v="627"/>
    <n v="28096"/>
  </r>
  <r>
    <x v="6"/>
    <x v="1"/>
    <n v="979"/>
    <n v="460133"/>
  </r>
  <r>
    <x v="7"/>
    <x v="0"/>
    <n v="131"/>
    <n v="847680"/>
  </r>
  <r>
    <x v="8"/>
    <x v="0"/>
    <n v="312"/>
    <n v="511225"/>
  </r>
  <r>
    <x v="0"/>
    <x v="0"/>
    <n v="834"/>
    <n v="95870"/>
  </r>
  <r>
    <x v="1"/>
    <x v="0"/>
    <n v="724"/>
    <n v="679534"/>
  </r>
  <r>
    <x v="2"/>
    <x v="1"/>
    <n v="536"/>
    <n v="834730"/>
  </r>
  <r>
    <x v="3"/>
    <x v="0"/>
    <n v="696"/>
    <n v="950398"/>
  </r>
  <r>
    <x v="4"/>
    <x v="0"/>
    <n v="56"/>
    <n v="144294"/>
  </r>
  <r>
    <x v="5"/>
    <x v="0"/>
    <n v="875"/>
    <n v="141941"/>
  </r>
  <r>
    <x v="6"/>
    <x v="1"/>
    <n v="980"/>
    <n v="591531"/>
  </r>
  <r>
    <x v="7"/>
    <x v="0"/>
    <n v="8"/>
    <n v="201227"/>
  </r>
  <r>
    <x v="8"/>
    <x v="0"/>
    <n v="689"/>
    <n v="768703"/>
  </r>
  <r>
    <x v="0"/>
    <x v="0"/>
    <n v="647"/>
    <n v="260790"/>
  </r>
  <r>
    <x v="1"/>
    <x v="1"/>
    <n v="155"/>
    <n v="194371"/>
  </r>
  <r>
    <x v="2"/>
    <x v="0"/>
    <n v="340"/>
    <n v="672395"/>
  </r>
  <r>
    <x v="3"/>
    <x v="0"/>
    <n v="829"/>
    <n v="725416"/>
  </r>
  <r>
    <x v="4"/>
    <x v="1"/>
    <n v="114"/>
    <n v="998663"/>
  </r>
  <r>
    <x v="5"/>
    <x v="0"/>
    <n v="900"/>
    <n v="972103"/>
  </r>
  <r>
    <x v="6"/>
    <x v="0"/>
    <n v="230"/>
    <n v="782450"/>
  </r>
  <r>
    <x v="7"/>
    <x v="1"/>
    <n v="460"/>
    <n v="143820"/>
  </r>
  <r>
    <x v="8"/>
    <x v="0"/>
    <n v="218"/>
    <n v="899028"/>
  </r>
  <r>
    <x v="1"/>
    <x v="0"/>
    <n v="800"/>
    <n v="278438"/>
  </r>
  <r>
    <x v="2"/>
    <x v="1"/>
    <n v="478"/>
    <n v="693809"/>
  </r>
  <r>
    <x v="3"/>
    <x v="0"/>
    <n v="405"/>
    <n v="449841"/>
  </r>
  <r>
    <x v="4"/>
    <x v="0"/>
    <n v="231"/>
    <n v="511539"/>
  </r>
  <r>
    <x v="5"/>
    <x v="0"/>
    <n v="989"/>
    <n v="940289"/>
  </r>
  <r>
    <x v="6"/>
    <x v="1"/>
    <n v="641"/>
    <n v="844651"/>
  </r>
  <r>
    <x v="7"/>
    <x v="0"/>
    <n v="983"/>
    <n v="373381"/>
  </r>
  <r>
    <x v="8"/>
    <x v="0"/>
    <n v="295"/>
    <n v="48666"/>
  </r>
  <r>
    <x v="0"/>
    <x v="1"/>
    <n v="606"/>
    <n v="93314"/>
  </r>
  <r>
    <x v="1"/>
    <x v="0"/>
    <n v="886"/>
    <n v="941206"/>
  </r>
  <r>
    <x v="2"/>
    <x v="0"/>
    <n v="440"/>
    <n v="798904"/>
  </r>
  <r>
    <x v="3"/>
    <x v="0"/>
    <n v="533"/>
    <n v="734153"/>
  </r>
  <r>
    <x v="4"/>
    <x v="1"/>
    <n v="165"/>
    <n v="733303"/>
  </r>
  <r>
    <x v="5"/>
    <x v="0"/>
    <n v="544"/>
    <n v="400546"/>
  </r>
  <r>
    <x v="6"/>
    <x v="0"/>
    <n v="590"/>
    <n v="216818"/>
  </r>
  <r>
    <x v="7"/>
    <x v="1"/>
    <n v="347"/>
    <n v="610996"/>
  </r>
  <r>
    <x v="8"/>
    <x v="0"/>
    <n v="860"/>
    <n v="834133"/>
  </r>
  <r>
    <x v="0"/>
    <x v="0"/>
    <n v="985"/>
    <n v="235945"/>
  </r>
  <r>
    <x v="1"/>
    <x v="0"/>
    <n v="177"/>
    <n v="530168"/>
  </r>
  <r>
    <x v="2"/>
    <x v="0"/>
    <n v="198"/>
    <n v="381107"/>
  </r>
  <r>
    <x v="3"/>
    <x v="1"/>
    <n v="222"/>
    <n v="520183"/>
  </r>
  <r>
    <x v="4"/>
    <x v="0"/>
    <n v="999"/>
    <n v="482789"/>
  </r>
  <r>
    <x v="5"/>
    <x v="0"/>
    <n v="625"/>
    <n v="686068"/>
  </r>
  <r>
    <x v="6"/>
    <x v="0"/>
    <n v="800"/>
    <n v="278438"/>
  </r>
  <r>
    <x v="7"/>
    <x v="1"/>
    <n v="478"/>
    <n v="693809"/>
  </r>
  <r>
    <x v="8"/>
    <x v="0"/>
    <n v="405"/>
    <n v="449841"/>
  </r>
  <r>
    <x v="0"/>
    <x v="0"/>
    <n v="231"/>
    <n v="511539"/>
  </r>
  <r>
    <x v="1"/>
    <x v="0"/>
    <n v="989"/>
    <n v="940289"/>
  </r>
  <r>
    <x v="2"/>
    <x v="1"/>
    <n v="641"/>
    <n v="844651"/>
  </r>
  <r>
    <x v="3"/>
    <x v="0"/>
    <n v="983"/>
    <n v="373381"/>
  </r>
  <r>
    <x v="4"/>
    <x v="0"/>
    <n v="295"/>
    <n v="48666"/>
  </r>
  <r>
    <x v="5"/>
    <x v="1"/>
    <n v="606"/>
    <n v="93314"/>
  </r>
  <r>
    <x v="6"/>
    <x v="0"/>
    <n v="886"/>
    <n v="941206"/>
  </r>
  <r>
    <x v="7"/>
    <x v="0"/>
    <n v="440"/>
    <n v="798904"/>
  </r>
  <r>
    <x v="8"/>
    <x v="0"/>
    <n v="533"/>
    <n v="734153"/>
  </r>
  <r>
    <x v="0"/>
    <x v="1"/>
    <n v="165"/>
    <n v="733303"/>
  </r>
  <r>
    <x v="1"/>
    <x v="0"/>
    <n v="544"/>
    <n v="400546"/>
  </r>
  <r>
    <x v="2"/>
    <x v="0"/>
    <n v="590"/>
    <n v="216818"/>
  </r>
  <r>
    <x v="3"/>
    <x v="1"/>
    <n v="347"/>
    <n v="610996"/>
  </r>
  <r>
    <x v="5"/>
    <x v="0"/>
    <n v="860"/>
    <n v="834133"/>
  </r>
  <r>
    <x v="6"/>
    <x v="0"/>
    <n v="985"/>
    <n v="235945"/>
  </r>
  <r>
    <x v="7"/>
    <x v="0"/>
    <n v="132"/>
    <n v="25431"/>
  </r>
  <r>
    <x v="8"/>
    <x v="1"/>
    <n v="863"/>
    <n v="340951"/>
  </r>
  <r>
    <x v="0"/>
    <x v="0"/>
    <n v="731"/>
    <n v="142566"/>
  </r>
  <r>
    <x v="1"/>
    <x v="0"/>
    <n v="360"/>
    <n v="609627"/>
  </r>
  <r>
    <x v="2"/>
    <x v="1"/>
    <n v="329"/>
    <n v="194735"/>
  </r>
  <r>
    <x v="3"/>
    <x v="0"/>
    <n v="627"/>
    <n v="360058"/>
  </r>
  <r>
    <x v="4"/>
    <x v="0"/>
    <n v="650"/>
    <n v="339908"/>
  </r>
  <r>
    <x v="5"/>
    <x v="0"/>
    <n v="266"/>
    <n v="920215"/>
  </r>
  <r>
    <x v="6"/>
    <x v="1"/>
    <n v="423"/>
    <n v="638626"/>
  </r>
  <r>
    <x v="7"/>
    <x v="0"/>
    <n v="69"/>
    <n v="911856"/>
  </r>
  <r>
    <x v="8"/>
    <x v="0"/>
    <n v="683"/>
    <n v="710226"/>
  </r>
  <r>
    <x v="1"/>
    <x v="1"/>
    <n v="948"/>
    <n v="273734"/>
  </r>
  <r>
    <x v="2"/>
    <x v="0"/>
    <n v="34"/>
    <n v="316205"/>
  </r>
  <r>
    <x v="3"/>
    <x v="0"/>
    <n v="674"/>
    <n v="250842"/>
  </r>
  <r>
    <x v="4"/>
    <x v="1"/>
    <n v="434"/>
    <n v="736614"/>
  </r>
  <r>
    <x v="5"/>
    <x v="0"/>
    <n v="190"/>
    <n v="459502"/>
  </r>
  <r>
    <x v="6"/>
    <x v="0"/>
    <n v="484"/>
    <n v="947110"/>
  </r>
  <r>
    <x v="7"/>
    <x v="0"/>
    <n v="835"/>
    <n v="351515"/>
  </r>
  <r>
    <x v="8"/>
    <x v="0"/>
    <n v="671"/>
    <n v="512866"/>
  </r>
  <r>
    <x v="0"/>
    <x v="0"/>
    <n v="670"/>
    <n v="36821"/>
  </r>
  <r>
    <x v="1"/>
    <x v="1"/>
    <n v="47"/>
    <n v="521755"/>
  </r>
  <r>
    <x v="2"/>
    <x v="0"/>
    <n v="640"/>
    <n v="625942"/>
  </r>
  <r>
    <x v="3"/>
    <x v="0"/>
    <n v="712"/>
    <n v="96076"/>
  </r>
  <r>
    <x v="4"/>
    <x v="0"/>
    <n v="631"/>
    <n v="966670"/>
  </r>
  <r>
    <x v="5"/>
    <x v="1"/>
    <n v="269"/>
    <n v="144780"/>
  </r>
  <r>
    <x v="6"/>
    <x v="0"/>
    <n v="643"/>
    <n v="23237"/>
  </r>
  <r>
    <x v="7"/>
    <x v="0"/>
    <n v="463"/>
    <n v="408689"/>
  </r>
  <r>
    <x v="8"/>
    <x v="0"/>
    <n v="627"/>
    <n v="28096"/>
  </r>
  <r>
    <x v="0"/>
    <x v="1"/>
    <n v="979"/>
    <n v="460133"/>
  </r>
  <r>
    <x v="1"/>
    <x v="0"/>
    <n v="131"/>
    <n v="847680"/>
  </r>
  <r>
    <x v="2"/>
    <x v="0"/>
    <n v="312"/>
    <n v="511225"/>
  </r>
  <r>
    <x v="3"/>
    <x v="0"/>
    <n v="834"/>
    <n v="95870"/>
  </r>
  <r>
    <x v="4"/>
    <x v="0"/>
    <n v="724"/>
    <n v="6795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0A166-52A0-4994-AA60-11C07589391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G30:M42" firstHeaderRow="1" firstDataRow="3" firstDataCol="1"/>
  <pivotFields count="4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numFmtId="3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Qty" fld="2" baseField="0" baseItem="0"/>
    <dataField name="Sum of Value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BFE3B-E65E-4DB2-95DD-F105C994A1D8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G16:M28" firstHeaderRow="1" firstDataRow="3" firstDataCol="1"/>
  <pivotFields count="4">
    <pivotField axis="axisRow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numFmtId="3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Qty" fld="2" baseField="0" baseItem="0"/>
    <dataField name="Sum of Val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8F38-D9CC-430A-8636-78A751E41E37}">
  <dimension ref="A1:J20"/>
  <sheetViews>
    <sheetView zoomScaleNormal="100" workbookViewId="0">
      <pane ySplit="1" topLeftCell="A2" activePane="bottomLeft" state="frozen"/>
      <selection activeCell="D6" sqref="D6:N19"/>
      <selection pane="bottomLeft" activeCell="E2" sqref="E2"/>
    </sheetView>
  </sheetViews>
  <sheetFormatPr defaultRowHeight="14.4" x14ac:dyDescent="0.3"/>
  <cols>
    <col min="1" max="1" width="10.33203125" bestFit="1" customWidth="1"/>
    <col min="2" max="2" width="10.5546875" bestFit="1" customWidth="1"/>
    <col min="3" max="3" width="15.33203125" customWidth="1"/>
    <col min="4" max="4" width="10.109375" customWidth="1"/>
    <col min="5" max="5" width="25.44140625" bestFit="1" customWidth="1"/>
    <col min="6" max="6" width="14.21875" customWidth="1"/>
  </cols>
  <sheetData>
    <row r="1" spans="1:10" x14ac:dyDescent="0.3">
      <c r="A1" s="11" t="s">
        <v>30</v>
      </c>
      <c r="B1" s="11" t="s">
        <v>42</v>
      </c>
      <c r="C1" s="11" t="s">
        <v>43</v>
      </c>
      <c r="D1" s="12" t="s">
        <v>44</v>
      </c>
      <c r="E1" s="12" t="s">
        <v>45</v>
      </c>
    </row>
    <row r="2" spans="1:10" x14ac:dyDescent="0.3">
      <c r="A2" s="9" t="s">
        <v>46</v>
      </c>
      <c r="B2" s="9">
        <v>30</v>
      </c>
      <c r="C2" s="13">
        <v>44104</v>
      </c>
      <c r="D2" s="13">
        <f>DATE(YEAR(C2),MONTH(C2),DAY(C2)+B2)</f>
        <v>44134</v>
      </c>
      <c r="E2" s="9">
        <f ca="1">DAYS360(D2,TODAY())</f>
        <v>1887</v>
      </c>
      <c r="F2" s="17">
        <f>C2+B2</f>
        <v>44134</v>
      </c>
      <c r="G2">
        <f ca="1">DATEDIF(F2, TODAY(),"d")</f>
        <v>1915</v>
      </c>
      <c r="H2">
        <f ca="1">_xlfn.DAYS(TODAY(),F2)</f>
        <v>1915</v>
      </c>
      <c r="J2">
        <f ca="1">DATEDIF(D2, TODAY(), "d")</f>
        <v>1915</v>
      </c>
    </row>
    <row r="3" spans="1:10" x14ac:dyDescent="0.3">
      <c r="A3" s="9" t="s">
        <v>47</v>
      </c>
      <c r="B3" s="14">
        <v>45</v>
      </c>
      <c r="C3" s="13">
        <v>43779</v>
      </c>
      <c r="D3" s="13">
        <f t="shared" ref="D3:D9" si="0">DATE(YEAR(C3),MONTH(C3),DAY(C3)+B3)</f>
        <v>43824</v>
      </c>
      <c r="E3" s="9">
        <f t="shared" ref="E3:E9" ca="1" si="1">DAYS360(D3,TODAY())</f>
        <v>2192</v>
      </c>
      <c r="F3" s="17">
        <f t="shared" ref="F3:F9" si="2">C3+B3</f>
        <v>43824</v>
      </c>
      <c r="G3">
        <f t="shared" ref="G3:G9" ca="1" si="3">DATEDIF(F3, TODAY(),"d")</f>
        <v>2225</v>
      </c>
      <c r="H3">
        <f t="shared" ref="H3:H9" ca="1" si="4">_xlfn.DAYS(TODAY(),F3)</f>
        <v>2225</v>
      </c>
    </row>
    <row r="4" spans="1:10" x14ac:dyDescent="0.3">
      <c r="A4" s="9" t="s">
        <v>48</v>
      </c>
      <c r="B4" s="9">
        <v>60</v>
      </c>
      <c r="C4" s="13">
        <v>43780</v>
      </c>
      <c r="D4" s="13">
        <f t="shared" si="0"/>
        <v>43840</v>
      </c>
      <c r="E4" s="9">
        <f t="shared" ca="1" si="1"/>
        <v>2177</v>
      </c>
      <c r="F4" s="17">
        <f t="shared" si="2"/>
        <v>43840</v>
      </c>
      <c r="G4">
        <f t="shared" ca="1" si="3"/>
        <v>2209</v>
      </c>
      <c r="H4">
        <f t="shared" ca="1" si="4"/>
        <v>2209</v>
      </c>
    </row>
    <row r="5" spans="1:10" x14ac:dyDescent="0.3">
      <c r="A5" s="9" t="s">
        <v>49</v>
      </c>
      <c r="B5" s="9">
        <v>90</v>
      </c>
      <c r="C5" s="13">
        <v>43782</v>
      </c>
      <c r="D5" s="13">
        <f t="shared" si="0"/>
        <v>43872</v>
      </c>
      <c r="E5" s="9">
        <f t="shared" ca="1" si="1"/>
        <v>2146</v>
      </c>
      <c r="F5" s="17">
        <f t="shared" si="2"/>
        <v>43872</v>
      </c>
      <c r="G5">
        <f t="shared" ca="1" si="3"/>
        <v>2177</v>
      </c>
      <c r="H5">
        <f t="shared" ca="1" si="4"/>
        <v>2177</v>
      </c>
    </row>
    <row r="6" spans="1:10" x14ac:dyDescent="0.3">
      <c r="A6" s="9" t="s">
        <v>50</v>
      </c>
      <c r="B6" s="9">
        <v>180</v>
      </c>
      <c r="C6" s="13">
        <v>43798</v>
      </c>
      <c r="D6" s="13">
        <f t="shared" si="0"/>
        <v>43978</v>
      </c>
      <c r="E6" s="9">
        <f t="shared" ca="1" si="1"/>
        <v>2040</v>
      </c>
      <c r="F6" s="17">
        <f t="shared" si="2"/>
        <v>43978</v>
      </c>
      <c r="G6">
        <f t="shared" ca="1" si="3"/>
        <v>2071</v>
      </c>
      <c r="H6">
        <f t="shared" ca="1" si="4"/>
        <v>2071</v>
      </c>
    </row>
    <row r="7" spans="1:10" x14ac:dyDescent="0.3">
      <c r="A7" s="9" t="s">
        <v>51</v>
      </c>
      <c r="B7" s="9">
        <v>60</v>
      </c>
      <c r="C7" s="13">
        <v>43799</v>
      </c>
      <c r="D7" s="13">
        <f t="shared" si="0"/>
        <v>43859</v>
      </c>
      <c r="E7" s="9">
        <f t="shared" ca="1" si="1"/>
        <v>2158</v>
      </c>
      <c r="F7" s="17">
        <f t="shared" si="2"/>
        <v>43859</v>
      </c>
      <c r="G7">
        <f t="shared" ca="1" si="3"/>
        <v>2190</v>
      </c>
      <c r="H7">
        <f t="shared" ca="1" si="4"/>
        <v>2190</v>
      </c>
    </row>
    <row r="8" spans="1:10" x14ac:dyDescent="0.3">
      <c r="A8" s="9" t="s">
        <v>52</v>
      </c>
      <c r="B8" s="9">
        <v>60</v>
      </c>
      <c r="C8" s="13">
        <v>43770</v>
      </c>
      <c r="D8" s="13">
        <f t="shared" si="0"/>
        <v>43830</v>
      </c>
      <c r="E8" s="9">
        <f t="shared" ca="1" si="1"/>
        <v>2187</v>
      </c>
      <c r="F8" s="17">
        <f t="shared" si="2"/>
        <v>43830</v>
      </c>
      <c r="G8">
        <f t="shared" ca="1" si="3"/>
        <v>2219</v>
      </c>
      <c r="H8">
        <f t="shared" ca="1" si="4"/>
        <v>2219</v>
      </c>
    </row>
    <row r="9" spans="1:10" x14ac:dyDescent="0.3">
      <c r="A9" s="9" t="s">
        <v>53</v>
      </c>
      <c r="B9" s="9">
        <v>90</v>
      </c>
      <c r="C9" s="13">
        <v>43809</v>
      </c>
      <c r="D9" s="13">
        <f t="shared" si="0"/>
        <v>43899</v>
      </c>
      <c r="E9" s="9">
        <f t="shared" ca="1" si="1"/>
        <v>2118</v>
      </c>
      <c r="F9" s="17">
        <f t="shared" si="2"/>
        <v>43899</v>
      </c>
      <c r="G9">
        <f t="shared" ca="1" si="3"/>
        <v>2150</v>
      </c>
      <c r="H9">
        <f t="shared" ca="1" si="4"/>
        <v>2150</v>
      </c>
    </row>
    <row r="13" spans="1:10" x14ac:dyDescent="0.3">
      <c r="F13">
        <f>_xlfn.DAYS(D2,C2)</f>
        <v>30</v>
      </c>
    </row>
    <row r="15" spans="1:10" x14ac:dyDescent="0.3">
      <c r="E15">
        <f ca="1">DATEDIF(D2,TODAY(), "d")</f>
        <v>1915</v>
      </c>
    </row>
    <row r="16" spans="1:10" x14ac:dyDescent="0.3">
      <c r="E16">
        <f t="shared" ref="E16:E20" ca="1" si="5">DATEDIF(D3,TODAY(), "d")</f>
        <v>2225</v>
      </c>
    </row>
    <row r="17" spans="5:5" x14ac:dyDescent="0.3">
      <c r="E17">
        <f t="shared" ca="1" si="5"/>
        <v>2209</v>
      </c>
    </row>
    <row r="18" spans="5:5" x14ac:dyDescent="0.3">
      <c r="E18">
        <f t="shared" ca="1" si="5"/>
        <v>2177</v>
      </c>
    </row>
    <row r="19" spans="5:5" x14ac:dyDescent="0.3">
      <c r="E19">
        <f t="shared" ca="1" si="5"/>
        <v>2071</v>
      </c>
    </row>
    <row r="20" spans="5:5" x14ac:dyDescent="0.3">
      <c r="E20">
        <f t="shared" ca="1" si="5"/>
        <v>2190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0F66-0A57-4ED6-AF63-79BEBD0E1928}">
  <dimension ref="A1:J5949"/>
  <sheetViews>
    <sheetView zoomScaleNormal="100" workbookViewId="0">
      <pane ySplit="1" topLeftCell="A2" activePane="bottomLeft" state="frozen"/>
      <selection pane="bottomLeft" activeCell="J4" sqref="J4:J19"/>
    </sheetView>
  </sheetViews>
  <sheetFormatPr defaultColWidth="9" defaultRowHeight="14.4" x14ac:dyDescent="0.3"/>
  <cols>
    <col min="1" max="1" width="16.33203125" style="3" bestFit="1" customWidth="1"/>
    <col min="2" max="2" width="10.44140625" style="3" bestFit="1" customWidth="1"/>
    <col min="3" max="3" width="9" style="3"/>
    <col min="4" max="4" width="18.88671875" style="3" bestFit="1" customWidth="1"/>
    <col min="5" max="5" width="25.109375" style="3" customWidth="1"/>
    <col min="6" max="16384" width="9" style="3"/>
  </cols>
  <sheetData>
    <row r="1" spans="1:10" x14ac:dyDescent="0.3">
      <c r="A1" s="1" t="s">
        <v>0</v>
      </c>
      <c r="B1" s="2" t="s">
        <v>1</v>
      </c>
      <c r="D1" s="18" t="s">
        <v>2</v>
      </c>
      <c r="E1" s="18"/>
    </row>
    <row r="2" spans="1:10" x14ac:dyDescent="0.3">
      <c r="A2" s="4" t="s">
        <v>3</v>
      </c>
      <c r="B2" s="4">
        <v>495</v>
      </c>
    </row>
    <row r="3" spans="1:10" x14ac:dyDescent="0.3">
      <c r="A3" s="4" t="s">
        <v>4</v>
      </c>
      <c r="B3" s="4">
        <v>976</v>
      </c>
      <c r="D3" s="5" t="s">
        <v>0</v>
      </c>
      <c r="E3" s="5" t="s">
        <v>5</v>
      </c>
    </row>
    <row r="4" spans="1:10" x14ac:dyDescent="0.3">
      <c r="A4" s="4" t="s">
        <v>6</v>
      </c>
      <c r="B4" s="4">
        <v>594</v>
      </c>
      <c r="D4" s="4" t="s">
        <v>3</v>
      </c>
      <c r="E4" s="4">
        <f>SUMIFS($B:$B,$A:$A,D4,$B:$B,"&lt;&gt;#N/A",$B:$B,"&lt;&gt;#REF!")</f>
        <v>171113</v>
      </c>
      <c r="F4" s="3" cm="1">
        <f t="array" ref="F4">SUMPRODUCT((--($A$2:$A$5949 =D4))*(IFERROR($B$2:$B$5949,0)))</f>
        <v>171113</v>
      </c>
      <c r="H4" s="3" cm="1">
        <f t="array" ref="H4">SUMPRODUCT(--($A$2:$A$5949=D4),IFERROR( $B$2:$B$5949, 0))</f>
        <v>171113</v>
      </c>
      <c r="J4" s="3" cm="1">
        <f t="array" ref="J4">SUMPRODUCT(--($A$2:$A$5949=D4),IFERROR($B$2:$B$5949,0))</f>
        <v>171113</v>
      </c>
    </row>
    <row r="5" spans="1:10" x14ac:dyDescent="0.3">
      <c r="A5" s="4" t="s">
        <v>7</v>
      </c>
      <c r="B5" s="4">
        <v>740</v>
      </c>
      <c r="D5" s="4" t="s">
        <v>8</v>
      </c>
      <c r="E5" s="4">
        <f t="shared" ref="E5:E19" si="0">SUMIFS($B:$B,$A:$A,D5,$B:$B,"&lt;&gt;#N/A",$B:$B,"&lt;&gt;#REF!")</f>
        <v>172002</v>
      </c>
      <c r="F5" s="3" cm="1">
        <f t="array" ref="F5">SUMPRODUCT((--($A$2:$A$5949 =D5))*(IFERROR($B$2:$B$5949,0)))</f>
        <v>172002</v>
      </c>
      <c r="H5" s="3" cm="1">
        <f t="array" ref="H5">SUMPRODUCT(--($A$2:$A$5949=D5),IFERROR( $B$2:$B$5949, 0))</f>
        <v>172002</v>
      </c>
      <c r="J5" s="3" cm="1">
        <f t="array" ref="J5">SUMPRODUCT(--($A$2:$A$5949=D5),IFERROR($B$2:$B$5949,0))</f>
        <v>172002</v>
      </c>
    </row>
    <row r="6" spans="1:10" x14ac:dyDescent="0.3">
      <c r="A6" s="4" t="s">
        <v>9</v>
      </c>
      <c r="B6" s="4">
        <v>679</v>
      </c>
      <c r="D6" s="4" t="s">
        <v>10</v>
      </c>
      <c r="E6" s="4">
        <f t="shared" si="0"/>
        <v>377218</v>
      </c>
      <c r="F6" s="3" cm="1">
        <f t="array" ref="F6">SUMPRODUCT((--($A$2:$A$5949 =D6))*(IFERROR($B$2:$B$5949,0)))</f>
        <v>377218</v>
      </c>
      <c r="H6" s="3" cm="1">
        <f t="array" ref="H6">SUMPRODUCT(--($A$2:$A$5949=D6),IFERROR( $B$2:$B$5949, 0))</f>
        <v>377218</v>
      </c>
      <c r="J6" s="3" cm="1">
        <f t="array" ref="J6">SUMPRODUCT(--($A$2:$A$5949=D6),IFERROR($B$2:$B$5949,0))</f>
        <v>377218</v>
      </c>
    </row>
    <row r="7" spans="1:10" x14ac:dyDescent="0.3">
      <c r="A7" s="4" t="s">
        <v>11</v>
      </c>
      <c r="B7" s="6" t="e">
        <v>#N/A</v>
      </c>
      <c r="D7" s="4" t="s">
        <v>4</v>
      </c>
      <c r="E7" s="4">
        <f t="shared" si="0"/>
        <v>281801</v>
      </c>
      <c r="F7" s="3" cm="1">
        <f t="array" ref="F7">SUMPRODUCT((--($A$2:$A$5949 =D7))*(IFERROR($B$2:$B$5949,0)))</f>
        <v>281801</v>
      </c>
      <c r="H7" s="3" cm="1">
        <f t="array" ref="H7">SUMPRODUCT(--($A$2:$A$5949=D7),IFERROR( $B$2:$B$5949, 0))</f>
        <v>281801</v>
      </c>
      <c r="J7" s="3" cm="1">
        <f t="array" ref="J7">SUMPRODUCT(--($A$2:$A$5949=D7),IFERROR($B$2:$B$5949,0))</f>
        <v>281801</v>
      </c>
    </row>
    <row r="8" spans="1:10" x14ac:dyDescent="0.3">
      <c r="A8" s="4" t="s">
        <v>12</v>
      </c>
      <c r="B8" s="4">
        <v>731</v>
      </c>
      <c r="D8" s="4" t="s">
        <v>13</v>
      </c>
      <c r="E8" s="4">
        <f t="shared" si="0"/>
        <v>141844</v>
      </c>
      <c r="F8" s="3" cm="1">
        <f t="array" ref="F8">SUMPRODUCT((--($A$2:$A$5949 =D8))*(IFERROR($B$2:$B$5949,0)))</f>
        <v>141844</v>
      </c>
      <c r="H8" s="3" cm="1">
        <f t="array" ref="H8">SUMPRODUCT(--($A$2:$A$5949=D8),IFERROR( $B$2:$B$5949, 0))</f>
        <v>141844</v>
      </c>
      <c r="J8" s="3" cm="1">
        <f t="array" ref="J8">SUMPRODUCT(--($A$2:$A$5949=D8),IFERROR($B$2:$B$5949,0))</f>
        <v>141844</v>
      </c>
    </row>
    <row r="9" spans="1:10" x14ac:dyDescent="0.3">
      <c r="A9" s="4" t="s">
        <v>10</v>
      </c>
      <c r="B9" s="4">
        <v>902</v>
      </c>
      <c r="D9" s="4" t="s">
        <v>14</v>
      </c>
      <c r="E9" s="4">
        <f t="shared" si="0"/>
        <v>178078</v>
      </c>
      <c r="F9" s="3" cm="1">
        <f t="array" ref="F9">SUMPRODUCT((--($A$2:$A$5949 =D9))*(IFERROR($B$2:$B$5949,0)))</f>
        <v>178078</v>
      </c>
      <c r="H9" s="3" cm="1">
        <f t="array" ref="H9">SUMPRODUCT(--($A$2:$A$5949=D9),IFERROR( $B$2:$B$5949, 0))</f>
        <v>178078</v>
      </c>
      <c r="J9" s="3" cm="1">
        <f t="array" ref="J9">SUMPRODUCT(--($A$2:$A$5949=D9),IFERROR($B$2:$B$5949,0))</f>
        <v>178078</v>
      </c>
    </row>
    <row r="10" spans="1:10" x14ac:dyDescent="0.3">
      <c r="A10" s="4" t="s">
        <v>10</v>
      </c>
      <c r="B10" s="4">
        <v>920</v>
      </c>
      <c r="D10" s="4" t="s">
        <v>15</v>
      </c>
      <c r="E10" s="4">
        <f t="shared" si="0"/>
        <v>163332</v>
      </c>
      <c r="F10" s="3" cm="1">
        <f t="array" ref="F10">SUMPRODUCT((--($A$2:$A$5949 =D10))*(IFERROR($B$2:$B$5949,0)))</f>
        <v>163332</v>
      </c>
      <c r="H10" s="3" cm="1">
        <f t="array" ref="H10">SUMPRODUCT(--($A$2:$A$5949=D10),IFERROR( $B$2:$B$5949, 0))</f>
        <v>163332</v>
      </c>
      <c r="J10" s="3" cm="1">
        <f t="array" ref="J10">SUMPRODUCT(--($A$2:$A$5949=D10),IFERROR($B$2:$B$5949,0))</f>
        <v>163332</v>
      </c>
    </row>
    <row r="11" spans="1:10" x14ac:dyDescent="0.3">
      <c r="A11" s="4" t="s">
        <v>3</v>
      </c>
      <c r="B11" s="4">
        <v>272</v>
      </c>
      <c r="D11" s="4" t="s">
        <v>16</v>
      </c>
      <c r="E11" s="4">
        <f t="shared" si="0"/>
        <v>134293</v>
      </c>
      <c r="F11" s="3" cm="1">
        <f t="array" ref="F11">SUMPRODUCT((--($A$2:$A$5949 =D11))*(IFERROR($B$2:$B$5949,0)))</f>
        <v>134293</v>
      </c>
      <c r="H11" s="3" cm="1">
        <f t="array" ref="H11">SUMPRODUCT(--($A$2:$A$5949=D11),IFERROR( $B$2:$B$5949, 0))</f>
        <v>134293</v>
      </c>
      <c r="J11" s="3" cm="1">
        <f t="array" ref="J11">SUMPRODUCT(--($A$2:$A$5949=D11),IFERROR($B$2:$B$5949,0))</f>
        <v>134293</v>
      </c>
    </row>
    <row r="12" spans="1:10" x14ac:dyDescent="0.3">
      <c r="A12" s="4" t="s">
        <v>4</v>
      </c>
      <c r="B12" s="4">
        <v>871</v>
      </c>
      <c r="D12" s="4" t="s">
        <v>17</v>
      </c>
      <c r="E12" s="4">
        <f t="shared" si="0"/>
        <v>142914</v>
      </c>
      <c r="F12" s="3" cm="1">
        <f t="array" ref="F12">SUMPRODUCT((--($A$2:$A$5949 =D12))*(IFERROR($B$2:$B$5949,0)))</f>
        <v>142914</v>
      </c>
      <c r="H12" s="3" cm="1">
        <f t="array" ref="H12">SUMPRODUCT(--($A$2:$A$5949=D12),IFERROR( $B$2:$B$5949, 0))</f>
        <v>142914</v>
      </c>
      <c r="J12" s="3" cm="1">
        <f t="array" ref="J12">SUMPRODUCT(--($A$2:$A$5949=D12),IFERROR($B$2:$B$5949,0))</f>
        <v>142914</v>
      </c>
    </row>
    <row r="13" spans="1:10" x14ac:dyDescent="0.3">
      <c r="A13" s="4" t="s">
        <v>18</v>
      </c>
      <c r="B13" s="4">
        <v>253</v>
      </c>
      <c r="D13" s="4" t="s">
        <v>12</v>
      </c>
      <c r="E13" s="4">
        <f t="shared" si="0"/>
        <v>195261</v>
      </c>
      <c r="F13" s="3" cm="1">
        <f t="array" ref="F13">SUMPRODUCT((--($A$2:$A$5949 =D13))*(IFERROR($B$2:$B$5949,0)))</f>
        <v>195261</v>
      </c>
      <c r="H13" s="3" cm="1">
        <f t="array" ref="H13">SUMPRODUCT(--($A$2:$A$5949=D13),IFERROR( $B$2:$B$5949, 0))</f>
        <v>195261</v>
      </c>
      <c r="J13" s="3" cm="1">
        <f t="array" ref="J13">SUMPRODUCT(--($A$2:$A$5949=D13),IFERROR($B$2:$B$5949,0))</f>
        <v>195261</v>
      </c>
    </row>
    <row r="14" spans="1:10" x14ac:dyDescent="0.3">
      <c r="A14" s="4" t="s">
        <v>3</v>
      </c>
      <c r="B14" s="4">
        <v>662</v>
      </c>
      <c r="D14" s="4" t="s">
        <v>6</v>
      </c>
      <c r="E14" s="4">
        <f t="shared" si="0"/>
        <v>228415</v>
      </c>
      <c r="F14" s="3" cm="1">
        <f t="array" ref="F14">SUMPRODUCT((--($A$2:$A$5949 =D14))*(IFERROR($B$2:$B$5949,0)))</f>
        <v>228415</v>
      </c>
      <c r="H14" s="3" cm="1">
        <f t="array" ref="H14">SUMPRODUCT(--($A$2:$A$5949=D14),IFERROR( $B$2:$B$5949, 0))</f>
        <v>228415</v>
      </c>
      <c r="J14" s="3" cm="1">
        <f t="array" ref="J14">SUMPRODUCT(--($A$2:$A$5949=D14),IFERROR($B$2:$B$5949,0))</f>
        <v>228415</v>
      </c>
    </row>
    <row r="15" spans="1:10" x14ac:dyDescent="0.3">
      <c r="A15" s="4" t="s">
        <v>18</v>
      </c>
      <c r="B15" s="4">
        <v>501</v>
      </c>
      <c r="D15" s="4" t="s">
        <v>18</v>
      </c>
      <c r="E15" s="4">
        <f t="shared" si="0"/>
        <v>171433</v>
      </c>
      <c r="F15" s="3" cm="1">
        <f t="array" ref="F15">SUMPRODUCT((--($A$2:$A$5949 =D15))*(IFERROR($B$2:$B$5949,0)))</f>
        <v>171433</v>
      </c>
      <c r="H15" s="3" cm="1">
        <f t="array" ref="H15">SUMPRODUCT(--($A$2:$A$5949=D15),IFERROR( $B$2:$B$5949, 0))</f>
        <v>171433</v>
      </c>
      <c r="J15" s="3" cm="1">
        <f t="array" ref="J15">SUMPRODUCT(--($A$2:$A$5949=D15),IFERROR($B$2:$B$5949,0))</f>
        <v>171433</v>
      </c>
    </row>
    <row r="16" spans="1:10" x14ac:dyDescent="0.3">
      <c r="A16" s="4" t="s">
        <v>16</v>
      </c>
      <c r="B16" s="4" t="e">
        <v>#REF!</v>
      </c>
      <c r="D16" s="4" t="s">
        <v>7</v>
      </c>
      <c r="E16" s="4">
        <f t="shared" si="0"/>
        <v>211340</v>
      </c>
      <c r="F16" s="3" cm="1">
        <f t="array" ref="F16">SUMPRODUCT((--($A$2:$A$5949 =D16))*(IFERROR($B$2:$B$5949,0)))</f>
        <v>211340</v>
      </c>
      <c r="H16" s="3" cm="1">
        <f t="array" ref="H16">SUMPRODUCT(--($A$2:$A$5949=D16),IFERROR( $B$2:$B$5949, 0))</f>
        <v>211340</v>
      </c>
      <c r="J16" s="3" cm="1">
        <f t="array" ref="J16">SUMPRODUCT(--($A$2:$A$5949=D16),IFERROR($B$2:$B$5949,0))</f>
        <v>211340</v>
      </c>
    </row>
    <row r="17" spans="1:10" x14ac:dyDescent="0.3">
      <c r="A17" s="4" t="s">
        <v>15</v>
      </c>
      <c r="B17" s="4">
        <v>29</v>
      </c>
      <c r="D17" s="4" t="s">
        <v>11</v>
      </c>
      <c r="E17" s="4">
        <f t="shared" si="0"/>
        <v>177477</v>
      </c>
      <c r="F17" s="3" cm="1">
        <f t="array" ref="F17">SUMPRODUCT((--($A$2:$A$5949 =D17))*(IFERROR($B$2:$B$5949,0)))</f>
        <v>177477</v>
      </c>
      <c r="H17" s="3" cm="1">
        <f t="array" ref="H17">SUMPRODUCT(--($A$2:$A$5949=D17),IFERROR( $B$2:$B$5949, 0))</f>
        <v>177477</v>
      </c>
      <c r="J17" s="3" cm="1">
        <f t="array" ref="J17">SUMPRODUCT(--($A$2:$A$5949=D17),IFERROR($B$2:$B$5949,0))</f>
        <v>177477</v>
      </c>
    </row>
    <row r="18" spans="1:10" x14ac:dyDescent="0.3">
      <c r="A18" s="4" t="s">
        <v>10</v>
      </c>
      <c r="B18" s="4">
        <v>739</v>
      </c>
      <c r="D18" s="4" t="s">
        <v>19</v>
      </c>
      <c r="E18" s="4">
        <f t="shared" si="0"/>
        <v>240479</v>
      </c>
      <c r="F18" s="3" cm="1">
        <f t="array" ref="F18">SUMPRODUCT((--($A$2:$A$5949 =D18))*(IFERROR($B$2:$B$5949,0)))</f>
        <v>240479</v>
      </c>
      <c r="H18" s="3" cm="1">
        <f t="array" ref="H18">SUMPRODUCT(--($A$2:$A$5949=D18),IFERROR( $B$2:$B$5949, 0))</f>
        <v>240479</v>
      </c>
      <c r="J18" s="3" cm="1">
        <f t="array" ref="J18">SUMPRODUCT(--($A$2:$A$5949=D18),IFERROR($B$2:$B$5949,0))</f>
        <v>240479</v>
      </c>
    </row>
    <row r="19" spans="1:10" x14ac:dyDescent="0.3">
      <c r="A19" s="4" t="s">
        <v>16</v>
      </c>
      <c r="B19" s="4">
        <v>875</v>
      </c>
      <c r="D19" s="4" t="s">
        <v>9</v>
      </c>
      <c r="E19" s="4">
        <f t="shared" si="0"/>
        <v>196823</v>
      </c>
      <c r="F19" s="3" cm="1">
        <f t="array" ref="F19">SUMPRODUCT((--($A$2:$A$5949 =D19))*(IFERROR($B$2:$B$5949,0)))</f>
        <v>196823</v>
      </c>
      <c r="H19" s="3" cm="1">
        <f t="array" ref="H19">SUMPRODUCT(--($A$2:$A$5949=D19),IFERROR( $B$2:$B$5949, 0))</f>
        <v>196823</v>
      </c>
      <c r="J19" s="3" cm="1">
        <f t="array" ref="J19">SUMPRODUCT(--($A$2:$A$5949=D19),IFERROR($B$2:$B$5949,0))</f>
        <v>196823</v>
      </c>
    </row>
    <row r="20" spans="1:10" x14ac:dyDescent="0.3">
      <c r="A20" s="4" t="s">
        <v>8</v>
      </c>
      <c r="B20" s="4">
        <v>397</v>
      </c>
      <c r="D20"/>
    </row>
    <row r="21" spans="1:10" x14ac:dyDescent="0.3">
      <c r="A21" s="4" t="s">
        <v>3</v>
      </c>
      <c r="B21" s="4">
        <v>694</v>
      </c>
      <c r="D21"/>
    </row>
    <row r="22" spans="1:10" x14ac:dyDescent="0.3">
      <c r="A22" s="4" t="s">
        <v>10</v>
      </c>
      <c r="B22" s="4">
        <v>258</v>
      </c>
      <c r="D22"/>
    </row>
    <row r="23" spans="1:10" x14ac:dyDescent="0.3">
      <c r="A23" s="4" t="s">
        <v>15</v>
      </c>
      <c r="B23" s="4">
        <v>994</v>
      </c>
      <c r="D23"/>
    </row>
    <row r="24" spans="1:10" x14ac:dyDescent="0.3">
      <c r="A24" s="4" t="s">
        <v>9</v>
      </c>
      <c r="B24" s="4">
        <v>733</v>
      </c>
      <c r="D24"/>
    </row>
    <row r="25" spans="1:10" x14ac:dyDescent="0.3">
      <c r="A25" s="4" t="s">
        <v>12</v>
      </c>
      <c r="B25" s="4">
        <v>728</v>
      </c>
      <c r="D25"/>
    </row>
    <row r="26" spans="1:10" x14ac:dyDescent="0.3">
      <c r="A26" s="4" t="s">
        <v>3</v>
      </c>
      <c r="B26" s="4">
        <v>910</v>
      </c>
      <c r="D26"/>
    </row>
    <row r="27" spans="1:10" x14ac:dyDescent="0.3">
      <c r="A27" s="4" t="s">
        <v>10</v>
      </c>
      <c r="B27" s="4">
        <v>709</v>
      </c>
      <c r="D27"/>
    </row>
    <row r="28" spans="1:10" x14ac:dyDescent="0.3">
      <c r="A28" s="4" t="s">
        <v>13</v>
      </c>
      <c r="B28" s="4">
        <v>147</v>
      </c>
      <c r="D28"/>
    </row>
    <row r="29" spans="1:10" x14ac:dyDescent="0.3">
      <c r="A29" s="4" t="s">
        <v>14</v>
      </c>
      <c r="B29" s="4">
        <v>199</v>
      </c>
      <c r="D29"/>
    </row>
    <row r="30" spans="1:10" x14ac:dyDescent="0.3">
      <c r="A30" s="4" t="s">
        <v>10</v>
      </c>
      <c r="B30" s="4">
        <v>692</v>
      </c>
      <c r="D30"/>
    </row>
    <row r="31" spans="1:10" x14ac:dyDescent="0.3">
      <c r="A31" s="4" t="s">
        <v>3</v>
      </c>
      <c r="B31" s="4">
        <v>3</v>
      </c>
      <c r="D31"/>
    </row>
    <row r="32" spans="1:10" x14ac:dyDescent="0.3">
      <c r="A32" s="4" t="s">
        <v>6</v>
      </c>
      <c r="B32" s="4">
        <v>325</v>
      </c>
      <c r="D32"/>
    </row>
    <row r="33" spans="1:4" x14ac:dyDescent="0.3">
      <c r="A33" s="4" t="s">
        <v>7</v>
      </c>
      <c r="B33" s="4">
        <v>883</v>
      </c>
      <c r="D33"/>
    </row>
    <row r="34" spans="1:4" x14ac:dyDescent="0.3">
      <c r="A34" s="4" t="s">
        <v>10</v>
      </c>
      <c r="B34" s="4">
        <v>614</v>
      </c>
      <c r="D34"/>
    </row>
    <row r="35" spans="1:4" x14ac:dyDescent="0.3">
      <c r="A35" s="4" t="s">
        <v>13</v>
      </c>
      <c r="B35" s="4">
        <v>147</v>
      </c>
      <c r="D35"/>
    </row>
    <row r="36" spans="1:4" x14ac:dyDescent="0.3">
      <c r="A36" s="4" t="s">
        <v>9</v>
      </c>
      <c r="B36" s="4">
        <v>380</v>
      </c>
      <c r="D36"/>
    </row>
    <row r="37" spans="1:4" x14ac:dyDescent="0.3">
      <c r="A37" s="4" t="s">
        <v>16</v>
      </c>
      <c r="B37" s="4">
        <v>161</v>
      </c>
      <c r="D37"/>
    </row>
    <row r="38" spans="1:4" x14ac:dyDescent="0.3">
      <c r="A38" s="4" t="s">
        <v>3</v>
      </c>
      <c r="B38" s="4">
        <v>303</v>
      </c>
      <c r="D38"/>
    </row>
    <row r="39" spans="1:4" x14ac:dyDescent="0.3">
      <c r="A39" s="4" t="s">
        <v>9</v>
      </c>
      <c r="B39" s="4">
        <v>369</v>
      </c>
      <c r="D39"/>
    </row>
    <row r="40" spans="1:4" x14ac:dyDescent="0.3">
      <c r="A40" s="4" t="s">
        <v>12</v>
      </c>
      <c r="B40" s="4">
        <v>398</v>
      </c>
      <c r="D40"/>
    </row>
    <row r="41" spans="1:4" x14ac:dyDescent="0.3">
      <c r="A41" s="4" t="s">
        <v>10</v>
      </c>
      <c r="B41" s="4">
        <v>412</v>
      </c>
      <c r="D41"/>
    </row>
    <row r="42" spans="1:4" x14ac:dyDescent="0.3">
      <c r="A42" s="4" t="s">
        <v>4</v>
      </c>
      <c r="B42" s="4">
        <v>943</v>
      </c>
      <c r="D42"/>
    </row>
    <row r="43" spans="1:4" x14ac:dyDescent="0.3">
      <c r="A43" s="4" t="s">
        <v>12</v>
      </c>
      <c r="B43" s="4">
        <v>188</v>
      </c>
      <c r="D43"/>
    </row>
    <row r="44" spans="1:4" x14ac:dyDescent="0.3">
      <c r="A44" s="4" t="s">
        <v>4</v>
      </c>
      <c r="B44" s="4">
        <v>597</v>
      </c>
      <c r="D44"/>
    </row>
    <row r="45" spans="1:4" x14ac:dyDescent="0.3">
      <c r="A45" s="4" t="s">
        <v>10</v>
      </c>
      <c r="B45" s="4">
        <v>263</v>
      </c>
      <c r="D45"/>
    </row>
    <row r="46" spans="1:4" x14ac:dyDescent="0.3">
      <c r="A46" s="4" t="s">
        <v>14</v>
      </c>
      <c r="B46" s="4">
        <v>776</v>
      </c>
      <c r="D46"/>
    </row>
    <row r="47" spans="1:4" x14ac:dyDescent="0.3">
      <c r="A47" s="4" t="s">
        <v>14</v>
      </c>
      <c r="B47" s="4">
        <v>671</v>
      </c>
      <c r="D47"/>
    </row>
    <row r="48" spans="1:4" x14ac:dyDescent="0.3">
      <c r="A48" s="4" t="s">
        <v>12</v>
      </c>
      <c r="B48" s="4">
        <v>115</v>
      </c>
      <c r="D48"/>
    </row>
    <row r="49" spans="1:4" x14ac:dyDescent="0.3">
      <c r="A49" s="4" t="s">
        <v>7</v>
      </c>
      <c r="B49" s="4">
        <v>198</v>
      </c>
      <c r="D49"/>
    </row>
    <row r="50" spans="1:4" x14ac:dyDescent="0.3">
      <c r="A50" s="4" t="s">
        <v>4</v>
      </c>
      <c r="B50" s="4">
        <v>254</v>
      </c>
      <c r="D50"/>
    </row>
    <row r="51" spans="1:4" x14ac:dyDescent="0.3">
      <c r="A51" s="4" t="s">
        <v>7</v>
      </c>
      <c r="B51" s="4">
        <v>924</v>
      </c>
      <c r="D51"/>
    </row>
    <row r="52" spans="1:4" x14ac:dyDescent="0.3">
      <c r="A52" s="4" t="s">
        <v>10</v>
      </c>
      <c r="B52" s="4">
        <v>605</v>
      </c>
      <c r="D52"/>
    </row>
    <row r="53" spans="1:4" x14ac:dyDescent="0.3">
      <c r="A53" s="4" t="s">
        <v>18</v>
      </c>
      <c r="B53" s="4">
        <v>222</v>
      </c>
      <c r="D53"/>
    </row>
    <row r="54" spans="1:4" x14ac:dyDescent="0.3">
      <c r="A54" s="4" t="s">
        <v>11</v>
      </c>
      <c r="B54" s="4">
        <v>887</v>
      </c>
      <c r="D54"/>
    </row>
    <row r="55" spans="1:4" x14ac:dyDescent="0.3">
      <c r="A55" s="4" t="s">
        <v>19</v>
      </c>
      <c r="B55" s="4">
        <v>614</v>
      </c>
      <c r="D55"/>
    </row>
    <row r="56" spans="1:4" x14ac:dyDescent="0.3">
      <c r="A56" s="4" t="s">
        <v>12</v>
      </c>
      <c r="B56" s="4">
        <v>851</v>
      </c>
      <c r="D56"/>
    </row>
    <row r="57" spans="1:4" x14ac:dyDescent="0.3">
      <c r="A57" s="4" t="s">
        <v>6</v>
      </c>
      <c r="B57" s="4">
        <v>493</v>
      </c>
      <c r="D57"/>
    </row>
    <row r="58" spans="1:4" x14ac:dyDescent="0.3">
      <c r="A58" s="4" t="s">
        <v>7</v>
      </c>
      <c r="B58" s="4">
        <v>822</v>
      </c>
      <c r="D58"/>
    </row>
    <row r="59" spans="1:4" x14ac:dyDescent="0.3">
      <c r="A59" s="4" t="s">
        <v>3</v>
      </c>
      <c r="B59" s="4">
        <v>823</v>
      </c>
      <c r="D59"/>
    </row>
    <row r="60" spans="1:4" x14ac:dyDescent="0.3">
      <c r="A60" s="4" t="s">
        <v>8</v>
      </c>
      <c r="B60" s="4">
        <v>721</v>
      </c>
      <c r="D60"/>
    </row>
    <row r="61" spans="1:4" x14ac:dyDescent="0.3">
      <c r="A61" s="4" t="s">
        <v>7</v>
      </c>
      <c r="B61" s="4">
        <v>503</v>
      </c>
      <c r="D61"/>
    </row>
    <row r="62" spans="1:4" x14ac:dyDescent="0.3">
      <c r="A62" s="4" t="s">
        <v>10</v>
      </c>
      <c r="B62" s="4">
        <v>837</v>
      </c>
      <c r="D62"/>
    </row>
    <row r="63" spans="1:4" x14ac:dyDescent="0.3">
      <c r="A63" s="4" t="s">
        <v>19</v>
      </c>
      <c r="B63" s="4">
        <v>835</v>
      </c>
      <c r="D63"/>
    </row>
    <row r="64" spans="1:4" x14ac:dyDescent="0.3">
      <c r="A64" s="4" t="s">
        <v>8</v>
      </c>
      <c r="B64" s="4" t="e">
        <v>#REF!</v>
      </c>
      <c r="D64"/>
    </row>
    <row r="65" spans="1:4" x14ac:dyDescent="0.3">
      <c r="A65" s="4" t="s">
        <v>12</v>
      </c>
      <c r="B65" s="4">
        <v>757</v>
      </c>
      <c r="D65"/>
    </row>
    <row r="66" spans="1:4" x14ac:dyDescent="0.3">
      <c r="A66" s="4" t="s">
        <v>6</v>
      </c>
      <c r="B66" s="4">
        <v>722</v>
      </c>
      <c r="D66"/>
    </row>
    <row r="67" spans="1:4" x14ac:dyDescent="0.3">
      <c r="A67" s="4" t="s">
        <v>13</v>
      </c>
      <c r="B67" s="4">
        <v>244</v>
      </c>
      <c r="D67"/>
    </row>
    <row r="68" spans="1:4" x14ac:dyDescent="0.3">
      <c r="A68" s="4" t="s">
        <v>6</v>
      </c>
      <c r="B68" s="4">
        <v>396</v>
      </c>
      <c r="D68"/>
    </row>
    <row r="69" spans="1:4" x14ac:dyDescent="0.3">
      <c r="A69" s="4" t="s">
        <v>3</v>
      </c>
      <c r="B69" s="4">
        <v>474</v>
      </c>
      <c r="D69"/>
    </row>
    <row r="70" spans="1:4" x14ac:dyDescent="0.3">
      <c r="A70" s="4" t="s">
        <v>19</v>
      </c>
      <c r="B70" s="4">
        <v>941</v>
      </c>
      <c r="D70"/>
    </row>
    <row r="71" spans="1:4" x14ac:dyDescent="0.3">
      <c r="A71" s="4" t="s">
        <v>9</v>
      </c>
      <c r="B71" s="4">
        <v>424</v>
      </c>
      <c r="D71"/>
    </row>
    <row r="72" spans="1:4" x14ac:dyDescent="0.3">
      <c r="A72" s="4" t="s">
        <v>16</v>
      </c>
      <c r="B72" s="4">
        <v>471</v>
      </c>
      <c r="D72"/>
    </row>
    <row r="73" spans="1:4" x14ac:dyDescent="0.3">
      <c r="A73" s="4" t="s">
        <v>6</v>
      </c>
      <c r="B73" s="4">
        <v>604</v>
      </c>
      <c r="D73"/>
    </row>
    <row r="74" spans="1:4" x14ac:dyDescent="0.3">
      <c r="A74" s="4" t="s">
        <v>14</v>
      </c>
      <c r="B74" s="4">
        <v>773</v>
      </c>
      <c r="D74"/>
    </row>
    <row r="75" spans="1:4" x14ac:dyDescent="0.3">
      <c r="A75" s="4" t="s">
        <v>16</v>
      </c>
      <c r="B75" s="4">
        <v>784</v>
      </c>
      <c r="D75"/>
    </row>
    <row r="76" spans="1:4" x14ac:dyDescent="0.3">
      <c r="A76" s="4" t="s">
        <v>10</v>
      </c>
      <c r="B76" s="4">
        <v>402</v>
      </c>
      <c r="D76"/>
    </row>
    <row r="77" spans="1:4" x14ac:dyDescent="0.3">
      <c r="A77" s="4" t="s">
        <v>10</v>
      </c>
      <c r="B77" s="4">
        <v>457</v>
      </c>
      <c r="D77"/>
    </row>
    <row r="78" spans="1:4" x14ac:dyDescent="0.3">
      <c r="A78" s="4" t="s">
        <v>8</v>
      </c>
      <c r="B78" s="4">
        <v>459</v>
      </c>
      <c r="D78"/>
    </row>
    <row r="79" spans="1:4" x14ac:dyDescent="0.3">
      <c r="A79" s="4" t="s">
        <v>17</v>
      </c>
      <c r="B79" s="4">
        <v>784</v>
      </c>
      <c r="D79"/>
    </row>
    <row r="80" spans="1:4" x14ac:dyDescent="0.3">
      <c r="A80" s="4" t="s">
        <v>15</v>
      </c>
      <c r="B80" s="4">
        <v>368</v>
      </c>
      <c r="D80"/>
    </row>
    <row r="81" spans="1:4" x14ac:dyDescent="0.3">
      <c r="A81" s="4" t="s">
        <v>15</v>
      </c>
      <c r="B81" s="4">
        <v>497</v>
      </c>
      <c r="D81"/>
    </row>
    <row r="82" spans="1:4" x14ac:dyDescent="0.3">
      <c r="A82" s="4" t="s">
        <v>19</v>
      </c>
      <c r="B82" s="4">
        <v>737</v>
      </c>
      <c r="D82"/>
    </row>
    <row r="83" spans="1:4" x14ac:dyDescent="0.3">
      <c r="A83" s="4" t="s">
        <v>10</v>
      </c>
      <c r="B83" s="4">
        <v>538</v>
      </c>
      <c r="D83"/>
    </row>
    <row r="84" spans="1:4" x14ac:dyDescent="0.3">
      <c r="A84" s="4" t="s">
        <v>10</v>
      </c>
      <c r="B84" s="4">
        <v>683</v>
      </c>
      <c r="D84"/>
    </row>
    <row r="85" spans="1:4" x14ac:dyDescent="0.3">
      <c r="A85" s="4" t="s">
        <v>7</v>
      </c>
      <c r="B85" s="4">
        <v>414</v>
      </c>
      <c r="D85"/>
    </row>
    <row r="86" spans="1:4" x14ac:dyDescent="0.3">
      <c r="A86" s="4" t="s">
        <v>19</v>
      </c>
      <c r="B86" s="4">
        <v>517</v>
      </c>
      <c r="D86"/>
    </row>
    <row r="87" spans="1:4" x14ac:dyDescent="0.3">
      <c r="A87" s="4" t="s">
        <v>19</v>
      </c>
      <c r="B87" s="4">
        <v>414</v>
      </c>
      <c r="D87"/>
    </row>
    <row r="88" spans="1:4" x14ac:dyDescent="0.3">
      <c r="A88" s="4" t="s">
        <v>15</v>
      </c>
      <c r="B88" s="4">
        <v>887</v>
      </c>
      <c r="D88"/>
    </row>
    <row r="89" spans="1:4" x14ac:dyDescent="0.3">
      <c r="A89" s="4" t="s">
        <v>10</v>
      </c>
      <c r="B89" s="4">
        <v>390</v>
      </c>
      <c r="D89"/>
    </row>
    <row r="90" spans="1:4" x14ac:dyDescent="0.3">
      <c r="A90" s="4" t="s">
        <v>4</v>
      </c>
      <c r="B90" s="4">
        <v>440</v>
      </c>
      <c r="D90"/>
    </row>
    <row r="91" spans="1:4" x14ac:dyDescent="0.3">
      <c r="A91" s="4" t="s">
        <v>10</v>
      </c>
      <c r="B91" s="4">
        <v>709</v>
      </c>
      <c r="D91"/>
    </row>
    <row r="92" spans="1:4" x14ac:dyDescent="0.3">
      <c r="A92" s="4" t="s">
        <v>6</v>
      </c>
      <c r="B92" s="4">
        <v>955</v>
      </c>
      <c r="D92"/>
    </row>
    <row r="93" spans="1:4" x14ac:dyDescent="0.3">
      <c r="A93" s="4" t="s">
        <v>19</v>
      </c>
      <c r="B93" s="4">
        <v>23</v>
      </c>
      <c r="D93"/>
    </row>
    <row r="94" spans="1:4" x14ac:dyDescent="0.3">
      <c r="A94" s="4" t="s">
        <v>6</v>
      </c>
      <c r="B94" s="4">
        <v>562</v>
      </c>
      <c r="D94"/>
    </row>
    <row r="95" spans="1:4" x14ac:dyDescent="0.3">
      <c r="A95" s="4" t="s">
        <v>4</v>
      </c>
      <c r="B95" s="4">
        <v>598</v>
      </c>
      <c r="D95"/>
    </row>
    <row r="96" spans="1:4" x14ac:dyDescent="0.3">
      <c r="A96" s="4" t="s">
        <v>11</v>
      </c>
      <c r="B96" s="4">
        <v>168</v>
      </c>
      <c r="D96"/>
    </row>
    <row r="97" spans="1:4" x14ac:dyDescent="0.3">
      <c r="A97" s="4" t="s">
        <v>4</v>
      </c>
      <c r="B97" s="4">
        <v>168</v>
      </c>
      <c r="D97"/>
    </row>
    <row r="98" spans="1:4" x14ac:dyDescent="0.3">
      <c r="A98" s="4" t="s">
        <v>16</v>
      </c>
      <c r="B98" s="4">
        <v>825</v>
      </c>
      <c r="D98"/>
    </row>
    <row r="99" spans="1:4" x14ac:dyDescent="0.3">
      <c r="A99" s="4" t="s">
        <v>9</v>
      </c>
      <c r="B99" s="4">
        <v>642</v>
      </c>
      <c r="D99"/>
    </row>
    <row r="100" spans="1:4" x14ac:dyDescent="0.3">
      <c r="A100" s="4" t="s">
        <v>15</v>
      </c>
      <c r="B100" s="4">
        <v>187</v>
      </c>
      <c r="D100"/>
    </row>
    <row r="101" spans="1:4" x14ac:dyDescent="0.3">
      <c r="A101" s="4" t="s">
        <v>9</v>
      </c>
      <c r="B101" s="4">
        <v>533</v>
      </c>
      <c r="D101"/>
    </row>
    <row r="102" spans="1:4" x14ac:dyDescent="0.3">
      <c r="A102" s="4" t="s">
        <v>12</v>
      </c>
      <c r="B102" s="4">
        <v>765</v>
      </c>
      <c r="D102"/>
    </row>
    <row r="103" spans="1:4" x14ac:dyDescent="0.3">
      <c r="A103" s="4" t="s">
        <v>9</v>
      </c>
      <c r="B103" s="4">
        <v>925</v>
      </c>
      <c r="D103"/>
    </row>
    <row r="104" spans="1:4" x14ac:dyDescent="0.3">
      <c r="A104" s="4" t="s">
        <v>12</v>
      </c>
      <c r="B104" s="4">
        <v>137</v>
      </c>
      <c r="D104"/>
    </row>
    <row r="105" spans="1:4" x14ac:dyDescent="0.3">
      <c r="A105" s="4" t="s">
        <v>19</v>
      </c>
      <c r="B105" s="4">
        <v>748</v>
      </c>
      <c r="D105"/>
    </row>
    <row r="106" spans="1:4" x14ac:dyDescent="0.3">
      <c r="A106" s="4" t="s">
        <v>14</v>
      </c>
      <c r="B106" s="4">
        <v>971</v>
      </c>
      <c r="D106"/>
    </row>
    <row r="107" spans="1:4" x14ac:dyDescent="0.3">
      <c r="A107" s="4" t="s">
        <v>19</v>
      </c>
      <c r="B107" s="4">
        <v>847</v>
      </c>
      <c r="D107"/>
    </row>
    <row r="108" spans="1:4" x14ac:dyDescent="0.3">
      <c r="A108" s="4" t="s">
        <v>3</v>
      </c>
      <c r="B108" s="4">
        <v>210</v>
      </c>
      <c r="D108"/>
    </row>
    <row r="109" spans="1:4" x14ac:dyDescent="0.3">
      <c r="A109" s="4" t="s">
        <v>7</v>
      </c>
      <c r="B109" s="4">
        <v>759</v>
      </c>
      <c r="D109"/>
    </row>
    <row r="110" spans="1:4" x14ac:dyDescent="0.3">
      <c r="A110" s="4" t="s">
        <v>11</v>
      </c>
      <c r="B110" s="4">
        <v>822</v>
      </c>
      <c r="D110"/>
    </row>
    <row r="111" spans="1:4" x14ac:dyDescent="0.3">
      <c r="A111" s="4" t="s">
        <v>9</v>
      </c>
      <c r="B111" s="4">
        <v>287</v>
      </c>
      <c r="D111"/>
    </row>
    <row r="112" spans="1:4" x14ac:dyDescent="0.3">
      <c r="A112" s="4" t="s">
        <v>9</v>
      </c>
      <c r="B112" s="4">
        <v>398</v>
      </c>
      <c r="D112"/>
    </row>
    <row r="113" spans="1:4" x14ac:dyDescent="0.3">
      <c r="A113" s="4" t="s">
        <v>4</v>
      </c>
      <c r="B113" s="6">
        <v>796</v>
      </c>
      <c r="D113"/>
    </row>
    <row r="114" spans="1:4" x14ac:dyDescent="0.3">
      <c r="A114" s="4" t="s">
        <v>4</v>
      </c>
      <c r="B114" s="4">
        <v>182</v>
      </c>
      <c r="D114"/>
    </row>
    <row r="115" spans="1:4" x14ac:dyDescent="0.3">
      <c r="A115" s="4" t="s">
        <v>10</v>
      </c>
      <c r="B115" s="4">
        <v>176</v>
      </c>
      <c r="D115"/>
    </row>
    <row r="116" spans="1:4" x14ac:dyDescent="0.3">
      <c r="A116" s="4" t="s">
        <v>14</v>
      </c>
      <c r="B116" s="4">
        <v>498</v>
      </c>
      <c r="D116"/>
    </row>
    <row r="117" spans="1:4" x14ac:dyDescent="0.3">
      <c r="A117" s="4" t="s">
        <v>9</v>
      </c>
      <c r="B117" s="4">
        <v>733</v>
      </c>
      <c r="D117"/>
    </row>
    <row r="118" spans="1:4" x14ac:dyDescent="0.3">
      <c r="A118" s="4" t="s">
        <v>6</v>
      </c>
      <c r="B118" s="4">
        <v>424</v>
      </c>
      <c r="D118"/>
    </row>
    <row r="119" spans="1:4" x14ac:dyDescent="0.3">
      <c r="A119" s="4" t="s">
        <v>13</v>
      </c>
      <c r="B119" s="4">
        <v>501</v>
      </c>
      <c r="D119"/>
    </row>
    <row r="120" spans="1:4" x14ac:dyDescent="0.3">
      <c r="A120" s="4" t="s">
        <v>10</v>
      </c>
      <c r="B120" s="4">
        <v>800</v>
      </c>
      <c r="D120"/>
    </row>
    <row r="121" spans="1:4" x14ac:dyDescent="0.3">
      <c r="A121" s="4" t="s">
        <v>19</v>
      </c>
      <c r="B121" s="4">
        <v>519</v>
      </c>
      <c r="D121"/>
    </row>
    <row r="122" spans="1:4" x14ac:dyDescent="0.3">
      <c r="A122" s="4" t="s">
        <v>7</v>
      </c>
      <c r="B122" s="4">
        <v>106</v>
      </c>
      <c r="D122"/>
    </row>
    <row r="123" spans="1:4" x14ac:dyDescent="0.3">
      <c r="A123" s="4" t="s">
        <v>12</v>
      </c>
      <c r="B123" s="4">
        <v>661</v>
      </c>
      <c r="D123"/>
    </row>
    <row r="124" spans="1:4" x14ac:dyDescent="0.3">
      <c r="A124" s="4" t="s">
        <v>18</v>
      </c>
      <c r="B124" s="4">
        <v>159</v>
      </c>
      <c r="D124"/>
    </row>
    <row r="125" spans="1:4" x14ac:dyDescent="0.3">
      <c r="A125" s="4" t="s">
        <v>10</v>
      </c>
      <c r="B125" s="4">
        <v>398</v>
      </c>
      <c r="D125"/>
    </row>
    <row r="126" spans="1:4" x14ac:dyDescent="0.3">
      <c r="A126" s="4" t="s">
        <v>7</v>
      </c>
      <c r="B126" s="4">
        <v>383</v>
      </c>
      <c r="D126"/>
    </row>
    <row r="127" spans="1:4" x14ac:dyDescent="0.3">
      <c r="A127" s="4" t="s">
        <v>11</v>
      </c>
      <c r="B127" s="4">
        <v>391</v>
      </c>
      <c r="D127"/>
    </row>
    <row r="128" spans="1:4" x14ac:dyDescent="0.3">
      <c r="A128" s="4" t="s">
        <v>12</v>
      </c>
      <c r="B128" s="4">
        <v>375</v>
      </c>
      <c r="D128"/>
    </row>
    <row r="129" spans="1:4" x14ac:dyDescent="0.3">
      <c r="A129" s="4" t="s">
        <v>8</v>
      </c>
      <c r="B129" s="4">
        <v>898</v>
      </c>
      <c r="D129"/>
    </row>
    <row r="130" spans="1:4" x14ac:dyDescent="0.3">
      <c r="A130" s="4" t="s">
        <v>11</v>
      </c>
      <c r="B130" s="4">
        <v>400</v>
      </c>
      <c r="D130"/>
    </row>
    <row r="131" spans="1:4" x14ac:dyDescent="0.3">
      <c r="A131" s="4" t="s">
        <v>3</v>
      </c>
      <c r="B131" s="4">
        <v>672</v>
      </c>
      <c r="D131"/>
    </row>
    <row r="132" spans="1:4" x14ac:dyDescent="0.3">
      <c r="A132" s="4" t="s">
        <v>4</v>
      </c>
      <c r="B132" s="4" t="e">
        <v>#N/A</v>
      </c>
      <c r="D132"/>
    </row>
    <row r="133" spans="1:4" x14ac:dyDescent="0.3">
      <c r="A133" s="4" t="s">
        <v>14</v>
      </c>
      <c r="B133" s="4">
        <v>584</v>
      </c>
      <c r="D133"/>
    </row>
    <row r="134" spans="1:4" x14ac:dyDescent="0.3">
      <c r="A134" s="4" t="s">
        <v>17</v>
      </c>
      <c r="B134" s="4">
        <v>143</v>
      </c>
      <c r="D134"/>
    </row>
    <row r="135" spans="1:4" x14ac:dyDescent="0.3">
      <c r="A135" s="4" t="s">
        <v>10</v>
      </c>
      <c r="B135" s="4">
        <v>408</v>
      </c>
      <c r="D135"/>
    </row>
    <row r="136" spans="1:4" x14ac:dyDescent="0.3">
      <c r="A136" s="4" t="s">
        <v>11</v>
      </c>
      <c r="B136" s="4">
        <v>504</v>
      </c>
      <c r="D136"/>
    </row>
    <row r="137" spans="1:4" x14ac:dyDescent="0.3">
      <c r="A137" s="4" t="s">
        <v>11</v>
      </c>
      <c r="B137" s="4">
        <v>885</v>
      </c>
      <c r="D137"/>
    </row>
    <row r="138" spans="1:4" x14ac:dyDescent="0.3">
      <c r="A138" s="4" t="s">
        <v>10</v>
      </c>
      <c r="B138" s="4">
        <v>623</v>
      </c>
      <c r="D138"/>
    </row>
    <row r="139" spans="1:4" x14ac:dyDescent="0.3">
      <c r="A139" s="4" t="s">
        <v>13</v>
      </c>
      <c r="B139" s="4">
        <v>565</v>
      </c>
      <c r="D139"/>
    </row>
    <row r="140" spans="1:4" x14ac:dyDescent="0.3">
      <c r="A140" s="4" t="s">
        <v>7</v>
      </c>
      <c r="B140" s="4">
        <v>794</v>
      </c>
      <c r="D140"/>
    </row>
    <row r="141" spans="1:4" x14ac:dyDescent="0.3">
      <c r="A141" s="4" t="s">
        <v>19</v>
      </c>
      <c r="B141" s="4">
        <v>447</v>
      </c>
      <c r="D141"/>
    </row>
    <row r="142" spans="1:4" x14ac:dyDescent="0.3">
      <c r="A142" s="4" t="s">
        <v>11</v>
      </c>
      <c r="B142" s="4">
        <v>484</v>
      </c>
      <c r="D142"/>
    </row>
    <row r="143" spans="1:4" x14ac:dyDescent="0.3">
      <c r="A143" s="4" t="s">
        <v>13</v>
      </c>
      <c r="B143" s="4">
        <v>259</v>
      </c>
      <c r="D143"/>
    </row>
    <row r="144" spans="1:4" x14ac:dyDescent="0.3">
      <c r="A144" s="4" t="s">
        <v>16</v>
      </c>
      <c r="B144" s="6" t="e">
        <v>#N/A</v>
      </c>
      <c r="D144"/>
    </row>
    <row r="145" spans="1:4" x14ac:dyDescent="0.3">
      <c r="A145" s="4" t="s">
        <v>8</v>
      </c>
      <c r="B145" s="4">
        <v>447</v>
      </c>
      <c r="D145"/>
    </row>
    <row r="146" spans="1:4" x14ac:dyDescent="0.3">
      <c r="A146" s="4" t="s">
        <v>10</v>
      </c>
      <c r="B146" s="4">
        <v>572</v>
      </c>
      <c r="D146"/>
    </row>
    <row r="147" spans="1:4" x14ac:dyDescent="0.3">
      <c r="A147" s="4" t="s">
        <v>11</v>
      </c>
      <c r="B147" s="4">
        <v>548</v>
      </c>
      <c r="D147"/>
    </row>
    <row r="148" spans="1:4" x14ac:dyDescent="0.3">
      <c r="A148" s="4" t="s">
        <v>14</v>
      </c>
      <c r="B148" s="4">
        <v>929</v>
      </c>
      <c r="D148"/>
    </row>
    <row r="149" spans="1:4" x14ac:dyDescent="0.3">
      <c r="A149" s="4" t="s">
        <v>11</v>
      </c>
      <c r="B149" s="4">
        <v>534</v>
      </c>
      <c r="D149"/>
    </row>
    <row r="150" spans="1:4" x14ac:dyDescent="0.3">
      <c r="A150" s="4" t="s">
        <v>6</v>
      </c>
      <c r="B150" s="4">
        <v>616</v>
      </c>
      <c r="D150"/>
    </row>
    <row r="151" spans="1:4" x14ac:dyDescent="0.3">
      <c r="A151" s="4" t="s">
        <v>10</v>
      </c>
      <c r="B151" s="4">
        <v>729</v>
      </c>
      <c r="D151"/>
    </row>
    <row r="152" spans="1:4" x14ac:dyDescent="0.3">
      <c r="A152" s="4" t="s">
        <v>17</v>
      </c>
      <c r="B152" s="4">
        <v>463</v>
      </c>
      <c r="D152"/>
    </row>
    <row r="153" spans="1:4" x14ac:dyDescent="0.3">
      <c r="A153" s="4" t="s">
        <v>10</v>
      </c>
      <c r="B153" s="4" t="e">
        <v>#REF!</v>
      </c>
      <c r="D153"/>
    </row>
    <row r="154" spans="1:4" x14ac:dyDescent="0.3">
      <c r="A154" s="4" t="s">
        <v>18</v>
      </c>
      <c r="B154" s="4">
        <v>889</v>
      </c>
      <c r="D154"/>
    </row>
    <row r="155" spans="1:4" x14ac:dyDescent="0.3">
      <c r="A155" s="4" t="s">
        <v>11</v>
      </c>
      <c r="B155" s="4">
        <v>477</v>
      </c>
      <c r="D155"/>
    </row>
    <row r="156" spans="1:4" x14ac:dyDescent="0.3">
      <c r="A156" s="4" t="s">
        <v>12</v>
      </c>
      <c r="B156" s="4">
        <v>553</v>
      </c>
      <c r="D156"/>
    </row>
    <row r="157" spans="1:4" x14ac:dyDescent="0.3">
      <c r="A157" s="4" t="s">
        <v>8</v>
      </c>
      <c r="B157" s="4">
        <v>767</v>
      </c>
      <c r="D157"/>
    </row>
    <row r="158" spans="1:4" x14ac:dyDescent="0.3">
      <c r="A158" s="4" t="s">
        <v>11</v>
      </c>
      <c r="B158" s="4">
        <v>846</v>
      </c>
      <c r="D158"/>
    </row>
    <row r="159" spans="1:4" x14ac:dyDescent="0.3">
      <c r="A159" s="4" t="s">
        <v>7</v>
      </c>
      <c r="B159" s="4">
        <v>755</v>
      </c>
      <c r="D159"/>
    </row>
    <row r="160" spans="1:4" x14ac:dyDescent="0.3">
      <c r="A160" s="4" t="s">
        <v>12</v>
      </c>
      <c r="B160" s="4">
        <v>322</v>
      </c>
      <c r="D160"/>
    </row>
    <row r="161" spans="1:4" x14ac:dyDescent="0.3">
      <c r="A161" s="4" t="s">
        <v>8</v>
      </c>
      <c r="B161" s="4">
        <v>661</v>
      </c>
      <c r="D161"/>
    </row>
    <row r="162" spans="1:4" x14ac:dyDescent="0.3">
      <c r="A162" s="4" t="s">
        <v>14</v>
      </c>
      <c r="B162" s="4">
        <v>948</v>
      </c>
      <c r="D162"/>
    </row>
    <row r="163" spans="1:4" x14ac:dyDescent="0.3">
      <c r="A163" s="4" t="s">
        <v>14</v>
      </c>
      <c r="B163" s="4">
        <v>546</v>
      </c>
      <c r="D163"/>
    </row>
    <row r="164" spans="1:4" x14ac:dyDescent="0.3">
      <c r="A164" s="4" t="s">
        <v>4</v>
      </c>
      <c r="B164" s="4">
        <v>808</v>
      </c>
      <c r="D164"/>
    </row>
    <row r="165" spans="1:4" x14ac:dyDescent="0.3">
      <c r="A165" s="4" t="s">
        <v>8</v>
      </c>
      <c r="B165" s="4">
        <v>798</v>
      </c>
      <c r="D165"/>
    </row>
    <row r="166" spans="1:4" x14ac:dyDescent="0.3">
      <c r="A166" s="4" t="s">
        <v>8</v>
      </c>
      <c r="B166" s="4">
        <v>484</v>
      </c>
      <c r="D166"/>
    </row>
    <row r="167" spans="1:4" x14ac:dyDescent="0.3">
      <c r="A167" s="4" t="s">
        <v>15</v>
      </c>
      <c r="B167" s="4">
        <v>167</v>
      </c>
      <c r="D167"/>
    </row>
    <row r="168" spans="1:4" x14ac:dyDescent="0.3">
      <c r="A168" s="4" t="s">
        <v>12</v>
      </c>
      <c r="B168" s="4">
        <v>507</v>
      </c>
      <c r="D168"/>
    </row>
    <row r="169" spans="1:4" x14ac:dyDescent="0.3">
      <c r="A169" s="4" t="s">
        <v>10</v>
      </c>
      <c r="B169" s="4">
        <v>314</v>
      </c>
      <c r="D169"/>
    </row>
    <row r="170" spans="1:4" x14ac:dyDescent="0.3">
      <c r="A170" s="4" t="s">
        <v>6</v>
      </c>
      <c r="B170" s="4">
        <v>614</v>
      </c>
      <c r="D170"/>
    </row>
    <row r="171" spans="1:4" x14ac:dyDescent="0.3">
      <c r="A171" s="4" t="s">
        <v>10</v>
      </c>
      <c r="B171" s="4">
        <v>542</v>
      </c>
      <c r="D171"/>
    </row>
    <row r="172" spans="1:4" x14ac:dyDescent="0.3">
      <c r="A172" s="4" t="s">
        <v>10</v>
      </c>
      <c r="B172" s="4">
        <v>287</v>
      </c>
      <c r="D172"/>
    </row>
    <row r="173" spans="1:4" x14ac:dyDescent="0.3">
      <c r="A173" s="4" t="s">
        <v>17</v>
      </c>
      <c r="B173" s="4">
        <v>487</v>
      </c>
      <c r="D173"/>
    </row>
    <row r="174" spans="1:4" x14ac:dyDescent="0.3">
      <c r="A174" s="4" t="s">
        <v>6</v>
      </c>
      <c r="B174" s="4">
        <v>578</v>
      </c>
      <c r="D174"/>
    </row>
    <row r="175" spans="1:4" x14ac:dyDescent="0.3">
      <c r="A175" s="4" t="s">
        <v>13</v>
      </c>
      <c r="B175" s="4">
        <v>926</v>
      </c>
      <c r="D175"/>
    </row>
    <row r="176" spans="1:4" x14ac:dyDescent="0.3">
      <c r="A176" s="4" t="s">
        <v>13</v>
      </c>
      <c r="B176" s="4">
        <v>425</v>
      </c>
      <c r="D176"/>
    </row>
    <row r="177" spans="1:4" x14ac:dyDescent="0.3">
      <c r="A177" s="4" t="s">
        <v>12</v>
      </c>
      <c r="B177" s="4">
        <v>956</v>
      </c>
      <c r="D177"/>
    </row>
    <row r="178" spans="1:4" x14ac:dyDescent="0.3">
      <c r="A178" s="4" t="s">
        <v>17</v>
      </c>
      <c r="B178" s="4">
        <v>288</v>
      </c>
      <c r="D178"/>
    </row>
    <row r="179" spans="1:4" x14ac:dyDescent="0.3">
      <c r="A179" s="4" t="s">
        <v>4</v>
      </c>
      <c r="B179" s="4">
        <v>932</v>
      </c>
      <c r="D179"/>
    </row>
    <row r="180" spans="1:4" x14ac:dyDescent="0.3">
      <c r="A180" s="4" t="s">
        <v>8</v>
      </c>
      <c r="B180" s="4">
        <v>656</v>
      </c>
      <c r="D180"/>
    </row>
    <row r="181" spans="1:4" x14ac:dyDescent="0.3">
      <c r="A181" s="4" t="s">
        <v>10</v>
      </c>
      <c r="B181" s="4">
        <v>127</v>
      </c>
      <c r="D181"/>
    </row>
    <row r="182" spans="1:4" x14ac:dyDescent="0.3">
      <c r="A182" s="4" t="s">
        <v>19</v>
      </c>
      <c r="B182" s="4">
        <v>464</v>
      </c>
      <c r="D182"/>
    </row>
    <row r="183" spans="1:4" x14ac:dyDescent="0.3">
      <c r="A183" s="4" t="s">
        <v>7</v>
      </c>
      <c r="B183" s="4">
        <v>301</v>
      </c>
      <c r="D183"/>
    </row>
    <row r="184" spans="1:4" x14ac:dyDescent="0.3">
      <c r="A184" s="4" t="s">
        <v>10</v>
      </c>
      <c r="B184" s="4">
        <v>748</v>
      </c>
      <c r="D184"/>
    </row>
    <row r="185" spans="1:4" x14ac:dyDescent="0.3">
      <c r="A185" s="4" t="s">
        <v>4</v>
      </c>
      <c r="B185" s="4">
        <v>233</v>
      </c>
      <c r="D185"/>
    </row>
    <row r="186" spans="1:4" x14ac:dyDescent="0.3">
      <c r="A186" s="4" t="s">
        <v>4</v>
      </c>
      <c r="B186" s="4">
        <v>377</v>
      </c>
      <c r="D186"/>
    </row>
    <row r="187" spans="1:4" x14ac:dyDescent="0.3">
      <c r="A187" s="4" t="s">
        <v>19</v>
      </c>
      <c r="B187" s="4">
        <v>896</v>
      </c>
      <c r="D187"/>
    </row>
    <row r="188" spans="1:4" x14ac:dyDescent="0.3">
      <c r="A188" s="4" t="s">
        <v>7</v>
      </c>
      <c r="B188" s="4">
        <v>568</v>
      </c>
      <c r="D188"/>
    </row>
    <row r="189" spans="1:4" x14ac:dyDescent="0.3">
      <c r="A189" s="4" t="s">
        <v>6</v>
      </c>
      <c r="B189" s="4">
        <v>101</v>
      </c>
      <c r="D189"/>
    </row>
    <row r="190" spans="1:4" x14ac:dyDescent="0.3">
      <c r="A190" s="4" t="s">
        <v>9</v>
      </c>
      <c r="B190" s="4">
        <v>341</v>
      </c>
      <c r="D190"/>
    </row>
    <row r="191" spans="1:4" x14ac:dyDescent="0.3">
      <c r="A191" s="4" t="s">
        <v>3</v>
      </c>
      <c r="B191" s="4">
        <v>969</v>
      </c>
      <c r="D191"/>
    </row>
    <row r="192" spans="1:4" x14ac:dyDescent="0.3">
      <c r="A192" s="4" t="s">
        <v>13</v>
      </c>
      <c r="B192" s="4">
        <v>395</v>
      </c>
      <c r="D192"/>
    </row>
    <row r="193" spans="1:4" x14ac:dyDescent="0.3">
      <c r="A193" s="4" t="s">
        <v>8</v>
      </c>
      <c r="B193" s="4">
        <v>589</v>
      </c>
      <c r="D193"/>
    </row>
    <row r="194" spans="1:4" x14ac:dyDescent="0.3">
      <c r="A194" s="4" t="s">
        <v>10</v>
      </c>
      <c r="B194" s="4">
        <v>275</v>
      </c>
      <c r="D194"/>
    </row>
    <row r="195" spans="1:4" x14ac:dyDescent="0.3">
      <c r="A195" s="4" t="s">
        <v>6</v>
      </c>
      <c r="B195" s="4" t="e">
        <v>#REF!</v>
      </c>
      <c r="D195"/>
    </row>
    <row r="196" spans="1:4" x14ac:dyDescent="0.3">
      <c r="A196" s="4" t="s">
        <v>9</v>
      </c>
      <c r="B196" s="4">
        <v>26</v>
      </c>
      <c r="D196"/>
    </row>
    <row r="197" spans="1:4" x14ac:dyDescent="0.3">
      <c r="A197" s="4" t="s">
        <v>4</v>
      </c>
      <c r="B197" s="4">
        <v>505</v>
      </c>
      <c r="D197"/>
    </row>
    <row r="198" spans="1:4" x14ac:dyDescent="0.3">
      <c r="A198" s="4" t="s">
        <v>4</v>
      </c>
      <c r="B198" s="4">
        <v>421</v>
      </c>
      <c r="D198"/>
    </row>
    <row r="199" spans="1:4" x14ac:dyDescent="0.3">
      <c r="A199" s="4" t="s">
        <v>3</v>
      </c>
      <c r="B199" s="4">
        <v>868</v>
      </c>
      <c r="D199"/>
    </row>
    <row r="200" spans="1:4" x14ac:dyDescent="0.3">
      <c r="A200" s="4" t="s">
        <v>16</v>
      </c>
      <c r="B200" s="4">
        <v>933</v>
      </c>
      <c r="D200"/>
    </row>
    <row r="201" spans="1:4" x14ac:dyDescent="0.3">
      <c r="A201" s="4" t="s">
        <v>16</v>
      </c>
      <c r="B201" s="4">
        <v>944</v>
      </c>
      <c r="D201"/>
    </row>
    <row r="202" spans="1:4" x14ac:dyDescent="0.3">
      <c r="A202" s="4" t="s">
        <v>13</v>
      </c>
      <c r="B202" s="4">
        <v>495</v>
      </c>
      <c r="D202"/>
    </row>
    <row r="203" spans="1:4" x14ac:dyDescent="0.3">
      <c r="A203" s="4" t="s">
        <v>8</v>
      </c>
      <c r="B203" s="4">
        <v>759</v>
      </c>
      <c r="D203"/>
    </row>
    <row r="204" spans="1:4" x14ac:dyDescent="0.3">
      <c r="A204" s="4" t="s">
        <v>7</v>
      </c>
      <c r="B204" s="4">
        <v>892</v>
      </c>
      <c r="D204"/>
    </row>
    <row r="205" spans="1:4" x14ac:dyDescent="0.3">
      <c r="A205" s="4" t="s">
        <v>8</v>
      </c>
      <c r="B205" s="4">
        <v>958</v>
      </c>
      <c r="D205"/>
    </row>
    <row r="206" spans="1:4" x14ac:dyDescent="0.3">
      <c r="A206" s="4" t="s">
        <v>15</v>
      </c>
      <c r="B206" s="4">
        <v>503</v>
      </c>
      <c r="D206"/>
    </row>
    <row r="207" spans="1:4" x14ac:dyDescent="0.3">
      <c r="A207" s="4" t="s">
        <v>4</v>
      </c>
      <c r="B207" s="4">
        <v>540</v>
      </c>
      <c r="D207"/>
    </row>
    <row r="208" spans="1:4" x14ac:dyDescent="0.3">
      <c r="A208" s="4" t="s">
        <v>9</v>
      </c>
      <c r="B208" s="4">
        <v>746</v>
      </c>
      <c r="D208"/>
    </row>
    <row r="209" spans="1:4" x14ac:dyDescent="0.3">
      <c r="A209" s="4" t="s">
        <v>10</v>
      </c>
      <c r="B209" s="4">
        <v>174</v>
      </c>
      <c r="D209"/>
    </row>
    <row r="210" spans="1:4" x14ac:dyDescent="0.3">
      <c r="A210" s="4" t="s">
        <v>8</v>
      </c>
      <c r="B210" s="4">
        <v>298</v>
      </c>
      <c r="D210"/>
    </row>
    <row r="211" spans="1:4" x14ac:dyDescent="0.3">
      <c r="A211" s="4" t="s">
        <v>3</v>
      </c>
      <c r="B211" s="4">
        <v>783</v>
      </c>
      <c r="D211"/>
    </row>
    <row r="212" spans="1:4" x14ac:dyDescent="0.3">
      <c r="A212" s="4" t="s">
        <v>12</v>
      </c>
      <c r="B212" s="4">
        <v>963</v>
      </c>
      <c r="D212"/>
    </row>
    <row r="213" spans="1:4" x14ac:dyDescent="0.3">
      <c r="A213" s="4" t="s">
        <v>9</v>
      </c>
      <c r="B213" s="4">
        <v>983</v>
      </c>
      <c r="D213"/>
    </row>
    <row r="214" spans="1:4" x14ac:dyDescent="0.3">
      <c r="A214" s="4" t="s">
        <v>17</v>
      </c>
      <c r="B214" s="4">
        <v>184</v>
      </c>
      <c r="D214"/>
    </row>
    <row r="215" spans="1:4" x14ac:dyDescent="0.3">
      <c r="A215" s="4" t="s">
        <v>19</v>
      </c>
      <c r="B215" s="4">
        <v>484</v>
      </c>
      <c r="D215"/>
    </row>
    <row r="216" spans="1:4" x14ac:dyDescent="0.3">
      <c r="A216" s="4" t="s">
        <v>14</v>
      </c>
      <c r="B216" s="4">
        <v>141</v>
      </c>
      <c r="D216"/>
    </row>
    <row r="217" spans="1:4" x14ac:dyDescent="0.3">
      <c r="A217" s="4" t="s">
        <v>15</v>
      </c>
      <c r="B217" s="4">
        <v>828</v>
      </c>
      <c r="D217"/>
    </row>
    <row r="218" spans="1:4" x14ac:dyDescent="0.3">
      <c r="A218" s="4" t="s">
        <v>10</v>
      </c>
      <c r="B218" s="4">
        <v>269</v>
      </c>
      <c r="D218"/>
    </row>
    <row r="219" spans="1:4" x14ac:dyDescent="0.3">
      <c r="A219" s="4" t="s">
        <v>10</v>
      </c>
      <c r="B219" s="4">
        <v>522</v>
      </c>
      <c r="D219"/>
    </row>
    <row r="220" spans="1:4" x14ac:dyDescent="0.3">
      <c r="A220" s="4" t="s">
        <v>10</v>
      </c>
      <c r="B220" s="4">
        <v>253</v>
      </c>
      <c r="D220"/>
    </row>
    <row r="221" spans="1:4" x14ac:dyDescent="0.3">
      <c r="A221" s="4" t="s">
        <v>3</v>
      </c>
      <c r="B221" s="4">
        <v>379</v>
      </c>
      <c r="D221"/>
    </row>
    <row r="222" spans="1:4" x14ac:dyDescent="0.3">
      <c r="A222" s="4" t="s">
        <v>6</v>
      </c>
      <c r="B222" s="4">
        <v>823</v>
      </c>
      <c r="D222"/>
    </row>
    <row r="223" spans="1:4" x14ac:dyDescent="0.3">
      <c r="A223" s="4" t="s">
        <v>13</v>
      </c>
      <c r="B223" s="4">
        <v>157</v>
      </c>
      <c r="D223"/>
    </row>
    <row r="224" spans="1:4" x14ac:dyDescent="0.3">
      <c r="A224" s="4" t="s">
        <v>9</v>
      </c>
      <c r="B224" s="4">
        <v>322</v>
      </c>
      <c r="D224"/>
    </row>
    <row r="225" spans="1:4" x14ac:dyDescent="0.3">
      <c r="A225" s="4" t="s">
        <v>15</v>
      </c>
      <c r="B225" s="4">
        <v>191</v>
      </c>
      <c r="D225"/>
    </row>
    <row r="226" spans="1:4" x14ac:dyDescent="0.3">
      <c r="A226" s="4" t="s">
        <v>16</v>
      </c>
      <c r="B226" s="4">
        <v>306</v>
      </c>
      <c r="D226"/>
    </row>
    <row r="227" spans="1:4" x14ac:dyDescent="0.3">
      <c r="A227" s="4" t="s">
        <v>3</v>
      </c>
      <c r="B227" s="4">
        <v>354</v>
      </c>
      <c r="D227"/>
    </row>
    <row r="228" spans="1:4" x14ac:dyDescent="0.3">
      <c r="A228" s="4" t="s">
        <v>14</v>
      </c>
      <c r="B228" s="4">
        <v>799</v>
      </c>
      <c r="D228"/>
    </row>
    <row r="229" spans="1:4" x14ac:dyDescent="0.3">
      <c r="A229" s="4" t="s">
        <v>3</v>
      </c>
      <c r="B229" s="4">
        <v>263</v>
      </c>
      <c r="D229"/>
    </row>
    <row r="230" spans="1:4" x14ac:dyDescent="0.3">
      <c r="A230" s="4" t="s">
        <v>6</v>
      </c>
      <c r="B230" s="4">
        <v>681</v>
      </c>
      <c r="D230"/>
    </row>
    <row r="231" spans="1:4" x14ac:dyDescent="0.3">
      <c r="A231" s="4" t="s">
        <v>17</v>
      </c>
      <c r="B231" s="4">
        <v>259</v>
      </c>
      <c r="D231"/>
    </row>
    <row r="232" spans="1:4" x14ac:dyDescent="0.3">
      <c r="A232" s="4" t="s">
        <v>7</v>
      </c>
      <c r="B232" s="4">
        <v>181</v>
      </c>
      <c r="D232"/>
    </row>
    <row r="233" spans="1:4" x14ac:dyDescent="0.3">
      <c r="A233" s="4" t="s">
        <v>4</v>
      </c>
      <c r="B233" s="4">
        <v>973</v>
      </c>
      <c r="D233"/>
    </row>
    <row r="234" spans="1:4" x14ac:dyDescent="0.3">
      <c r="A234" s="4" t="s">
        <v>17</v>
      </c>
      <c r="B234" s="4">
        <v>830</v>
      </c>
      <c r="D234"/>
    </row>
    <row r="235" spans="1:4" x14ac:dyDescent="0.3">
      <c r="A235" s="4" t="s">
        <v>16</v>
      </c>
      <c r="B235" s="4">
        <v>546</v>
      </c>
      <c r="D235"/>
    </row>
    <row r="236" spans="1:4" x14ac:dyDescent="0.3">
      <c r="A236" s="4" t="s">
        <v>8</v>
      </c>
      <c r="B236" s="4">
        <v>337</v>
      </c>
      <c r="D236"/>
    </row>
    <row r="237" spans="1:4" x14ac:dyDescent="0.3">
      <c r="A237" s="4" t="s">
        <v>4</v>
      </c>
      <c r="B237" s="4">
        <v>840</v>
      </c>
      <c r="D237"/>
    </row>
    <row r="238" spans="1:4" x14ac:dyDescent="0.3">
      <c r="A238" s="4" t="s">
        <v>18</v>
      </c>
      <c r="B238" s="4">
        <v>108</v>
      </c>
      <c r="D238"/>
    </row>
    <row r="239" spans="1:4" x14ac:dyDescent="0.3">
      <c r="A239" s="4" t="s">
        <v>11</v>
      </c>
      <c r="B239" s="4">
        <v>278</v>
      </c>
      <c r="D239"/>
    </row>
    <row r="240" spans="1:4" x14ac:dyDescent="0.3">
      <c r="A240" s="4" t="s">
        <v>7</v>
      </c>
      <c r="B240" s="4">
        <v>386</v>
      </c>
      <c r="D240"/>
    </row>
    <row r="241" spans="1:4" x14ac:dyDescent="0.3">
      <c r="A241" s="4" t="s">
        <v>4</v>
      </c>
      <c r="B241" s="4">
        <v>178</v>
      </c>
      <c r="D241"/>
    </row>
    <row r="242" spans="1:4" x14ac:dyDescent="0.3">
      <c r="A242" s="4" t="s">
        <v>14</v>
      </c>
      <c r="B242" s="4">
        <v>700</v>
      </c>
      <c r="D242"/>
    </row>
    <row r="243" spans="1:4" x14ac:dyDescent="0.3">
      <c r="A243" s="4" t="s">
        <v>9</v>
      </c>
      <c r="B243" s="4">
        <v>884</v>
      </c>
      <c r="D243"/>
    </row>
    <row r="244" spans="1:4" x14ac:dyDescent="0.3">
      <c r="A244" s="4" t="s">
        <v>9</v>
      </c>
      <c r="B244" s="4">
        <v>611</v>
      </c>
      <c r="D244"/>
    </row>
    <row r="245" spans="1:4" x14ac:dyDescent="0.3">
      <c r="A245" s="4" t="s">
        <v>12</v>
      </c>
      <c r="B245" s="4">
        <v>967</v>
      </c>
      <c r="D245"/>
    </row>
    <row r="246" spans="1:4" x14ac:dyDescent="0.3">
      <c r="A246" s="4" t="s">
        <v>4</v>
      </c>
      <c r="B246" s="4">
        <v>902</v>
      </c>
      <c r="D246"/>
    </row>
    <row r="247" spans="1:4" x14ac:dyDescent="0.3">
      <c r="A247" s="4" t="s">
        <v>6</v>
      </c>
      <c r="B247" s="4">
        <v>819</v>
      </c>
      <c r="D247"/>
    </row>
    <row r="248" spans="1:4" x14ac:dyDescent="0.3">
      <c r="A248" s="4" t="s">
        <v>15</v>
      </c>
      <c r="B248" s="4">
        <v>873</v>
      </c>
      <c r="D248"/>
    </row>
    <row r="249" spans="1:4" x14ac:dyDescent="0.3">
      <c r="A249" s="4" t="s">
        <v>3</v>
      </c>
      <c r="B249" s="4">
        <v>472</v>
      </c>
      <c r="D249"/>
    </row>
    <row r="250" spans="1:4" x14ac:dyDescent="0.3">
      <c r="A250" s="4" t="s">
        <v>7</v>
      </c>
      <c r="B250" s="4">
        <v>942</v>
      </c>
      <c r="D250"/>
    </row>
    <row r="251" spans="1:4" x14ac:dyDescent="0.3">
      <c r="A251" s="4" t="s">
        <v>10</v>
      </c>
      <c r="B251" s="4">
        <v>273</v>
      </c>
      <c r="D251"/>
    </row>
    <row r="252" spans="1:4" x14ac:dyDescent="0.3">
      <c r="A252" s="4" t="s">
        <v>9</v>
      </c>
      <c r="B252" s="4">
        <v>834</v>
      </c>
      <c r="D252"/>
    </row>
    <row r="253" spans="1:4" x14ac:dyDescent="0.3">
      <c r="A253" s="4" t="s">
        <v>19</v>
      </c>
      <c r="B253" s="4">
        <v>793</v>
      </c>
      <c r="D253"/>
    </row>
    <row r="254" spans="1:4" x14ac:dyDescent="0.3">
      <c r="A254" s="4" t="s">
        <v>6</v>
      </c>
      <c r="B254" s="4">
        <v>164</v>
      </c>
      <c r="D254"/>
    </row>
    <row r="255" spans="1:4" x14ac:dyDescent="0.3">
      <c r="A255" s="4" t="s">
        <v>4</v>
      </c>
      <c r="B255" s="4">
        <v>260</v>
      </c>
      <c r="D255"/>
    </row>
    <row r="256" spans="1:4" x14ac:dyDescent="0.3">
      <c r="A256" s="4" t="s">
        <v>6</v>
      </c>
      <c r="B256" s="4">
        <v>910</v>
      </c>
      <c r="D256"/>
    </row>
    <row r="257" spans="1:4" x14ac:dyDescent="0.3">
      <c r="A257" s="4" t="s">
        <v>4</v>
      </c>
      <c r="B257" s="4">
        <v>754</v>
      </c>
      <c r="D257"/>
    </row>
    <row r="258" spans="1:4" x14ac:dyDescent="0.3">
      <c r="A258" s="4" t="s">
        <v>6</v>
      </c>
      <c r="B258" s="4">
        <v>611</v>
      </c>
      <c r="D258"/>
    </row>
    <row r="259" spans="1:4" x14ac:dyDescent="0.3">
      <c r="A259" s="4" t="s">
        <v>6</v>
      </c>
      <c r="B259" s="4">
        <v>717</v>
      </c>
      <c r="D259"/>
    </row>
    <row r="260" spans="1:4" x14ac:dyDescent="0.3">
      <c r="A260" s="4" t="s">
        <v>7</v>
      </c>
      <c r="B260" s="4">
        <v>904</v>
      </c>
      <c r="D260"/>
    </row>
    <row r="261" spans="1:4" x14ac:dyDescent="0.3">
      <c r="A261" s="4" t="s">
        <v>15</v>
      </c>
      <c r="B261" s="4">
        <v>792</v>
      </c>
      <c r="D261"/>
    </row>
    <row r="262" spans="1:4" x14ac:dyDescent="0.3">
      <c r="A262" s="4" t="s">
        <v>6</v>
      </c>
      <c r="B262" s="4" t="e">
        <v>#N/A</v>
      </c>
      <c r="D262"/>
    </row>
    <row r="263" spans="1:4" x14ac:dyDescent="0.3">
      <c r="A263" s="4" t="s">
        <v>15</v>
      </c>
      <c r="B263" s="4">
        <v>461</v>
      </c>
      <c r="D263"/>
    </row>
    <row r="264" spans="1:4" x14ac:dyDescent="0.3">
      <c r="A264" s="4" t="s">
        <v>19</v>
      </c>
      <c r="B264" s="4">
        <v>143</v>
      </c>
      <c r="D264"/>
    </row>
    <row r="265" spans="1:4" x14ac:dyDescent="0.3">
      <c r="A265" s="4" t="s">
        <v>18</v>
      </c>
      <c r="B265" s="4">
        <v>345</v>
      </c>
      <c r="D265"/>
    </row>
    <row r="266" spans="1:4" x14ac:dyDescent="0.3">
      <c r="A266" s="4" t="s">
        <v>6</v>
      </c>
      <c r="B266" s="4">
        <v>47</v>
      </c>
      <c r="D266"/>
    </row>
    <row r="267" spans="1:4" x14ac:dyDescent="0.3">
      <c r="A267" s="4" t="s">
        <v>12</v>
      </c>
      <c r="B267" s="4">
        <v>725</v>
      </c>
      <c r="D267"/>
    </row>
    <row r="268" spans="1:4" x14ac:dyDescent="0.3">
      <c r="A268" s="4" t="s">
        <v>15</v>
      </c>
      <c r="B268" s="4">
        <v>628</v>
      </c>
      <c r="D268"/>
    </row>
    <row r="269" spans="1:4" x14ac:dyDescent="0.3">
      <c r="A269" s="4" t="s">
        <v>7</v>
      </c>
      <c r="B269" s="4">
        <v>935</v>
      </c>
      <c r="D269"/>
    </row>
    <row r="270" spans="1:4" x14ac:dyDescent="0.3">
      <c r="A270" s="4" t="s">
        <v>19</v>
      </c>
      <c r="B270" s="4">
        <v>343</v>
      </c>
      <c r="D270"/>
    </row>
    <row r="271" spans="1:4" x14ac:dyDescent="0.3">
      <c r="A271" s="4" t="s">
        <v>7</v>
      </c>
      <c r="B271" s="4">
        <v>892</v>
      </c>
      <c r="D271"/>
    </row>
    <row r="272" spans="1:4" x14ac:dyDescent="0.3">
      <c r="A272" s="4" t="s">
        <v>18</v>
      </c>
      <c r="B272" s="4">
        <v>360</v>
      </c>
      <c r="D272"/>
    </row>
    <row r="273" spans="1:4" x14ac:dyDescent="0.3">
      <c r="A273" s="4" t="s">
        <v>10</v>
      </c>
      <c r="B273" s="4">
        <v>549</v>
      </c>
      <c r="D273"/>
    </row>
    <row r="274" spans="1:4" x14ac:dyDescent="0.3">
      <c r="A274" s="4" t="s">
        <v>3</v>
      </c>
      <c r="B274" s="4">
        <v>823</v>
      </c>
      <c r="D274"/>
    </row>
    <row r="275" spans="1:4" x14ac:dyDescent="0.3">
      <c r="A275" s="4" t="s">
        <v>18</v>
      </c>
      <c r="B275" s="4">
        <v>808</v>
      </c>
      <c r="D275"/>
    </row>
    <row r="276" spans="1:4" x14ac:dyDescent="0.3">
      <c r="A276" s="4" t="s">
        <v>15</v>
      </c>
      <c r="B276" s="4">
        <v>132</v>
      </c>
      <c r="D276"/>
    </row>
    <row r="277" spans="1:4" x14ac:dyDescent="0.3">
      <c r="A277" s="4" t="s">
        <v>7</v>
      </c>
      <c r="B277" s="4">
        <v>454</v>
      </c>
      <c r="D277"/>
    </row>
    <row r="278" spans="1:4" x14ac:dyDescent="0.3">
      <c r="A278" s="4" t="s">
        <v>7</v>
      </c>
      <c r="B278" s="4">
        <v>577</v>
      </c>
      <c r="D278"/>
    </row>
    <row r="279" spans="1:4" x14ac:dyDescent="0.3">
      <c r="A279" s="4" t="s">
        <v>14</v>
      </c>
      <c r="B279" s="4" t="e">
        <v>#N/A</v>
      </c>
      <c r="D279"/>
    </row>
    <row r="280" spans="1:4" x14ac:dyDescent="0.3">
      <c r="A280" s="4" t="s">
        <v>18</v>
      </c>
      <c r="B280" s="4">
        <v>929</v>
      </c>
      <c r="D280"/>
    </row>
    <row r="281" spans="1:4" x14ac:dyDescent="0.3">
      <c r="A281" s="4" t="s">
        <v>14</v>
      </c>
      <c r="B281" s="4">
        <v>814</v>
      </c>
      <c r="D281"/>
    </row>
    <row r="282" spans="1:4" x14ac:dyDescent="0.3">
      <c r="A282" s="4" t="s">
        <v>15</v>
      </c>
      <c r="B282" s="4">
        <v>468</v>
      </c>
      <c r="D282"/>
    </row>
    <row r="283" spans="1:4" x14ac:dyDescent="0.3">
      <c r="A283" s="4" t="s">
        <v>10</v>
      </c>
      <c r="B283" s="4">
        <v>812</v>
      </c>
      <c r="D283"/>
    </row>
    <row r="284" spans="1:4" x14ac:dyDescent="0.3">
      <c r="A284" s="4" t="s">
        <v>11</v>
      </c>
      <c r="B284" s="4">
        <v>137</v>
      </c>
      <c r="D284"/>
    </row>
    <row r="285" spans="1:4" x14ac:dyDescent="0.3">
      <c r="A285" s="4" t="s">
        <v>18</v>
      </c>
      <c r="B285" s="4">
        <v>811</v>
      </c>
      <c r="D285"/>
    </row>
    <row r="286" spans="1:4" x14ac:dyDescent="0.3">
      <c r="A286" s="4" t="s">
        <v>6</v>
      </c>
      <c r="B286" s="4">
        <v>607</v>
      </c>
      <c r="D286"/>
    </row>
    <row r="287" spans="1:4" x14ac:dyDescent="0.3">
      <c r="A287" s="4" t="s">
        <v>3</v>
      </c>
      <c r="B287" s="4">
        <v>589</v>
      </c>
      <c r="D287"/>
    </row>
    <row r="288" spans="1:4" x14ac:dyDescent="0.3">
      <c r="A288" s="4" t="s">
        <v>12</v>
      </c>
      <c r="B288" s="4">
        <v>820</v>
      </c>
      <c r="D288"/>
    </row>
    <row r="289" spans="1:4" x14ac:dyDescent="0.3">
      <c r="A289" s="4" t="s">
        <v>11</v>
      </c>
      <c r="B289" s="4">
        <v>502</v>
      </c>
      <c r="D289"/>
    </row>
    <row r="290" spans="1:4" x14ac:dyDescent="0.3">
      <c r="A290" s="4" t="s">
        <v>16</v>
      </c>
      <c r="B290" s="4">
        <v>766</v>
      </c>
      <c r="D290"/>
    </row>
    <row r="291" spans="1:4" x14ac:dyDescent="0.3">
      <c r="A291" s="4" t="s">
        <v>14</v>
      </c>
      <c r="B291" s="4">
        <v>730</v>
      </c>
      <c r="D291"/>
    </row>
    <row r="292" spans="1:4" x14ac:dyDescent="0.3">
      <c r="A292" s="4" t="s">
        <v>6</v>
      </c>
      <c r="B292" s="4">
        <v>167</v>
      </c>
      <c r="D292"/>
    </row>
    <row r="293" spans="1:4" x14ac:dyDescent="0.3">
      <c r="A293" s="4" t="s">
        <v>8</v>
      </c>
      <c r="B293" s="4">
        <v>776</v>
      </c>
      <c r="D293"/>
    </row>
    <row r="294" spans="1:4" x14ac:dyDescent="0.3">
      <c r="A294" s="4" t="s">
        <v>18</v>
      </c>
      <c r="B294" s="4">
        <v>547</v>
      </c>
      <c r="D294"/>
    </row>
    <row r="295" spans="1:4" x14ac:dyDescent="0.3">
      <c r="A295" s="4" t="s">
        <v>3</v>
      </c>
      <c r="B295" s="4">
        <v>800</v>
      </c>
      <c r="D295"/>
    </row>
    <row r="296" spans="1:4" x14ac:dyDescent="0.3">
      <c r="A296" s="4" t="s">
        <v>16</v>
      </c>
      <c r="B296" s="4">
        <v>900</v>
      </c>
      <c r="D296"/>
    </row>
    <row r="297" spans="1:4" x14ac:dyDescent="0.3">
      <c r="A297" s="4" t="s">
        <v>10</v>
      </c>
      <c r="B297" s="4">
        <v>367</v>
      </c>
      <c r="D297"/>
    </row>
    <row r="298" spans="1:4" x14ac:dyDescent="0.3">
      <c r="A298" s="4" t="s">
        <v>9</v>
      </c>
      <c r="B298" s="4">
        <v>575</v>
      </c>
      <c r="D298"/>
    </row>
    <row r="299" spans="1:4" x14ac:dyDescent="0.3">
      <c r="A299" s="4" t="s">
        <v>13</v>
      </c>
      <c r="B299" s="4">
        <v>707</v>
      </c>
      <c r="D299"/>
    </row>
    <row r="300" spans="1:4" x14ac:dyDescent="0.3">
      <c r="A300" s="4" t="s">
        <v>8</v>
      </c>
      <c r="B300" s="4">
        <v>303</v>
      </c>
      <c r="D300"/>
    </row>
    <row r="301" spans="1:4" x14ac:dyDescent="0.3">
      <c r="A301" s="4" t="s">
        <v>15</v>
      </c>
      <c r="B301" s="4">
        <v>721</v>
      </c>
      <c r="D301"/>
    </row>
    <row r="302" spans="1:4" x14ac:dyDescent="0.3">
      <c r="A302" s="4" t="s">
        <v>4</v>
      </c>
      <c r="B302" s="4">
        <v>542</v>
      </c>
      <c r="D302"/>
    </row>
    <row r="303" spans="1:4" x14ac:dyDescent="0.3">
      <c r="A303" s="4" t="s">
        <v>19</v>
      </c>
      <c r="B303" s="4">
        <v>909</v>
      </c>
      <c r="D303"/>
    </row>
    <row r="304" spans="1:4" x14ac:dyDescent="0.3">
      <c r="A304" s="4" t="s">
        <v>10</v>
      </c>
      <c r="B304" s="4" t="e">
        <v>#REF!</v>
      </c>
      <c r="D304"/>
    </row>
    <row r="305" spans="1:4" x14ac:dyDescent="0.3">
      <c r="A305" s="4" t="s">
        <v>15</v>
      </c>
      <c r="B305" s="4">
        <v>799</v>
      </c>
      <c r="D305"/>
    </row>
    <row r="306" spans="1:4" x14ac:dyDescent="0.3">
      <c r="A306" s="4" t="s">
        <v>15</v>
      </c>
      <c r="B306" s="4">
        <v>722</v>
      </c>
      <c r="D306"/>
    </row>
    <row r="307" spans="1:4" x14ac:dyDescent="0.3">
      <c r="A307" s="4" t="s">
        <v>4</v>
      </c>
      <c r="B307" s="4">
        <v>310</v>
      </c>
      <c r="D307"/>
    </row>
    <row r="308" spans="1:4" x14ac:dyDescent="0.3">
      <c r="A308" s="4" t="s">
        <v>16</v>
      </c>
      <c r="B308" s="4">
        <v>471</v>
      </c>
      <c r="D308"/>
    </row>
    <row r="309" spans="1:4" x14ac:dyDescent="0.3">
      <c r="A309" s="4" t="s">
        <v>6</v>
      </c>
      <c r="B309" s="4" t="e">
        <v>#REF!</v>
      </c>
      <c r="D309"/>
    </row>
    <row r="310" spans="1:4" x14ac:dyDescent="0.3">
      <c r="A310" s="4" t="s">
        <v>18</v>
      </c>
      <c r="B310" s="4">
        <v>154</v>
      </c>
      <c r="D310"/>
    </row>
    <row r="311" spans="1:4" x14ac:dyDescent="0.3">
      <c r="A311" s="4" t="s">
        <v>10</v>
      </c>
      <c r="B311" s="4">
        <v>274</v>
      </c>
      <c r="D311"/>
    </row>
    <row r="312" spans="1:4" x14ac:dyDescent="0.3">
      <c r="A312" s="4" t="s">
        <v>14</v>
      </c>
      <c r="B312" s="4">
        <v>106</v>
      </c>
      <c r="D312"/>
    </row>
    <row r="313" spans="1:4" x14ac:dyDescent="0.3">
      <c r="A313" s="4" t="s">
        <v>12</v>
      </c>
      <c r="B313" s="4">
        <v>763</v>
      </c>
      <c r="D313"/>
    </row>
    <row r="314" spans="1:4" x14ac:dyDescent="0.3">
      <c r="A314" s="4" t="s">
        <v>10</v>
      </c>
      <c r="B314" s="4">
        <v>978</v>
      </c>
      <c r="D314"/>
    </row>
    <row r="315" spans="1:4" x14ac:dyDescent="0.3">
      <c r="A315" s="4" t="s">
        <v>6</v>
      </c>
      <c r="B315" s="4">
        <v>194</v>
      </c>
      <c r="D315"/>
    </row>
    <row r="316" spans="1:4" x14ac:dyDescent="0.3">
      <c r="A316" s="4" t="s">
        <v>14</v>
      </c>
      <c r="B316" s="4">
        <v>421</v>
      </c>
      <c r="D316"/>
    </row>
    <row r="317" spans="1:4" x14ac:dyDescent="0.3">
      <c r="A317" s="4" t="s">
        <v>11</v>
      </c>
      <c r="B317" s="4">
        <v>444</v>
      </c>
      <c r="D317"/>
    </row>
    <row r="318" spans="1:4" x14ac:dyDescent="0.3">
      <c r="A318" s="4" t="s">
        <v>4</v>
      </c>
      <c r="B318" s="4">
        <v>336</v>
      </c>
      <c r="D318"/>
    </row>
    <row r="319" spans="1:4" x14ac:dyDescent="0.3">
      <c r="A319" s="4" t="s">
        <v>10</v>
      </c>
      <c r="B319" s="4">
        <v>188</v>
      </c>
      <c r="D319"/>
    </row>
    <row r="320" spans="1:4" x14ac:dyDescent="0.3">
      <c r="A320" s="4" t="s">
        <v>19</v>
      </c>
      <c r="B320" s="4">
        <v>523</v>
      </c>
      <c r="D320"/>
    </row>
    <row r="321" spans="1:4" x14ac:dyDescent="0.3">
      <c r="A321" s="4" t="s">
        <v>8</v>
      </c>
      <c r="B321" s="4">
        <v>526</v>
      </c>
      <c r="D321"/>
    </row>
    <row r="322" spans="1:4" x14ac:dyDescent="0.3">
      <c r="A322" s="4" t="s">
        <v>4</v>
      </c>
      <c r="B322" s="4">
        <v>240</v>
      </c>
      <c r="D322"/>
    </row>
    <row r="323" spans="1:4" x14ac:dyDescent="0.3">
      <c r="A323" s="4" t="s">
        <v>17</v>
      </c>
      <c r="B323" s="4">
        <v>384</v>
      </c>
      <c r="D323"/>
    </row>
    <row r="324" spans="1:4" x14ac:dyDescent="0.3">
      <c r="A324" s="4" t="s">
        <v>7</v>
      </c>
      <c r="B324" s="4">
        <v>754</v>
      </c>
      <c r="D324"/>
    </row>
    <row r="325" spans="1:4" x14ac:dyDescent="0.3">
      <c r="A325" s="4" t="s">
        <v>4</v>
      </c>
      <c r="B325" s="4">
        <v>335</v>
      </c>
      <c r="D325"/>
    </row>
    <row r="326" spans="1:4" x14ac:dyDescent="0.3">
      <c r="A326" s="4" t="s">
        <v>6</v>
      </c>
      <c r="B326" s="4">
        <v>431</v>
      </c>
      <c r="D326"/>
    </row>
    <row r="327" spans="1:4" x14ac:dyDescent="0.3">
      <c r="A327" s="4" t="s">
        <v>6</v>
      </c>
      <c r="B327" s="4">
        <v>468</v>
      </c>
      <c r="D327"/>
    </row>
    <row r="328" spans="1:4" x14ac:dyDescent="0.3">
      <c r="A328" s="4" t="s">
        <v>10</v>
      </c>
      <c r="B328" s="4">
        <v>101</v>
      </c>
      <c r="D328"/>
    </row>
    <row r="329" spans="1:4" x14ac:dyDescent="0.3">
      <c r="A329" s="4" t="s">
        <v>17</v>
      </c>
      <c r="B329" s="4">
        <v>804</v>
      </c>
      <c r="D329"/>
    </row>
    <row r="330" spans="1:4" x14ac:dyDescent="0.3">
      <c r="A330" s="4" t="s">
        <v>10</v>
      </c>
      <c r="B330" s="4">
        <v>106</v>
      </c>
      <c r="D330"/>
    </row>
    <row r="331" spans="1:4" x14ac:dyDescent="0.3">
      <c r="A331" s="4" t="s">
        <v>11</v>
      </c>
      <c r="B331" s="4">
        <v>343</v>
      </c>
      <c r="D331"/>
    </row>
    <row r="332" spans="1:4" x14ac:dyDescent="0.3">
      <c r="A332" s="4" t="s">
        <v>11</v>
      </c>
      <c r="B332" s="4">
        <v>348</v>
      </c>
      <c r="D332"/>
    </row>
    <row r="333" spans="1:4" x14ac:dyDescent="0.3">
      <c r="A333" s="4" t="s">
        <v>12</v>
      </c>
      <c r="B333" s="4">
        <v>710</v>
      </c>
      <c r="D333"/>
    </row>
    <row r="334" spans="1:4" x14ac:dyDescent="0.3">
      <c r="A334" s="4" t="s">
        <v>19</v>
      </c>
      <c r="B334" s="4">
        <v>834</v>
      </c>
      <c r="D334"/>
    </row>
    <row r="335" spans="1:4" x14ac:dyDescent="0.3">
      <c r="A335" s="4" t="s">
        <v>17</v>
      </c>
      <c r="B335" s="4">
        <v>492</v>
      </c>
      <c r="D335"/>
    </row>
    <row r="336" spans="1:4" x14ac:dyDescent="0.3">
      <c r="A336" s="4" t="s">
        <v>15</v>
      </c>
      <c r="B336" s="4">
        <v>186</v>
      </c>
      <c r="D336"/>
    </row>
    <row r="337" spans="1:4" x14ac:dyDescent="0.3">
      <c r="A337" s="4" t="s">
        <v>16</v>
      </c>
      <c r="B337" s="4">
        <v>209</v>
      </c>
      <c r="D337"/>
    </row>
    <row r="338" spans="1:4" x14ac:dyDescent="0.3">
      <c r="A338" s="4" t="s">
        <v>4</v>
      </c>
      <c r="B338" s="4">
        <v>302</v>
      </c>
      <c r="D338"/>
    </row>
    <row r="339" spans="1:4" x14ac:dyDescent="0.3">
      <c r="A339" s="4" t="s">
        <v>9</v>
      </c>
      <c r="B339" s="4">
        <v>797</v>
      </c>
      <c r="D339"/>
    </row>
    <row r="340" spans="1:4" x14ac:dyDescent="0.3">
      <c r="A340" s="4" t="s">
        <v>13</v>
      </c>
      <c r="B340" s="4">
        <v>840</v>
      </c>
      <c r="D340"/>
    </row>
    <row r="341" spans="1:4" x14ac:dyDescent="0.3">
      <c r="A341" s="4" t="s">
        <v>10</v>
      </c>
      <c r="B341" s="4">
        <v>264</v>
      </c>
      <c r="D341"/>
    </row>
    <row r="342" spans="1:4" x14ac:dyDescent="0.3">
      <c r="A342" s="4" t="s">
        <v>16</v>
      </c>
      <c r="B342" s="4">
        <v>252</v>
      </c>
      <c r="D342"/>
    </row>
    <row r="343" spans="1:4" x14ac:dyDescent="0.3">
      <c r="A343" s="4" t="s">
        <v>10</v>
      </c>
      <c r="B343" s="4">
        <v>516</v>
      </c>
      <c r="D343"/>
    </row>
    <row r="344" spans="1:4" x14ac:dyDescent="0.3">
      <c r="A344" s="4" t="s">
        <v>9</v>
      </c>
      <c r="B344" s="4">
        <v>592</v>
      </c>
      <c r="D344"/>
    </row>
    <row r="345" spans="1:4" x14ac:dyDescent="0.3">
      <c r="A345" s="4" t="s">
        <v>6</v>
      </c>
      <c r="B345" s="4">
        <v>600</v>
      </c>
      <c r="D345"/>
    </row>
    <row r="346" spans="1:4" x14ac:dyDescent="0.3">
      <c r="A346" s="4" t="s">
        <v>3</v>
      </c>
      <c r="B346" s="4">
        <v>520</v>
      </c>
      <c r="D346"/>
    </row>
    <row r="347" spans="1:4" x14ac:dyDescent="0.3">
      <c r="A347" s="4" t="s">
        <v>11</v>
      </c>
      <c r="B347" s="4">
        <v>429</v>
      </c>
      <c r="D347"/>
    </row>
    <row r="348" spans="1:4" x14ac:dyDescent="0.3">
      <c r="A348" s="4" t="s">
        <v>17</v>
      </c>
      <c r="B348" s="4" t="e">
        <v>#REF!</v>
      </c>
      <c r="D348"/>
    </row>
    <row r="349" spans="1:4" x14ac:dyDescent="0.3">
      <c r="A349" s="4" t="s">
        <v>8</v>
      </c>
      <c r="B349" s="4">
        <v>530</v>
      </c>
      <c r="D349"/>
    </row>
    <row r="350" spans="1:4" x14ac:dyDescent="0.3">
      <c r="A350" s="4" t="s">
        <v>16</v>
      </c>
      <c r="B350" s="4">
        <v>572</v>
      </c>
      <c r="D350"/>
    </row>
    <row r="351" spans="1:4" x14ac:dyDescent="0.3">
      <c r="A351" s="4" t="s">
        <v>16</v>
      </c>
      <c r="B351" s="4">
        <v>360</v>
      </c>
      <c r="D351"/>
    </row>
    <row r="352" spans="1:4" x14ac:dyDescent="0.3">
      <c r="A352" s="4" t="s">
        <v>12</v>
      </c>
      <c r="B352" s="4">
        <v>234</v>
      </c>
      <c r="D352"/>
    </row>
    <row r="353" spans="1:4" x14ac:dyDescent="0.3">
      <c r="A353" s="4" t="s">
        <v>7</v>
      </c>
      <c r="B353" s="4">
        <v>62</v>
      </c>
      <c r="D353"/>
    </row>
    <row r="354" spans="1:4" x14ac:dyDescent="0.3">
      <c r="A354" s="4" t="s">
        <v>4</v>
      </c>
      <c r="B354" s="4">
        <v>383</v>
      </c>
      <c r="D354"/>
    </row>
    <row r="355" spans="1:4" x14ac:dyDescent="0.3">
      <c r="A355" s="4" t="s">
        <v>6</v>
      </c>
      <c r="B355" s="4">
        <v>793</v>
      </c>
      <c r="D355"/>
    </row>
    <row r="356" spans="1:4" x14ac:dyDescent="0.3">
      <c r="A356" s="4" t="s">
        <v>4</v>
      </c>
      <c r="B356" s="4">
        <v>717</v>
      </c>
      <c r="D356"/>
    </row>
    <row r="357" spans="1:4" x14ac:dyDescent="0.3">
      <c r="A357" s="4" t="s">
        <v>10</v>
      </c>
      <c r="B357" s="4">
        <v>840</v>
      </c>
      <c r="D357"/>
    </row>
    <row r="358" spans="1:4" x14ac:dyDescent="0.3">
      <c r="A358" s="4" t="s">
        <v>19</v>
      </c>
      <c r="B358" s="4">
        <v>535</v>
      </c>
      <c r="D358"/>
    </row>
    <row r="359" spans="1:4" x14ac:dyDescent="0.3">
      <c r="A359" s="4" t="s">
        <v>4</v>
      </c>
      <c r="B359" s="4">
        <v>309</v>
      </c>
      <c r="D359"/>
    </row>
    <row r="360" spans="1:4" x14ac:dyDescent="0.3">
      <c r="A360" s="4" t="s">
        <v>14</v>
      </c>
      <c r="B360" s="4">
        <v>866</v>
      </c>
      <c r="D360"/>
    </row>
    <row r="361" spans="1:4" x14ac:dyDescent="0.3">
      <c r="A361" s="4" t="s">
        <v>9</v>
      </c>
      <c r="B361" s="4">
        <v>181</v>
      </c>
      <c r="D361"/>
    </row>
    <row r="362" spans="1:4" x14ac:dyDescent="0.3">
      <c r="A362" s="4" t="s">
        <v>7</v>
      </c>
      <c r="B362" s="4">
        <v>694</v>
      </c>
      <c r="D362"/>
    </row>
    <row r="363" spans="1:4" x14ac:dyDescent="0.3">
      <c r="A363" s="4" t="s">
        <v>6</v>
      </c>
      <c r="B363" s="4">
        <v>915</v>
      </c>
      <c r="D363"/>
    </row>
    <row r="364" spans="1:4" x14ac:dyDescent="0.3">
      <c r="A364" s="4" t="s">
        <v>18</v>
      </c>
      <c r="B364" s="4">
        <v>951</v>
      </c>
      <c r="D364"/>
    </row>
    <row r="365" spans="1:4" x14ac:dyDescent="0.3">
      <c r="A365" s="4" t="s">
        <v>7</v>
      </c>
      <c r="B365" s="4">
        <v>669</v>
      </c>
      <c r="D365"/>
    </row>
    <row r="366" spans="1:4" x14ac:dyDescent="0.3">
      <c r="A366" s="4" t="s">
        <v>19</v>
      </c>
      <c r="B366" s="4">
        <v>49</v>
      </c>
      <c r="D366"/>
    </row>
    <row r="367" spans="1:4" x14ac:dyDescent="0.3">
      <c r="A367" s="4" t="s">
        <v>9</v>
      </c>
      <c r="B367" s="4">
        <v>746</v>
      </c>
      <c r="D367"/>
    </row>
    <row r="368" spans="1:4" x14ac:dyDescent="0.3">
      <c r="A368" s="4" t="s">
        <v>12</v>
      </c>
      <c r="B368" s="4">
        <v>829</v>
      </c>
      <c r="D368"/>
    </row>
    <row r="369" spans="1:4" x14ac:dyDescent="0.3">
      <c r="A369" s="4" t="s">
        <v>4</v>
      </c>
      <c r="B369" s="4">
        <v>888</v>
      </c>
      <c r="D369"/>
    </row>
    <row r="370" spans="1:4" x14ac:dyDescent="0.3">
      <c r="A370" s="4" t="s">
        <v>4</v>
      </c>
      <c r="B370" s="4">
        <v>241</v>
      </c>
      <c r="D370"/>
    </row>
    <row r="371" spans="1:4" x14ac:dyDescent="0.3">
      <c r="A371" s="4" t="s">
        <v>10</v>
      </c>
      <c r="B371" s="4">
        <v>921</v>
      </c>
      <c r="D371"/>
    </row>
    <row r="372" spans="1:4" x14ac:dyDescent="0.3">
      <c r="A372" s="4" t="s">
        <v>18</v>
      </c>
      <c r="B372" s="4">
        <v>894</v>
      </c>
      <c r="D372"/>
    </row>
    <row r="373" spans="1:4" x14ac:dyDescent="0.3">
      <c r="A373" s="4" t="s">
        <v>13</v>
      </c>
      <c r="B373" s="4">
        <v>237</v>
      </c>
      <c r="D373"/>
    </row>
    <row r="374" spans="1:4" x14ac:dyDescent="0.3">
      <c r="A374" s="4" t="s">
        <v>9</v>
      </c>
      <c r="B374" s="4">
        <v>743</v>
      </c>
      <c r="D374"/>
    </row>
    <row r="375" spans="1:4" x14ac:dyDescent="0.3">
      <c r="A375" s="4" t="s">
        <v>15</v>
      </c>
      <c r="B375" s="4">
        <v>829</v>
      </c>
      <c r="D375"/>
    </row>
    <row r="376" spans="1:4" x14ac:dyDescent="0.3">
      <c r="A376" s="4" t="s">
        <v>18</v>
      </c>
      <c r="B376" s="4">
        <v>656</v>
      </c>
      <c r="D376"/>
    </row>
    <row r="377" spans="1:4" x14ac:dyDescent="0.3">
      <c r="A377" s="4" t="s">
        <v>12</v>
      </c>
      <c r="B377" s="4">
        <v>744</v>
      </c>
      <c r="D377"/>
    </row>
    <row r="378" spans="1:4" x14ac:dyDescent="0.3">
      <c r="A378" s="4" t="s">
        <v>4</v>
      </c>
      <c r="B378" s="4">
        <v>789</v>
      </c>
      <c r="D378"/>
    </row>
    <row r="379" spans="1:4" x14ac:dyDescent="0.3">
      <c r="A379" s="4" t="s">
        <v>15</v>
      </c>
      <c r="B379" s="4">
        <v>127</v>
      </c>
      <c r="D379"/>
    </row>
    <row r="380" spans="1:4" x14ac:dyDescent="0.3">
      <c r="A380" s="4" t="s">
        <v>7</v>
      </c>
      <c r="B380" s="4">
        <v>214</v>
      </c>
      <c r="D380"/>
    </row>
    <row r="381" spans="1:4" x14ac:dyDescent="0.3">
      <c r="A381" s="4" t="s">
        <v>11</v>
      </c>
      <c r="B381" s="4">
        <v>818</v>
      </c>
      <c r="D381"/>
    </row>
    <row r="382" spans="1:4" x14ac:dyDescent="0.3">
      <c r="A382" s="4" t="s">
        <v>6</v>
      </c>
      <c r="B382" s="4">
        <v>247</v>
      </c>
      <c r="D382"/>
    </row>
    <row r="383" spans="1:4" x14ac:dyDescent="0.3">
      <c r="A383" s="4" t="s">
        <v>6</v>
      </c>
      <c r="B383" s="4">
        <v>978</v>
      </c>
      <c r="D383"/>
    </row>
    <row r="384" spans="1:4" x14ac:dyDescent="0.3">
      <c r="A384" s="4" t="s">
        <v>12</v>
      </c>
      <c r="B384" s="4">
        <v>161</v>
      </c>
      <c r="D384"/>
    </row>
    <row r="385" spans="1:4" x14ac:dyDescent="0.3">
      <c r="A385" s="4" t="s">
        <v>3</v>
      </c>
      <c r="B385" s="4">
        <v>515</v>
      </c>
      <c r="D385"/>
    </row>
    <row r="386" spans="1:4" x14ac:dyDescent="0.3">
      <c r="A386" s="4" t="s">
        <v>17</v>
      </c>
      <c r="B386" s="4">
        <v>554</v>
      </c>
      <c r="D386"/>
    </row>
    <row r="387" spans="1:4" x14ac:dyDescent="0.3">
      <c r="A387" s="4" t="s">
        <v>19</v>
      </c>
      <c r="B387" s="4">
        <v>523</v>
      </c>
      <c r="D387"/>
    </row>
    <row r="388" spans="1:4" x14ac:dyDescent="0.3">
      <c r="A388" s="4" t="s">
        <v>10</v>
      </c>
      <c r="B388" s="4">
        <v>168</v>
      </c>
      <c r="D388"/>
    </row>
    <row r="389" spans="1:4" x14ac:dyDescent="0.3">
      <c r="A389" s="4" t="s">
        <v>15</v>
      </c>
      <c r="B389" s="4">
        <v>809</v>
      </c>
      <c r="D389"/>
    </row>
    <row r="390" spans="1:4" x14ac:dyDescent="0.3">
      <c r="A390" s="4" t="s">
        <v>14</v>
      </c>
      <c r="B390" s="4">
        <v>812</v>
      </c>
      <c r="D390"/>
    </row>
    <row r="391" spans="1:4" x14ac:dyDescent="0.3">
      <c r="A391" s="4" t="s">
        <v>3</v>
      </c>
      <c r="B391" s="4">
        <v>740</v>
      </c>
      <c r="D391"/>
    </row>
    <row r="392" spans="1:4" x14ac:dyDescent="0.3">
      <c r="A392" s="4" t="s">
        <v>7</v>
      </c>
      <c r="B392" s="4">
        <v>844</v>
      </c>
      <c r="D392"/>
    </row>
    <row r="393" spans="1:4" x14ac:dyDescent="0.3">
      <c r="A393" s="4" t="s">
        <v>8</v>
      </c>
      <c r="B393" s="4">
        <v>797</v>
      </c>
      <c r="D393"/>
    </row>
    <row r="394" spans="1:4" x14ac:dyDescent="0.3">
      <c r="A394" s="4" t="s">
        <v>19</v>
      </c>
      <c r="B394" s="4">
        <v>772</v>
      </c>
      <c r="D394"/>
    </row>
    <row r="395" spans="1:4" x14ac:dyDescent="0.3">
      <c r="A395" s="4" t="s">
        <v>11</v>
      </c>
      <c r="B395" s="6">
        <v>660</v>
      </c>
      <c r="D395"/>
    </row>
    <row r="396" spans="1:4" x14ac:dyDescent="0.3">
      <c r="A396" s="4" t="s">
        <v>17</v>
      </c>
      <c r="B396" s="4">
        <v>900</v>
      </c>
      <c r="D396"/>
    </row>
    <row r="397" spans="1:4" x14ac:dyDescent="0.3">
      <c r="A397" s="4" t="s">
        <v>13</v>
      </c>
      <c r="B397" s="4">
        <v>531</v>
      </c>
      <c r="D397"/>
    </row>
    <row r="398" spans="1:4" x14ac:dyDescent="0.3">
      <c r="A398" s="4" t="s">
        <v>12</v>
      </c>
      <c r="B398" s="4">
        <v>258</v>
      </c>
      <c r="D398"/>
    </row>
    <row r="399" spans="1:4" x14ac:dyDescent="0.3">
      <c r="A399" s="4" t="s">
        <v>13</v>
      </c>
      <c r="B399" s="4">
        <v>485</v>
      </c>
      <c r="D399"/>
    </row>
    <row r="400" spans="1:4" x14ac:dyDescent="0.3">
      <c r="A400" s="4" t="s">
        <v>11</v>
      </c>
      <c r="B400" s="4">
        <v>739</v>
      </c>
      <c r="D400"/>
    </row>
    <row r="401" spans="1:4" x14ac:dyDescent="0.3">
      <c r="A401" s="4" t="s">
        <v>4</v>
      </c>
      <c r="B401" s="4">
        <v>193</v>
      </c>
      <c r="D401"/>
    </row>
    <row r="402" spans="1:4" x14ac:dyDescent="0.3">
      <c r="A402" s="4" t="s">
        <v>6</v>
      </c>
      <c r="B402" s="4">
        <v>948</v>
      </c>
      <c r="D402"/>
    </row>
    <row r="403" spans="1:4" x14ac:dyDescent="0.3">
      <c r="A403" s="4" t="s">
        <v>13</v>
      </c>
      <c r="B403" s="4">
        <v>662</v>
      </c>
      <c r="D403"/>
    </row>
    <row r="404" spans="1:4" x14ac:dyDescent="0.3">
      <c r="A404" s="4" t="s">
        <v>9</v>
      </c>
      <c r="B404" s="4">
        <v>128</v>
      </c>
      <c r="D404"/>
    </row>
    <row r="405" spans="1:4" x14ac:dyDescent="0.3">
      <c r="A405" s="4" t="s">
        <v>15</v>
      </c>
      <c r="B405" s="4">
        <v>723</v>
      </c>
      <c r="D405"/>
    </row>
    <row r="406" spans="1:4" x14ac:dyDescent="0.3">
      <c r="A406" s="4" t="s">
        <v>12</v>
      </c>
      <c r="B406" s="4">
        <v>984</v>
      </c>
      <c r="D406"/>
    </row>
    <row r="407" spans="1:4" x14ac:dyDescent="0.3">
      <c r="A407" s="4" t="s">
        <v>11</v>
      </c>
      <c r="B407" s="4">
        <v>579</v>
      </c>
      <c r="D407"/>
    </row>
    <row r="408" spans="1:4" x14ac:dyDescent="0.3">
      <c r="A408" s="4" t="s">
        <v>18</v>
      </c>
      <c r="B408" s="4">
        <v>279</v>
      </c>
      <c r="D408"/>
    </row>
    <row r="409" spans="1:4" x14ac:dyDescent="0.3">
      <c r="A409" s="4" t="s">
        <v>16</v>
      </c>
      <c r="B409" s="4">
        <v>449</v>
      </c>
      <c r="D409"/>
    </row>
    <row r="410" spans="1:4" x14ac:dyDescent="0.3">
      <c r="A410" s="4" t="s">
        <v>12</v>
      </c>
      <c r="B410" s="4">
        <v>603</v>
      </c>
      <c r="D410"/>
    </row>
    <row r="411" spans="1:4" x14ac:dyDescent="0.3">
      <c r="A411" s="4" t="s">
        <v>16</v>
      </c>
      <c r="B411" s="4">
        <v>987</v>
      </c>
      <c r="D411"/>
    </row>
    <row r="412" spans="1:4" x14ac:dyDescent="0.3">
      <c r="A412" s="4" t="s">
        <v>17</v>
      </c>
      <c r="B412" s="4">
        <v>861</v>
      </c>
      <c r="D412"/>
    </row>
    <row r="413" spans="1:4" x14ac:dyDescent="0.3">
      <c r="A413" s="4" t="s">
        <v>12</v>
      </c>
      <c r="B413" s="4">
        <v>94</v>
      </c>
      <c r="D413"/>
    </row>
    <row r="414" spans="1:4" x14ac:dyDescent="0.3">
      <c r="A414" s="4" t="s">
        <v>16</v>
      </c>
      <c r="B414" s="4">
        <v>510</v>
      </c>
      <c r="D414"/>
    </row>
    <row r="415" spans="1:4" x14ac:dyDescent="0.3">
      <c r="A415" s="4" t="s">
        <v>11</v>
      </c>
      <c r="B415" s="4">
        <v>372</v>
      </c>
      <c r="D415"/>
    </row>
    <row r="416" spans="1:4" x14ac:dyDescent="0.3">
      <c r="A416" s="4" t="s">
        <v>14</v>
      </c>
      <c r="B416" s="4">
        <v>144</v>
      </c>
      <c r="D416"/>
    </row>
    <row r="417" spans="1:4" x14ac:dyDescent="0.3">
      <c r="A417" s="4" t="s">
        <v>14</v>
      </c>
      <c r="B417" s="4">
        <v>147</v>
      </c>
      <c r="D417"/>
    </row>
    <row r="418" spans="1:4" x14ac:dyDescent="0.3">
      <c r="A418" s="4" t="s">
        <v>6</v>
      </c>
      <c r="B418" s="4">
        <v>571</v>
      </c>
      <c r="D418"/>
    </row>
    <row r="419" spans="1:4" x14ac:dyDescent="0.3">
      <c r="A419" s="4" t="s">
        <v>4</v>
      </c>
      <c r="B419" s="4">
        <v>279</v>
      </c>
      <c r="D419"/>
    </row>
    <row r="420" spans="1:4" x14ac:dyDescent="0.3">
      <c r="A420" s="4" t="s">
        <v>15</v>
      </c>
      <c r="B420" s="4">
        <v>495</v>
      </c>
      <c r="D420"/>
    </row>
    <row r="421" spans="1:4" x14ac:dyDescent="0.3">
      <c r="A421" s="4" t="s">
        <v>11</v>
      </c>
      <c r="B421" s="4">
        <v>561</v>
      </c>
      <c r="D421"/>
    </row>
    <row r="422" spans="1:4" x14ac:dyDescent="0.3">
      <c r="A422" s="4" t="s">
        <v>17</v>
      </c>
      <c r="B422" s="4">
        <v>357</v>
      </c>
      <c r="D422"/>
    </row>
    <row r="423" spans="1:4" x14ac:dyDescent="0.3">
      <c r="A423" s="4" t="s">
        <v>9</v>
      </c>
      <c r="B423" s="4">
        <v>17</v>
      </c>
      <c r="D423"/>
    </row>
    <row r="424" spans="1:4" x14ac:dyDescent="0.3">
      <c r="A424" s="4" t="s">
        <v>4</v>
      </c>
      <c r="B424" s="4">
        <v>269</v>
      </c>
      <c r="D424"/>
    </row>
    <row r="425" spans="1:4" x14ac:dyDescent="0.3">
      <c r="A425" s="4" t="s">
        <v>14</v>
      </c>
      <c r="B425" s="4">
        <v>373</v>
      </c>
      <c r="D425"/>
    </row>
    <row r="426" spans="1:4" x14ac:dyDescent="0.3">
      <c r="A426" s="4" t="s">
        <v>11</v>
      </c>
      <c r="B426" s="4">
        <v>669</v>
      </c>
      <c r="D426"/>
    </row>
    <row r="427" spans="1:4" x14ac:dyDescent="0.3">
      <c r="A427" s="4" t="s">
        <v>7</v>
      </c>
      <c r="B427" s="4">
        <v>889</v>
      </c>
      <c r="D427"/>
    </row>
    <row r="428" spans="1:4" x14ac:dyDescent="0.3">
      <c r="A428" s="4" t="s">
        <v>9</v>
      </c>
      <c r="B428" s="4">
        <v>963</v>
      </c>
      <c r="D428"/>
    </row>
    <row r="429" spans="1:4" x14ac:dyDescent="0.3">
      <c r="A429" s="4" t="s">
        <v>3</v>
      </c>
      <c r="B429" s="4">
        <v>114</v>
      </c>
      <c r="D429"/>
    </row>
    <row r="430" spans="1:4" x14ac:dyDescent="0.3">
      <c r="A430" s="4" t="s">
        <v>17</v>
      </c>
      <c r="B430" s="4">
        <v>973</v>
      </c>
      <c r="D430"/>
    </row>
    <row r="431" spans="1:4" x14ac:dyDescent="0.3">
      <c r="A431" s="4" t="s">
        <v>16</v>
      </c>
      <c r="B431" s="4">
        <v>337</v>
      </c>
      <c r="D431"/>
    </row>
    <row r="432" spans="1:4" x14ac:dyDescent="0.3">
      <c r="A432" s="4" t="s">
        <v>14</v>
      </c>
      <c r="B432" s="4">
        <v>198</v>
      </c>
      <c r="D432"/>
    </row>
    <row r="433" spans="1:4" x14ac:dyDescent="0.3">
      <c r="A433" s="4" t="s">
        <v>9</v>
      </c>
      <c r="B433" s="4">
        <v>627</v>
      </c>
      <c r="D433"/>
    </row>
    <row r="434" spans="1:4" x14ac:dyDescent="0.3">
      <c r="A434" s="4" t="s">
        <v>15</v>
      </c>
      <c r="B434" s="4">
        <v>943</v>
      </c>
      <c r="D434"/>
    </row>
    <row r="435" spans="1:4" x14ac:dyDescent="0.3">
      <c r="A435" s="4" t="s">
        <v>9</v>
      </c>
      <c r="B435" s="4">
        <v>392</v>
      </c>
      <c r="D435"/>
    </row>
    <row r="436" spans="1:4" x14ac:dyDescent="0.3">
      <c r="A436" s="4" t="s">
        <v>15</v>
      </c>
      <c r="B436" s="4">
        <v>699</v>
      </c>
      <c r="D436"/>
    </row>
    <row r="437" spans="1:4" x14ac:dyDescent="0.3">
      <c r="A437" s="4" t="s">
        <v>8</v>
      </c>
      <c r="B437" s="4">
        <v>304</v>
      </c>
      <c r="D437"/>
    </row>
    <row r="438" spans="1:4" x14ac:dyDescent="0.3">
      <c r="A438" s="4" t="s">
        <v>7</v>
      </c>
      <c r="B438" s="4">
        <v>215</v>
      </c>
      <c r="D438"/>
    </row>
    <row r="439" spans="1:4" x14ac:dyDescent="0.3">
      <c r="A439" s="4" t="s">
        <v>9</v>
      </c>
      <c r="B439" s="4">
        <v>175</v>
      </c>
      <c r="D439"/>
    </row>
    <row r="440" spans="1:4" x14ac:dyDescent="0.3">
      <c r="A440" s="4" t="s">
        <v>10</v>
      </c>
      <c r="B440" s="4">
        <v>247</v>
      </c>
      <c r="D440"/>
    </row>
    <row r="441" spans="1:4" x14ac:dyDescent="0.3">
      <c r="A441" s="4" t="s">
        <v>15</v>
      </c>
      <c r="B441" s="4">
        <v>93</v>
      </c>
      <c r="D441"/>
    </row>
    <row r="442" spans="1:4" x14ac:dyDescent="0.3">
      <c r="A442" s="4" t="s">
        <v>7</v>
      </c>
      <c r="B442" s="4">
        <v>290</v>
      </c>
      <c r="D442"/>
    </row>
    <row r="443" spans="1:4" x14ac:dyDescent="0.3">
      <c r="A443" s="4" t="s">
        <v>7</v>
      </c>
      <c r="B443" s="4">
        <v>878</v>
      </c>
      <c r="D443"/>
    </row>
    <row r="444" spans="1:4" x14ac:dyDescent="0.3">
      <c r="A444" s="4" t="s">
        <v>13</v>
      </c>
      <c r="B444" s="4">
        <v>293</v>
      </c>
      <c r="D444"/>
    </row>
    <row r="445" spans="1:4" x14ac:dyDescent="0.3">
      <c r="A445" s="4" t="s">
        <v>6</v>
      </c>
      <c r="B445" s="4">
        <v>458</v>
      </c>
      <c r="D445"/>
    </row>
    <row r="446" spans="1:4" x14ac:dyDescent="0.3">
      <c r="A446" s="4" t="s">
        <v>19</v>
      </c>
      <c r="B446" s="4">
        <v>120</v>
      </c>
      <c r="D446"/>
    </row>
    <row r="447" spans="1:4" x14ac:dyDescent="0.3">
      <c r="A447" s="4" t="s">
        <v>6</v>
      </c>
      <c r="B447" s="4">
        <v>273</v>
      </c>
      <c r="D447"/>
    </row>
    <row r="448" spans="1:4" x14ac:dyDescent="0.3">
      <c r="A448" s="4" t="s">
        <v>19</v>
      </c>
      <c r="B448" s="4">
        <v>81</v>
      </c>
      <c r="D448"/>
    </row>
    <row r="449" spans="1:4" x14ac:dyDescent="0.3">
      <c r="A449" s="4" t="s">
        <v>6</v>
      </c>
      <c r="B449" s="4">
        <v>859</v>
      </c>
      <c r="D449"/>
    </row>
    <row r="450" spans="1:4" x14ac:dyDescent="0.3">
      <c r="A450" s="4" t="s">
        <v>10</v>
      </c>
      <c r="B450" s="4">
        <v>673</v>
      </c>
      <c r="D450"/>
    </row>
    <row r="451" spans="1:4" x14ac:dyDescent="0.3">
      <c r="A451" s="4" t="s">
        <v>18</v>
      </c>
      <c r="B451" s="4">
        <v>628</v>
      </c>
      <c r="D451"/>
    </row>
    <row r="452" spans="1:4" x14ac:dyDescent="0.3">
      <c r="A452" s="4" t="s">
        <v>13</v>
      </c>
      <c r="B452" s="4">
        <v>334</v>
      </c>
      <c r="D452"/>
    </row>
    <row r="453" spans="1:4" x14ac:dyDescent="0.3">
      <c r="A453" s="4" t="s">
        <v>10</v>
      </c>
      <c r="B453" s="4">
        <v>152</v>
      </c>
      <c r="D453"/>
    </row>
    <row r="454" spans="1:4" x14ac:dyDescent="0.3">
      <c r="A454" s="4" t="s">
        <v>17</v>
      </c>
      <c r="B454" s="4">
        <v>828</v>
      </c>
      <c r="D454"/>
    </row>
    <row r="455" spans="1:4" x14ac:dyDescent="0.3">
      <c r="A455" s="4" t="s">
        <v>4</v>
      </c>
      <c r="B455" s="4">
        <v>151</v>
      </c>
      <c r="D455"/>
    </row>
    <row r="456" spans="1:4" x14ac:dyDescent="0.3">
      <c r="A456" s="4" t="s">
        <v>6</v>
      </c>
      <c r="B456" s="4">
        <v>138</v>
      </c>
      <c r="D456"/>
    </row>
    <row r="457" spans="1:4" x14ac:dyDescent="0.3">
      <c r="A457" s="4" t="s">
        <v>16</v>
      </c>
      <c r="B457" s="4">
        <v>224</v>
      </c>
      <c r="D457"/>
    </row>
    <row r="458" spans="1:4" x14ac:dyDescent="0.3">
      <c r="A458" s="4" t="s">
        <v>8</v>
      </c>
      <c r="B458" s="4">
        <v>691</v>
      </c>
      <c r="D458"/>
    </row>
    <row r="459" spans="1:4" x14ac:dyDescent="0.3">
      <c r="A459" s="4" t="s">
        <v>4</v>
      </c>
      <c r="B459" s="4" t="e">
        <v>#N/A</v>
      </c>
      <c r="D459"/>
    </row>
    <row r="460" spans="1:4" x14ac:dyDescent="0.3">
      <c r="A460" s="4" t="s">
        <v>8</v>
      </c>
      <c r="B460" s="4">
        <v>588</v>
      </c>
      <c r="D460"/>
    </row>
    <row r="461" spans="1:4" x14ac:dyDescent="0.3">
      <c r="A461" s="4" t="s">
        <v>6</v>
      </c>
      <c r="B461" s="4">
        <v>235</v>
      </c>
      <c r="D461"/>
    </row>
    <row r="462" spans="1:4" x14ac:dyDescent="0.3">
      <c r="A462" s="4" t="s">
        <v>3</v>
      </c>
      <c r="B462" s="4">
        <v>383</v>
      </c>
      <c r="D462"/>
    </row>
    <row r="463" spans="1:4" x14ac:dyDescent="0.3">
      <c r="A463" s="4" t="s">
        <v>13</v>
      </c>
      <c r="B463" s="4">
        <v>704</v>
      </c>
      <c r="D463"/>
    </row>
    <row r="464" spans="1:4" x14ac:dyDescent="0.3">
      <c r="A464" s="4" t="s">
        <v>16</v>
      </c>
      <c r="B464" s="4">
        <v>552</v>
      </c>
      <c r="D464"/>
    </row>
    <row r="465" spans="1:4" x14ac:dyDescent="0.3">
      <c r="A465" s="4" t="s">
        <v>6</v>
      </c>
      <c r="B465" s="4">
        <v>742</v>
      </c>
      <c r="D465"/>
    </row>
    <row r="466" spans="1:4" x14ac:dyDescent="0.3">
      <c r="A466" s="4" t="s">
        <v>15</v>
      </c>
      <c r="B466" s="4">
        <v>659</v>
      </c>
      <c r="D466"/>
    </row>
    <row r="467" spans="1:4" x14ac:dyDescent="0.3">
      <c r="A467" s="4" t="s">
        <v>12</v>
      </c>
      <c r="B467" s="4">
        <v>634</v>
      </c>
      <c r="D467"/>
    </row>
    <row r="468" spans="1:4" x14ac:dyDescent="0.3">
      <c r="A468" s="4" t="s">
        <v>4</v>
      </c>
      <c r="B468" s="4">
        <v>347</v>
      </c>
      <c r="D468"/>
    </row>
    <row r="469" spans="1:4" x14ac:dyDescent="0.3">
      <c r="A469" s="4" t="s">
        <v>16</v>
      </c>
      <c r="B469" s="4">
        <v>987</v>
      </c>
      <c r="D469"/>
    </row>
    <row r="470" spans="1:4" x14ac:dyDescent="0.3">
      <c r="A470" s="4" t="s">
        <v>12</v>
      </c>
      <c r="B470" s="4">
        <v>268</v>
      </c>
      <c r="D470"/>
    </row>
    <row r="471" spans="1:4" x14ac:dyDescent="0.3">
      <c r="A471" s="4" t="s">
        <v>12</v>
      </c>
      <c r="B471" s="4">
        <v>580</v>
      </c>
      <c r="D471"/>
    </row>
    <row r="472" spans="1:4" x14ac:dyDescent="0.3">
      <c r="A472" s="4" t="s">
        <v>10</v>
      </c>
      <c r="B472" s="4">
        <v>756</v>
      </c>
      <c r="D472"/>
    </row>
    <row r="473" spans="1:4" x14ac:dyDescent="0.3">
      <c r="A473" s="4" t="s">
        <v>10</v>
      </c>
      <c r="B473" s="4">
        <v>466</v>
      </c>
      <c r="D473"/>
    </row>
    <row r="474" spans="1:4" x14ac:dyDescent="0.3">
      <c r="A474" s="4" t="s">
        <v>19</v>
      </c>
      <c r="B474" s="4">
        <v>27</v>
      </c>
      <c r="D474"/>
    </row>
    <row r="475" spans="1:4" x14ac:dyDescent="0.3">
      <c r="A475" s="4" t="s">
        <v>15</v>
      </c>
      <c r="B475" s="4">
        <v>116</v>
      </c>
      <c r="D475"/>
    </row>
    <row r="476" spans="1:4" x14ac:dyDescent="0.3">
      <c r="A476" s="4" t="s">
        <v>4</v>
      </c>
      <c r="B476" s="4">
        <v>312</v>
      </c>
      <c r="D476"/>
    </row>
    <row r="477" spans="1:4" x14ac:dyDescent="0.3">
      <c r="A477" s="4" t="s">
        <v>7</v>
      </c>
      <c r="B477" s="4">
        <v>360</v>
      </c>
      <c r="D477"/>
    </row>
    <row r="478" spans="1:4" x14ac:dyDescent="0.3">
      <c r="A478" s="4" t="s">
        <v>15</v>
      </c>
      <c r="B478" s="4">
        <v>763</v>
      </c>
      <c r="D478"/>
    </row>
    <row r="479" spans="1:4" x14ac:dyDescent="0.3">
      <c r="A479" s="4" t="s">
        <v>6</v>
      </c>
      <c r="B479" s="4">
        <v>773</v>
      </c>
      <c r="D479"/>
    </row>
    <row r="480" spans="1:4" x14ac:dyDescent="0.3">
      <c r="A480" s="4" t="s">
        <v>14</v>
      </c>
      <c r="B480" s="4">
        <v>866</v>
      </c>
      <c r="D480"/>
    </row>
    <row r="481" spans="1:4" x14ac:dyDescent="0.3">
      <c r="A481" s="4" t="s">
        <v>15</v>
      </c>
      <c r="B481" s="4">
        <v>717</v>
      </c>
      <c r="D481"/>
    </row>
    <row r="482" spans="1:4" x14ac:dyDescent="0.3">
      <c r="A482" s="4" t="s">
        <v>19</v>
      </c>
      <c r="B482" s="4">
        <v>889</v>
      </c>
      <c r="D482"/>
    </row>
    <row r="483" spans="1:4" x14ac:dyDescent="0.3">
      <c r="A483" s="4" t="s">
        <v>9</v>
      </c>
      <c r="B483" s="4">
        <v>932</v>
      </c>
      <c r="D483"/>
    </row>
    <row r="484" spans="1:4" x14ac:dyDescent="0.3">
      <c r="A484" s="4" t="s">
        <v>4</v>
      </c>
      <c r="B484" s="4">
        <v>209</v>
      </c>
      <c r="D484"/>
    </row>
    <row r="485" spans="1:4" x14ac:dyDescent="0.3">
      <c r="A485" s="4" t="s">
        <v>3</v>
      </c>
      <c r="B485" s="4">
        <v>83</v>
      </c>
      <c r="D485"/>
    </row>
    <row r="486" spans="1:4" x14ac:dyDescent="0.3">
      <c r="A486" s="4" t="s">
        <v>18</v>
      </c>
      <c r="B486" s="4">
        <v>330</v>
      </c>
      <c r="D486"/>
    </row>
    <row r="487" spans="1:4" x14ac:dyDescent="0.3">
      <c r="A487" s="4" t="s">
        <v>14</v>
      </c>
      <c r="B487" s="4">
        <v>254</v>
      </c>
      <c r="D487"/>
    </row>
    <row r="488" spans="1:4" x14ac:dyDescent="0.3">
      <c r="A488" s="4" t="s">
        <v>4</v>
      </c>
      <c r="B488" s="4">
        <v>574</v>
      </c>
      <c r="D488"/>
    </row>
    <row r="489" spans="1:4" x14ac:dyDescent="0.3">
      <c r="A489" s="4" t="s">
        <v>10</v>
      </c>
      <c r="B489" s="4">
        <v>754</v>
      </c>
      <c r="D489"/>
    </row>
    <row r="490" spans="1:4" x14ac:dyDescent="0.3">
      <c r="A490" s="4" t="s">
        <v>4</v>
      </c>
      <c r="B490" s="4">
        <v>897</v>
      </c>
      <c r="D490"/>
    </row>
    <row r="491" spans="1:4" x14ac:dyDescent="0.3">
      <c r="A491" s="4" t="s">
        <v>8</v>
      </c>
      <c r="B491" s="4">
        <v>429</v>
      </c>
      <c r="D491"/>
    </row>
    <row r="492" spans="1:4" x14ac:dyDescent="0.3">
      <c r="A492" s="4" t="s">
        <v>10</v>
      </c>
      <c r="B492" s="4">
        <v>807</v>
      </c>
      <c r="D492"/>
    </row>
    <row r="493" spans="1:4" x14ac:dyDescent="0.3">
      <c r="A493" s="4" t="s">
        <v>9</v>
      </c>
      <c r="B493" s="4">
        <v>583</v>
      </c>
      <c r="D493"/>
    </row>
    <row r="494" spans="1:4" x14ac:dyDescent="0.3">
      <c r="A494" s="4" t="s">
        <v>8</v>
      </c>
      <c r="B494" s="4">
        <v>681</v>
      </c>
      <c r="D494"/>
    </row>
    <row r="495" spans="1:4" x14ac:dyDescent="0.3">
      <c r="A495" s="4" t="s">
        <v>6</v>
      </c>
      <c r="B495" s="4">
        <v>499</v>
      </c>
      <c r="D495"/>
    </row>
    <row r="496" spans="1:4" x14ac:dyDescent="0.3">
      <c r="A496" s="4" t="s">
        <v>7</v>
      </c>
      <c r="B496" s="4">
        <v>943</v>
      </c>
      <c r="D496"/>
    </row>
    <row r="497" spans="1:4" x14ac:dyDescent="0.3">
      <c r="A497" s="4" t="s">
        <v>6</v>
      </c>
      <c r="B497" s="4">
        <v>257</v>
      </c>
      <c r="D497"/>
    </row>
    <row r="498" spans="1:4" x14ac:dyDescent="0.3">
      <c r="A498" s="4" t="s">
        <v>8</v>
      </c>
      <c r="B498" s="4">
        <v>700</v>
      </c>
      <c r="D498"/>
    </row>
    <row r="499" spans="1:4" x14ac:dyDescent="0.3">
      <c r="A499" s="4" t="s">
        <v>12</v>
      </c>
      <c r="B499" s="4">
        <v>178</v>
      </c>
      <c r="D499"/>
    </row>
    <row r="500" spans="1:4" x14ac:dyDescent="0.3">
      <c r="A500" s="4" t="s">
        <v>14</v>
      </c>
      <c r="B500" s="4">
        <v>381</v>
      </c>
      <c r="D500"/>
    </row>
    <row r="501" spans="1:4" x14ac:dyDescent="0.3">
      <c r="A501" s="4" t="s">
        <v>3</v>
      </c>
      <c r="B501" s="4">
        <v>156</v>
      </c>
      <c r="D501"/>
    </row>
    <row r="502" spans="1:4" x14ac:dyDescent="0.3">
      <c r="A502" s="4" t="s">
        <v>3</v>
      </c>
      <c r="B502" s="4">
        <v>26</v>
      </c>
      <c r="D502"/>
    </row>
    <row r="503" spans="1:4" x14ac:dyDescent="0.3">
      <c r="A503" s="4" t="s">
        <v>10</v>
      </c>
      <c r="B503" s="4">
        <v>459</v>
      </c>
      <c r="D503"/>
    </row>
    <row r="504" spans="1:4" x14ac:dyDescent="0.3">
      <c r="A504" s="4" t="s">
        <v>3</v>
      </c>
      <c r="B504" s="4">
        <v>867</v>
      </c>
      <c r="D504"/>
    </row>
    <row r="505" spans="1:4" x14ac:dyDescent="0.3">
      <c r="A505" s="4" t="s">
        <v>6</v>
      </c>
      <c r="B505" s="4">
        <v>404</v>
      </c>
      <c r="D505"/>
    </row>
    <row r="506" spans="1:4" x14ac:dyDescent="0.3">
      <c r="A506" s="4" t="s">
        <v>8</v>
      </c>
      <c r="B506" s="4">
        <v>465</v>
      </c>
      <c r="D506"/>
    </row>
    <row r="507" spans="1:4" x14ac:dyDescent="0.3">
      <c r="A507" s="4" t="s">
        <v>17</v>
      </c>
      <c r="B507" s="4">
        <v>872</v>
      </c>
      <c r="D507"/>
    </row>
    <row r="508" spans="1:4" x14ac:dyDescent="0.3">
      <c r="A508" s="4" t="s">
        <v>8</v>
      </c>
      <c r="B508" s="4">
        <v>94</v>
      </c>
      <c r="D508"/>
    </row>
    <row r="509" spans="1:4" x14ac:dyDescent="0.3">
      <c r="A509" s="4" t="s">
        <v>10</v>
      </c>
      <c r="B509" s="4">
        <v>442</v>
      </c>
      <c r="D509"/>
    </row>
    <row r="510" spans="1:4" x14ac:dyDescent="0.3">
      <c r="A510" s="4" t="s">
        <v>10</v>
      </c>
      <c r="B510" s="4">
        <v>970</v>
      </c>
      <c r="D510"/>
    </row>
    <row r="511" spans="1:4" x14ac:dyDescent="0.3">
      <c r="A511" s="4" t="s">
        <v>13</v>
      </c>
      <c r="B511" s="4">
        <v>972</v>
      </c>
      <c r="D511"/>
    </row>
    <row r="512" spans="1:4" x14ac:dyDescent="0.3">
      <c r="A512" s="4" t="s">
        <v>17</v>
      </c>
      <c r="B512" s="4">
        <v>538</v>
      </c>
      <c r="D512"/>
    </row>
    <row r="513" spans="1:4" x14ac:dyDescent="0.3">
      <c r="A513" s="4" t="s">
        <v>9</v>
      </c>
      <c r="B513" s="4">
        <v>869</v>
      </c>
      <c r="D513"/>
    </row>
    <row r="514" spans="1:4" x14ac:dyDescent="0.3">
      <c r="A514" s="4" t="s">
        <v>18</v>
      </c>
      <c r="B514" s="4">
        <v>640</v>
      </c>
      <c r="D514"/>
    </row>
    <row r="515" spans="1:4" x14ac:dyDescent="0.3">
      <c r="A515" s="4" t="s">
        <v>17</v>
      </c>
      <c r="B515" s="4">
        <v>865</v>
      </c>
      <c r="D515"/>
    </row>
    <row r="516" spans="1:4" x14ac:dyDescent="0.3">
      <c r="A516" s="4" t="s">
        <v>15</v>
      </c>
      <c r="B516" s="4">
        <v>511</v>
      </c>
      <c r="D516"/>
    </row>
    <row r="517" spans="1:4" x14ac:dyDescent="0.3">
      <c r="A517" s="4" t="s">
        <v>11</v>
      </c>
      <c r="B517" s="4">
        <v>813</v>
      </c>
      <c r="D517"/>
    </row>
    <row r="518" spans="1:4" x14ac:dyDescent="0.3">
      <c r="A518" s="4" t="s">
        <v>13</v>
      </c>
      <c r="B518" s="4">
        <v>325</v>
      </c>
      <c r="D518"/>
    </row>
    <row r="519" spans="1:4" x14ac:dyDescent="0.3">
      <c r="A519" s="4" t="s">
        <v>8</v>
      </c>
      <c r="B519" s="4">
        <v>893</v>
      </c>
      <c r="D519"/>
    </row>
    <row r="520" spans="1:4" x14ac:dyDescent="0.3">
      <c r="A520" s="4" t="s">
        <v>10</v>
      </c>
      <c r="B520" s="4">
        <v>301</v>
      </c>
      <c r="D520"/>
    </row>
    <row r="521" spans="1:4" x14ac:dyDescent="0.3">
      <c r="A521" s="4" t="s">
        <v>7</v>
      </c>
      <c r="B521" s="4">
        <v>89</v>
      </c>
      <c r="D521"/>
    </row>
    <row r="522" spans="1:4" x14ac:dyDescent="0.3">
      <c r="A522" s="4" t="s">
        <v>9</v>
      </c>
      <c r="B522" s="4">
        <v>422</v>
      </c>
      <c r="D522"/>
    </row>
    <row r="523" spans="1:4" x14ac:dyDescent="0.3">
      <c r="A523" s="4" t="s">
        <v>9</v>
      </c>
      <c r="B523" s="4">
        <v>792</v>
      </c>
      <c r="D523"/>
    </row>
    <row r="524" spans="1:4" x14ac:dyDescent="0.3">
      <c r="A524" s="4" t="s">
        <v>8</v>
      </c>
      <c r="B524" s="4">
        <v>757</v>
      </c>
      <c r="D524"/>
    </row>
    <row r="525" spans="1:4" x14ac:dyDescent="0.3">
      <c r="A525" s="4" t="s">
        <v>12</v>
      </c>
      <c r="B525" s="4">
        <v>209</v>
      </c>
      <c r="D525"/>
    </row>
    <row r="526" spans="1:4" x14ac:dyDescent="0.3">
      <c r="A526" s="4" t="s">
        <v>10</v>
      </c>
      <c r="B526" s="4">
        <v>387</v>
      </c>
      <c r="D526"/>
    </row>
    <row r="527" spans="1:4" x14ac:dyDescent="0.3">
      <c r="A527" s="4" t="s">
        <v>19</v>
      </c>
      <c r="B527" s="4">
        <v>625</v>
      </c>
      <c r="D527"/>
    </row>
    <row r="528" spans="1:4" x14ac:dyDescent="0.3">
      <c r="A528" s="4" t="s">
        <v>17</v>
      </c>
      <c r="B528" s="4">
        <v>841</v>
      </c>
      <c r="D528"/>
    </row>
    <row r="529" spans="1:4" x14ac:dyDescent="0.3">
      <c r="A529" s="4" t="s">
        <v>14</v>
      </c>
      <c r="B529" s="4">
        <v>209</v>
      </c>
      <c r="D529"/>
    </row>
    <row r="530" spans="1:4" x14ac:dyDescent="0.3">
      <c r="A530" s="4" t="s">
        <v>19</v>
      </c>
      <c r="B530" s="4">
        <v>439</v>
      </c>
      <c r="D530"/>
    </row>
    <row r="531" spans="1:4" x14ac:dyDescent="0.3">
      <c r="A531" s="4" t="s">
        <v>11</v>
      </c>
      <c r="B531" s="4">
        <v>250</v>
      </c>
      <c r="D531"/>
    </row>
    <row r="532" spans="1:4" x14ac:dyDescent="0.3">
      <c r="A532" s="4" t="s">
        <v>8</v>
      </c>
      <c r="B532" s="4">
        <v>763</v>
      </c>
      <c r="D532"/>
    </row>
    <row r="533" spans="1:4" x14ac:dyDescent="0.3">
      <c r="A533" s="4" t="s">
        <v>19</v>
      </c>
      <c r="B533" s="4">
        <v>678</v>
      </c>
      <c r="D533"/>
    </row>
    <row r="534" spans="1:4" x14ac:dyDescent="0.3">
      <c r="A534" s="4" t="s">
        <v>13</v>
      </c>
      <c r="B534" s="4">
        <v>748</v>
      </c>
      <c r="D534"/>
    </row>
    <row r="535" spans="1:4" x14ac:dyDescent="0.3">
      <c r="A535" s="4" t="s">
        <v>10</v>
      </c>
      <c r="B535" s="4">
        <v>345</v>
      </c>
      <c r="D535"/>
    </row>
    <row r="536" spans="1:4" x14ac:dyDescent="0.3">
      <c r="A536" s="4" t="s">
        <v>19</v>
      </c>
      <c r="B536" s="4">
        <v>446</v>
      </c>
      <c r="D536"/>
    </row>
    <row r="537" spans="1:4" x14ac:dyDescent="0.3">
      <c r="A537" s="4" t="s">
        <v>9</v>
      </c>
      <c r="B537" s="4">
        <v>375</v>
      </c>
      <c r="D537"/>
    </row>
    <row r="538" spans="1:4" x14ac:dyDescent="0.3">
      <c r="A538" s="4" t="s">
        <v>19</v>
      </c>
      <c r="B538" s="4">
        <v>560</v>
      </c>
      <c r="D538"/>
    </row>
    <row r="539" spans="1:4" x14ac:dyDescent="0.3">
      <c r="A539" s="4" t="s">
        <v>7</v>
      </c>
      <c r="B539" s="4">
        <v>901</v>
      </c>
      <c r="D539"/>
    </row>
    <row r="540" spans="1:4" x14ac:dyDescent="0.3">
      <c r="A540" s="4" t="s">
        <v>14</v>
      </c>
      <c r="B540" s="4">
        <v>380</v>
      </c>
      <c r="D540"/>
    </row>
    <row r="541" spans="1:4" x14ac:dyDescent="0.3">
      <c r="A541" s="4" t="s">
        <v>9</v>
      </c>
      <c r="B541" s="4">
        <v>506</v>
      </c>
      <c r="D541"/>
    </row>
    <row r="542" spans="1:4" x14ac:dyDescent="0.3">
      <c r="A542" s="4" t="s">
        <v>8</v>
      </c>
      <c r="B542" s="4">
        <v>167</v>
      </c>
      <c r="D542"/>
    </row>
    <row r="543" spans="1:4" x14ac:dyDescent="0.3">
      <c r="A543" s="4" t="s">
        <v>10</v>
      </c>
      <c r="B543" s="4">
        <v>275</v>
      </c>
      <c r="D543"/>
    </row>
    <row r="544" spans="1:4" x14ac:dyDescent="0.3">
      <c r="A544" s="4" t="s">
        <v>4</v>
      </c>
      <c r="B544" s="4">
        <v>378</v>
      </c>
      <c r="D544"/>
    </row>
    <row r="545" spans="1:4" x14ac:dyDescent="0.3">
      <c r="A545" s="4" t="s">
        <v>13</v>
      </c>
      <c r="B545" s="4">
        <v>646</v>
      </c>
      <c r="D545"/>
    </row>
    <row r="546" spans="1:4" x14ac:dyDescent="0.3">
      <c r="A546" s="4" t="s">
        <v>18</v>
      </c>
      <c r="B546" s="4">
        <v>922</v>
      </c>
      <c r="D546"/>
    </row>
    <row r="547" spans="1:4" x14ac:dyDescent="0.3">
      <c r="A547" s="4" t="s">
        <v>10</v>
      </c>
      <c r="B547" s="4">
        <v>925</v>
      </c>
      <c r="D547"/>
    </row>
    <row r="548" spans="1:4" x14ac:dyDescent="0.3">
      <c r="A548" s="4" t="s">
        <v>10</v>
      </c>
      <c r="B548" s="4">
        <v>254</v>
      </c>
      <c r="D548"/>
    </row>
    <row r="549" spans="1:4" x14ac:dyDescent="0.3">
      <c r="A549" s="4" t="s">
        <v>10</v>
      </c>
      <c r="B549" s="4">
        <v>185</v>
      </c>
      <c r="D549"/>
    </row>
    <row r="550" spans="1:4" x14ac:dyDescent="0.3">
      <c r="A550" s="4" t="s">
        <v>18</v>
      </c>
      <c r="B550" s="4">
        <v>978</v>
      </c>
      <c r="D550"/>
    </row>
    <row r="551" spans="1:4" x14ac:dyDescent="0.3">
      <c r="A551" s="4" t="s">
        <v>19</v>
      </c>
      <c r="B551" s="4">
        <v>730</v>
      </c>
      <c r="D551"/>
    </row>
    <row r="552" spans="1:4" x14ac:dyDescent="0.3">
      <c r="A552" s="4" t="s">
        <v>12</v>
      </c>
      <c r="B552" s="4">
        <v>558</v>
      </c>
      <c r="D552"/>
    </row>
    <row r="553" spans="1:4" x14ac:dyDescent="0.3">
      <c r="A553" s="4" t="s">
        <v>10</v>
      </c>
      <c r="B553" s="4">
        <v>954</v>
      </c>
      <c r="D553"/>
    </row>
    <row r="554" spans="1:4" x14ac:dyDescent="0.3">
      <c r="A554" s="4" t="s">
        <v>10</v>
      </c>
      <c r="B554" s="4">
        <v>152</v>
      </c>
      <c r="D554"/>
    </row>
    <row r="555" spans="1:4" x14ac:dyDescent="0.3">
      <c r="A555" s="4" t="s">
        <v>11</v>
      </c>
      <c r="B555" s="4">
        <v>955</v>
      </c>
      <c r="D555"/>
    </row>
    <row r="556" spans="1:4" x14ac:dyDescent="0.3">
      <c r="A556" s="4" t="s">
        <v>3</v>
      </c>
      <c r="B556" s="4">
        <v>866</v>
      </c>
      <c r="D556"/>
    </row>
    <row r="557" spans="1:4" x14ac:dyDescent="0.3">
      <c r="A557" s="4" t="s">
        <v>18</v>
      </c>
      <c r="B557" s="4">
        <v>208</v>
      </c>
      <c r="D557"/>
    </row>
    <row r="558" spans="1:4" x14ac:dyDescent="0.3">
      <c r="A558" s="4" t="s">
        <v>6</v>
      </c>
      <c r="B558" s="4">
        <v>826</v>
      </c>
      <c r="D558"/>
    </row>
    <row r="559" spans="1:4" x14ac:dyDescent="0.3">
      <c r="A559" s="4" t="s">
        <v>15</v>
      </c>
      <c r="B559" s="4">
        <v>715</v>
      </c>
      <c r="D559"/>
    </row>
    <row r="560" spans="1:4" x14ac:dyDescent="0.3">
      <c r="A560" s="4" t="s">
        <v>4</v>
      </c>
      <c r="B560" s="4">
        <v>939</v>
      </c>
      <c r="D560"/>
    </row>
    <row r="561" spans="1:4" x14ac:dyDescent="0.3">
      <c r="A561" s="4" t="s">
        <v>15</v>
      </c>
      <c r="B561" s="4">
        <v>639</v>
      </c>
      <c r="D561"/>
    </row>
    <row r="562" spans="1:4" x14ac:dyDescent="0.3">
      <c r="A562" s="4" t="s">
        <v>14</v>
      </c>
      <c r="B562" s="4">
        <v>921</v>
      </c>
      <c r="D562"/>
    </row>
    <row r="563" spans="1:4" x14ac:dyDescent="0.3">
      <c r="A563" s="4" t="s">
        <v>17</v>
      </c>
      <c r="B563" s="4">
        <v>201</v>
      </c>
      <c r="D563"/>
    </row>
    <row r="564" spans="1:4" x14ac:dyDescent="0.3">
      <c r="A564" s="4" t="s">
        <v>19</v>
      </c>
      <c r="B564" s="4" t="e">
        <v>#N/A</v>
      </c>
      <c r="D564"/>
    </row>
    <row r="565" spans="1:4" x14ac:dyDescent="0.3">
      <c r="A565" s="4" t="s">
        <v>8</v>
      </c>
      <c r="B565" s="4">
        <v>320</v>
      </c>
      <c r="D565"/>
    </row>
    <row r="566" spans="1:4" x14ac:dyDescent="0.3">
      <c r="A566" s="4" t="s">
        <v>15</v>
      </c>
      <c r="B566" s="4">
        <v>967</v>
      </c>
      <c r="D566"/>
    </row>
    <row r="567" spans="1:4" x14ac:dyDescent="0.3">
      <c r="A567" s="4" t="s">
        <v>10</v>
      </c>
      <c r="B567" s="4">
        <v>539</v>
      </c>
      <c r="D567"/>
    </row>
    <row r="568" spans="1:4" x14ac:dyDescent="0.3">
      <c r="A568" s="4" t="s">
        <v>4</v>
      </c>
      <c r="B568" s="4">
        <v>333</v>
      </c>
      <c r="D568"/>
    </row>
    <row r="569" spans="1:4" x14ac:dyDescent="0.3">
      <c r="A569" s="4" t="s">
        <v>16</v>
      </c>
      <c r="B569" s="4">
        <v>247</v>
      </c>
      <c r="D569"/>
    </row>
    <row r="570" spans="1:4" x14ac:dyDescent="0.3">
      <c r="A570" s="4" t="s">
        <v>4</v>
      </c>
      <c r="B570" s="4">
        <v>374</v>
      </c>
      <c r="D570"/>
    </row>
    <row r="571" spans="1:4" x14ac:dyDescent="0.3">
      <c r="A571" s="4" t="s">
        <v>15</v>
      </c>
      <c r="B571" s="6">
        <v>492</v>
      </c>
      <c r="D571"/>
    </row>
    <row r="572" spans="1:4" x14ac:dyDescent="0.3">
      <c r="A572" s="4" t="s">
        <v>14</v>
      </c>
      <c r="B572" s="4">
        <v>854</v>
      </c>
      <c r="D572"/>
    </row>
    <row r="573" spans="1:4" x14ac:dyDescent="0.3">
      <c r="A573" s="4" t="s">
        <v>6</v>
      </c>
      <c r="B573" s="4">
        <v>406</v>
      </c>
      <c r="D573"/>
    </row>
    <row r="574" spans="1:4" x14ac:dyDescent="0.3">
      <c r="A574" s="4" t="s">
        <v>19</v>
      </c>
      <c r="B574" s="4">
        <v>697</v>
      </c>
      <c r="D574"/>
    </row>
    <row r="575" spans="1:4" x14ac:dyDescent="0.3">
      <c r="A575" s="4" t="s">
        <v>3</v>
      </c>
      <c r="B575" s="4">
        <v>109</v>
      </c>
      <c r="D575"/>
    </row>
    <row r="576" spans="1:4" x14ac:dyDescent="0.3">
      <c r="A576" s="4" t="s">
        <v>6</v>
      </c>
      <c r="B576" s="4">
        <v>635</v>
      </c>
      <c r="D576"/>
    </row>
    <row r="577" spans="1:4" x14ac:dyDescent="0.3">
      <c r="A577" s="4" t="s">
        <v>14</v>
      </c>
      <c r="B577" s="4">
        <v>817</v>
      </c>
      <c r="D577"/>
    </row>
    <row r="578" spans="1:4" x14ac:dyDescent="0.3">
      <c r="A578" s="4" t="s">
        <v>3</v>
      </c>
      <c r="B578" s="4">
        <v>907</v>
      </c>
      <c r="D578"/>
    </row>
    <row r="579" spans="1:4" x14ac:dyDescent="0.3">
      <c r="A579" s="4" t="s">
        <v>9</v>
      </c>
      <c r="B579" s="4">
        <v>586</v>
      </c>
      <c r="D579"/>
    </row>
    <row r="580" spans="1:4" x14ac:dyDescent="0.3">
      <c r="A580" s="4" t="s">
        <v>17</v>
      </c>
      <c r="B580" s="4">
        <v>997</v>
      </c>
      <c r="D580"/>
    </row>
    <row r="581" spans="1:4" x14ac:dyDescent="0.3">
      <c r="A581" s="4" t="s">
        <v>10</v>
      </c>
      <c r="B581" s="4">
        <v>306</v>
      </c>
      <c r="D581"/>
    </row>
    <row r="582" spans="1:4" x14ac:dyDescent="0.3">
      <c r="A582" s="4" t="s">
        <v>4</v>
      </c>
      <c r="B582" s="4">
        <v>705</v>
      </c>
      <c r="D582"/>
    </row>
    <row r="583" spans="1:4" x14ac:dyDescent="0.3">
      <c r="A583" s="4" t="s">
        <v>10</v>
      </c>
      <c r="B583" s="4">
        <v>404</v>
      </c>
      <c r="D583"/>
    </row>
    <row r="584" spans="1:4" x14ac:dyDescent="0.3">
      <c r="A584" s="4" t="s">
        <v>16</v>
      </c>
      <c r="B584" s="4">
        <v>708</v>
      </c>
      <c r="D584"/>
    </row>
    <row r="585" spans="1:4" x14ac:dyDescent="0.3">
      <c r="A585" s="4" t="s">
        <v>12</v>
      </c>
      <c r="B585" s="4">
        <v>301</v>
      </c>
      <c r="D585"/>
    </row>
    <row r="586" spans="1:4" x14ac:dyDescent="0.3">
      <c r="A586" s="4" t="s">
        <v>8</v>
      </c>
      <c r="B586" s="4">
        <v>843</v>
      </c>
      <c r="D586"/>
    </row>
    <row r="587" spans="1:4" x14ac:dyDescent="0.3">
      <c r="A587" s="4" t="s">
        <v>9</v>
      </c>
      <c r="B587" s="4">
        <v>45</v>
      </c>
      <c r="D587"/>
    </row>
    <row r="588" spans="1:4" x14ac:dyDescent="0.3">
      <c r="A588" s="4" t="s">
        <v>10</v>
      </c>
      <c r="B588" s="4">
        <v>400</v>
      </c>
      <c r="D588"/>
    </row>
    <row r="589" spans="1:4" x14ac:dyDescent="0.3">
      <c r="A589" s="4" t="s">
        <v>18</v>
      </c>
      <c r="B589" s="4">
        <v>79</v>
      </c>
      <c r="D589"/>
    </row>
    <row r="590" spans="1:4" x14ac:dyDescent="0.3">
      <c r="A590" s="4" t="s">
        <v>9</v>
      </c>
      <c r="B590" s="4">
        <v>862</v>
      </c>
      <c r="D590"/>
    </row>
    <row r="591" spans="1:4" x14ac:dyDescent="0.3">
      <c r="A591" s="4" t="s">
        <v>4</v>
      </c>
      <c r="B591" s="4">
        <v>933</v>
      </c>
      <c r="D591"/>
    </row>
    <row r="592" spans="1:4" x14ac:dyDescent="0.3">
      <c r="A592" s="4" t="s">
        <v>8</v>
      </c>
      <c r="B592" s="4">
        <v>362</v>
      </c>
      <c r="D592"/>
    </row>
    <row r="593" spans="1:4" x14ac:dyDescent="0.3">
      <c r="A593" s="4" t="s">
        <v>10</v>
      </c>
      <c r="B593" s="4">
        <v>529</v>
      </c>
      <c r="D593"/>
    </row>
    <row r="594" spans="1:4" x14ac:dyDescent="0.3">
      <c r="A594" s="4" t="s">
        <v>4</v>
      </c>
      <c r="B594" s="4">
        <v>465</v>
      </c>
      <c r="D594"/>
    </row>
    <row r="595" spans="1:4" x14ac:dyDescent="0.3">
      <c r="A595" s="4" t="s">
        <v>16</v>
      </c>
      <c r="B595" s="4">
        <v>266</v>
      </c>
      <c r="D595"/>
    </row>
    <row r="596" spans="1:4" x14ac:dyDescent="0.3">
      <c r="A596" s="4" t="s">
        <v>4</v>
      </c>
      <c r="B596" s="4">
        <v>550</v>
      </c>
      <c r="D596"/>
    </row>
    <row r="597" spans="1:4" x14ac:dyDescent="0.3">
      <c r="A597" s="4" t="s">
        <v>16</v>
      </c>
      <c r="B597" s="4">
        <v>126</v>
      </c>
      <c r="D597"/>
    </row>
    <row r="598" spans="1:4" x14ac:dyDescent="0.3">
      <c r="A598" s="4" t="s">
        <v>14</v>
      </c>
      <c r="B598" s="4">
        <v>653</v>
      </c>
      <c r="D598"/>
    </row>
    <row r="599" spans="1:4" x14ac:dyDescent="0.3">
      <c r="A599" s="4" t="s">
        <v>12</v>
      </c>
      <c r="B599" s="4">
        <v>854</v>
      </c>
      <c r="D599"/>
    </row>
    <row r="600" spans="1:4" x14ac:dyDescent="0.3">
      <c r="A600" s="4" t="s">
        <v>18</v>
      </c>
      <c r="B600" s="4">
        <v>635</v>
      </c>
      <c r="D600"/>
    </row>
    <row r="601" spans="1:4" x14ac:dyDescent="0.3">
      <c r="A601" s="4" t="s">
        <v>6</v>
      </c>
      <c r="B601" s="4">
        <v>602</v>
      </c>
      <c r="D601"/>
    </row>
    <row r="602" spans="1:4" x14ac:dyDescent="0.3">
      <c r="A602" s="4" t="s">
        <v>4</v>
      </c>
      <c r="B602" s="4">
        <v>324</v>
      </c>
      <c r="D602"/>
    </row>
    <row r="603" spans="1:4" x14ac:dyDescent="0.3">
      <c r="A603" s="4" t="s">
        <v>10</v>
      </c>
      <c r="B603" s="4">
        <v>747</v>
      </c>
      <c r="D603"/>
    </row>
    <row r="604" spans="1:4" x14ac:dyDescent="0.3">
      <c r="A604" s="4" t="s">
        <v>19</v>
      </c>
      <c r="B604" s="4">
        <v>511</v>
      </c>
      <c r="D604"/>
    </row>
    <row r="605" spans="1:4" x14ac:dyDescent="0.3">
      <c r="A605" s="4" t="s">
        <v>4</v>
      </c>
      <c r="B605" s="4">
        <v>488</v>
      </c>
      <c r="D605"/>
    </row>
    <row r="606" spans="1:4" x14ac:dyDescent="0.3">
      <c r="A606" s="4" t="s">
        <v>6</v>
      </c>
      <c r="B606" s="4">
        <v>238</v>
      </c>
      <c r="D606"/>
    </row>
    <row r="607" spans="1:4" x14ac:dyDescent="0.3">
      <c r="A607" s="4" t="s">
        <v>15</v>
      </c>
      <c r="B607" s="4">
        <v>282</v>
      </c>
      <c r="D607"/>
    </row>
    <row r="608" spans="1:4" x14ac:dyDescent="0.3">
      <c r="A608" s="4" t="s">
        <v>15</v>
      </c>
      <c r="B608" s="4">
        <v>525</v>
      </c>
      <c r="D608"/>
    </row>
    <row r="609" spans="1:4" x14ac:dyDescent="0.3">
      <c r="A609" s="4" t="s">
        <v>15</v>
      </c>
      <c r="B609" s="4">
        <v>659</v>
      </c>
      <c r="D609"/>
    </row>
    <row r="610" spans="1:4" x14ac:dyDescent="0.3">
      <c r="A610" s="4" t="s">
        <v>16</v>
      </c>
      <c r="B610" s="4">
        <v>816</v>
      </c>
      <c r="D610"/>
    </row>
    <row r="611" spans="1:4" x14ac:dyDescent="0.3">
      <c r="A611" s="4" t="s">
        <v>14</v>
      </c>
      <c r="B611" s="4">
        <v>865</v>
      </c>
      <c r="D611"/>
    </row>
    <row r="612" spans="1:4" x14ac:dyDescent="0.3">
      <c r="A612" s="4" t="s">
        <v>13</v>
      </c>
      <c r="B612" s="4">
        <v>748</v>
      </c>
      <c r="D612"/>
    </row>
    <row r="613" spans="1:4" x14ac:dyDescent="0.3">
      <c r="A613" s="4" t="s">
        <v>4</v>
      </c>
      <c r="B613" s="4">
        <v>612</v>
      </c>
      <c r="D613"/>
    </row>
    <row r="614" spans="1:4" x14ac:dyDescent="0.3">
      <c r="A614" s="4" t="s">
        <v>17</v>
      </c>
      <c r="B614" s="4">
        <v>864</v>
      </c>
      <c r="D614"/>
    </row>
    <row r="615" spans="1:4" x14ac:dyDescent="0.3">
      <c r="A615" s="4" t="s">
        <v>9</v>
      </c>
      <c r="B615" s="4">
        <v>614</v>
      </c>
      <c r="D615"/>
    </row>
    <row r="616" spans="1:4" x14ac:dyDescent="0.3">
      <c r="A616" s="4" t="s">
        <v>11</v>
      </c>
      <c r="B616" s="4">
        <v>583</v>
      </c>
      <c r="D616"/>
    </row>
    <row r="617" spans="1:4" x14ac:dyDescent="0.3">
      <c r="A617" s="4" t="s">
        <v>9</v>
      </c>
      <c r="B617" s="4">
        <v>669</v>
      </c>
      <c r="D617"/>
    </row>
    <row r="618" spans="1:4" x14ac:dyDescent="0.3">
      <c r="A618" s="4" t="s">
        <v>15</v>
      </c>
      <c r="B618" s="4">
        <v>938</v>
      </c>
      <c r="D618"/>
    </row>
    <row r="619" spans="1:4" x14ac:dyDescent="0.3">
      <c r="A619" s="4" t="s">
        <v>10</v>
      </c>
      <c r="B619" s="4">
        <v>413</v>
      </c>
      <c r="D619"/>
    </row>
    <row r="620" spans="1:4" x14ac:dyDescent="0.3">
      <c r="A620" s="4" t="s">
        <v>4</v>
      </c>
      <c r="B620" s="4">
        <v>951</v>
      </c>
      <c r="D620"/>
    </row>
    <row r="621" spans="1:4" x14ac:dyDescent="0.3">
      <c r="A621" s="4" t="s">
        <v>8</v>
      </c>
      <c r="B621" s="4">
        <v>324</v>
      </c>
      <c r="D621"/>
    </row>
    <row r="622" spans="1:4" x14ac:dyDescent="0.3">
      <c r="A622" s="4" t="s">
        <v>6</v>
      </c>
      <c r="B622" s="4">
        <v>505</v>
      </c>
      <c r="D622"/>
    </row>
    <row r="623" spans="1:4" x14ac:dyDescent="0.3">
      <c r="A623" s="4" t="s">
        <v>13</v>
      </c>
      <c r="B623" s="4">
        <v>569</v>
      </c>
      <c r="D623"/>
    </row>
    <row r="624" spans="1:4" x14ac:dyDescent="0.3">
      <c r="A624" s="4" t="s">
        <v>13</v>
      </c>
      <c r="B624" s="4">
        <v>423</v>
      </c>
      <c r="D624"/>
    </row>
    <row r="625" spans="1:4" x14ac:dyDescent="0.3">
      <c r="A625" s="4" t="s">
        <v>15</v>
      </c>
      <c r="B625" s="4">
        <v>761</v>
      </c>
      <c r="D625"/>
    </row>
    <row r="626" spans="1:4" x14ac:dyDescent="0.3">
      <c r="A626" s="4" t="s">
        <v>10</v>
      </c>
      <c r="B626" s="4">
        <v>437</v>
      </c>
      <c r="D626"/>
    </row>
    <row r="627" spans="1:4" x14ac:dyDescent="0.3">
      <c r="A627" s="4" t="s">
        <v>11</v>
      </c>
      <c r="B627" s="4">
        <v>759</v>
      </c>
      <c r="D627"/>
    </row>
    <row r="628" spans="1:4" x14ac:dyDescent="0.3">
      <c r="A628" s="4" t="s">
        <v>8</v>
      </c>
      <c r="B628" s="4">
        <v>962</v>
      </c>
      <c r="D628"/>
    </row>
    <row r="629" spans="1:4" x14ac:dyDescent="0.3">
      <c r="A629" s="4" t="s">
        <v>6</v>
      </c>
      <c r="B629" s="4">
        <v>120</v>
      </c>
      <c r="D629"/>
    </row>
    <row r="630" spans="1:4" x14ac:dyDescent="0.3">
      <c r="A630" s="4" t="s">
        <v>6</v>
      </c>
      <c r="B630" s="4">
        <v>174</v>
      </c>
      <c r="D630"/>
    </row>
    <row r="631" spans="1:4" x14ac:dyDescent="0.3">
      <c r="A631" s="4" t="s">
        <v>12</v>
      </c>
      <c r="B631" s="4">
        <v>340</v>
      </c>
      <c r="D631"/>
    </row>
    <row r="632" spans="1:4" x14ac:dyDescent="0.3">
      <c r="A632" s="4" t="s">
        <v>17</v>
      </c>
      <c r="B632" s="4">
        <v>487</v>
      </c>
      <c r="D632"/>
    </row>
    <row r="633" spans="1:4" x14ac:dyDescent="0.3">
      <c r="A633" s="4" t="s">
        <v>16</v>
      </c>
      <c r="B633" s="4">
        <v>955</v>
      </c>
      <c r="D633"/>
    </row>
    <row r="634" spans="1:4" x14ac:dyDescent="0.3">
      <c r="A634" s="4" t="s">
        <v>19</v>
      </c>
      <c r="B634" s="4">
        <v>634</v>
      </c>
      <c r="D634"/>
    </row>
    <row r="635" spans="1:4" x14ac:dyDescent="0.3">
      <c r="A635" s="4" t="s">
        <v>7</v>
      </c>
      <c r="B635" s="4">
        <v>913</v>
      </c>
      <c r="D635"/>
    </row>
    <row r="636" spans="1:4" x14ac:dyDescent="0.3">
      <c r="A636" s="4" t="s">
        <v>10</v>
      </c>
      <c r="B636" s="4">
        <v>864</v>
      </c>
      <c r="D636"/>
    </row>
    <row r="637" spans="1:4" x14ac:dyDescent="0.3">
      <c r="A637" s="4" t="s">
        <v>13</v>
      </c>
      <c r="B637" s="4">
        <v>637</v>
      </c>
      <c r="D637"/>
    </row>
    <row r="638" spans="1:4" x14ac:dyDescent="0.3">
      <c r="A638" s="4" t="s">
        <v>11</v>
      </c>
      <c r="B638" s="4">
        <v>336</v>
      </c>
      <c r="D638"/>
    </row>
    <row r="639" spans="1:4" x14ac:dyDescent="0.3">
      <c r="A639" s="4" t="s">
        <v>18</v>
      </c>
      <c r="B639" s="4">
        <v>883</v>
      </c>
      <c r="D639"/>
    </row>
    <row r="640" spans="1:4" x14ac:dyDescent="0.3">
      <c r="A640" s="4" t="s">
        <v>10</v>
      </c>
      <c r="B640" s="4">
        <v>997</v>
      </c>
      <c r="D640"/>
    </row>
    <row r="641" spans="1:4" x14ac:dyDescent="0.3">
      <c r="A641" s="4" t="s">
        <v>11</v>
      </c>
      <c r="B641" s="4">
        <v>698</v>
      </c>
      <c r="D641"/>
    </row>
    <row r="642" spans="1:4" x14ac:dyDescent="0.3">
      <c r="A642" s="4" t="s">
        <v>4</v>
      </c>
      <c r="B642" s="4">
        <v>854</v>
      </c>
      <c r="D642"/>
    </row>
    <row r="643" spans="1:4" x14ac:dyDescent="0.3">
      <c r="A643" s="4" t="s">
        <v>7</v>
      </c>
      <c r="B643" s="4">
        <v>533</v>
      </c>
      <c r="D643"/>
    </row>
    <row r="644" spans="1:4" x14ac:dyDescent="0.3">
      <c r="A644" s="4" t="s">
        <v>9</v>
      </c>
      <c r="B644" s="4">
        <v>751</v>
      </c>
      <c r="D644"/>
    </row>
    <row r="645" spans="1:4" x14ac:dyDescent="0.3">
      <c r="A645" s="4" t="s">
        <v>17</v>
      </c>
      <c r="B645" s="4">
        <v>565</v>
      </c>
      <c r="D645"/>
    </row>
    <row r="646" spans="1:4" x14ac:dyDescent="0.3">
      <c r="A646" s="4" t="s">
        <v>3</v>
      </c>
      <c r="B646" s="4">
        <v>922</v>
      </c>
      <c r="D646"/>
    </row>
    <row r="647" spans="1:4" x14ac:dyDescent="0.3">
      <c r="A647" s="4" t="s">
        <v>19</v>
      </c>
      <c r="B647" s="4">
        <v>329</v>
      </c>
      <c r="D647"/>
    </row>
    <row r="648" spans="1:4" x14ac:dyDescent="0.3">
      <c r="A648" s="4" t="s">
        <v>14</v>
      </c>
      <c r="B648" s="4">
        <v>907</v>
      </c>
      <c r="D648"/>
    </row>
    <row r="649" spans="1:4" x14ac:dyDescent="0.3">
      <c r="A649" s="4" t="s">
        <v>8</v>
      </c>
      <c r="B649" s="4">
        <v>570</v>
      </c>
      <c r="D649"/>
    </row>
    <row r="650" spans="1:4" x14ac:dyDescent="0.3">
      <c r="A650" s="4" t="s">
        <v>10</v>
      </c>
      <c r="B650" s="4">
        <v>715</v>
      </c>
      <c r="D650"/>
    </row>
    <row r="651" spans="1:4" x14ac:dyDescent="0.3">
      <c r="A651" s="4" t="s">
        <v>17</v>
      </c>
      <c r="B651" s="4">
        <v>705</v>
      </c>
      <c r="D651"/>
    </row>
    <row r="652" spans="1:4" x14ac:dyDescent="0.3">
      <c r="A652" s="4" t="s">
        <v>7</v>
      </c>
      <c r="B652" s="4">
        <v>997</v>
      </c>
      <c r="D652"/>
    </row>
    <row r="653" spans="1:4" x14ac:dyDescent="0.3">
      <c r="A653" s="4" t="s">
        <v>3</v>
      </c>
      <c r="B653" s="4">
        <v>351</v>
      </c>
      <c r="D653"/>
    </row>
    <row r="654" spans="1:4" x14ac:dyDescent="0.3">
      <c r="A654" s="4" t="s">
        <v>12</v>
      </c>
      <c r="B654" s="4">
        <v>582</v>
      </c>
      <c r="D654"/>
    </row>
    <row r="655" spans="1:4" x14ac:dyDescent="0.3">
      <c r="A655" s="4" t="s">
        <v>6</v>
      </c>
      <c r="B655" s="4">
        <v>641</v>
      </c>
      <c r="D655"/>
    </row>
    <row r="656" spans="1:4" x14ac:dyDescent="0.3">
      <c r="A656" s="4" t="s">
        <v>18</v>
      </c>
      <c r="B656" s="4">
        <v>692</v>
      </c>
      <c r="D656"/>
    </row>
    <row r="657" spans="1:4" x14ac:dyDescent="0.3">
      <c r="A657" s="4" t="s">
        <v>13</v>
      </c>
      <c r="B657" s="4">
        <v>906</v>
      </c>
      <c r="D657"/>
    </row>
    <row r="658" spans="1:4" x14ac:dyDescent="0.3">
      <c r="A658" s="4" t="s">
        <v>14</v>
      </c>
      <c r="B658" s="4">
        <v>820</v>
      </c>
      <c r="D658"/>
    </row>
    <row r="659" spans="1:4" x14ac:dyDescent="0.3">
      <c r="A659" s="4" t="s">
        <v>13</v>
      </c>
      <c r="B659" s="4">
        <v>868</v>
      </c>
      <c r="D659"/>
    </row>
    <row r="660" spans="1:4" x14ac:dyDescent="0.3">
      <c r="A660" s="4" t="s">
        <v>8</v>
      </c>
      <c r="B660" s="4">
        <v>882</v>
      </c>
      <c r="D660"/>
    </row>
    <row r="661" spans="1:4" x14ac:dyDescent="0.3">
      <c r="A661" s="4" t="s">
        <v>16</v>
      </c>
      <c r="B661" s="4">
        <v>440</v>
      </c>
      <c r="D661"/>
    </row>
    <row r="662" spans="1:4" x14ac:dyDescent="0.3">
      <c r="A662" s="4" t="s">
        <v>9</v>
      </c>
      <c r="B662" s="4">
        <v>285</v>
      </c>
      <c r="D662"/>
    </row>
    <row r="663" spans="1:4" x14ac:dyDescent="0.3">
      <c r="A663" s="4" t="s">
        <v>10</v>
      </c>
      <c r="B663" s="4">
        <v>811</v>
      </c>
      <c r="D663"/>
    </row>
    <row r="664" spans="1:4" x14ac:dyDescent="0.3">
      <c r="A664" s="4" t="s">
        <v>19</v>
      </c>
      <c r="B664" s="4">
        <v>900</v>
      </c>
      <c r="D664"/>
    </row>
    <row r="665" spans="1:4" x14ac:dyDescent="0.3">
      <c r="A665" s="4" t="s">
        <v>7</v>
      </c>
      <c r="B665" s="4">
        <v>220</v>
      </c>
      <c r="D665"/>
    </row>
    <row r="666" spans="1:4" x14ac:dyDescent="0.3">
      <c r="A666" s="4" t="s">
        <v>6</v>
      </c>
      <c r="B666" s="4">
        <v>278</v>
      </c>
      <c r="D666"/>
    </row>
    <row r="667" spans="1:4" x14ac:dyDescent="0.3">
      <c r="A667" s="4" t="s">
        <v>6</v>
      </c>
      <c r="B667" s="4">
        <v>881</v>
      </c>
      <c r="D667"/>
    </row>
    <row r="668" spans="1:4" x14ac:dyDescent="0.3">
      <c r="A668" s="4" t="s">
        <v>7</v>
      </c>
      <c r="B668" s="4">
        <v>284</v>
      </c>
      <c r="D668"/>
    </row>
    <row r="669" spans="1:4" x14ac:dyDescent="0.3">
      <c r="A669" s="4" t="s">
        <v>6</v>
      </c>
      <c r="B669" s="4">
        <v>987</v>
      </c>
      <c r="D669"/>
    </row>
    <row r="670" spans="1:4" x14ac:dyDescent="0.3">
      <c r="A670" s="4" t="s">
        <v>9</v>
      </c>
      <c r="B670" s="4">
        <v>155</v>
      </c>
      <c r="D670"/>
    </row>
    <row r="671" spans="1:4" x14ac:dyDescent="0.3">
      <c r="A671" s="4" t="s">
        <v>10</v>
      </c>
      <c r="B671" s="4">
        <v>159</v>
      </c>
      <c r="D671"/>
    </row>
    <row r="672" spans="1:4" x14ac:dyDescent="0.3">
      <c r="A672" s="4" t="s">
        <v>10</v>
      </c>
      <c r="B672" s="4">
        <v>228</v>
      </c>
      <c r="D672"/>
    </row>
    <row r="673" spans="1:4" x14ac:dyDescent="0.3">
      <c r="A673" s="4" t="s">
        <v>19</v>
      </c>
      <c r="B673" s="4">
        <v>397</v>
      </c>
      <c r="D673"/>
    </row>
    <row r="674" spans="1:4" x14ac:dyDescent="0.3">
      <c r="A674" s="4" t="s">
        <v>6</v>
      </c>
      <c r="B674" s="4">
        <v>709</v>
      </c>
      <c r="D674"/>
    </row>
    <row r="675" spans="1:4" x14ac:dyDescent="0.3">
      <c r="A675" s="4" t="s">
        <v>10</v>
      </c>
      <c r="B675" s="4">
        <v>805</v>
      </c>
      <c r="D675"/>
    </row>
    <row r="676" spans="1:4" x14ac:dyDescent="0.3">
      <c r="A676" s="4" t="s">
        <v>8</v>
      </c>
      <c r="B676" s="4">
        <v>919</v>
      </c>
      <c r="D676"/>
    </row>
    <row r="677" spans="1:4" x14ac:dyDescent="0.3">
      <c r="A677" s="4" t="s">
        <v>18</v>
      </c>
      <c r="B677" s="4">
        <v>799</v>
      </c>
      <c r="D677"/>
    </row>
    <row r="678" spans="1:4" x14ac:dyDescent="0.3">
      <c r="A678" s="4" t="s">
        <v>3</v>
      </c>
      <c r="B678" s="4">
        <v>149</v>
      </c>
      <c r="D678"/>
    </row>
    <row r="679" spans="1:4" x14ac:dyDescent="0.3">
      <c r="A679" s="4" t="s">
        <v>19</v>
      </c>
      <c r="B679" s="4">
        <v>373</v>
      </c>
      <c r="D679"/>
    </row>
    <row r="680" spans="1:4" x14ac:dyDescent="0.3">
      <c r="A680" s="4" t="s">
        <v>19</v>
      </c>
      <c r="B680" s="4">
        <v>212</v>
      </c>
      <c r="D680"/>
    </row>
    <row r="681" spans="1:4" x14ac:dyDescent="0.3">
      <c r="A681" s="4" t="s">
        <v>11</v>
      </c>
      <c r="B681" s="4">
        <v>632</v>
      </c>
      <c r="D681"/>
    </row>
    <row r="682" spans="1:4" x14ac:dyDescent="0.3">
      <c r="A682" s="4" t="s">
        <v>19</v>
      </c>
      <c r="B682" s="4">
        <v>876</v>
      </c>
      <c r="D682"/>
    </row>
    <row r="683" spans="1:4" x14ac:dyDescent="0.3">
      <c r="A683" s="4" t="s">
        <v>4</v>
      </c>
      <c r="B683" s="4">
        <v>907</v>
      </c>
      <c r="D683"/>
    </row>
    <row r="684" spans="1:4" x14ac:dyDescent="0.3">
      <c r="A684" s="4" t="s">
        <v>15</v>
      </c>
      <c r="B684" s="4">
        <v>236</v>
      </c>
      <c r="D684"/>
    </row>
    <row r="685" spans="1:4" x14ac:dyDescent="0.3">
      <c r="A685" s="4" t="s">
        <v>16</v>
      </c>
      <c r="B685" s="4">
        <v>708</v>
      </c>
      <c r="D685"/>
    </row>
    <row r="686" spans="1:4" x14ac:dyDescent="0.3">
      <c r="A686" s="4" t="s">
        <v>15</v>
      </c>
      <c r="B686" s="4">
        <v>195</v>
      </c>
      <c r="D686"/>
    </row>
    <row r="687" spans="1:4" x14ac:dyDescent="0.3">
      <c r="A687" s="4" t="s">
        <v>19</v>
      </c>
      <c r="B687" s="4">
        <v>283</v>
      </c>
      <c r="D687"/>
    </row>
    <row r="688" spans="1:4" x14ac:dyDescent="0.3">
      <c r="A688" s="4" t="s">
        <v>7</v>
      </c>
      <c r="B688" s="4">
        <v>610</v>
      </c>
      <c r="D688"/>
    </row>
    <row r="689" spans="1:4" x14ac:dyDescent="0.3">
      <c r="A689" s="4" t="s">
        <v>19</v>
      </c>
      <c r="B689" s="4">
        <v>538</v>
      </c>
      <c r="D689"/>
    </row>
    <row r="690" spans="1:4" x14ac:dyDescent="0.3">
      <c r="A690" s="4" t="s">
        <v>12</v>
      </c>
      <c r="B690" s="4">
        <v>490</v>
      </c>
      <c r="D690"/>
    </row>
    <row r="691" spans="1:4" x14ac:dyDescent="0.3">
      <c r="A691" s="4" t="s">
        <v>15</v>
      </c>
      <c r="B691" s="4">
        <v>181</v>
      </c>
      <c r="D691"/>
    </row>
    <row r="692" spans="1:4" x14ac:dyDescent="0.3">
      <c r="A692" s="4" t="s">
        <v>4</v>
      </c>
      <c r="B692" s="4">
        <v>337</v>
      </c>
      <c r="D692"/>
    </row>
    <row r="693" spans="1:4" x14ac:dyDescent="0.3">
      <c r="A693" s="4" t="s">
        <v>10</v>
      </c>
      <c r="B693" s="4">
        <v>707</v>
      </c>
      <c r="D693"/>
    </row>
    <row r="694" spans="1:4" x14ac:dyDescent="0.3">
      <c r="A694" s="4" t="s">
        <v>9</v>
      </c>
      <c r="B694" s="4">
        <v>371</v>
      </c>
      <c r="D694"/>
    </row>
    <row r="695" spans="1:4" x14ac:dyDescent="0.3">
      <c r="A695" s="4" t="s">
        <v>11</v>
      </c>
      <c r="B695" s="4">
        <v>123</v>
      </c>
      <c r="D695"/>
    </row>
    <row r="696" spans="1:4" x14ac:dyDescent="0.3">
      <c r="A696" s="4" t="s">
        <v>6</v>
      </c>
      <c r="B696" s="4">
        <v>104</v>
      </c>
      <c r="D696"/>
    </row>
    <row r="697" spans="1:4" x14ac:dyDescent="0.3">
      <c r="A697" s="4" t="s">
        <v>6</v>
      </c>
      <c r="B697" s="4">
        <v>493</v>
      </c>
      <c r="D697"/>
    </row>
    <row r="698" spans="1:4" x14ac:dyDescent="0.3">
      <c r="A698" s="4" t="s">
        <v>18</v>
      </c>
      <c r="B698" s="4">
        <v>880</v>
      </c>
      <c r="D698"/>
    </row>
    <row r="699" spans="1:4" x14ac:dyDescent="0.3">
      <c r="A699" s="4" t="s">
        <v>18</v>
      </c>
      <c r="B699" s="4">
        <v>431</v>
      </c>
      <c r="D699"/>
    </row>
    <row r="700" spans="1:4" x14ac:dyDescent="0.3">
      <c r="A700" s="4" t="s">
        <v>15</v>
      </c>
      <c r="B700" s="4">
        <v>505</v>
      </c>
      <c r="D700"/>
    </row>
    <row r="701" spans="1:4" x14ac:dyDescent="0.3">
      <c r="A701" s="4" t="s">
        <v>11</v>
      </c>
      <c r="B701" s="4">
        <v>704</v>
      </c>
      <c r="D701"/>
    </row>
    <row r="702" spans="1:4" x14ac:dyDescent="0.3">
      <c r="A702" s="4" t="s">
        <v>12</v>
      </c>
      <c r="B702" s="4">
        <v>836</v>
      </c>
      <c r="D702"/>
    </row>
    <row r="703" spans="1:4" x14ac:dyDescent="0.3">
      <c r="A703" s="4" t="s">
        <v>10</v>
      </c>
      <c r="B703" s="4">
        <v>324</v>
      </c>
      <c r="D703"/>
    </row>
    <row r="704" spans="1:4" x14ac:dyDescent="0.3">
      <c r="A704" s="4" t="s">
        <v>11</v>
      </c>
      <c r="B704" s="4">
        <v>646</v>
      </c>
      <c r="D704"/>
    </row>
    <row r="705" spans="1:4" x14ac:dyDescent="0.3">
      <c r="A705" s="4" t="s">
        <v>8</v>
      </c>
      <c r="B705" s="4">
        <v>338</v>
      </c>
      <c r="D705"/>
    </row>
    <row r="706" spans="1:4" x14ac:dyDescent="0.3">
      <c r="A706" s="4" t="s">
        <v>18</v>
      </c>
      <c r="B706" s="4">
        <v>748</v>
      </c>
      <c r="D706"/>
    </row>
    <row r="707" spans="1:4" x14ac:dyDescent="0.3">
      <c r="A707" s="4" t="s">
        <v>16</v>
      </c>
      <c r="B707" s="4">
        <v>539</v>
      </c>
      <c r="D707"/>
    </row>
    <row r="708" spans="1:4" x14ac:dyDescent="0.3">
      <c r="A708" s="4" t="s">
        <v>10</v>
      </c>
      <c r="B708" s="4">
        <v>721</v>
      </c>
      <c r="D708"/>
    </row>
    <row r="709" spans="1:4" x14ac:dyDescent="0.3">
      <c r="A709" s="4" t="s">
        <v>9</v>
      </c>
      <c r="B709" s="4">
        <v>225</v>
      </c>
      <c r="D709"/>
    </row>
    <row r="710" spans="1:4" x14ac:dyDescent="0.3">
      <c r="A710" s="4" t="s">
        <v>3</v>
      </c>
      <c r="B710" s="4">
        <v>810</v>
      </c>
      <c r="D710"/>
    </row>
    <row r="711" spans="1:4" x14ac:dyDescent="0.3">
      <c r="A711" s="4" t="s">
        <v>6</v>
      </c>
      <c r="B711" s="4">
        <v>878</v>
      </c>
      <c r="D711"/>
    </row>
    <row r="712" spans="1:4" x14ac:dyDescent="0.3">
      <c r="A712" s="4" t="s">
        <v>11</v>
      </c>
      <c r="B712" s="4">
        <v>742</v>
      </c>
      <c r="D712"/>
    </row>
    <row r="713" spans="1:4" x14ac:dyDescent="0.3">
      <c r="A713" s="4" t="s">
        <v>6</v>
      </c>
      <c r="B713" s="4">
        <v>682</v>
      </c>
      <c r="D713"/>
    </row>
    <row r="714" spans="1:4" x14ac:dyDescent="0.3">
      <c r="A714" s="4" t="s">
        <v>3</v>
      </c>
      <c r="B714" s="4">
        <v>566</v>
      </c>
      <c r="D714"/>
    </row>
    <row r="715" spans="1:4" x14ac:dyDescent="0.3">
      <c r="A715" s="4" t="s">
        <v>9</v>
      </c>
      <c r="B715" s="4">
        <v>894</v>
      </c>
      <c r="D715"/>
    </row>
    <row r="716" spans="1:4" x14ac:dyDescent="0.3">
      <c r="A716" s="4" t="s">
        <v>10</v>
      </c>
      <c r="B716" s="4">
        <v>852</v>
      </c>
      <c r="D716"/>
    </row>
    <row r="717" spans="1:4" x14ac:dyDescent="0.3">
      <c r="A717" s="4" t="s">
        <v>19</v>
      </c>
      <c r="B717" s="4">
        <v>252</v>
      </c>
      <c r="D717"/>
    </row>
    <row r="718" spans="1:4" x14ac:dyDescent="0.3">
      <c r="A718" s="4" t="s">
        <v>16</v>
      </c>
      <c r="B718" s="4">
        <v>539</v>
      </c>
      <c r="D718"/>
    </row>
    <row r="719" spans="1:4" x14ac:dyDescent="0.3">
      <c r="A719" s="4" t="s">
        <v>6</v>
      </c>
      <c r="B719" s="4">
        <v>201</v>
      </c>
      <c r="D719"/>
    </row>
    <row r="720" spans="1:4" x14ac:dyDescent="0.3">
      <c r="A720" s="4" t="s">
        <v>15</v>
      </c>
      <c r="B720" s="4">
        <v>465</v>
      </c>
      <c r="D720"/>
    </row>
    <row r="721" spans="1:4" x14ac:dyDescent="0.3">
      <c r="A721" s="4" t="s">
        <v>11</v>
      </c>
      <c r="B721" s="4">
        <v>995</v>
      </c>
      <c r="D721"/>
    </row>
    <row r="722" spans="1:4" x14ac:dyDescent="0.3">
      <c r="A722" s="4" t="s">
        <v>4</v>
      </c>
      <c r="B722" s="4">
        <v>324</v>
      </c>
      <c r="D722"/>
    </row>
    <row r="723" spans="1:4" x14ac:dyDescent="0.3">
      <c r="A723" s="4" t="s">
        <v>15</v>
      </c>
      <c r="B723" s="4">
        <v>332</v>
      </c>
      <c r="D723"/>
    </row>
    <row r="724" spans="1:4" x14ac:dyDescent="0.3">
      <c r="A724" s="4" t="s">
        <v>8</v>
      </c>
      <c r="B724" s="4">
        <v>294</v>
      </c>
      <c r="D724"/>
    </row>
    <row r="725" spans="1:4" x14ac:dyDescent="0.3">
      <c r="A725" s="4" t="s">
        <v>15</v>
      </c>
      <c r="B725" s="4">
        <v>994</v>
      </c>
      <c r="D725"/>
    </row>
    <row r="726" spans="1:4" x14ac:dyDescent="0.3">
      <c r="A726" s="4" t="s">
        <v>12</v>
      </c>
      <c r="B726" s="4">
        <v>604</v>
      </c>
      <c r="D726"/>
    </row>
    <row r="727" spans="1:4" x14ac:dyDescent="0.3">
      <c r="A727" s="4" t="s">
        <v>15</v>
      </c>
      <c r="B727" s="4">
        <v>639</v>
      </c>
      <c r="D727"/>
    </row>
    <row r="728" spans="1:4" x14ac:dyDescent="0.3">
      <c r="A728" s="4" t="s">
        <v>10</v>
      </c>
      <c r="B728" s="4">
        <v>598</v>
      </c>
      <c r="D728"/>
    </row>
    <row r="729" spans="1:4" x14ac:dyDescent="0.3">
      <c r="A729" s="4" t="s">
        <v>12</v>
      </c>
      <c r="B729" s="4">
        <v>149</v>
      </c>
      <c r="D729"/>
    </row>
    <row r="730" spans="1:4" x14ac:dyDescent="0.3">
      <c r="A730" s="4" t="s">
        <v>14</v>
      </c>
      <c r="B730" s="4">
        <v>297</v>
      </c>
      <c r="D730"/>
    </row>
    <row r="731" spans="1:4" x14ac:dyDescent="0.3">
      <c r="A731" s="4" t="s">
        <v>15</v>
      </c>
      <c r="B731" s="4">
        <v>109</v>
      </c>
      <c r="D731"/>
    </row>
    <row r="732" spans="1:4" x14ac:dyDescent="0.3">
      <c r="A732" s="4" t="s">
        <v>10</v>
      </c>
      <c r="B732" s="4">
        <v>878</v>
      </c>
      <c r="D732"/>
    </row>
    <row r="733" spans="1:4" x14ac:dyDescent="0.3">
      <c r="A733" s="4" t="s">
        <v>19</v>
      </c>
      <c r="B733" s="4">
        <v>375</v>
      </c>
      <c r="D733"/>
    </row>
    <row r="734" spans="1:4" x14ac:dyDescent="0.3">
      <c r="A734" s="4" t="s">
        <v>12</v>
      </c>
      <c r="B734" s="4">
        <v>211</v>
      </c>
      <c r="D734"/>
    </row>
    <row r="735" spans="1:4" x14ac:dyDescent="0.3">
      <c r="A735" s="4" t="s">
        <v>3</v>
      </c>
      <c r="B735" s="4">
        <v>504</v>
      </c>
      <c r="D735"/>
    </row>
    <row r="736" spans="1:4" x14ac:dyDescent="0.3">
      <c r="A736" s="4" t="s">
        <v>18</v>
      </c>
      <c r="B736" s="4">
        <v>215</v>
      </c>
      <c r="D736"/>
    </row>
    <row r="737" spans="1:4" x14ac:dyDescent="0.3">
      <c r="A737" s="4" t="s">
        <v>10</v>
      </c>
      <c r="B737" s="4">
        <v>24</v>
      </c>
      <c r="D737"/>
    </row>
    <row r="738" spans="1:4" x14ac:dyDescent="0.3">
      <c r="A738" s="4" t="s">
        <v>3</v>
      </c>
      <c r="B738" s="4">
        <v>134</v>
      </c>
      <c r="D738"/>
    </row>
    <row r="739" spans="1:4" x14ac:dyDescent="0.3">
      <c r="A739" s="4" t="s">
        <v>11</v>
      </c>
      <c r="B739" s="4">
        <v>545</v>
      </c>
      <c r="D739"/>
    </row>
    <row r="740" spans="1:4" x14ac:dyDescent="0.3">
      <c r="A740" s="4" t="s">
        <v>10</v>
      </c>
      <c r="B740" s="4">
        <v>927</v>
      </c>
      <c r="D740"/>
    </row>
    <row r="741" spans="1:4" x14ac:dyDescent="0.3">
      <c r="A741" s="4" t="s">
        <v>16</v>
      </c>
      <c r="B741" s="4">
        <v>956</v>
      </c>
      <c r="D741"/>
    </row>
    <row r="742" spans="1:4" x14ac:dyDescent="0.3">
      <c r="A742" s="4" t="s">
        <v>17</v>
      </c>
      <c r="B742" s="4">
        <v>217</v>
      </c>
      <c r="D742"/>
    </row>
    <row r="743" spans="1:4" x14ac:dyDescent="0.3">
      <c r="A743" s="4" t="s">
        <v>10</v>
      </c>
      <c r="B743" s="4">
        <v>353</v>
      </c>
      <c r="D743"/>
    </row>
    <row r="744" spans="1:4" x14ac:dyDescent="0.3">
      <c r="A744" s="4" t="s">
        <v>7</v>
      </c>
      <c r="B744" s="4">
        <v>346</v>
      </c>
      <c r="D744"/>
    </row>
    <row r="745" spans="1:4" x14ac:dyDescent="0.3">
      <c r="A745" s="4" t="s">
        <v>16</v>
      </c>
      <c r="B745" s="4">
        <v>855</v>
      </c>
      <c r="D745"/>
    </row>
    <row r="746" spans="1:4" x14ac:dyDescent="0.3">
      <c r="A746" s="4" t="s">
        <v>11</v>
      </c>
      <c r="B746" s="4">
        <v>73</v>
      </c>
      <c r="D746"/>
    </row>
    <row r="747" spans="1:4" x14ac:dyDescent="0.3">
      <c r="A747" s="4" t="s">
        <v>3</v>
      </c>
      <c r="B747" s="4">
        <v>359</v>
      </c>
      <c r="D747"/>
    </row>
    <row r="748" spans="1:4" x14ac:dyDescent="0.3">
      <c r="A748" s="4" t="s">
        <v>16</v>
      </c>
      <c r="B748" s="4">
        <v>877</v>
      </c>
      <c r="D748"/>
    </row>
    <row r="749" spans="1:4" x14ac:dyDescent="0.3">
      <c r="A749" s="4" t="s">
        <v>16</v>
      </c>
      <c r="B749" s="4">
        <v>221</v>
      </c>
      <c r="D749"/>
    </row>
    <row r="750" spans="1:4" x14ac:dyDescent="0.3">
      <c r="A750" s="4" t="s">
        <v>4</v>
      </c>
      <c r="B750" s="4">
        <v>366</v>
      </c>
      <c r="D750"/>
    </row>
    <row r="751" spans="1:4" x14ac:dyDescent="0.3">
      <c r="A751" s="4" t="s">
        <v>16</v>
      </c>
      <c r="B751" s="4">
        <v>377</v>
      </c>
      <c r="D751"/>
    </row>
    <row r="752" spans="1:4" x14ac:dyDescent="0.3">
      <c r="A752" s="4" t="s">
        <v>7</v>
      </c>
      <c r="B752" s="4">
        <v>995</v>
      </c>
      <c r="D752"/>
    </row>
    <row r="753" spans="1:4" x14ac:dyDescent="0.3">
      <c r="A753" s="4" t="s">
        <v>10</v>
      </c>
      <c r="B753" s="4">
        <v>568</v>
      </c>
      <c r="D753"/>
    </row>
    <row r="754" spans="1:4" x14ac:dyDescent="0.3">
      <c r="A754" s="4" t="s">
        <v>16</v>
      </c>
      <c r="B754" s="4">
        <v>195</v>
      </c>
      <c r="D754"/>
    </row>
    <row r="755" spans="1:4" x14ac:dyDescent="0.3">
      <c r="A755" s="4" t="s">
        <v>15</v>
      </c>
      <c r="B755" s="4">
        <v>200</v>
      </c>
      <c r="D755"/>
    </row>
    <row r="756" spans="1:4" x14ac:dyDescent="0.3">
      <c r="A756" s="4" t="s">
        <v>19</v>
      </c>
      <c r="B756" s="4">
        <v>715</v>
      </c>
      <c r="D756"/>
    </row>
    <row r="757" spans="1:4" x14ac:dyDescent="0.3">
      <c r="A757" s="4" t="s">
        <v>7</v>
      </c>
      <c r="B757" s="4">
        <v>782</v>
      </c>
      <c r="D757"/>
    </row>
    <row r="758" spans="1:4" x14ac:dyDescent="0.3">
      <c r="A758" s="4" t="s">
        <v>13</v>
      </c>
      <c r="B758" s="4">
        <v>675</v>
      </c>
      <c r="D758"/>
    </row>
    <row r="759" spans="1:4" x14ac:dyDescent="0.3">
      <c r="A759" s="4" t="s">
        <v>15</v>
      </c>
      <c r="B759" s="4">
        <v>247</v>
      </c>
      <c r="D759"/>
    </row>
    <row r="760" spans="1:4" x14ac:dyDescent="0.3">
      <c r="A760" s="4" t="s">
        <v>8</v>
      </c>
      <c r="B760" s="4">
        <v>258</v>
      </c>
      <c r="D760"/>
    </row>
    <row r="761" spans="1:4" x14ac:dyDescent="0.3">
      <c r="A761" s="4" t="s">
        <v>3</v>
      </c>
      <c r="B761" s="4">
        <v>912</v>
      </c>
      <c r="D761"/>
    </row>
    <row r="762" spans="1:4" x14ac:dyDescent="0.3">
      <c r="A762" s="4" t="s">
        <v>14</v>
      </c>
      <c r="B762" s="4">
        <v>712</v>
      </c>
      <c r="D762"/>
    </row>
    <row r="763" spans="1:4" x14ac:dyDescent="0.3">
      <c r="A763" s="4" t="s">
        <v>10</v>
      </c>
      <c r="B763" s="4">
        <v>447</v>
      </c>
      <c r="D763"/>
    </row>
    <row r="764" spans="1:4" x14ac:dyDescent="0.3">
      <c r="A764" s="4" t="s">
        <v>8</v>
      </c>
      <c r="B764" s="4">
        <v>779</v>
      </c>
      <c r="D764"/>
    </row>
    <row r="765" spans="1:4" x14ac:dyDescent="0.3">
      <c r="A765" s="4" t="s">
        <v>19</v>
      </c>
      <c r="B765" s="4">
        <v>859</v>
      </c>
      <c r="D765"/>
    </row>
    <row r="766" spans="1:4" x14ac:dyDescent="0.3">
      <c r="A766" s="4" t="s">
        <v>10</v>
      </c>
      <c r="B766" s="4">
        <v>265</v>
      </c>
      <c r="D766"/>
    </row>
    <row r="767" spans="1:4" x14ac:dyDescent="0.3">
      <c r="A767" s="4" t="s">
        <v>14</v>
      </c>
      <c r="B767" s="4">
        <v>967</v>
      </c>
      <c r="D767"/>
    </row>
    <row r="768" spans="1:4" x14ac:dyDescent="0.3">
      <c r="A768" s="4" t="s">
        <v>17</v>
      </c>
      <c r="B768" s="4">
        <v>246</v>
      </c>
      <c r="D768"/>
    </row>
    <row r="769" spans="1:4" x14ac:dyDescent="0.3">
      <c r="A769" s="4" t="s">
        <v>9</v>
      </c>
      <c r="B769" s="4">
        <v>690</v>
      </c>
      <c r="D769"/>
    </row>
    <row r="770" spans="1:4" x14ac:dyDescent="0.3">
      <c r="A770" s="4" t="s">
        <v>12</v>
      </c>
      <c r="B770" s="4">
        <v>319</v>
      </c>
      <c r="D770"/>
    </row>
    <row r="771" spans="1:4" x14ac:dyDescent="0.3">
      <c r="A771" s="4" t="s">
        <v>15</v>
      </c>
      <c r="B771" s="4">
        <v>278</v>
      </c>
      <c r="D771"/>
    </row>
    <row r="772" spans="1:4" x14ac:dyDescent="0.3">
      <c r="A772" s="4" t="s">
        <v>8</v>
      </c>
      <c r="B772" s="4">
        <v>784</v>
      </c>
      <c r="D772"/>
    </row>
    <row r="773" spans="1:4" x14ac:dyDescent="0.3">
      <c r="A773" s="4" t="s">
        <v>15</v>
      </c>
      <c r="B773" s="4">
        <v>652</v>
      </c>
      <c r="D773"/>
    </row>
    <row r="774" spans="1:4" x14ac:dyDescent="0.3">
      <c r="A774" s="4" t="s">
        <v>10</v>
      </c>
      <c r="B774" s="4">
        <v>756</v>
      </c>
      <c r="D774"/>
    </row>
    <row r="775" spans="1:4" x14ac:dyDescent="0.3">
      <c r="A775" s="4" t="s">
        <v>11</v>
      </c>
      <c r="B775" s="4">
        <v>969</v>
      </c>
      <c r="D775"/>
    </row>
    <row r="776" spans="1:4" x14ac:dyDescent="0.3">
      <c r="A776" s="4" t="s">
        <v>12</v>
      </c>
      <c r="B776" s="4">
        <v>539</v>
      </c>
      <c r="D776"/>
    </row>
    <row r="777" spans="1:4" x14ac:dyDescent="0.3">
      <c r="A777" s="4" t="s">
        <v>9</v>
      </c>
      <c r="B777" s="4">
        <v>358</v>
      </c>
      <c r="D777"/>
    </row>
    <row r="778" spans="1:4" x14ac:dyDescent="0.3">
      <c r="A778" s="4" t="s">
        <v>3</v>
      </c>
      <c r="B778" s="4">
        <v>838</v>
      </c>
      <c r="D778"/>
    </row>
    <row r="779" spans="1:4" x14ac:dyDescent="0.3">
      <c r="A779" s="4" t="s">
        <v>6</v>
      </c>
      <c r="B779" s="4">
        <v>50</v>
      </c>
      <c r="D779"/>
    </row>
    <row r="780" spans="1:4" x14ac:dyDescent="0.3">
      <c r="A780" s="4" t="s">
        <v>10</v>
      </c>
      <c r="B780" s="4">
        <v>250</v>
      </c>
      <c r="D780"/>
    </row>
    <row r="781" spans="1:4" x14ac:dyDescent="0.3">
      <c r="A781" s="4" t="s">
        <v>7</v>
      </c>
      <c r="B781" s="4">
        <v>333</v>
      </c>
      <c r="D781"/>
    </row>
    <row r="782" spans="1:4" x14ac:dyDescent="0.3">
      <c r="A782" s="4" t="s">
        <v>4</v>
      </c>
      <c r="B782" s="4">
        <v>689</v>
      </c>
      <c r="D782"/>
    </row>
    <row r="783" spans="1:4" x14ac:dyDescent="0.3">
      <c r="A783" s="4" t="s">
        <v>13</v>
      </c>
      <c r="B783" s="4">
        <v>962</v>
      </c>
      <c r="D783"/>
    </row>
    <row r="784" spans="1:4" x14ac:dyDescent="0.3">
      <c r="A784" s="4" t="s">
        <v>10</v>
      </c>
      <c r="B784" s="4">
        <v>211</v>
      </c>
      <c r="D784"/>
    </row>
    <row r="785" spans="1:4" x14ac:dyDescent="0.3">
      <c r="A785" s="4" t="s">
        <v>12</v>
      </c>
      <c r="B785" s="4">
        <v>894</v>
      </c>
      <c r="D785"/>
    </row>
    <row r="786" spans="1:4" x14ac:dyDescent="0.3">
      <c r="A786" s="4" t="s">
        <v>10</v>
      </c>
      <c r="B786" s="4">
        <v>640</v>
      </c>
      <c r="D786"/>
    </row>
    <row r="787" spans="1:4" x14ac:dyDescent="0.3">
      <c r="A787" s="4" t="s">
        <v>14</v>
      </c>
      <c r="B787" s="4">
        <v>795</v>
      </c>
      <c r="D787"/>
    </row>
    <row r="788" spans="1:4" x14ac:dyDescent="0.3">
      <c r="A788" s="4" t="s">
        <v>10</v>
      </c>
      <c r="B788" s="4">
        <v>942</v>
      </c>
      <c r="D788"/>
    </row>
    <row r="789" spans="1:4" x14ac:dyDescent="0.3">
      <c r="A789" s="4" t="s">
        <v>8</v>
      </c>
      <c r="B789" s="4">
        <v>333</v>
      </c>
      <c r="D789"/>
    </row>
    <row r="790" spans="1:4" x14ac:dyDescent="0.3">
      <c r="A790" s="4" t="s">
        <v>19</v>
      </c>
      <c r="B790" s="4">
        <v>821</v>
      </c>
      <c r="D790"/>
    </row>
    <row r="791" spans="1:4" x14ac:dyDescent="0.3">
      <c r="A791" s="4" t="s">
        <v>8</v>
      </c>
      <c r="B791" s="4">
        <v>983</v>
      </c>
      <c r="D791"/>
    </row>
    <row r="792" spans="1:4" x14ac:dyDescent="0.3">
      <c r="A792" s="4" t="s">
        <v>19</v>
      </c>
      <c r="B792" s="4">
        <v>652</v>
      </c>
      <c r="D792"/>
    </row>
    <row r="793" spans="1:4" x14ac:dyDescent="0.3">
      <c r="A793" s="4" t="s">
        <v>3</v>
      </c>
      <c r="B793" s="4">
        <v>837</v>
      </c>
      <c r="D793"/>
    </row>
    <row r="794" spans="1:4" x14ac:dyDescent="0.3">
      <c r="A794" s="4" t="s">
        <v>6</v>
      </c>
      <c r="B794" s="4">
        <v>359</v>
      </c>
      <c r="D794"/>
    </row>
    <row r="795" spans="1:4" x14ac:dyDescent="0.3">
      <c r="A795" s="4" t="s">
        <v>7</v>
      </c>
      <c r="B795" s="4">
        <v>984</v>
      </c>
      <c r="D795"/>
    </row>
    <row r="796" spans="1:4" x14ac:dyDescent="0.3">
      <c r="A796" s="4" t="s">
        <v>11</v>
      </c>
      <c r="B796" s="4">
        <v>362</v>
      </c>
      <c r="D796"/>
    </row>
    <row r="797" spans="1:4" x14ac:dyDescent="0.3">
      <c r="A797" s="4" t="s">
        <v>17</v>
      </c>
      <c r="B797" s="4">
        <v>571</v>
      </c>
      <c r="D797"/>
    </row>
    <row r="798" spans="1:4" x14ac:dyDescent="0.3">
      <c r="A798" s="4" t="s">
        <v>13</v>
      </c>
      <c r="B798" s="4">
        <v>121</v>
      </c>
      <c r="D798"/>
    </row>
    <row r="799" spans="1:4" x14ac:dyDescent="0.3">
      <c r="A799" s="4" t="s">
        <v>9</v>
      </c>
      <c r="B799" s="4">
        <v>904</v>
      </c>
      <c r="D799"/>
    </row>
    <row r="800" spans="1:4" x14ac:dyDescent="0.3">
      <c r="A800" s="4" t="s">
        <v>18</v>
      </c>
      <c r="B800" s="4">
        <v>902</v>
      </c>
      <c r="D800"/>
    </row>
    <row r="801" spans="1:4" x14ac:dyDescent="0.3">
      <c r="A801" s="4" t="s">
        <v>9</v>
      </c>
      <c r="B801" s="4">
        <v>758</v>
      </c>
      <c r="D801"/>
    </row>
    <row r="802" spans="1:4" x14ac:dyDescent="0.3">
      <c r="A802" s="4" t="s">
        <v>6</v>
      </c>
      <c r="B802" s="4" t="e">
        <v>#REF!</v>
      </c>
      <c r="D802"/>
    </row>
    <row r="803" spans="1:4" x14ac:dyDescent="0.3">
      <c r="A803" s="4" t="s">
        <v>10</v>
      </c>
      <c r="B803" s="4">
        <v>477</v>
      </c>
      <c r="D803"/>
    </row>
    <row r="804" spans="1:4" x14ac:dyDescent="0.3">
      <c r="A804" s="4" t="s">
        <v>13</v>
      </c>
      <c r="B804" s="4">
        <v>131</v>
      </c>
      <c r="D804"/>
    </row>
    <row r="805" spans="1:4" x14ac:dyDescent="0.3">
      <c r="A805" s="4" t="s">
        <v>14</v>
      </c>
      <c r="B805" s="4">
        <v>182</v>
      </c>
      <c r="D805"/>
    </row>
    <row r="806" spans="1:4" x14ac:dyDescent="0.3">
      <c r="A806" s="4" t="s">
        <v>17</v>
      </c>
      <c r="B806" s="4">
        <v>443</v>
      </c>
      <c r="D806"/>
    </row>
    <row r="807" spans="1:4" x14ac:dyDescent="0.3">
      <c r="A807" s="4" t="s">
        <v>4</v>
      </c>
      <c r="B807" s="4">
        <v>257</v>
      </c>
      <c r="D807"/>
    </row>
    <row r="808" spans="1:4" x14ac:dyDescent="0.3">
      <c r="A808" s="4" t="s">
        <v>12</v>
      </c>
      <c r="B808" s="4">
        <v>597</v>
      </c>
      <c r="D808"/>
    </row>
    <row r="809" spans="1:4" x14ac:dyDescent="0.3">
      <c r="A809" s="4" t="s">
        <v>9</v>
      </c>
      <c r="B809" s="4">
        <v>663</v>
      </c>
      <c r="D809"/>
    </row>
    <row r="810" spans="1:4" x14ac:dyDescent="0.3">
      <c r="A810" s="4" t="s">
        <v>6</v>
      </c>
      <c r="B810" s="4">
        <v>756</v>
      </c>
      <c r="D810"/>
    </row>
    <row r="811" spans="1:4" x14ac:dyDescent="0.3">
      <c r="A811" s="4" t="s">
        <v>19</v>
      </c>
      <c r="B811" s="4">
        <v>961</v>
      </c>
      <c r="D811"/>
    </row>
    <row r="812" spans="1:4" x14ac:dyDescent="0.3">
      <c r="A812" s="4" t="s">
        <v>19</v>
      </c>
      <c r="B812" s="4">
        <v>714</v>
      </c>
      <c r="D812"/>
    </row>
    <row r="813" spans="1:4" x14ac:dyDescent="0.3">
      <c r="A813" s="4" t="s">
        <v>10</v>
      </c>
      <c r="B813" s="4">
        <v>968</v>
      </c>
      <c r="D813"/>
    </row>
    <row r="814" spans="1:4" x14ac:dyDescent="0.3">
      <c r="A814" s="4" t="s">
        <v>9</v>
      </c>
      <c r="B814" s="4">
        <v>361</v>
      </c>
      <c r="D814"/>
    </row>
    <row r="815" spans="1:4" x14ac:dyDescent="0.3">
      <c r="A815" s="4" t="s">
        <v>10</v>
      </c>
      <c r="B815" s="4">
        <v>487</v>
      </c>
      <c r="D815"/>
    </row>
    <row r="816" spans="1:4" x14ac:dyDescent="0.3">
      <c r="A816" s="4" t="s">
        <v>18</v>
      </c>
      <c r="B816" s="4">
        <v>725</v>
      </c>
      <c r="D816"/>
    </row>
    <row r="817" spans="1:4" x14ac:dyDescent="0.3">
      <c r="A817" s="4" t="s">
        <v>3</v>
      </c>
      <c r="B817" s="4">
        <v>284</v>
      </c>
      <c r="D817"/>
    </row>
    <row r="818" spans="1:4" x14ac:dyDescent="0.3">
      <c r="A818" s="4" t="s">
        <v>10</v>
      </c>
      <c r="B818" s="4">
        <v>621</v>
      </c>
      <c r="D818"/>
    </row>
    <row r="819" spans="1:4" x14ac:dyDescent="0.3">
      <c r="A819" s="4" t="s">
        <v>4</v>
      </c>
      <c r="B819" s="4">
        <v>591</v>
      </c>
      <c r="D819"/>
    </row>
    <row r="820" spans="1:4" x14ac:dyDescent="0.3">
      <c r="A820" s="4" t="s">
        <v>9</v>
      </c>
      <c r="B820" s="4">
        <v>557</v>
      </c>
      <c r="D820"/>
    </row>
    <row r="821" spans="1:4" x14ac:dyDescent="0.3">
      <c r="A821" s="4" t="s">
        <v>7</v>
      </c>
      <c r="B821" s="4">
        <v>653</v>
      </c>
      <c r="D821"/>
    </row>
    <row r="822" spans="1:4" x14ac:dyDescent="0.3">
      <c r="A822" s="4" t="s">
        <v>17</v>
      </c>
      <c r="B822" s="4">
        <v>993</v>
      </c>
      <c r="D822"/>
    </row>
    <row r="823" spans="1:4" x14ac:dyDescent="0.3">
      <c r="A823" s="4" t="s">
        <v>19</v>
      </c>
      <c r="B823" s="4">
        <v>442</v>
      </c>
      <c r="D823"/>
    </row>
    <row r="824" spans="1:4" x14ac:dyDescent="0.3">
      <c r="A824" s="4" t="s">
        <v>17</v>
      </c>
      <c r="B824" s="4">
        <v>138</v>
      </c>
      <c r="D824"/>
    </row>
    <row r="825" spans="1:4" x14ac:dyDescent="0.3">
      <c r="A825" s="4" t="s">
        <v>14</v>
      </c>
      <c r="B825" s="4">
        <v>514</v>
      </c>
      <c r="D825"/>
    </row>
    <row r="826" spans="1:4" x14ac:dyDescent="0.3">
      <c r="A826" s="4" t="s">
        <v>10</v>
      </c>
      <c r="B826" s="4">
        <v>729</v>
      </c>
      <c r="D826"/>
    </row>
    <row r="827" spans="1:4" x14ac:dyDescent="0.3">
      <c r="A827" s="4" t="s">
        <v>7</v>
      </c>
      <c r="B827" s="4">
        <v>179</v>
      </c>
      <c r="D827"/>
    </row>
    <row r="828" spans="1:4" x14ac:dyDescent="0.3">
      <c r="A828" s="4" t="s">
        <v>4</v>
      </c>
      <c r="B828" s="4">
        <v>371</v>
      </c>
      <c r="D828"/>
    </row>
    <row r="829" spans="1:4" x14ac:dyDescent="0.3">
      <c r="A829" s="4" t="s">
        <v>10</v>
      </c>
      <c r="B829" s="4">
        <v>776</v>
      </c>
      <c r="D829"/>
    </row>
    <row r="830" spans="1:4" x14ac:dyDescent="0.3">
      <c r="A830" s="4" t="s">
        <v>11</v>
      </c>
      <c r="B830" s="4">
        <v>837</v>
      </c>
      <c r="D830"/>
    </row>
    <row r="831" spans="1:4" x14ac:dyDescent="0.3">
      <c r="A831" s="4" t="s">
        <v>4</v>
      </c>
      <c r="B831" s="4">
        <v>997</v>
      </c>
      <c r="D831"/>
    </row>
    <row r="832" spans="1:4" x14ac:dyDescent="0.3">
      <c r="A832" s="4" t="s">
        <v>3</v>
      </c>
      <c r="B832" s="4">
        <v>245</v>
      </c>
      <c r="D832"/>
    </row>
    <row r="833" spans="1:4" x14ac:dyDescent="0.3">
      <c r="A833" s="4" t="s">
        <v>3</v>
      </c>
      <c r="B833" s="4">
        <v>408</v>
      </c>
      <c r="D833"/>
    </row>
    <row r="834" spans="1:4" x14ac:dyDescent="0.3">
      <c r="A834" s="4" t="s">
        <v>6</v>
      </c>
      <c r="B834" s="4">
        <v>765</v>
      </c>
      <c r="D834"/>
    </row>
    <row r="835" spans="1:4" x14ac:dyDescent="0.3">
      <c r="A835" s="4" t="s">
        <v>13</v>
      </c>
      <c r="B835" s="4">
        <v>138</v>
      </c>
      <c r="D835"/>
    </row>
    <row r="836" spans="1:4" x14ac:dyDescent="0.3">
      <c r="A836" s="4" t="s">
        <v>4</v>
      </c>
      <c r="B836" s="4">
        <v>482</v>
      </c>
      <c r="D836"/>
    </row>
    <row r="837" spans="1:4" x14ac:dyDescent="0.3">
      <c r="A837" s="4" t="s">
        <v>14</v>
      </c>
      <c r="B837" s="4">
        <v>663</v>
      </c>
      <c r="D837"/>
    </row>
    <row r="838" spans="1:4" x14ac:dyDescent="0.3">
      <c r="A838" s="4" t="s">
        <v>12</v>
      </c>
      <c r="B838" s="4">
        <v>666</v>
      </c>
      <c r="D838"/>
    </row>
    <row r="839" spans="1:4" x14ac:dyDescent="0.3">
      <c r="A839" s="4" t="s">
        <v>9</v>
      </c>
      <c r="B839" s="4">
        <v>18</v>
      </c>
      <c r="D839"/>
    </row>
    <row r="840" spans="1:4" x14ac:dyDescent="0.3">
      <c r="A840" s="4" t="s">
        <v>15</v>
      </c>
      <c r="B840" s="4">
        <v>78</v>
      </c>
      <c r="D840"/>
    </row>
    <row r="841" spans="1:4" x14ac:dyDescent="0.3">
      <c r="A841" s="4" t="s">
        <v>13</v>
      </c>
      <c r="B841" s="4">
        <v>397</v>
      </c>
      <c r="D841"/>
    </row>
    <row r="842" spans="1:4" x14ac:dyDescent="0.3">
      <c r="A842" s="4" t="s">
        <v>11</v>
      </c>
      <c r="B842" s="4">
        <v>220</v>
      </c>
      <c r="D842"/>
    </row>
    <row r="843" spans="1:4" x14ac:dyDescent="0.3">
      <c r="A843" s="4" t="s">
        <v>10</v>
      </c>
      <c r="B843" s="4">
        <v>277</v>
      </c>
      <c r="D843"/>
    </row>
    <row r="844" spans="1:4" x14ac:dyDescent="0.3">
      <c r="A844" s="4" t="s">
        <v>11</v>
      </c>
      <c r="B844" s="4">
        <v>160</v>
      </c>
      <c r="D844"/>
    </row>
    <row r="845" spans="1:4" x14ac:dyDescent="0.3">
      <c r="A845" s="4" t="s">
        <v>18</v>
      </c>
      <c r="B845" s="4">
        <v>275</v>
      </c>
      <c r="D845"/>
    </row>
    <row r="846" spans="1:4" x14ac:dyDescent="0.3">
      <c r="A846" s="4" t="s">
        <v>3</v>
      </c>
      <c r="B846" s="4">
        <v>550</v>
      </c>
      <c r="D846"/>
    </row>
    <row r="847" spans="1:4" x14ac:dyDescent="0.3">
      <c r="A847" s="4" t="s">
        <v>10</v>
      </c>
      <c r="B847" s="4">
        <v>323</v>
      </c>
      <c r="D847"/>
    </row>
    <row r="848" spans="1:4" x14ac:dyDescent="0.3">
      <c r="A848" s="4" t="s">
        <v>4</v>
      </c>
      <c r="B848" s="4">
        <v>938</v>
      </c>
      <c r="D848"/>
    </row>
    <row r="849" spans="1:4" x14ac:dyDescent="0.3">
      <c r="A849" s="4" t="s">
        <v>17</v>
      </c>
      <c r="B849" s="4">
        <v>456</v>
      </c>
      <c r="D849"/>
    </row>
    <row r="850" spans="1:4" x14ac:dyDescent="0.3">
      <c r="A850" s="4" t="s">
        <v>15</v>
      </c>
      <c r="B850" s="4">
        <v>963</v>
      </c>
      <c r="D850"/>
    </row>
    <row r="851" spans="1:4" x14ac:dyDescent="0.3">
      <c r="A851" s="4" t="s">
        <v>19</v>
      </c>
      <c r="B851" s="4">
        <v>260</v>
      </c>
      <c r="D851"/>
    </row>
    <row r="852" spans="1:4" x14ac:dyDescent="0.3">
      <c r="A852" s="4" t="s">
        <v>17</v>
      </c>
      <c r="B852" s="4">
        <v>695</v>
      </c>
      <c r="D852"/>
    </row>
    <row r="853" spans="1:4" x14ac:dyDescent="0.3">
      <c r="A853" s="4" t="s">
        <v>18</v>
      </c>
      <c r="B853" s="4">
        <v>362</v>
      </c>
      <c r="D853"/>
    </row>
    <row r="854" spans="1:4" x14ac:dyDescent="0.3">
      <c r="A854" s="4" t="s">
        <v>6</v>
      </c>
      <c r="B854" s="4">
        <v>276</v>
      </c>
      <c r="D854"/>
    </row>
    <row r="855" spans="1:4" x14ac:dyDescent="0.3">
      <c r="A855" s="4" t="s">
        <v>13</v>
      </c>
      <c r="B855" s="4">
        <v>424</v>
      </c>
      <c r="D855"/>
    </row>
    <row r="856" spans="1:4" x14ac:dyDescent="0.3">
      <c r="A856" s="4" t="s">
        <v>15</v>
      </c>
      <c r="B856" s="4">
        <v>785</v>
      </c>
      <c r="D856"/>
    </row>
    <row r="857" spans="1:4" x14ac:dyDescent="0.3">
      <c r="A857" s="4" t="s">
        <v>3</v>
      </c>
      <c r="B857" s="4">
        <v>802</v>
      </c>
      <c r="D857"/>
    </row>
    <row r="858" spans="1:4" x14ac:dyDescent="0.3">
      <c r="A858" s="4" t="s">
        <v>10</v>
      </c>
      <c r="B858" s="4">
        <v>965</v>
      </c>
      <c r="D858"/>
    </row>
    <row r="859" spans="1:4" x14ac:dyDescent="0.3">
      <c r="A859" s="4" t="s">
        <v>13</v>
      </c>
      <c r="B859" s="4">
        <v>326</v>
      </c>
      <c r="D859"/>
    </row>
    <row r="860" spans="1:4" x14ac:dyDescent="0.3">
      <c r="A860" s="4" t="s">
        <v>19</v>
      </c>
      <c r="B860" s="4">
        <v>222</v>
      </c>
      <c r="D860"/>
    </row>
    <row r="861" spans="1:4" x14ac:dyDescent="0.3">
      <c r="A861" s="4" t="s">
        <v>6</v>
      </c>
      <c r="B861" s="4">
        <v>297</v>
      </c>
      <c r="D861"/>
    </row>
    <row r="862" spans="1:4" x14ac:dyDescent="0.3">
      <c r="A862" s="4" t="s">
        <v>4</v>
      </c>
      <c r="B862" s="4">
        <v>196</v>
      </c>
      <c r="D862"/>
    </row>
    <row r="863" spans="1:4" x14ac:dyDescent="0.3">
      <c r="A863" s="4" t="s">
        <v>7</v>
      </c>
      <c r="B863" s="4">
        <v>989</v>
      </c>
      <c r="D863"/>
    </row>
    <row r="864" spans="1:4" x14ac:dyDescent="0.3">
      <c r="A864" s="4" t="s">
        <v>15</v>
      </c>
      <c r="B864" s="4">
        <v>129</v>
      </c>
      <c r="D864"/>
    </row>
    <row r="865" spans="1:4" x14ac:dyDescent="0.3">
      <c r="A865" s="4" t="s">
        <v>3</v>
      </c>
      <c r="B865" s="4">
        <v>533</v>
      </c>
      <c r="D865"/>
    </row>
    <row r="866" spans="1:4" x14ac:dyDescent="0.3">
      <c r="A866" s="4" t="s">
        <v>10</v>
      </c>
      <c r="B866" s="4">
        <v>674</v>
      </c>
      <c r="D866"/>
    </row>
    <row r="867" spans="1:4" x14ac:dyDescent="0.3">
      <c r="A867" s="4" t="s">
        <v>10</v>
      </c>
      <c r="B867" s="4">
        <v>929</v>
      </c>
      <c r="D867"/>
    </row>
    <row r="868" spans="1:4" x14ac:dyDescent="0.3">
      <c r="A868" s="4" t="s">
        <v>11</v>
      </c>
      <c r="B868" s="4">
        <v>580</v>
      </c>
      <c r="D868"/>
    </row>
    <row r="869" spans="1:4" x14ac:dyDescent="0.3">
      <c r="A869" s="4" t="s">
        <v>16</v>
      </c>
      <c r="B869" s="4">
        <v>834</v>
      </c>
      <c r="D869"/>
    </row>
    <row r="870" spans="1:4" x14ac:dyDescent="0.3">
      <c r="A870" s="4" t="s">
        <v>8</v>
      </c>
      <c r="B870" s="4">
        <v>766</v>
      </c>
      <c r="D870"/>
    </row>
    <row r="871" spans="1:4" x14ac:dyDescent="0.3">
      <c r="A871" s="4" t="s">
        <v>15</v>
      </c>
      <c r="B871" s="4">
        <v>572</v>
      </c>
      <c r="D871"/>
    </row>
    <row r="872" spans="1:4" x14ac:dyDescent="0.3">
      <c r="A872" s="4" t="s">
        <v>6</v>
      </c>
      <c r="B872" s="4">
        <v>988</v>
      </c>
      <c r="D872"/>
    </row>
    <row r="873" spans="1:4" x14ac:dyDescent="0.3">
      <c r="A873" s="4" t="s">
        <v>3</v>
      </c>
      <c r="B873" s="4">
        <v>565</v>
      </c>
      <c r="D873"/>
    </row>
    <row r="874" spans="1:4" x14ac:dyDescent="0.3">
      <c r="A874" s="4" t="s">
        <v>4</v>
      </c>
      <c r="B874" s="4">
        <v>323</v>
      </c>
      <c r="D874"/>
    </row>
    <row r="875" spans="1:4" x14ac:dyDescent="0.3">
      <c r="A875" s="4" t="s">
        <v>10</v>
      </c>
      <c r="B875" s="4">
        <v>674</v>
      </c>
      <c r="D875"/>
    </row>
    <row r="876" spans="1:4" x14ac:dyDescent="0.3">
      <c r="A876" s="4" t="s">
        <v>15</v>
      </c>
      <c r="B876" s="4">
        <v>150</v>
      </c>
      <c r="D876"/>
    </row>
    <row r="877" spans="1:4" x14ac:dyDescent="0.3">
      <c r="A877" s="4" t="s">
        <v>9</v>
      </c>
      <c r="B877" s="4">
        <v>764</v>
      </c>
      <c r="D877"/>
    </row>
    <row r="878" spans="1:4" x14ac:dyDescent="0.3">
      <c r="A878" s="4" t="s">
        <v>15</v>
      </c>
      <c r="B878" s="4">
        <v>905</v>
      </c>
      <c r="D878"/>
    </row>
    <row r="879" spans="1:4" x14ac:dyDescent="0.3">
      <c r="A879" s="4" t="s">
        <v>10</v>
      </c>
      <c r="B879" s="4">
        <v>730</v>
      </c>
      <c r="D879"/>
    </row>
    <row r="880" spans="1:4" x14ac:dyDescent="0.3">
      <c r="A880" s="4" t="s">
        <v>16</v>
      </c>
      <c r="B880" s="4">
        <v>776</v>
      </c>
      <c r="D880"/>
    </row>
    <row r="881" spans="1:4" x14ac:dyDescent="0.3">
      <c r="A881" s="4" t="s">
        <v>8</v>
      </c>
      <c r="B881" s="4">
        <v>946</v>
      </c>
      <c r="D881"/>
    </row>
    <row r="882" spans="1:4" x14ac:dyDescent="0.3">
      <c r="A882" s="4" t="s">
        <v>13</v>
      </c>
      <c r="B882" s="4">
        <v>537</v>
      </c>
      <c r="D882"/>
    </row>
    <row r="883" spans="1:4" x14ac:dyDescent="0.3">
      <c r="A883" s="4" t="s">
        <v>7</v>
      </c>
      <c r="B883" s="4">
        <v>798</v>
      </c>
      <c r="D883"/>
    </row>
    <row r="884" spans="1:4" x14ac:dyDescent="0.3">
      <c r="A884" s="4" t="s">
        <v>16</v>
      </c>
      <c r="B884" s="4">
        <v>363</v>
      </c>
      <c r="D884"/>
    </row>
    <row r="885" spans="1:4" x14ac:dyDescent="0.3">
      <c r="A885" s="4" t="s">
        <v>4</v>
      </c>
      <c r="B885" s="4">
        <v>122</v>
      </c>
      <c r="D885"/>
    </row>
    <row r="886" spans="1:4" x14ac:dyDescent="0.3">
      <c r="A886" s="4" t="s">
        <v>10</v>
      </c>
      <c r="B886" s="4">
        <v>424</v>
      </c>
      <c r="D886"/>
    </row>
    <row r="887" spans="1:4" x14ac:dyDescent="0.3">
      <c r="A887" s="4" t="s">
        <v>10</v>
      </c>
      <c r="B887" s="4">
        <v>961</v>
      </c>
      <c r="D887"/>
    </row>
    <row r="888" spans="1:4" x14ac:dyDescent="0.3">
      <c r="A888" s="4" t="s">
        <v>10</v>
      </c>
      <c r="B888" s="4">
        <v>99</v>
      </c>
      <c r="D888"/>
    </row>
    <row r="889" spans="1:4" x14ac:dyDescent="0.3">
      <c r="A889" s="4" t="s">
        <v>3</v>
      </c>
      <c r="B889" s="4">
        <v>283</v>
      </c>
      <c r="D889"/>
    </row>
    <row r="890" spans="1:4" x14ac:dyDescent="0.3">
      <c r="A890" s="4" t="s">
        <v>10</v>
      </c>
      <c r="B890" s="4">
        <v>233</v>
      </c>
      <c r="D890"/>
    </row>
    <row r="891" spans="1:4" x14ac:dyDescent="0.3">
      <c r="A891" s="4" t="s">
        <v>19</v>
      </c>
      <c r="B891" s="4">
        <v>701</v>
      </c>
      <c r="D891"/>
    </row>
    <row r="892" spans="1:4" x14ac:dyDescent="0.3">
      <c r="A892" s="4" t="s">
        <v>7</v>
      </c>
      <c r="B892" s="4">
        <v>369</v>
      </c>
      <c r="D892"/>
    </row>
    <row r="893" spans="1:4" x14ac:dyDescent="0.3">
      <c r="A893" s="4" t="s">
        <v>18</v>
      </c>
      <c r="B893" s="4">
        <v>331</v>
      </c>
      <c r="D893"/>
    </row>
    <row r="894" spans="1:4" x14ac:dyDescent="0.3">
      <c r="A894" s="4" t="s">
        <v>11</v>
      </c>
      <c r="B894" s="4">
        <v>653</v>
      </c>
      <c r="D894"/>
    </row>
    <row r="895" spans="1:4" x14ac:dyDescent="0.3">
      <c r="A895" s="4" t="s">
        <v>10</v>
      </c>
      <c r="B895" s="4">
        <v>141</v>
      </c>
      <c r="D895"/>
    </row>
    <row r="896" spans="1:4" x14ac:dyDescent="0.3">
      <c r="A896" s="4" t="s">
        <v>17</v>
      </c>
      <c r="B896" s="4">
        <v>347</v>
      </c>
      <c r="D896"/>
    </row>
    <row r="897" spans="1:4" x14ac:dyDescent="0.3">
      <c r="A897" s="4" t="s">
        <v>14</v>
      </c>
      <c r="B897" s="4">
        <v>842</v>
      </c>
      <c r="D897"/>
    </row>
    <row r="898" spans="1:4" x14ac:dyDescent="0.3">
      <c r="A898" s="4" t="s">
        <v>7</v>
      </c>
      <c r="B898" s="4">
        <v>879</v>
      </c>
      <c r="D898"/>
    </row>
    <row r="899" spans="1:4" x14ac:dyDescent="0.3">
      <c r="A899" s="4" t="s">
        <v>9</v>
      </c>
      <c r="B899" s="4">
        <v>969</v>
      </c>
      <c r="D899"/>
    </row>
    <row r="900" spans="1:4" x14ac:dyDescent="0.3">
      <c r="A900" s="4" t="s">
        <v>14</v>
      </c>
      <c r="B900" s="4">
        <v>327</v>
      </c>
      <c r="D900"/>
    </row>
    <row r="901" spans="1:4" x14ac:dyDescent="0.3">
      <c r="A901" s="4" t="s">
        <v>4</v>
      </c>
      <c r="B901" s="4">
        <v>664</v>
      </c>
      <c r="D901"/>
    </row>
    <row r="902" spans="1:4" x14ac:dyDescent="0.3">
      <c r="A902" s="4" t="s">
        <v>10</v>
      </c>
      <c r="B902" s="4">
        <v>387</v>
      </c>
      <c r="D902"/>
    </row>
    <row r="903" spans="1:4" x14ac:dyDescent="0.3">
      <c r="A903" s="4" t="s">
        <v>3</v>
      </c>
      <c r="B903" s="4">
        <v>713</v>
      </c>
      <c r="D903"/>
    </row>
    <row r="904" spans="1:4" x14ac:dyDescent="0.3">
      <c r="A904" s="4" t="s">
        <v>14</v>
      </c>
      <c r="B904" s="4">
        <v>114</v>
      </c>
      <c r="D904"/>
    </row>
    <row r="905" spans="1:4" x14ac:dyDescent="0.3">
      <c r="A905" s="4" t="s">
        <v>10</v>
      </c>
      <c r="B905" s="4">
        <v>555</v>
      </c>
      <c r="D905"/>
    </row>
    <row r="906" spans="1:4" x14ac:dyDescent="0.3">
      <c r="A906" s="4" t="s">
        <v>19</v>
      </c>
      <c r="B906" s="4">
        <v>623</v>
      </c>
      <c r="D906"/>
    </row>
    <row r="907" spans="1:4" x14ac:dyDescent="0.3">
      <c r="A907" s="4" t="s">
        <v>19</v>
      </c>
      <c r="B907" s="4">
        <v>788</v>
      </c>
      <c r="D907"/>
    </row>
    <row r="908" spans="1:4" x14ac:dyDescent="0.3">
      <c r="A908" s="4" t="s">
        <v>10</v>
      </c>
      <c r="B908" s="4">
        <v>608</v>
      </c>
      <c r="D908"/>
    </row>
    <row r="909" spans="1:4" x14ac:dyDescent="0.3">
      <c r="A909" s="4" t="s">
        <v>10</v>
      </c>
      <c r="B909" s="4">
        <v>181</v>
      </c>
      <c r="D909"/>
    </row>
    <row r="910" spans="1:4" x14ac:dyDescent="0.3">
      <c r="A910" s="4" t="s">
        <v>8</v>
      </c>
      <c r="B910" s="4">
        <v>270</v>
      </c>
      <c r="D910"/>
    </row>
    <row r="911" spans="1:4" x14ac:dyDescent="0.3">
      <c r="A911" s="4" t="s">
        <v>10</v>
      </c>
      <c r="B911" s="4">
        <v>916</v>
      </c>
      <c r="D911"/>
    </row>
    <row r="912" spans="1:4" x14ac:dyDescent="0.3">
      <c r="A912" s="4" t="s">
        <v>19</v>
      </c>
      <c r="B912" s="4">
        <v>157</v>
      </c>
      <c r="D912"/>
    </row>
    <row r="913" spans="1:4" x14ac:dyDescent="0.3">
      <c r="A913" s="4" t="s">
        <v>12</v>
      </c>
      <c r="B913" s="4">
        <v>320</v>
      </c>
      <c r="D913"/>
    </row>
    <row r="914" spans="1:4" x14ac:dyDescent="0.3">
      <c r="A914" s="4" t="s">
        <v>11</v>
      </c>
      <c r="B914" s="4">
        <v>538</v>
      </c>
      <c r="D914"/>
    </row>
    <row r="915" spans="1:4" x14ac:dyDescent="0.3">
      <c r="A915" s="4" t="s">
        <v>19</v>
      </c>
      <c r="B915" s="4">
        <v>903</v>
      </c>
      <c r="D915"/>
    </row>
    <row r="916" spans="1:4" x14ac:dyDescent="0.3">
      <c r="A916" s="4" t="s">
        <v>12</v>
      </c>
      <c r="B916" s="4">
        <v>605</v>
      </c>
      <c r="D916"/>
    </row>
    <row r="917" spans="1:4" x14ac:dyDescent="0.3">
      <c r="A917" s="4" t="s">
        <v>3</v>
      </c>
      <c r="B917" s="4">
        <v>192</v>
      </c>
      <c r="D917"/>
    </row>
    <row r="918" spans="1:4" x14ac:dyDescent="0.3">
      <c r="A918" s="4" t="s">
        <v>18</v>
      </c>
      <c r="B918" s="4">
        <v>423</v>
      </c>
      <c r="D918"/>
    </row>
    <row r="919" spans="1:4" x14ac:dyDescent="0.3">
      <c r="A919" s="4" t="s">
        <v>13</v>
      </c>
      <c r="B919" s="4">
        <v>636</v>
      </c>
      <c r="D919"/>
    </row>
    <row r="920" spans="1:4" x14ac:dyDescent="0.3">
      <c r="A920" s="4" t="s">
        <v>6</v>
      </c>
      <c r="B920" s="4">
        <v>548</v>
      </c>
      <c r="D920"/>
    </row>
    <row r="921" spans="1:4" x14ac:dyDescent="0.3">
      <c r="A921" s="4" t="s">
        <v>4</v>
      </c>
      <c r="B921" s="4">
        <v>728</v>
      </c>
      <c r="D921"/>
    </row>
    <row r="922" spans="1:4" x14ac:dyDescent="0.3">
      <c r="A922" s="4" t="s">
        <v>3</v>
      </c>
      <c r="B922" s="4">
        <v>968</v>
      </c>
      <c r="D922"/>
    </row>
    <row r="923" spans="1:4" x14ac:dyDescent="0.3">
      <c r="A923" s="4" t="s">
        <v>11</v>
      </c>
      <c r="B923" s="4">
        <v>388</v>
      </c>
      <c r="D923"/>
    </row>
    <row r="924" spans="1:4" x14ac:dyDescent="0.3">
      <c r="A924" s="4" t="s">
        <v>8</v>
      </c>
      <c r="B924" s="4">
        <v>593</v>
      </c>
      <c r="D924"/>
    </row>
    <row r="925" spans="1:4" x14ac:dyDescent="0.3">
      <c r="A925" s="4" t="s">
        <v>7</v>
      </c>
      <c r="B925" s="4">
        <v>145</v>
      </c>
      <c r="D925"/>
    </row>
    <row r="926" spans="1:4" x14ac:dyDescent="0.3">
      <c r="A926" s="4" t="s">
        <v>10</v>
      </c>
      <c r="B926" s="4">
        <v>217</v>
      </c>
      <c r="D926"/>
    </row>
    <row r="927" spans="1:4" x14ac:dyDescent="0.3">
      <c r="A927" s="4" t="s">
        <v>4</v>
      </c>
      <c r="B927" s="4">
        <v>629</v>
      </c>
      <c r="D927"/>
    </row>
    <row r="928" spans="1:4" x14ac:dyDescent="0.3">
      <c r="A928" s="4" t="s">
        <v>14</v>
      </c>
      <c r="B928" s="4">
        <v>359</v>
      </c>
      <c r="D928"/>
    </row>
    <row r="929" spans="1:4" x14ac:dyDescent="0.3">
      <c r="A929" s="4" t="s">
        <v>14</v>
      </c>
      <c r="B929" s="4">
        <v>913</v>
      </c>
      <c r="D929"/>
    </row>
    <row r="930" spans="1:4" x14ac:dyDescent="0.3">
      <c r="A930" s="4" t="s">
        <v>17</v>
      </c>
      <c r="B930" s="4">
        <v>752</v>
      </c>
      <c r="D930"/>
    </row>
    <row r="931" spans="1:4" x14ac:dyDescent="0.3">
      <c r="A931" s="4" t="s">
        <v>4</v>
      </c>
      <c r="B931" s="4">
        <v>681</v>
      </c>
      <c r="D931"/>
    </row>
    <row r="932" spans="1:4" x14ac:dyDescent="0.3">
      <c r="A932" s="4" t="s">
        <v>7</v>
      </c>
      <c r="B932" s="4">
        <v>768</v>
      </c>
      <c r="D932"/>
    </row>
    <row r="933" spans="1:4" x14ac:dyDescent="0.3">
      <c r="A933" s="4" t="s">
        <v>3</v>
      </c>
      <c r="B933" s="4" t="e">
        <v>#N/A</v>
      </c>
      <c r="D933"/>
    </row>
    <row r="934" spans="1:4" x14ac:dyDescent="0.3">
      <c r="A934" s="4" t="s">
        <v>18</v>
      </c>
      <c r="B934" s="4">
        <v>802</v>
      </c>
      <c r="D934"/>
    </row>
    <row r="935" spans="1:4" x14ac:dyDescent="0.3">
      <c r="A935" s="4" t="s">
        <v>6</v>
      </c>
      <c r="B935" s="4">
        <v>239</v>
      </c>
      <c r="D935"/>
    </row>
    <row r="936" spans="1:4" x14ac:dyDescent="0.3">
      <c r="A936" s="4" t="s">
        <v>6</v>
      </c>
      <c r="B936" s="4">
        <v>108</v>
      </c>
      <c r="D936"/>
    </row>
    <row r="937" spans="1:4" x14ac:dyDescent="0.3">
      <c r="A937" s="4" t="s">
        <v>12</v>
      </c>
      <c r="B937" s="4">
        <v>761</v>
      </c>
      <c r="D937"/>
    </row>
    <row r="938" spans="1:4" x14ac:dyDescent="0.3">
      <c r="A938" s="4" t="s">
        <v>7</v>
      </c>
      <c r="B938" s="4">
        <v>808</v>
      </c>
      <c r="D938"/>
    </row>
    <row r="939" spans="1:4" x14ac:dyDescent="0.3">
      <c r="A939" s="4" t="s">
        <v>10</v>
      </c>
      <c r="B939" s="4">
        <v>401</v>
      </c>
      <c r="D939"/>
    </row>
    <row r="940" spans="1:4" x14ac:dyDescent="0.3">
      <c r="A940" s="4" t="s">
        <v>18</v>
      </c>
      <c r="B940" s="4">
        <v>885</v>
      </c>
      <c r="D940"/>
    </row>
    <row r="941" spans="1:4" x14ac:dyDescent="0.3">
      <c r="A941" s="4" t="s">
        <v>12</v>
      </c>
      <c r="B941" s="4">
        <v>625</v>
      </c>
      <c r="D941"/>
    </row>
    <row r="942" spans="1:4" x14ac:dyDescent="0.3">
      <c r="A942" s="4" t="s">
        <v>15</v>
      </c>
      <c r="B942" s="4">
        <v>368</v>
      </c>
      <c r="D942"/>
    </row>
    <row r="943" spans="1:4" x14ac:dyDescent="0.3">
      <c r="A943" s="4" t="s">
        <v>9</v>
      </c>
      <c r="B943" s="4">
        <v>66</v>
      </c>
      <c r="D943"/>
    </row>
    <row r="944" spans="1:4" x14ac:dyDescent="0.3">
      <c r="A944" s="4" t="s">
        <v>17</v>
      </c>
      <c r="B944" s="4">
        <v>484</v>
      </c>
      <c r="D944"/>
    </row>
    <row r="945" spans="1:4" x14ac:dyDescent="0.3">
      <c r="A945" s="4" t="s">
        <v>12</v>
      </c>
      <c r="B945" s="4">
        <v>284</v>
      </c>
      <c r="D945"/>
    </row>
    <row r="946" spans="1:4" x14ac:dyDescent="0.3">
      <c r="A946" s="4" t="s">
        <v>4</v>
      </c>
      <c r="B946" s="4">
        <v>481</v>
      </c>
      <c r="D946"/>
    </row>
    <row r="947" spans="1:4" x14ac:dyDescent="0.3">
      <c r="A947" s="4" t="s">
        <v>4</v>
      </c>
      <c r="B947" s="4">
        <v>836</v>
      </c>
      <c r="D947"/>
    </row>
    <row r="948" spans="1:4" x14ac:dyDescent="0.3">
      <c r="A948" s="4" t="s">
        <v>18</v>
      </c>
      <c r="B948" s="4">
        <v>406</v>
      </c>
      <c r="D948"/>
    </row>
    <row r="949" spans="1:4" x14ac:dyDescent="0.3">
      <c r="A949" s="4" t="s">
        <v>9</v>
      </c>
      <c r="B949" s="4">
        <v>111</v>
      </c>
      <c r="D949"/>
    </row>
    <row r="950" spans="1:4" x14ac:dyDescent="0.3">
      <c r="A950" s="4" t="s">
        <v>7</v>
      </c>
      <c r="B950" s="4">
        <v>926</v>
      </c>
      <c r="D950"/>
    </row>
    <row r="951" spans="1:4" x14ac:dyDescent="0.3">
      <c r="A951" s="4" t="s">
        <v>6</v>
      </c>
      <c r="B951" s="4">
        <v>379</v>
      </c>
      <c r="D951"/>
    </row>
    <row r="952" spans="1:4" x14ac:dyDescent="0.3">
      <c r="A952" s="4" t="s">
        <v>4</v>
      </c>
      <c r="B952" s="4">
        <v>853</v>
      </c>
      <c r="D952"/>
    </row>
    <row r="953" spans="1:4" x14ac:dyDescent="0.3">
      <c r="A953" s="4" t="s">
        <v>13</v>
      </c>
      <c r="B953" s="4">
        <v>459</v>
      </c>
      <c r="D953"/>
    </row>
    <row r="954" spans="1:4" x14ac:dyDescent="0.3">
      <c r="A954" s="4" t="s">
        <v>4</v>
      </c>
      <c r="B954" s="4">
        <v>457</v>
      </c>
      <c r="D954"/>
    </row>
    <row r="955" spans="1:4" x14ac:dyDescent="0.3">
      <c r="A955" s="4" t="s">
        <v>10</v>
      </c>
      <c r="B955" s="4">
        <v>574</v>
      </c>
      <c r="D955"/>
    </row>
    <row r="956" spans="1:4" x14ac:dyDescent="0.3">
      <c r="A956" s="4" t="s">
        <v>8</v>
      </c>
      <c r="B956" s="4">
        <v>151</v>
      </c>
      <c r="D956"/>
    </row>
    <row r="957" spans="1:4" x14ac:dyDescent="0.3">
      <c r="A957" s="4" t="s">
        <v>10</v>
      </c>
      <c r="B957" s="4">
        <v>883</v>
      </c>
      <c r="D957"/>
    </row>
    <row r="958" spans="1:4" x14ac:dyDescent="0.3">
      <c r="A958" s="4" t="s">
        <v>18</v>
      </c>
      <c r="B958" s="4">
        <v>915</v>
      </c>
      <c r="D958"/>
    </row>
    <row r="959" spans="1:4" x14ac:dyDescent="0.3">
      <c r="A959" s="4" t="s">
        <v>14</v>
      </c>
      <c r="B959" s="4">
        <v>764</v>
      </c>
      <c r="D959"/>
    </row>
    <row r="960" spans="1:4" x14ac:dyDescent="0.3">
      <c r="A960" s="4" t="s">
        <v>16</v>
      </c>
      <c r="B960" s="4">
        <v>816</v>
      </c>
      <c r="D960"/>
    </row>
    <row r="961" spans="1:4" x14ac:dyDescent="0.3">
      <c r="A961" s="4" t="s">
        <v>7</v>
      </c>
      <c r="B961" s="4">
        <v>822</v>
      </c>
      <c r="D961"/>
    </row>
    <row r="962" spans="1:4" x14ac:dyDescent="0.3">
      <c r="A962" s="4" t="s">
        <v>17</v>
      </c>
      <c r="B962" s="4">
        <v>927</v>
      </c>
      <c r="D962"/>
    </row>
    <row r="963" spans="1:4" x14ac:dyDescent="0.3">
      <c r="A963" s="4" t="s">
        <v>6</v>
      </c>
      <c r="B963" s="4">
        <v>321</v>
      </c>
      <c r="D963"/>
    </row>
    <row r="964" spans="1:4" x14ac:dyDescent="0.3">
      <c r="A964" s="4" t="s">
        <v>19</v>
      </c>
      <c r="B964" s="4">
        <v>649</v>
      </c>
      <c r="D964"/>
    </row>
    <row r="965" spans="1:4" x14ac:dyDescent="0.3">
      <c r="A965" s="4" t="s">
        <v>9</v>
      </c>
      <c r="B965" s="4">
        <v>126</v>
      </c>
      <c r="D965"/>
    </row>
    <row r="966" spans="1:4" x14ac:dyDescent="0.3">
      <c r="A966" s="4" t="s">
        <v>18</v>
      </c>
      <c r="B966" s="4">
        <v>179</v>
      </c>
      <c r="D966"/>
    </row>
    <row r="967" spans="1:4" x14ac:dyDescent="0.3">
      <c r="A967" s="4" t="s">
        <v>10</v>
      </c>
      <c r="B967" s="4">
        <v>874</v>
      </c>
      <c r="D967"/>
    </row>
    <row r="968" spans="1:4" x14ac:dyDescent="0.3">
      <c r="A968" s="4" t="s">
        <v>11</v>
      </c>
      <c r="B968" s="4">
        <v>949</v>
      </c>
      <c r="D968"/>
    </row>
    <row r="969" spans="1:4" x14ac:dyDescent="0.3">
      <c r="A969" s="4" t="s">
        <v>14</v>
      </c>
      <c r="B969" s="4">
        <v>327</v>
      </c>
      <c r="D969"/>
    </row>
    <row r="970" spans="1:4" x14ac:dyDescent="0.3">
      <c r="A970" s="4" t="s">
        <v>10</v>
      </c>
      <c r="B970" s="4">
        <v>721</v>
      </c>
      <c r="D970"/>
    </row>
    <row r="971" spans="1:4" x14ac:dyDescent="0.3">
      <c r="A971" s="4" t="s">
        <v>18</v>
      </c>
      <c r="B971" s="4">
        <v>85</v>
      </c>
      <c r="D971"/>
    </row>
    <row r="972" spans="1:4" x14ac:dyDescent="0.3">
      <c r="A972" s="4" t="s">
        <v>4</v>
      </c>
      <c r="B972" s="4">
        <v>495</v>
      </c>
      <c r="D972"/>
    </row>
    <row r="973" spans="1:4" x14ac:dyDescent="0.3">
      <c r="A973" s="4" t="s">
        <v>12</v>
      </c>
      <c r="B973" s="4">
        <v>988</v>
      </c>
      <c r="D973"/>
    </row>
    <row r="974" spans="1:4" x14ac:dyDescent="0.3">
      <c r="A974" s="4" t="s">
        <v>12</v>
      </c>
      <c r="B974" s="4">
        <v>40</v>
      </c>
      <c r="D974"/>
    </row>
    <row r="975" spans="1:4" x14ac:dyDescent="0.3">
      <c r="A975" s="4" t="s">
        <v>7</v>
      </c>
      <c r="B975" s="4">
        <v>233</v>
      </c>
      <c r="D975"/>
    </row>
    <row r="976" spans="1:4" x14ac:dyDescent="0.3">
      <c r="A976" s="4" t="s">
        <v>13</v>
      </c>
      <c r="B976" s="4">
        <v>119</v>
      </c>
      <c r="D976"/>
    </row>
    <row r="977" spans="1:4" x14ac:dyDescent="0.3">
      <c r="A977" s="4" t="s">
        <v>8</v>
      </c>
      <c r="B977" s="4">
        <v>638</v>
      </c>
      <c r="D977"/>
    </row>
    <row r="978" spans="1:4" x14ac:dyDescent="0.3">
      <c r="A978" s="4" t="s">
        <v>6</v>
      </c>
      <c r="B978" s="4">
        <v>815</v>
      </c>
      <c r="D978"/>
    </row>
    <row r="979" spans="1:4" x14ac:dyDescent="0.3">
      <c r="A979" s="4" t="s">
        <v>9</v>
      </c>
      <c r="B979" s="4">
        <v>741</v>
      </c>
      <c r="D979"/>
    </row>
    <row r="980" spans="1:4" x14ac:dyDescent="0.3">
      <c r="A980" s="4" t="s">
        <v>4</v>
      </c>
      <c r="B980" s="4">
        <v>575</v>
      </c>
      <c r="D980"/>
    </row>
    <row r="981" spans="1:4" x14ac:dyDescent="0.3">
      <c r="A981" s="4" t="s">
        <v>6</v>
      </c>
      <c r="B981" s="4">
        <v>306</v>
      </c>
      <c r="D981"/>
    </row>
    <row r="982" spans="1:4" x14ac:dyDescent="0.3">
      <c r="A982" s="4" t="s">
        <v>11</v>
      </c>
      <c r="B982" s="4">
        <v>422</v>
      </c>
      <c r="D982"/>
    </row>
    <row r="983" spans="1:4" x14ac:dyDescent="0.3">
      <c r="A983" s="4" t="s">
        <v>18</v>
      </c>
      <c r="B983" s="4">
        <v>265</v>
      </c>
      <c r="D983"/>
    </row>
    <row r="984" spans="1:4" x14ac:dyDescent="0.3">
      <c r="A984" s="4" t="s">
        <v>10</v>
      </c>
      <c r="B984" s="4">
        <v>626</v>
      </c>
      <c r="D984"/>
    </row>
    <row r="985" spans="1:4" x14ac:dyDescent="0.3">
      <c r="A985" s="4" t="s">
        <v>17</v>
      </c>
      <c r="B985" s="4">
        <v>560</v>
      </c>
      <c r="D985"/>
    </row>
    <row r="986" spans="1:4" x14ac:dyDescent="0.3">
      <c r="A986" s="4" t="s">
        <v>10</v>
      </c>
      <c r="B986" s="4">
        <v>924</v>
      </c>
      <c r="D986"/>
    </row>
    <row r="987" spans="1:4" x14ac:dyDescent="0.3">
      <c r="A987" s="4" t="s">
        <v>11</v>
      </c>
      <c r="B987" s="4">
        <v>219</v>
      </c>
      <c r="D987"/>
    </row>
    <row r="988" spans="1:4" x14ac:dyDescent="0.3">
      <c r="A988" s="4" t="s">
        <v>11</v>
      </c>
      <c r="B988" s="4">
        <v>943</v>
      </c>
      <c r="D988"/>
    </row>
    <row r="989" spans="1:4" x14ac:dyDescent="0.3">
      <c r="A989" s="4" t="s">
        <v>10</v>
      </c>
      <c r="B989" s="4">
        <v>433</v>
      </c>
      <c r="D989"/>
    </row>
    <row r="990" spans="1:4" x14ac:dyDescent="0.3">
      <c r="A990" s="4" t="s">
        <v>3</v>
      </c>
      <c r="B990" s="4">
        <v>130</v>
      </c>
      <c r="D990"/>
    </row>
    <row r="991" spans="1:4" x14ac:dyDescent="0.3">
      <c r="A991" s="4" t="s">
        <v>16</v>
      </c>
      <c r="B991" s="4">
        <v>228</v>
      </c>
      <c r="D991"/>
    </row>
    <row r="992" spans="1:4" x14ac:dyDescent="0.3">
      <c r="A992" s="4" t="s">
        <v>10</v>
      </c>
      <c r="B992" s="4">
        <v>861</v>
      </c>
      <c r="D992"/>
    </row>
    <row r="993" spans="1:4" x14ac:dyDescent="0.3">
      <c r="A993" s="4" t="s">
        <v>4</v>
      </c>
      <c r="B993" s="4">
        <v>224</v>
      </c>
      <c r="D993"/>
    </row>
    <row r="994" spans="1:4" x14ac:dyDescent="0.3">
      <c r="A994" s="4" t="s">
        <v>9</v>
      </c>
      <c r="B994" s="4">
        <v>987</v>
      </c>
      <c r="D994"/>
    </row>
    <row r="995" spans="1:4" x14ac:dyDescent="0.3">
      <c r="A995" s="4" t="s">
        <v>7</v>
      </c>
      <c r="B995" s="4">
        <v>633</v>
      </c>
      <c r="D995"/>
    </row>
    <row r="996" spans="1:4" x14ac:dyDescent="0.3">
      <c r="A996" s="4" t="s">
        <v>10</v>
      </c>
      <c r="B996" s="4">
        <v>533</v>
      </c>
      <c r="D996"/>
    </row>
    <row r="997" spans="1:4" x14ac:dyDescent="0.3">
      <c r="A997" s="4" t="s">
        <v>10</v>
      </c>
      <c r="B997" s="4">
        <v>732</v>
      </c>
      <c r="D997"/>
    </row>
    <row r="998" spans="1:4" x14ac:dyDescent="0.3">
      <c r="A998" s="4" t="s">
        <v>10</v>
      </c>
      <c r="B998" s="4">
        <v>808</v>
      </c>
      <c r="D998"/>
    </row>
    <row r="999" spans="1:4" x14ac:dyDescent="0.3">
      <c r="A999" s="4" t="s">
        <v>10</v>
      </c>
      <c r="B999" s="4">
        <v>815</v>
      </c>
      <c r="D999"/>
    </row>
    <row r="1000" spans="1:4" x14ac:dyDescent="0.3">
      <c r="A1000" s="4" t="s">
        <v>15</v>
      </c>
      <c r="B1000" s="4">
        <v>535</v>
      </c>
      <c r="D1000"/>
    </row>
    <row r="1001" spans="1:4" x14ac:dyDescent="0.3">
      <c r="A1001" s="4" t="s">
        <v>15</v>
      </c>
      <c r="B1001" s="4">
        <v>279</v>
      </c>
      <c r="D1001"/>
    </row>
    <row r="1002" spans="1:4" x14ac:dyDescent="0.3">
      <c r="A1002" s="4" t="s">
        <v>11</v>
      </c>
      <c r="B1002" s="4" t="e">
        <v>#REF!</v>
      </c>
      <c r="D1002"/>
    </row>
    <row r="1003" spans="1:4" x14ac:dyDescent="0.3">
      <c r="A1003" s="4" t="s">
        <v>9</v>
      </c>
      <c r="B1003" s="4">
        <v>431</v>
      </c>
      <c r="D1003"/>
    </row>
    <row r="1004" spans="1:4" x14ac:dyDescent="0.3">
      <c r="A1004" s="4" t="s">
        <v>3</v>
      </c>
      <c r="B1004" s="4">
        <v>624</v>
      </c>
      <c r="D1004"/>
    </row>
    <row r="1005" spans="1:4" x14ac:dyDescent="0.3">
      <c r="A1005" s="4" t="s">
        <v>14</v>
      </c>
      <c r="B1005" s="4">
        <v>160</v>
      </c>
      <c r="D1005"/>
    </row>
    <row r="1006" spans="1:4" x14ac:dyDescent="0.3">
      <c r="A1006" s="4" t="s">
        <v>8</v>
      </c>
      <c r="B1006" s="4">
        <v>767</v>
      </c>
      <c r="D1006"/>
    </row>
    <row r="1007" spans="1:4" x14ac:dyDescent="0.3">
      <c r="A1007" s="4" t="s">
        <v>18</v>
      </c>
      <c r="B1007" s="4">
        <v>446</v>
      </c>
      <c r="D1007"/>
    </row>
    <row r="1008" spans="1:4" x14ac:dyDescent="0.3">
      <c r="A1008" s="4" t="s">
        <v>18</v>
      </c>
      <c r="B1008" s="4">
        <v>740</v>
      </c>
      <c r="D1008"/>
    </row>
    <row r="1009" spans="1:4" x14ac:dyDescent="0.3">
      <c r="A1009" s="4" t="s">
        <v>19</v>
      </c>
      <c r="B1009" s="4">
        <v>837</v>
      </c>
      <c r="D1009"/>
    </row>
    <row r="1010" spans="1:4" x14ac:dyDescent="0.3">
      <c r="A1010" s="4" t="s">
        <v>4</v>
      </c>
      <c r="B1010" s="4">
        <v>973</v>
      </c>
      <c r="D1010"/>
    </row>
    <row r="1011" spans="1:4" x14ac:dyDescent="0.3">
      <c r="A1011" s="4" t="s">
        <v>10</v>
      </c>
      <c r="B1011" s="4">
        <v>930</v>
      </c>
      <c r="D1011"/>
    </row>
    <row r="1012" spans="1:4" x14ac:dyDescent="0.3">
      <c r="A1012" s="4" t="s">
        <v>18</v>
      </c>
      <c r="B1012" s="4">
        <v>570</v>
      </c>
      <c r="D1012"/>
    </row>
    <row r="1013" spans="1:4" x14ac:dyDescent="0.3">
      <c r="A1013" s="4" t="s">
        <v>7</v>
      </c>
      <c r="B1013" s="4">
        <v>156</v>
      </c>
      <c r="D1013"/>
    </row>
    <row r="1014" spans="1:4" x14ac:dyDescent="0.3">
      <c r="A1014" s="4" t="s">
        <v>14</v>
      </c>
      <c r="B1014" s="4">
        <v>584</v>
      </c>
      <c r="D1014"/>
    </row>
    <row r="1015" spans="1:4" x14ac:dyDescent="0.3">
      <c r="A1015" s="4" t="s">
        <v>14</v>
      </c>
      <c r="B1015" s="4">
        <v>933</v>
      </c>
      <c r="D1015"/>
    </row>
    <row r="1016" spans="1:4" x14ac:dyDescent="0.3">
      <c r="A1016" s="4" t="s">
        <v>10</v>
      </c>
      <c r="B1016" s="4">
        <v>991</v>
      </c>
      <c r="D1016"/>
    </row>
    <row r="1017" spans="1:4" x14ac:dyDescent="0.3">
      <c r="A1017" s="4" t="s">
        <v>14</v>
      </c>
      <c r="B1017" s="4">
        <v>462</v>
      </c>
      <c r="D1017"/>
    </row>
    <row r="1018" spans="1:4" x14ac:dyDescent="0.3">
      <c r="A1018" s="4" t="s">
        <v>4</v>
      </c>
      <c r="B1018" s="4">
        <v>268</v>
      </c>
      <c r="D1018"/>
    </row>
    <row r="1019" spans="1:4" x14ac:dyDescent="0.3">
      <c r="A1019" s="4" t="s">
        <v>19</v>
      </c>
      <c r="B1019" s="4">
        <v>654</v>
      </c>
      <c r="D1019"/>
    </row>
    <row r="1020" spans="1:4" x14ac:dyDescent="0.3">
      <c r="A1020" s="4" t="s">
        <v>14</v>
      </c>
      <c r="B1020" s="4">
        <v>530</v>
      </c>
      <c r="D1020"/>
    </row>
    <row r="1021" spans="1:4" x14ac:dyDescent="0.3">
      <c r="A1021" s="4" t="s">
        <v>3</v>
      </c>
      <c r="B1021" s="4">
        <v>504</v>
      </c>
      <c r="D1021"/>
    </row>
    <row r="1022" spans="1:4" x14ac:dyDescent="0.3">
      <c r="A1022" s="4" t="s">
        <v>13</v>
      </c>
      <c r="B1022" s="4">
        <v>948</v>
      </c>
      <c r="D1022"/>
    </row>
    <row r="1023" spans="1:4" x14ac:dyDescent="0.3">
      <c r="A1023" s="4" t="s">
        <v>10</v>
      </c>
      <c r="B1023" s="4">
        <v>463</v>
      </c>
      <c r="D1023"/>
    </row>
    <row r="1024" spans="1:4" x14ac:dyDescent="0.3">
      <c r="A1024" s="4" t="s">
        <v>4</v>
      </c>
      <c r="B1024" s="4">
        <v>949</v>
      </c>
      <c r="D1024"/>
    </row>
    <row r="1025" spans="1:4" x14ac:dyDescent="0.3">
      <c r="A1025" s="4" t="s">
        <v>18</v>
      </c>
      <c r="B1025" s="4">
        <v>928</v>
      </c>
      <c r="D1025"/>
    </row>
    <row r="1026" spans="1:4" x14ac:dyDescent="0.3">
      <c r="A1026" s="4" t="s">
        <v>4</v>
      </c>
      <c r="B1026" s="4">
        <v>604</v>
      </c>
      <c r="D1026"/>
    </row>
    <row r="1027" spans="1:4" x14ac:dyDescent="0.3">
      <c r="A1027" s="4" t="s">
        <v>3</v>
      </c>
      <c r="B1027" s="4">
        <v>457</v>
      </c>
      <c r="D1027"/>
    </row>
    <row r="1028" spans="1:4" x14ac:dyDescent="0.3">
      <c r="A1028" s="4" t="s">
        <v>14</v>
      </c>
      <c r="B1028" s="4">
        <v>843</v>
      </c>
      <c r="D1028"/>
    </row>
    <row r="1029" spans="1:4" x14ac:dyDescent="0.3">
      <c r="A1029" s="4" t="s">
        <v>10</v>
      </c>
      <c r="B1029" s="4">
        <v>983</v>
      </c>
      <c r="D1029"/>
    </row>
    <row r="1030" spans="1:4" x14ac:dyDescent="0.3">
      <c r="A1030" s="4" t="s">
        <v>10</v>
      </c>
      <c r="B1030" s="4">
        <v>711</v>
      </c>
      <c r="D1030"/>
    </row>
    <row r="1031" spans="1:4" x14ac:dyDescent="0.3">
      <c r="A1031" s="4" t="s">
        <v>15</v>
      </c>
      <c r="B1031" s="4">
        <v>369</v>
      </c>
      <c r="D1031"/>
    </row>
    <row r="1032" spans="1:4" x14ac:dyDescent="0.3">
      <c r="A1032" s="4" t="s">
        <v>8</v>
      </c>
      <c r="B1032" s="4">
        <v>891</v>
      </c>
      <c r="D1032"/>
    </row>
    <row r="1033" spans="1:4" x14ac:dyDescent="0.3">
      <c r="A1033" s="4" t="s">
        <v>4</v>
      </c>
      <c r="B1033" s="4">
        <v>789</v>
      </c>
      <c r="D1033"/>
    </row>
    <row r="1034" spans="1:4" x14ac:dyDescent="0.3">
      <c r="A1034" s="4" t="s">
        <v>10</v>
      </c>
      <c r="B1034" s="4">
        <v>377</v>
      </c>
      <c r="D1034"/>
    </row>
    <row r="1035" spans="1:4" x14ac:dyDescent="0.3">
      <c r="A1035" s="4" t="s">
        <v>10</v>
      </c>
      <c r="B1035" s="4">
        <v>310</v>
      </c>
      <c r="D1035"/>
    </row>
    <row r="1036" spans="1:4" x14ac:dyDescent="0.3">
      <c r="A1036" s="4" t="s">
        <v>19</v>
      </c>
      <c r="B1036" s="4">
        <v>488</v>
      </c>
      <c r="D1036"/>
    </row>
    <row r="1037" spans="1:4" x14ac:dyDescent="0.3">
      <c r="A1037" s="4" t="s">
        <v>16</v>
      </c>
      <c r="B1037" s="4">
        <v>407</v>
      </c>
      <c r="D1037"/>
    </row>
    <row r="1038" spans="1:4" x14ac:dyDescent="0.3">
      <c r="A1038" s="4" t="s">
        <v>4</v>
      </c>
      <c r="B1038" s="4">
        <v>431</v>
      </c>
      <c r="D1038"/>
    </row>
    <row r="1039" spans="1:4" x14ac:dyDescent="0.3">
      <c r="A1039" s="4" t="s">
        <v>18</v>
      </c>
      <c r="B1039" s="4">
        <v>113</v>
      </c>
      <c r="D1039"/>
    </row>
    <row r="1040" spans="1:4" x14ac:dyDescent="0.3">
      <c r="A1040" s="4" t="s">
        <v>7</v>
      </c>
      <c r="B1040" s="4">
        <v>754</v>
      </c>
      <c r="D1040"/>
    </row>
    <row r="1041" spans="1:4" x14ac:dyDescent="0.3">
      <c r="A1041" s="4" t="s">
        <v>11</v>
      </c>
      <c r="B1041" s="4">
        <v>781</v>
      </c>
      <c r="D1041"/>
    </row>
    <row r="1042" spans="1:4" x14ac:dyDescent="0.3">
      <c r="A1042" s="4" t="s">
        <v>11</v>
      </c>
      <c r="B1042" s="4">
        <v>870</v>
      </c>
      <c r="D1042"/>
    </row>
    <row r="1043" spans="1:4" x14ac:dyDescent="0.3">
      <c r="A1043" s="4" t="s">
        <v>10</v>
      </c>
      <c r="B1043" s="4">
        <v>219</v>
      </c>
      <c r="D1043"/>
    </row>
    <row r="1044" spans="1:4" x14ac:dyDescent="0.3">
      <c r="A1044" s="4" t="s">
        <v>4</v>
      </c>
      <c r="B1044" s="4">
        <v>830</v>
      </c>
      <c r="D1044"/>
    </row>
    <row r="1045" spans="1:4" x14ac:dyDescent="0.3">
      <c r="A1045" s="4" t="s">
        <v>15</v>
      </c>
      <c r="B1045" s="4">
        <v>995</v>
      </c>
      <c r="D1045"/>
    </row>
    <row r="1046" spans="1:4" x14ac:dyDescent="0.3">
      <c r="A1046" s="4" t="s">
        <v>15</v>
      </c>
      <c r="B1046" s="4">
        <v>402</v>
      </c>
      <c r="D1046"/>
    </row>
    <row r="1047" spans="1:4" x14ac:dyDescent="0.3">
      <c r="A1047" s="4" t="s">
        <v>9</v>
      </c>
      <c r="B1047" s="4">
        <v>600</v>
      </c>
      <c r="D1047"/>
    </row>
    <row r="1048" spans="1:4" x14ac:dyDescent="0.3">
      <c r="A1048" s="4" t="s">
        <v>12</v>
      </c>
      <c r="B1048" s="4">
        <v>505</v>
      </c>
      <c r="D1048"/>
    </row>
    <row r="1049" spans="1:4" x14ac:dyDescent="0.3">
      <c r="A1049" s="4" t="s">
        <v>16</v>
      </c>
      <c r="B1049" s="4">
        <v>782</v>
      </c>
      <c r="D1049"/>
    </row>
    <row r="1050" spans="1:4" x14ac:dyDescent="0.3">
      <c r="A1050" s="4" t="s">
        <v>18</v>
      </c>
      <c r="B1050" s="4">
        <v>131</v>
      </c>
      <c r="D1050"/>
    </row>
    <row r="1051" spans="1:4" x14ac:dyDescent="0.3">
      <c r="A1051" s="4" t="s">
        <v>12</v>
      </c>
      <c r="B1051" s="4">
        <v>134</v>
      </c>
      <c r="D1051"/>
    </row>
    <row r="1052" spans="1:4" x14ac:dyDescent="0.3">
      <c r="A1052" s="4" t="s">
        <v>12</v>
      </c>
      <c r="B1052" s="4">
        <v>109</v>
      </c>
      <c r="D1052"/>
    </row>
    <row r="1053" spans="1:4" x14ac:dyDescent="0.3">
      <c r="A1053" s="4" t="s">
        <v>10</v>
      </c>
      <c r="B1053" s="4">
        <v>470</v>
      </c>
      <c r="D1053"/>
    </row>
    <row r="1054" spans="1:4" x14ac:dyDescent="0.3">
      <c r="A1054" s="4" t="s">
        <v>19</v>
      </c>
      <c r="B1054" s="4">
        <v>191</v>
      </c>
      <c r="D1054"/>
    </row>
    <row r="1055" spans="1:4" x14ac:dyDescent="0.3">
      <c r="A1055" s="4" t="s">
        <v>10</v>
      </c>
      <c r="B1055" s="4">
        <v>210</v>
      </c>
      <c r="D1055"/>
    </row>
    <row r="1056" spans="1:4" x14ac:dyDescent="0.3">
      <c r="A1056" s="4" t="s">
        <v>6</v>
      </c>
      <c r="B1056" s="4">
        <v>676</v>
      </c>
      <c r="D1056"/>
    </row>
    <row r="1057" spans="1:4" x14ac:dyDescent="0.3">
      <c r="A1057" s="4" t="s">
        <v>18</v>
      </c>
      <c r="B1057" s="4">
        <v>397</v>
      </c>
      <c r="D1057"/>
    </row>
    <row r="1058" spans="1:4" x14ac:dyDescent="0.3">
      <c r="A1058" s="4" t="s">
        <v>14</v>
      </c>
      <c r="B1058" s="4">
        <v>424</v>
      </c>
      <c r="D1058"/>
    </row>
    <row r="1059" spans="1:4" x14ac:dyDescent="0.3">
      <c r="A1059" s="4" t="s">
        <v>9</v>
      </c>
      <c r="B1059" s="4">
        <v>931</v>
      </c>
      <c r="D1059"/>
    </row>
    <row r="1060" spans="1:4" x14ac:dyDescent="0.3">
      <c r="A1060" s="4" t="s">
        <v>3</v>
      </c>
      <c r="B1060" s="4">
        <v>409</v>
      </c>
      <c r="D1060"/>
    </row>
    <row r="1061" spans="1:4" x14ac:dyDescent="0.3">
      <c r="A1061" s="4" t="s">
        <v>17</v>
      </c>
      <c r="B1061" s="4">
        <v>503</v>
      </c>
      <c r="D1061"/>
    </row>
    <row r="1062" spans="1:4" x14ac:dyDescent="0.3">
      <c r="A1062" s="4" t="s">
        <v>15</v>
      </c>
      <c r="B1062" s="4">
        <v>647</v>
      </c>
      <c r="D1062"/>
    </row>
    <row r="1063" spans="1:4" x14ac:dyDescent="0.3">
      <c r="A1063" s="4" t="s">
        <v>12</v>
      </c>
      <c r="B1063" s="4">
        <v>381</v>
      </c>
      <c r="D1063"/>
    </row>
    <row r="1064" spans="1:4" x14ac:dyDescent="0.3">
      <c r="A1064" s="4" t="s">
        <v>12</v>
      </c>
      <c r="B1064" s="4">
        <v>18</v>
      </c>
      <c r="D1064"/>
    </row>
    <row r="1065" spans="1:4" x14ac:dyDescent="0.3">
      <c r="A1065" s="4" t="s">
        <v>10</v>
      </c>
      <c r="B1065" s="4">
        <v>639</v>
      </c>
      <c r="D1065"/>
    </row>
    <row r="1066" spans="1:4" x14ac:dyDescent="0.3">
      <c r="A1066" s="4" t="s">
        <v>10</v>
      </c>
      <c r="B1066" s="4">
        <v>979</v>
      </c>
      <c r="D1066"/>
    </row>
    <row r="1067" spans="1:4" x14ac:dyDescent="0.3">
      <c r="A1067" s="4" t="s">
        <v>8</v>
      </c>
      <c r="B1067" s="4">
        <v>595</v>
      </c>
      <c r="D1067"/>
    </row>
    <row r="1068" spans="1:4" x14ac:dyDescent="0.3">
      <c r="A1068" s="4" t="s">
        <v>12</v>
      </c>
      <c r="B1068" s="4">
        <v>606</v>
      </c>
      <c r="D1068"/>
    </row>
    <row r="1069" spans="1:4" x14ac:dyDescent="0.3">
      <c r="A1069" s="4" t="s">
        <v>4</v>
      </c>
      <c r="B1069" s="4">
        <v>897</v>
      </c>
      <c r="D1069"/>
    </row>
    <row r="1070" spans="1:4" x14ac:dyDescent="0.3">
      <c r="A1070" s="4" t="s">
        <v>10</v>
      </c>
      <c r="B1070" s="4">
        <v>605</v>
      </c>
      <c r="D1070"/>
    </row>
    <row r="1071" spans="1:4" x14ac:dyDescent="0.3">
      <c r="A1071" s="4" t="s">
        <v>18</v>
      </c>
      <c r="B1071" s="4">
        <v>370</v>
      </c>
      <c r="D1071"/>
    </row>
    <row r="1072" spans="1:4" x14ac:dyDescent="0.3">
      <c r="A1072" s="4" t="s">
        <v>6</v>
      </c>
      <c r="B1072" s="4">
        <v>164</v>
      </c>
      <c r="D1072"/>
    </row>
    <row r="1073" spans="1:4" x14ac:dyDescent="0.3">
      <c r="A1073" s="4" t="s">
        <v>4</v>
      </c>
      <c r="B1073" s="4">
        <v>844</v>
      </c>
      <c r="D1073"/>
    </row>
    <row r="1074" spans="1:4" x14ac:dyDescent="0.3">
      <c r="A1074" s="4" t="s">
        <v>18</v>
      </c>
      <c r="B1074" s="4">
        <v>902</v>
      </c>
      <c r="D1074"/>
    </row>
    <row r="1075" spans="1:4" x14ac:dyDescent="0.3">
      <c r="A1075" s="4" t="s">
        <v>10</v>
      </c>
      <c r="B1075" s="4">
        <v>811</v>
      </c>
      <c r="D1075"/>
    </row>
    <row r="1076" spans="1:4" x14ac:dyDescent="0.3">
      <c r="A1076" s="4" t="s">
        <v>13</v>
      </c>
      <c r="B1076" s="4">
        <v>701</v>
      </c>
      <c r="D1076"/>
    </row>
    <row r="1077" spans="1:4" x14ac:dyDescent="0.3">
      <c r="A1077" s="4" t="s">
        <v>18</v>
      </c>
      <c r="B1077" s="4">
        <v>243</v>
      </c>
      <c r="D1077"/>
    </row>
    <row r="1078" spans="1:4" x14ac:dyDescent="0.3">
      <c r="A1078" s="4" t="s">
        <v>17</v>
      </c>
      <c r="B1078" s="4">
        <v>497</v>
      </c>
      <c r="D1078"/>
    </row>
    <row r="1079" spans="1:4" x14ac:dyDescent="0.3">
      <c r="A1079" s="4" t="s">
        <v>12</v>
      </c>
      <c r="B1079" s="4">
        <v>684</v>
      </c>
      <c r="D1079"/>
    </row>
    <row r="1080" spans="1:4" x14ac:dyDescent="0.3">
      <c r="A1080" s="4" t="s">
        <v>10</v>
      </c>
      <c r="B1080" s="4">
        <v>83</v>
      </c>
      <c r="D1080"/>
    </row>
    <row r="1081" spans="1:4" x14ac:dyDescent="0.3">
      <c r="A1081" s="4" t="s">
        <v>11</v>
      </c>
      <c r="B1081" s="4">
        <v>587</v>
      </c>
      <c r="D1081"/>
    </row>
    <row r="1082" spans="1:4" x14ac:dyDescent="0.3">
      <c r="A1082" s="4" t="s">
        <v>8</v>
      </c>
      <c r="B1082" s="4">
        <v>698</v>
      </c>
      <c r="D1082"/>
    </row>
    <row r="1083" spans="1:4" x14ac:dyDescent="0.3">
      <c r="A1083" s="4" t="s">
        <v>11</v>
      </c>
      <c r="B1083" s="4">
        <v>396</v>
      </c>
      <c r="D1083"/>
    </row>
    <row r="1084" spans="1:4" x14ac:dyDescent="0.3">
      <c r="A1084" s="4" t="s">
        <v>16</v>
      </c>
      <c r="B1084" s="4">
        <v>279</v>
      </c>
      <c r="D1084"/>
    </row>
    <row r="1085" spans="1:4" x14ac:dyDescent="0.3">
      <c r="A1085" s="4" t="s">
        <v>14</v>
      </c>
      <c r="B1085" s="4">
        <v>516</v>
      </c>
      <c r="D1085"/>
    </row>
    <row r="1086" spans="1:4" x14ac:dyDescent="0.3">
      <c r="A1086" s="4" t="s">
        <v>12</v>
      </c>
      <c r="B1086" s="4">
        <v>798</v>
      </c>
      <c r="D1086"/>
    </row>
    <row r="1087" spans="1:4" x14ac:dyDescent="0.3">
      <c r="A1087" s="4" t="s">
        <v>12</v>
      </c>
      <c r="B1087" s="4">
        <v>316</v>
      </c>
      <c r="D1087"/>
    </row>
    <row r="1088" spans="1:4" x14ac:dyDescent="0.3">
      <c r="A1088" s="4" t="s">
        <v>4</v>
      </c>
      <c r="B1088" s="4">
        <v>338</v>
      </c>
      <c r="D1088"/>
    </row>
    <row r="1089" spans="1:4" x14ac:dyDescent="0.3">
      <c r="A1089" s="4" t="s">
        <v>7</v>
      </c>
      <c r="B1089" s="4">
        <v>102</v>
      </c>
      <c r="D1089"/>
    </row>
    <row r="1090" spans="1:4" x14ac:dyDescent="0.3">
      <c r="A1090" s="4" t="s">
        <v>6</v>
      </c>
      <c r="B1090" s="4">
        <v>559</v>
      </c>
      <c r="D1090"/>
    </row>
    <row r="1091" spans="1:4" x14ac:dyDescent="0.3">
      <c r="A1091" s="4" t="s">
        <v>7</v>
      </c>
      <c r="B1091" s="4">
        <v>519</v>
      </c>
      <c r="D1091"/>
    </row>
    <row r="1092" spans="1:4" x14ac:dyDescent="0.3">
      <c r="A1092" s="4" t="s">
        <v>9</v>
      </c>
      <c r="B1092" s="4">
        <v>647</v>
      </c>
      <c r="D1092"/>
    </row>
    <row r="1093" spans="1:4" x14ac:dyDescent="0.3">
      <c r="A1093" s="4" t="s">
        <v>16</v>
      </c>
      <c r="B1093" s="4">
        <v>128</v>
      </c>
      <c r="D1093"/>
    </row>
    <row r="1094" spans="1:4" x14ac:dyDescent="0.3">
      <c r="A1094" s="4" t="s">
        <v>6</v>
      </c>
      <c r="B1094" s="4">
        <v>819</v>
      </c>
      <c r="D1094"/>
    </row>
    <row r="1095" spans="1:4" x14ac:dyDescent="0.3">
      <c r="A1095" s="4" t="s">
        <v>3</v>
      </c>
      <c r="B1095" s="4">
        <v>588</v>
      </c>
      <c r="D1095"/>
    </row>
    <row r="1096" spans="1:4" x14ac:dyDescent="0.3">
      <c r="A1096" s="4" t="s">
        <v>7</v>
      </c>
      <c r="B1096" s="4">
        <v>449</v>
      </c>
      <c r="D1096"/>
    </row>
    <row r="1097" spans="1:4" x14ac:dyDescent="0.3">
      <c r="A1097" s="4" t="s">
        <v>11</v>
      </c>
      <c r="B1097" s="4">
        <v>404</v>
      </c>
      <c r="D1097"/>
    </row>
    <row r="1098" spans="1:4" x14ac:dyDescent="0.3">
      <c r="A1098" s="4" t="s">
        <v>4</v>
      </c>
      <c r="B1098" s="4">
        <v>606</v>
      </c>
      <c r="D1098"/>
    </row>
    <row r="1099" spans="1:4" x14ac:dyDescent="0.3">
      <c r="A1099" s="4" t="s">
        <v>7</v>
      </c>
      <c r="B1099" s="4">
        <v>527</v>
      </c>
      <c r="D1099"/>
    </row>
    <row r="1100" spans="1:4" x14ac:dyDescent="0.3">
      <c r="A1100" s="4" t="s">
        <v>4</v>
      </c>
      <c r="B1100" s="4">
        <v>703</v>
      </c>
      <c r="D1100"/>
    </row>
    <row r="1101" spans="1:4" x14ac:dyDescent="0.3">
      <c r="A1101" s="4" t="s">
        <v>15</v>
      </c>
      <c r="B1101" s="4">
        <v>723</v>
      </c>
      <c r="D1101"/>
    </row>
    <row r="1102" spans="1:4" x14ac:dyDescent="0.3">
      <c r="A1102" s="4" t="s">
        <v>10</v>
      </c>
      <c r="B1102" s="4">
        <v>624</v>
      </c>
      <c r="D1102"/>
    </row>
    <row r="1103" spans="1:4" x14ac:dyDescent="0.3">
      <c r="A1103" s="4" t="s">
        <v>3</v>
      </c>
      <c r="B1103" s="4">
        <v>631</v>
      </c>
      <c r="D1103"/>
    </row>
    <row r="1104" spans="1:4" x14ac:dyDescent="0.3">
      <c r="A1104" s="4" t="s">
        <v>12</v>
      </c>
      <c r="B1104" s="4">
        <v>421</v>
      </c>
      <c r="D1104"/>
    </row>
    <row r="1105" spans="1:4" x14ac:dyDescent="0.3">
      <c r="A1105" s="4" t="s">
        <v>18</v>
      </c>
      <c r="B1105" s="4">
        <v>624</v>
      </c>
      <c r="D1105"/>
    </row>
    <row r="1106" spans="1:4" x14ac:dyDescent="0.3">
      <c r="A1106" s="4" t="s">
        <v>4</v>
      </c>
      <c r="B1106" s="4">
        <v>162</v>
      </c>
      <c r="D1106"/>
    </row>
    <row r="1107" spans="1:4" x14ac:dyDescent="0.3">
      <c r="A1107" s="4" t="s">
        <v>7</v>
      </c>
      <c r="B1107" s="4">
        <v>106</v>
      </c>
      <c r="D1107"/>
    </row>
    <row r="1108" spans="1:4" x14ac:dyDescent="0.3">
      <c r="A1108" s="4" t="s">
        <v>4</v>
      </c>
      <c r="B1108" s="4">
        <v>209</v>
      </c>
      <c r="D1108"/>
    </row>
    <row r="1109" spans="1:4" x14ac:dyDescent="0.3">
      <c r="A1109" s="4" t="s">
        <v>3</v>
      </c>
      <c r="B1109" s="4">
        <v>499</v>
      </c>
      <c r="D1109"/>
    </row>
    <row r="1110" spans="1:4" x14ac:dyDescent="0.3">
      <c r="A1110" s="4" t="s">
        <v>10</v>
      </c>
      <c r="B1110" s="4">
        <v>284</v>
      </c>
      <c r="D1110"/>
    </row>
    <row r="1111" spans="1:4" x14ac:dyDescent="0.3">
      <c r="A1111" s="4" t="s">
        <v>9</v>
      </c>
      <c r="B1111" s="4">
        <v>299</v>
      </c>
      <c r="D1111"/>
    </row>
    <row r="1112" spans="1:4" x14ac:dyDescent="0.3">
      <c r="A1112" s="4" t="s">
        <v>12</v>
      </c>
      <c r="B1112" s="4">
        <v>218</v>
      </c>
      <c r="D1112"/>
    </row>
    <row r="1113" spans="1:4" x14ac:dyDescent="0.3">
      <c r="A1113" s="4" t="s">
        <v>17</v>
      </c>
      <c r="B1113" s="4">
        <v>973</v>
      </c>
      <c r="D1113"/>
    </row>
    <row r="1114" spans="1:4" x14ac:dyDescent="0.3">
      <c r="A1114" s="4" t="s">
        <v>3</v>
      </c>
      <c r="B1114" s="4">
        <v>567</v>
      </c>
      <c r="D1114"/>
    </row>
    <row r="1115" spans="1:4" x14ac:dyDescent="0.3">
      <c r="A1115" s="4" t="s">
        <v>13</v>
      </c>
      <c r="B1115" s="4">
        <v>795</v>
      </c>
      <c r="D1115"/>
    </row>
    <row r="1116" spans="1:4" x14ac:dyDescent="0.3">
      <c r="A1116" s="4" t="s">
        <v>18</v>
      </c>
      <c r="B1116" s="4">
        <v>517</v>
      </c>
      <c r="D1116"/>
    </row>
    <row r="1117" spans="1:4" x14ac:dyDescent="0.3">
      <c r="A1117" s="4" t="s">
        <v>6</v>
      </c>
      <c r="B1117" s="4">
        <v>241</v>
      </c>
      <c r="D1117"/>
    </row>
    <row r="1118" spans="1:4" x14ac:dyDescent="0.3">
      <c r="A1118" s="4" t="s">
        <v>4</v>
      </c>
      <c r="B1118" s="4">
        <v>941</v>
      </c>
      <c r="D1118"/>
    </row>
    <row r="1119" spans="1:4" x14ac:dyDescent="0.3">
      <c r="A1119" s="4" t="s">
        <v>16</v>
      </c>
      <c r="B1119" s="4">
        <v>995</v>
      </c>
      <c r="D1119"/>
    </row>
    <row r="1120" spans="1:4" x14ac:dyDescent="0.3">
      <c r="A1120" s="4" t="s">
        <v>6</v>
      </c>
      <c r="B1120" s="4">
        <v>639</v>
      </c>
      <c r="D1120"/>
    </row>
    <row r="1121" spans="1:4" x14ac:dyDescent="0.3">
      <c r="A1121" s="4" t="s">
        <v>19</v>
      </c>
      <c r="B1121" s="4">
        <v>860</v>
      </c>
      <c r="D1121"/>
    </row>
    <row r="1122" spans="1:4" x14ac:dyDescent="0.3">
      <c r="A1122" s="4" t="s">
        <v>12</v>
      </c>
      <c r="B1122" s="4">
        <v>94</v>
      </c>
      <c r="D1122"/>
    </row>
    <row r="1123" spans="1:4" x14ac:dyDescent="0.3">
      <c r="A1123" s="4" t="s">
        <v>13</v>
      </c>
      <c r="B1123" s="4">
        <v>900</v>
      </c>
      <c r="D1123"/>
    </row>
    <row r="1124" spans="1:4" x14ac:dyDescent="0.3">
      <c r="A1124" s="4" t="s">
        <v>9</v>
      </c>
      <c r="B1124" s="4">
        <v>878</v>
      </c>
      <c r="D1124"/>
    </row>
    <row r="1125" spans="1:4" x14ac:dyDescent="0.3">
      <c r="A1125" s="4" t="s">
        <v>19</v>
      </c>
      <c r="B1125" s="4">
        <v>509</v>
      </c>
      <c r="D1125"/>
    </row>
    <row r="1126" spans="1:4" x14ac:dyDescent="0.3">
      <c r="A1126" s="4" t="s">
        <v>17</v>
      </c>
      <c r="B1126" s="4">
        <v>881</v>
      </c>
      <c r="D1126"/>
    </row>
    <row r="1127" spans="1:4" x14ac:dyDescent="0.3">
      <c r="A1127" s="4" t="s">
        <v>12</v>
      </c>
      <c r="B1127" s="4">
        <v>897</v>
      </c>
      <c r="D1127"/>
    </row>
    <row r="1128" spans="1:4" x14ac:dyDescent="0.3">
      <c r="A1128" s="4" t="s">
        <v>8</v>
      </c>
      <c r="B1128" s="4">
        <v>534</v>
      </c>
      <c r="D1128"/>
    </row>
    <row r="1129" spans="1:4" x14ac:dyDescent="0.3">
      <c r="A1129" s="4" t="s">
        <v>10</v>
      </c>
      <c r="B1129" s="4" t="e">
        <v>#REF!</v>
      </c>
      <c r="D1129"/>
    </row>
    <row r="1130" spans="1:4" x14ac:dyDescent="0.3">
      <c r="A1130" s="4" t="s">
        <v>6</v>
      </c>
      <c r="B1130" s="4">
        <v>759</v>
      </c>
      <c r="D1130"/>
    </row>
    <row r="1131" spans="1:4" x14ac:dyDescent="0.3">
      <c r="A1131" s="4" t="s">
        <v>6</v>
      </c>
      <c r="B1131" s="4">
        <v>258</v>
      </c>
      <c r="D1131"/>
    </row>
    <row r="1132" spans="1:4" x14ac:dyDescent="0.3">
      <c r="A1132" s="4" t="s">
        <v>3</v>
      </c>
      <c r="B1132" s="4">
        <v>790</v>
      </c>
      <c r="D1132"/>
    </row>
    <row r="1133" spans="1:4" x14ac:dyDescent="0.3">
      <c r="A1133" s="4" t="s">
        <v>6</v>
      </c>
      <c r="B1133" s="4">
        <v>228</v>
      </c>
      <c r="D1133"/>
    </row>
    <row r="1134" spans="1:4" x14ac:dyDescent="0.3">
      <c r="A1134" s="4" t="s">
        <v>19</v>
      </c>
      <c r="B1134" s="4">
        <v>789</v>
      </c>
      <c r="D1134"/>
    </row>
    <row r="1135" spans="1:4" x14ac:dyDescent="0.3">
      <c r="A1135" s="4" t="s">
        <v>19</v>
      </c>
      <c r="B1135" s="4">
        <v>960</v>
      </c>
      <c r="D1135"/>
    </row>
    <row r="1136" spans="1:4" x14ac:dyDescent="0.3">
      <c r="A1136" s="4" t="s">
        <v>15</v>
      </c>
      <c r="B1136" s="4">
        <v>796</v>
      </c>
      <c r="D1136"/>
    </row>
    <row r="1137" spans="1:4" x14ac:dyDescent="0.3">
      <c r="A1137" s="4" t="s">
        <v>4</v>
      </c>
      <c r="B1137" s="4">
        <v>829</v>
      </c>
      <c r="D1137"/>
    </row>
    <row r="1138" spans="1:4" x14ac:dyDescent="0.3">
      <c r="A1138" s="4" t="s">
        <v>8</v>
      </c>
      <c r="B1138" s="4">
        <v>173</v>
      </c>
      <c r="D1138"/>
    </row>
    <row r="1139" spans="1:4" x14ac:dyDescent="0.3">
      <c r="A1139" s="4" t="s">
        <v>16</v>
      </c>
      <c r="B1139" s="4">
        <v>467</v>
      </c>
      <c r="D1139"/>
    </row>
    <row r="1140" spans="1:4" x14ac:dyDescent="0.3">
      <c r="A1140" s="4" t="s">
        <v>14</v>
      </c>
      <c r="B1140" s="4">
        <v>544</v>
      </c>
      <c r="D1140"/>
    </row>
    <row r="1141" spans="1:4" x14ac:dyDescent="0.3">
      <c r="A1141" s="4" t="s">
        <v>8</v>
      </c>
      <c r="B1141" s="4">
        <v>123</v>
      </c>
      <c r="D1141"/>
    </row>
    <row r="1142" spans="1:4" x14ac:dyDescent="0.3">
      <c r="A1142" s="4" t="s">
        <v>19</v>
      </c>
      <c r="B1142" s="4">
        <v>496</v>
      </c>
      <c r="D1142"/>
    </row>
    <row r="1143" spans="1:4" x14ac:dyDescent="0.3">
      <c r="A1143" s="4" t="s">
        <v>10</v>
      </c>
      <c r="B1143" s="4">
        <v>592</v>
      </c>
      <c r="D1143"/>
    </row>
    <row r="1144" spans="1:4" x14ac:dyDescent="0.3">
      <c r="A1144" s="4" t="s">
        <v>19</v>
      </c>
      <c r="B1144" s="4">
        <v>989</v>
      </c>
      <c r="D1144"/>
    </row>
    <row r="1145" spans="1:4" x14ac:dyDescent="0.3">
      <c r="A1145" s="4" t="s">
        <v>13</v>
      </c>
      <c r="B1145" s="4">
        <v>721</v>
      </c>
      <c r="D1145"/>
    </row>
    <row r="1146" spans="1:4" x14ac:dyDescent="0.3">
      <c r="A1146" s="4" t="s">
        <v>7</v>
      </c>
      <c r="B1146" s="4">
        <v>72</v>
      </c>
      <c r="D1146"/>
    </row>
    <row r="1147" spans="1:4" x14ac:dyDescent="0.3">
      <c r="A1147" s="4" t="s">
        <v>9</v>
      </c>
      <c r="B1147" s="4">
        <v>853</v>
      </c>
      <c r="D1147"/>
    </row>
    <row r="1148" spans="1:4" x14ac:dyDescent="0.3">
      <c r="A1148" s="4" t="s">
        <v>14</v>
      </c>
      <c r="B1148" s="4">
        <v>889</v>
      </c>
      <c r="D1148"/>
    </row>
    <row r="1149" spans="1:4" x14ac:dyDescent="0.3">
      <c r="A1149" s="4" t="s">
        <v>6</v>
      </c>
      <c r="B1149" s="4">
        <v>204</v>
      </c>
      <c r="D1149"/>
    </row>
    <row r="1150" spans="1:4" x14ac:dyDescent="0.3">
      <c r="A1150" s="4" t="s">
        <v>3</v>
      </c>
      <c r="B1150" s="4">
        <v>444</v>
      </c>
      <c r="D1150"/>
    </row>
    <row r="1151" spans="1:4" x14ac:dyDescent="0.3">
      <c r="A1151" s="4" t="s">
        <v>6</v>
      </c>
      <c r="B1151" s="4">
        <v>934</v>
      </c>
      <c r="D1151"/>
    </row>
    <row r="1152" spans="1:4" x14ac:dyDescent="0.3">
      <c r="A1152" s="4" t="s">
        <v>12</v>
      </c>
      <c r="B1152" s="4">
        <v>590</v>
      </c>
      <c r="D1152"/>
    </row>
    <row r="1153" spans="1:4" x14ac:dyDescent="0.3">
      <c r="A1153" s="4" t="s">
        <v>14</v>
      </c>
      <c r="B1153" s="4">
        <v>421</v>
      </c>
      <c r="D1153"/>
    </row>
    <row r="1154" spans="1:4" x14ac:dyDescent="0.3">
      <c r="A1154" s="4" t="s">
        <v>14</v>
      </c>
      <c r="B1154" s="4">
        <v>985</v>
      </c>
      <c r="D1154"/>
    </row>
    <row r="1155" spans="1:4" x14ac:dyDescent="0.3">
      <c r="A1155" s="4" t="s">
        <v>18</v>
      </c>
      <c r="B1155" s="4">
        <v>344</v>
      </c>
      <c r="D1155"/>
    </row>
    <row r="1156" spans="1:4" x14ac:dyDescent="0.3">
      <c r="A1156" s="4" t="s">
        <v>14</v>
      </c>
      <c r="B1156" s="4">
        <v>435</v>
      </c>
      <c r="D1156"/>
    </row>
    <row r="1157" spans="1:4" x14ac:dyDescent="0.3">
      <c r="A1157" s="4" t="s">
        <v>11</v>
      </c>
      <c r="B1157" s="4">
        <v>809</v>
      </c>
      <c r="D1157"/>
    </row>
    <row r="1158" spans="1:4" x14ac:dyDescent="0.3">
      <c r="A1158" s="4" t="s">
        <v>10</v>
      </c>
      <c r="B1158" s="4">
        <v>394</v>
      </c>
      <c r="D1158"/>
    </row>
    <row r="1159" spans="1:4" x14ac:dyDescent="0.3">
      <c r="A1159" s="4" t="s">
        <v>14</v>
      </c>
      <c r="B1159" s="4">
        <v>869</v>
      </c>
      <c r="D1159"/>
    </row>
    <row r="1160" spans="1:4" x14ac:dyDescent="0.3">
      <c r="A1160" s="4" t="s">
        <v>10</v>
      </c>
      <c r="B1160" s="4">
        <v>853</v>
      </c>
      <c r="D1160"/>
    </row>
    <row r="1161" spans="1:4" x14ac:dyDescent="0.3">
      <c r="A1161" s="4" t="s">
        <v>18</v>
      </c>
      <c r="B1161" s="4">
        <v>190</v>
      </c>
      <c r="D1161"/>
    </row>
    <row r="1162" spans="1:4" x14ac:dyDescent="0.3">
      <c r="A1162" s="4" t="s">
        <v>4</v>
      </c>
      <c r="B1162" s="4">
        <v>333</v>
      </c>
      <c r="D1162"/>
    </row>
    <row r="1163" spans="1:4" x14ac:dyDescent="0.3">
      <c r="A1163" s="4" t="s">
        <v>10</v>
      </c>
      <c r="B1163" s="4">
        <v>493</v>
      </c>
      <c r="D1163"/>
    </row>
    <row r="1164" spans="1:4" x14ac:dyDescent="0.3">
      <c r="A1164" s="4" t="s">
        <v>12</v>
      </c>
      <c r="B1164" s="4">
        <v>439</v>
      </c>
      <c r="D1164"/>
    </row>
    <row r="1165" spans="1:4" x14ac:dyDescent="0.3">
      <c r="A1165" s="4" t="s">
        <v>8</v>
      </c>
      <c r="B1165" s="4">
        <v>164</v>
      </c>
      <c r="D1165"/>
    </row>
    <row r="1166" spans="1:4" x14ac:dyDescent="0.3">
      <c r="A1166" s="4" t="s">
        <v>17</v>
      </c>
      <c r="B1166" s="4">
        <v>552</v>
      </c>
      <c r="D1166"/>
    </row>
    <row r="1167" spans="1:4" x14ac:dyDescent="0.3">
      <c r="A1167" s="4" t="s">
        <v>10</v>
      </c>
      <c r="B1167" s="4">
        <v>772</v>
      </c>
      <c r="D1167"/>
    </row>
    <row r="1168" spans="1:4" x14ac:dyDescent="0.3">
      <c r="A1168" s="4" t="s">
        <v>19</v>
      </c>
      <c r="B1168" s="4">
        <v>583</v>
      </c>
      <c r="D1168"/>
    </row>
    <row r="1169" spans="1:4" x14ac:dyDescent="0.3">
      <c r="A1169" s="4" t="s">
        <v>17</v>
      </c>
      <c r="B1169" s="4">
        <v>436</v>
      </c>
      <c r="D1169"/>
    </row>
    <row r="1170" spans="1:4" x14ac:dyDescent="0.3">
      <c r="A1170" s="4" t="s">
        <v>10</v>
      </c>
      <c r="B1170" s="4">
        <v>137</v>
      </c>
      <c r="D1170"/>
    </row>
    <row r="1171" spans="1:4" x14ac:dyDescent="0.3">
      <c r="A1171" s="4" t="s">
        <v>15</v>
      </c>
      <c r="B1171" s="4">
        <v>409</v>
      </c>
      <c r="D1171"/>
    </row>
    <row r="1172" spans="1:4" x14ac:dyDescent="0.3">
      <c r="A1172" s="4" t="s">
        <v>8</v>
      </c>
      <c r="B1172" s="4">
        <v>179</v>
      </c>
      <c r="D1172"/>
    </row>
    <row r="1173" spans="1:4" x14ac:dyDescent="0.3">
      <c r="A1173" s="4" t="s">
        <v>6</v>
      </c>
      <c r="B1173" s="4">
        <v>256</v>
      </c>
      <c r="D1173"/>
    </row>
    <row r="1174" spans="1:4" x14ac:dyDescent="0.3">
      <c r="A1174" s="4" t="s">
        <v>18</v>
      </c>
      <c r="B1174" s="4">
        <v>706</v>
      </c>
      <c r="D1174"/>
    </row>
    <row r="1175" spans="1:4" x14ac:dyDescent="0.3">
      <c r="A1175" s="4" t="s">
        <v>4</v>
      </c>
      <c r="B1175" s="4">
        <v>867</v>
      </c>
      <c r="D1175"/>
    </row>
    <row r="1176" spans="1:4" x14ac:dyDescent="0.3">
      <c r="A1176" s="4" t="s">
        <v>16</v>
      </c>
      <c r="B1176" s="4">
        <v>119</v>
      </c>
      <c r="D1176"/>
    </row>
    <row r="1177" spans="1:4" x14ac:dyDescent="0.3">
      <c r="A1177" s="4" t="s">
        <v>10</v>
      </c>
      <c r="B1177" s="4">
        <v>527</v>
      </c>
      <c r="D1177"/>
    </row>
    <row r="1178" spans="1:4" x14ac:dyDescent="0.3">
      <c r="A1178" s="4" t="s">
        <v>6</v>
      </c>
      <c r="B1178" s="4">
        <v>993</v>
      </c>
      <c r="D1178"/>
    </row>
    <row r="1179" spans="1:4" x14ac:dyDescent="0.3">
      <c r="A1179" s="4" t="s">
        <v>16</v>
      </c>
      <c r="B1179" s="4">
        <v>144</v>
      </c>
      <c r="D1179"/>
    </row>
    <row r="1180" spans="1:4" x14ac:dyDescent="0.3">
      <c r="A1180" s="4" t="s">
        <v>4</v>
      </c>
      <c r="B1180" s="4">
        <v>933</v>
      </c>
      <c r="D1180"/>
    </row>
    <row r="1181" spans="1:4" x14ac:dyDescent="0.3">
      <c r="A1181" s="4" t="s">
        <v>19</v>
      </c>
      <c r="B1181" s="4">
        <v>36</v>
      </c>
      <c r="D1181"/>
    </row>
    <row r="1182" spans="1:4" x14ac:dyDescent="0.3">
      <c r="A1182" s="4" t="s">
        <v>16</v>
      </c>
      <c r="B1182" s="4">
        <v>143</v>
      </c>
      <c r="D1182"/>
    </row>
    <row r="1183" spans="1:4" x14ac:dyDescent="0.3">
      <c r="A1183" s="4" t="s">
        <v>7</v>
      </c>
      <c r="B1183" s="4">
        <v>600</v>
      </c>
      <c r="D1183"/>
    </row>
    <row r="1184" spans="1:4" x14ac:dyDescent="0.3">
      <c r="A1184" s="4" t="s">
        <v>9</v>
      </c>
      <c r="B1184" s="4">
        <v>114</v>
      </c>
      <c r="D1184"/>
    </row>
    <row r="1185" spans="1:4" x14ac:dyDescent="0.3">
      <c r="A1185" s="4" t="s">
        <v>19</v>
      </c>
      <c r="B1185" s="4">
        <v>388</v>
      </c>
      <c r="D1185"/>
    </row>
    <row r="1186" spans="1:4" x14ac:dyDescent="0.3">
      <c r="A1186" s="4" t="s">
        <v>15</v>
      </c>
      <c r="B1186" s="4">
        <v>908</v>
      </c>
      <c r="D1186"/>
    </row>
    <row r="1187" spans="1:4" x14ac:dyDescent="0.3">
      <c r="A1187" s="4" t="s">
        <v>10</v>
      </c>
      <c r="B1187" s="4">
        <v>269</v>
      </c>
      <c r="D1187"/>
    </row>
    <row r="1188" spans="1:4" x14ac:dyDescent="0.3">
      <c r="A1188" s="4" t="s">
        <v>4</v>
      </c>
      <c r="B1188" s="4">
        <v>615</v>
      </c>
      <c r="D1188"/>
    </row>
    <row r="1189" spans="1:4" x14ac:dyDescent="0.3">
      <c r="A1189" s="4" t="s">
        <v>12</v>
      </c>
      <c r="B1189" s="4">
        <v>683</v>
      </c>
      <c r="D1189"/>
    </row>
    <row r="1190" spans="1:4" x14ac:dyDescent="0.3">
      <c r="A1190" s="4" t="s">
        <v>10</v>
      </c>
      <c r="B1190" s="4">
        <v>370</v>
      </c>
      <c r="D1190"/>
    </row>
    <row r="1191" spans="1:4" x14ac:dyDescent="0.3">
      <c r="A1191" s="4" t="s">
        <v>11</v>
      </c>
      <c r="B1191" s="4">
        <v>184</v>
      </c>
      <c r="D1191"/>
    </row>
    <row r="1192" spans="1:4" x14ac:dyDescent="0.3">
      <c r="A1192" s="4" t="s">
        <v>15</v>
      </c>
      <c r="B1192" s="4">
        <v>371</v>
      </c>
      <c r="D1192"/>
    </row>
    <row r="1193" spans="1:4" x14ac:dyDescent="0.3">
      <c r="A1193" s="4" t="s">
        <v>19</v>
      </c>
      <c r="B1193" s="4">
        <v>87</v>
      </c>
      <c r="D1193"/>
    </row>
    <row r="1194" spans="1:4" x14ac:dyDescent="0.3">
      <c r="A1194" s="4" t="s">
        <v>6</v>
      </c>
      <c r="B1194" s="4">
        <v>231</v>
      </c>
      <c r="D1194"/>
    </row>
    <row r="1195" spans="1:4" x14ac:dyDescent="0.3">
      <c r="A1195" s="4" t="s">
        <v>4</v>
      </c>
      <c r="B1195" s="4">
        <v>332</v>
      </c>
      <c r="D1195"/>
    </row>
    <row r="1196" spans="1:4" x14ac:dyDescent="0.3">
      <c r="A1196" s="4" t="s">
        <v>10</v>
      </c>
      <c r="B1196" s="4">
        <v>568</v>
      </c>
      <c r="D1196"/>
    </row>
    <row r="1197" spans="1:4" x14ac:dyDescent="0.3">
      <c r="A1197" s="4" t="s">
        <v>19</v>
      </c>
      <c r="B1197" s="6">
        <v>801</v>
      </c>
      <c r="D1197"/>
    </row>
    <row r="1198" spans="1:4" x14ac:dyDescent="0.3">
      <c r="A1198" s="4" t="s">
        <v>14</v>
      </c>
      <c r="B1198" s="4">
        <v>546</v>
      </c>
      <c r="D1198"/>
    </row>
    <row r="1199" spans="1:4" x14ac:dyDescent="0.3">
      <c r="A1199" s="4" t="s">
        <v>15</v>
      </c>
      <c r="B1199" s="4">
        <v>731</v>
      </c>
      <c r="D1199"/>
    </row>
    <row r="1200" spans="1:4" x14ac:dyDescent="0.3">
      <c r="A1200" s="4" t="s">
        <v>11</v>
      </c>
      <c r="B1200" s="4">
        <v>865</v>
      </c>
      <c r="D1200"/>
    </row>
    <row r="1201" spans="1:4" x14ac:dyDescent="0.3">
      <c r="A1201" s="4" t="s">
        <v>4</v>
      </c>
      <c r="B1201" s="4">
        <v>739</v>
      </c>
      <c r="D1201"/>
    </row>
    <row r="1202" spans="1:4" x14ac:dyDescent="0.3">
      <c r="A1202" s="4" t="s">
        <v>10</v>
      </c>
      <c r="B1202" s="4">
        <v>700</v>
      </c>
      <c r="D1202"/>
    </row>
    <row r="1203" spans="1:4" x14ac:dyDescent="0.3">
      <c r="A1203" s="4" t="s">
        <v>17</v>
      </c>
      <c r="B1203" s="4">
        <v>965</v>
      </c>
      <c r="D1203"/>
    </row>
    <row r="1204" spans="1:4" x14ac:dyDescent="0.3">
      <c r="A1204" s="4" t="s">
        <v>6</v>
      </c>
      <c r="B1204" s="4">
        <v>777</v>
      </c>
      <c r="D1204"/>
    </row>
    <row r="1205" spans="1:4" x14ac:dyDescent="0.3">
      <c r="A1205" s="4" t="s">
        <v>11</v>
      </c>
      <c r="B1205" s="4">
        <v>163</v>
      </c>
      <c r="D1205"/>
    </row>
    <row r="1206" spans="1:4" x14ac:dyDescent="0.3">
      <c r="A1206" s="4" t="s">
        <v>18</v>
      </c>
      <c r="B1206" s="4">
        <v>502</v>
      </c>
      <c r="D1206"/>
    </row>
    <row r="1207" spans="1:4" x14ac:dyDescent="0.3">
      <c r="A1207" s="4" t="s">
        <v>19</v>
      </c>
      <c r="B1207" s="4">
        <v>312</v>
      </c>
      <c r="D1207"/>
    </row>
    <row r="1208" spans="1:4" x14ac:dyDescent="0.3">
      <c r="A1208" s="4" t="s">
        <v>16</v>
      </c>
      <c r="B1208" s="4">
        <v>661</v>
      </c>
      <c r="D1208"/>
    </row>
    <row r="1209" spans="1:4" x14ac:dyDescent="0.3">
      <c r="A1209" s="4" t="s">
        <v>9</v>
      </c>
      <c r="B1209" s="4">
        <v>769</v>
      </c>
      <c r="D1209"/>
    </row>
    <row r="1210" spans="1:4" x14ac:dyDescent="0.3">
      <c r="A1210" s="4" t="s">
        <v>4</v>
      </c>
      <c r="B1210" s="4">
        <v>843</v>
      </c>
      <c r="D1210"/>
    </row>
    <row r="1211" spans="1:4" x14ac:dyDescent="0.3">
      <c r="A1211" s="4" t="s">
        <v>6</v>
      </c>
      <c r="B1211" s="4">
        <v>334</v>
      </c>
      <c r="D1211"/>
    </row>
    <row r="1212" spans="1:4" x14ac:dyDescent="0.3">
      <c r="A1212" s="4" t="s">
        <v>8</v>
      </c>
      <c r="B1212" s="4">
        <v>608</v>
      </c>
      <c r="D1212"/>
    </row>
    <row r="1213" spans="1:4" x14ac:dyDescent="0.3">
      <c r="A1213" s="4" t="s">
        <v>19</v>
      </c>
      <c r="B1213" s="4">
        <v>183</v>
      </c>
      <c r="D1213"/>
    </row>
    <row r="1214" spans="1:4" x14ac:dyDescent="0.3">
      <c r="A1214" s="4" t="s">
        <v>11</v>
      </c>
      <c r="B1214" s="4">
        <v>249</v>
      </c>
      <c r="D1214"/>
    </row>
    <row r="1215" spans="1:4" x14ac:dyDescent="0.3">
      <c r="A1215" s="4" t="s">
        <v>6</v>
      </c>
      <c r="B1215" s="4">
        <v>432</v>
      </c>
      <c r="D1215"/>
    </row>
    <row r="1216" spans="1:4" x14ac:dyDescent="0.3">
      <c r="A1216" s="4" t="s">
        <v>8</v>
      </c>
      <c r="B1216" s="4" t="e">
        <v>#REF!</v>
      </c>
      <c r="D1216"/>
    </row>
    <row r="1217" spans="1:4" x14ac:dyDescent="0.3">
      <c r="A1217" s="4" t="s">
        <v>14</v>
      </c>
      <c r="B1217" s="4">
        <v>225</v>
      </c>
      <c r="D1217"/>
    </row>
    <row r="1218" spans="1:4" x14ac:dyDescent="0.3">
      <c r="A1218" s="4" t="s">
        <v>4</v>
      </c>
      <c r="B1218" s="4">
        <v>185</v>
      </c>
      <c r="D1218"/>
    </row>
    <row r="1219" spans="1:4" x14ac:dyDescent="0.3">
      <c r="A1219" s="4" t="s">
        <v>11</v>
      </c>
      <c r="B1219" s="4">
        <v>787</v>
      </c>
      <c r="D1219"/>
    </row>
    <row r="1220" spans="1:4" x14ac:dyDescent="0.3">
      <c r="A1220" s="4" t="s">
        <v>12</v>
      </c>
      <c r="B1220" s="4">
        <v>49</v>
      </c>
      <c r="D1220"/>
    </row>
    <row r="1221" spans="1:4" x14ac:dyDescent="0.3">
      <c r="A1221" s="4" t="s">
        <v>4</v>
      </c>
      <c r="B1221" s="4">
        <v>196</v>
      </c>
      <c r="D1221"/>
    </row>
    <row r="1222" spans="1:4" x14ac:dyDescent="0.3">
      <c r="A1222" s="4" t="s">
        <v>15</v>
      </c>
      <c r="B1222" s="4">
        <v>373</v>
      </c>
      <c r="D1222"/>
    </row>
    <row r="1223" spans="1:4" x14ac:dyDescent="0.3">
      <c r="A1223" s="4" t="s">
        <v>12</v>
      </c>
      <c r="B1223" s="4">
        <v>517</v>
      </c>
      <c r="D1223"/>
    </row>
    <row r="1224" spans="1:4" x14ac:dyDescent="0.3">
      <c r="A1224" s="4" t="s">
        <v>15</v>
      </c>
      <c r="B1224" s="4">
        <v>440</v>
      </c>
      <c r="D1224"/>
    </row>
    <row r="1225" spans="1:4" x14ac:dyDescent="0.3">
      <c r="A1225" s="4" t="s">
        <v>7</v>
      </c>
      <c r="B1225" s="4">
        <v>440</v>
      </c>
      <c r="D1225"/>
    </row>
    <row r="1226" spans="1:4" x14ac:dyDescent="0.3">
      <c r="A1226" s="4" t="s">
        <v>19</v>
      </c>
      <c r="B1226" s="4">
        <v>664</v>
      </c>
      <c r="D1226"/>
    </row>
    <row r="1227" spans="1:4" x14ac:dyDescent="0.3">
      <c r="A1227" s="4" t="s">
        <v>10</v>
      </c>
      <c r="B1227" s="4">
        <v>363</v>
      </c>
      <c r="D1227"/>
    </row>
    <row r="1228" spans="1:4" x14ac:dyDescent="0.3">
      <c r="A1228" s="4" t="s">
        <v>18</v>
      </c>
      <c r="B1228" s="4">
        <v>970</v>
      </c>
      <c r="D1228"/>
    </row>
    <row r="1229" spans="1:4" x14ac:dyDescent="0.3">
      <c r="A1229" s="4" t="s">
        <v>19</v>
      </c>
      <c r="B1229" s="4">
        <v>853</v>
      </c>
      <c r="D1229"/>
    </row>
    <row r="1230" spans="1:4" x14ac:dyDescent="0.3">
      <c r="A1230" s="4" t="s">
        <v>8</v>
      </c>
      <c r="B1230" s="4">
        <v>898</v>
      </c>
      <c r="D1230"/>
    </row>
    <row r="1231" spans="1:4" x14ac:dyDescent="0.3">
      <c r="A1231" s="4" t="s">
        <v>4</v>
      </c>
      <c r="B1231" s="4">
        <v>287</v>
      </c>
      <c r="D1231"/>
    </row>
    <row r="1232" spans="1:4" x14ac:dyDescent="0.3">
      <c r="A1232" s="4" t="s">
        <v>7</v>
      </c>
      <c r="B1232" s="4">
        <v>112</v>
      </c>
      <c r="D1232"/>
    </row>
    <row r="1233" spans="1:4" x14ac:dyDescent="0.3">
      <c r="A1233" s="4" t="s">
        <v>3</v>
      </c>
      <c r="B1233" s="4">
        <v>499</v>
      </c>
      <c r="D1233"/>
    </row>
    <row r="1234" spans="1:4" x14ac:dyDescent="0.3">
      <c r="A1234" s="4" t="s">
        <v>17</v>
      </c>
      <c r="B1234" s="4">
        <v>981</v>
      </c>
      <c r="D1234"/>
    </row>
    <row r="1235" spans="1:4" x14ac:dyDescent="0.3">
      <c r="A1235" s="4" t="s">
        <v>6</v>
      </c>
      <c r="B1235" s="4">
        <v>135</v>
      </c>
      <c r="D1235"/>
    </row>
    <row r="1236" spans="1:4" x14ac:dyDescent="0.3">
      <c r="A1236" s="4" t="s">
        <v>10</v>
      </c>
      <c r="B1236" s="4">
        <v>756</v>
      </c>
      <c r="D1236"/>
    </row>
    <row r="1237" spans="1:4" x14ac:dyDescent="0.3">
      <c r="A1237" s="4" t="s">
        <v>16</v>
      </c>
      <c r="B1237" s="4">
        <v>993</v>
      </c>
      <c r="D1237"/>
    </row>
    <row r="1238" spans="1:4" x14ac:dyDescent="0.3">
      <c r="A1238" s="4" t="s">
        <v>19</v>
      </c>
      <c r="B1238" s="4">
        <v>176</v>
      </c>
      <c r="D1238"/>
    </row>
    <row r="1239" spans="1:4" x14ac:dyDescent="0.3">
      <c r="A1239" s="4" t="s">
        <v>14</v>
      </c>
      <c r="B1239" s="4">
        <v>487</v>
      </c>
      <c r="D1239"/>
    </row>
    <row r="1240" spans="1:4" x14ac:dyDescent="0.3">
      <c r="A1240" s="4" t="s">
        <v>15</v>
      </c>
      <c r="B1240" s="4">
        <v>922</v>
      </c>
      <c r="D1240"/>
    </row>
    <row r="1241" spans="1:4" x14ac:dyDescent="0.3">
      <c r="A1241" s="4" t="s">
        <v>7</v>
      </c>
      <c r="B1241" s="4">
        <v>102</v>
      </c>
      <c r="D1241"/>
    </row>
    <row r="1242" spans="1:4" x14ac:dyDescent="0.3">
      <c r="A1242" s="4" t="s">
        <v>4</v>
      </c>
      <c r="B1242" s="4">
        <v>633</v>
      </c>
      <c r="D1242"/>
    </row>
    <row r="1243" spans="1:4" x14ac:dyDescent="0.3">
      <c r="A1243" s="4" t="s">
        <v>4</v>
      </c>
      <c r="B1243" s="4">
        <v>696</v>
      </c>
      <c r="D1243"/>
    </row>
    <row r="1244" spans="1:4" x14ac:dyDescent="0.3">
      <c r="A1244" s="4" t="s">
        <v>10</v>
      </c>
      <c r="B1244" s="4">
        <v>704</v>
      </c>
      <c r="D1244"/>
    </row>
    <row r="1245" spans="1:4" x14ac:dyDescent="0.3">
      <c r="A1245" s="4" t="s">
        <v>3</v>
      </c>
      <c r="B1245" s="4">
        <v>541</v>
      </c>
      <c r="D1245"/>
    </row>
    <row r="1246" spans="1:4" x14ac:dyDescent="0.3">
      <c r="A1246" s="4" t="s">
        <v>10</v>
      </c>
      <c r="B1246" s="4">
        <v>766</v>
      </c>
      <c r="D1246"/>
    </row>
    <row r="1247" spans="1:4" x14ac:dyDescent="0.3">
      <c r="A1247" s="4" t="s">
        <v>19</v>
      </c>
      <c r="B1247" s="4">
        <v>968</v>
      </c>
      <c r="D1247"/>
    </row>
    <row r="1248" spans="1:4" x14ac:dyDescent="0.3">
      <c r="A1248" s="4" t="s">
        <v>14</v>
      </c>
      <c r="B1248" s="4">
        <v>426</v>
      </c>
      <c r="D1248"/>
    </row>
    <row r="1249" spans="1:4" x14ac:dyDescent="0.3">
      <c r="A1249" s="4" t="s">
        <v>13</v>
      </c>
      <c r="B1249" s="4">
        <v>503</v>
      </c>
      <c r="D1249"/>
    </row>
    <row r="1250" spans="1:4" x14ac:dyDescent="0.3">
      <c r="A1250" s="4" t="s">
        <v>7</v>
      </c>
      <c r="B1250" s="4">
        <v>598</v>
      </c>
      <c r="D1250"/>
    </row>
    <row r="1251" spans="1:4" x14ac:dyDescent="0.3">
      <c r="A1251" s="4" t="s">
        <v>4</v>
      </c>
      <c r="B1251" s="4">
        <v>817</v>
      </c>
      <c r="D1251"/>
    </row>
    <row r="1252" spans="1:4" x14ac:dyDescent="0.3">
      <c r="A1252" s="4" t="s">
        <v>8</v>
      </c>
      <c r="B1252" s="4">
        <v>528</v>
      </c>
      <c r="D1252"/>
    </row>
    <row r="1253" spans="1:4" x14ac:dyDescent="0.3">
      <c r="A1253" s="4" t="s">
        <v>14</v>
      </c>
      <c r="B1253" s="4">
        <v>582</v>
      </c>
      <c r="D1253"/>
    </row>
    <row r="1254" spans="1:4" x14ac:dyDescent="0.3">
      <c r="A1254" s="4" t="s">
        <v>11</v>
      </c>
      <c r="B1254" s="4">
        <v>813</v>
      </c>
      <c r="D1254"/>
    </row>
    <row r="1255" spans="1:4" x14ac:dyDescent="0.3">
      <c r="A1255" s="4" t="s">
        <v>4</v>
      </c>
      <c r="B1255" s="4">
        <v>885</v>
      </c>
      <c r="D1255"/>
    </row>
    <row r="1256" spans="1:4" x14ac:dyDescent="0.3">
      <c r="A1256" s="4" t="s">
        <v>9</v>
      </c>
      <c r="B1256" s="4">
        <v>177</v>
      </c>
      <c r="D1256"/>
    </row>
    <row r="1257" spans="1:4" x14ac:dyDescent="0.3">
      <c r="A1257" s="4" t="s">
        <v>10</v>
      </c>
      <c r="B1257" s="4">
        <v>14</v>
      </c>
      <c r="D1257"/>
    </row>
    <row r="1258" spans="1:4" x14ac:dyDescent="0.3">
      <c r="A1258" s="4" t="s">
        <v>10</v>
      </c>
      <c r="B1258" s="4">
        <v>332</v>
      </c>
      <c r="D1258"/>
    </row>
    <row r="1259" spans="1:4" x14ac:dyDescent="0.3">
      <c r="A1259" s="4" t="s">
        <v>13</v>
      </c>
      <c r="B1259" s="4">
        <v>401</v>
      </c>
      <c r="D1259"/>
    </row>
    <row r="1260" spans="1:4" x14ac:dyDescent="0.3">
      <c r="A1260" s="4" t="s">
        <v>6</v>
      </c>
      <c r="B1260" s="4">
        <v>972</v>
      </c>
      <c r="D1260"/>
    </row>
    <row r="1261" spans="1:4" x14ac:dyDescent="0.3">
      <c r="A1261" s="4" t="s">
        <v>6</v>
      </c>
      <c r="B1261" s="4">
        <v>451</v>
      </c>
      <c r="D1261"/>
    </row>
    <row r="1262" spans="1:4" x14ac:dyDescent="0.3">
      <c r="A1262" s="4" t="s">
        <v>14</v>
      </c>
      <c r="B1262" s="4">
        <v>411</v>
      </c>
      <c r="D1262"/>
    </row>
    <row r="1263" spans="1:4" x14ac:dyDescent="0.3">
      <c r="A1263" s="4" t="s">
        <v>8</v>
      </c>
      <c r="B1263" s="4">
        <v>54</v>
      </c>
      <c r="D1263"/>
    </row>
    <row r="1264" spans="1:4" x14ac:dyDescent="0.3">
      <c r="A1264" s="4" t="s">
        <v>19</v>
      </c>
      <c r="B1264" s="4">
        <v>853</v>
      </c>
      <c r="D1264"/>
    </row>
    <row r="1265" spans="1:4" x14ac:dyDescent="0.3">
      <c r="A1265" s="4" t="s">
        <v>7</v>
      </c>
      <c r="B1265" s="4">
        <v>480</v>
      </c>
      <c r="D1265"/>
    </row>
    <row r="1266" spans="1:4" x14ac:dyDescent="0.3">
      <c r="A1266" s="4" t="s">
        <v>19</v>
      </c>
      <c r="B1266" s="4">
        <v>171</v>
      </c>
      <c r="D1266"/>
    </row>
    <row r="1267" spans="1:4" x14ac:dyDescent="0.3">
      <c r="A1267" s="4" t="s">
        <v>10</v>
      </c>
      <c r="B1267" s="4">
        <v>630</v>
      </c>
      <c r="D1267"/>
    </row>
    <row r="1268" spans="1:4" x14ac:dyDescent="0.3">
      <c r="A1268" s="4" t="s">
        <v>18</v>
      </c>
      <c r="B1268" s="4">
        <v>530</v>
      </c>
      <c r="D1268"/>
    </row>
    <row r="1269" spans="1:4" x14ac:dyDescent="0.3">
      <c r="A1269" s="4" t="s">
        <v>11</v>
      </c>
      <c r="B1269" s="4">
        <v>715</v>
      </c>
      <c r="D1269"/>
    </row>
    <row r="1270" spans="1:4" x14ac:dyDescent="0.3">
      <c r="A1270" s="4" t="s">
        <v>14</v>
      </c>
      <c r="B1270" s="4">
        <v>138</v>
      </c>
      <c r="D1270"/>
    </row>
    <row r="1271" spans="1:4" x14ac:dyDescent="0.3">
      <c r="A1271" s="4" t="s">
        <v>12</v>
      </c>
      <c r="B1271" s="4">
        <v>567</v>
      </c>
      <c r="D1271"/>
    </row>
    <row r="1272" spans="1:4" x14ac:dyDescent="0.3">
      <c r="A1272" s="4" t="s">
        <v>14</v>
      </c>
      <c r="B1272" s="4">
        <v>151</v>
      </c>
      <c r="D1272"/>
    </row>
    <row r="1273" spans="1:4" x14ac:dyDescent="0.3">
      <c r="A1273" s="4" t="s">
        <v>14</v>
      </c>
      <c r="B1273" s="4">
        <v>967</v>
      </c>
      <c r="D1273"/>
    </row>
    <row r="1274" spans="1:4" x14ac:dyDescent="0.3">
      <c r="A1274" s="4" t="s">
        <v>8</v>
      </c>
      <c r="B1274" s="4">
        <v>916</v>
      </c>
      <c r="D1274"/>
    </row>
    <row r="1275" spans="1:4" x14ac:dyDescent="0.3">
      <c r="A1275" s="4" t="s">
        <v>6</v>
      </c>
      <c r="B1275" s="4">
        <v>591</v>
      </c>
      <c r="D1275"/>
    </row>
    <row r="1276" spans="1:4" x14ac:dyDescent="0.3">
      <c r="A1276" s="4" t="s">
        <v>3</v>
      </c>
      <c r="B1276" s="4">
        <v>626</v>
      </c>
      <c r="D1276"/>
    </row>
    <row r="1277" spans="1:4" x14ac:dyDescent="0.3">
      <c r="A1277" s="4" t="s">
        <v>6</v>
      </c>
      <c r="B1277" s="4">
        <v>314</v>
      </c>
      <c r="D1277"/>
    </row>
    <row r="1278" spans="1:4" x14ac:dyDescent="0.3">
      <c r="A1278" s="4" t="s">
        <v>7</v>
      </c>
      <c r="B1278" s="4">
        <v>78</v>
      </c>
      <c r="D1278"/>
    </row>
    <row r="1279" spans="1:4" x14ac:dyDescent="0.3">
      <c r="A1279" s="4" t="s">
        <v>10</v>
      </c>
      <c r="B1279" s="4">
        <v>774</v>
      </c>
      <c r="D1279"/>
    </row>
    <row r="1280" spans="1:4" x14ac:dyDescent="0.3">
      <c r="A1280" s="4" t="s">
        <v>6</v>
      </c>
      <c r="B1280" s="4">
        <v>248</v>
      </c>
      <c r="D1280"/>
    </row>
    <row r="1281" spans="1:4" x14ac:dyDescent="0.3">
      <c r="A1281" s="4" t="s">
        <v>18</v>
      </c>
      <c r="B1281" s="4">
        <v>901</v>
      </c>
      <c r="D1281"/>
    </row>
    <row r="1282" spans="1:4" x14ac:dyDescent="0.3">
      <c r="A1282" s="4" t="s">
        <v>12</v>
      </c>
      <c r="B1282" s="4">
        <v>932</v>
      </c>
      <c r="D1282"/>
    </row>
    <row r="1283" spans="1:4" x14ac:dyDescent="0.3">
      <c r="A1283" s="4" t="s">
        <v>19</v>
      </c>
      <c r="B1283" s="4">
        <v>912</v>
      </c>
      <c r="D1283"/>
    </row>
    <row r="1284" spans="1:4" x14ac:dyDescent="0.3">
      <c r="A1284" s="4" t="s">
        <v>11</v>
      </c>
      <c r="B1284" s="4">
        <v>923</v>
      </c>
      <c r="D1284"/>
    </row>
    <row r="1285" spans="1:4" x14ac:dyDescent="0.3">
      <c r="A1285" s="4" t="s">
        <v>10</v>
      </c>
      <c r="B1285" s="4">
        <v>950</v>
      </c>
      <c r="D1285"/>
    </row>
    <row r="1286" spans="1:4" x14ac:dyDescent="0.3">
      <c r="A1286" s="4" t="s">
        <v>19</v>
      </c>
      <c r="B1286" s="4">
        <v>943</v>
      </c>
      <c r="D1286"/>
    </row>
    <row r="1287" spans="1:4" x14ac:dyDescent="0.3">
      <c r="A1287" s="4" t="s">
        <v>7</v>
      </c>
      <c r="B1287" s="4">
        <v>153</v>
      </c>
      <c r="D1287"/>
    </row>
    <row r="1288" spans="1:4" x14ac:dyDescent="0.3">
      <c r="A1288" s="4" t="s">
        <v>10</v>
      </c>
      <c r="B1288" s="4">
        <v>419</v>
      </c>
      <c r="D1288"/>
    </row>
    <row r="1289" spans="1:4" x14ac:dyDescent="0.3">
      <c r="A1289" s="4" t="s">
        <v>13</v>
      </c>
      <c r="B1289" s="4">
        <v>785</v>
      </c>
      <c r="D1289"/>
    </row>
    <row r="1290" spans="1:4" x14ac:dyDescent="0.3">
      <c r="A1290" s="4" t="s">
        <v>10</v>
      </c>
      <c r="B1290" s="4">
        <v>142</v>
      </c>
      <c r="D1290"/>
    </row>
    <row r="1291" spans="1:4" x14ac:dyDescent="0.3">
      <c r="A1291" s="4" t="s">
        <v>8</v>
      </c>
      <c r="B1291" s="4">
        <v>806</v>
      </c>
      <c r="D1291"/>
    </row>
    <row r="1292" spans="1:4" x14ac:dyDescent="0.3">
      <c r="A1292" s="4" t="s">
        <v>9</v>
      </c>
      <c r="B1292" s="4">
        <v>706</v>
      </c>
      <c r="D1292"/>
    </row>
    <row r="1293" spans="1:4" x14ac:dyDescent="0.3">
      <c r="A1293" s="4" t="s">
        <v>16</v>
      </c>
      <c r="B1293" s="4">
        <v>175</v>
      </c>
      <c r="D1293"/>
    </row>
    <row r="1294" spans="1:4" x14ac:dyDescent="0.3">
      <c r="A1294" s="4" t="s">
        <v>7</v>
      </c>
      <c r="B1294" s="4">
        <v>122</v>
      </c>
      <c r="D1294"/>
    </row>
    <row r="1295" spans="1:4" x14ac:dyDescent="0.3">
      <c r="A1295" s="4" t="s">
        <v>19</v>
      </c>
      <c r="B1295" s="4">
        <v>283</v>
      </c>
      <c r="D1295"/>
    </row>
    <row r="1296" spans="1:4" x14ac:dyDescent="0.3">
      <c r="A1296" s="4" t="s">
        <v>15</v>
      </c>
      <c r="B1296" s="4">
        <v>553</v>
      </c>
      <c r="D1296"/>
    </row>
    <row r="1297" spans="1:4" x14ac:dyDescent="0.3">
      <c r="A1297" s="4" t="s">
        <v>6</v>
      </c>
      <c r="B1297" s="4">
        <v>755</v>
      </c>
      <c r="D1297"/>
    </row>
    <row r="1298" spans="1:4" x14ac:dyDescent="0.3">
      <c r="A1298" s="4" t="s">
        <v>7</v>
      </c>
      <c r="B1298" s="4">
        <v>834</v>
      </c>
      <c r="D1298"/>
    </row>
    <row r="1299" spans="1:4" x14ac:dyDescent="0.3">
      <c r="A1299" s="4" t="s">
        <v>18</v>
      </c>
      <c r="B1299" s="4">
        <v>714</v>
      </c>
      <c r="D1299"/>
    </row>
    <row r="1300" spans="1:4" x14ac:dyDescent="0.3">
      <c r="A1300" s="4" t="s">
        <v>10</v>
      </c>
      <c r="B1300" s="4">
        <v>998</v>
      </c>
      <c r="D1300"/>
    </row>
    <row r="1301" spans="1:4" x14ac:dyDescent="0.3">
      <c r="A1301" s="4" t="s">
        <v>17</v>
      </c>
      <c r="B1301" s="4">
        <v>354</v>
      </c>
      <c r="D1301"/>
    </row>
    <row r="1302" spans="1:4" x14ac:dyDescent="0.3">
      <c r="A1302" s="4" t="s">
        <v>17</v>
      </c>
      <c r="B1302" s="4">
        <v>763</v>
      </c>
      <c r="D1302"/>
    </row>
    <row r="1303" spans="1:4" x14ac:dyDescent="0.3">
      <c r="A1303" s="4" t="s">
        <v>19</v>
      </c>
      <c r="B1303" s="4">
        <v>965</v>
      </c>
      <c r="D1303"/>
    </row>
    <row r="1304" spans="1:4" x14ac:dyDescent="0.3">
      <c r="A1304" s="4" t="s">
        <v>15</v>
      </c>
      <c r="B1304" s="4">
        <v>952</v>
      </c>
      <c r="D1304"/>
    </row>
    <row r="1305" spans="1:4" x14ac:dyDescent="0.3">
      <c r="A1305" s="4" t="s">
        <v>7</v>
      </c>
      <c r="B1305" s="4">
        <v>224</v>
      </c>
      <c r="D1305"/>
    </row>
    <row r="1306" spans="1:4" x14ac:dyDescent="0.3">
      <c r="A1306" s="4" t="s">
        <v>7</v>
      </c>
      <c r="B1306" s="4">
        <v>417</v>
      </c>
      <c r="D1306"/>
    </row>
    <row r="1307" spans="1:4" x14ac:dyDescent="0.3">
      <c r="A1307" s="4" t="s">
        <v>13</v>
      </c>
      <c r="B1307" s="4">
        <v>455</v>
      </c>
      <c r="D1307"/>
    </row>
    <row r="1308" spans="1:4" x14ac:dyDescent="0.3">
      <c r="A1308" s="4" t="s">
        <v>14</v>
      </c>
      <c r="B1308" s="4">
        <v>685</v>
      </c>
      <c r="D1308"/>
    </row>
    <row r="1309" spans="1:4" x14ac:dyDescent="0.3">
      <c r="A1309" s="4" t="s">
        <v>11</v>
      </c>
      <c r="B1309" s="4">
        <v>309</v>
      </c>
      <c r="D1309"/>
    </row>
    <row r="1310" spans="1:4" x14ac:dyDescent="0.3">
      <c r="A1310" s="4" t="s">
        <v>17</v>
      </c>
      <c r="B1310" s="4">
        <v>118</v>
      </c>
      <c r="D1310"/>
    </row>
    <row r="1311" spans="1:4" x14ac:dyDescent="0.3">
      <c r="A1311" s="4" t="s">
        <v>13</v>
      </c>
      <c r="B1311" s="4">
        <v>774</v>
      </c>
      <c r="D1311"/>
    </row>
    <row r="1312" spans="1:4" x14ac:dyDescent="0.3">
      <c r="A1312" s="4" t="s">
        <v>19</v>
      </c>
      <c r="B1312" s="4">
        <v>390</v>
      </c>
      <c r="D1312"/>
    </row>
    <row r="1313" spans="1:4" x14ac:dyDescent="0.3">
      <c r="A1313" s="4" t="s">
        <v>16</v>
      </c>
      <c r="B1313" s="4">
        <v>851</v>
      </c>
      <c r="D1313"/>
    </row>
    <row r="1314" spans="1:4" x14ac:dyDescent="0.3">
      <c r="A1314" s="4" t="s">
        <v>10</v>
      </c>
      <c r="B1314" s="4">
        <v>990</v>
      </c>
      <c r="D1314"/>
    </row>
    <row r="1315" spans="1:4" x14ac:dyDescent="0.3">
      <c r="A1315" s="4" t="s">
        <v>10</v>
      </c>
      <c r="B1315" s="4">
        <v>336</v>
      </c>
      <c r="D1315"/>
    </row>
    <row r="1316" spans="1:4" x14ac:dyDescent="0.3">
      <c r="A1316" s="4" t="s">
        <v>15</v>
      </c>
      <c r="B1316" s="4">
        <v>686</v>
      </c>
      <c r="D1316"/>
    </row>
    <row r="1317" spans="1:4" x14ac:dyDescent="0.3">
      <c r="A1317" s="4" t="s">
        <v>4</v>
      </c>
      <c r="B1317" s="4">
        <v>806</v>
      </c>
      <c r="D1317"/>
    </row>
    <row r="1318" spans="1:4" x14ac:dyDescent="0.3">
      <c r="A1318" s="4" t="s">
        <v>7</v>
      </c>
      <c r="B1318" s="4">
        <v>396</v>
      </c>
      <c r="D1318"/>
    </row>
    <row r="1319" spans="1:4" x14ac:dyDescent="0.3">
      <c r="A1319" s="4" t="s">
        <v>7</v>
      </c>
      <c r="B1319" s="4">
        <v>11</v>
      </c>
      <c r="D1319"/>
    </row>
    <row r="1320" spans="1:4" x14ac:dyDescent="0.3">
      <c r="A1320" s="4" t="s">
        <v>10</v>
      </c>
      <c r="B1320" s="4">
        <v>954</v>
      </c>
      <c r="D1320"/>
    </row>
    <row r="1321" spans="1:4" x14ac:dyDescent="0.3">
      <c r="A1321" s="4" t="s">
        <v>9</v>
      </c>
      <c r="B1321" s="4">
        <v>425</v>
      </c>
      <c r="D1321"/>
    </row>
    <row r="1322" spans="1:4" x14ac:dyDescent="0.3">
      <c r="A1322" s="4" t="s">
        <v>17</v>
      </c>
      <c r="B1322" s="4">
        <v>391</v>
      </c>
      <c r="D1322"/>
    </row>
    <row r="1323" spans="1:4" x14ac:dyDescent="0.3">
      <c r="A1323" s="4" t="s">
        <v>4</v>
      </c>
      <c r="B1323" s="4">
        <v>854</v>
      </c>
      <c r="D1323"/>
    </row>
    <row r="1324" spans="1:4" x14ac:dyDescent="0.3">
      <c r="A1324" s="4" t="s">
        <v>19</v>
      </c>
      <c r="B1324" s="4" t="e">
        <v>#N/A</v>
      </c>
      <c r="D1324"/>
    </row>
    <row r="1325" spans="1:4" x14ac:dyDescent="0.3">
      <c r="A1325" s="4" t="s">
        <v>7</v>
      </c>
      <c r="B1325" s="4">
        <v>615</v>
      </c>
      <c r="D1325"/>
    </row>
    <row r="1326" spans="1:4" x14ac:dyDescent="0.3">
      <c r="A1326" s="4" t="s">
        <v>17</v>
      </c>
      <c r="B1326" s="4">
        <v>689</v>
      </c>
      <c r="D1326"/>
    </row>
    <row r="1327" spans="1:4" x14ac:dyDescent="0.3">
      <c r="A1327" s="4" t="s">
        <v>9</v>
      </c>
      <c r="B1327" s="4">
        <v>385</v>
      </c>
      <c r="D1327"/>
    </row>
    <row r="1328" spans="1:4" x14ac:dyDescent="0.3">
      <c r="A1328" s="4" t="s">
        <v>19</v>
      </c>
      <c r="B1328" s="4">
        <v>838</v>
      </c>
      <c r="D1328"/>
    </row>
    <row r="1329" spans="1:4" x14ac:dyDescent="0.3">
      <c r="A1329" s="4" t="s">
        <v>14</v>
      </c>
      <c r="B1329" s="4">
        <v>384</v>
      </c>
      <c r="D1329"/>
    </row>
    <row r="1330" spans="1:4" x14ac:dyDescent="0.3">
      <c r="A1330" s="4" t="s">
        <v>13</v>
      </c>
      <c r="B1330" s="4">
        <v>517</v>
      </c>
      <c r="D1330"/>
    </row>
    <row r="1331" spans="1:4" x14ac:dyDescent="0.3">
      <c r="A1331" s="4" t="s">
        <v>17</v>
      </c>
      <c r="B1331" s="4">
        <v>537</v>
      </c>
      <c r="D1331"/>
    </row>
    <row r="1332" spans="1:4" x14ac:dyDescent="0.3">
      <c r="A1332" s="4" t="s">
        <v>7</v>
      </c>
      <c r="B1332" s="4">
        <v>732</v>
      </c>
      <c r="D1332"/>
    </row>
    <row r="1333" spans="1:4" x14ac:dyDescent="0.3">
      <c r="A1333" s="4" t="s">
        <v>3</v>
      </c>
      <c r="B1333" s="4">
        <v>236</v>
      </c>
      <c r="D1333"/>
    </row>
    <row r="1334" spans="1:4" x14ac:dyDescent="0.3">
      <c r="A1334" s="4" t="s">
        <v>18</v>
      </c>
      <c r="B1334" s="6">
        <v>128</v>
      </c>
      <c r="D1334"/>
    </row>
    <row r="1335" spans="1:4" x14ac:dyDescent="0.3">
      <c r="A1335" s="4" t="s">
        <v>10</v>
      </c>
      <c r="B1335" s="4" t="e">
        <v>#REF!</v>
      </c>
      <c r="D1335"/>
    </row>
    <row r="1336" spans="1:4" x14ac:dyDescent="0.3">
      <c r="A1336" s="4" t="s">
        <v>9</v>
      </c>
      <c r="B1336" s="4">
        <v>602</v>
      </c>
      <c r="D1336"/>
    </row>
    <row r="1337" spans="1:4" x14ac:dyDescent="0.3">
      <c r="A1337" s="4" t="s">
        <v>9</v>
      </c>
      <c r="B1337" s="4">
        <v>989</v>
      </c>
      <c r="D1337"/>
    </row>
    <row r="1338" spans="1:4" x14ac:dyDescent="0.3">
      <c r="A1338" s="4" t="s">
        <v>18</v>
      </c>
      <c r="B1338" s="4">
        <v>145</v>
      </c>
      <c r="D1338"/>
    </row>
    <row r="1339" spans="1:4" x14ac:dyDescent="0.3">
      <c r="A1339" s="4" t="s">
        <v>9</v>
      </c>
      <c r="B1339" s="4">
        <v>262</v>
      </c>
      <c r="D1339"/>
    </row>
    <row r="1340" spans="1:4" x14ac:dyDescent="0.3">
      <c r="A1340" s="4" t="s">
        <v>13</v>
      </c>
      <c r="B1340" s="4">
        <v>711</v>
      </c>
      <c r="D1340"/>
    </row>
    <row r="1341" spans="1:4" x14ac:dyDescent="0.3">
      <c r="A1341" s="4" t="s">
        <v>4</v>
      </c>
      <c r="B1341" s="4">
        <v>400</v>
      </c>
      <c r="D1341"/>
    </row>
    <row r="1342" spans="1:4" x14ac:dyDescent="0.3">
      <c r="A1342" s="4" t="s">
        <v>14</v>
      </c>
      <c r="B1342" s="4">
        <v>827</v>
      </c>
      <c r="D1342"/>
    </row>
    <row r="1343" spans="1:4" x14ac:dyDescent="0.3">
      <c r="A1343" s="4" t="s">
        <v>3</v>
      </c>
      <c r="B1343" s="4">
        <v>581</v>
      </c>
      <c r="D1343"/>
    </row>
    <row r="1344" spans="1:4" x14ac:dyDescent="0.3">
      <c r="A1344" s="4" t="s">
        <v>8</v>
      </c>
      <c r="B1344" s="4" t="e">
        <v>#REF!</v>
      </c>
      <c r="D1344"/>
    </row>
    <row r="1345" spans="1:4" x14ac:dyDescent="0.3">
      <c r="A1345" s="4" t="s">
        <v>8</v>
      </c>
      <c r="B1345" s="4">
        <v>793</v>
      </c>
      <c r="D1345"/>
    </row>
    <row r="1346" spans="1:4" x14ac:dyDescent="0.3">
      <c r="A1346" s="4" t="s">
        <v>11</v>
      </c>
      <c r="B1346" s="4">
        <v>785</v>
      </c>
      <c r="D1346"/>
    </row>
    <row r="1347" spans="1:4" x14ac:dyDescent="0.3">
      <c r="A1347" s="4" t="s">
        <v>4</v>
      </c>
      <c r="B1347" s="4">
        <v>426</v>
      </c>
      <c r="D1347"/>
    </row>
    <row r="1348" spans="1:4" x14ac:dyDescent="0.3">
      <c r="A1348" s="4" t="s">
        <v>3</v>
      </c>
      <c r="B1348" s="4">
        <v>661</v>
      </c>
      <c r="D1348"/>
    </row>
    <row r="1349" spans="1:4" x14ac:dyDescent="0.3">
      <c r="A1349" s="4" t="s">
        <v>12</v>
      </c>
      <c r="B1349" s="4">
        <v>475</v>
      </c>
      <c r="D1349"/>
    </row>
    <row r="1350" spans="1:4" x14ac:dyDescent="0.3">
      <c r="A1350" s="4" t="s">
        <v>3</v>
      </c>
      <c r="B1350" s="4">
        <v>420</v>
      </c>
      <c r="D1350"/>
    </row>
    <row r="1351" spans="1:4" x14ac:dyDescent="0.3">
      <c r="A1351" s="4" t="s">
        <v>14</v>
      </c>
      <c r="B1351" s="4">
        <v>752</v>
      </c>
      <c r="D1351"/>
    </row>
    <row r="1352" spans="1:4" x14ac:dyDescent="0.3">
      <c r="A1352" s="4" t="s">
        <v>12</v>
      </c>
      <c r="B1352" s="4">
        <v>617</v>
      </c>
      <c r="D1352"/>
    </row>
    <row r="1353" spans="1:4" x14ac:dyDescent="0.3">
      <c r="A1353" s="4" t="s">
        <v>14</v>
      </c>
      <c r="B1353" s="4">
        <v>975</v>
      </c>
      <c r="D1353"/>
    </row>
    <row r="1354" spans="1:4" x14ac:dyDescent="0.3">
      <c r="A1354" s="4" t="s">
        <v>10</v>
      </c>
      <c r="B1354" s="4">
        <v>903</v>
      </c>
      <c r="D1354"/>
    </row>
    <row r="1355" spans="1:4" x14ac:dyDescent="0.3">
      <c r="A1355" s="4" t="s">
        <v>10</v>
      </c>
      <c r="B1355" s="4">
        <v>340</v>
      </c>
      <c r="D1355"/>
    </row>
    <row r="1356" spans="1:4" x14ac:dyDescent="0.3">
      <c r="A1356" s="4" t="s">
        <v>3</v>
      </c>
      <c r="B1356" s="4">
        <v>533</v>
      </c>
      <c r="D1356"/>
    </row>
    <row r="1357" spans="1:4" x14ac:dyDescent="0.3">
      <c r="A1357" s="4" t="s">
        <v>19</v>
      </c>
      <c r="B1357" s="4">
        <v>344</v>
      </c>
      <c r="D1357"/>
    </row>
    <row r="1358" spans="1:4" x14ac:dyDescent="0.3">
      <c r="A1358" s="4" t="s">
        <v>16</v>
      </c>
      <c r="B1358" s="4">
        <v>126</v>
      </c>
      <c r="D1358"/>
    </row>
    <row r="1359" spans="1:4" x14ac:dyDescent="0.3">
      <c r="A1359" s="4" t="s">
        <v>11</v>
      </c>
      <c r="B1359" s="4" t="e">
        <v>#N/A</v>
      </c>
      <c r="D1359"/>
    </row>
    <row r="1360" spans="1:4" x14ac:dyDescent="0.3">
      <c r="A1360" s="4" t="s">
        <v>10</v>
      </c>
      <c r="B1360" s="4">
        <v>647</v>
      </c>
      <c r="D1360"/>
    </row>
    <row r="1361" spans="1:4" x14ac:dyDescent="0.3">
      <c r="A1361" s="4" t="s">
        <v>15</v>
      </c>
      <c r="B1361" s="4">
        <v>652</v>
      </c>
      <c r="D1361"/>
    </row>
    <row r="1362" spans="1:4" x14ac:dyDescent="0.3">
      <c r="A1362" s="4" t="s">
        <v>17</v>
      </c>
      <c r="B1362" s="4">
        <v>749</v>
      </c>
      <c r="D1362"/>
    </row>
    <row r="1363" spans="1:4" x14ac:dyDescent="0.3">
      <c r="A1363" s="4" t="s">
        <v>13</v>
      </c>
      <c r="B1363" s="4">
        <v>147</v>
      </c>
      <c r="D1363"/>
    </row>
    <row r="1364" spans="1:4" x14ac:dyDescent="0.3">
      <c r="A1364" s="4" t="s">
        <v>10</v>
      </c>
      <c r="B1364" s="4">
        <v>383</v>
      </c>
      <c r="D1364"/>
    </row>
    <row r="1365" spans="1:4" x14ac:dyDescent="0.3">
      <c r="A1365" s="4" t="s">
        <v>12</v>
      </c>
      <c r="B1365" s="4">
        <v>563</v>
      </c>
      <c r="D1365"/>
    </row>
    <row r="1366" spans="1:4" x14ac:dyDescent="0.3">
      <c r="A1366" s="4" t="s">
        <v>4</v>
      </c>
      <c r="B1366" s="4">
        <v>334</v>
      </c>
      <c r="D1366"/>
    </row>
    <row r="1367" spans="1:4" x14ac:dyDescent="0.3">
      <c r="A1367" s="4" t="s">
        <v>15</v>
      </c>
      <c r="B1367" s="4">
        <v>228</v>
      </c>
      <c r="D1367"/>
    </row>
    <row r="1368" spans="1:4" x14ac:dyDescent="0.3">
      <c r="A1368" s="4" t="s">
        <v>16</v>
      </c>
      <c r="B1368" s="4">
        <v>270</v>
      </c>
      <c r="D1368"/>
    </row>
    <row r="1369" spans="1:4" x14ac:dyDescent="0.3">
      <c r="A1369" s="4" t="s">
        <v>17</v>
      </c>
      <c r="B1369" s="4">
        <v>745</v>
      </c>
      <c r="D1369"/>
    </row>
    <row r="1370" spans="1:4" x14ac:dyDescent="0.3">
      <c r="A1370" s="4" t="s">
        <v>11</v>
      </c>
      <c r="B1370" s="4">
        <v>883</v>
      </c>
      <c r="D1370"/>
    </row>
    <row r="1371" spans="1:4" x14ac:dyDescent="0.3">
      <c r="A1371" s="4" t="s">
        <v>15</v>
      </c>
      <c r="B1371" s="4">
        <v>238</v>
      </c>
      <c r="D1371"/>
    </row>
    <row r="1372" spans="1:4" x14ac:dyDescent="0.3">
      <c r="A1372" s="4" t="s">
        <v>6</v>
      </c>
      <c r="B1372" s="4">
        <v>95</v>
      </c>
      <c r="D1372"/>
    </row>
    <row r="1373" spans="1:4" x14ac:dyDescent="0.3">
      <c r="A1373" s="4" t="s">
        <v>11</v>
      </c>
      <c r="B1373" s="4">
        <v>363</v>
      </c>
      <c r="D1373"/>
    </row>
    <row r="1374" spans="1:4" x14ac:dyDescent="0.3">
      <c r="A1374" s="4" t="s">
        <v>15</v>
      </c>
      <c r="B1374" s="4">
        <v>981</v>
      </c>
      <c r="D1374"/>
    </row>
    <row r="1375" spans="1:4" x14ac:dyDescent="0.3">
      <c r="A1375" s="4" t="s">
        <v>19</v>
      </c>
      <c r="B1375" s="4">
        <v>610</v>
      </c>
      <c r="D1375"/>
    </row>
    <row r="1376" spans="1:4" x14ac:dyDescent="0.3">
      <c r="A1376" s="4" t="s">
        <v>13</v>
      </c>
      <c r="B1376" s="4">
        <v>920</v>
      </c>
      <c r="D1376"/>
    </row>
    <row r="1377" spans="1:4" x14ac:dyDescent="0.3">
      <c r="A1377" s="4" t="s">
        <v>19</v>
      </c>
      <c r="B1377" s="4">
        <v>982</v>
      </c>
      <c r="D1377"/>
    </row>
    <row r="1378" spans="1:4" x14ac:dyDescent="0.3">
      <c r="A1378" s="4" t="s">
        <v>17</v>
      </c>
      <c r="B1378" s="4">
        <v>252</v>
      </c>
      <c r="D1378"/>
    </row>
    <row r="1379" spans="1:4" x14ac:dyDescent="0.3">
      <c r="A1379" s="4" t="s">
        <v>4</v>
      </c>
      <c r="B1379" s="4">
        <v>243</v>
      </c>
      <c r="D1379"/>
    </row>
    <row r="1380" spans="1:4" x14ac:dyDescent="0.3">
      <c r="A1380" s="4" t="s">
        <v>11</v>
      </c>
      <c r="B1380" s="4">
        <v>339</v>
      </c>
      <c r="D1380"/>
    </row>
    <row r="1381" spans="1:4" x14ac:dyDescent="0.3">
      <c r="A1381" s="4" t="s">
        <v>4</v>
      </c>
      <c r="B1381" s="6">
        <v>387</v>
      </c>
      <c r="D1381"/>
    </row>
    <row r="1382" spans="1:4" x14ac:dyDescent="0.3">
      <c r="A1382" s="4" t="s">
        <v>4</v>
      </c>
      <c r="B1382" s="4" t="e">
        <v>#REF!</v>
      </c>
      <c r="D1382"/>
    </row>
    <row r="1383" spans="1:4" x14ac:dyDescent="0.3">
      <c r="A1383" s="4" t="s">
        <v>13</v>
      </c>
      <c r="B1383" s="4">
        <v>968</v>
      </c>
      <c r="D1383"/>
    </row>
    <row r="1384" spans="1:4" x14ac:dyDescent="0.3">
      <c r="A1384" s="4" t="s">
        <v>12</v>
      </c>
      <c r="B1384" s="4">
        <v>818</v>
      </c>
      <c r="D1384"/>
    </row>
    <row r="1385" spans="1:4" x14ac:dyDescent="0.3">
      <c r="A1385" s="4" t="s">
        <v>3</v>
      </c>
      <c r="B1385" s="4">
        <v>395</v>
      </c>
      <c r="D1385"/>
    </row>
    <row r="1386" spans="1:4" x14ac:dyDescent="0.3">
      <c r="A1386" s="4" t="s">
        <v>15</v>
      </c>
      <c r="B1386" s="4">
        <v>104</v>
      </c>
      <c r="D1386"/>
    </row>
    <row r="1387" spans="1:4" x14ac:dyDescent="0.3">
      <c r="A1387" s="4" t="s">
        <v>19</v>
      </c>
      <c r="B1387" s="4">
        <v>201</v>
      </c>
      <c r="D1387"/>
    </row>
    <row r="1388" spans="1:4" x14ac:dyDescent="0.3">
      <c r="A1388" s="4" t="s">
        <v>7</v>
      </c>
      <c r="B1388" s="4">
        <v>942</v>
      </c>
      <c r="D1388"/>
    </row>
    <row r="1389" spans="1:4" x14ac:dyDescent="0.3">
      <c r="A1389" s="4" t="s">
        <v>19</v>
      </c>
      <c r="B1389" s="4">
        <v>256</v>
      </c>
      <c r="D1389"/>
    </row>
    <row r="1390" spans="1:4" x14ac:dyDescent="0.3">
      <c r="A1390" s="4" t="s">
        <v>3</v>
      </c>
      <c r="B1390" s="4">
        <v>870</v>
      </c>
      <c r="D1390"/>
    </row>
    <row r="1391" spans="1:4" x14ac:dyDescent="0.3">
      <c r="A1391" s="4" t="s">
        <v>8</v>
      </c>
      <c r="B1391" s="4">
        <v>824</v>
      </c>
      <c r="D1391"/>
    </row>
    <row r="1392" spans="1:4" x14ac:dyDescent="0.3">
      <c r="A1392" s="4" t="s">
        <v>10</v>
      </c>
      <c r="B1392" s="4">
        <v>855</v>
      </c>
      <c r="D1392"/>
    </row>
    <row r="1393" spans="1:4" x14ac:dyDescent="0.3">
      <c r="A1393" s="4" t="s">
        <v>10</v>
      </c>
      <c r="B1393" s="4">
        <v>457</v>
      </c>
      <c r="D1393"/>
    </row>
    <row r="1394" spans="1:4" x14ac:dyDescent="0.3">
      <c r="A1394" s="4" t="s">
        <v>16</v>
      </c>
      <c r="B1394" s="4">
        <v>675</v>
      </c>
      <c r="D1394"/>
    </row>
    <row r="1395" spans="1:4" x14ac:dyDescent="0.3">
      <c r="A1395" s="4" t="s">
        <v>8</v>
      </c>
      <c r="B1395" s="4">
        <v>435</v>
      </c>
      <c r="D1395"/>
    </row>
    <row r="1396" spans="1:4" x14ac:dyDescent="0.3">
      <c r="A1396" s="4" t="s">
        <v>10</v>
      </c>
      <c r="B1396" s="4">
        <v>411</v>
      </c>
      <c r="D1396"/>
    </row>
    <row r="1397" spans="1:4" x14ac:dyDescent="0.3">
      <c r="A1397" s="4" t="s">
        <v>15</v>
      </c>
      <c r="B1397" s="4">
        <v>264</v>
      </c>
      <c r="D1397"/>
    </row>
    <row r="1398" spans="1:4" x14ac:dyDescent="0.3">
      <c r="A1398" s="4" t="s">
        <v>4</v>
      </c>
      <c r="B1398" s="4">
        <v>895</v>
      </c>
      <c r="D1398"/>
    </row>
    <row r="1399" spans="1:4" x14ac:dyDescent="0.3">
      <c r="A1399" s="4" t="s">
        <v>9</v>
      </c>
      <c r="B1399" s="4">
        <v>362</v>
      </c>
      <c r="D1399"/>
    </row>
    <row r="1400" spans="1:4" x14ac:dyDescent="0.3">
      <c r="A1400" s="4" t="s">
        <v>3</v>
      </c>
      <c r="B1400" s="4">
        <v>118</v>
      </c>
      <c r="D1400"/>
    </row>
    <row r="1401" spans="1:4" x14ac:dyDescent="0.3">
      <c r="A1401" s="4" t="s">
        <v>17</v>
      </c>
      <c r="B1401" s="4">
        <v>811</v>
      </c>
      <c r="D1401"/>
    </row>
    <row r="1402" spans="1:4" x14ac:dyDescent="0.3">
      <c r="A1402" s="4" t="s">
        <v>6</v>
      </c>
      <c r="B1402" s="4">
        <v>928</v>
      </c>
      <c r="D1402"/>
    </row>
    <row r="1403" spans="1:4" x14ac:dyDescent="0.3">
      <c r="A1403" s="4" t="s">
        <v>13</v>
      </c>
      <c r="B1403" s="4">
        <v>602</v>
      </c>
      <c r="D1403"/>
    </row>
    <row r="1404" spans="1:4" x14ac:dyDescent="0.3">
      <c r="A1404" s="4" t="s">
        <v>6</v>
      </c>
      <c r="B1404" s="4">
        <v>835</v>
      </c>
      <c r="D1404"/>
    </row>
    <row r="1405" spans="1:4" x14ac:dyDescent="0.3">
      <c r="A1405" s="4" t="s">
        <v>19</v>
      </c>
      <c r="B1405" s="4">
        <v>122</v>
      </c>
      <c r="D1405"/>
    </row>
    <row r="1406" spans="1:4" x14ac:dyDescent="0.3">
      <c r="A1406" s="4" t="s">
        <v>10</v>
      </c>
      <c r="B1406" s="4">
        <v>421</v>
      </c>
      <c r="D1406"/>
    </row>
    <row r="1407" spans="1:4" x14ac:dyDescent="0.3">
      <c r="A1407" s="4" t="s">
        <v>4</v>
      </c>
      <c r="B1407" s="4">
        <v>709</v>
      </c>
      <c r="D1407"/>
    </row>
    <row r="1408" spans="1:4" x14ac:dyDescent="0.3">
      <c r="A1408" s="4" t="s">
        <v>18</v>
      </c>
      <c r="B1408" s="4">
        <v>765</v>
      </c>
      <c r="D1408"/>
    </row>
    <row r="1409" spans="1:4" x14ac:dyDescent="0.3">
      <c r="A1409" s="4" t="s">
        <v>17</v>
      </c>
      <c r="B1409" s="4">
        <v>630</v>
      </c>
      <c r="D1409"/>
    </row>
    <row r="1410" spans="1:4" x14ac:dyDescent="0.3">
      <c r="A1410" s="4" t="s">
        <v>16</v>
      </c>
      <c r="B1410" s="4">
        <v>593</v>
      </c>
      <c r="D1410"/>
    </row>
    <row r="1411" spans="1:4" x14ac:dyDescent="0.3">
      <c r="A1411" s="4" t="s">
        <v>7</v>
      </c>
      <c r="B1411" s="4">
        <v>975</v>
      </c>
      <c r="D1411"/>
    </row>
    <row r="1412" spans="1:4" x14ac:dyDescent="0.3">
      <c r="A1412" s="4" t="s">
        <v>7</v>
      </c>
      <c r="B1412" s="4">
        <v>453</v>
      </c>
      <c r="D1412"/>
    </row>
    <row r="1413" spans="1:4" x14ac:dyDescent="0.3">
      <c r="A1413" s="4" t="s">
        <v>17</v>
      </c>
      <c r="B1413" s="4">
        <v>487</v>
      </c>
      <c r="D1413"/>
    </row>
    <row r="1414" spans="1:4" x14ac:dyDescent="0.3">
      <c r="A1414" s="4" t="s">
        <v>19</v>
      </c>
      <c r="B1414" s="4">
        <v>225</v>
      </c>
      <c r="D1414"/>
    </row>
    <row r="1415" spans="1:4" x14ac:dyDescent="0.3">
      <c r="A1415" s="4" t="s">
        <v>13</v>
      </c>
      <c r="B1415" s="4">
        <v>447</v>
      </c>
      <c r="D1415"/>
    </row>
    <row r="1416" spans="1:4" x14ac:dyDescent="0.3">
      <c r="A1416" s="4" t="s">
        <v>10</v>
      </c>
      <c r="B1416" s="4">
        <v>768</v>
      </c>
      <c r="D1416"/>
    </row>
    <row r="1417" spans="1:4" x14ac:dyDescent="0.3">
      <c r="A1417" s="4" t="s">
        <v>8</v>
      </c>
      <c r="B1417" s="4">
        <v>809</v>
      </c>
      <c r="D1417"/>
    </row>
    <row r="1418" spans="1:4" x14ac:dyDescent="0.3">
      <c r="A1418" s="4" t="s">
        <v>13</v>
      </c>
      <c r="B1418" s="4">
        <v>874</v>
      </c>
      <c r="D1418"/>
    </row>
    <row r="1419" spans="1:4" x14ac:dyDescent="0.3">
      <c r="A1419" s="4" t="s">
        <v>19</v>
      </c>
      <c r="B1419" s="4">
        <v>520</v>
      </c>
      <c r="D1419"/>
    </row>
    <row r="1420" spans="1:4" x14ac:dyDescent="0.3">
      <c r="A1420" s="4" t="s">
        <v>16</v>
      </c>
      <c r="B1420" s="4">
        <v>737</v>
      </c>
      <c r="D1420"/>
    </row>
    <row r="1421" spans="1:4" x14ac:dyDescent="0.3">
      <c r="A1421" s="4" t="s">
        <v>13</v>
      </c>
      <c r="B1421" s="4">
        <v>920</v>
      </c>
      <c r="D1421"/>
    </row>
    <row r="1422" spans="1:4" x14ac:dyDescent="0.3">
      <c r="A1422" s="4" t="s">
        <v>7</v>
      </c>
      <c r="B1422" s="4">
        <v>617</v>
      </c>
      <c r="D1422"/>
    </row>
    <row r="1423" spans="1:4" x14ac:dyDescent="0.3">
      <c r="A1423" s="4" t="s">
        <v>6</v>
      </c>
      <c r="B1423" s="4">
        <v>855</v>
      </c>
      <c r="D1423"/>
    </row>
    <row r="1424" spans="1:4" x14ac:dyDescent="0.3">
      <c r="A1424" s="4" t="s">
        <v>19</v>
      </c>
      <c r="B1424" s="4">
        <v>943</v>
      </c>
      <c r="D1424"/>
    </row>
    <row r="1425" spans="1:4" x14ac:dyDescent="0.3">
      <c r="A1425" s="4" t="s">
        <v>6</v>
      </c>
      <c r="B1425" s="4">
        <v>464</v>
      </c>
      <c r="D1425"/>
    </row>
    <row r="1426" spans="1:4" x14ac:dyDescent="0.3">
      <c r="A1426" s="4" t="s">
        <v>18</v>
      </c>
      <c r="B1426" s="4">
        <v>214</v>
      </c>
      <c r="D1426"/>
    </row>
    <row r="1427" spans="1:4" x14ac:dyDescent="0.3">
      <c r="A1427" s="4" t="s">
        <v>19</v>
      </c>
      <c r="B1427" s="4">
        <v>593</v>
      </c>
      <c r="D1427"/>
    </row>
    <row r="1428" spans="1:4" x14ac:dyDescent="0.3">
      <c r="A1428" s="4" t="s">
        <v>15</v>
      </c>
      <c r="B1428" s="4">
        <v>597</v>
      </c>
      <c r="D1428"/>
    </row>
    <row r="1429" spans="1:4" x14ac:dyDescent="0.3">
      <c r="A1429" s="4" t="s">
        <v>10</v>
      </c>
      <c r="B1429" s="4">
        <v>514</v>
      </c>
      <c r="D1429"/>
    </row>
    <row r="1430" spans="1:4" x14ac:dyDescent="0.3">
      <c r="A1430" s="4" t="s">
        <v>7</v>
      </c>
      <c r="B1430" s="4">
        <v>544</v>
      </c>
      <c r="D1430"/>
    </row>
    <row r="1431" spans="1:4" x14ac:dyDescent="0.3">
      <c r="A1431" s="4" t="s">
        <v>19</v>
      </c>
      <c r="B1431" s="4">
        <v>681</v>
      </c>
      <c r="D1431"/>
    </row>
    <row r="1432" spans="1:4" x14ac:dyDescent="0.3">
      <c r="A1432" s="4" t="s">
        <v>10</v>
      </c>
      <c r="B1432" s="4">
        <v>108</v>
      </c>
      <c r="D1432"/>
    </row>
    <row r="1433" spans="1:4" x14ac:dyDescent="0.3">
      <c r="A1433" s="4" t="s">
        <v>8</v>
      </c>
      <c r="B1433" s="4">
        <v>864</v>
      </c>
      <c r="D1433"/>
    </row>
    <row r="1434" spans="1:4" x14ac:dyDescent="0.3">
      <c r="A1434" s="4" t="s">
        <v>9</v>
      </c>
      <c r="B1434" s="4">
        <v>472</v>
      </c>
      <c r="D1434"/>
    </row>
    <row r="1435" spans="1:4" x14ac:dyDescent="0.3">
      <c r="A1435" s="4" t="s">
        <v>18</v>
      </c>
      <c r="B1435" s="4">
        <v>570</v>
      </c>
      <c r="D1435"/>
    </row>
    <row r="1436" spans="1:4" x14ac:dyDescent="0.3">
      <c r="A1436" s="4" t="s">
        <v>4</v>
      </c>
      <c r="B1436" s="4">
        <v>390</v>
      </c>
      <c r="D1436"/>
    </row>
    <row r="1437" spans="1:4" x14ac:dyDescent="0.3">
      <c r="A1437" s="4" t="s">
        <v>16</v>
      </c>
      <c r="B1437" s="4">
        <v>407</v>
      </c>
      <c r="D1437"/>
    </row>
    <row r="1438" spans="1:4" x14ac:dyDescent="0.3">
      <c r="A1438" s="4" t="s">
        <v>3</v>
      </c>
      <c r="B1438" s="4">
        <v>253</v>
      </c>
      <c r="D1438"/>
    </row>
    <row r="1439" spans="1:4" x14ac:dyDescent="0.3">
      <c r="A1439" s="4" t="s">
        <v>15</v>
      </c>
      <c r="B1439" s="4">
        <v>406</v>
      </c>
      <c r="D1439"/>
    </row>
    <row r="1440" spans="1:4" x14ac:dyDescent="0.3">
      <c r="A1440" s="4" t="s">
        <v>11</v>
      </c>
      <c r="B1440" s="4">
        <v>693</v>
      </c>
      <c r="D1440"/>
    </row>
    <row r="1441" spans="1:4" x14ac:dyDescent="0.3">
      <c r="A1441" s="4" t="s">
        <v>7</v>
      </c>
      <c r="B1441" s="4">
        <v>182</v>
      </c>
      <c r="D1441"/>
    </row>
    <row r="1442" spans="1:4" x14ac:dyDescent="0.3">
      <c r="A1442" s="4" t="s">
        <v>13</v>
      </c>
      <c r="B1442" s="4">
        <v>741</v>
      </c>
      <c r="D1442"/>
    </row>
    <row r="1443" spans="1:4" x14ac:dyDescent="0.3">
      <c r="A1443" s="4" t="s">
        <v>19</v>
      </c>
      <c r="B1443" s="4">
        <v>155</v>
      </c>
      <c r="D1443"/>
    </row>
    <row r="1444" spans="1:4" x14ac:dyDescent="0.3">
      <c r="A1444" s="4" t="s">
        <v>16</v>
      </c>
      <c r="B1444" s="4">
        <v>908</v>
      </c>
      <c r="D1444"/>
    </row>
    <row r="1445" spans="1:4" x14ac:dyDescent="0.3">
      <c r="A1445" s="4" t="s">
        <v>17</v>
      </c>
      <c r="B1445" s="4">
        <v>160</v>
      </c>
      <c r="D1445"/>
    </row>
    <row r="1446" spans="1:4" x14ac:dyDescent="0.3">
      <c r="A1446" s="4" t="s">
        <v>6</v>
      </c>
      <c r="B1446" s="4">
        <v>472</v>
      </c>
      <c r="D1446"/>
    </row>
    <row r="1447" spans="1:4" x14ac:dyDescent="0.3">
      <c r="A1447" s="4" t="s">
        <v>12</v>
      </c>
      <c r="B1447" s="4">
        <v>487</v>
      </c>
      <c r="D1447"/>
    </row>
    <row r="1448" spans="1:4" x14ac:dyDescent="0.3">
      <c r="A1448" s="4" t="s">
        <v>18</v>
      </c>
      <c r="B1448" s="4">
        <v>183</v>
      </c>
      <c r="D1448"/>
    </row>
    <row r="1449" spans="1:4" x14ac:dyDescent="0.3">
      <c r="A1449" s="4" t="s">
        <v>12</v>
      </c>
      <c r="B1449" s="4">
        <v>688</v>
      </c>
      <c r="D1449"/>
    </row>
    <row r="1450" spans="1:4" x14ac:dyDescent="0.3">
      <c r="A1450" s="4" t="s">
        <v>15</v>
      </c>
      <c r="B1450" s="4">
        <v>633</v>
      </c>
      <c r="D1450"/>
    </row>
    <row r="1451" spans="1:4" x14ac:dyDescent="0.3">
      <c r="A1451" s="4" t="s">
        <v>7</v>
      </c>
      <c r="B1451" s="4">
        <v>751</v>
      </c>
      <c r="D1451"/>
    </row>
    <row r="1452" spans="1:4" x14ac:dyDescent="0.3">
      <c r="A1452" s="4" t="s">
        <v>6</v>
      </c>
      <c r="B1452" s="4">
        <v>406</v>
      </c>
      <c r="D1452"/>
    </row>
    <row r="1453" spans="1:4" x14ac:dyDescent="0.3">
      <c r="A1453" s="4" t="s">
        <v>10</v>
      </c>
      <c r="B1453" s="4">
        <v>120</v>
      </c>
      <c r="D1453"/>
    </row>
    <row r="1454" spans="1:4" x14ac:dyDescent="0.3">
      <c r="A1454" s="4" t="s">
        <v>12</v>
      </c>
      <c r="B1454" s="4">
        <v>903</v>
      </c>
      <c r="D1454"/>
    </row>
    <row r="1455" spans="1:4" x14ac:dyDescent="0.3">
      <c r="A1455" s="4" t="s">
        <v>4</v>
      </c>
      <c r="B1455" s="4">
        <v>121</v>
      </c>
      <c r="D1455"/>
    </row>
    <row r="1456" spans="1:4" x14ac:dyDescent="0.3">
      <c r="A1456" s="4" t="s">
        <v>13</v>
      </c>
      <c r="B1456" s="4">
        <v>480</v>
      </c>
      <c r="D1456"/>
    </row>
    <row r="1457" spans="1:4" x14ac:dyDescent="0.3">
      <c r="A1457" s="4" t="s">
        <v>15</v>
      </c>
      <c r="B1457" s="4">
        <v>780</v>
      </c>
      <c r="D1457"/>
    </row>
    <row r="1458" spans="1:4" x14ac:dyDescent="0.3">
      <c r="A1458" s="4" t="s">
        <v>4</v>
      </c>
      <c r="B1458" s="4">
        <v>880</v>
      </c>
      <c r="D1458"/>
    </row>
    <row r="1459" spans="1:4" x14ac:dyDescent="0.3">
      <c r="A1459" s="4" t="s">
        <v>7</v>
      </c>
      <c r="B1459" s="4">
        <v>307</v>
      </c>
      <c r="D1459"/>
    </row>
    <row r="1460" spans="1:4" x14ac:dyDescent="0.3">
      <c r="A1460" s="4" t="s">
        <v>19</v>
      </c>
      <c r="B1460" s="4">
        <v>42</v>
      </c>
      <c r="D1460"/>
    </row>
    <row r="1461" spans="1:4" x14ac:dyDescent="0.3">
      <c r="A1461" s="4" t="s">
        <v>17</v>
      </c>
      <c r="B1461" s="4">
        <v>934</v>
      </c>
      <c r="D1461"/>
    </row>
    <row r="1462" spans="1:4" x14ac:dyDescent="0.3">
      <c r="A1462" s="4" t="s">
        <v>3</v>
      </c>
      <c r="B1462" s="4">
        <v>491</v>
      </c>
      <c r="D1462"/>
    </row>
    <row r="1463" spans="1:4" x14ac:dyDescent="0.3">
      <c r="A1463" s="4" t="s">
        <v>4</v>
      </c>
      <c r="B1463" s="4">
        <v>185</v>
      </c>
      <c r="D1463"/>
    </row>
    <row r="1464" spans="1:4" x14ac:dyDescent="0.3">
      <c r="A1464" s="4" t="s">
        <v>19</v>
      </c>
      <c r="B1464" s="4">
        <v>873</v>
      </c>
      <c r="D1464"/>
    </row>
    <row r="1465" spans="1:4" x14ac:dyDescent="0.3">
      <c r="A1465" s="4" t="s">
        <v>13</v>
      </c>
      <c r="B1465" s="4">
        <v>881</v>
      </c>
      <c r="D1465"/>
    </row>
    <row r="1466" spans="1:4" x14ac:dyDescent="0.3">
      <c r="A1466" s="4" t="s">
        <v>11</v>
      </c>
      <c r="B1466" s="4">
        <v>397</v>
      </c>
      <c r="D1466"/>
    </row>
    <row r="1467" spans="1:4" x14ac:dyDescent="0.3">
      <c r="A1467" s="4" t="s">
        <v>17</v>
      </c>
      <c r="B1467" s="4">
        <v>916</v>
      </c>
      <c r="D1467"/>
    </row>
    <row r="1468" spans="1:4" x14ac:dyDescent="0.3">
      <c r="A1468" s="4" t="s">
        <v>9</v>
      </c>
      <c r="B1468" s="4">
        <v>538</v>
      </c>
      <c r="D1468"/>
    </row>
    <row r="1469" spans="1:4" x14ac:dyDescent="0.3">
      <c r="A1469" s="4" t="s">
        <v>4</v>
      </c>
      <c r="B1469" s="4">
        <v>633</v>
      </c>
      <c r="D1469"/>
    </row>
    <row r="1470" spans="1:4" x14ac:dyDescent="0.3">
      <c r="A1470" s="4" t="s">
        <v>8</v>
      </c>
      <c r="B1470" s="4">
        <v>76</v>
      </c>
      <c r="D1470"/>
    </row>
    <row r="1471" spans="1:4" x14ac:dyDescent="0.3">
      <c r="A1471" s="4" t="s">
        <v>8</v>
      </c>
      <c r="B1471" s="4">
        <v>352</v>
      </c>
      <c r="D1471"/>
    </row>
    <row r="1472" spans="1:4" x14ac:dyDescent="0.3">
      <c r="A1472" s="4" t="s">
        <v>4</v>
      </c>
      <c r="B1472" s="4">
        <v>403</v>
      </c>
      <c r="D1472"/>
    </row>
    <row r="1473" spans="1:4" x14ac:dyDescent="0.3">
      <c r="A1473" s="4" t="s">
        <v>4</v>
      </c>
      <c r="B1473" s="4">
        <v>521</v>
      </c>
      <c r="D1473"/>
    </row>
    <row r="1474" spans="1:4" x14ac:dyDescent="0.3">
      <c r="A1474" s="4" t="s">
        <v>6</v>
      </c>
      <c r="B1474" s="4">
        <v>660</v>
      </c>
      <c r="D1474"/>
    </row>
    <row r="1475" spans="1:4" x14ac:dyDescent="0.3">
      <c r="A1475" s="4" t="s">
        <v>12</v>
      </c>
      <c r="B1475" s="4">
        <v>634</v>
      </c>
      <c r="D1475"/>
    </row>
    <row r="1476" spans="1:4" x14ac:dyDescent="0.3">
      <c r="A1476" s="4" t="s">
        <v>10</v>
      </c>
      <c r="B1476" s="4">
        <v>914</v>
      </c>
      <c r="D1476"/>
    </row>
    <row r="1477" spans="1:4" x14ac:dyDescent="0.3">
      <c r="A1477" s="4" t="s">
        <v>10</v>
      </c>
      <c r="B1477" s="4">
        <v>928</v>
      </c>
      <c r="D1477"/>
    </row>
    <row r="1478" spans="1:4" x14ac:dyDescent="0.3">
      <c r="A1478" s="4" t="s">
        <v>7</v>
      </c>
      <c r="B1478" s="4">
        <v>942</v>
      </c>
      <c r="D1478"/>
    </row>
    <row r="1479" spans="1:4" x14ac:dyDescent="0.3">
      <c r="A1479" s="4" t="s">
        <v>8</v>
      </c>
      <c r="B1479" s="4">
        <v>209</v>
      </c>
      <c r="D1479"/>
    </row>
    <row r="1480" spans="1:4" x14ac:dyDescent="0.3">
      <c r="A1480" s="4" t="s">
        <v>15</v>
      </c>
      <c r="B1480" s="4">
        <v>304</v>
      </c>
      <c r="D1480"/>
    </row>
    <row r="1481" spans="1:4" x14ac:dyDescent="0.3">
      <c r="A1481" s="4" t="s">
        <v>10</v>
      </c>
      <c r="B1481" s="4">
        <v>726</v>
      </c>
      <c r="D1481"/>
    </row>
    <row r="1482" spans="1:4" x14ac:dyDescent="0.3">
      <c r="A1482" s="4" t="s">
        <v>6</v>
      </c>
      <c r="B1482" s="4">
        <v>358</v>
      </c>
      <c r="D1482"/>
    </row>
    <row r="1483" spans="1:4" x14ac:dyDescent="0.3">
      <c r="A1483" s="4" t="s">
        <v>17</v>
      </c>
      <c r="B1483" s="4">
        <v>361</v>
      </c>
      <c r="D1483"/>
    </row>
    <row r="1484" spans="1:4" x14ac:dyDescent="0.3">
      <c r="A1484" s="4" t="s">
        <v>7</v>
      </c>
      <c r="B1484" s="4">
        <v>669</v>
      </c>
      <c r="D1484"/>
    </row>
    <row r="1485" spans="1:4" x14ac:dyDescent="0.3">
      <c r="A1485" s="4" t="s">
        <v>3</v>
      </c>
      <c r="B1485" s="4">
        <v>792</v>
      </c>
      <c r="D1485"/>
    </row>
    <row r="1486" spans="1:4" x14ac:dyDescent="0.3">
      <c r="A1486" s="4" t="s">
        <v>9</v>
      </c>
      <c r="B1486" s="4">
        <v>438</v>
      </c>
      <c r="D1486"/>
    </row>
    <row r="1487" spans="1:4" x14ac:dyDescent="0.3">
      <c r="A1487" s="4" t="s">
        <v>11</v>
      </c>
      <c r="B1487" s="4">
        <v>693</v>
      </c>
      <c r="D1487"/>
    </row>
    <row r="1488" spans="1:4" x14ac:dyDescent="0.3">
      <c r="A1488" s="4" t="s">
        <v>7</v>
      </c>
      <c r="B1488" s="4">
        <v>595</v>
      </c>
      <c r="D1488"/>
    </row>
    <row r="1489" spans="1:4" x14ac:dyDescent="0.3">
      <c r="A1489" s="4" t="s">
        <v>4</v>
      </c>
      <c r="B1489" s="4">
        <v>911</v>
      </c>
      <c r="D1489"/>
    </row>
    <row r="1490" spans="1:4" x14ac:dyDescent="0.3">
      <c r="A1490" s="4" t="s">
        <v>4</v>
      </c>
      <c r="B1490" s="4">
        <v>865</v>
      </c>
      <c r="D1490"/>
    </row>
    <row r="1491" spans="1:4" x14ac:dyDescent="0.3">
      <c r="A1491" s="4" t="s">
        <v>14</v>
      </c>
      <c r="B1491" s="4">
        <v>12</v>
      </c>
      <c r="D1491"/>
    </row>
    <row r="1492" spans="1:4" x14ac:dyDescent="0.3">
      <c r="A1492" s="4" t="s">
        <v>10</v>
      </c>
      <c r="B1492" s="4">
        <v>276</v>
      </c>
      <c r="D1492"/>
    </row>
    <row r="1493" spans="1:4" x14ac:dyDescent="0.3">
      <c r="A1493" s="4" t="s">
        <v>11</v>
      </c>
      <c r="B1493" s="4">
        <v>788</v>
      </c>
      <c r="D1493"/>
    </row>
    <row r="1494" spans="1:4" x14ac:dyDescent="0.3">
      <c r="A1494" s="4" t="s">
        <v>17</v>
      </c>
      <c r="B1494" s="4">
        <v>288</v>
      </c>
      <c r="D1494"/>
    </row>
    <row r="1495" spans="1:4" x14ac:dyDescent="0.3">
      <c r="A1495" s="4" t="s">
        <v>10</v>
      </c>
      <c r="B1495" s="4">
        <v>558</v>
      </c>
      <c r="D1495"/>
    </row>
    <row r="1496" spans="1:4" x14ac:dyDescent="0.3">
      <c r="A1496" s="4" t="s">
        <v>15</v>
      </c>
      <c r="B1496" s="4">
        <v>287</v>
      </c>
      <c r="D1496"/>
    </row>
    <row r="1497" spans="1:4" x14ac:dyDescent="0.3">
      <c r="A1497" s="4" t="s">
        <v>10</v>
      </c>
      <c r="B1497" s="4">
        <v>514</v>
      </c>
      <c r="D1497"/>
    </row>
    <row r="1498" spans="1:4" x14ac:dyDescent="0.3">
      <c r="A1498" s="4" t="s">
        <v>7</v>
      </c>
      <c r="B1498" s="4">
        <v>801</v>
      </c>
      <c r="D1498"/>
    </row>
    <row r="1499" spans="1:4" x14ac:dyDescent="0.3">
      <c r="A1499" s="4" t="s">
        <v>18</v>
      </c>
      <c r="B1499" s="4">
        <v>435</v>
      </c>
      <c r="D1499"/>
    </row>
    <row r="1500" spans="1:4" x14ac:dyDescent="0.3">
      <c r="A1500" s="4" t="s">
        <v>12</v>
      </c>
      <c r="B1500" s="4">
        <v>292</v>
      </c>
      <c r="D1500"/>
    </row>
    <row r="1501" spans="1:4" x14ac:dyDescent="0.3">
      <c r="A1501" s="4" t="s">
        <v>10</v>
      </c>
      <c r="B1501" s="4">
        <v>765</v>
      </c>
      <c r="D1501"/>
    </row>
    <row r="1502" spans="1:4" x14ac:dyDescent="0.3">
      <c r="A1502" s="4" t="s">
        <v>16</v>
      </c>
      <c r="B1502" s="4">
        <v>665</v>
      </c>
      <c r="D1502"/>
    </row>
    <row r="1503" spans="1:4" x14ac:dyDescent="0.3">
      <c r="A1503" s="4" t="s">
        <v>16</v>
      </c>
      <c r="B1503" s="4">
        <v>155</v>
      </c>
      <c r="D1503"/>
    </row>
    <row r="1504" spans="1:4" x14ac:dyDescent="0.3">
      <c r="A1504" s="4" t="s">
        <v>10</v>
      </c>
      <c r="B1504" s="4">
        <v>385</v>
      </c>
      <c r="D1504"/>
    </row>
    <row r="1505" spans="1:4" x14ac:dyDescent="0.3">
      <c r="A1505" s="4" t="s">
        <v>6</v>
      </c>
      <c r="B1505" s="4">
        <v>544</v>
      </c>
      <c r="D1505"/>
    </row>
    <row r="1506" spans="1:4" x14ac:dyDescent="0.3">
      <c r="A1506" s="4" t="s">
        <v>3</v>
      </c>
      <c r="B1506" s="4">
        <v>567</v>
      </c>
      <c r="D1506"/>
    </row>
    <row r="1507" spans="1:4" x14ac:dyDescent="0.3">
      <c r="A1507" s="4" t="s">
        <v>13</v>
      </c>
      <c r="B1507" s="4">
        <v>172</v>
      </c>
      <c r="D1507"/>
    </row>
    <row r="1508" spans="1:4" x14ac:dyDescent="0.3">
      <c r="A1508" s="4" t="s">
        <v>10</v>
      </c>
      <c r="B1508" s="4">
        <v>463</v>
      </c>
      <c r="D1508"/>
    </row>
    <row r="1509" spans="1:4" x14ac:dyDescent="0.3">
      <c r="A1509" s="4" t="s">
        <v>9</v>
      </c>
      <c r="B1509" s="4">
        <v>646</v>
      </c>
      <c r="D1509"/>
    </row>
    <row r="1510" spans="1:4" x14ac:dyDescent="0.3">
      <c r="A1510" s="4" t="s">
        <v>3</v>
      </c>
      <c r="B1510" s="4">
        <v>305</v>
      </c>
      <c r="D1510"/>
    </row>
    <row r="1511" spans="1:4" x14ac:dyDescent="0.3">
      <c r="A1511" s="4" t="s">
        <v>18</v>
      </c>
      <c r="B1511" s="4">
        <v>576</v>
      </c>
      <c r="D1511"/>
    </row>
    <row r="1512" spans="1:4" x14ac:dyDescent="0.3">
      <c r="A1512" s="4" t="s">
        <v>15</v>
      </c>
      <c r="B1512" s="4">
        <v>643</v>
      </c>
      <c r="D1512"/>
    </row>
    <row r="1513" spans="1:4" x14ac:dyDescent="0.3">
      <c r="A1513" s="4" t="s">
        <v>15</v>
      </c>
      <c r="B1513" s="4">
        <v>245</v>
      </c>
      <c r="D1513"/>
    </row>
    <row r="1514" spans="1:4" x14ac:dyDescent="0.3">
      <c r="A1514" s="4" t="s">
        <v>11</v>
      </c>
      <c r="B1514" s="4">
        <v>391</v>
      </c>
      <c r="D1514"/>
    </row>
    <row r="1515" spans="1:4" x14ac:dyDescent="0.3">
      <c r="A1515" s="4" t="s">
        <v>7</v>
      </c>
      <c r="B1515" s="4">
        <v>646</v>
      </c>
      <c r="D1515"/>
    </row>
    <row r="1516" spans="1:4" x14ac:dyDescent="0.3">
      <c r="A1516" s="4" t="s">
        <v>14</v>
      </c>
      <c r="B1516" s="4">
        <v>971</v>
      </c>
      <c r="D1516"/>
    </row>
    <row r="1517" spans="1:4" x14ac:dyDescent="0.3">
      <c r="A1517" s="4" t="s">
        <v>16</v>
      </c>
      <c r="B1517" s="4">
        <v>368</v>
      </c>
      <c r="D1517"/>
    </row>
    <row r="1518" spans="1:4" x14ac:dyDescent="0.3">
      <c r="A1518" s="4" t="s">
        <v>11</v>
      </c>
      <c r="B1518" s="4">
        <v>864</v>
      </c>
      <c r="D1518"/>
    </row>
    <row r="1519" spans="1:4" x14ac:dyDescent="0.3">
      <c r="A1519" s="4" t="s">
        <v>7</v>
      </c>
      <c r="B1519" s="4">
        <v>271</v>
      </c>
      <c r="D1519"/>
    </row>
    <row r="1520" spans="1:4" x14ac:dyDescent="0.3">
      <c r="A1520" s="4" t="s">
        <v>15</v>
      </c>
      <c r="B1520" s="4">
        <v>201</v>
      </c>
      <c r="D1520"/>
    </row>
    <row r="1521" spans="1:4" x14ac:dyDescent="0.3">
      <c r="A1521" s="4" t="s">
        <v>13</v>
      </c>
      <c r="B1521" s="4">
        <v>348</v>
      </c>
      <c r="D1521"/>
    </row>
    <row r="1522" spans="1:4" x14ac:dyDescent="0.3">
      <c r="A1522" s="4" t="s">
        <v>9</v>
      </c>
      <c r="B1522" s="4">
        <v>536</v>
      </c>
      <c r="D1522"/>
    </row>
    <row r="1523" spans="1:4" x14ac:dyDescent="0.3">
      <c r="A1523" s="4" t="s">
        <v>4</v>
      </c>
      <c r="B1523" s="4">
        <v>875</v>
      </c>
      <c r="D1523"/>
    </row>
    <row r="1524" spans="1:4" x14ac:dyDescent="0.3">
      <c r="A1524" s="4" t="s">
        <v>3</v>
      </c>
      <c r="B1524" s="4">
        <v>958</v>
      </c>
      <c r="D1524"/>
    </row>
    <row r="1525" spans="1:4" x14ac:dyDescent="0.3">
      <c r="A1525" s="4" t="s">
        <v>19</v>
      </c>
      <c r="B1525" s="4">
        <v>396</v>
      </c>
      <c r="D1525"/>
    </row>
    <row r="1526" spans="1:4" x14ac:dyDescent="0.3">
      <c r="A1526" s="4" t="s">
        <v>6</v>
      </c>
      <c r="B1526" s="4">
        <v>486</v>
      </c>
      <c r="D1526"/>
    </row>
    <row r="1527" spans="1:4" x14ac:dyDescent="0.3">
      <c r="A1527" s="4" t="s">
        <v>9</v>
      </c>
      <c r="B1527" s="4">
        <v>873</v>
      </c>
      <c r="D1527"/>
    </row>
    <row r="1528" spans="1:4" x14ac:dyDescent="0.3">
      <c r="A1528" s="4" t="s">
        <v>14</v>
      </c>
      <c r="B1528" s="4">
        <v>898</v>
      </c>
      <c r="D1528"/>
    </row>
    <row r="1529" spans="1:4" x14ac:dyDescent="0.3">
      <c r="A1529" s="4" t="s">
        <v>6</v>
      </c>
      <c r="B1529" s="4">
        <v>533</v>
      </c>
      <c r="D1529"/>
    </row>
    <row r="1530" spans="1:4" x14ac:dyDescent="0.3">
      <c r="A1530" s="4" t="s">
        <v>4</v>
      </c>
      <c r="B1530" s="4">
        <v>410</v>
      </c>
      <c r="D1530"/>
    </row>
    <row r="1531" spans="1:4" x14ac:dyDescent="0.3">
      <c r="A1531" s="4" t="s">
        <v>9</v>
      </c>
      <c r="B1531" s="4">
        <v>539</v>
      </c>
      <c r="D1531"/>
    </row>
    <row r="1532" spans="1:4" x14ac:dyDescent="0.3">
      <c r="A1532" s="4" t="s">
        <v>10</v>
      </c>
      <c r="B1532" s="4">
        <v>823</v>
      </c>
      <c r="D1532"/>
    </row>
    <row r="1533" spans="1:4" x14ac:dyDescent="0.3">
      <c r="A1533" s="4" t="s">
        <v>11</v>
      </c>
      <c r="B1533" s="4">
        <v>824</v>
      </c>
      <c r="D1533"/>
    </row>
    <row r="1534" spans="1:4" x14ac:dyDescent="0.3">
      <c r="A1534" s="4" t="s">
        <v>10</v>
      </c>
      <c r="B1534" s="4">
        <v>650</v>
      </c>
      <c r="D1534"/>
    </row>
    <row r="1535" spans="1:4" x14ac:dyDescent="0.3">
      <c r="A1535" s="4" t="s">
        <v>9</v>
      </c>
      <c r="B1535" s="4">
        <v>773</v>
      </c>
      <c r="D1535"/>
    </row>
    <row r="1536" spans="1:4" x14ac:dyDescent="0.3">
      <c r="A1536" s="4" t="s">
        <v>3</v>
      </c>
      <c r="B1536" s="4">
        <v>199</v>
      </c>
      <c r="D1536"/>
    </row>
    <row r="1537" spans="1:4" x14ac:dyDescent="0.3">
      <c r="A1537" s="4" t="s">
        <v>9</v>
      </c>
      <c r="B1537" s="4">
        <v>772</v>
      </c>
      <c r="D1537"/>
    </row>
    <row r="1538" spans="1:4" x14ac:dyDescent="0.3">
      <c r="A1538" s="4" t="s">
        <v>19</v>
      </c>
      <c r="B1538" s="4">
        <v>300</v>
      </c>
      <c r="D1538"/>
    </row>
    <row r="1539" spans="1:4" x14ac:dyDescent="0.3">
      <c r="A1539" s="4" t="s">
        <v>14</v>
      </c>
      <c r="B1539" s="4">
        <v>89</v>
      </c>
      <c r="D1539"/>
    </row>
    <row r="1540" spans="1:4" x14ac:dyDescent="0.3">
      <c r="A1540" s="4" t="s">
        <v>14</v>
      </c>
      <c r="B1540" s="4">
        <v>670</v>
      </c>
      <c r="D1540"/>
    </row>
    <row r="1541" spans="1:4" x14ac:dyDescent="0.3">
      <c r="A1541" s="4" t="s">
        <v>13</v>
      </c>
      <c r="B1541" s="4">
        <v>737</v>
      </c>
      <c r="D1541"/>
    </row>
    <row r="1542" spans="1:4" x14ac:dyDescent="0.3">
      <c r="A1542" s="4" t="s">
        <v>11</v>
      </c>
      <c r="B1542" s="4">
        <v>186</v>
      </c>
      <c r="D1542"/>
    </row>
    <row r="1543" spans="1:4" x14ac:dyDescent="0.3">
      <c r="A1543" s="4" t="s">
        <v>19</v>
      </c>
      <c r="B1543" s="4">
        <v>766</v>
      </c>
      <c r="D1543"/>
    </row>
    <row r="1544" spans="1:4" x14ac:dyDescent="0.3">
      <c r="A1544" s="4" t="s">
        <v>4</v>
      </c>
      <c r="B1544" s="4">
        <v>926</v>
      </c>
      <c r="D1544"/>
    </row>
    <row r="1545" spans="1:4" x14ac:dyDescent="0.3">
      <c r="A1545" s="4" t="s">
        <v>17</v>
      </c>
      <c r="B1545" s="4">
        <v>347</v>
      </c>
      <c r="D1545"/>
    </row>
    <row r="1546" spans="1:4" x14ac:dyDescent="0.3">
      <c r="A1546" s="4" t="s">
        <v>6</v>
      </c>
      <c r="B1546" s="4">
        <v>17</v>
      </c>
      <c r="D1546"/>
    </row>
    <row r="1547" spans="1:4" x14ac:dyDescent="0.3">
      <c r="A1547" s="4" t="s">
        <v>10</v>
      </c>
      <c r="B1547" s="6">
        <v>631</v>
      </c>
      <c r="D1547"/>
    </row>
    <row r="1548" spans="1:4" x14ac:dyDescent="0.3">
      <c r="A1548" s="4" t="s">
        <v>7</v>
      </c>
      <c r="B1548" s="4">
        <v>275</v>
      </c>
      <c r="D1548"/>
    </row>
    <row r="1549" spans="1:4" x14ac:dyDescent="0.3">
      <c r="A1549" s="4" t="s">
        <v>19</v>
      </c>
      <c r="B1549" s="4">
        <v>431</v>
      </c>
      <c r="D1549"/>
    </row>
    <row r="1550" spans="1:4" x14ac:dyDescent="0.3">
      <c r="A1550" s="4" t="s">
        <v>9</v>
      </c>
      <c r="B1550" s="4">
        <v>450</v>
      </c>
      <c r="D1550"/>
    </row>
    <row r="1551" spans="1:4" x14ac:dyDescent="0.3">
      <c r="A1551" s="4" t="s">
        <v>10</v>
      </c>
      <c r="B1551" s="4">
        <v>121</v>
      </c>
      <c r="D1551"/>
    </row>
    <row r="1552" spans="1:4" x14ac:dyDescent="0.3">
      <c r="A1552" s="4" t="s">
        <v>6</v>
      </c>
      <c r="B1552" s="4">
        <v>639</v>
      </c>
      <c r="D1552"/>
    </row>
    <row r="1553" spans="1:4" x14ac:dyDescent="0.3">
      <c r="A1553" s="4" t="s">
        <v>15</v>
      </c>
      <c r="B1553" s="4">
        <v>530</v>
      </c>
      <c r="D1553"/>
    </row>
    <row r="1554" spans="1:4" x14ac:dyDescent="0.3">
      <c r="A1554" s="4" t="s">
        <v>14</v>
      </c>
      <c r="B1554" s="4">
        <v>998</v>
      </c>
      <c r="D1554"/>
    </row>
    <row r="1555" spans="1:4" x14ac:dyDescent="0.3">
      <c r="A1555" s="4" t="s">
        <v>9</v>
      </c>
      <c r="B1555" s="4">
        <v>657</v>
      </c>
      <c r="D1555"/>
    </row>
    <row r="1556" spans="1:4" x14ac:dyDescent="0.3">
      <c r="A1556" s="4" t="s">
        <v>7</v>
      </c>
      <c r="B1556" s="4">
        <v>519</v>
      </c>
      <c r="D1556"/>
    </row>
    <row r="1557" spans="1:4" x14ac:dyDescent="0.3">
      <c r="A1557" s="4" t="s">
        <v>19</v>
      </c>
      <c r="B1557" s="4">
        <v>323</v>
      </c>
      <c r="D1557"/>
    </row>
    <row r="1558" spans="1:4" x14ac:dyDescent="0.3">
      <c r="A1558" s="4" t="s">
        <v>19</v>
      </c>
      <c r="B1558" s="4">
        <v>513</v>
      </c>
      <c r="D1558"/>
    </row>
    <row r="1559" spans="1:4" x14ac:dyDescent="0.3">
      <c r="A1559" s="4" t="s">
        <v>8</v>
      </c>
      <c r="B1559" s="4">
        <v>490</v>
      </c>
      <c r="D1559"/>
    </row>
    <row r="1560" spans="1:4" x14ac:dyDescent="0.3">
      <c r="A1560" s="4" t="s">
        <v>16</v>
      </c>
      <c r="B1560" s="4">
        <v>870</v>
      </c>
      <c r="D1560"/>
    </row>
    <row r="1561" spans="1:4" x14ac:dyDescent="0.3">
      <c r="A1561" s="4" t="s">
        <v>15</v>
      </c>
      <c r="B1561" s="4">
        <v>592</v>
      </c>
      <c r="D1561"/>
    </row>
    <row r="1562" spans="1:4" x14ac:dyDescent="0.3">
      <c r="A1562" s="4" t="s">
        <v>19</v>
      </c>
      <c r="B1562" s="4">
        <v>823</v>
      </c>
      <c r="D1562"/>
    </row>
    <row r="1563" spans="1:4" x14ac:dyDescent="0.3">
      <c r="A1563" s="4" t="s">
        <v>10</v>
      </c>
      <c r="B1563" s="4">
        <v>623</v>
      </c>
      <c r="D1563"/>
    </row>
    <row r="1564" spans="1:4" x14ac:dyDescent="0.3">
      <c r="A1564" s="4" t="s">
        <v>10</v>
      </c>
      <c r="B1564" s="4">
        <v>322</v>
      </c>
      <c r="D1564"/>
    </row>
    <row r="1565" spans="1:4" x14ac:dyDescent="0.3">
      <c r="A1565" s="4" t="s">
        <v>15</v>
      </c>
      <c r="B1565" s="4">
        <v>925</v>
      </c>
      <c r="D1565"/>
    </row>
    <row r="1566" spans="1:4" x14ac:dyDescent="0.3">
      <c r="A1566" s="4" t="s">
        <v>9</v>
      </c>
      <c r="B1566" s="4">
        <v>704</v>
      </c>
      <c r="D1566"/>
    </row>
    <row r="1567" spans="1:4" x14ac:dyDescent="0.3">
      <c r="A1567" s="4" t="s">
        <v>11</v>
      </c>
      <c r="B1567" s="4">
        <v>908</v>
      </c>
      <c r="D1567"/>
    </row>
    <row r="1568" spans="1:4" x14ac:dyDescent="0.3">
      <c r="A1568" s="4" t="s">
        <v>8</v>
      </c>
      <c r="B1568" s="4">
        <v>925</v>
      </c>
      <c r="D1568"/>
    </row>
    <row r="1569" spans="1:4" x14ac:dyDescent="0.3">
      <c r="A1569" s="4" t="s">
        <v>9</v>
      </c>
      <c r="B1569" s="4">
        <v>562</v>
      </c>
      <c r="D1569"/>
    </row>
    <row r="1570" spans="1:4" x14ac:dyDescent="0.3">
      <c r="A1570" s="4" t="s">
        <v>14</v>
      </c>
      <c r="B1570" s="4">
        <v>962</v>
      </c>
      <c r="D1570"/>
    </row>
    <row r="1571" spans="1:4" x14ac:dyDescent="0.3">
      <c r="A1571" s="4" t="s">
        <v>4</v>
      </c>
      <c r="B1571" s="4">
        <v>985</v>
      </c>
      <c r="D1571"/>
    </row>
    <row r="1572" spans="1:4" x14ac:dyDescent="0.3">
      <c r="A1572" s="4" t="s">
        <v>6</v>
      </c>
      <c r="B1572" s="4">
        <v>684</v>
      </c>
      <c r="D1572"/>
    </row>
    <row r="1573" spans="1:4" x14ac:dyDescent="0.3">
      <c r="A1573" s="4" t="s">
        <v>10</v>
      </c>
      <c r="B1573" s="4">
        <v>693</v>
      </c>
      <c r="D1573"/>
    </row>
    <row r="1574" spans="1:4" x14ac:dyDescent="0.3">
      <c r="A1574" s="4" t="s">
        <v>10</v>
      </c>
      <c r="B1574" s="4">
        <v>819</v>
      </c>
      <c r="D1574"/>
    </row>
    <row r="1575" spans="1:4" x14ac:dyDescent="0.3">
      <c r="A1575" s="4" t="s">
        <v>18</v>
      </c>
      <c r="B1575" s="4">
        <v>462</v>
      </c>
      <c r="D1575"/>
    </row>
    <row r="1576" spans="1:4" x14ac:dyDescent="0.3">
      <c r="A1576" s="4" t="s">
        <v>7</v>
      </c>
      <c r="B1576" s="4">
        <v>694</v>
      </c>
      <c r="D1576"/>
    </row>
    <row r="1577" spans="1:4" x14ac:dyDescent="0.3">
      <c r="A1577" s="4" t="s">
        <v>4</v>
      </c>
      <c r="B1577" s="4">
        <v>581</v>
      </c>
      <c r="D1577"/>
    </row>
    <row r="1578" spans="1:4" x14ac:dyDescent="0.3">
      <c r="A1578" s="4" t="s">
        <v>4</v>
      </c>
      <c r="B1578" s="4">
        <v>724</v>
      </c>
      <c r="D1578"/>
    </row>
    <row r="1579" spans="1:4" x14ac:dyDescent="0.3">
      <c r="A1579" s="4" t="s">
        <v>12</v>
      </c>
      <c r="B1579" s="4">
        <v>124</v>
      </c>
      <c r="D1579"/>
    </row>
    <row r="1580" spans="1:4" x14ac:dyDescent="0.3">
      <c r="A1580" s="4" t="s">
        <v>8</v>
      </c>
      <c r="B1580" s="4">
        <v>552</v>
      </c>
      <c r="D1580"/>
    </row>
    <row r="1581" spans="1:4" x14ac:dyDescent="0.3">
      <c r="A1581" s="4" t="s">
        <v>14</v>
      </c>
      <c r="B1581" s="4">
        <v>792</v>
      </c>
      <c r="D1581"/>
    </row>
    <row r="1582" spans="1:4" x14ac:dyDescent="0.3">
      <c r="A1582" s="4" t="s">
        <v>15</v>
      </c>
      <c r="B1582" s="4">
        <v>548</v>
      </c>
      <c r="D1582"/>
    </row>
    <row r="1583" spans="1:4" x14ac:dyDescent="0.3">
      <c r="A1583" s="4" t="s">
        <v>3</v>
      </c>
      <c r="B1583" s="4">
        <v>177</v>
      </c>
      <c r="D1583"/>
    </row>
    <row r="1584" spans="1:4" x14ac:dyDescent="0.3">
      <c r="A1584" s="4" t="s">
        <v>14</v>
      </c>
      <c r="B1584" s="4">
        <v>262</v>
      </c>
      <c r="D1584"/>
    </row>
    <row r="1585" spans="1:4" x14ac:dyDescent="0.3">
      <c r="A1585" s="4" t="s">
        <v>3</v>
      </c>
      <c r="B1585" s="4">
        <v>276</v>
      </c>
      <c r="D1585"/>
    </row>
    <row r="1586" spans="1:4" x14ac:dyDescent="0.3">
      <c r="A1586" s="4" t="s">
        <v>11</v>
      </c>
      <c r="B1586" s="4">
        <v>276</v>
      </c>
      <c r="D1586"/>
    </row>
    <row r="1587" spans="1:4" x14ac:dyDescent="0.3">
      <c r="A1587" s="4" t="s">
        <v>9</v>
      </c>
      <c r="B1587" s="4">
        <v>32</v>
      </c>
      <c r="D1587"/>
    </row>
    <row r="1588" spans="1:4" x14ac:dyDescent="0.3">
      <c r="A1588" s="4" t="s">
        <v>8</v>
      </c>
      <c r="B1588" s="4">
        <v>395</v>
      </c>
      <c r="D1588"/>
    </row>
    <row r="1589" spans="1:4" x14ac:dyDescent="0.3">
      <c r="A1589" s="4" t="s">
        <v>7</v>
      </c>
      <c r="B1589" s="4">
        <v>382</v>
      </c>
      <c r="D1589"/>
    </row>
    <row r="1590" spans="1:4" x14ac:dyDescent="0.3">
      <c r="A1590" s="4" t="s">
        <v>18</v>
      </c>
      <c r="B1590" s="4">
        <v>829</v>
      </c>
      <c r="D1590"/>
    </row>
    <row r="1591" spans="1:4" x14ac:dyDescent="0.3">
      <c r="A1591" s="4" t="s">
        <v>9</v>
      </c>
      <c r="B1591" s="4">
        <v>836</v>
      </c>
      <c r="D1591"/>
    </row>
    <row r="1592" spans="1:4" x14ac:dyDescent="0.3">
      <c r="A1592" s="4" t="s">
        <v>11</v>
      </c>
      <c r="B1592" s="4">
        <v>880</v>
      </c>
      <c r="D1592"/>
    </row>
    <row r="1593" spans="1:4" x14ac:dyDescent="0.3">
      <c r="A1593" s="4" t="s">
        <v>17</v>
      </c>
      <c r="B1593" s="4">
        <v>131</v>
      </c>
      <c r="D1593"/>
    </row>
    <row r="1594" spans="1:4" x14ac:dyDescent="0.3">
      <c r="A1594" s="4" t="s">
        <v>13</v>
      </c>
      <c r="B1594" s="4">
        <v>880</v>
      </c>
      <c r="D1594"/>
    </row>
    <row r="1595" spans="1:4" x14ac:dyDescent="0.3">
      <c r="A1595" s="4" t="s">
        <v>17</v>
      </c>
      <c r="B1595" s="4">
        <v>726</v>
      </c>
      <c r="D1595"/>
    </row>
    <row r="1596" spans="1:4" x14ac:dyDescent="0.3">
      <c r="A1596" s="4" t="s">
        <v>6</v>
      </c>
      <c r="B1596" s="4">
        <v>216</v>
      </c>
      <c r="D1596"/>
    </row>
    <row r="1597" spans="1:4" x14ac:dyDescent="0.3">
      <c r="A1597" s="4" t="s">
        <v>11</v>
      </c>
      <c r="B1597" s="4">
        <v>614</v>
      </c>
      <c r="D1597"/>
    </row>
    <row r="1598" spans="1:4" x14ac:dyDescent="0.3">
      <c r="A1598" s="4" t="s">
        <v>15</v>
      </c>
      <c r="B1598" s="4">
        <v>764</v>
      </c>
      <c r="D1598"/>
    </row>
    <row r="1599" spans="1:4" x14ac:dyDescent="0.3">
      <c r="A1599" s="4" t="s">
        <v>13</v>
      </c>
      <c r="B1599" s="4">
        <v>805</v>
      </c>
      <c r="D1599"/>
    </row>
    <row r="1600" spans="1:4" x14ac:dyDescent="0.3">
      <c r="A1600" s="4" t="s">
        <v>16</v>
      </c>
      <c r="B1600" s="4">
        <v>809</v>
      </c>
      <c r="D1600"/>
    </row>
    <row r="1601" spans="1:4" x14ac:dyDescent="0.3">
      <c r="A1601" s="4" t="s">
        <v>16</v>
      </c>
      <c r="B1601" s="4">
        <v>637</v>
      </c>
      <c r="D1601"/>
    </row>
    <row r="1602" spans="1:4" x14ac:dyDescent="0.3">
      <c r="A1602" s="4" t="s">
        <v>16</v>
      </c>
      <c r="B1602" s="4">
        <v>871</v>
      </c>
      <c r="D1602"/>
    </row>
    <row r="1603" spans="1:4" x14ac:dyDescent="0.3">
      <c r="A1603" s="4" t="s">
        <v>14</v>
      </c>
      <c r="B1603" s="4">
        <v>696</v>
      </c>
      <c r="D1603"/>
    </row>
    <row r="1604" spans="1:4" x14ac:dyDescent="0.3">
      <c r="A1604" s="4" t="s">
        <v>19</v>
      </c>
      <c r="B1604" s="4">
        <v>729</v>
      </c>
      <c r="D1604"/>
    </row>
    <row r="1605" spans="1:4" x14ac:dyDescent="0.3">
      <c r="A1605" s="4" t="s">
        <v>16</v>
      </c>
      <c r="B1605" s="4">
        <v>332</v>
      </c>
      <c r="D1605"/>
    </row>
    <row r="1606" spans="1:4" x14ac:dyDescent="0.3">
      <c r="A1606" s="4" t="s">
        <v>19</v>
      </c>
      <c r="B1606" s="4">
        <v>528</v>
      </c>
      <c r="D1606"/>
    </row>
    <row r="1607" spans="1:4" x14ac:dyDescent="0.3">
      <c r="A1607" s="4" t="s">
        <v>10</v>
      </c>
      <c r="B1607" s="4">
        <v>581</v>
      </c>
      <c r="D1607"/>
    </row>
    <row r="1608" spans="1:4" x14ac:dyDescent="0.3">
      <c r="A1608" s="4" t="s">
        <v>10</v>
      </c>
      <c r="B1608" s="4">
        <v>365</v>
      </c>
      <c r="D1608"/>
    </row>
    <row r="1609" spans="1:4" x14ac:dyDescent="0.3">
      <c r="A1609" s="4" t="s">
        <v>6</v>
      </c>
      <c r="B1609" s="4">
        <v>898</v>
      </c>
      <c r="D1609"/>
    </row>
    <row r="1610" spans="1:4" x14ac:dyDescent="0.3">
      <c r="A1610" s="4" t="s">
        <v>18</v>
      </c>
      <c r="B1610" s="4">
        <v>969</v>
      </c>
      <c r="D1610"/>
    </row>
    <row r="1611" spans="1:4" x14ac:dyDescent="0.3">
      <c r="A1611" s="4" t="s">
        <v>7</v>
      </c>
      <c r="B1611" s="4">
        <v>353</v>
      </c>
      <c r="D1611"/>
    </row>
    <row r="1612" spans="1:4" x14ac:dyDescent="0.3">
      <c r="A1612" s="4" t="s">
        <v>11</v>
      </c>
      <c r="B1612" s="4">
        <v>486</v>
      </c>
      <c r="D1612"/>
    </row>
    <row r="1613" spans="1:4" x14ac:dyDescent="0.3">
      <c r="A1613" s="4" t="s">
        <v>16</v>
      </c>
      <c r="B1613" s="4">
        <v>744</v>
      </c>
      <c r="D1613"/>
    </row>
    <row r="1614" spans="1:4" x14ac:dyDescent="0.3">
      <c r="A1614" s="4" t="s">
        <v>7</v>
      </c>
      <c r="B1614" s="4">
        <v>785</v>
      </c>
      <c r="D1614"/>
    </row>
    <row r="1615" spans="1:4" x14ac:dyDescent="0.3">
      <c r="A1615" s="4" t="s">
        <v>17</v>
      </c>
      <c r="B1615" s="4">
        <v>253</v>
      </c>
      <c r="D1615"/>
    </row>
    <row r="1616" spans="1:4" x14ac:dyDescent="0.3">
      <c r="A1616" s="4" t="s">
        <v>18</v>
      </c>
      <c r="B1616" s="4">
        <v>99</v>
      </c>
      <c r="D1616"/>
    </row>
    <row r="1617" spans="1:4" x14ac:dyDescent="0.3">
      <c r="A1617" s="4" t="s">
        <v>13</v>
      </c>
      <c r="B1617" s="4">
        <v>224</v>
      </c>
      <c r="D1617"/>
    </row>
    <row r="1618" spans="1:4" x14ac:dyDescent="0.3">
      <c r="A1618" s="4" t="s">
        <v>18</v>
      </c>
      <c r="B1618" s="4" t="e">
        <v>#REF!</v>
      </c>
      <c r="D1618"/>
    </row>
    <row r="1619" spans="1:4" x14ac:dyDescent="0.3">
      <c r="A1619" s="4" t="s">
        <v>10</v>
      </c>
      <c r="B1619" s="4">
        <v>117</v>
      </c>
      <c r="D1619"/>
    </row>
    <row r="1620" spans="1:4" x14ac:dyDescent="0.3">
      <c r="A1620" s="4" t="s">
        <v>6</v>
      </c>
      <c r="B1620" s="4">
        <v>164</v>
      </c>
      <c r="D1620"/>
    </row>
    <row r="1621" spans="1:4" x14ac:dyDescent="0.3">
      <c r="A1621" s="4" t="s">
        <v>4</v>
      </c>
      <c r="B1621" s="4">
        <v>336</v>
      </c>
      <c r="D1621"/>
    </row>
    <row r="1622" spans="1:4" x14ac:dyDescent="0.3">
      <c r="A1622" s="4" t="s">
        <v>14</v>
      </c>
      <c r="B1622" s="4">
        <v>348</v>
      </c>
      <c r="D1622"/>
    </row>
    <row r="1623" spans="1:4" x14ac:dyDescent="0.3">
      <c r="A1623" s="4" t="s">
        <v>11</v>
      </c>
      <c r="B1623" s="4">
        <v>660</v>
      </c>
      <c r="D1623"/>
    </row>
    <row r="1624" spans="1:4" x14ac:dyDescent="0.3">
      <c r="A1624" s="4" t="s">
        <v>3</v>
      </c>
      <c r="B1624" s="4">
        <v>224</v>
      </c>
      <c r="D1624"/>
    </row>
    <row r="1625" spans="1:4" x14ac:dyDescent="0.3">
      <c r="A1625" s="4" t="s">
        <v>10</v>
      </c>
      <c r="B1625" s="4">
        <v>309</v>
      </c>
      <c r="D1625"/>
    </row>
    <row r="1626" spans="1:4" x14ac:dyDescent="0.3">
      <c r="A1626" s="4" t="s">
        <v>11</v>
      </c>
      <c r="B1626" s="4">
        <v>844</v>
      </c>
      <c r="D1626"/>
    </row>
    <row r="1627" spans="1:4" x14ac:dyDescent="0.3">
      <c r="A1627" s="4" t="s">
        <v>4</v>
      </c>
      <c r="B1627" s="4">
        <v>787</v>
      </c>
      <c r="D1627"/>
    </row>
    <row r="1628" spans="1:4" x14ac:dyDescent="0.3">
      <c r="A1628" s="4" t="s">
        <v>14</v>
      </c>
      <c r="B1628" s="4" t="e">
        <v>#REF!</v>
      </c>
      <c r="D1628"/>
    </row>
    <row r="1629" spans="1:4" x14ac:dyDescent="0.3">
      <c r="A1629" s="4" t="s">
        <v>11</v>
      </c>
      <c r="B1629" s="4">
        <v>807</v>
      </c>
      <c r="D1629"/>
    </row>
    <row r="1630" spans="1:4" x14ac:dyDescent="0.3">
      <c r="A1630" s="4" t="s">
        <v>6</v>
      </c>
      <c r="B1630" s="4">
        <v>858</v>
      </c>
      <c r="D1630"/>
    </row>
    <row r="1631" spans="1:4" x14ac:dyDescent="0.3">
      <c r="A1631" s="4" t="s">
        <v>4</v>
      </c>
      <c r="B1631" s="4">
        <v>862</v>
      </c>
      <c r="D1631"/>
    </row>
    <row r="1632" spans="1:4" x14ac:dyDescent="0.3">
      <c r="A1632" s="4" t="s">
        <v>12</v>
      </c>
      <c r="B1632" s="4">
        <v>366</v>
      </c>
      <c r="D1632"/>
    </row>
    <row r="1633" spans="1:4" x14ac:dyDescent="0.3">
      <c r="A1633" s="4" t="s">
        <v>17</v>
      </c>
      <c r="B1633" s="4">
        <v>427</v>
      </c>
      <c r="D1633"/>
    </row>
    <row r="1634" spans="1:4" x14ac:dyDescent="0.3">
      <c r="A1634" s="4" t="s">
        <v>4</v>
      </c>
      <c r="B1634" s="4">
        <v>838</v>
      </c>
      <c r="D1634"/>
    </row>
    <row r="1635" spans="1:4" x14ac:dyDescent="0.3">
      <c r="A1635" s="4" t="s">
        <v>3</v>
      </c>
      <c r="B1635" s="4">
        <v>602</v>
      </c>
      <c r="D1635"/>
    </row>
    <row r="1636" spans="1:4" x14ac:dyDescent="0.3">
      <c r="A1636" s="4" t="s">
        <v>6</v>
      </c>
      <c r="B1636" s="4">
        <v>713</v>
      </c>
      <c r="D1636"/>
    </row>
    <row r="1637" spans="1:4" x14ac:dyDescent="0.3">
      <c r="A1637" s="4" t="s">
        <v>7</v>
      </c>
      <c r="B1637" s="4">
        <v>819</v>
      </c>
      <c r="D1637"/>
    </row>
    <row r="1638" spans="1:4" x14ac:dyDescent="0.3">
      <c r="A1638" s="4" t="s">
        <v>19</v>
      </c>
      <c r="B1638" s="4">
        <v>306</v>
      </c>
      <c r="D1638"/>
    </row>
    <row r="1639" spans="1:4" x14ac:dyDescent="0.3">
      <c r="A1639" s="4" t="s">
        <v>12</v>
      </c>
      <c r="B1639" s="6">
        <v>311</v>
      </c>
      <c r="D1639"/>
    </row>
    <row r="1640" spans="1:4" x14ac:dyDescent="0.3">
      <c r="A1640" s="4" t="s">
        <v>4</v>
      </c>
      <c r="B1640" s="4">
        <v>672</v>
      </c>
      <c r="D1640"/>
    </row>
    <row r="1641" spans="1:4" x14ac:dyDescent="0.3">
      <c r="A1641" s="4" t="s">
        <v>12</v>
      </c>
      <c r="B1641" s="4">
        <v>836</v>
      </c>
      <c r="D1641"/>
    </row>
    <row r="1642" spans="1:4" x14ac:dyDescent="0.3">
      <c r="A1642" s="4" t="s">
        <v>8</v>
      </c>
      <c r="B1642" s="4">
        <v>904</v>
      </c>
      <c r="D1642"/>
    </row>
    <row r="1643" spans="1:4" x14ac:dyDescent="0.3">
      <c r="A1643" s="4" t="s">
        <v>14</v>
      </c>
      <c r="B1643" s="4">
        <v>464</v>
      </c>
      <c r="D1643"/>
    </row>
    <row r="1644" spans="1:4" x14ac:dyDescent="0.3">
      <c r="A1644" s="4" t="s">
        <v>3</v>
      </c>
      <c r="B1644" s="4">
        <v>352</v>
      </c>
      <c r="D1644"/>
    </row>
    <row r="1645" spans="1:4" x14ac:dyDescent="0.3">
      <c r="A1645" s="4" t="s">
        <v>7</v>
      </c>
      <c r="B1645" s="4">
        <v>825</v>
      </c>
      <c r="D1645"/>
    </row>
    <row r="1646" spans="1:4" x14ac:dyDescent="0.3">
      <c r="A1646" s="4" t="s">
        <v>14</v>
      </c>
      <c r="B1646" s="4">
        <v>246</v>
      </c>
      <c r="D1646"/>
    </row>
    <row r="1647" spans="1:4" x14ac:dyDescent="0.3">
      <c r="A1647" s="4" t="s">
        <v>19</v>
      </c>
      <c r="B1647" s="4">
        <v>433</v>
      </c>
      <c r="D1647"/>
    </row>
    <row r="1648" spans="1:4" x14ac:dyDescent="0.3">
      <c r="A1648" s="4" t="s">
        <v>17</v>
      </c>
      <c r="B1648" s="4">
        <v>967</v>
      </c>
      <c r="D1648"/>
    </row>
    <row r="1649" spans="1:4" x14ac:dyDescent="0.3">
      <c r="A1649" s="4" t="s">
        <v>19</v>
      </c>
      <c r="B1649" s="4">
        <v>378</v>
      </c>
      <c r="D1649"/>
    </row>
    <row r="1650" spans="1:4" x14ac:dyDescent="0.3">
      <c r="A1650" s="4" t="s">
        <v>18</v>
      </c>
      <c r="B1650" s="4">
        <v>783</v>
      </c>
      <c r="D1650"/>
    </row>
    <row r="1651" spans="1:4" x14ac:dyDescent="0.3">
      <c r="A1651" s="4" t="s">
        <v>6</v>
      </c>
      <c r="B1651" s="4">
        <v>840</v>
      </c>
      <c r="D1651"/>
    </row>
    <row r="1652" spans="1:4" x14ac:dyDescent="0.3">
      <c r="A1652" s="4" t="s">
        <v>9</v>
      </c>
      <c r="B1652" s="4">
        <v>342</v>
      </c>
      <c r="D1652"/>
    </row>
    <row r="1653" spans="1:4" x14ac:dyDescent="0.3">
      <c r="A1653" s="4" t="s">
        <v>10</v>
      </c>
      <c r="B1653" s="4">
        <v>378</v>
      </c>
      <c r="D1653"/>
    </row>
    <row r="1654" spans="1:4" x14ac:dyDescent="0.3">
      <c r="A1654" s="4" t="s">
        <v>3</v>
      </c>
      <c r="B1654" s="4">
        <v>440</v>
      </c>
      <c r="D1654"/>
    </row>
    <row r="1655" spans="1:4" x14ac:dyDescent="0.3">
      <c r="A1655" s="4" t="s">
        <v>18</v>
      </c>
      <c r="B1655" s="4" t="e">
        <v>#REF!</v>
      </c>
      <c r="D1655"/>
    </row>
    <row r="1656" spans="1:4" x14ac:dyDescent="0.3">
      <c r="A1656" s="4" t="s">
        <v>9</v>
      </c>
      <c r="B1656" s="4">
        <v>202</v>
      </c>
      <c r="D1656"/>
    </row>
    <row r="1657" spans="1:4" x14ac:dyDescent="0.3">
      <c r="A1657" s="4" t="s">
        <v>15</v>
      </c>
      <c r="B1657" s="4">
        <v>347</v>
      </c>
      <c r="D1657"/>
    </row>
    <row r="1658" spans="1:4" x14ac:dyDescent="0.3">
      <c r="A1658" s="4" t="s">
        <v>12</v>
      </c>
      <c r="B1658" s="4" t="e">
        <v>#N/A</v>
      </c>
      <c r="D1658"/>
    </row>
    <row r="1659" spans="1:4" x14ac:dyDescent="0.3">
      <c r="A1659" s="4" t="s">
        <v>14</v>
      </c>
      <c r="B1659" s="4">
        <v>266</v>
      </c>
      <c r="D1659"/>
    </row>
    <row r="1660" spans="1:4" x14ac:dyDescent="0.3">
      <c r="A1660" s="4" t="s">
        <v>10</v>
      </c>
      <c r="B1660" s="4">
        <v>737</v>
      </c>
      <c r="D1660"/>
    </row>
    <row r="1661" spans="1:4" x14ac:dyDescent="0.3">
      <c r="A1661" s="4" t="s">
        <v>15</v>
      </c>
      <c r="B1661" s="4">
        <v>284</v>
      </c>
      <c r="D1661"/>
    </row>
    <row r="1662" spans="1:4" x14ac:dyDescent="0.3">
      <c r="A1662" s="4" t="s">
        <v>12</v>
      </c>
      <c r="B1662" s="4">
        <v>239</v>
      </c>
      <c r="D1662"/>
    </row>
    <row r="1663" spans="1:4" x14ac:dyDescent="0.3">
      <c r="A1663" s="4" t="s">
        <v>9</v>
      </c>
      <c r="B1663" s="4">
        <v>676</v>
      </c>
      <c r="D1663"/>
    </row>
    <row r="1664" spans="1:4" x14ac:dyDescent="0.3">
      <c r="A1664" s="4" t="s">
        <v>10</v>
      </c>
      <c r="B1664" s="4">
        <v>196</v>
      </c>
      <c r="D1664"/>
    </row>
    <row r="1665" spans="1:4" x14ac:dyDescent="0.3">
      <c r="A1665" s="4" t="s">
        <v>9</v>
      </c>
      <c r="B1665" s="4">
        <v>646</v>
      </c>
      <c r="D1665"/>
    </row>
    <row r="1666" spans="1:4" x14ac:dyDescent="0.3">
      <c r="A1666" s="4" t="s">
        <v>15</v>
      </c>
      <c r="B1666" s="4">
        <v>505</v>
      </c>
      <c r="D1666"/>
    </row>
    <row r="1667" spans="1:4" x14ac:dyDescent="0.3">
      <c r="A1667" s="4" t="s">
        <v>15</v>
      </c>
      <c r="B1667" s="4">
        <v>317</v>
      </c>
      <c r="D1667"/>
    </row>
    <row r="1668" spans="1:4" x14ac:dyDescent="0.3">
      <c r="A1668" s="4" t="s">
        <v>19</v>
      </c>
      <c r="B1668" s="4">
        <v>992</v>
      </c>
      <c r="D1668"/>
    </row>
    <row r="1669" spans="1:4" x14ac:dyDescent="0.3">
      <c r="A1669" s="4" t="s">
        <v>17</v>
      </c>
      <c r="B1669" s="4">
        <v>320</v>
      </c>
      <c r="D1669"/>
    </row>
    <row r="1670" spans="1:4" x14ac:dyDescent="0.3">
      <c r="A1670" s="4" t="s">
        <v>10</v>
      </c>
      <c r="B1670" s="4">
        <v>234</v>
      </c>
      <c r="D1670"/>
    </row>
    <row r="1671" spans="1:4" x14ac:dyDescent="0.3">
      <c r="A1671" s="4" t="s">
        <v>12</v>
      </c>
      <c r="B1671" s="4">
        <v>92</v>
      </c>
      <c r="D1671"/>
    </row>
    <row r="1672" spans="1:4" x14ac:dyDescent="0.3">
      <c r="A1672" s="4" t="s">
        <v>13</v>
      </c>
      <c r="B1672" s="4">
        <v>375</v>
      </c>
      <c r="D1672"/>
    </row>
    <row r="1673" spans="1:4" x14ac:dyDescent="0.3">
      <c r="A1673" s="4" t="s">
        <v>19</v>
      </c>
      <c r="B1673" s="4">
        <v>703</v>
      </c>
      <c r="D1673"/>
    </row>
    <row r="1674" spans="1:4" x14ac:dyDescent="0.3">
      <c r="A1674" s="4" t="s">
        <v>19</v>
      </c>
      <c r="B1674" s="4">
        <v>286</v>
      </c>
      <c r="D1674"/>
    </row>
    <row r="1675" spans="1:4" x14ac:dyDescent="0.3">
      <c r="A1675" s="4" t="s">
        <v>8</v>
      </c>
      <c r="B1675" s="4">
        <v>345</v>
      </c>
      <c r="D1675"/>
    </row>
    <row r="1676" spans="1:4" x14ac:dyDescent="0.3">
      <c r="A1676" s="4" t="s">
        <v>10</v>
      </c>
      <c r="B1676" s="4">
        <v>748</v>
      </c>
      <c r="D1676"/>
    </row>
    <row r="1677" spans="1:4" x14ac:dyDescent="0.3">
      <c r="A1677" s="4" t="s">
        <v>12</v>
      </c>
      <c r="B1677" s="4">
        <v>561</v>
      </c>
      <c r="D1677"/>
    </row>
    <row r="1678" spans="1:4" x14ac:dyDescent="0.3">
      <c r="A1678" s="4" t="s">
        <v>4</v>
      </c>
      <c r="B1678" s="4">
        <v>596</v>
      </c>
      <c r="D1678"/>
    </row>
    <row r="1679" spans="1:4" x14ac:dyDescent="0.3">
      <c r="A1679" s="4" t="s">
        <v>8</v>
      </c>
      <c r="B1679" s="4">
        <v>799</v>
      </c>
      <c r="D1679"/>
    </row>
    <row r="1680" spans="1:4" x14ac:dyDescent="0.3">
      <c r="A1680" s="4" t="s">
        <v>19</v>
      </c>
      <c r="B1680" s="4">
        <v>946</v>
      </c>
      <c r="D1680"/>
    </row>
    <row r="1681" spans="1:4" x14ac:dyDescent="0.3">
      <c r="A1681" s="4" t="s">
        <v>19</v>
      </c>
      <c r="B1681" s="4">
        <v>394</v>
      </c>
      <c r="D1681"/>
    </row>
    <row r="1682" spans="1:4" x14ac:dyDescent="0.3">
      <c r="A1682" s="4" t="s">
        <v>19</v>
      </c>
      <c r="B1682" s="4">
        <v>462</v>
      </c>
      <c r="D1682"/>
    </row>
    <row r="1683" spans="1:4" x14ac:dyDescent="0.3">
      <c r="A1683" s="4" t="s">
        <v>16</v>
      </c>
      <c r="B1683" s="4">
        <v>584</v>
      </c>
      <c r="D1683"/>
    </row>
    <row r="1684" spans="1:4" x14ac:dyDescent="0.3">
      <c r="A1684" s="4" t="s">
        <v>8</v>
      </c>
      <c r="B1684" s="4">
        <v>836</v>
      </c>
      <c r="D1684"/>
    </row>
    <row r="1685" spans="1:4" x14ac:dyDescent="0.3">
      <c r="A1685" s="4" t="s">
        <v>8</v>
      </c>
      <c r="B1685" s="4">
        <v>862</v>
      </c>
      <c r="D1685"/>
    </row>
    <row r="1686" spans="1:4" x14ac:dyDescent="0.3">
      <c r="A1686" s="4" t="s">
        <v>19</v>
      </c>
      <c r="B1686" s="4">
        <v>190</v>
      </c>
      <c r="D1686"/>
    </row>
    <row r="1687" spans="1:4" x14ac:dyDescent="0.3">
      <c r="A1687" s="4" t="s">
        <v>10</v>
      </c>
      <c r="B1687" s="4">
        <v>951</v>
      </c>
      <c r="D1687"/>
    </row>
    <row r="1688" spans="1:4" x14ac:dyDescent="0.3">
      <c r="A1688" s="4" t="s">
        <v>3</v>
      </c>
      <c r="B1688" s="4">
        <v>709</v>
      </c>
      <c r="D1688"/>
    </row>
    <row r="1689" spans="1:4" x14ac:dyDescent="0.3">
      <c r="A1689" s="4" t="s">
        <v>13</v>
      </c>
      <c r="B1689" s="4">
        <v>137</v>
      </c>
      <c r="D1689"/>
    </row>
    <row r="1690" spans="1:4" x14ac:dyDescent="0.3">
      <c r="A1690" s="4" t="s">
        <v>19</v>
      </c>
      <c r="B1690" s="4">
        <v>236</v>
      </c>
      <c r="D1690"/>
    </row>
    <row r="1691" spans="1:4" x14ac:dyDescent="0.3">
      <c r="A1691" s="4" t="s">
        <v>16</v>
      </c>
      <c r="B1691" s="4">
        <v>549</v>
      </c>
      <c r="D1691"/>
    </row>
    <row r="1692" spans="1:4" x14ac:dyDescent="0.3">
      <c r="A1692" s="4" t="s">
        <v>19</v>
      </c>
      <c r="B1692" s="4">
        <v>910</v>
      </c>
      <c r="D1692"/>
    </row>
    <row r="1693" spans="1:4" x14ac:dyDescent="0.3">
      <c r="A1693" s="4" t="s">
        <v>19</v>
      </c>
      <c r="B1693" s="4">
        <v>140</v>
      </c>
      <c r="D1693"/>
    </row>
    <row r="1694" spans="1:4" x14ac:dyDescent="0.3">
      <c r="A1694" s="4" t="s">
        <v>12</v>
      </c>
      <c r="B1694" s="4">
        <v>185</v>
      </c>
      <c r="D1694"/>
    </row>
    <row r="1695" spans="1:4" x14ac:dyDescent="0.3">
      <c r="A1695" s="4" t="s">
        <v>4</v>
      </c>
      <c r="B1695" s="4">
        <v>270</v>
      </c>
      <c r="D1695"/>
    </row>
    <row r="1696" spans="1:4" x14ac:dyDescent="0.3">
      <c r="A1696" s="4" t="s">
        <v>11</v>
      </c>
      <c r="B1696" s="4">
        <v>310</v>
      </c>
      <c r="D1696"/>
    </row>
    <row r="1697" spans="1:4" x14ac:dyDescent="0.3">
      <c r="A1697" s="4" t="s">
        <v>3</v>
      </c>
      <c r="B1697" s="4">
        <v>808</v>
      </c>
      <c r="D1697"/>
    </row>
    <row r="1698" spans="1:4" x14ac:dyDescent="0.3">
      <c r="A1698" s="4" t="s">
        <v>17</v>
      </c>
      <c r="B1698" s="4">
        <v>772</v>
      </c>
      <c r="D1698"/>
    </row>
    <row r="1699" spans="1:4" x14ac:dyDescent="0.3">
      <c r="A1699" s="4" t="s">
        <v>11</v>
      </c>
      <c r="B1699" s="4">
        <v>121</v>
      </c>
      <c r="D1699"/>
    </row>
    <row r="1700" spans="1:4" x14ac:dyDescent="0.3">
      <c r="A1700" s="4" t="s">
        <v>6</v>
      </c>
      <c r="B1700" s="4">
        <v>552</v>
      </c>
      <c r="D1700"/>
    </row>
    <row r="1701" spans="1:4" x14ac:dyDescent="0.3">
      <c r="A1701" s="4" t="s">
        <v>3</v>
      </c>
      <c r="B1701" s="4" t="e">
        <v>#N/A</v>
      </c>
      <c r="D1701"/>
    </row>
    <row r="1702" spans="1:4" x14ac:dyDescent="0.3">
      <c r="A1702" s="4" t="s">
        <v>19</v>
      </c>
      <c r="B1702" s="4">
        <v>550</v>
      </c>
      <c r="D1702"/>
    </row>
    <row r="1703" spans="1:4" x14ac:dyDescent="0.3">
      <c r="A1703" s="4" t="s">
        <v>16</v>
      </c>
      <c r="B1703" s="4">
        <v>951</v>
      </c>
      <c r="D1703"/>
    </row>
    <row r="1704" spans="1:4" x14ac:dyDescent="0.3">
      <c r="A1704" s="4" t="s">
        <v>12</v>
      </c>
      <c r="B1704" s="4">
        <v>780</v>
      </c>
      <c r="D1704"/>
    </row>
    <row r="1705" spans="1:4" x14ac:dyDescent="0.3">
      <c r="A1705" s="4" t="s">
        <v>10</v>
      </c>
      <c r="B1705" s="4">
        <v>833</v>
      </c>
      <c r="D1705"/>
    </row>
    <row r="1706" spans="1:4" x14ac:dyDescent="0.3">
      <c r="A1706" s="4" t="s">
        <v>19</v>
      </c>
      <c r="B1706" s="4">
        <v>886</v>
      </c>
      <c r="D1706"/>
    </row>
    <row r="1707" spans="1:4" x14ac:dyDescent="0.3">
      <c r="A1707" s="4" t="s">
        <v>7</v>
      </c>
      <c r="B1707" s="4">
        <v>506</v>
      </c>
      <c r="D1707"/>
    </row>
    <row r="1708" spans="1:4" x14ac:dyDescent="0.3">
      <c r="A1708" s="4" t="s">
        <v>13</v>
      </c>
      <c r="B1708" s="4">
        <v>741</v>
      </c>
      <c r="D1708"/>
    </row>
    <row r="1709" spans="1:4" x14ac:dyDescent="0.3">
      <c r="A1709" s="4" t="s">
        <v>9</v>
      </c>
      <c r="B1709" s="4">
        <v>658</v>
      </c>
      <c r="D1709"/>
    </row>
    <row r="1710" spans="1:4" x14ac:dyDescent="0.3">
      <c r="A1710" s="4" t="s">
        <v>13</v>
      </c>
      <c r="B1710" s="4">
        <v>922</v>
      </c>
      <c r="D1710"/>
    </row>
    <row r="1711" spans="1:4" x14ac:dyDescent="0.3">
      <c r="A1711" s="4" t="s">
        <v>10</v>
      </c>
      <c r="B1711" s="4">
        <v>491</v>
      </c>
      <c r="D1711"/>
    </row>
    <row r="1712" spans="1:4" x14ac:dyDescent="0.3">
      <c r="A1712" s="4" t="s">
        <v>10</v>
      </c>
      <c r="B1712" s="4">
        <v>212</v>
      </c>
      <c r="D1712"/>
    </row>
    <row r="1713" spans="1:4" x14ac:dyDescent="0.3">
      <c r="A1713" s="4" t="s">
        <v>19</v>
      </c>
      <c r="B1713" s="4">
        <v>113</v>
      </c>
      <c r="D1713"/>
    </row>
    <row r="1714" spans="1:4" x14ac:dyDescent="0.3">
      <c r="A1714" s="4" t="s">
        <v>13</v>
      </c>
      <c r="B1714" s="4">
        <v>676</v>
      </c>
      <c r="D1714"/>
    </row>
    <row r="1715" spans="1:4" x14ac:dyDescent="0.3">
      <c r="A1715" s="4" t="s">
        <v>4</v>
      </c>
      <c r="B1715" s="4">
        <v>128</v>
      </c>
      <c r="D1715"/>
    </row>
    <row r="1716" spans="1:4" x14ac:dyDescent="0.3">
      <c r="A1716" s="4" t="s">
        <v>16</v>
      </c>
      <c r="B1716" s="4">
        <v>588</v>
      </c>
      <c r="D1716"/>
    </row>
    <row r="1717" spans="1:4" x14ac:dyDescent="0.3">
      <c r="A1717" s="4" t="s">
        <v>10</v>
      </c>
      <c r="B1717" s="4">
        <v>865</v>
      </c>
      <c r="D1717"/>
    </row>
    <row r="1718" spans="1:4" x14ac:dyDescent="0.3">
      <c r="A1718" s="4" t="s">
        <v>4</v>
      </c>
      <c r="B1718" s="4">
        <v>829</v>
      </c>
      <c r="D1718"/>
    </row>
    <row r="1719" spans="1:4" x14ac:dyDescent="0.3">
      <c r="A1719" s="4" t="s">
        <v>19</v>
      </c>
      <c r="B1719" s="4" t="e">
        <v>#REF!</v>
      </c>
      <c r="D1719"/>
    </row>
    <row r="1720" spans="1:4" x14ac:dyDescent="0.3">
      <c r="A1720" s="4" t="s">
        <v>15</v>
      </c>
      <c r="B1720" s="4">
        <v>511</v>
      </c>
      <c r="D1720"/>
    </row>
    <row r="1721" spans="1:4" x14ac:dyDescent="0.3">
      <c r="A1721" s="4" t="s">
        <v>11</v>
      </c>
      <c r="B1721" s="4">
        <v>984</v>
      </c>
      <c r="D1721"/>
    </row>
    <row r="1722" spans="1:4" x14ac:dyDescent="0.3">
      <c r="A1722" s="4" t="s">
        <v>3</v>
      </c>
      <c r="B1722" s="4">
        <v>466</v>
      </c>
      <c r="D1722"/>
    </row>
    <row r="1723" spans="1:4" x14ac:dyDescent="0.3">
      <c r="A1723" s="4" t="s">
        <v>14</v>
      </c>
      <c r="B1723" s="4">
        <v>417</v>
      </c>
      <c r="D1723"/>
    </row>
    <row r="1724" spans="1:4" x14ac:dyDescent="0.3">
      <c r="A1724" s="4" t="s">
        <v>14</v>
      </c>
      <c r="B1724" s="4">
        <v>864</v>
      </c>
      <c r="D1724"/>
    </row>
    <row r="1725" spans="1:4" x14ac:dyDescent="0.3">
      <c r="A1725" s="4" t="s">
        <v>14</v>
      </c>
      <c r="B1725" s="4">
        <v>77</v>
      </c>
      <c r="D1725"/>
    </row>
    <row r="1726" spans="1:4" x14ac:dyDescent="0.3">
      <c r="A1726" s="4" t="s">
        <v>16</v>
      </c>
      <c r="B1726" s="4">
        <v>142</v>
      </c>
      <c r="D1726"/>
    </row>
    <row r="1727" spans="1:4" x14ac:dyDescent="0.3">
      <c r="A1727" s="4" t="s">
        <v>4</v>
      </c>
      <c r="B1727" s="4">
        <v>558</v>
      </c>
      <c r="D1727"/>
    </row>
    <row r="1728" spans="1:4" x14ac:dyDescent="0.3">
      <c r="A1728" s="4" t="s">
        <v>7</v>
      </c>
      <c r="B1728" s="4">
        <v>947</v>
      </c>
      <c r="D1728"/>
    </row>
    <row r="1729" spans="1:4" x14ac:dyDescent="0.3">
      <c r="A1729" s="4" t="s">
        <v>11</v>
      </c>
      <c r="B1729" s="4">
        <v>309</v>
      </c>
      <c r="D1729"/>
    </row>
    <row r="1730" spans="1:4" x14ac:dyDescent="0.3">
      <c r="A1730" s="4" t="s">
        <v>3</v>
      </c>
      <c r="B1730" s="4">
        <v>733</v>
      </c>
      <c r="D1730"/>
    </row>
    <row r="1731" spans="1:4" x14ac:dyDescent="0.3">
      <c r="A1731" s="4" t="s">
        <v>15</v>
      </c>
      <c r="B1731" s="4">
        <v>131</v>
      </c>
      <c r="D1731"/>
    </row>
    <row r="1732" spans="1:4" x14ac:dyDescent="0.3">
      <c r="A1732" s="4" t="s">
        <v>15</v>
      </c>
      <c r="B1732" s="4">
        <v>294</v>
      </c>
      <c r="D1732"/>
    </row>
    <row r="1733" spans="1:4" x14ac:dyDescent="0.3">
      <c r="A1733" s="4" t="s">
        <v>4</v>
      </c>
      <c r="B1733" s="4">
        <v>718</v>
      </c>
      <c r="D1733"/>
    </row>
    <row r="1734" spans="1:4" x14ac:dyDescent="0.3">
      <c r="A1734" s="4" t="s">
        <v>8</v>
      </c>
      <c r="B1734" s="4">
        <v>493</v>
      </c>
      <c r="D1734"/>
    </row>
    <row r="1735" spans="1:4" x14ac:dyDescent="0.3">
      <c r="A1735" s="4" t="s">
        <v>3</v>
      </c>
      <c r="B1735" s="4">
        <v>618</v>
      </c>
      <c r="D1735"/>
    </row>
    <row r="1736" spans="1:4" x14ac:dyDescent="0.3">
      <c r="A1736" s="4" t="s">
        <v>16</v>
      </c>
      <c r="B1736" s="4">
        <v>238</v>
      </c>
      <c r="D1736"/>
    </row>
    <row r="1737" spans="1:4" x14ac:dyDescent="0.3">
      <c r="A1737" s="4" t="s">
        <v>7</v>
      </c>
      <c r="B1737" s="4">
        <v>509</v>
      </c>
      <c r="D1737"/>
    </row>
    <row r="1738" spans="1:4" x14ac:dyDescent="0.3">
      <c r="A1738" s="4" t="s">
        <v>13</v>
      </c>
      <c r="B1738" s="4">
        <v>825</v>
      </c>
      <c r="D1738"/>
    </row>
    <row r="1739" spans="1:4" x14ac:dyDescent="0.3">
      <c r="A1739" s="4" t="s">
        <v>8</v>
      </c>
      <c r="B1739" s="4">
        <v>322</v>
      </c>
      <c r="D1739"/>
    </row>
    <row r="1740" spans="1:4" x14ac:dyDescent="0.3">
      <c r="A1740" s="4" t="s">
        <v>19</v>
      </c>
      <c r="B1740" s="4">
        <v>404</v>
      </c>
      <c r="D1740"/>
    </row>
    <row r="1741" spans="1:4" x14ac:dyDescent="0.3">
      <c r="A1741" s="4" t="s">
        <v>6</v>
      </c>
      <c r="B1741" s="4">
        <v>166</v>
      </c>
      <c r="D1741"/>
    </row>
    <row r="1742" spans="1:4" x14ac:dyDescent="0.3">
      <c r="A1742" s="4" t="s">
        <v>3</v>
      </c>
      <c r="B1742" s="4">
        <v>938</v>
      </c>
      <c r="D1742"/>
    </row>
    <row r="1743" spans="1:4" x14ac:dyDescent="0.3">
      <c r="A1743" s="4" t="s">
        <v>10</v>
      </c>
      <c r="B1743" s="4">
        <v>744</v>
      </c>
      <c r="D1743"/>
    </row>
    <row r="1744" spans="1:4" x14ac:dyDescent="0.3">
      <c r="A1744" s="4" t="s">
        <v>17</v>
      </c>
      <c r="B1744" s="4">
        <v>382</v>
      </c>
      <c r="D1744"/>
    </row>
    <row r="1745" spans="1:4" x14ac:dyDescent="0.3">
      <c r="A1745" s="4" t="s">
        <v>17</v>
      </c>
      <c r="B1745" s="4">
        <v>983</v>
      </c>
      <c r="D1745"/>
    </row>
    <row r="1746" spans="1:4" x14ac:dyDescent="0.3">
      <c r="A1746" s="4" t="s">
        <v>11</v>
      </c>
      <c r="B1746" s="4">
        <v>150</v>
      </c>
      <c r="D1746"/>
    </row>
    <row r="1747" spans="1:4" x14ac:dyDescent="0.3">
      <c r="A1747" s="4" t="s">
        <v>12</v>
      </c>
      <c r="B1747" s="4">
        <v>327</v>
      </c>
      <c r="D1747"/>
    </row>
    <row r="1748" spans="1:4" x14ac:dyDescent="0.3">
      <c r="A1748" s="4" t="s">
        <v>6</v>
      </c>
      <c r="B1748" s="4">
        <v>744</v>
      </c>
      <c r="D1748"/>
    </row>
    <row r="1749" spans="1:4" x14ac:dyDescent="0.3">
      <c r="A1749" s="4" t="s">
        <v>8</v>
      </c>
      <c r="B1749" s="4">
        <v>302</v>
      </c>
      <c r="D1749"/>
    </row>
    <row r="1750" spans="1:4" x14ac:dyDescent="0.3">
      <c r="A1750" s="4" t="s">
        <v>8</v>
      </c>
      <c r="B1750" s="4">
        <v>365</v>
      </c>
      <c r="D1750"/>
    </row>
    <row r="1751" spans="1:4" x14ac:dyDescent="0.3">
      <c r="A1751" s="4" t="s">
        <v>14</v>
      </c>
      <c r="B1751" s="4">
        <v>24</v>
      </c>
      <c r="D1751"/>
    </row>
    <row r="1752" spans="1:4" x14ac:dyDescent="0.3">
      <c r="A1752" s="4" t="s">
        <v>9</v>
      </c>
      <c r="B1752" s="4">
        <v>358</v>
      </c>
      <c r="D1752"/>
    </row>
    <row r="1753" spans="1:4" x14ac:dyDescent="0.3">
      <c r="A1753" s="4" t="s">
        <v>19</v>
      </c>
      <c r="B1753" s="4">
        <v>425</v>
      </c>
      <c r="D1753"/>
    </row>
    <row r="1754" spans="1:4" x14ac:dyDescent="0.3">
      <c r="A1754" s="4" t="s">
        <v>14</v>
      </c>
      <c r="B1754" s="4">
        <v>903</v>
      </c>
      <c r="D1754"/>
    </row>
    <row r="1755" spans="1:4" x14ac:dyDescent="0.3">
      <c r="A1755" s="4" t="s">
        <v>4</v>
      </c>
      <c r="B1755" s="4">
        <v>225</v>
      </c>
      <c r="D1755"/>
    </row>
    <row r="1756" spans="1:4" x14ac:dyDescent="0.3">
      <c r="A1756" s="4" t="s">
        <v>7</v>
      </c>
      <c r="B1756" s="4">
        <v>714</v>
      </c>
      <c r="D1756"/>
    </row>
    <row r="1757" spans="1:4" x14ac:dyDescent="0.3">
      <c r="A1757" s="4" t="s">
        <v>19</v>
      </c>
      <c r="B1757" s="4">
        <v>561</v>
      </c>
      <c r="D1757"/>
    </row>
    <row r="1758" spans="1:4" x14ac:dyDescent="0.3">
      <c r="A1758" s="4" t="s">
        <v>16</v>
      </c>
      <c r="B1758" s="4">
        <v>916</v>
      </c>
      <c r="D1758"/>
    </row>
    <row r="1759" spans="1:4" x14ac:dyDescent="0.3">
      <c r="A1759" s="4" t="s">
        <v>10</v>
      </c>
      <c r="B1759" s="4">
        <v>733</v>
      </c>
      <c r="D1759"/>
    </row>
    <row r="1760" spans="1:4" x14ac:dyDescent="0.3">
      <c r="A1760" s="4" t="s">
        <v>13</v>
      </c>
      <c r="B1760" s="4">
        <v>802</v>
      </c>
      <c r="D1760"/>
    </row>
    <row r="1761" spans="1:4" x14ac:dyDescent="0.3">
      <c r="A1761" s="4" t="s">
        <v>6</v>
      </c>
      <c r="B1761" s="4">
        <v>985</v>
      </c>
      <c r="D1761"/>
    </row>
    <row r="1762" spans="1:4" x14ac:dyDescent="0.3">
      <c r="A1762" s="4" t="s">
        <v>11</v>
      </c>
      <c r="B1762" s="4">
        <v>478</v>
      </c>
      <c r="D1762"/>
    </row>
    <row r="1763" spans="1:4" x14ac:dyDescent="0.3">
      <c r="A1763" s="4" t="s">
        <v>9</v>
      </c>
      <c r="B1763" s="4">
        <v>744</v>
      </c>
      <c r="D1763"/>
    </row>
    <row r="1764" spans="1:4" x14ac:dyDescent="0.3">
      <c r="A1764" s="4" t="s">
        <v>11</v>
      </c>
      <c r="B1764" s="4">
        <v>650</v>
      </c>
      <c r="D1764"/>
    </row>
    <row r="1765" spans="1:4" x14ac:dyDescent="0.3">
      <c r="A1765" s="4" t="s">
        <v>6</v>
      </c>
      <c r="B1765" s="4">
        <v>407</v>
      </c>
      <c r="D1765"/>
    </row>
    <row r="1766" spans="1:4" x14ac:dyDescent="0.3">
      <c r="A1766" s="4" t="s">
        <v>7</v>
      </c>
      <c r="B1766" s="4">
        <v>536</v>
      </c>
      <c r="D1766"/>
    </row>
    <row r="1767" spans="1:4" x14ac:dyDescent="0.3">
      <c r="A1767" s="4" t="s">
        <v>6</v>
      </c>
      <c r="B1767" s="4">
        <v>590</v>
      </c>
      <c r="D1767"/>
    </row>
    <row r="1768" spans="1:4" x14ac:dyDescent="0.3">
      <c r="A1768" s="4" t="s">
        <v>10</v>
      </c>
      <c r="B1768" s="4">
        <v>408</v>
      </c>
      <c r="D1768"/>
    </row>
    <row r="1769" spans="1:4" x14ac:dyDescent="0.3">
      <c r="A1769" s="4" t="s">
        <v>4</v>
      </c>
      <c r="B1769" s="4">
        <v>389</v>
      </c>
      <c r="D1769"/>
    </row>
    <row r="1770" spans="1:4" x14ac:dyDescent="0.3">
      <c r="A1770" s="4" t="s">
        <v>4</v>
      </c>
      <c r="B1770" s="4" t="e">
        <v>#REF!</v>
      </c>
      <c r="D1770"/>
    </row>
    <row r="1771" spans="1:4" x14ac:dyDescent="0.3">
      <c r="A1771" s="4" t="s">
        <v>11</v>
      </c>
      <c r="B1771" s="4">
        <v>121</v>
      </c>
      <c r="D1771"/>
    </row>
    <row r="1772" spans="1:4" x14ac:dyDescent="0.3">
      <c r="A1772" s="4" t="s">
        <v>9</v>
      </c>
      <c r="B1772" s="4">
        <v>183</v>
      </c>
      <c r="D1772"/>
    </row>
    <row r="1773" spans="1:4" x14ac:dyDescent="0.3">
      <c r="A1773" s="4" t="s">
        <v>18</v>
      </c>
      <c r="B1773" s="4">
        <v>194</v>
      </c>
      <c r="D1773"/>
    </row>
    <row r="1774" spans="1:4" x14ac:dyDescent="0.3">
      <c r="A1774" s="4" t="s">
        <v>14</v>
      </c>
      <c r="B1774" s="4">
        <v>375</v>
      </c>
      <c r="D1774"/>
    </row>
    <row r="1775" spans="1:4" x14ac:dyDescent="0.3">
      <c r="A1775" s="4" t="s">
        <v>10</v>
      </c>
      <c r="B1775" s="4">
        <v>951</v>
      </c>
      <c r="D1775"/>
    </row>
    <row r="1776" spans="1:4" x14ac:dyDescent="0.3">
      <c r="A1776" s="4" t="s">
        <v>18</v>
      </c>
      <c r="B1776" s="4">
        <v>646</v>
      </c>
      <c r="D1776"/>
    </row>
    <row r="1777" spans="1:4" x14ac:dyDescent="0.3">
      <c r="A1777" s="4" t="s">
        <v>19</v>
      </c>
      <c r="B1777" s="4">
        <v>443</v>
      </c>
      <c r="D1777"/>
    </row>
    <row r="1778" spans="1:4" x14ac:dyDescent="0.3">
      <c r="A1778" s="4" t="s">
        <v>4</v>
      </c>
      <c r="B1778" s="4">
        <v>526</v>
      </c>
      <c r="D1778"/>
    </row>
    <row r="1779" spans="1:4" x14ac:dyDescent="0.3">
      <c r="A1779" s="4" t="s">
        <v>16</v>
      </c>
      <c r="B1779" s="4">
        <v>161</v>
      </c>
      <c r="D1779"/>
    </row>
    <row r="1780" spans="1:4" x14ac:dyDescent="0.3">
      <c r="A1780" s="4" t="s">
        <v>6</v>
      </c>
      <c r="B1780" s="4">
        <v>299</v>
      </c>
      <c r="D1780"/>
    </row>
    <row r="1781" spans="1:4" x14ac:dyDescent="0.3">
      <c r="A1781" s="4" t="s">
        <v>19</v>
      </c>
      <c r="B1781" s="4">
        <v>766</v>
      </c>
      <c r="D1781"/>
    </row>
    <row r="1782" spans="1:4" x14ac:dyDescent="0.3">
      <c r="A1782" s="4" t="s">
        <v>4</v>
      </c>
      <c r="B1782" s="4">
        <v>488</v>
      </c>
      <c r="D1782"/>
    </row>
    <row r="1783" spans="1:4" x14ac:dyDescent="0.3">
      <c r="A1783" s="4" t="s">
        <v>11</v>
      </c>
      <c r="B1783" s="4">
        <v>702</v>
      </c>
      <c r="D1783"/>
    </row>
    <row r="1784" spans="1:4" x14ac:dyDescent="0.3">
      <c r="A1784" s="4" t="s">
        <v>13</v>
      </c>
      <c r="B1784" s="4">
        <v>493</v>
      </c>
      <c r="D1784"/>
    </row>
    <row r="1785" spans="1:4" x14ac:dyDescent="0.3">
      <c r="A1785" s="4" t="s">
        <v>8</v>
      </c>
      <c r="B1785" s="4">
        <v>123</v>
      </c>
      <c r="D1785"/>
    </row>
    <row r="1786" spans="1:4" x14ac:dyDescent="0.3">
      <c r="A1786" s="4" t="s">
        <v>10</v>
      </c>
      <c r="B1786" s="4">
        <v>682</v>
      </c>
      <c r="D1786"/>
    </row>
    <row r="1787" spans="1:4" x14ac:dyDescent="0.3">
      <c r="A1787" s="4" t="s">
        <v>15</v>
      </c>
      <c r="B1787" s="4">
        <v>910</v>
      </c>
      <c r="D1787"/>
    </row>
    <row r="1788" spans="1:4" x14ac:dyDescent="0.3">
      <c r="A1788" s="4" t="s">
        <v>15</v>
      </c>
      <c r="B1788" s="4">
        <v>898</v>
      </c>
      <c r="D1788"/>
    </row>
    <row r="1789" spans="1:4" x14ac:dyDescent="0.3">
      <c r="A1789" s="4" t="s">
        <v>9</v>
      </c>
      <c r="B1789" s="4">
        <v>135</v>
      </c>
      <c r="D1789"/>
    </row>
    <row r="1790" spans="1:4" x14ac:dyDescent="0.3">
      <c r="A1790" s="4" t="s">
        <v>4</v>
      </c>
      <c r="B1790" s="4">
        <v>584</v>
      </c>
      <c r="D1790"/>
    </row>
    <row r="1791" spans="1:4" x14ac:dyDescent="0.3">
      <c r="A1791" s="4" t="s">
        <v>10</v>
      </c>
      <c r="B1791" s="4">
        <v>415</v>
      </c>
      <c r="D1791"/>
    </row>
    <row r="1792" spans="1:4" x14ac:dyDescent="0.3">
      <c r="A1792" s="4" t="s">
        <v>19</v>
      </c>
      <c r="B1792" s="4">
        <v>134</v>
      </c>
      <c r="D1792"/>
    </row>
    <row r="1793" spans="1:4" x14ac:dyDescent="0.3">
      <c r="A1793" s="4" t="s">
        <v>4</v>
      </c>
      <c r="B1793" s="4">
        <v>557</v>
      </c>
      <c r="D1793"/>
    </row>
    <row r="1794" spans="1:4" x14ac:dyDescent="0.3">
      <c r="A1794" s="4" t="s">
        <v>8</v>
      </c>
      <c r="B1794" s="4">
        <v>569</v>
      </c>
      <c r="D1794"/>
    </row>
    <row r="1795" spans="1:4" x14ac:dyDescent="0.3">
      <c r="A1795" s="4" t="s">
        <v>4</v>
      </c>
      <c r="B1795" s="4">
        <v>842</v>
      </c>
      <c r="D1795"/>
    </row>
    <row r="1796" spans="1:4" x14ac:dyDescent="0.3">
      <c r="A1796" s="4" t="s">
        <v>18</v>
      </c>
      <c r="B1796" s="4" t="e">
        <v>#N/A</v>
      </c>
      <c r="D1796"/>
    </row>
    <row r="1797" spans="1:4" x14ac:dyDescent="0.3">
      <c r="A1797" s="4" t="s">
        <v>9</v>
      </c>
      <c r="B1797" s="4">
        <v>202</v>
      </c>
      <c r="D1797"/>
    </row>
    <row r="1798" spans="1:4" x14ac:dyDescent="0.3">
      <c r="A1798" s="4" t="s">
        <v>12</v>
      </c>
      <c r="B1798" s="4">
        <v>279</v>
      </c>
      <c r="D1798"/>
    </row>
    <row r="1799" spans="1:4" x14ac:dyDescent="0.3">
      <c r="A1799" s="4" t="s">
        <v>10</v>
      </c>
      <c r="B1799" s="4">
        <v>334</v>
      </c>
      <c r="D1799"/>
    </row>
    <row r="1800" spans="1:4" x14ac:dyDescent="0.3">
      <c r="A1800" s="4" t="s">
        <v>11</v>
      </c>
      <c r="B1800" s="4">
        <v>869</v>
      </c>
      <c r="D1800"/>
    </row>
    <row r="1801" spans="1:4" x14ac:dyDescent="0.3">
      <c r="A1801" s="4" t="s">
        <v>19</v>
      </c>
      <c r="B1801" s="4">
        <v>26</v>
      </c>
      <c r="D1801"/>
    </row>
    <row r="1802" spans="1:4" x14ac:dyDescent="0.3">
      <c r="A1802" s="4" t="s">
        <v>8</v>
      </c>
      <c r="B1802" s="4">
        <v>709</v>
      </c>
      <c r="D1802"/>
    </row>
    <row r="1803" spans="1:4" x14ac:dyDescent="0.3">
      <c r="A1803" s="4" t="s">
        <v>9</v>
      </c>
      <c r="B1803" s="4">
        <v>422</v>
      </c>
      <c r="D1803"/>
    </row>
    <row r="1804" spans="1:4" x14ac:dyDescent="0.3">
      <c r="A1804" s="4" t="s">
        <v>14</v>
      </c>
      <c r="B1804" s="4">
        <v>525</v>
      </c>
      <c r="D1804"/>
    </row>
    <row r="1805" spans="1:4" x14ac:dyDescent="0.3">
      <c r="A1805" s="4" t="s">
        <v>11</v>
      </c>
      <c r="B1805" s="4">
        <v>796</v>
      </c>
      <c r="D1805"/>
    </row>
    <row r="1806" spans="1:4" x14ac:dyDescent="0.3">
      <c r="A1806" s="4" t="s">
        <v>15</v>
      </c>
      <c r="B1806" s="4">
        <v>572</v>
      </c>
      <c r="D1806"/>
    </row>
    <row r="1807" spans="1:4" x14ac:dyDescent="0.3">
      <c r="A1807" s="4" t="s">
        <v>14</v>
      </c>
      <c r="B1807" s="4">
        <v>596</v>
      </c>
      <c r="D1807"/>
    </row>
    <row r="1808" spans="1:4" x14ac:dyDescent="0.3">
      <c r="A1808" s="4" t="s">
        <v>11</v>
      </c>
      <c r="B1808" s="4">
        <v>970</v>
      </c>
      <c r="D1808"/>
    </row>
    <row r="1809" spans="1:4" x14ac:dyDescent="0.3">
      <c r="A1809" s="4" t="s">
        <v>10</v>
      </c>
      <c r="B1809" s="4">
        <v>913</v>
      </c>
      <c r="D1809"/>
    </row>
    <row r="1810" spans="1:4" x14ac:dyDescent="0.3">
      <c r="A1810" s="4" t="s">
        <v>18</v>
      </c>
      <c r="B1810" s="4">
        <v>760</v>
      </c>
      <c r="D1810"/>
    </row>
    <row r="1811" spans="1:4" x14ac:dyDescent="0.3">
      <c r="A1811" s="4" t="s">
        <v>6</v>
      </c>
      <c r="B1811" s="4">
        <v>932</v>
      </c>
      <c r="D1811"/>
    </row>
    <row r="1812" spans="1:4" x14ac:dyDescent="0.3">
      <c r="A1812" s="4" t="s">
        <v>16</v>
      </c>
      <c r="B1812" s="4">
        <v>447</v>
      </c>
      <c r="D1812"/>
    </row>
    <row r="1813" spans="1:4" x14ac:dyDescent="0.3">
      <c r="A1813" s="4" t="s">
        <v>10</v>
      </c>
      <c r="B1813" s="4">
        <v>164</v>
      </c>
      <c r="D1813"/>
    </row>
    <row r="1814" spans="1:4" x14ac:dyDescent="0.3">
      <c r="A1814" s="4" t="s">
        <v>18</v>
      </c>
      <c r="B1814" s="4">
        <v>943</v>
      </c>
      <c r="D1814"/>
    </row>
    <row r="1815" spans="1:4" x14ac:dyDescent="0.3">
      <c r="A1815" s="4" t="s">
        <v>19</v>
      </c>
      <c r="B1815" s="4" t="e">
        <v>#N/A</v>
      </c>
      <c r="D1815"/>
    </row>
    <row r="1816" spans="1:4" x14ac:dyDescent="0.3">
      <c r="A1816" s="4" t="s">
        <v>10</v>
      </c>
      <c r="B1816" s="4">
        <v>579</v>
      </c>
      <c r="D1816"/>
    </row>
    <row r="1817" spans="1:4" x14ac:dyDescent="0.3">
      <c r="A1817" s="4" t="s">
        <v>3</v>
      </c>
      <c r="B1817" s="4">
        <v>915</v>
      </c>
      <c r="D1817"/>
    </row>
    <row r="1818" spans="1:4" x14ac:dyDescent="0.3">
      <c r="A1818" s="4" t="s">
        <v>4</v>
      </c>
      <c r="B1818" s="4">
        <v>916</v>
      </c>
      <c r="D1818"/>
    </row>
    <row r="1819" spans="1:4" x14ac:dyDescent="0.3">
      <c r="A1819" s="4" t="s">
        <v>7</v>
      </c>
      <c r="B1819" s="4">
        <v>609</v>
      </c>
      <c r="D1819"/>
    </row>
    <row r="1820" spans="1:4" x14ac:dyDescent="0.3">
      <c r="A1820" s="4" t="s">
        <v>13</v>
      </c>
      <c r="B1820" s="4">
        <v>811</v>
      </c>
      <c r="D1820"/>
    </row>
    <row r="1821" spans="1:4" x14ac:dyDescent="0.3">
      <c r="A1821" s="4" t="s">
        <v>17</v>
      </c>
      <c r="B1821" s="4">
        <v>958</v>
      </c>
      <c r="D1821"/>
    </row>
    <row r="1822" spans="1:4" x14ac:dyDescent="0.3">
      <c r="A1822" s="4" t="s">
        <v>18</v>
      </c>
      <c r="B1822" s="4" t="e">
        <v>#REF!</v>
      </c>
      <c r="D1822"/>
    </row>
    <row r="1823" spans="1:4" x14ac:dyDescent="0.3">
      <c r="A1823" s="4" t="s">
        <v>13</v>
      </c>
      <c r="B1823" s="4">
        <v>244</v>
      </c>
      <c r="D1823"/>
    </row>
    <row r="1824" spans="1:4" x14ac:dyDescent="0.3">
      <c r="A1824" s="4" t="s">
        <v>10</v>
      </c>
      <c r="B1824" s="4">
        <v>325</v>
      </c>
      <c r="D1824"/>
    </row>
    <row r="1825" spans="1:4" x14ac:dyDescent="0.3">
      <c r="A1825" s="4" t="s">
        <v>16</v>
      </c>
      <c r="B1825" s="4">
        <v>996</v>
      </c>
      <c r="D1825"/>
    </row>
    <row r="1826" spans="1:4" x14ac:dyDescent="0.3">
      <c r="A1826" s="4" t="s">
        <v>6</v>
      </c>
      <c r="B1826" s="4">
        <v>656</v>
      </c>
      <c r="D1826"/>
    </row>
    <row r="1827" spans="1:4" x14ac:dyDescent="0.3">
      <c r="A1827" s="4" t="s">
        <v>16</v>
      </c>
      <c r="B1827" s="4">
        <v>258</v>
      </c>
      <c r="D1827"/>
    </row>
    <row r="1828" spans="1:4" x14ac:dyDescent="0.3">
      <c r="A1828" s="4" t="s">
        <v>15</v>
      </c>
      <c r="B1828" s="4">
        <v>273</v>
      </c>
      <c r="D1828"/>
    </row>
    <row r="1829" spans="1:4" x14ac:dyDescent="0.3">
      <c r="A1829" s="4" t="s">
        <v>7</v>
      </c>
      <c r="B1829" s="4">
        <v>621</v>
      </c>
      <c r="D1829"/>
    </row>
    <row r="1830" spans="1:4" x14ac:dyDescent="0.3">
      <c r="A1830" s="4" t="s">
        <v>17</v>
      </c>
      <c r="B1830" s="4">
        <v>865</v>
      </c>
      <c r="D1830"/>
    </row>
    <row r="1831" spans="1:4" x14ac:dyDescent="0.3">
      <c r="A1831" s="4" t="s">
        <v>16</v>
      </c>
      <c r="B1831" s="4" t="e">
        <v>#REF!</v>
      </c>
      <c r="D1831"/>
    </row>
    <row r="1832" spans="1:4" x14ac:dyDescent="0.3">
      <c r="A1832" s="4" t="s">
        <v>7</v>
      </c>
      <c r="B1832" s="4">
        <v>134</v>
      </c>
      <c r="D1832"/>
    </row>
    <row r="1833" spans="1:4" x14ac:dyDescent="0.3">
      <c r="A1833" s="4" t="s">
        <v>10</v>
      </c>
      <c r="B1833" s="4">
        <v>653</v>
      </c>
      <c r="D1833"/>
    </row>
    <row r="1834" spans="1:4" x14ac:dyDescent="0.3">
      <c r="A1834" s="4" t="s">
        <v>7</v>
      </c>
      <c r="B1834" s="4">
        <v>252</v>
      </c>
      <c r="D1834"/>
    </row>
    <row r="1835" spans="1:4" x14ac:dyDescent="0.3">
      <c r="A1835" s="4" t="s">
        <v>15</v>
      </c>
      <c r="B1835" s="4">
        <v>263</v>
      </c>
      <c r="D1835"/>
    </row>
    <row r="1836" spans="1:4" x14ac:dyDescent="0.3">
      <c r="A1836" s="4" t="s">
        <v>10</v>
      </c>
      <c r="B1836" s="4">
        <v>892</v>
      </c>
      <c r="D1836"/>
    </row>
    <row r="1837" spans="1:4" x14ac:dyDescent="0.3">
      <c r="A1837" s="4" t="s">
        <v>19</v>
      </c>
      <c r="B1837" s="4">
        <v>965</v>
      </c>
      <c r="D1837"/>
    </row>
    <row r="1838" spans="1:4" x14ac:dyDescent="0.3">
      <c r="A1838" s="4" t="s">
        <v>8</v>
      </c>
      <c r="B1838" s="4">
        <v>734</v>
      </c>
      <c r="D1838"/>
    </row>
    <row r="1839" spans="1:4" x14ac:dyDescent="0.3">
      <c r="A1839" s="4" t="s">
        <v>13</v>
      </c>
      <c r="B1839" s="4">
        <v>792</v>
      </c>
      <c r="D1839"/>
    </row>
    <row r="1840" spans="1:4" x14ac:dyDescent="0.3">
      <c r="A1840" s="4" t="s">
        <v>12</v>
      </c>
      <c r="B1840" s="4">
        <v>950</v>
      </c>
      <c r="D1840"/>
    </row>
    <row r="1841" spans="1:4" x14ac:dyDescent="0.3">
      <c r="A1841" s="4" t="s">
        <v>14</v>
      </c>
      <c r="B1841" s="4">
        <v>146</v>
      </c>
      <c r="D1841"/>
    </row>
    <row r="1842" spans="1:4" x14ac:dyDescent="0.3">
      <c r="A1842" s="4" t="s">
        <v>12</v>
      </c>
      <c r="B1842" s="4">
        <v>196</v>
      </c>
      <c r="D1842"/>
    </row>
    <row r="1843" spans="1:4" x14ac:dyDescent="0.3">
      <c r="A1843" s="4" t="s">
        <v>10</v>
      </c>
      <c r="B1843" s="4">
        <v>355</v>
      </c>
      <c r="D1843"/>
    </row>
    <row r="1844" spans="1:4" x14ac:dyDescent="0.3">
      <c r="A1844" s="4" t="s">
        <v>14</v>
      </c>
      <c r="B1844" s="4">
        <v>777</v>
      </c>
      <c r="D1844"/>
    </row>
    <row r="1845" spans="1:4" x14ac:dyDescent="0.3">
      <c r="A1845" s="4" t="s">
        <v>8</v>
      </c>
      <c r="B1845" s="4">
        <v>661</v>
      </c>
      <c r="D1845"/>
    </row>
    <row r="1846" spans="1:4" x14ac:dyDescent="0.3">
      <c r="A1846" s="4" t="s">
        <v>8</v>
      </c>
      <c r="B1846" s="4">
        <v>594</v>
      </c>
      <c r="D1846"/>
    </row>
    <row r="1847" spans="1:4" x14ac:dyDescent="0.3">
      <c r="A1847" s="4" t="s">
        <v>4</v>
      </c>
      <c r="B1847" s="4">
        <v>950</v>
      </c>
      <c r="D1847"/>
    </row>
    <row r="1848" spans="1:4" x14ac:dyDescent="0.3">
      <c r="A1848" s="4" t="s">
        <v>9</v>
      </c>
      <c r="B1848" s="4">
        <v>718</v>
      </c>
      <c r="D1848"/>
    </row>
    <row r="1849" spans="1:4" x14ac:dyDescent="0.3">
      <c r="A1849" s="4" t="s">
        <v>8</v>
      </c>
      <c r="B1849" s="4">
        <v>756</v>
      </c>
      <c r="D1849"/>
    </row>
    <row r="1850" spans="1:4" x14ac:dyDescent="0.3">
      <c r="A1850" s="4" t="s">
        <v>8</v>
      </c>
      <c r="B1850" s="6">
        <v>361</v>
      </c>
      <c r="D1850"/>
    </row>
    <row r="1851" spans="1:4" x14ac:dyDescent="0.3">
      <c r="A1851" s="4" t="s">
        <v>4</v>
      </c>
      <c r="B1851" s="4">
        <v>345</v>
      </c>
      <c r="D1851"/>
    </row>
    <row r="1852" spans="1:4" x14ac:dyDescent="0.3">
      <c r="A1852" s="4" t="s">
        <v>19</v>
      </c>
      <c r="B1852" s="4">
        <v>734</v>
      </c>
      <c r="D1852"/>
    </row>
    <row r="1853" spans="1:4" x14ac:dyDescent="0.3">
      <c r="A1853" s="4" t="s">
        <v>8</v>
      </c>
      <c r="B1853" s="4">
        <v>523</v>
      </c>
      <c r="D1853"/>
    </row>
    <row r="1854" spans="1:4" x14ac:dyDescent="0.3">
      <c r="A1854" s="4" t="s">
        <v>4</v>
      </c>
      <c r="B1854" s="4">
        <v>816</v>
      </c>
      <c r="D1854"/>
    </row>
    <row r="1855" spans="1:4" x14ac:dyDescent="0.3">
      <c r="A1855" s="4" t="s">
        <v>16</v>
      </c>
      <c r="B1855" s="4">
        <v>118</v>
      </c>
      <c r="D1855"/>
    </row>
    <row r="1856" spans="1:4" x14ac:dyDescent="0.3">
      <c r="A1856" s="4" t="s">
        <v>13</v>
      </c>
      <c r="B1856" s="4">
        <v>690</v>
      </c>
      <c r="D1856"/>
    </row>
    <row r="1857" spans="1:4" x14ac:dyDescent="0.3">
      <c r="A1857" s="4" t="s">
        <v>13</v>
      </c>
      <c r="B1857" s="4">
        <v>963</v>
      </c>
      <c r="D1857"/>
    </row>
    <row r="1858" spans="1:4" x14ac:dyDescent="0.3">
      <c r="A1858" s="4" t="s">
        <v>10</v>
      </c>
      <c r="B1858" s="4">
        <v>994</v>
      </c>
      <c r="D1858"/>
    </row>
    <row r="1859" spans="1:4" x14ac:dyDescent="0.3">
      <c r="A1859" s="4" t="s">
        <v>3</v>
      </c>
      <c r="B1859" s="4">
        <v>144</v>
      </c>
      <c r="D1859"/>
    </row>
    <row r="1860" spans="1:4" x14ac:dyDescent="0.3">
      <c r="A1860" s="4" t="s">
        <v>11</v>
      </c>
      <c r="B1860" s="4">
        <v>145</v>
      </c>
      <c r="D1860"/>
    </row>
    <row r="1861" spans="1:4" x14ac:dyDescent="0.3">
      <c r="A1861" s="4" t="s">
        <v>8</v>
      </c>
      <c r="B1861" s="4">
        <v>208</v>
      </c>
      <c r="D1861"/>
    </row>
    <row r="1862" spans="1:4" x14ac:dyDescent="0.3">
      <c r="A1862" s="4" t="s">
        <v>10</v>
      </c>
      <c r="B1862" s="4">
        <v>961</v>
      </c>
      <c r="D1862"/>
    </row>
    <row r="1863" spans="1:4" x14ac:dyDescent="0.3">
      <c r="A1863" s="4" t="s">
        <v>9</v>
      </c>
      <c r="B1863" s="4">
        <v>413</v>
      </c>
      <c r="D1863"/>
    </row>
    <row r="1864" spans="1:4" x14ac:dyDescent="0.3">
      <c r="A1864" s="4" t="s">
        <v>10</v>
      </c>
      <c r="B1864" s="4">
        <v>352</v>
      </c>
      <c r="D1864"/>
    </row>
    <row r="1865" spans="1:4" x14ac:dyDescent="0.3">
      <c r="A1865" s="4" t="s">
        <v>19</v>
      </c>
      <c r="B1865" s="4">
        <v>419</v>
      </c>
      <c r="D1865"/>
    </row>
    <row r="1866" spans="1:4" x14ac:dyDescent="0.3">
      <c r="A1866" s="4" t="s">
        <v>19</v>
      </c>
      <c r="B1866" s="4">
        <v>757</v>
      </c>
      <c r="D1866"/>
    </row>
    <row r="1867" spans="1:4" x14ac:dyDescent="0.3">
      <c r="A1867" s="4" t="s">
        <v>7</v>
      </c>
      <c r="B1867" s="4">
        <v>924</v>
      </c>
      <c r="D1867"/>
    </row>
    <row r="1868" spans="1:4" x14ac:dyDescent="0.3">
      <c r="A1868" s="4" t="s">
        <v>18</v>
      </c>
      <c r="B1868" s="4">
        <v>745</v>
      </c>
      <c r="D1868"/>
    </row>
    <row r="1869" spans="1:4" x14ac:dyDescent="0.3">
      <c r="A1869" s="4" t="s">
        <v>16</v>
      </c>
      <c r="B1869" s="4">
        <v>338</v>
      </c>
      <c r="D1869"/>
    </row>
    <row r="1870" spans="1:4" x14ac:dyDescent="0.3">
      <c r="A1870" s="4" t="s">
        <v>10</v>
      </c>
      <c r="B1870" s="4">
        <v>432</v>
      </c>
      <c r="D1870"/>
    </row>
    <row r="1871" spans="1:4" x14ac:dyDescent="0.3">
      <c r="A1871" s="4" t="s">
        <v>12</v>
      </c>
      <c r="B1871" s="4">
        <v>610</v>
      </c>
      <c r="D1871"/>
    </row>
    <row r="1872" spans="1:4" x14ac:dyDescent="0.3">
      <c r="A1872" s="4" t="s">
        <v>13</v>
      </c>
      <c r="B1872" s="4">
        <v>985</v>
      </c>
      <c r="D1872"/>
    </row>
    <row r="1873" spans="1:4" x14ac:dyDescent="0.3">
      <c r="A1873" s="4" t="s">
        <v>9</v>
      </c>
      <c r="B1873" s="4">
        <v>475</v>
      </c>
      <c r="D1873"/>
    </row>
    <row r="1874" spans="1:4" x14ac:dyDescent="0.3">
      <c r="A1874" s="4" t="s">
        <v>12</v>
      </c>
      <c r="B1874" s="4">
        <v>969</v>
      </c>
      <c r="D1874"/>
    </row>
    <row r="1875" spans="1:4" x14ac:dyDescent="0.3">
      <c r="A1875" s="4" t="s">
        <v>18</v>
      </c>
      <c r="B1875" s="4">
        <v>119</v>
      </c>
      <c r="D1875"/>
    </row>
    <row r="1876" spans="1:4" x14ac:dyDescent="0.3">
      <c r="A1876" s="4" t="s">
        <v>11</v>
      </c>
      <c r="B1876" s="4">
        <v>451</v>
      </c>
      <c r="D1876"/>
    </row>
    <row r="1877" spans="1:4" x14ac:dyDescent="0.3">
      <c r="A1877" s="4" t="s">
        <v>10</v>
      </c>
      <c r="B1877" s="4">
        <v>472</v>
      </c>
      <c r="D1877"/>
    </row>
    <row r="1878" spans="1:4" x14ac:dyDescent="0.3">
      <c r="A1878" s="4" t="s">
        <v>19</v>
      </c>
      <c r="B1878" s="4">
        <v>516</v>
      </c>
      <c r="D1878"/>
    </row>
    <row r="1879" spans="1:4" x14ac:dyDescent="0.3">
      <c r="A1879" s="4" t="s">
        <v>18</v>
      </c>
      <c r="B1879" s="4">
        <v>909</v>
      </c>
      <c r="D1879"/>
    </row>
    <row r="1880" spans="1:4" x14ac:dyDescent="0.3">
      <c r="A1880" s="4" t="s">
        <v>4</v>
      </c>
      <c r="B1880" s="4">
        <v>119</v>
      </c>
      <c r="D1880"/>
    </row>
    <row r="1881" spans="1:4" x14ac:dyDescent="0.3">
      <c r="A1881" s="4" t="s">
        <v>9</v>
      </c>
      <c r="B1881" s="4">
        <v>978</v>
      </c>
      <c r="D1881"/>
    </row>
    <row r="1882" spans="1:4" x14ac:dyDescent="0.3">
      <c r="A1882" s="4" t="s">
        <v>12</v>
      </c>
      <c r="B1882" s="4">
        <v>926</v>
      </c>
      <c r="D1882"/>
    </row>
    <row r="1883" spans="1:4" x14ac:dyDescent="0.3">
      <c r="A1883" s="4" t="s">
        <v>4</v>
      </c>
      <c r="B1883" s="4">
        <v>933</v>
      </c>
      <c r="D1883"/>
    </row>
    <row r="1884" spans="1:4" x14ac:dyDescent="0.3">
      <c r="A1884" s="4" t="s">
        <v>12</v>
      </c>
      <c r="B1884" s="4">
        <v>54</v>
      </c>
      <c r="D1884"/>
    </row>
    <row r="1885" spans="1:4" x14ac:dyDescent="0.3">
      <c r="A1885" s="4" t="s">
        <v>14</v>
      </c>
      <c r="B1885" s="4">
        <v>490</v>
      </c>
      <c r="D1885"/>
    </row>
    <row r="1886" spans="1:4" x14ac:dyDescent="0.3">
      <c r="A1886" s="4" t="s">
        <v>9</v>
      </c>
      <c r="B1886" s="4">
        <v>312</v>
      </c>
      <c r="D1886"/>
    </row>
    <row r="1887" spans="1:4" x14ac:dyDescent="0.3">
      <c r="A1887" s="4" t="s">
        <v>10</v>
      </c>
      <c r="B1887" s="4">
        <v>539</v>
      </c>
      <c r="D1887"/>
    </row>
    <row r="1888" spans="1:4" x14ac:dyDescent="0.3">
      <c r="A1888" s="4" t="s">
        <v>15</v>
      </c>
      <c r="B1888" s="4">
        <v>966</v>
      </c>
      <c r="D1888"/>
    </row>
    <row r="1889" spans="1:4" x14ac:dyDescent="0.3">
      <c r="A1889" s="4" t="s">
        <v>19</v>
      </c>
      <c r="B1889" s="4">
        <v>197</v>
      </c>
      <c r="D1889"/>
    </row>
    <row r="1890" spans="1:4" x14ac:dyDescent="0.3">
      <c r="A1890" s="4" t="s">
        <v>19</v>
      </c>
      <c r="B1890" s="4">
        <v>899</v>
      </c>
      <c r="D1890"/>
    </row>
    <row r="1891" spans="1:4" x14ac:dyDescent="0.3">
      <c r="A1891" s="4" t="s">
        <v>10</v>
      </c>
      <c r="B1891" s="4">
        <v>382</v>
      </c>
      <c r="D1891"/>
    </row>
    <row r="1892" spans="1:4" x14ac:dyDescent="0.3">
      <c r="A1892" s="4" t="s">
        <v>3</v>
      </c>
      <c r="B1892" s="4">
        <v>139</v>
      </c>
      <c r="D1892"/>
    </row>
    <row r="1893" spans="1:4" x14ac:dyDescent="0.3">
      <c r="A1893" s="4" t="s">
        <v>9</v>
      </c>
      <c r="B1893" s="4">
        <v>329</v>
      </c>
      <c r="D1893"/>
    </row>
    <row r="1894" spans="1:4" x14ac:dyDescent="0.3">
      <c r="A1894" s="4" t="s">
        <v>19</v>
      </c>
      <c r="B1894" s="4">
        <v>803</v>
      </c>
      <c r="D1894"/>
    </row>
    <row r="1895" spans="1:4" x14ac:dyDescent="0.3">
      <c r="A1895" s="4" t="s">
        <v>11</v>
      </c>
      <c r="B1895" s="4">
        <v>957</v>
      </c>
      <c r="D1895"/>
    </row>
    <row r="1896" spans="1:4" x14ac:dyDescent="0.3">
      <c r="A1896" s="4" t="s">
        <v>6</v>
      </c>
      <c r="B1896" s="4">
        <v>31</v>
      </c>
      <c r="D1896"/>
    </row>
    <row r="1897" spans="1:4" x14ac:dyDescent="0.3">
      <c r="A1897" s="4" t="s">
        <v>8</v>
      </c>
      <c r="B1897" s="4">
        <v>582</v>
      </c>
      <c r="D1897"/>
    </row>
    <row r="1898" spans="1:4" x14ac:dyDescent="0.3">
      <c r="A1898" s="4" t="s">
        <v>17</v>
      </c>
      <c r="B1898" s="4">
        <v>206</v>
      </c>
      <c r="D1898"/>
    </row>
    <row r="1899" spans="1:4" x14ac:dyDescent="0.3">
      <c r="A1899" s="4" t="s">
        <v>6</v>
      </c>
      <c r="B1899" s="4">
        <v>538</v>
      </c>
      <c r="D1899"/>
    </row>
    <row r="1900" spans="1:4" x14ac:dyDescent="0.3">
      <c r="A1900" s="4" t="s">
        <v>6</v>
      </c>
      <c r="B1900" s="4">
        <v>288</v>
      </c>
      <c r="D1900"/>
    </row>
    <row r="1901" spans="1:4" x14ac:dyDescent="0.3">
      <c r="A1901" s="4" t="s">
        <v>6</v>
      </c>
      <c r="B1901" s="4">
        <v>860</v>
      </c>
      <c r="D1901"/>
    </row>
    <row r="1902" spans="1:4" x14ac:dyDescent="0.3">
      <c r="A1902" s="4" t="s">
        <v>15</v>
      </c>
      <c r="B1902" s="4">
        <v>248</v>
      </c>
      <c r="D1902"/>
    </row>
    <row r="1903" spans="1:4" x14ac:dyDescent="0.3">
      <c r="A1903" s="4" t="s">
        <v>16</v>
      </c>
      <c r="B1903" s="4">
        <v>463</v>
      </c>
      <c r="D1903"/>
    </row>
    <row r="1904" spans="1:4" x14ac:dyDescent="0.3">
      <c r="A1904" s="4" t="s">
        <v>12</v>
      </c>
      <c r="B1904" s="4">
        <v>998</v>
      </c>
      <c r="D1904"/>
    </row>
    <row r="1905" spans="1:4" x14ac:dyDescent="0.3">
      <c r="A1905" s="4" t="s">
        <v>4</v>
      </c>
      <c r="B1905" s="4">
        <v>769</v>
      </c>
      <c r="D1905"/>
    </row>
    <row r="1906" spans="1:4" x14ac:dyDescent="0.3">
      <c r="A1906" s="4" t="s">
        <v>9</v>
      </c>
      <c r="B1906" s="4">
        <v>144</v>
      </c>
      <c r="D1906"/>
    </row>
    <row r="1907" spans="1:4" x14ac:dyDescent="0.3">
      <c r="A1907" s="4" t="s">
        <v>10</v>
      </c>
      <c r="B1907" s="4">
        <v>660</v>
      </c>
      <c r="D1907"/>
    </row>
    <row r="1908" spans="1:4" x14ac:dyDescent="0.3">
      <c r="A1908" s="4" t="s">
        <v>10</v>
      </c>
      <c r="B1908" s="4">
        <v>764</v>
      </c>
      <c r="D1908"/>
    </row>
    <row r="1909" spans="1:4" x14ac:dyDescent="0.3">
      <c r="A1909" s="4" t="s">
        <v>14</v>
      </c>
      <c r="B1909" s="4">
        <v>835</v>
      </c>
      <c r="D1909"/>
    </row>
    <row r="1910" spans="1:4" x14ac:dyDescent="0.3">
      <c r="A1910" s="4" t="s">
        <v>3</v>
      </c>
      <c r="B1910" s="4">
        <v>115</v>
      </c>
      <c r="D1910"/>
    </row>
    <row r="1911" spans="1:4" x14ac:dyDescent="0.3">
      <c r="A1911" s="4" t="s">
        <v>4</v>
      </c>
      <c r="B1911" s="4">
        <v>554</v>
      </c>
      <c r="D1911"/>
    </row>
    <row r="1912" spans="1:4" x14ac:dyDescent="0.3">
      <c r="A1912" s="4" t="s">
        <v>3</v>
      </c>
      <c r="B1912" s="4">
        <v>212</v>
      </c>
      <c r="D1912"/>
    </row>
    <row r="1913" spans="1:4" x14ac:dyDescent="0.3">
      <c r="A1913" s="4" t="s">
        <v>6</v>
      </c>
      <c r="B1913" s="4">
        <v>837</v>
      </c>
      <c r="D1913"/>
    </row>
    <row r="1914" spans="1:4" x14ac:dyDescent="0.3">
      <c r="A1914" s="4" t="s">
        <v>3</v>
      </c>
      <c r="B1914" s="4">
        <v>672</v>
      </c>
      <c r="D1914"/>
    </row>
    <row r="1915" spans="1:4" x14ac:dyDescent="0.3">
      <c r="A1915" s="4" t="s">
        <v>10</v>
      </c>
      <c r="B1915" s="4">
        <v>739</v>
      </c>
      <c r="D1915"/>
    </row>
    <row r="1916" spans="1:4" x14ac:dyDescent="0.3">
      <c r="A1916" s="4" t="s">
        <v>15</v>
      </c>
      <c r="B1916" s="4">
        <v>816</v>
      </c>
      <c r="D1916"/>
    </row>
    <row r="1917" spans="1:4" x14ac:dyDescent="0.3">
      <c r="A1917" s="4" t="s">
        <v>10</v>
      </c>
      <c r="B1917" s="6">
        <v>111</v>
      </c>
      <c r="D1917"/>
    </row>
    <row r="1918" spans="1:4" x14ac:dyDescent="0.3">
      <c r="A1918" s="4" t="s">
        <v>18</v>
      </c>
      <c r="B1918" s="4">
        <v>766</v>
      </c>
      <c r="D1918"/>
    </row>
    <row r="1919" spans="1:4" x14ac:dyDescent="0.3">
      <c r="A1919" s="4" t="s">
        <v>12</v>
      </c>
      <c r="B1919" s="4">
        <v>50</v>
      </c>
      <c r="D1919"/>
    </row>
    <row r="1920" spans="1:4" x14ac:dyDescent="0.3">
      <c r="A1920" s="4" t="s">
        <v>17</v>
      </c>
      <c r="B1920" s="4">
        <v>832</v>
      </c>
      <c r="D1920"/>
    </row>
    <row r="1921" spans="1:4" x14ac:dyDescent="0.3">
      <c r="A1921" s="4" t="s">
        <v>10</v>
      </c>
      <c r="B1921" s="4">
        <v>609</v>
      </c>
      <c r="D1921"/>
    </row>
    <row r="1922" spans="1:4" x14ac:dyDescent="0.3">
      <c r="A1922" s="4" t="s">
        <v>10</v>
      </c>
      <c r="B1922" s="4">
        <v>357</v>
      </c>
      <c r="D1922"/>
    </row>
    <row r="1923" spans="1:4" x14ac:dyDescent="0.3">
      <c r="A1923" s="4" t="s">
        <v>9</v>
      </c>
      <c r="B1923" s="4">
        <v>566</v>
      </c>
      <c r="D1923"/>
    </row>
    <row r="1924" spans="1:4" x14ac:dyDescent="0.3">
      <c r="A1924" s="4" t="s">
        <v>10</v>
      </c>
      <c r="B1924" s="4">
        <v>519</v>
      </c>
      <c r="D1924"/>
    </row>
    <row r="1925" spans="1:4" x14ac:dyDescent="0.3">
      <c r="A1925" s="4" t="s">
        <v>6</v>
      </c>
      <c r="B1925" s="4">
        <v>12</v>
      </c>
      <c r="D1925"/>
    </row>
    <row r="1926" spans="1:4" x14ac:dyDescent="0.3">
      <c r="A1926" s="4" t="s">
        <v>12</v>
      </c>
      <c r="B1926" s="4">
        <v>645</v>
      </c>
      <c r="D1926"/>
    </row>
    <row r="1927" spans="1:4" x14ac:dyDescent="0.3">
      <c r="A1927" s="4" t="s">
        <v>17</v>
      </c>
      <c r="B1927" s="4">
        <v>373</v>
      </c>
      <c r="D1927"/>
    </row>
    <row r="1928" spans="1:4" x14ac:dyDescent="0.3">
      <c r="A1928" s="4" t="s">
        <v>14</v>
      </c>
      <c r="B1928" s="4">
        <v>687</v>
      </c>
      <c r="D1928"/>
    </row>
    <row r="1929" spans="1:4" x14ac:dyDescent="0.3">
      <c r="A1929" s="4" t="s">
        <v>12</v>
      </c>
      <c r="B1929" s="4">
        <v>251</v>
      </c>
      <c r="D1929"/>
    </row>
    <row r="1930" spans="1:4" x14ac:dyDescent="0.3">
      <c r="A1930" s="4" t="s">
        <v>9</v>
      </c>
      <c r="B1930" s="4">
        <v>468</v>
      </c>
      <c r="D1930"/>
    </row>
    <row r="1931" spans="1:4" x14ac:dyDescent="0.3">
      <c r="A1931" s="4" t="s">
        <v>14</v>
      </c>
      <c r="B1931" s="4">
        <v>163</v>
      </c>
      <c r="D1931"/>
    </row>
    <row r="1932" spans="1:4" x14ac:dyDescent="0.3">
      <c r="A1932" s="4" t="s">
        <v>4</v>
      </c>
      <c r="B1932" s="4">
        <v>512</v>
      </c>
      <c r="D1932"/>
    </row>
    <row r="1933" spans="1:4" x14ac:dyDescent="0.3">
      <c r="A1933" s="4" t="s">
        <v>6</v>
      </c>
      <c r="B1933" s="4">
        <v>944</v>
      </c>
      <c r="D1933"/>
    </row>
    <row r="1934" spans="1:4" x14ac:dyDescent="0.3">
      <c r="A1934" s="4" t="s">
        <v>18</v>
      </c>
      <c r="B1934" s="4">
        <v>434</v>
      </c>
      <c r="D1934"/>
    </row>
    <row r="1935" spans="1:4" x14ac:dyDescent="0.3">
      <c r="A1935" s="4" t="s">
        <v>12</v>
      </c>
      <c r="B1935" s="4">
        <v>281</v>
      </c>
      <c r="D1935"/>
    </row>
    <row r="1936" spans="1:4" x14ac:dyDescent="0.3">
      <c r="A1936" s="4" t="s">
        <v>8</v>
      </c>
      <c r="B1936" s="4">
        <v>694</v>
      </c>
      <c r="D1936"/>
    </row>
    <row r="1937" spans="1:4" x14ac:dyDescent="0.3">
      <c r="A1937" s="4" t="s">
        <v>4</v>
      </c>
      <c r="B1937" s="4">
        <v>762</v>
      </c>
      <c r="D1937"/>
    </row>
    <row r="1938" spans="1:4" x14ac:dyDescent="0.3">
      <c r="A1938" s="4" t="s">
        <v>7</v>
      </c>
      <c r="B1938" s="4">
        <v>276</v>
      </c>
      <c r="D1938"/>
    </row>
    <row r="1939" spans="1:4" x14ac:dyDescent="0.3">
      <c r="A1939" s="4" t="s">
        <v>14</v>
      </c>
      <c r="B1939" s="4">
        <v>965</v>
      </c>
      <c r="D1939"/>
    </row>
    <row r="1940" spans="1:4" x14ac:dyDescent="0.3">
      <c r="A1940" s="4" t="s">
        <v>4</v>
      </c>
      <c r="B1940" s="4">
        <v>362</v>
      </c>
      <c r="D1940"/>
    </row>
    <row r="1941" spans="1:4" x14ac:dyDescent="0.3">
      <c r="A1941" s="4" t="s">
        <v>13</v>
      </c>
      <c r="B1941" s="4">
        <v>746</v>
      </c>
      <c r="D1941"/>
    </row>
    <row r="1942" spans="1:4" x14ac:dyDescent="0.3">
      <c r="A1942" s="4" t="s">
        <v>19</v>
      </c>
      <c r="B1942" s="4">
        <v>850</v>
      </c>
      <c r="D1942"/>
    </row>
    <row r="1943" spans="1:4" x14ac:dyDescent="0.3">
      <c r="A1943" s="4" t="s">
        <v>14</v>
      </c>
      <c r="B1943" s="4">
        <v>278</v>
      </c>
      <c r="D1943"/>
    </row>
    <row r="1944" spans="1:4" x14ac:dyDescent="0.3">
      <c r="A1944" s="4" t="s">
        <v>16</v>
      </c>
      <c r="B1944" s="4">
        <v>582</v>
      </c>
      <c r="D1944"/>
    </row>
    <row r="1945" spans="1:4" x14ac:dyDescent="0.3">
      <c r="A1945" s="4" t="s">
        <v>10</v>
      </c>
      <c r="B1945" s="4">
        <v>836</v>
      </c>
      <c r="D1945"/>
    </row>
    <row r="1946" spans="1:4" x14ac:dyDescent="0.3">
      <c r="A1946" s="4" t="s">
        <v>4</v>
      </c>
      <c r="B1946" s="4">
        <v>356</v>
      </c>
      <c r="D1946"/>
    </row>
    <row r="1947" spans="1:4" x14ac:dyDescent="0.3">
      <c r="A1947" s="4" t="s">
        <v>8</v>
      </c>
      <c r="B1947" s="4">
        <v>235</v>
      </c>
      <c r="D1947"/>
    </row>
    <row r="1948" spans="1:4" x14ac:dyDescent="0.3">
      <c r="A1948" s="4" t="s">
        <v>6</v>
      </c>
      <c r="B1948" s="4">
        <v>292</v>
      </c>
      <c r="D1948"/>
    </row>
    <row r="1949" spans="1:4" x14ac:dyDescent="0.3">
      <c r="A1949" s="4" t="s">
        <v>17</v>
      </c>
      <c r="B1949" s="4">
        <v>332</v>
      </c>
      <c r="D1949"/>
    </row>
    <row r="1950" spans="1:4" x14ac:dyDescent="0.3">
      <c r="A1950" s="4" t="s">
        <v>9</v>
      </c>
      <c r="B1950" s="4">
        <v>241</v>
      </c>
      <c r="D1950"/>
    </row>
    <row r="1951" spans="1:4" x14ac:dyDescent="0.3">
      <c r="A1951" s="4" t="s">
        <v>15</v>
      </c>
      <c r="B1951" s="4">
        <v>896</v>
      </c>
      <c r="D1951"/>
    </row>
    <row r="1952" spans="1:4" x14ac:dyDescent="0.3">
      <c r="A1952" s="4" t="s">
        <v>15</v>
      </c>
      <c r="B1952" s="4">
        <v>566</v>
      </c>
      <c r="D1952"/>
    </row>
    <row r="1953" spans="1:4" x14ac:dyDescent="0.3">
      <c r="A1953" s="4" t="s">
        <v>16</v>
      </c>
      <c r="B1953" s="4">
        <v>445</v>
      </c>
      <c r="D1953"/>
    </row>
    <row r="1954" spans="1:4" x14ac:dyDescent="0.3">
      <c r="A1954" s="4" t="s">
        <v>10</v>
      </c>
      <c r="B1954" s="4">
        <v>586</v>
      </c>
      <c r="D1954"/>
    </row>
    <row r="1955" spans="1:4" x14ac:dyDescent="0.3">
      <c r="A1955" s="4" t="s">
        <v>15</v>
      </c>
      <c r="B1955" s="4">
        <v>729</v>
      </c>
      <c r="D1955"/>
    </row>
    <row r="1956" spans="1:4" x14ac:dyDescent="0.3">
      <c r="A1956" s="4" t="s">
        <v>4</v>
      </c>
      <c r="B1956" s="4">
        <v>171</v>
      </c>
      <c r="D1956"/>
    </row>
    <row r="1957" spans="1:4" x14ac:dyDescent="0.3">
      <c r="A1957" s="4" t="s">
        <v>8</v>
      </c>
      <c r="B1957" s="4">
        <v>595</v>
      </c>
      <c r="D1957"/>
    </row>
    <row r="1958" spans="1:4" x14ac:dyDescent="0.3">
      <c r="A1958" s="4" t="s">
        <v>11</v>
      </c>
      <c r="B1958" s="4">
        <v>221</v>
      </c>
      <c r="D1958"/>
    </row>
    <row r="1959" spans="1:4" x14ac:dyDescent="0.3">
      <c r="A1959" s="4" t="s">
        <v>7</v>
      </c>
      <c r="B1959" s="4">
        <v>653</v>
      </c>
      <c r="D1959"/>
    </row>
    <row r="1960" spans="1:4" x14ac:dyDescent="0.3">
      <c r="A1960" s="4" t="s">
        <v>13</v>
      </c>
      <c r="B1960" s="4">
        <v>852</v>
      </c>
      <c r="D1960"/>
    </row>
    <row r="1961" spans="1:4" x14ac:dyDescent="0.3">
      <c r="A1961" s="4" t="s">
        <v>12</v>
      </c>
      <c r="B1961" s="4">
        <v>26</v>
      </c>
      <c r="D1961"/>
    </row>
    <row r="1962" spans="1:4" x14ac:dyDescent="0.3">
      <c r="A1962" s="4" t="s">
        <v>10</v>
      </c>
      <c r="B1962" s="4">
        <v>232</v>
      </c>
      <c r="D1962"/>
    </row>
    <row r="1963" spans="1:4" x14ac:dyDescent="0.3">
      <c r="A1963" s="4" t="s">
        <v>6</v>
      </c>
      <c r="B1963" s="4">
        <v>852</v>
      </c>
      <c r="D1963"/>
    </row>
    <row r="1964" spans="1:4" x14ac:dyDescent="0.3">
      <c r="A1964" s="4" t="s">
        <v>17</v>
      </c>
      <c r="B1964" s="4">
        <v>451</v>
      </c>
      <c r="D1964"/>
    </row>
    <row r="1965" spans="1:4" x14ac:dyDescent="0.3">
      <c r="A1965" s="4" t="s">
        <v>10</v>
      </c>
      <c r="B1965" s="4">
        <v>546</v>
      </c>
      <c r="D1965"/>
    </row>
    <row r="1966" spans="1:4" x14ac:dyDescent="0.3">
      <c r="A1966" s="4" t="s">
        <v>12</v>
      </c>
      <c r="B1966" s="4">
        <v>256</v>
      </c>
      <c r="D1966"/>
    </row>
    <row r="1967" spans="1:4" x14ac:dyDescent="0.3">
      <c r="A1967" s="4" t="s">
        <v>11</v>
      </c>
      <c r="B1967" s="4">
        <v>944</v>
      </c>
      <c r="D1967"/>
    </row>
    <row r="1968" spans="1:4" x14ac:dyDescent="0.3">
      <c r="A1968" s="4" t="s">
        <v>16</v>
      </c>
      <c r="B1968" s="4">
        <v>918</v>
      </c>
      <c r="D1968"/>
    </row>
    <row r="1969" spans="1:4" x14ac:dyDescent="0.3">
      <c r="A1969" s="4" t="s">
        <v>7</v>
      </c>
      <c r="B1969" s="4">
        <v>371</v>
      </c>
      <c r="D1969"/>
    </row>
    <row r="1970" spans="1:4" x14ac:dyDescent="0.3">
      <c r="A1970" s="4" t="s">
        <v>12</v>
      </c>
      <c r="B1970" s="4">
        <v>697</v>
      </c>
      <c r="D1970"/>
    </row>
    <row r="1971" spans="1:4" x14ac:dyDescent="0.3">
      <c r="A1971" s="4" t="s">
        <v>10</v>
      </c>
      <c r="B1971" s="4">
        <v>728</v>
      </c>
      <c r="D1971"/>
    </row>
    <row r="1972" spans="1:4" x14ac:dyDescent="0.3">
      <c r="A1972" s="4" t="s">
        <v>13</v>
      </c>
      <c r="B1972" s="4">
        <v>198</v>
      </c>
      <c r="D1972"/>
    </row>
    <row r="1973" spans="1:4" x14ac:dyDescent="0.3">
      <c r="A1973" s="4" t="s">
        <v>7</v>
      </c>
      <c r="B1973" s="4">
        <v>576</v>
      </c>
      <c r="D1973"/>
    </row>
    <row r="1974" spans="1:4" x14ac:dyDescent="0.3">
      <c r="A1974" s="4" t="s">
        <v>19</v>
      </c>
      <c r="B1974" s="4">
        <v>862</v>
      </c>
      <c r="D1974"/>
    </row>
    <row r="1975" spans="1:4" x14ac:dyDescent="0.3">
      <c r="A1975" s="4" t="s">
        <v>9</v>
      </c>
      <c r="B1975" s="4">
        <v>130</v>
      </c>
      <c r="D1975"/>
    </row>
    <row r="1976" spans="1:4" x14ac:dyDescent="0.3">
      <c r="A1976" s="4" t="s">
        <v>7</v>
      </c>
      <c r="B1976" s="4">
        <v>229</v>
      </c>
      <c r="D1976"/>
    </row>
    <row r="1977" spans="1:4" x14ac:dyDescent="0.3">
      <c r="A1977" s="4" t="s">
        <v>19</v>
      </c>
      <c r="B1977" s="4">
        <v>954</v>
      </c>
      <c r="D1977"/>
    </row>
    <row r="1978" spans="1:4" x14ac:dyDescent="0.3">
      <c r="A1978" s="4" t="s">
        <v>4</v>
      </c>
      <c r="B1978" s="4">
        <v>627</v>
      </c>
      <c r="D1978"/>
    </row>
    <row r="1979" spans="1:4" x14ac:dyDescent="0.3">
      <c r="A1979" s="4" t="s">
        <v>19</v>
      </c>
      <c r="B1979" s="4">
        <v>864</v>
      </c>
      <c r="D1979"/>
    </row>
    <row r="1980" spans="1:4" x14ac:dyDescent="0.3">
      <c r="A1980" s="4" t="s">
        <v>11</v>
      </c>
      <c r="B1980" s="4">
        <v>880</v>
      </c>
      <c r="D1980"/>
    </row>
    <row r="1981" spans="1:4" x14ac:dyDescent="0.3">
      <c r="A1981" s="4" t="s">
        <v>14</v>
      </c>
      <c r="B1981" s="4">
        <v>675</v>
      </c>
      <c r="D1981"/>
    </row>
    <row r="1982" spans="1:4" x14ac:dyDescent="0.3">
      <c r="A1982" s="4" t="s">
        <v>18</v>
      </c>
      <c r="B1982" s="4">
        <v>523</v>
      </c>
      <c r="D1982"/>
    </row>
    <row r="1983" spans="1:4" x14ac:dyDescent="0.3">
      <c r="A1983" s="4" t="s">
        <v>4</v>
      </c>
      <c r="B1983" s="4">
        <v>976</v>
      </c>
      <c r="D1983"/>
    </row>
    <row r="1984" spans="1:4" x14ac:dyDescent="0.3">
      <c r="A1984" s="4" t="s">
        <v>9</v>
      </c>
      <c r="B1984" s="4">
        <v>330</v>
      </c>
      <c r="D1984"/>
    </row>
    <row r="1985" spans="1:4" x14ac:dyDescent="0.3">
      <c r="A1985" s="4" t="s">
        <v>4</v>
      </c>
      <c r="B1985" s="4">
        <v>224</v>
      </c>
      <c r="D1985"/>
    </row>
    <row r="1986" spans="1:4" x14ac:dyDescent="0.3">
      <c r="A1986" s="4" t="s">
        <v>10</v>
      </c>
      <c r="B1986" s="4">
        <v>535</v>
      </c>
      <c r="D1986"/>
    </row>
    <row r="1987" spans="1:4" x14ac:dyDescent="0.3">
      <c r="A1987" s="4" t="s">
        <v>15</v>
      </c>
      <c r="B1987" s="4">
        <v>552</v>
      </c>
      <c r="D1987"/>
    </row>
    <row r="1988" spans="1:4" x14ac:dyDescent="0.3">
      <c r="A1988" s="4" t="s">
        <v>3</v>
      </c>
      <c r="B1988" s="4">
        <v>550</v>
      </c>
      <c r="D1988"/>
    </row>
    <row r="1989" spans="1:4" x14ac:dyDescent="0.3">
      <c r="A1989" s="4" t="s">
        <v>10</v>
      </c>
      <c r="B1989" s="4" t="e">
        <v>#REF!</v>
      </c>
      <c r="D1989"/>
    </row>
    <row r="1990" spans="1:4" x14ac:dyDescent="0.3">
      <c r="A1990" s="4" t="s">
        <v>13</v>
      </c>
      <c r="B1990" s="4">
        <v>968</v>
      </c>
      <c r="D1990"/>
    </row>
    <row r="1991" spans="1:4" x14ac:dyDescent="0.3">
      <c r="A1991" s="4" t="s">
        <v>6</v>
      </c>
      <c r="B1991" s="4">
        <v>181</v>
      </c>
      <c r="D1991"/>
    </row>
    <row r="1992" spans="1:4" x14ac:dyDescent="0.3">
      <c r="A1992" s="4" t="s">
        <v>7</v>
      </c>
      <c r="B1992" s="4">
        <v>399</v>
      </c>
      <c r="D1992"/>
    </row>
    <row r="1993" spans="1:4" x14ac:dyDescent="0.3">
      <c r="A1993" s="4" t="s">
        <v>8</v>
      </c>
      <c r="B1993" s="4">
        <v>802</v>
      </c>
      <c r="D1993"/>
    </row>
    <row r="1994" spans="1:4" x14ac:dyDescent="0.3">
      <c r="A1994" s="4" t="s">
        <v>3</v>
      </c>
      <c r="B1994" s="4">
        <v>779</v>
      </c>
      <c r="D1994"/>
    </row>
    <row r="1995" spans="1:4" x14ac:dyDescent="0.3">
      <c r="A1995" s="4" t="s">
        <v>9</v>
      </c>
      <c r="B1995" s="4">
        <v>245</v>
      </c>
      <c r="D1995"/>
    </row>
    <row r="1996" spans="1:4" x14ac:dyDescent="0.3">
      <c r="A1996" s="4" t="s">
        <v>19</v>
      </c>
      <c r="B1996" s="4">
        <v>522</v>
      </c>
      <c r="D1996"/>
    </row>
    <row r="1997" spans="1:4" x14ac:dyDescent="0.3">
      <c r="A1997" s="4" t="s">
        <v>11</v>
      </c>
      <c r="B1997" s="4">
        <v>639</v>
      </c>
      <c r="D1997"/>
    </row>
    <row r="1998" spans="1:4" x14ac:dyDescent="0.3">
      <c r="A1998" s="4" t="s">
        <v>14</v>
      </c>
      <c r="B1998" s="4">
        <v>738</v>
      </c>
      <c r="D1998"/>
    </row>
    <row r="1999" spans="1:4" x14ac:dyDescent="0.3">
      <c r="A1999" s="4" t="s">
        <v>3</v>
      </c>
      <c r="B1999" s="4">
        <v>269</v>
      </c>
      <c r="D1999"/>
    </row>
    <row r="2000" spans="1:4" x14ac:dyDescent="0.3">
      <c r="A2000" s="4" t="s">
        <v>7</v>
      </c>
      <c r="B2000" s="4">
        <v>967</v>
      </c>
      <c r="D2000"/>
    </row>
    <row r="2001" spans="1:4" x14ac:dyDescent="0.3">
      <c r="A2001" s="4" t="s">
        <v>18</v>
      </c>
      <c r="B2001" s="4">
        <v>775</v>
      </c>
      <c r="D2001"/>
    </row>
    <row r="2002" spans="1:4" x14ac:dyDescent="0.3">
      <c r="A2002" s="4" t="s">
        <v>15</v>
      </c>
      <c r="B2002" s="4">
        <v>263</v>
      </c>
      <c r="D2002"/>
    </row>
    <row r="2003" spans="1:4" x14ac:dyDescent="0.3">
      <c r="A2003" s="4" t="s">
        <v>8</v>
      </c>
      <c r="B2003" s="4">
        <v>241</v>
      </c>
      <c r="D2003"/>
    </row>
    <row r="2004" spans="1:4" x14ac:dyDescent="0.3">
      <c r="A2004" s="4" t="s">
        <v>13</v>
      </c>
      <c r="B2004" s="4">
        <v>664</v>
      </c>
      <c r="D2004"/>
    </row>
    <row r="2005" spans="1:4" x14ac:dyDescent="0.3">
      <c r="A2005" s="4" t="s">
        <v>7</v>
      </c>
      <c r="B2005" s="4">
        <v>592</v>
      </c>
      <c r="D2005"/>
    </row>
    <row r="2006" spans="1:4" x14ac:dyDescent="0.3">
      <c r="A2006" s="4" t="s">
        <v>8</v>
      </c>
      <c r="B2006" s="4">
        <v>504</v>
      </c>
      <c r="D2006"/>
    </row>
    <row r="2007" spans="1:4" x14ac:dyDescent="0.3">
      <c r="A2007" s="4" t="s">
        <v>19</v>
      </c>
      <c r="B2007" s="4">
        <v>948</v>
      </c>
      <c r="D2007"/>
    </row>
    <row r="2008" spans="1:4" x14ac:dyDescent="0.3">
      <c r="A2008" s="4" t="s">
        <v>3</v>
      </c>
      <c r="B2008" s="4">
        <v>988</v>
      </c>
      <c r="D2008"/>
    </row>
    <row r="2009" spans="1:4" x14ac:dyDescent="0.3">
      <c r="A2009" s="4" t="s">
        <v>18</v>
      </c>
      <c r="B2009" s="4">
        <v>156</v>
      </c>
      <c r="D2009"/>
    </row>
    <row r="2010" spans="1:4" x14ac:dyDescent="0.3">
      <c r="A2010" s="4" t="s">
        <v>7</v>
      </c>
      <c r="B2010" s="4">
        <v>874</v>
      </c>
      <c r="D2010"/>
    </row>
    <row r="2011" spans="1:4" x14ac:dyDescent="0.3">
      <c r="A2011" s="4" t="s">
        <v>10</v>
      </c>
      <c r="B2011" s="4">
        <v>515</v>
      </c>
      <c r="D2011"/>
    </row>
    <row r="2012" spans="1:4" x14ac:dyDescent="0.3">
      <c r="A2012" s="4" t="s">
        <v>8</v>
      </c>
      <c r="B2012" s="4" t="e">
        <v>#REF!</v>
      </c>
      <c r="D2012"/>
    </row>
    <row r="2013" spans="1:4" x14ac:dyDescent="0.3">
      <c r="A2013" s="4" t="s">
        <v>10</v>
      </c>
      <c r="B2013" s="4">
        <v>559</v>
      </c>
      <c r="D2013"/>
    </row>
    <row r="2014" spans="1:4" x14ac:dyDescent="0.3">
      <c r="A2014" s="4" t="s">
        <v>8</v>
      </c>
      <c r="B2014" s="4">
        <v>385</v>
      </c>
      <c r="D2014"/>
    </row>
    <row r="2015" spans="1:4" x14ac:dyDescent="0.3">
      <c r="A2015" s="4" t="s">
        <v>7</v>
      </c>
      <c r="B2015" s="4">
        <v>963</v>
      </c>
      <c r="D2015"/>
    </row>
    <row r="2016" spans="1:4" x14ac:dyDescent="0.3">
      <c r="A2016" s="4" t="s">
        <v>13</v>
      </c>
      <c r="B2016" s="4">
        <v>275</v>
      </c>
      <c r="D2016"/>
    </row>
    <row r="2017" spans="1:4" x14ac:dyDescent="0.3">
      <c r="A2017" s="4" t="s">
        <v>19</v>
      </c>
      <c r="B2017" s="4">
        <v>614</v>
      </c>
      <c r="D2017"/>
    </row>
    <row r="2018" spans="1:4" x14ac:dyDescent="0.3">
      <c r="A2018" s="4" t="s">
        <v>4</v>
      </c>
      <c r="B2018" s="4" t="e">
        <v>#REF!</v>
      </c>
      <c r="D2018"/>
    </row>
    <row r="2019" spans="1:4" x14ac:dyDescent="0.3">
      <c r="A2019" s="4" t="s">
        <v>3</v>
      </c>
      <c r="B2019" s="4">
        <v>321</v>
      </c>
      <c r="D2019"/>
    </row>
    <row r="2020" spans="1:4" x14ac:dyDescent="0.3">
      <c r="A2020" s="4" t="s">
        <v>14</v>
      </c>
      <c r="B2020" s="4">
        <v>710</v>
      </c>
      <c r="D2020"/>
    </row>
    <row r="2021" spans="1:4" x14ac:dyDescent="0.3">
      <c r="A2021" s="4" t="s">
        <v>19</v>
      </c>
      <c r="B2021" s="4">
        <v>924</v>
      </c>
      <c r="D2021"/>
    </row>
    <row r="2022" spans="1:4" x14ac:dyDescent="0.3">
      <c r="A2022" s="4" t="s">
        <v>4</v>
      </c>
      <c r="B2022" s="4">
        <v>765</v>
      </c>
      <c r="D2022"/>
    </row>
    <row r="2023" spans="1:4" x14ac:dyDescent="0.3">
      <c r="A2023" s="4" t="s">
        <v>10</v>
      </c>
      <c r="B2023" s="4">
        <v>757</v>
      </c>
      <c r="D2023"/>
    </row>
    <row r="2024" spans="1:4" x14ac:dyDescent="0.3">
      <c r="A2024" s="4" t="s">
        <v>11</v>
      </c>
      <c r="B2024" s="4">
        <v>134</v>
      </c>
      <c r="D2024"/>
    </row>
    <row r="2025" spans="1:4" x14ac:dyDescent="0.3">
      <c r="A2025" s="4" t="s">
        <v>4</v>
      </c>
      <c r="B2025" s="4">
        <v>254</v>
      </c>
      <c r="D2025"/>
    </row>
    <row r="2026" spans="1:4" x14ac:dyDescent="0.3">
      <c r="A2026" s="4" t="s">
        <v>13</v>
      </c>
      <c r="B2026" s="6">
        <v>597</v>
      </c>
      <c r="D2026"/>
    </row>
    <row r="2027" spans="1:4" x14ac:dyDescent="0.3">
      <c r="A2027" s="4" t="s">
        <v>18</v>
      </c>
      <c r="B2027" s="4">
        <v>78</v>
      </c>
      <c r="D2027"/>
    </row>
    <row r="2028" spans="1:4" x14ac:dyDescent="0.3">
      <c r="A2028" s="4" t="s">
        <v>13</v>
      </c>
      <c r="B2028" s="4">
        <v>820</v>
      </c>
      <c r="D2028"/>
    </row>
    <row r="2029" spans="1:4" x14ac:dyDescent="0.3">
      <c r="A2029" s="4" t="s">
        <v>8</v>
      </c>
      <c r="B2029" s="4">
        <v>902</v>
      </c>
      <c r="D2029"/>
    </row>
    <row r="2030" spans="1:4" x14ac:dyDescent="0.3">
      <c r="A2030" s="4" t="s">
        <v>9</v>
      </c>
      <c r="B2030" s="4">
        <v>381</v>
      </c>
      <c r="D2030"/>
    </row>
    <row r="2031" spans="1:4" x14ac:dyDescent="0.3">
      <c r="A2031" s="4" t="s">
        <v>13</v>
      </c>
      <c r="B2031" s="4">
        <v>842</v>
      </c>
      <c r="D2031"/>
    </row>
    <row r="2032" spans="1:4" x14ac:dyDescent="0.3">
      <c r="A2032" s="4" t="s">
        <v>15</v>
      </c>
      <c r="B2032" s="4">
        <v>419</v>
      </c>
      <c r="D2032"/>
    </row>
    <row r="2033" spans="1:4" x14ac:dyDescent="0.3">
      <c r="A2033" s="4" t="s">
        <v>9</v>
      </c>
      <c r="B2033" s="4">
        <v>403</v>
      </c>
      <c r="D2033"/>
    </row>
    <row r="2034" spans="1:4" x14ac:dyDescent="0.3">
      <c r="A2034" s="4" t="s">
        <v>15</v>
      </c>
      <c r="B2034" s="4">
        <v>636</v>
      </c>
      <c r="D2034"/>
    </row>
    <row r="2035" spans="1:4" x14ac:dyDescent="0.3">
      <c r="A2035" s="4" t="s">
        <v>16</v>
      </c>
      <c r="B2035" s="4">
        <v>919</v>
      </c>
      <c r="D2035"/>
    </row>
    <row r="2036" spans="1:4" x14ac:dyDescent="0.3">
      <c r="A2036" s="4" t="s">
        <v>6</v>
      </c>
      <c r="B2036" s="4">
        <v>418</v>
      </c>
      <c r="D2036"/>
    </row>
    <row r="2037" spans="1:4" x14ac:dyDescent="0.3">
      <c r="A2037" s="4" t="s">
        <v>17</v>
      </c>
      <c r="B2037" s="4">
        <v>514</v>
      </c>
      <c r="D2037"/>
    </row>
    <row r="2038" spans="1:4" x14ac:dyDescent="0.3">
      <c r="A2038" s="4" t="s">
        <v>7</v>
      </c>
      <c r="B2038" s="4">
        <v>963</v>
      </c>
      <c r="D2038"/>
    </row>
    <row r="2039" spans="1:4" x14ac:dyDescent="0.3">
      <c r="A2039" s="4" t="s">
        <v>17</v>
      </c>
      <c r="B2039" s="4">
        <v>918</v>
      </c>
      <c r="D2039"/>
    </row>
    <row r="2040" spans="1:4" x14ac:dyDescent="0.3">
      <c r="A2040" s="4" t="s">
        <v>6</v>
      </c>
      <c r="B2040" s="4">
        <v>959</v>
      </c>
      <c r="D2040"/>
    </row>
    <row r="2041" spans="1:4" x14ac:dyDescent="0.3">
      <c r="A2041" s="4" t="s">
        <v>10</v>
      </c>
      <c r="B2041" s="4">
        <v>937</v>
      </c>
      <c r="D2041"/>
    </row>
    <row r="2042" spans="1:4" x14ac:dyDescent="0.3">
      <c r="A2042" s="4" t="s">
        <v>16</v>
      </c>
      <c r="B2042" s="4">
        <v>117</v>
      </c>
      <c r="D2042"/>
    </row>
    <row r="2043" spans="1:4" x14ac:dyDescent="0.3">
      <c r="A2043" s="4" t="s">
        <v>14</v>
      </c>
      <c r="B2043" s="4">
        <v>339</v>
      </c>
      <c r="D2043"/>
    </row>
    <row r="2044" spans="1:4" x14ac:dyDescent="0.3">
      <c r="A2044" s="4" t="s">
        <v>18</v>
      </c>
      <c r="B2044" s="4">
        <v>864</v>
      </c>
      <c r="D2044"/>
    </row>
    <row r="2045" spans="1:4" x14ac:dyDescent="0.3">
      <c r="A2045" s="4" t="s">
        <v>10</v>
      </c>
      <c r="B2045" s="4" t="e">
        <v>#N/A</v>
      </c>
      <c r="D2045"/>
    </row>
    <row r="2046" spans="1:4" x14ac:dyDescent="0.3">
      <c r="A2046" s="4" t="s">
        <v>19</v>
      </c>
      <c r="B2046" s="4">
        <v>517</v>
      </c>
      <c r="D2046"/>
    </row>
    <row r="2047" spans="1:4" x14ac:dyDescent="0.3">
      <c r="A2047" s="4" t="s">
        <v>18</v>
      </c>
      <c r="B2047" s="4">
        <v>988</v>
      </c>
      <c r="D2047"/>
    </row>
    <row r="2048" spans="1:4" x14ac:dyDescent="0.3">
      <c r="A2048" s="4" t="s">
        <v>15</v>
      </c>
      <c r="B2048" s="4">
        <v>820</v>
      </c>
      <c r="D2048"/>
    </row>
    <row r="2049" spans="1:4" x14ac:dyDescent="0.3">
      <c r="A2049" s="4" t="s">
        <v>10</v>
      </c>
      <c r="B2049" s="4">
        <v>942</v>
      </c>
      <c r="D2049"/>
    </row>
    <row r="2050" spans="1:4" x14ac:dyDescent="0.3">
      <c r="A2050" s="4" t="s">
        <v>6</v>
      </c>
      <c r="B2050" s="4">
        <v>635</v>
      </c>
      <c r="D2050"/>
    </row>
    <row r="2051" spans="1:4" x14ac:dyDescent="0.3">
      <c r="A2051" s="4" t="s">
        <v>14</v>
      </c>
      <c r="B2051" s="4">
        <v>477</v>
      </c>
      <c r="D2051"/>
    </row>
    <row r="2052" spans="1:4" x14ac:dyDescent="0.3">
      <c r="A2052" s="4" t="s">
        <v>10</v>
      </c>
      <c r="B2052" s="4">
        <v>724</v>
      </c>
      <c r="D2052"/>
    </row>
    <row r="2053" spans="1:4" x14ac:dyDescent="0.3">
      <c r="A2053" s="4" t="s">
        <v>4</v>
      </c>
      <c r="B2053" s="4">
        <v>136</v>
      </c>
      <c r="D2053"/>
    </row>
    <row r="2054" spans="1:4" x14ac:dyDescent="0.3">
      <c r="A2054" s="4" t="s">
        <v>10</v>
      </c>
      <c r="B2054" s="4">
        <v>230</v>
      </c>
      <c r="D2054"/>
    </row>
    <row r="2055" spans="1:4" x14ac:dyDescent="0.3">
      <c r="A2055" s="4" t="s">
        <v>7</v>
      </c>
      <c r="B2055" s="4">
        <v>978</v>
      </c>
      <c r="D2055"/>
    </row>
    <row r="2056" spans="1:4" x14ac:dyDescent="0.3">
      <c r="A2056" s="4" t="s">
        <v>9</v>
      </c>
      <c r="B2056" s="4">
        <v>778</v>
      </c>
      <c r="D2056"/>
    </row>
    <row r="2057" spans="1:4" x14ac:dyDescent="0.3">
      <c r="A2057" s="4" t="s">
        <v>4</v>
      </c>
      <c r="B2057" s="4">
        <v>948</v>
      </c>
      <c r="D2057"/>
    </row>
    <row r="2058" spans="1:4" x14ac:dyDescent="0.3">
      <c r="A2058" s="4" t="s">
        <v>11</v>
      </c>
      <c r="B2058" s="4">
        <v>673</v>
      </c>
      <c r="D2058"/>
    </row>
    <row r="2059" spans="1:4" x14ac:dyDescent="0.3">
      <c r="A2059" s="4" t="s">
        <v>7</v>
      </c>
      <c r="B2059" s="4">
        <v>629</v>
      </c>
      <c r="D2059"/>
    </row>
    <row r="2060" spans="1:4" x14ac:dyDescent="0.3">
      <c r="A2060" s="4" t="s">
        <v>10</v>
      </c>
      <c r="B2060" s="4">
        <v>487</v>
      </c>
      <c r="D2060"/>
    </row>
    <row r="2061" spans="1:4" x14ac:dyDescent="0.3">
      <c r="A2061" s="4" t="s">
        <v>10</v>
      </c>
      <c r="B2061" s="4">
        <v>466</v>
      </c>
      <c r="D2061"/>
    </row>
    <row r="2062" spans="1:4" x14ac:dyDescent="0.3">
      <c r="A2062" s="4" t="s">
        <v>14</v>
      </c>
      <c r="B2062" s="4">
        <v>556</v>
      </c>
      <c r="D2062"/>
    </row>
    <row r="2063" spans="1:4" x14ac:dyDescent="0.3">
      <c r="A2063" s="4" t="s">
        <v>4</v>
      </c>
      <c r="B2063" s="4">
        <v>863</v>
      </c>
      <c r="D2063"/>
    </row>
    <row r="2064" spans="1:4" x14ac:dyDescent="0.3">
      <c r="A2064" s="4" t="s">
        <v>14</v>
      </c>
      <c r="B2064" s="4">
        <v>976</v>
      </c>
      <c r="D2064"/>
    </row>
    <row r="2065" spans="1:4" x14ac:dyDescent="0.3">
      <c r="A2065" s="4" t="s">
        <v>10</v>
      </c>
      <c r="B2065" s="4">
        <v>442</v>
      </c>
      <c r="D2065"/>
    </row>
    <row r="2066" spans="1:4" x14ac:dyDescent="0.3">
      <c r="A2066" s="4" t="s">
        <v>10</v>
      </c>
      <c r="B2066" s="4">
        <v>407</v>
      </c>
      <c r="D2066"/>
    </row>
    <row r="2067" spans="1:4" x14ac:dyDescent="0.3">
      <c r="A2067" s="4" t="s">
        <v>12</v>
      </c>
      <c r="B2067" s="4">
        <v>328</v>
      </c>
      <c r="D2067"/>
    </row>
    <row r="2068" spans="1:4" x14ac:dyDescent="0.3">
      <c r="A2068" s="4" t="s">
        <v>10</v>
      </c>
      <c r="B2068" s="4">
        <v>189</v>
      </c>
      <c r="D2068"/>
    </row>
    <row r="2069" spans="1:4" x14ac:dyDescent="0.3">
      <c r="A2069" s="4" t="s">
        <v>10</v>
      </c>
      <c r="B2069" s="4">
        <v>703</v>
      </c>
      <c r="D2069"/>
    </row>
    <row r="2070" spans="1:4" x14ac:dyDescent="0.3">
      <c r="A2070" s="4" t="s">
        <v>11</v>
      </c>
      <c r="B2070" s="4">
        <v>322</v>
      </c>
      <c r="D2070"/>
    </row>
    <row r="2071" spans="1:4" x14ac:dyDescent="0.3">
      <c r="A2071" s="4" t="s">
        <v>4</v>
      </c>
      <c r="B2071" s="4">
        <v>961</v>
      </c>
      <c r="D2071"/>
    </row>
    <row r="2072" spans="1:4" x14ac:dyDescent="0.3">
      <c r="A2072" s="4" t="s">
        <v>13</v>
      </c>
      <c r="B2072" s="4">
        <v>729</v>
      </c>
      <c r="D2072"/>
    </row>
    <row r="2073" spans="1:4" x14ac:dyDescent="0.3">
      <c r="A2073" s="4" t="s">
        <v>19</v>
      </c>
      <c r="B2073" s="4">
        <v>602</v>
      </c>
      <c r="D2073"/>
    </row>
    <row r="2074" spans="1:4" x14ac:dyDescent="0.3">
      <c r="A2074" s="4" t="s">
        <v>3</v>
      </c>
      <c r="B2074" s="4">
        <v>922</v>
      </c>
      <c r="D2074"/>
    </row>
    <row r="2075" spans="1:4" x14ac:dyDescent="0.3">
      <c r="A2075" s="4" t="s">
        <v>7</v>
      </c>
      <c r="B2075" s="4">
        <v>406</v>
      </c>
      <c r="D2075"/>
    </row>
    <row r="2076" spans="1:4" x14ac:dyDescent="0.3">
      <c r="A2076" s="4" t="s">
        <v>11</v>
      </c>
      <c r="B2076" s="4">
        <v>403</v>
      </c>
      <c r="D2076"/>
    </row>
    <row r="2077" spans="1:4" x14ac:dyDescent="0.3">
      <c r="A2077" s="4" t="s">
        <v>10</v>
      </c>
      <c r="B2077" s="4">
        <v>525</v>
      </c>
      <c r="D2077"/>
    </row>
    <row r="2078" spans="1:4" x14ac:dyDescent="0.3">
      <c r="A2078" s="4" t="s">
        <v>19</v>
      </c>
      <c r="B2078" s="4">
        <v>174</v>
      </c>
      <c r="D2078"/>
    </row>
    <row r="2079" spans="1:4" x14ac:dyDescent="0.3">
      <c r="A2079" s="4" t="s">
        <v>9</v>
      </c>
      <c r="B2079" s="4">
        <v>492</v>
      </c>
      <c r="D2079"/>
    </row>
    <row r="2080" spans="1:4" x14ac:dyDescent="0.3">
      <c r="A2080" s="4" t="s">
        <v>12</v>
      </c>
      <c r="B2080" s="4">
        <v>474</v>
      </c>
      <c r="D2080"/>
    </row>
    <row r="2081" spans="1:4" x14ac:dyDescent="0.3">
      <c r="A2081" s="4" t="s">
        <v>10</v>
      </c>
      <c r="B2081" s="4">
        <v>124</v>
      </c>
      <c r="D2081"/>
    </row>
    <row r="2082" spans="1:4" x14ac:dyDescent="0.3">
      <c r="A2082" s="4" t="s">
        <v>10</v>
      </c>
      <c r="B2082" s="4">
        <v>888</v>
      </c>
      <c r="D2082"/>
    </row>
    <row r="2083" spans="1:4" x14ac:dyDescent="0.3">
      <c r="A2083" s="4" t="s">
        <v>11</v>
      </c>
      <c r="B2083" s="4">
        <v>531</v>
      </c>
      <c r="D2083"/>
    </row>
    <row r="2084" spans="1:4" x14ac:dyDescent="0.3">
      <c r="A2084" s="4" t="s">
        <v>17</v>
      </c>
      <c r="B2084" s="4">
        <v>289</v>
      </c>
      <c r="D2084"/>
    </row>
    <row r="2085" spans="1:4" x14ac:dyDescent="0.3">
      <c r="A2085" s="4" t="s">
        <v>18</v>
      </c>
      <c r="B2085" s="4">
        <v>677</v>
      </c>
      <c r="D2085"/>
    </row>
    <row r="2086" spans="1:4" x14ac:dyDescent="0.3">
      <c r="A2086" s="4" t="s">
        <v>7</v>
      </c>
      <c r="B2086" s="4">
        <v>214</v>
      </c>
      <c r="D2086"/>
    </row>
    <row r="2087" spans="1:4" x14ac:dyDescent="0.3">
      <c r="A2087" s="4" t="s">
        <v>12</v>
      </c>
      <c r="B2087" s="4">
        <v>467</v>
      </c>
      <c r="D2087"/>
    </row>
    <row r="2088" spans="1:4" x14ac:dyDescent="0.3">
      <c r="A2088" s="4" t="s">
        <v>15</v>
      </c>
      <c r="B2088" s="4">
        <v>490</v>
      </c>
      <c r="D2088"/>
    </row>
    <row r="2089" spans="1:4" x14ac:dyDescent="0.3">
      <c r="A2089" s="4" t="s">
        <v>15</v>
      </c>
      <c r="B2089" s="4">
        <v>965</v>
      </c>
      <c r="D2089"/>
    </row>
    <row r="2090" spans="1:4" x14ac:dyDescent="0.3">
      <c r="A2090" s="4" t="s">
        <v>9</v>
      </c>
      <c r="B2090" s="4">
        <v>219</v>
      </c>
      <c r="D2090"/>
    </row>
    <row r="2091" spans="1:4" x14ac:dyDescent="0.3">
      <c r="A2091" s="4" t="s">
        <v>4</v>
      </c>
      <c r="B2091" s="4">
        <v>262</v>
      </c>
      <c r="D2091"/>
    </row>
    <row r="2092" spans="1:4" x14ac:dyDescent="0.3">
      <c r="A2092" s="4" t="s">
        <v>12</v>
      </c>
      <c r="B2092" s="4">
        <v>662</v>
      </c>
      <c r="D2092"/>
    </row>
    <row r="2093" spans="1:4" x14ac:dyDescent="0.3">
      <c r="A2093" s="4" t="s">
        <v>16</v>
      </c>
      <c r="B2093" s="4">
        <v>228</v>
      </c>
      <c r="D2093"/>
    </row>
    <row r="2094" spans="1:4" x14ac:dyDescent="0.3">
      <c r="A2094" s="4" t="s">
        <v>11</v>
      </c>
      <c r="B2094" s="4">
        <v>530</v>
      </c>
      <c r="D2094"/>
    </row>
    <row r="2095" spans="1:4" x14ac:dyDescent="0.3">
      <c r="A2095" s="4" t="s">
        <v>12</v>
      </c>
      <c r="B2095" s="4">
        <v>228</v>
      </c>
      <c r="D2095"/>
    </row>
    <row r="2096" spans="1:4" x14ac:dyDescent="0.3">
      <c r="A2096" s="4" t="s">
        <v>9</v>
      </c>
      <c r="B2096" s="4">
        <v>574</v>
      </c>
      <c r="D2096"/>
    </row>
    <row r="2097" spans="1:4" x14ac:dyDescent="0.3">
      <c r="A2097" s="4" t="s">
        <v>19</v>
      </c>
      <c r="B2097" s="4">
        <v>703</v>
      </c>
      <c r="D2097"/>
    </row>
    <row r="2098" spans="1:4" x14ac:dyDescent="0.3">
      <c r="A2098" s="4" t="s">
        <v>8</v>
      </c>
      <c r="B2098" s="4">
        <v>555</v>
      </c>
      <c r="D2098"/>
    </row>
    <row r="2099" spans="1:4" x14ac:dyDescent="0.3">
      <c r="A2099" s="4" t="s">
        <v>18</v>
      </c>
      <c r="B2099" s="4">
        <v>815</v>
      </c>
      <c r="D2099"/>
    </row>
    <row r="2100" spans="1:4" x14ac:dyDescent="0.3">
      <c r="A2100" s="4" t="s">
        <v>12</v>
      </c>
      <c r="B2100" s="4">
        <v>497</v>
      </c>
      <c r="D2100"/>
    </row>
    <row r="2101" spans="1:4" x14ac:dyDescent="0.3">
      <c r="A2101" s="4" t="s">
        <v>3</v>
      </c>
      <c r="B2101" s="4">
        <v>341</v>
      </c>
      <c r="D2101"/>
    </row>
    <row r="2102" spans="1:4" x14ac:dyDescent="0.3">
      <c r="A2102" s="4" t="s">
        <v>15</v>
      </c>
      <c r="B2102" s="4">
        <v>792</v>
      </c>
      <c r="D2102"/>
    </row>
    <row r="2103" spans="1:4" x14ac:dyDescent="0.3">
      <c r="A2103" s="4" t="s">
        <v>4</v>
      </c>
      <c r="B2103" s="4">
        <v>197</v>
      </c>
      <c r="D2103"/>
    </row>
    <row r="2104" spans="1:4" x14ac:dyDescent="0.3">
      <c r="A2104" s="4" t="s">
        <v>16</v>
      </c>
      <c r="B2104" s="4">
        <v>419</v>
      </c>
      <c r="D2104"/>
    </row>
    <row r="2105" spans="1:4" x14ac:dyDescent="0.3">
      <c r="A2105" s="4" t="s">
        <v>13</v>
      </c>
      <c r="B2105" s="4">
        <v>536</v>
      </c>
      <c r="D2105"/>
    </row>
    <row r="2106" spans="1:4" x14ac:dyDescent="0.3">
      <c r="A2106" s="4" t="s">
        <v>19</v>
      </c>
      <c r="B2106" s="4">
        <v>200</v>
      </c>
      <c r="D2106"/>
    </row>
    <row r="2107" spans="1:4" x14ac:dyDescent="0.3">
      <c r="A2107" s="4" t="s">
        <v>6</v>
      </c>
      <c r="B2107" s="4">
        <v>991</v>
      </c>
      <c r="D2107"/>
    </row>
    <row r="2108" spans="1:4" x14ac:dyDescent="0.3">
      <c r="A2108" s="4" t="s">
        <v>18</v>
      </c>
      <c r="B2108" s="4">
        <v>136</v>
      </c>
      <c r="D2108"/>
    </row>
    <row r="2109" spans="1:4" x14ac:dyDescent="0.3">
      <c r="A2109" s="4" t="s">
        <v>7</v>
      </c>
      <c r="B2109" s="4">
        <v>569</v>
      </c>
      <c r="D2109"/>
    </row>
    <row r="2110" spans="1:4" x14ac:dyDescent="0.3">
      <c r="A2110" s="4" t="s">
        <v>17</v>
      </c>
      <c r="B2110" s="4">
        <v>581</v>
      </c>
      <c r="D2110"/>
    </row>
    <row r="2111" spans="1:4" x14ac:dyDescent="0.3">
      <c r="A2111" s="4" t="s">
        <v>11</v>
      </c>
      <c r="B2111" s="4">
        <v>136</v>
      </c>
      <c r="D2111"/>
    </row>
    <row r="2112" spans="1:4" x14ac:dyDescent="0.3">
      <c r="A2112" s="4" t="s">
        <v>3</v>
      </c>
      <c r="B2112" s="4">
        <v>119</v>
      </c>
      <c r="D2112"/>
    </row>
    <row r="2113" spans="1:4" x14ac:dyDescent="0.3">
      <c r="A2113" s="4" t="s">
        <v>18</v>
      </c>
      <c r="B2113" s="4">
        <v>246</v>
      </c>
      <c r="D2113"/>
    </row>
    <row r="2114" spans="1:4" x14ac:dyDescent="0.3">
      <c r="A2114" s="4" t="s">
        <v>11</v>
      </c>
      <c r="B2114" s="4">
        <v>311</v>
      </c>
      <c r="D2114"/>
    </row>
    <row r="2115" spans="1:4" x14ac:dyDescent="0.3">
      <c r="A2115" s="4" t="s">
        <v>4</v>
      </c>
      <c r="B2115" s="4">
        <v>923</v>
      </c>
      <c r="D2115"/>
    </row>
    <row r="2116" spans="1:4" x14ac:dyDescent="0.3">
      <c r="A2116" s="4" t="s">
        <v>3</v>
      </c>
      <c r="B2116" s="4">
        <v>197</v>
      </c>
      <c r="D2116"/>
    </row>
    <row r="2117" spans="1:4" x14ac:dyDescent="0.3">
      <c r="A2117" s="4" t="s">
        <v>19</v>
      </c>
      <c r="B2117" s="4">
        <v>746</v>
      </c>
      <c r="D2117"/>
    </row>
    <row r="2118" spans="1:4" x14ac:dyDescent="0.3">
      <c r="A2118" s="4" t="s">
        <v>12</v>
      </c>
      <c r="B2118" s="4">
        <v>393</v>
      </c>
      <c r="D2118"/>
    </row>
    <row r="2119" spans="1:4" x14ac:dyDescent="0.3">
      <c r="A2119" s="4" t="s">
        <v>6</v>
      </c>
      <c r="B2119" s="4">
        <v>908</v>
      </c>
      <c r="D2119"/>
    </row>
    <row r="2120" spans="1:4" x14ac:dyDescent="0.3">
      <c r="A2120" s="4" t="s">
        <v>9</v>
      </c>
      <c r="B2120" s="4">
        <v>21</v>
      </c>
      <c r="D2120"/>
    </row>
    <row r="2121" spans="1:4" x14ac:dyDescent="0.3">
      <c r="A2121" s="4" t="s">
        <v>9</v>
      </c>
      <c r="B2121" s="4">
        <v>565</v>
      </c>
      <c r="D2121"/>
    </row>
    <row r="2122" spans="1:4" x14ac:dyDescent="0.3">
      <c r="A2122" s="4" t="s">
        <v>7</v>
      </c>
      <c r="B2122" s="4">
        <v>702</v>
      </c>
      <c r="D2122"/>
    </row>
    <row r="2123" spans="1:4" x14ac:dyDescent="0.3">
      <c r="A2123" s="4" t="s">
        <v>17</v>
      </c>
      <c r="B2123" s="4">
        <v>915</v>
      </c>
      <c r="D2123"/>
    </row>
    <row r="2124" spans="1:4" x14ac:dyDescent="0.3">
      <c r="A2124" s="4" t="s">
        <v>9</v>
      </c>
      <c r="B2124" s="4">
        <v>807</v>
      </c>
      <c r="D2124"/>
    </row>
    <row r="2125" spans="1:4" x14ac:dyDescent="0.3">
      <c r="A2125" s="4" t="s">
        <v>4</v>
      </c>
      <c r="B2125" s="4">
        <v>598</v>
      </c>
      <c r="D2125"/>
    </row>
    <row r="2126" spans="1:4" x14ac:dyDescent="0.3">
      <c r="A2126" s="4" t="s">
        <v>12</v>
      </c>
      <c r="B2126" s="4">
        <v>609</v>
      </c>
      <c r="D2126"/>
    </row>
    <row r="2127" spans="1:4" x14ac:dyDescent="0.3">
      <c r="A2127" s="4" t="s">
        <v>17</v>
      </c>
      <c r="B2127" s="4">
        <v>894</v>
      </c>
      <c r="D2127"/>
    </row>
    <row r="2128" spans="1:4" x14ac:dyDescent="0.3">
      <c r="A2128" s="4" t="s">
        <v>18</v>
      </c>
      <c r="B2128" s="4">
        <v>950</v>
      </c>
      <c r="D2128"/>
    </row>
    <row r="2129" spans="1:4" x14ac:dyDescent="0.3">
      <c r="A2129" s="4" t="s">
        <v>17</v>
      </c>
      <c r="B2129" s="4">
        <v>293</v>
      </c>
      <c r="D2129"/>
    </row>
    <row r="2130" spans="1:4" x14ac:dyDescent="0.3">
      <c r="A2130" s="4" t="s">
        <v>16</v>
      </c>
      <c r="B2130" s="4">
        <v>480</v>
      </c>
      <c r="D2130"/>
    </row>
    <row r="2131" spans="1:4" x14ac:dyDescent="0.3">
      <c r="A2131" s="4" t="s">
        <v>6</v>
      </c>
      <c r="B2131" s="4">
        <v>439</v>
      </c>
      <c r="D2131"/>
    </row>
    <row r="2132" spans="1:4" x14ac:dyDescent="0.3">
      <c r="A2132" s="4" t="s">
        <v>10</v>
      </c>
      <c r="B2132" s="6">
        <v>639</v>
      </c>
      <c r="D2132"/>
    </row>
    <row r="2133" spans="1:4" x14ac:dyDescent="0.3">
      <c r="A2133" s="4" t="s">
        <v>10</v>
      </c>
      <c r="B2133" s="4">
        <v>475</v>
      </c>
      <c r="D2133"/>
    </row>
    <row r="2134" spans="1:4" x14ac:dyDescent="0.3">
      <c r="A2134" s="4" t="s">
        <v>18</v>
      </c>
      <c r="B2134" s="4">
        <v>986</v>
      </c>
      <c r="D2134"/>
    </row>
    <row r="2135" spans="1:4" x14ac:dyDescent="0.3">
      <c r="A2135" s="4" t="s">
        <v>9</v>
      </c>
      <c r="B2135" s="4">
        <v>191</v>
      </c>
      <c r="D2135"/>
    </row>
    <row r="2136" spans="1:4" x14ac:dyDescent="0.3">
      <c r="A2136" s="4" t="s">
        <v>9</v>
      </c>
      <c r="B2136" s="4">
        <v>663</v>
      </c>
      <c r="D2136"/>
    </row>
    <row r="2137" spans="1:4" x14ac:dyDescent="0.3">
      <c r="A2137" s="4" t="s">
        <v>18</v>
      </c>
      <c r="B2137" s="4">
        <v>793</v>
      </c>
      <c r="D2137"/>
    </row>
    <row r="2138" spans="1:4" x14ac:dyDescent="0.3">
      <c r="A2138" s="4" t="s">
        <v>3</v>
      </c>
      <c r="B2138" s="4">
        <v>131</v>
      </c>
      <c r="D2138"/>
    </row>
    <row r="2139" spans="1:4" x14ac:dyDescent="0.3">
      <c r="A2139" s="4" t="s">
        <v>10</v>
      </c>
      <c r="B2139" s="4">
        <v>802</v>
      </c>
      <c r="D2139"/>
    </row>
    <row r="2140" spans="1:4" x14ac:dyDescent="0.3">
      <c r="A2140" s="4" t="s">
        <v>17</v>
      </c>
      <c r="B2140" s="4">
        <v>489</v>
      </c>
      <c r="D2140"/>
    </row>
    <row r="2141" spans="1:4" x14ac:dyDescent="0.3">
      <c r="A2141" s="4" t="s">
        <v>18</v>
      </c>
      <c r="B2141" s="4">
        <v>619</v>
      </c>
      <c r="D2141"/>
    </row>
    <row r="2142" spans="1:4" x14ac:dyDescent="0.3">
      <c r="A2142" s="4" t="s">
        <v>19</v>
      </c>
      <c r="B2142" s="4">
        <v>643</v>
      </c>
      <c r="D2142"/>
    </row>
    <row r="2143" spans="1:4" x14ac:dyDescent="0.3">
      <c r="A2143" s="4" t="s">
        <v>7</v>
      </c>
      <c r="B2143" s="4">
        <v>764</v>
      </c>
      <c r="D2143"/>
    </row>
    <row r="2144" spans="1:4" x14ac:dyDescent="0.3">
      <c r="A2144" s="4" t="s">
        <v>19</v>
      </c>
      <c r="B2144" s="4">
        <v>806</v>
      </c>
      <c r="D2144"/>
    </row>
    <row r="2145" spans="1:4" x14ac:dyDescent="0.3">
      <c r="A2145" s="4" t="s">
        <v>3</v>
      </c>
      <c r="B2145" s="4">
        <v>845</v>
      </c>
      <c r="D2145"/>
    </row>
    <row r="2146" spans="1:4" x14ac:dyDescent="0.3">
      <c r="A2146" s="4" t="s">
        <v>8</v>
      </c>
      <c r="B2146" s="4">
        <v>199</v>
      </c>
      <c r="D2146"/>
    </row>
    <row r="2147" spans="1:4" x14ac:dyDescent="0.3">
      <c r="A2147" s="4" t="s">
        <v>9</v>
      </c>
      <c r="B2147" s="4">
        <v>146</v>
      </c>
      <c r="D2147"/>
    </row>
    <row r="2148" spans="1:4" x14ac:dyDescent="0.3">
      <c r="A2148" s="4" t="s">
        <v>11</v>
      </c>
      <c r="B2148" s="4">
        <v>710</v>
      </c>
      <c r="D2148"/>
    </row>
    <row r="2149" spans="1:4" x14ac:dyDescent="0.3">
      <c r="A2149" s="4" t="s">
        <v>11</v>
      </c>
      <c r="B2149" s="4">
        <v>450</v>
      </c>
      <c r="D2149"/>
    </row>
    <row r="2150" spans="1:4" x14ac:dyDescent="0.3">
      <c r="A2150" s="4" t="s">
        <v>6</v>
      </c>
      <c r="B2150" s="4">
        <v>501</v>
      </c>
      <c r="D2150"/>
    </row>
    <row r="2151" spans="1:4" x14ac:dyDescent="0.3">
      <c r="A2151" s="4" t="s">
        <v>6</v>
      </c>
      <c r="B2151" s="4">
        <v>464</v>
      </c>
      <c r="D2151"/>
    </row>
    <row r="2152" spans="1:4" x14ac:dyDescent="0.3">
      <c r="A2152" s="4" t="s">
        <v>15</v>
      </c>
      <c r="B2152" s="4">
        <v>196</v>
      </c>
      <c r="D2152"/>
    </row>
    <row r="2153" spans="1:4" x14ac:dyDescent="0.3">
      <c r="A2153" s="4" t="s">
        <v>9</v>
      </c>
      <c r="B2153" s="4">
        <v>415</v>
      </c>
      <c r="D2153"/>
    </row>
    <row r="2154" spans="1:4" x14ac:dyDescent="0.3">
      <c r="A2154" s="4" t="s">
        <v>10</v>
      </c>
      <c r="B2154" s="4">
        <v>523</v>
      </c>
      <c r="D2154"/>
    </row>
    <row r="2155" spans="1:4" x14ac:dyDescent="0.3">
      <c r="A2155" s="4" t="s">
        <v>6</v>
      </c>
      <c r="B2155" s="4">
        <v>259</v>
      </c>
      <c r="D2155"/>
    </row>
    <row r="2156" spans="1:4" x14ac:dyDescent="0.3">
      <c r="A2156" s="4" t="s">
        <v>18</v>
      </c>
      <c r="B2156" s="4">
        <v>314</v>
      </c>
      <c r="D2156"/>
    </row>
    <row r="2157" spans="1:4" x14ac:dyDescent="0.3">
      <c r="A2157" s="4" t="s">
        <v>19</v>
      </c>
      <c r="B2157" s="4">
        <v>500</v>
      </c>
      <c r="D2157"/>
    </row>
    <row r="2158" spans="1:4" x14ac:dyDescent="0.3">
      <c r="A2158" s="4" t="s">
        <v>10</v>
      </c>
      <c r="B2158" s="4">
        <v>748</v>
      </c>
      <c r="D2158"/>
    </row>
    <row r="2159" spans="1:4" x14ac:dyDescent="0.3">
      <c r="A2159" s="4" t="s">
        <v>7</v>
      </c>
      <c r="B2159" s="4">
        <v>271</v>
      </c>
      <c r="D2159"/>
    </row>
    <row r="2160" spans="1:4" x14ac:dyDescent="0.3">
      <c r="A2160" s="4" t="s">
        <v>15</v>
      </c>
      <c r="B2160" s="4">
        <v>290</v>
      </c>
      <c r="D2160"/>
    </row>
    <row r="2161" spans="1:4" x14ac:dyDescent="0.3">
      <c r="A2161" s="4" t="s">
        <v>10</v>
      </c>
      <c r="B2161" s="4">
        <v>602</v>
      </c>
      <c r="D2161"/>
    </row>
    <row r="2162" spans="1:4" x14ac:dyDescent="0.3">
      <c r="A2162" s="4" t="s">
        <v>19</v>
      </c>
      <c r="B2162" s="4">
        <v>876</v>
      </c>
      <c r="D2162"/>
    </row>
    <row r="2163" spans="1:4" x14ac:dyDescent="0.3">
      <c r="A2163" s="4" t="s">
        <v>10</v>
      </c>
      <c r="B2163" s="4">
        <v>746</v>
      </c>
      <c r="D2163"/>
    </row>
    <row r="2164" spans="1:4" x14ac:dyDescent="0.3">
      <c r="A2164" s="4" t="s">
        <v>12</v>
      </c>
      <c r="B2164" s="4">
        <v>229</v>
      </c>
      <c r="D2164"/>
    </row>
    <row r="2165" spans="1:4" x14ac:dyDescent="0.3">
      <c r="A2165" s="4" t="s">
        <v>17</v>
      </c>
      <c r="B2165" s="4">
        <v>141</v>
      </c>
      <c r="D2165"/>
    </row>
    <row r="2166" spans="1:4" x14ac:dyDescent="0.3">
      <c r="A2166" s="4" t="s">
        <v>12</v>
      </c>
      <c r="B2166" s="4">
        <v>685</v>
      </c>
      <c r="D2166"/>
    </row>
    <row r="2167" spans="1:4" x14ac:dyDescent="0.3">
      <c r="A2167" s="4" t="s">
        <v>8</v>
      </c>
      <c r="B2167" s="4">
        <v>452</v>
      </c>
      <c r="D2167"/>
    </row>
    <row r="2168" spans="1:4" x14ac:dyDescent="0.3">
      <c r="A2168" s="4" t="s">
        <v>19</v>
      </c>
      <c r="B2168" s="4">
        <v>13</v>
      </c>
      <c r="D2168"/>
    </row>
    <row r="2169" spans="1:4" x14ac:dyDescent="0.3">
      <c r="A2169" s="4" t="s">
        <v>8</v>
      </c>
      <c r="B2169" s="4">
        <v>185</v>
      </c>
      <c r="D2169"/>
    </row>
    <row r="2170" spans="1:4" x14ac:dyDescent="0.3">
      <c r="A2170" s="4" t="s">
        <v>8</v>
      </c>
      <c r="B2170" s="4">
        <v>213</v>
      </c>
      <c r="D2170"/>
    </row>
    <row r="2171" spans="1:4" x14ac:dyDescent="0.3">
      <c r="A2171" s="4" t="s">
        <v>3</v>
      </c>
      <c r="B2171" s="4">
        <v>717</v>
      </c>
      <c r="D2171"/>
    </row>
    <row r="2172" spans="1:4" x14ac:dyDescent="0.3">
      <c r="A2172" s="4" t="s">
        <v>6</v>
      </c>
      <c r="B2172" s="4">
        <v>122</v>
      </c>
      <c r="D2172"/>
    </row>
    <row r="2173" spans="1:4" x14ac:dyDescent="0.3">
      <c r="A2173" s="4" t="s">
        <v>16</v>
      </c>
      <c r="B2173" s="4">
        <v>259</v>
      </c>
      <c r="D2173"/>
    </row>
    <row r="2174" spans="1:4" x14ac:dyDescent="0.3">
      <c r="A2174" s="4" t="s">
        <v>6</v>
      </c>
      <c r="B2174" s="4">
        <v>733</v>
      </c>
      <c r="D2174"/>
    </row>
    <row r="2175" spans="1:4" x14ac:dyDescent="0.3">
      <c r="A2175" s="4" t="s">
        <v>18</v>
      </c>
      <c r="B2175" s="4">
        <v>800</v>
      </c>
      <c r="D2175"/>
    </row>
    <row r="2176" spans="1:4" x14ac:dyDescent="0.3">
      <c r="A2176" s="4" t="s">
        <v>19</v>
      </c>
      <c r="B2176" s="4">
        <v>284</v>
      </c>
      <c r="D2176"/>
    </row>
    <row r="2177" spans="1:4" x14ac:dyDescent="0.3">
      <c r="A2177" s="4" t="s">
        <v>4</v>
      </c>
      <c r="B2177" s="4">
        <v>900</v>
      </c>
      <c r="D2177"/>
    </row>
    <row r="2178" spans="1:4" x14ac:dyDescent="0.3">
      <c r="A2178" s="4" t="s">
        <v>3</v>
      </c>
      <c r="B2178" s="4">
        <v>273</v>
      </c>
      <c r="D2178"/>
    </row>
    <row r="2179" spans="1:4" x14ac:dyDescent="0.3">
      <c r="A2179" s="4" t="s">
        <v>19</v>
      </c>
      <c r="B2179" s="4">
        <v>843</v>
      </c>
      <c r="D2179"/>
    </row>
    <row r="2180" spans="1:4" x14ac:dyDescent="0.3">
      <c r="A2180" s="4" t="s">
        <v>6</v>
      </c>
      <c r="B2180" s="4">
        <v>905</v>
      </c>
      <c r="D2180"/>
    </row>
    <row r="2181" spans="1:4" x14ac:dyDescent="0.3">
      <c r="A2181" s="4" t="s">
        <v>19</v>
      </c>
      <c r="B2181" s="4">
        <v>161</v>
      </c>
      <c r="D2181"/>
    </row>
    <row r="2182" spans="1:4" x14ac:dyDescent="0.3">
      <c r="A2182" s="4" t="s">
        <v>13</v>
      </c>
      <c r="B2182" s="4">
        <v>989</v>
      </c>
      <c r="D2182"/>
    </row>
    <row r="2183" spans="1:4" x14ac:dyDescent="0.3">
      <c r="A2183" s="4" t="s">
        <v>15</v>
      </c>
      <c r="B2183" s="4">
        <v>385</v>
      </c>
      <c r="D2183"/>
    </row>
    <row r="2184" spans="1:4" x14ac:dyDescent="0.3">
      <c r="A2184" s="4" t="s">
        <v>6</v>
      </c>
      <c r="B2184" s="4">
        <v>650</v>
      </c>
      <c r="D2184"/>
    </row>
    <row r="2185" spans="1:4" x14ac:dyDescent="0.3">
      <c r="A2185" s="4" t="s">
        <v>3</v>
      </c>
      <c r="B2185" s="4">
        <v>112</v>
      </c>
      <c r="D2185"/>
    </row>
    <row r="2186" spans="1:4" x14ac:dyDescent="0.3">
      <c r="A2186" s="4" t="s">
        <v>10</v>
      </c>
      <c r="B2186" s="4">
        <v>131</v>
      </c>
      <c r="D2186"/>
    </row>
    <row r="2187" spans="1:4" x14ac:dyDescent="0.3">
      <c r="A2187" s="4" t="s">
        <v>17</v>
      </c>
      <c r="B2187" s="4">
        <v>920</v>
      </c>
      <c r="D2187"/>
    </row>
    <row r="2188" spans="1:4" x14ac:dyDescent="0.3">
      <c r="A2188" s="4" t="s">
        <v>4</v>
      </c>
      <c r="B2188" s="4">
        <v>496</v>
      </c>
      <c r="D2188"/>
    </row>
    <row r="2189" spans="1:4" x14ac:dyDescent="0.3">
      <c r="A2189" s="4" t="s">
        <v>14</v>
      </c>
      <c r="B2189" s="4">
        <v>692</v>
      </c>
      <c r="D2189"/>
    </row>
    <row r="2190" spans="1:4" x14ac:dyDescent="0.3">
      <c r="A2190" s="4" t="s">
        <v>15</v>
      </c>
      <c r="B2190" s="4">
        <v>827</v>
      </c>
      <c r="D2190"/>
    </row>
    <row r="2191" spans="1:4" x14ac:dyDescent="0.3">
      <c r="A2191" s="4" t="s">
        <v>11</v>
      </c>
      <c r="B2191" s="4">
        <v>464</v>
      </c>
      <c r="D2191"/>
    </row>
    <row r="2192" spans="1:4" x14ac:dyDescent="0.3">
      <c r="A2192" s="4" t="s">
        <v>19</v>
      </c>
      <c r="B2192" s="4">
        <v>858</v>
      </c>
      <c r="D2192"/>
    </row>
    <row r="2193" spans="1:4" x14ac:dyDescent="0.3">
      <c r="A2193" s="4" t="s">
        <v>9</v>
      </c>
      <c r="B2193" s="4">
        <v>325</v>
      </c>
      <c r="D2193"/>
    </row>
    <row r="2194" spans="1:4" x14ac:dyDescent="0.3">
      <c r="A2194" s="4" t="s">
        <v>12</v>
      </c>
      <c r="B2194" s="4">
        <v>687</v>
      </c>
      <c r="D2194"/>
    </row>
    <row r="2195" spans="1:4" x14ac:dyDescent="0.3">
      <c r="A2195" s="4" t="s">
        <v>9</v>
      </c>
      <c r="B2195" s="4">
        <v>814</v>
      </c>
      <c r="D2195"/>
    </row>
    <row r="2196" spans="1:4" x14ac:dyDescent="0.3">
      <c r="A2196" s="4" t="s">
        <v>10</v>
      </c>
      <c r="B2196" s="4">
        <v>923</v>
      </c>
      <c r="D2196"/>
    </row>
    <row r="2197" spans="1:4" x14ac:dyDescent="0.3">
      <c r="A2197" s="4" t="s">
        <v>4</v>
      </c>
      <c r="B2197" s="4">
        <v>580</v>
      </c>
      <c r="D2197"/>
    </row>
    <row r="2198" spans="1:4" x14ac:dyDescent="0.3">
      <c r="A2198" s="4" t="s">
        <v>10</v>
      </c>
      <c r="B2198" s="4">
        <v>262</v>
      </c>
      <c r="D2198"/>
    </row>
    <row r="2199" spans="1:4" x14ac:dyDescent="0.3">
      <c r="A2199" s="4" t="s">
        <v>12</v>
      </c>
      <c r="B2199" s="4">
        <v>882</v>
      </c>
      <c r="D2199"/>
    </row>
    <row r="2200" spans="1:4" x14ac:dyDescent="0.3">
      <c r="A2200" s="4" t="s">
        <v>4</v>
      </c>
      <c r="B2200" s="4">
        <v>365</v>
      </c>
      <c r="D2200"/>
    </row>
    <row r="2201" spans="1:4" x14ac:dyDescent="0.3">
      <c r="A2201" s="4" t="s">
        <v>3</v>
      </c>
      <c r="B2201" s="4">
        <v>585</v>
      </c>
      <c r="D2201"/>
    </row>
    <row r="2202" spans="1:4" x14ac:dyDescent="0.3">
      <c r="A2202" s="4" t="s">
        <v>10</v>
      </c>
      <c r="B2202" s="4">
        <v>278</v>
      </c>
      <c r="D2202"/>
    </row>
    <row r="2203" spans="1:4" x14ac:dyDescent="0.3">
      <c r="A2203" s="4" t="s">
        <v>6</v>
      </c>
      <c r="B2203" s="4">
        <v>279</v>
      </c>
      <c r="D2203"/>
    </row>
    <row r="2204" spans="1:4" x14ac:dyDescent="0.3">
      <c r="A2204" s="4" t="s">
        <v>9</v>
      </c>
      <c r="B2204" s="4">
        <v>852</v>
      </c>
      <c r="D2204"/>
    </row>
    <row r="2205" spans="1:4" x14ac:dyDescent="0.3">
      <c r="A2205" s="4" t="s">
        <v>7</v>
      </c>
      <c r="B2205" s="4">
        <v>956</v>
      </c>
      <c r="D2205"/>
    </row>
    <row r="2206" spans="1:4" x14ac:dyDescent="0.3">
      <c r="A2206" s="4" t="s">
        <v>8</v>
      </c>
      <c r="B2206" s="4">
        <v>419</v>
      </c>
      <c r="D2206"/>
    </row>
    <row r="2207" spans="1:4" x14ac:dyDescent="0.3">
      <c r="A2207" s="4" t="s">
        <v>18</v>
      </c>
      <c r="B2207" s="4">
        <v>739</v>
      </c>
      <c r="D2207"/>
    </row>
    <row r="2208" spans="1:4" x14ac:dyDescent="0.3">
      <c r="A2208" s="4" t="s">
        <v>19</v>
      </c>
      <c r="B2208" s="4">
        <v>581</v>
      </c>
      <c r="D2208"/>
    </row>
    <row r="2209" spans="1:4" x14ac:dyDescent="0.3">
      <c r="A2209" s="4" t="s">
        <v>6</v>
      </c>
      <c r="B2209" s="4">
        <v>603</v>
      </c>
      <c r="D2209"/>
    </row>
    <row r="2210" spans="1:4" x14ac:dyDescent="0.3">
      <c r="A2210" s="4" t="s">
        <v>8</v>
      </c>
      <c r="B2210" s="4">
        <v>88</v>
      </c>
      <c r="D2210"/>
    </row>
    <row r="2211" spans="1:4" x14ac:dyDescent="0.3">
      <c r="A2211" s="4" t="s">
        <v>18</v>
      </c>
      <c r="B2211" s="4">
        <v>863</v>
      </c>
      <c r="D2211"/>
    </row>
    <row r="2212" spans="1:4" x14ac:dyDescent="0.3">
      <c r="A2212" s="4" t="s">
        <v>18</v>
      </c>
      <c r="B2212" s="4">
        <v>636</v>
      </c>
      <c r="D2212"/>
    </row>
    <row r="2213" spans="1:4" x14ac:dyDescent="0.3">
      <c r="A2213" s="4" t="s">
        <v>11</v>
      </c>
      <c r="B2213" s="4">
        <v>620</v>
      </c>
      <c r="D2213"/>
    </row>
    <row r="2214" spans="1:4" x14ac:dyDescent="0.3">
      <c r="A2214" s="4" t="s">
        <v>6</v>
      </c>
      <c r="B2214" s="4">
        <v>295</v>
      </c>
      <c r="D2214"/>
    </row>
    <row r="2215" spans="1:4" x14ac:dyDescent="0.3">
      <c r="A2215" s="4" t="s">
        <v>19</v>
      </c>
      <c r="B2215" s="4">
        <v>26</v>
      </c>
      <c r="D2215"/>
    </row>
    <row r="2216" spans="1:4" x14ac:dyDescent="0.3">
      <c r="A2216" s="4" t="s">
        <v>11</v>
      </c>
      <c r="B2216" s="4">
        <v>260</v>
      </c>
      <c r="D2216"/>
    </row>
    <row r="2217" spans="1:4" x14ac:dyDescent="0.3">
      <c r="A2217" s="4" t="s">
        <v>7</v>
      </c>
      <c r="B2217" s="4">
        <v>746</v>
      </c>
      <c r="D2217"/>
    </row>
    <row r="2218" spans="1:4" x14ac:dyDescent="0.3">
      <c r="A2218" s="4" t="s">
        <v>11</v>
      </c>
      <c r="B2218" s="4">
        <v>468</v>
      </c>
      <c r="D2218"/>
    </row>
    <row r="2219" spans="1:4" x14ac:dyDescent="0.3">
      <c r="A2219" s="4" t="s">
        <v>19</v>
      </c>
      <c r="B2219" s="4">
        <v>719</v>
      </c>
      <c r="D2219"/>
    </row>
    <row r="2220" spans="1:4" x14ac:dyDescent="0.3">
      <c r="A2220" s="4" t="s">
        <v>6</v>
      </c>
      <c r="B2220" s="4">
        <v>382</v>
      </c>
      <c r="D2220"/>
    </row>
    <row r="2221" spans="1:4" x14ac:dyDescent="0.3">
      <c r="A2221" s="4" t="s">
        <v>12</v>
      </c>
      <c r="B2221" s="4">
        <v>478</v>
      </c>
      <c r="D2221"/>
    </row>
    <row r="2222" spans="1:4" x14ac:dyDescent="0.3">
      <c r="A2222" s="4" t="s">
        <v>3</v>
      </c>
      <c r="B2222" s="4">
        <v>891</v>
      </c>
      <c r="D2222"/>
    </row>
    <row r="2223" spans="1:4" x14ac:dyDescent="0.3">
      <c r="A2223" s="4" t="s">
        <v>6</v>
      </c>
      <c r="B2223" s="4">
        <v>654</v>
      </c>
      <c r="D2223"/>
    </row>
    <row r="2224" spans="1:4" x14ac:dyDescent="0.3">
      <c r="A2224" s="4" t="s">
        <v>17</v>
      </c>
      <c r="B2224" s="4">
        <v>178</v>
      </c>
      <c r="D2224"/>
    </row>
    <row r="2225" spans="1:4" x14ac:dyDescent="0.3">
      <c r="A2225" s="4" t="s">
        <v>10</v>
      </c>
      <c r="B2225" s="4">
        <v>884</v>
      </c>
      <c r="D2225"/>
    </row>
    <row r="2226" spans="1:4" x14ac:dyDescent="0.3">
      <c r="A2226" s="4" t="s">
        <v>9</v>
      </c>
      <c r="B2226" s="4">
        <v>523</v>
      </c>
      <c r="D2226"/>
    </row>
    <row r="2227" spans="1:4" x14ac:dyDescent="0.3">
      <c r="A2227" s="4" t="s">
        <v>14</v>
      </c>
      <c r="B2227" s="4">
        <v>894</v>
      </c>
      <c r="D2227"/>
    </row>
    <row r="2228" spans="1:4" x14ac:dyDescent="0.3">
      <c r="A2228" s="4" t="s">
        <v>8</v>
      </c>
      <c r="B2228" s="4">
        <v>374</v>
      </c>
      <c r="D2228"/>
    </row>
    <row r="2229" spans="1:4" x14ac:dyDescent="0.3">
      <c r="A2229" s="4" t="s">
        <v>8</v>
      </c>
      <c r="B2229" s="4">
        <v>997</v>
      </c>
      <c r="D2229"/>
    </row>
    <row r="2230" spans="1:4" x14ac:dyDescent="0.3">
      <c r="A2230" s="4" t="s">
        <v>6</v>
      </c>
      <c r="B2230" s="4">
        <v>118</v>
      </c>
      <c r="D2230"/>
    </row>
    <row r="2231" spans="1:4" x14ac:dyDescent="0.3">
      <c r="A2231" s="4" t="s">
        <v>4</v>
      </c>
      <c r="B2231" s="4">
        <v>314</v>
      </c>
      <c r="D2231"/>
    </row>
    <row r="2232" spans="1:4" x14ac:dyDescent="0.3">
      <c r="A2232" s="4" t="s">
        <v>19</v>
      </c>
      <c r="B2232" s="4">
        <v>358</v>
      </c>
      <c r="D2232"/>
    </row>
    <row r="2233" spans="1:4" x14ac:dyDescent="0.3">
      <c r="A2233" s="4" t="s">
        <v>14</v>
      </c>
      <c r="B2233" s="4">
        <v>452</v>
      </c>
      <c r="D2233"/>
    </row>
    <row r="2234" spans="1:4" x14ac:dyDescent="0.3">
      <c r="A2234" s="4" t="s">
        <v>18</v>
      </c>
      <c r="B2234" s="4">
        <v>967</v>
      </c>
      <c r="D2234"/>
    </row>
    <row r="2235" spans="1:4" x14ac:dyDescent="0.3">
      <c r="A2235" s="4" t="s">
        <v>7</v>
      </c>
      <c r="B2235" s="4">
        <v>108</v>
      </c>
      <c r="D2235"/>
    </row>
    <row r="2236" spans="1:4" x14ac:dyDescent="0.3">
      <c r="A2236" s="4" t="s">
        <v>19</v>
      </c>
      <c r="B2236" s="4">
        <v>477</v>
      </c>
      <c r="D2236"/>
    </row>
    <row r="2237" spans="1:4" x14ac:dyDescent="0.3">
      <c r="A2237" s="4" t="s">
        <v>10</v>
      </c>
      <c r="B2237" s="4">
        <v>156</v>
      </c>
      <c r="D2237"/>
    </row>
    <row r="2238" spans="1:4" x14ac:dyDescent="0.3">
      <c r="A2238" s="4" t="s">
        <v>14</v>
      </c>
      <c r="B2238" s="4">
        <v>616</v>
      </c>
      <c r="D2238"/>
    </row>
    <row r="2239" spans="1:4" x14ac:dyDescent="0.3">
      <c r="A2239" s="4" t="s">
        <v>9</v>
      </c>
      <c r="B2239" s="4">
        <v>897</v>
      </c>
      <c r="D2239"/>
    </row>
    <row r="2240" spans="1:4" x14ac:dyDescent="0.3">
      <c r="A2240" s="4" t="s">
        <v>18</v>
      </c>
      <c r="B2240" s="4">
        <v>661</v>
      </c>
      <c r="D2240"/>
    </row>
    <row r="2241" spans="1:4" x14ac:dyDescent="0.3">
      <c r="A2241" s="4" t="s">
        <v>12</v>
      </c>
      <c r="B2241" s="4">
        <v>731</v>
      </c>
      <c r="D2241"/>
    </row>
    <row r="2242" spans="1:4" x14ac:dyDescent="0.3">
      <c r="A2242" s="4" t="s">
        <v>7</v>
      </c>
      <c r="B2242" s="4">
        <v>126</v>
      </c>
      <c r="D2242"/>
    </row>
    <row r="2243" spans="1:4" x14ac:dyDescent="0.3">
      <c r="A2243" s="4" t="s">
        <v>11</v>
      </c>
      <c r="B2243" s="4">
        <v>666</v>
      </c>
      <c r="D2243"/>
    </row>
    <row r="2244" spans="1:4" x14ac:dyDescent="0.3">
      <c r="A2244" s="4" t="s">
        <v>6</v>
      </c>
      <c r="B2244" s="4">
        <v>62</v>
      </c>
      <c r="D2244"/>
    </row>
    <row r="2245" spans="1:4" x14ac:dyDescent="0.3">
      <c r="A2245" s="4" t="s">
        <v>18</v>
      </c>
      <c r="B2245" s="4">
        <v>917</v>
      </c>
      <c r="D2245"/>
    </row>
    <row r="2246" spans="1:4" x14ac:dyDescent="0.3">
      <c r="A2246" s="4" t="s">
        <v>8</v>
      </c>
      <c r="B2246" s="4">
        <v>106</v>
      </c>
      <c r="D2246"/>
    </row>
    <row r="2247" spans="1:4" x14ac:dyDescent="0.3">
      <c r="A2247" s="4" t="s">
        <v>19</v>
      </c>
      <c r="B2247" s="4">
        <v>275</v>
      </c>
      <c r="D2247"/>
    </row>
    <row r="2248" spans="1:4" x14ac:dyDescent="0.3">
      <c r="A2248" s="4" t="s">
        <v>4</v>
      </c>
      <c r="B2248" s="4">
        <v>278</v>
      </c>
      <c r="D2248"/>
    </row>
    <row r="2249" spans="1:4" x14ac:dyDescent="0.3">
      <c r="A2249" s="4" t="s">
        <v>14</v>
      </c>
      <c r="B2249" s="4">
        <v>330</v>
      </c>
      <c r="D2249"/>
    </row>
    <row r="2250" spans="1:4" x14ac:dyDescent="0.3">
      <c r="A2250" s="4" t="s">
        <v>9</v>
      </c>
      <c r="B2250" s="4">
        <v>331</v>
      </c>
      <c r="D2250"/>
    </row>
    <row r="2251" spans="1:4" x14ac:dyDescent="0.3">
      <c r="A2251" s="4" t="s">
        <v>6</v>
      </c>
      <c r="B2251" s="4">
        <v>268</v>
      </c>
      <c r="D2251"/>
    </row>
    <row r="2252" spans="1:4" x14ac:dyDescent="0.3">
      <c r="A2252" s="4" t="s">
        <v>17</v>
      </c>
      <c r="B2252" s="4">
        <v>889</v>
      </c>
      <c r="D2252"/>
    </row>
    <row r="2253" spans="1:4" x14ac:dyDescent="0.3">
      <c r="A2253" s="4" t="s">
        <v>16</v>
      </c>
      <c r="B2253" s="4">
        <v>775</v>
      </c>
      <c r="D2253"/>
    </row>
    <row r="2254" spans="1:4" x14ac:dyDescent="0.3">
      <c r="A2254" s="4" t="s">
        <v>15</v>
      </c>
      <c r="B2254" s="4">
        <v>196</v>
      </c>
      <c r="D2254"/>
    </row>
    <row r="2255" spans="1:4" x14ac:dyDescent="0.3">
      <c r="A2255" s="4" t="s">
        <v>17</v>
      </c>
      <c r="B2255" s="4">
        <v>441</v>
      </c>
      <c r="D2255"/>
    </row>
    <row r="2256" spans="1:4" x14ac:dyDescent="0.3">
      <c r="A2256" s="4" t="s">
        <v>10</v>
      </c>
      <c r="B2256" s="4">
        <v>516</v>
      </c>
      <c r="D2256"/>
    </row>
    <row r="2257" spans="1:4" x14ac:dyDescent="0.3">
      <c r="A2257" s="4" t="s">
        <v>14</v>
      </c>
      <c r="B2257" s="4">
        <v>718</v>
      </c>
      <c r="D2257"/>
    </row>
    <row r="2258" spans="1:4" x14ac:dyDescent="0.3">
      <c r="A2258" s="4" t="s">
        <v>16</v>
      </c>
      <c r="B2258" s="4">
        <v>202</v>
      </c>
      <c r="D2258"/>
    </row>
    <row r="2259" spans="1:4" x14ac:dyDescent="0.3">
      <c r="A2259" s="4" t="s">
        <v>17</v>
      </c>
      <c r="B2259" s="4">
        <v>129</v>
      </c>
      <c r="D2259"/>
    </row>
    <row r="2260" spans="1:4" x14ac:dyDescent="0.3">
      <c r="A2260" s="4" t="s">
        <v>6</v>
      </c>
      <c r="B2260" s="4">
        <v>945</v>
      </c>
      <c r="D2260"/>
    </row>
    <row r="2261" spans="1:4" x14ac:dyDescent="0.3">
      <c r="A2261" s="4" t="s">
        <v>8</v>
      </c>
      <c r="B2261" s="4">
        <v>371</v>
      </c>
      <c r="D2261"/>
    </row>
    <row r="2262" spans="1:4" x14ac:dyDescent="0.3">
      <c r="A2262" s="4" t="s">
        <v>6</v>
      </c>
      <c r="B2262" s="4">
        <v>815</v>
      </c>
      <c r="D2262"/>
    </row>
    <row r="2263" spans="1:4" x14ac:dyDescent="0.3">
      <c r="A2263" s="4" t="s">
        <v>3</v>
      </c>
      <c r="B2263" s="4">
        <v>849</v>
      </c>
      <c r="D2263"/>
    </row>
    <row r="2264" spans="1:4" x14ac:dyDescent="0.3">
      <c r="A2264" s="4" t="s">
        <v>6</v>
      </c>
      <c r="B2264" s="4">
        <v>478</v>
      </c>
      <c r="D2264"/>
    </row>
    <row r="2265" spans="1:4" x14ac:dyDescent="0.3">
      <c r="A2265" s="4" t="s">
        <v>14</v>
      </c>
      <c r="B2265" s="4">
        <v>879</v>
      </c>
      <c r="D2265"/>
    </row>
    <row r="2266" spans="1:4" x14ac:dyDescent="0.3">
      <c r="A2266" s="4" t="s">
        <v>17</v>
      </c>
      <c r="B2266" s="4">
        <v>782</v>
      </c>
      <c r="D2266"/>
    </row>
    <row r="2267" spans="1:4" x14ac:dyDescent="0.3">
      <c r="A2267" s="4" t="s">
        <v>3</v>
      </c>
      <c r="B2267" s="4">
        <v>257</v>
      </c>
      <c r="D2267"/>
    </row>
    <row r="2268" spans="1:4" x14ac:dyDescent="0.3">
      <c r="A2268" s="4" t="s">
        <v>10</v>
      </c>
      <c r="B2268" s="4">
        <v>366</v>
      </c>
      <c r="D2268"/>
    </row>
    <row r="2269" spans="1:4" x14ac:dyDescent="0.3">
      <c r="A2269" s="4" t="s">
        <v>7</v>
      </c>
      <c r="B2269" s="4">
        <v>427</v>
      </c>
      <c r="D2269"/>
    </row>
    <row r="2270" spans="1:4" x14ac:dyDescent="0.3">
      <c r="A2270" s="4" t="s">
        <v>17</v>
      </c>
      <c r="B2270" s="4">
        <v>838</v>
      </c>
      <c r="D2270"/>
    </row>
    <row r="2271" spans="1:4" x14ac:dyDescent="0.3">
      <c r="A2271" s="4" t="s">
        <v>8</v>
      </c>
      <c r="B2271" s="4">
        <v>460</v>
      </c>
      <c r="D2271"/>
    </row>
    <row r="2272" spans="1:4" x14ac:dyDescent="0.3">
      <c r="A2272" s="4" t="s">
        <v>10</v>
      </c>
      <c r="B2272" s="4">
        <v>992</v>
      </c>
      <c r="D2272"/>
    </row>
    <row r="2273" spans="1:4" x14ac:dyDescent="0.3">
      <c r="A2273" s="4" t="s">
        <v>17</v>
      </c>
      <c r="B2273" s="4">
        <v>696</v>
      </c>
      <c r="D2273"/>
    </row>
    <row r="2274" spans="1:4" x14ac:dyDescent="0.3">
      <c r="A2274" s="4" t="s">
        <v>8</v>
      </c>
      <c r="B2274" s="4">
        <v>681</v>
      </c>
      <c r="D2274"/>
    </row>
    <row r="2275" spans="1:4" x14ac:dyDescent="0.3">
      <c r="A2275" s="4" t="s">
        <v>13</v>
      </c>
      <c r="B2275" s="4">
        <v>493</v>
      </c>
      <c r="D2275"/>
    </row>
    <row r="2276" spans="1:4" x14ac:dyDescent="0.3">
      <c r="A2276" s="4" t="s">
        <v>14</v>
      </c>
      <c r="B2276" s="4">
        <v>841</v>
      </c>
      <c r="D2276"/>
    </row>
    <row r="2277" spans="1:4" x14ac:dyDescent="0.3">
      <c r="A2277" s="4" t="s">
        <v>16</v>
      </c>
      <c r="B2277" s="4">
        <v>257</v>
      </c>
      <c r="D2277"/>
    </row>
    <row r="2278" spans="1:4" x14ac:dyDescent="0.3">
      <c r="A2278" s="4" t="s">
        <v>17</v>
      </c>
      <c r="B2278" s="4">
        <v>106</v>
      </c>
      <c r="D2278"/>
    </row>
    <row r="2279" spans="1:4" x14ac:dyDescent="0.3">
      <c r="A2279" s="4" t="s">
        <v>10</v>
      </c>
      <c r="B2279" s="4">
        <v>487</v>
      </c>
      <c r="D2279"/>
    </row>
    <row r="2280" spans="1:4" x14ac:dyDescent="0.3">
      <c r="A2280" s="4" t="s">
        <v>19</v>
      </c>
      <c r="B2280" s="4">
        <v>3</v>
      </c>
      <c r="D2280"/>
    </row>
    <row r="2281" spans="1:4" x14ac:dyDescent="0.3">
      <c r="A2281" s="4" t="s">
        <v>8</v>
      </c>
      <c r="B2281" s="4">
        <v>243</v>
      </c>
      <c r="D2281"/>
    </row>
    <row r="2282" spans="1:4" x14ac:dyDescent="0.3">
      <c r="A2282" s="4" t="s">
        <v>3</v>
      </c>
      <c r="B2282" s="4">
        <v>672</v>
      </c>
      <c r="D2282"/>
    </row>
    <row r="2283" spans="1:4" x14ac:dyDescent="0.3">
      <c r="A2283" s="4" t="s">
        <v>8</v>
      </c>
      <c r="B2283" s="4">
        <v>776</v>
      </c>
      <c r="D2283"/>
    </row>
    <row r="2284" spans="1:4" x14ac:dyDescent="0.3">
      <c r="A2284" s="4" t="s">
        <v>4</v>
      </c>
      <c r="B2284" s="4">
        <v>518</v>
      </c>
      <c r="D2284"/>
    </row>
    <row r="2285" spans="1:4" x14ac:dyDescent="0.3">
      <c r="A2285" s="4" t="s">
        <v>4</v>
      </c>
      <c r="B2285" s="4">
        <v>743</v>
      </c>
      <c r="D2285"/>
    </row>
    <row r="2286" spans="1:4" x14ac:dyDescent="0.3">
      <c r="A2286" s="4" t="s">
        <v>10</v>
      </c>
      <c r="B2286" s="4">
        <v>831</v>
      </c>
      <c r="D2286"/>
    </row>
    <row r="2287" spans="1:4" x14ac:dyDescent="0.3">
      <c r="A2287" s="4" t="s">
        <v>8</v>
      </c>
      <c r="B2287" s="4">
        <v>579</v>
      </c>
      <c r="D2287"/>
    </row>
    <row r="2288" spans="1:4" x14ac:dyDescent="0.3">
      <c r="A2288" s="4" t="s">
        <v>10</v>
      </c>
      <c r="B2288" s="4">
        <v>672</v>
      </c>
      <c r="D2288"/>
    </row>
    <row r="2289" spans="1:4" x14ac:dyDescent="0.3">
      <c r="A2289" s="4" t="s">
        <v>10</v>
      </c>
      <c r="B2289" s="4">
        <v>812</v>
      </c>
      <c r="D2289"/>
    </row>
    <row r="2290" spans="1:4" x14ac:dyDescent="0.3">
      <c r="A2290" s="4" t="s">
        <v>14</v>
      </c>
      <c r="B2290" s="4">
        <v>321</v>
      </c>
      <c r="D2290"/>
    </row>
    <row r="2291" spans="1:4" x14ac:dyDescent="0.3">
      <c r="A2291" s="4" t="s">
        <v>10</v>
      </c>
      <c r="B2291" s="4">
        <v>552</v>
      </c>
      <c r="D2291"/>
    </row>
    <row r="2292" spans="1:4" x14ac:dyDescent="0.3">
      <c r="A2292" s="4" t="s">
        <v>12</v>
      </c>
      <c r="B2292" s="4">
        <v>102</v>
      </c>
      <c r="D2292"/>
    </row>
    <row r="2293" spans="1:4" x14ac:dyDescent="0.3">
      <c r="A2293" s="4" t="s">
        <v>19</v>
      </c>
      <c r="B2293" s="4">
        <v>274</v>
      </c>
      <c r="D2293"/>
    </row>
    <row r="2294" spans="1:4" x14ac:dyDescent="0.3">
      <c r="A2294" s="4" t="s">
        <v>7</v>
      </c>
      <c r="B2294" s="4">
        <v>372</v>
      </c>
      <c r="D2294"/>
    </row>
    <row r="2295" spans="1:4" x14ac:dyDescent="0.3">
      <c r="A2295" s="4" t="s">
        <v>17</v>
      </c>
      <c r="B2295" s="4">
        <v>743</v>
      </c>
      <c r="D2295"/>
    </row>
    <row r="2296" spans="1:4" x14ac:dyDescent="0.3">
      <c r="A2296" s="4" t="s">
        <v>9</v>
      </c>
      <c r="B2296" s="4">
        <v>384</v>
      </c>
      <c r="D2296"/>
    </row>
    <row r="2297" spans="1:4" x14ac:dyDescent="0.3">
      <c r="A2297" s="4" t="s">
        <v>8</v>
      </c>
      <c r="B2297" s="4">
        <v>464</v>
      </c>
      <c r="D2297"/>
    </row>
    <row r="2298" spans="1:4" x14ac:dyDescent="0.3">
      <c r="A2298" s="4" t="s">
        <v>3</v>
      </c>
      <c r="B2298" s="4">
        <v>477</v>
      </c>
      <c r="D2298"/>
    </row>
    <row r="2299" spans="1:4" x14ac:dyDescent="0.3">
      <c r="A2299" s="4" t="s">
        <v>16</v>
      </c>
      <c r="B2299" s="4" t="e">
        <v>#REF!</v>
      </c>
      <c r="D2299"/>
    </row>
    <row r="2300" spans="1:4" x14ac:dyDescent="0.3">
      <c r="A2300" s="4" t="s">
        <v>4</v>
      </c>
      <c r="B2300" s="4">
        <v>294</v>
      </c>
      <c r="D2300"/>
    </row>
    <row r="2301" spans="1:4" x14ac:dyDescent="0.3">
      <c r="A2301" s="4" t="s">
        <v>12</v>
      </c>
      <c r="B2301" s="4">
        <v>572</v>
      </c>
      <c r="D2301"/>
    </row>
    <row r="2302" spans="1:4" x14ac:dyDescent="0.3">
      <c r="A2302" s="4" t="s">
        <v>10</v>
      </c>
      <c r="B2302" s="4">
        <v>967</v>
      </c>
      <c r="D2302"/>
    </row>
    <row r="2303" spans="1:4" x14ac:dyDescent="0.3">
      <c r="A2303" s="4" t="s">
        <v>18</v>
      </c>
      <c r="B2303" s="4">
        <v>403</v>
      </c>
      <c r="D2303"/>
    </row>
    <row r="2304" spans="1:4" x14ac:dyDescent="0.3">
      <c r="A2304" s="4" t="s">
        <v>4</v>
      </c>
      <c r="B2304" s="4">
        <v>853</v>
      </c>
      <c r="D2304"/>
    </row>
    <row r="2305" spans="1:4" x14ac:dyDescent="0.3">
      <c r="A2305" s="4" t="s">
        <v>13</v>
      </c>
      <c r="B2305" s="4">
        <v>438</v>
      </c>
      <c r="D2305"/>
    </row>
    <row r="2306" spans="1:4" x14ac:dyDescent="0.3">
      <c r="A2306" s="4" t="s">
        <v>9</v>
      </c>
      <c r="B2306" s="4">
        <v>747</v>
      </c>
      <c r="D2306"/>
    </row>
    <row r="2307" spans="1:4" x14ac:dyDescent="0.3">
      <c r="A2307" s="4" t="s">
        <v>18</v>
      </c>
      <c r="B2307" s="4">
        <v>426</v>
      </c>
      <c r="D2307"/>
    </row>
    <row r="2308" spans="1:4" x14ac:dyDescent="0.3">
      <c r="A2308" s="4" t="s">
        <v>13</v>
      </c>
      <c r="B2308" s="4">
        <v>455</v>
      </c>
      <c r="D2308"/>
    </row>
    <row r="2309" spans="1:4" x14ac:dyDescent="0.3">
      <c r="A2309" s="4" t="s">
        <v>11</v>
      </c>
      <c r="B2309" s="4">
        <v>483</v>
      </c>
      <c r="D2309"/>
    </row>
    <row r="2310" spans="1:4" x14ac:dyDescent="0.3">
      <c r="A2310" s="4" t="s">
        <v>18</v>
      </c>
      <c r="B2310" s="4">
        <v>986</v>
      </c>
      <c r="D2310"/>
    </row>
    <row r="2311" spans="1:4" x14ac:dyDescent="0.3">
      <c r="A2311" s="4" t="s">
        <v>3</v>
      </c>
      <c r="B2311" s="4">
        <v>149</v>
      </c>
      <c r="D2311"/>
    </row>
    <row r="2312" spans="1:4" x14ac:dyDescent="0.3">
      <c r="A2312" s="4" t="s">
        <v>6</v>
      </c>
      <c r="B2312" s="4">
        <v>561</v>
      </c>
      <c r="D2312"/>
    </row>
    <row r="2313" spans="1:4" x14ac:dyDescent="0.3">
      <c r="A2313" s="4" t="s">
        <v>7</v>
      </c>
      <c r="B2313" s="4">
        <v>575</v>
      </c>
      <c r="D2313"/>
    </row>
    <row r="2314" spans="1:4" x14ac:dyDescent="0.3">
      <c r="A2314" s="4" t="s">
        <v>17</v>
      </c>
      <c r="B2314" s="4" t="e">
        <v>#N/A</v>
      </c>
      <c r="D2314"/>
    </row>
    <row r="2315" spans="1:4" x14ac:dyDescent="0.3">
      <c r="A2315" s="4" t="s">
        <v>3</v>
      </c>
      <c r="B2315" s="4">
        <v>919</v>
      </c>
      <c r="D2315"/>
    </row>
    <row r="2316" spans="1:4" x14ac:dyDescent="0.3">
      <c r="A2316" s="4" t="s">
        <v>4</v>
      </c>
      <c r="B2316" s="4">
        <v>166</v>
      </c>
      <c r="D2316"/>
    </row>
    <row r="2317" spans="1:4" x14ac:dyDescent="0.3">
      <c r="A2317" s="4" t="s">
        <v>18</v>
      </c>
      <c r="B2317" s="4">
        <v>244</v>
      </c>
      <c r="D2317"/>
    </row>
    <row r="2318" spans="1:4" x14ac:dyDescent="0.3">
      <c r="A2318" s="4" t="s">
        <v>10</v>
      </c>
      <c r="B2318" s="4">
        <v>432</v>
      </c>
      <c r="D2318"/>
    </row>
    <row r="2319" spans="1:4" x14ac:dyDescent="0.3">
      <c r="A2319" s="4" t="s">
        <v>14</v>
      </c>
      <c r="B2319" s="4">
        <v>562</v>
      </c>
      <c r="D2319"/>
    </row>
    <row r="2320" spans="1:4" x14ac:dyDescent="0.3">
      <c r="A2320" s="4" t="s">
        <v>19</v>
      </c>
      <c r="B2320" s="4">
        <v>507</v>
      </c>
      <c r="D2320"/>
    </row>
    <row r="2321" spans="1:4" x14ac:dyDescent="0.3">
      <c r="A2321" s="4" t="s">
        <v>14</v>
      </c>
      <c r="B2321" s="4">
        <v>345</v>
      </c>
      <c r="D2321"/>
    </row>
    <row r="2322" spans="1:4" x14ac:dyDescent="0.3">
      <c r="A2322" s="4" t="s">
        <v>14</v>
      </c>
      <c r="B2322" s="4">
        <v>428</v>
      </c>
      <c r="D2322"/>
    </row>
    <row r="2323" spans="1:4" x14ac:dyDescent="0.3">
      <c r="A2323" s="4" t="s">
        <v>10</v>
      </c>
      <c r="B2323" s="4">
        <v>221</v>
      </c>
      <c r="D2323"/>
    </row>
    <row r="2324" spans="1:4" x14ac:dyDescent="0.3">
      <c r="A2324" s="4" t="s">
        <v>6</v>
      </c>
      <c r="B2324" s="4">
        <v>343</v>
      </c>
      <c r="D2324"/>
    </row>
    <row r="2325" spans="1:4" x14ac:dyDescent="0.3">
      <c r="A2325" s="4" t="s">
        <v>7</v>
      </c>
      <c r="B2325" s="4">
        <v>168</v>
      </c>
      <c r="D2325"/>
    </row>
    <row r="2326" spans="1:4" x14ac:dyDescent="0.3">
      <c r="A2326" s="4" t="s">
        <v>19</v>
      </c>
      <c r="B2326" s="4">
        <v>525</v>
      </c>
      <c r="D2326"/>
    </row>
    <row r="2327" spans="1:4" x14ac:dyDescent="0.3">
      <c r="A2327" s="4" t="s">
        <v>4</v>
      </c>
      <c r="B2327" s="4">
        <v>803</v>
      </c>
      <c r="D2327"/>
    </row>
    <row r="2328" spans="1:4" x14ac:dyDescent="0.3">
      <c r="A2328" s="4" t="s">
        <v>7</v>
      </c>
      <c r="B2328" s="4">
        <v>982</v>
      </c>
      <c r="D2328"/>
    </row>
    <row r="2329" spans="1:4" x14ac:dyDescent="0.3">
      <c r="A2329" s="4" t="s">
        <v>16</v>
      </c>
      <c r="B2329" s="4">
        <v>756</v>
      </c>
      <c r="D2329"/>
    </row>
    <row r="2330" spans="1:4" x14ac:dyDescent="0.3">
      <c r="A2330" s="4" t="s">
        <v>3</v>
      </c>
      <c r="B2330" s="4">
        <v>186</v>
      </c>
      <c r="D2330"/>
    </row>
    <row r="2331" spans="1:4" x14ac:dyDescent="0.3">
      <c r="A2331" s="4" t="s">
        <v>9</v>
      </c>
      <c r="B2331" s="4">
        <v>375</v>
      </c>
      <c r="D2331"/>
    </row>
    <row r="2332" spans="1:4" x14ac:dyDescent="0.3">
      <c r="A2332" s="4" t="s">
        <v>8</v>
      </c>
      <c r="B2332" s="4">
        <v>421</v>
      </c>
      <c r="D2332"/>
    </row>
    <row r="2333" spans="1:4" x14ac:dyDescent="0.3">
      <c r="A2333" s="4" t="s">
        <v>16</v>
      </c>
      <c r="B2333" s="4">
        <v>551</v>
      </c>
      <c r="D2333"/>
    </row>
    <row r="2334" spans="1:4" x14ac:dyDescent="0.3">
      <c r="A2334" s="4" t="s">
        <v>6</v>
      </c>
      <c r="B2334" s="4">
        <v>102</v>
      </c>
      <c r="D2334"/>
    </row>
    <row r="2335" spans="1:4" x14ac:dyDescent="0.3">
      <c r="A2335" s="4" t="s">
        <v>10</v>
      </c>
      <c r="B2335" s="4">
        <v>155</v>
      </c>
      <c r="D2335"/>
    </row>
    <row r="2336" spans="1:4" x14ac:dyDescent="0.3">
      <c r="A2336" s="4" t="s">
        <v>17</v>
      </c>
      <c r="B2336" s="4">
        <v>313</v>
      </c>
      <c r="D2336"/>
    </row>
    <row r="2337" spans="1:4" x14ac:dyDescent="0.3">
      <c r="A2337" s="4" t="s">
        <v>6</v>
      </c>
      <c r="B2337" s="4">
        <v>585</v>
      </c>
      <c r="D2337"/>
    </row>
    <row r="2338" spans="1:4" x14ac:dyDescent="0.3">
      <c r="A2338" s="4" t="s">
        <v>7</v>
      </c>
      <c r="B2338" s="4">
        <v>137</v>
      </c>
      <c r="D2338"/>
    </row>
    <row r="2339" spans="1:4" x14ac:dyDescent="0.3">
      <c r="A2339" s="4" t="s">
        <v>14</v>
      </c>
      <c r="B2339" s="4">
        <v>693</v>
      </c>
      <c r="D2339"/>
    </row>
    <row r="2340" spans="1:4" x14ac:dyDescent="0.3">
      <c r="A2340" s="4" t="s">
        <v>15</v>
      </c>
      <c r="B2340" s="4">
        <v>440</v>
      </c>
      <c r="D2340"/>
    </row>
    <row r="2341" spans="1:4" x14ac:dyDescent="0.3">
      <c r="A2341" s="4" t="s">
        <v>10</v>
      </c>
      <c r="B2341" s="4">
        <v>138</v>
      </c>
      <c r="D2341"/>
    </row>
    <row r="2342" spans="1:4" x14ac:dyDescent="0.3">
      <c r="A2342" s="4" t="s">
        <v>15</v>
      </c>
      <c r="B2342" s="4">
        <v>346</v>
      </c>
      <c r="D2342"/>
    </row>
    <row r="2343" spans="1:4" x14ac:dyDescent="0.3">
      <c r="A2343" s="4" t="s">
        <v>13</v>
      </c>
      <c r="B2343" s="4">
        <v>275</v>
      </c>
      <c r="D2343"/>
    </row>
    <row r="2344" spans="1:4" x14ac:dyDescent="0.3">
      <c r="A2344" s="4" t="s">
        <v>12</v>
      </c>
      <c r="B2344" s="4">
        <v>806</v>
      </c>
      <c r="D2344"/>
    </row>
    <row r="2345" spans="1:4" x14ac:dyDescent="0.3">
      <c r="A2345" s="4" t="s">
        <v>11</v>
      </c>
      <c r="B2345" s="4">
        <v>901</v>
      </c>
      <c r="D2345"/>
    </row>
    <row r="2346" spans="1:4" x14ac:dyDescent="0.3">
      <c r="A2346" s="4" t="s">
        <v>9</v>
      </c>
      <c r="B2346" s="4">
        <v>686</v>
      </c>
      <c r="D2346"/>
    </row>
    <row r="2347" spans="1:4" x14ac:dyDescent="0.3">
      <c r="A2347" s="4" t="s">
        <v>10</v>
      </c>
      <c r="B2347" s="4">
        <v>285</v>
      </c>
      <c r="D2347"/>
    </row>
    <row r="2348" spans="1:4" x14ac:dyDescent="0.3">
      <c r="A2348" s="4" t="s">
        <v>11</v>
      </c>
      <c r="B2348" s="4">
        <v>455</v>
      </c>
      <c r="D2348"/>
    </row>
    <row r="2349" spans="1:4" x14ac:dyDescent="0.3">
      <c r="A2349" s="4" t="s">
        <v>12</v>
      </c>
      <c r="B2349" s="4">
        <v>909</v>
      </c>
      <c r="D2349"/>
    </row>
    <row r="2350" spans="1:4" x14ac:dyDescent="0.3">
      <c r="A2350" s="4" t="s">
        <v>12</v>
      </c>
      <c r="B2350" s="4">
        <v>600</v>
      </c>
      <c r="D2350"/>
    </row>
    <row r="2351" spans="1:4" x14ac:dyDescent="0.3">
      <c r="A2351" s="4" t="s">
        <v>11</v>
      </c>
      <c r="B2351" s="4">
        <v>939</v>
      </c>
      <c r="D2351"/>
    </row>
    <row r="2352" spans="1:4" x14ac:dyDescent="0.3">
      <c r="A2352" s="4" t="s">
        <v>19</v>
      </c>
      <c r="B2352" s="4">
        <v>819</v>
      </c>
      <c r="D2352"/>
    </row>
    <row r="2353" spans="1:4" x14ac:dyDescent="0.3">
      <c r="A2353" s="4" t="s">
        <v>6</v>
      </c>
      <c r="B2353" s="4">
        <v>867</v>
      </c>
      <c r="D2353"/>
    </row>
    <row r="2354" spans="1:4" x14ac:dyDescent="0.3">
      <c r="A2354" s="4" t="s">
        <v>19</v>
      </c>
      <c r="B2354" s="4">
        <v>997</v>
      </c>
      <c r="D2354"/>
    </row>
    <row r="2355" spans="1:4" x14ac:dyDescent="0.3">
      <c r="A2355" s="4" t="s">
        <v>18</v>
      </c>
      <c r="B2355" s="4">
        <v>906</v>
      </c>
      <c r="D2355"/>
    </row>
    <row r="2356" spans="1:4" x14ac:dyDescent="0.3">
      <c r="A2356" s="4" t="s">
        <v>6</v>
      </c>
      <c r="B2356" s="4">
        <v>608</v>
      </c>
      <c r="D2356"/>
    </row>
    <row r="2357" spans="1:4" x14ac:dyDescent="0.3">
      <c r="A2357" s="4" t="s">
        <v>10</v>
      </c>
      <c r="B2357" s="4">
        <v>464</v>
      </c>
      <c r="D2357"/>
    </row>
    <row r="2358" spans="1:4" x14ac:dyDescent="0.3">
      <c r="A2358" s="4" t="s">
        <v>7</v>
      </c>
      <c r="B2358" s="4">
        <v>945</v>
      </c>
      <c r="D2358"/>
    </row>
    <row r="2359" spans="1:4" x14ac:dyDescent="0.3">
      <c r="A2359" s="4" t="s">
        <v>10</v>
      </c>
      <c r="B2359" s="4">
        <v>898</v>
      </c>
      <c r="D2359"/>
    </row>
    <row r="2360" spans="1:4" x14ac:dyDescent="0.3">
      <c r="A2360" s="4" t="s">
        <v>7</v>
      </c>
      <c r="B2360" s="4">
        <v>631</v>
      </c>
      <c r="D2360"/>
    </row>
    <row r="2361" spans="1:4" x14ac:dyDescent="0.3">
      <c r="A2361" s="4" t="s">
        <v>9</v>
      </c>
      <c r="B2361" s="4">
        <v>642</v>
      </c>
      <c r="D2361"/>
    </row>
    <row r="2362" spans="1:4" x14ac:dyDescent="0.3">
      <c r="A2362" s="4" t="s">
        <v>7</v>
      </c>
      <c r="B2362" s="4">
        <v>136</v>
      </c>
      <c r="D2362"/>
    </row>
    <row r="2363" spans="1:4" x14ac:dyDescent="0.3">
      <c r="A2363" s="4" t="s">
        <v>4</v>
      </c>
      <c r="B2363" s="4">
        <v>972</v>
      </c>
      <c r="D2363"/>
    </row>
    <row r="2364" spans="1:4" x14ac:dyDescent="0.3">
      <c r="A2364" s="4" t="s">
        <v>16</v>
      </c>
      <c r="B2364" s="4">
        <v>975</v>
      </c>
      <c r="D2364"/>
    </row>
    <row r="2365" spans="1:4" x14ac:dyDescent="0.3">
      <c r="A2365" s="4" t="s">
        <v>17</v>
      </c>
      <c r="B2365" s="4">
        <v>413</v>
      </c>
      <c r="D2365"/>
    </row>
    <row r="2366" spans="1:4" x14ac:dyDescent="0.3">
      <c r="A2366" s="4" t="s">
        <v>15</v>
      </c>
      <c r="B2366" s="4">
        <v>741</v>
      </c>
      <c r="D2366"/>
    </row>
    <row r="2367" spans="1:4" x14ac:dyDescent="0.3">
      <c r="A2367" s="4" t="s">
        <v>17</v>
      </c>
      <c r="B2367" s="4">
        <v>891</v>
      </c>
      <c r="D2367"/>
    </row>
    <row r="2368" spans="1:4" x14ac:dyDescent="0.3">
      <c r="A2368" s="4" t="s">
        <v>17</v>
      </c>
      <c r="B2368" s="4">
        <v>904</v>
      </c>
      <c r="D2368"/>
    </row>
    <row r="2369" spans="1:4" x14ac:dyDescent="0.3">
      <c r="A2369" s="4" t="s">
        <v>9</v>
      </c>
      <c r="B2369" s="4">
        <v>651</v>
      </c>
      <c r="D2369"/>
    </row>
    <row r="2370" spans="1:4" x14ac:dyDescent="0.3">
      <c r="A2370" s="4" t="s">
        <v>6</v>
      </c>
      <c r="B2370" s="4">
        <v>978</v>
      </c>
      <c r="D2370"/>
    </row>
    <row r="2371" spans="1:4" x14ac:dyDescent="0.3">
      <c r="A2371" s="4" t="s">
        <v>11</v>
      </c>
      <c r="B2371" s="4">
        <v>677</v>
      </c>
      <c r="D2371"/>
    </row>
    <row r="2372" spans="1:4" x14ac:dyDescent="0.3">
      <c r="A2372" s="4" t="s">
        <v>18</v>
      </c>
      <c r="B2372" s="4">
        <v>283</v>
      </c>
      <c r="D2372"/>
    </row>
    <row r="2373" spans="1:4" x14ac:dyDescent="0.3">
      <c r="A2373" s="4" t="s">
        <v>6</v>
      </c>
      <c r="B2373" s="4">
        <v>492</v>
      </c>
      <c r="D2373"/>
    </row>
    <row r="2374" spans="1:4" x14ac:dyDescent="0.3">
      <c r="A2374" s="4" t="s">
        <v>10</v>
      </c>
      <c r="B2374" s="4">
        <v>695</v>
      </c>
      <c r="D2374"/>
    </row>
    <row r="2375" spans="1:4" x14ac:dyDescent="0.3">
      <c r="A2375" s="4" t="s">
        <v>9</v>
      </c>
      <c r="B2375" s="4">
        <v>693</v>
      </c>
      <c r="D2375"/>
    </row>
    <row r="2376" spans="1:4" x14ac:dyDescent="0.3">
      <c r="A2376" s="4" t="s">
        <v>12</v>
      </c>
      <c r="B2376" s="4">
        <v>870</v>
      </c>
      <c r="D2376"/>
    </row>
    <row r="2377" spans="1:4" x14ac:dyDescent="0.3">
      <c r="A2377" s="4" t="s">
        <v>4</v>
      </c>
      <c r="B2377" s="4">
        <v>895</v>
      </c>
      <c r="D2377"/>
    </row>
    <row r="2378" spans="1:4" x14ac:dyDescent="0.3">
      <c r="A2378" s="4" t="s">
        <v>11</v>
      </c>
      <c r="B2378" s="4">
        <v>394</v>
      </c>
      <c r="D2378"/>
    </row>
    <row r="2379" spans="1:4" x14ac:dyDescent="0.3">
      <c r="A2379" s="4" t="s">
        <v>6</v>
      </c>
      <c r="B2379" s="4">
        <v>538</v>
      </c>
      <c r="D2379"/>
    </row>
    <row r="2380" spans="1:4" x14ac:dyDescent="0.3">
      <c r="A2380" s="4" t="s">
        <v>4</v>
      </c>
      <c r="B2380" s="4">
        <v>202</v>
      </c>
      <c r="D2380"/>
    </row>
    <row r="2381" spans="1:4" x14ac:dyDescent="0.3">
      <c r="A2381" s="4" t="s">
        <v>11</v>
      </c>
      <c r="B2381" s="4">
        <v>649</v>
      </c>
      <c r="D2381"/>
    </row>
    <row r="2382" spans="1:4" x14ac:dyDescent="0.3">
      <c r="A2382" s="4" t="s">
        <v>16</v>
      </c>
      <c r="B2382" s="4">
        <v>983</v>
      </c>
      <c r="D2382"/>
    </row>
    <row r="2383" spans="1:4" x14ac:dyDescent="0.3">
      <c r="A2383" s="4" t="s">
        <v>14</v>
      </c>
      <c r="B2383" s="4">
        <v>62</v>
      </c>
      <c r="D2383"/>
    </row>
    <row r="2384" spans="1:4" x14ac:dyDescent="0.3">
      <c r="A2384" s="4" t="s">
        <v>6</v>
      </c>
      <c r="B2384" s="4">
        <v>221</v>
      </c>
      <c r="D2384"/>
    </row>
    <row r="2385" spans="1:4" x14ac:dyDescent="0.3">
      <c r="A2385" s="4" t="s">
        <v>14</v>
      </c>
      <c r="B2385" s="4">
        <v>665</v>
      </c>
      <c r="D2385"/>
    </row>
    <row r="2386" spans="1:4" x14ac:dyDescent="0.3">
      <c r="A2386" s="4" t="s">
        <v>12</v>
      </c>
      <c r="B2386" s="4">
        <v>989</v>
      </c>
      <c r="D2386"/>
    </row>
    <row r="2387" spans="1:4" x14ac:dyDescent="0.3">
      <c r="A2387" s="4" t="s">
        <v>19</v>
      </c>
      <c r="B2387" s="4">
        <v>386</v>
      </c>
      <c r="D2387"/>
    </row>
    <row r="2388" spans="1:4" x14ac:dyDescent="0.3">
      <c r="A2388" s="4" t="s">
        <v>11</v>
      </c>
      <c r="B2388" s="4">
        <v>35</v>
      </c>
      <c r="D2388"/>
    </row>
    <row r="2389" spans="1:4" x14ac:dyDescent="0.3">
      <c r="A2389" s="4" t="s">
        <v>7</v>
      </c>
      <c r="B2389" s="4">
        <v>566</v>
      </c>
      <c r="D2389"/>
    </row>
    <row r="2390" spans="1:4" x14ac:dyDescent="0.3">
      <c r="A2390" s="4" t="s">
        <v>15</v>
      </c>
      <c r="B2390" s="4">
        <v>994</v>
      </c>
      <c r="D2390"/>
    </row>
    <row r="2391" spans="1:4" x14ac:dyDescent="0.3">
      <c r="A2391" s="4" t="s">
        <v>8</v>
      </c>
      <c r="B2391" s="4">
        <v>132</v>
      </c>
      <c r="D2391"/>
    </row>
    <row r="2392" spans="1:4" x14ac:dyDescent="0.3">
      <c r="A2392" s="4" t="s">
        <v>10</v>
      </c>
      <c r="B2392" s="4">
        <v>703</v>
      </c>
      <c r="D2392"/>
    </row>
    <row r="2393" spans="1:4" x14ac:dyDescent="0.3">
      <c r="A2393" s="4" t="s">
        <v>12</v>
      </c>
      <c r="B2393" s="4">
        <v>57</v>
      </c>
      <c r="D2393"/>
    </row>
    <row r="2394" spans="1:4" x14ac:dyDescent="0.3">
      <c r="A2394" s="4" t="s">
        <v>6</v>
      </c>
      <c r="B2394" s="4">
        <v>207</v>
      </c>
      <c r="D2394"/>
    </row>
    <row r="2395" spans="1:4" x14ac:dyDescent="0.3">
      <c r="A2395" s="4" t="s">
        <v>8</v>
      </c>
      <c r="B2395" s="4">
        <v>271</v>
      </c>
      <c r="D2395"/>
    </row>
    <row r="2396" spans="1:4" x14ac:dyDescent="0.3">
      <c r="A2396" s="4" t="s">
        <v>19</v>
      </c>
      <c r="B2396" s="4">
        <v>489</v>
      </c>
      <c r="D2396"/>
    </row>
    <row r="2397" spans="1:4" x14ac:dyDescent="0.3">
      <c r="A2397" s="4" t="s">
        <v>11</v>
      </c>
      <c r="B2397" s="4">
        <v>360</v>
      </c>
      <c r="D2397"/>
    </row>
    <row r="2398" spans="1:4" x14ac:dyDescent="0.3">
      <c r="A2398" s="4" t="s">
        <v>12</v>
      </c>
      <c r="B2398" s="4">
        <v>232</v>
      </c>
      <c r="D2398"/>
    </row>
    <row r="2399" spans="1:4" x14ac:dyDescent="0.3">
      <c r="A2399" s="4" t="s">
        <v>12</v>
      </c>
      <c r="B2399" s="4">
        <v>808</v>
      </c>
      <c r="D2399"/>
    </row>
    <row r="2400" spans="1:4" x14ac:dyDescent="0.3">
      <c r="A2400" s="4" t="s">
        <v>10</v>
      </c>
      <c r="B2400" s="4">
        <v>160</v>
      </c>
      <c r="D2400"/>
    </row>
    <row r="2401" spans="1:4" x14ac:dyDescent="0.3">
      <c r="A2401" s="4" t="s">
        <v>12</v>
      </c>
      <c r="B2401" s="4">
        <v>386</v>
      </c>
      <c r="D2401"/>
    </row>
    <row r="2402" spans="1:4" x14ac:dyDescent="0.3">
      <c r="A2402" s="4" t="s">
        <v>13</v>
      </c>
      <c r="B2402" s="4">
        <v>602</v>
      </c>
      <c r="D2402"/>
    </row>
    <row r="2403" spans="1:4" x14ac:dyDescent="0.3">
      <c r="A2403" s="4" t="s">
        <v>18</v>
      </c>
      <c r="B2403" s="4">
        <v>370</v>
      </c>
      <c r="D2403"/>
    </row>
    <row r="2404" spans="1:4" x14ac:dyDescent="0.3">
      <c r="A2404" s="4" t="s">
        <v>4</v>
      </c>
      <c r="B2404" s="4">
        <v>123</v>
      </c>
      <c r="D2404"/>
    </row>
    <row r="2405" spans="1:4" x14ac:dyDescent="0.3">
      <c r="A2405" s="4" t="s">
        <v>18</v>
      </c>
      <c r="B2405" s="4">
        <v>646</v>
      </c>
      <c r="D2405"/>
    </row>
    <row r="2406" spans="1:4" x14ac:dyDescent="0.3">
      <c r="A2406" s="4" t="s">
        <v>4</v>
      </c>
      <c r="B2406" s="4" t="e">
        <v>#N/A</v>
      </c>
      <c r="D2406"/>
    </row>
    <row r="2407" spans="1:4" x14ac:dyDescent="0.3">
      <c r="A2407" s="4" t="s">
        <v>18</v>
      </c>
      <c r="B2407" s="4">
        <v>352</v>
      </c>
      <c r="D2407"/>
    </row>
    <row r="2408" spans="1:4" x14ac:dyDescent="0.3">
      <c r="A2408" s="4" t="s">
        <v>8</v>
      </c>
      <c r="B2408" s="4">
        <v>198</v>
      </c>
      <c r="D2408"/>
    </row>
    <row r="2409" spans="1:4" x14ac:dyDescent="0.3">
      <c r="A2409" s="4" t="s">
        <v>14</v>
      </c>
      <c r="B2409" s="4">
        <v>395</v>
      </c>
      <c r="D2409"/>
    </row>
    <row r="2410" spans="1:4" x14ac:dyDescent="0.3">
      <c r="A2410" s="4" t="s">
        <v>17</v>
      </c>
      <c r="B2410" s="4">
        <v>746</v>
      </c>
      <c r="D2410"/>
    </row>
    <row r="2411" spans="1:4" x14ac:dyDescent="0.3">
      <c r="A2411" s="4" t="s">
        <v>18</v>
      </c>
      <c r="B2411" s="4">
        <v>619</v>
      </c>
      <c r="D2411"/>
    </row>
    <row r="2412" spans="1:4" x14ac:dyDescent="0.3">
      <c r="A2412" s="4" t="s">
        <v>4</v>
      </c>
      <c r="B2412" s="4">
        <v>817</v>
      </c>
      <c r="D2412"/>
    </row>
    <row r="2413" spans="1:4" x14ac:dyDescent="0.3">
      <c r="A2413" s="4" t="s">
        <v>14</v>
      </c>
      <c r="B2413" s="4">
        <v>502</v>
      </c>
      <c r="D2413"/>
    </row>
    <row r="2414" spans="1:4" x14ac:dyDescent="0.3">
      <c r="A2414" s="4" t="s">
        <v>3</v>
      </c>
      <c r="B2414" s="4">
        <v>854</v>
      </c>
      <c r="D2414"/>
    </row>
    <row r="2415" spans="1:4" x14ac:dyDescent="0.3">
      <c r="A2415" s="4" t="s">
        <v>17</v>
      </c>
      <c r="B2415" s="4">
        <v>178</v>
      </c>
      <c r="D2415"/>
    </row>
    <row r="2416" spans="1:4" x14ac:dyDescent="0.3">
      <c r="A2416" s="4" t="s">
        <v>9</v>
      </c>
      <c r="B2416" s="4">
        <v>901</v>
      </c>
      <c r="D2416"/>
    </row>
    <row r="2417" spans="1:4" x14ac:dyDescent="0.3">
      <c r="A2417" s="4" t="s">
        <v>7</v>
      </c>
      <c r="B2417" s="4">
        <v>335</v>
      </c>
      <c r="D2417"/>
    </row>
    <row r="2418" spans="1:4" x14ac:dyDescent="0.3">
      <c r="A2418" s="4" t="s">
        <v>10</v>
      </c>
      <c r="B2418" s="4">
        <v>747</v>
      </c>
      <c r="D2418"/>
    </row>
    <row r="2419" spans="1:4" x14ac:dyDescent="0.3">
      <c r="A2419" s="4" t="s">
        <v>18</v>
      </c>
      <c r="B2419" s="4">
        <v>983</v>
      </c>
      <c r="D2419"/>
    </row>
    <row r="2420" spans="1:4" x14ac:dyDescent="0.3">
      <c r="A2420" s="4" t="s">
        <v>10</v>
      </c>
      <c r="B2420" s="4">
        <v>804</v>
      </c>
      <c r="D2420"/>
    </row>
    <row r="2421" spans="1:4" x14ac:dyDescent="0.3">
      <c r="A2421" s="4" t="s">
        <v>15</v>
      </c>
      <c r="B2421" s="4">
        <v>683</v>
      </c>
      <c r="D2421"/>
    </row>
    <row r="2422" spans="1:4" x14ac:dyDescent="0.3">
      <c r="A2422" s="4" t="s">
        <v>7</v>
      </c>
      <c r="B2422" s="4">
        <v>454</v>
      </c>
      <c r="D2422"/>
    </row>
    <row r="2423" spans="1:4" x14ac:dyDescent="0.3">
      <c r="A2423" s="4" t="s">
        <v>6</v>
      </c>
      <c r="B2423" s="4">
        <v>965</v>
      </c>
      <c r="D2423"/>
    </row>
    <row r="2424" spans="1:4" x14ac:dyDescent="0.3">
      <c r="A2424" s="4" t="s">
        <v>4</v>
      </c>
      <c r="B2424" s="4">
        <v>232</v>
      </c>
      <c r="D2424"/>
    </row>
    <row r="2425" spans="1:4" x14ac:dyDescent="0.3">
      <c r="A2425" s="4" t="s">
        <v>19</v>
      </c>
      <c r="B2425" s="4">
        <v>5</v>
      </c>
      <c r="D2425"/>
    </row>
    <row r="2426" spans="1:4" x14ac:dyDescent="0.3">
      <c r="A2426" s="4" t="s">
        <v>12</v>
      </c>
      <c r="B2426" s="4">
        <v>647</v>
      </c>
      <c r="D2426"/>
    </row>
    <row r="2427" spans="1:4" x14ac:dyDescent="0.3">
      <c r="A2427" s="4" t="s">
        <v>16</v>
      </c>
      <c r="B2427" s="4">
        <v>697</v>
      </c>
      <c r="D2427"/>
    </row>
    <row r="2428" spans="1:4" x14ac:dyDescent="0.3">
      <c r="A2428" s="4" t="s">
        <v>6</v>
      </c>
      <c r="B2428" s="4">
        <v>851</v>
      </c>
      <c r="D2428"/>
    </row>
    <row r="2429" spans="1:4" x14ac:dyDescent="0.3">
      <c r="A2429" s="4" t="s">
        <v>10</v>
      </c>
      <c r="B2429" s="4">
        <v>998</v>
      </c>
      <c r="D2429"/>
    </row>
    <row r="2430" spans="1:4" x14ac:dyDescent="0.3">
      <c r="A2430" s="4" t="s">
        <v>4</v>
      </c>
      <c r="B2430" s="4">
        <v>448</v>
      </c>
      <c r="D2430"/>
    </row>
    <row r="2431" spans="1:4" x14ac:dyDescent="0.3">
      <c r="A2431" s="4" t="s">
        <v>9</v>
      </c>
      <c r="B2431" s="4">
        <v>468</v>
      </c>
      <c r="D2431"/>
    </row>
    <row r="2432" spans="1:4" x14ac:dyDescent="0.3">
      <c r="A2432" s="4" t="s">
        <v>12</v>
      </c>
      <c r="B2432" s="4">
        <v>255</v>
      </c>
      <c r="D2432"/>
    </row>
    <row r="2433" spans="1:4" x14ac:dyDescent="0.3">
      <c r="A2433" s="4" t="s">
        <v>18</v>
      </c>
      <c r="B2433" s="4">
        <v>192</v>
      </c>
      <c r="D2433"/>
    </row>
    <row r="2434" spans="1:4" x14ac:dyDescent="0.3">
      <c r="A2434" s="4" t="s">
        <v>14</v>
      </c>
      <c r="B2434" s="4">
        <v>273</v>
      </c>
      <c r="D2434"/>
    </row>
    <row r="2435" spans="1:4" x14ac:dyDescent="0.3">
      <c r="A2435" s="4" t="s">
        <v>17</v>
      </c>
      <c r="B2435" s="4">
        <v>171</v>
      </c>
      <c r="D2435"/>
    </row>
    <row r="2436" spans="1:4" x14ac:dyDescent="0.3">
      <c r="A2436" s="4" t="s">
        <v>9</v>
      </c>
      <c r="B2436" s="4">
        <v>972</v>
      </c>
      <c r="D2436"/>
    </row>
    <row r="2437" spans="1:4" x14ac:dyDescent="0.3">
      <c r="A2437" s="4" t="s">
        <v>6</v>
      </c>
      <c r="B2437" s="4">
        <v>250</v>
      </c>
      <c r="D2437"/>
    </row>
    <row r="2438" spans="1:4" x14ac:dyDescent="0.3">
      <c r="A2438" s="4" t="s">
        <v>19</v>
      </c>
      <c r="B2438" s="4">
        <v>560</v>
      </c>
      <c r="D2438"/>
    </row>
    <row r="2439" spans="1:4" x14ac:dyDescent="0.3">
      <c r="A2439" s="4" t="s">
        <v>19</v>
      </c>
      <c r="B2439" s="4">
        <v>794</v>
      </c>
      <c r="D2439"/>
    </row>
    <row r="2440" spans="1:4" x14ac:dyDescent="0.3">
      <c r="A2440" s="4" t="s">
        <v>19</v>
      </c>
      <c r="B2440" s="4">
        <v>868</v>
      </c>
      <c r="D2440"/>
    </row>
    <row r="2441" spans="1:4" x14ac:dyDescent="0.3">
      <c r="A2441" s="4" t="s">
        <v>15</v>
      </c>
      <c r="B2441" s="4">
        <v>400</v>
      </c>
      <c r="D2441"/>
    </row>
    <row r="2442" spans="1:4" x14ac:dyDescent="0.3">
      <c r="A2442" s="4" t="s">
        <v>16</v>
      </c>
      <c r="B2442" s="4">
        <v>666</v>
      </c>
      <c r="D2442"/>
    </row>
    <row r="2443" spans="1:4" x14ac:dyDescent="0.3">
      <c r="A2443" s="4" t="s">
        <v>15</v>
      </c>
      <c r="B2443" s="4">
        <v>966</v>
      </c>
      <c r="D2443"/>
    </row>
    <row r="2444" spans="1:4" x14ac:dyDescent="0.3">
      <c r="A2444" s="4" t="s">
        <v>9</v>
      </c>
      <c r="B2444" s="4">
        <v>283</v>
      </c>
      <c r="D2444"/>
    </row>
    <row r="2445" spans="1:4" x14ac:dyDescent="0.3">
      <c r="A2445" s="4" t="s">
        <v>10</v>
      </c>
      <c r="B2445" s="4">
        <v>747</v>
      </c>
      <c r="D2445"/>
    </row>
    <row r="2446" spans="1:4" x14ac:dyDescent="0.3">
      <c r="A2446" s="4" t="s">
        <v>17</v>
      </c>
      <c r="B2446" s="4">
        <v>354</v>
      </c>
      <c r="D2446"/>
    </row>
    <row r="2447" spans="1:4" x14ac:dyDescent="0.3">
      <c r="A2447" s="4" t="s">
        <v>7</v>
      </c>
      <c r="B2447" s="4">
        <v>535</v>
      </c>
      <c r="D2447"/>
    </row>
    <row r="2448" spans="1:4" x14ac:dyDescent="0.3">
      <c r="A2448" s="4" t="s">
        <v>19</v>
      </c>
      <c r="B2448" s="4">
        <v>506</v>
      </c>
      <c r="D2448"/>
    </row>
    <row r="2449" spans="1:4" x14ac:dyDescent="0.3">
      <c r="A2449" s="4" t="s">
        <v>4</v>
      </c>
      <c r="B2449" s="4">
        <v>792</v>
      </c>
      <c r="D2449"/>
    </row>
    <row r="2450" spans="1:4" x14ac:dyDescent="0.3">
      <c r="A2450" s="4" t="s">
        <v>10</v>
      </c>
      <c r="B2450" s="4">
        <v>947</v>
      </c>
      <c r="D2450"/>
    </row>
    <row r="2451" spans="1:4" x14ac:dyDescent="0.3">
      <c r="A2451" s="4" t="s">
        <v>18</v>
      </c>
      <c r="B2451" s="4">
        <v>567</v>
      </c>
      <c r="D2451"/>
    </row>
    <row r="2452" spans="1:4" x14ac:dyDescent="0.3">
      <c r="A2452" s="4" t="s">
        <v>19</v>
      </c>
      <c r="B2452" s="4">
        <v>649</v>
      </c>
      <c r="D2452"/>
    </row>
    <row r="2453" spans="1:4" x14ac:dyDescent="0.3">
      <c r="A2453" s="4" t="s">
        <v>4</v>
      </c>
      <c r="B2453" s="4">
        <v>959</v>
      </c>
      <c r="D2453"/>
    </row>
    <row r="2454" spans="1:4" x14ac:dyDescent="0.3">
      <c r="A2454" s="4" t="s">
        <v>19</v>
      </c>
      <c r="B2454" s="4">
        <v>625</v>
      </c>
      <c r="D2454"/>
    </row>
    <row r="2455" spans="1:4" x14ac:dyDescent="0.3">
      <c r="A2455" s="4" t="s">
        <v>13</v>
      </c>
      <c r="B2455" s="4">
        <v>258</v>
      </c>
      <c r="D2455"/>
    </row>
    <row r="2456" spans="1:4" x14ac:dyDescent="0.3">
      <c r="A2456" s="4" t="s">
        <v>14</v>
      </c>
      <c r="B2456" s="6">
        <v>127</v>
      </c>
      <c r="D2456"/>
    </row>
    <row r="2457" spans="1:4" x14ac:dyDescent="0.3">
      <c r="A2457" s="4" t="s">
        <v>11</v>
      </c>
      <c r="B2457" s="4">
        <v>752</v>
      </c>
      <c r="D2457"/>
    </row>
    <row r="2458" spans="1:4" x14ac:dyDescent="0.3">
      <c r="A2458" s="4" t="s">
        <v>6</v>
      </c>
      <c r="B2458" s="4">
        <v>216</v>
      </c>
      <c r="D2458"/>
    </row>
    <row r="2459" spans="1:4" x14ac:dyDescent="0.3">
      <c r="A2459" s="4" t="s">
        <v>3</v>
      </c>
      <c r="B2459" s="4">
        <v>667</v>
      </c>
      <c r="D2459"/>
    </row>
    <row r="2460" spans="1:4" x14ac:dyDescent="0.3">
      <c r="A2460" s="4" t="s">
        <v>13</v>
      </c>
      <c r="B2460" s="4">
        <v>445</v>
      </c>
      <c r="D2460"/>
    </row>
    <row r="2461" spans="1:4" x14ac:dyDescent="0.3">
      <c r="A2461" s="4" t="s">
        <v>6</v>
      </c>
      <c r="B2461" s="4">
        <v>766</v>
      </c>
      <c r="D2461"/>
    </row>
    <row r="2462" spans="1:4" x14ac:dyDescent="0.3">
      <c r="A2462" s="4" t="s">
        <v>4</v>
      </c>
      <c r="B2462" s="4">
        <v>709</v>
      </c>
      <c r="D2462"/>
    </row>
    <row r="2463" spans="1:4" x14ac:dyDescent="0.3">
      <c r="A2463" s="4" t="s">
        <v>4</v>
      </c>
      <c r="B2463" s="4">
        <v>466</v>
      </c>
      <c r="D2463"/>
    </row>
    <row r="2464" spans="1:4" x14ac:dyDescent="0.3">
      <c r="A2464" s="4" t="s">
        <v>8</v>
      </c>
      <c r="B2464" s="4">
        <v>442</v>
      </c>
      <c r="D2464"/>
    </row>
    <row r="2465" spans="1:4" x14ac:dyDescent="0.3">
      <c r="A2465" s="4" t="s">
        <v>8</v>
      </c>
      <c r="B2465" s="4">
        <v>607</v>
      </c>
      <c r="D2465"/>
    </row>
    <row r="2466" spans="1:4" x14ac:dyDescent="0.3">
      <c r="A2466" s="4" t="s">
        <v>17</v>
      </c>
      <c r="B2466" s="4">
        <v>578</v>
      </c>
      <c r="D2466"/>
    </row>
    <row r="2467" spans="1:4" x14ac:dyDescent="0.3">
      <c r="A2467" s="4" t="s">
        <v>14</v>
      </c>
      <c r="B2467" s="4">
        <v>122</v>
      </c>
      <c r="D2467"/>
    </row>
    <row r="2468" spans="1:4" x14ac:dyDescent="0.3">
      <c r="A2468" s="4" t="s">
        <v>15</v>
      </c>
      <c r="B2468" s="4">
        <v>737</v>
      </c>
      <c r="D2468"/>
    </row>
    <row r="2469" spans="1:4" x14ac:dyDescent="0.3">
      <c r="A2469" s="4" t="s">
        <v>9</v>
      </c>
      <c r="B2469" s="4">
        <v>104</v>
      </c>
      <c r="D2469"/>
    </row>
    <row r="2470" spans="1:4" x14ac:dyDescent="0.3">
      <c r="A2470" s="4" t="s">
        <v>15</v>
      </c>
      <c r="B2470" s="4" t="e">
        <v>#N/A</v>
      </c>
      <c r="D2470"/>
    </row>
    <row r="2471" spans="1:4" x14ac:dyDescent="0.3">
      <c r="A2471" s="4" t="s">
        <v>10</v>
      </c>
      <c r="B2471" s="4">
        <v>16</v>
      </c>
      <c r="D2471"/>
    </row>
    <row r="2472" spans="1:4" x14ac:dyDescent="0.3">
      <c r="A2472" s="4" t="s">
        <v>18</v>
      </c>
      <c r="B2472" s="4">
        <v>173</v>
      </c>
      <c r="D2472"/>
    </row>
    <row r="2473" spans="1:4" x14ac:dyDescent="0.3">
      <c r="A2473" s="4" t="s">
        <v>14</v>
      </c>
      <c r="B2473" s="4">
        <v>798</v>
      </c>
      <c r="D2473"/>
    </row>
    <row r="2474" spans="1:4" x14ac:dyDescent="0.3">
      <c r="A2474" s="4" t="s">
        <v>3</v>
      </c>
      <c r="B2474" s="4">
        <v>684</v>
      </c>
      <c r="D2474"/>
    </row>
    <row r="2475" spans="1:4" x14ac:dyDescent="0.3">
      <c r="A2475" s="4" t="s">
        <v>15</v>
      </c>
      <c r="B2475" s="4">
        <v>177</v>
      </c>
      <c r="D2475"/>
    </row>
    <row r="2476" spans="1:4" x14ac:dyDescent="0.3">
      <c r="A2476" s="4" t="s">
        <v>12</v>
      </c>
      <c r="B2476" s="4">
        <v>873</v>
      </c>
      <c r="D2476"/>
    </row>
    <row r="2477" spans="1:4" x14ac:dyDescent="0.3">
      <c r="A2477" s="4" t="s">
        <v>13</v>
      </c>
      <c r="B2477" s="4">
        <v>117</v>
      </c>
      <c r="D2477"/>
    </row>
    <row r="2478" spans="1:4" x14ac:dyDescent="0.3">
      <c r="A2478" s="4" t="s">
        <v>12</v>
      </c>
      <c r="B2478" s="4">
        <v>218</v>
      </c>
      <c r="D2478"/>
    </row>
    <row r="2479" spans="1:4" x14ac:dyDescent="0.3">
      <c r="A2479" s="4" t="s">
        <v>15</v>
      </c>
      <c r="B2479" s="4">
        <v>439</v>
      </c>
      <c r="D2479"/>
    </row>
    <row r="2480" spans="1:4" x14ac:dyDescent="0.3">
      <c r="A2480" s="4" t="s">
        <v>17</v>
      </c>
      <c r="B2480" s="4">
        <v>856</v>
      </c>
      <c r="D2480"/>
    </row>
    <row r="2481" spans="1:4" x14ac:dyDescent="0.3">
      <c r="A2481" s="4" t="s">
        <v>3</v>
      </c>
      <c r="B2481" s="4">
        <v>795</v>
      </c>
      <c r="D2481"/>
    </row>
    <row r="2482" spans="1:4" x14ac:dyDescent="0.3">
      <c r="A2482" s="4" t="s">
        <v>6</v>
      </c>
      <c r="B2482" s="4">
        <v>629</v>
      </c>
      <c r="D2482"/>
    </row>
    <row r="2483" spans="1:4" x14ac:dyDescent="0.3">
      <c r="A2483" s="4" t="s">
        <v>13</v>
      </c>
      <c r="B2483" s="4">
        <v>989</v>
      </c>
      <c r="D2483"/>
    </row>
    <row r="2484" spans="1:4" x14ac:dyDescent="0.3">
      <c r="A2484" s="4" t="s">
        <v>13</v>
      </c>
      <c r="B2484" s="4">
        <v>406</v>
      </c>
      <c r="D2484"/>
    </row>
    <row r="2485" spans="1:4" x14ac:dyDescent="0.3">
      <c r="A2485" s="4" t="s">
        <v>6</v>
      </c>
      <c r="B2485" s="4">
        <v>403</v>
      </c>
      <c r="D2485"/>
    </row>
    <row r="2486" spans="1:4" x14ac:dyDescent="0.3">
      <c r="A2486" s="4" t="s">
        <v>18</v>
      </c>
      <c r="B2486" s="4">
        <v>652</v>
      </c>
      <c r="D2486"/>
    </row>
    <row r="2487" spans="1:4" x14ac:dyDescent="0.3">
      <c r="A2487" s="4" t="s">
        <v>13</v>
      </c>
      <c r="B2487" s="4">
        <v>357</v>
      </c>
      <c r="D2487"/>
    </row>
    <row r="2488" spans="1:4" x14ac:dyDescent="0.3">
      <c r="A2488" s="4" t="s">
        <v>6</v>
      </c>
      <c r="B2488" s="4" t="e">
        <v>#N/A</v>
      </c>
      <c r="D2488"/>
    </row>
    <row r="2489" spans="1:4" x14ac:dyDescent="0.3">
      <c r="A2489" s="4" t="s">
        <v>14</v>
      </c>
      <c r="B2489" s="4">
        <v>702</v>
      </c>
      <c r="D2489"/>
    </row>
    <row r="2490" spans="1:4" x14ac:dyDescent="0.3">
      <c r="A2490" s="4" t="s">
        <v>19</v>
      </c>
      <c r="B2490" s="4">
        <v>868</v>
      </c>
      <c r="D2490"/>
    </row>
    <row r="2491" spans="1:4" x14ac:dyDescent="0.3">
      <c r="A2491" s="4" t="s">
        <v>9</v>
      </c>
      <c r="B2491" s="4">
        <v>359</v>
      </c>
      <c r="D2491"/>
    </row>
    <row r="2492" spans="1:4" x14ac:dyDescent="0.3">
      <c r="A2492" s="4" t="s">
        <v>10</v>
      </c>
      <c r="B2492" s="4">
        <v>704</v>
      </c>
      <c r="D2492"/>
    </row>
    <row r="2493" spans="1:4" x14ac:dyDescent="0.3">
      <c r="A2493" s="4" t="s">
        <v>19</v>
      </c>
      <c r="B2493" s="4">
        <v>775</v>
      </c>
      <c r="D2493"/>
    </row>
    <row r="2494" spans="1:4" x14ac:dyDescent="0.3">
      <c r="A2494" s="4" t="s">
        <v>3</v>
      </c>
      <c r="B2494" s="4">
        <v>954</v>
      </c>
      <c r="D2494"/>
    </row>
    <row r="2495" spans="1:4" x14ac:dyDescent="0.3">
      <c r="A2495" s="4" t="s">
        <v>19</v>
      </c>
      <c r="B2495" s="4">
        <v>808</v>
      </c>
      <c r="D2495"/>
    </row>
    <row r="2496" spans="1:4" x14ac:dyDescent="0.3">
      <c r="A2496" s="4" t="s">
        <v>10</v>
      </c>
      <c r="B2496" s="4">
        <v>900</v>
      </c>
      <c r="D2496"/>
    </row>
    <row r="2497" spans="1:4" x14ac:dyDescent="0.3">
      <c r="A2497" s="4" t="s">
        <v>15</v>
      </c>
      <c r="B2497" s="4">
        <v>373</v>
      </c>
      <c r="D2497"/>
    </row>
    <row r="2498" spans="1:4" x14ac:dyDescent="0.3">
      <c r="A2498" s="4" t="s">
        <v>17</v>
      </c>
      <c r="B2498" s="4">
        <v>404</v>
      </c>
      <c r="D2498"/>
    </row>
    <row r="2499" spans="1:4" x14ac:dyDescent="0.3">
      <c r="A2499" s="4" t="s">
        <v>3</v>
      </c>
      <c r="B2499" s="4">
        <v>308</v>
      </c>
      <c r="D2499"/>
    </row>
    <row r="2500" spans="1:4" x14ac:dyDescent="0.3">
      <c r="A2500" s="4" t="s">
        <v>10</v>
      </c>
      <c r="B2500" s="4">
        <v>651</v>
      </c>
      <c r="D2500"/>
    </row>
    <row r="2501" spans="1:4" x14ac:dyDescent="0.3">
      <c r="A2501" s="4" t="s">
        <v>19</v>
      </c>
      <c r="B2501" s="4">
        <v>997</v>
      </c>
      <c r="D2501"/>
    </row>
    <row r="2502" spans="1:4" x14ac:dyDescent="0.3">
      <c r="A2502" s="4" t="s">
        <v>4</v>
      </c>
      <c r="B2502" s="4">
        <v>233</v>
      </c>
      <c r="D2502"/>
    </row>
    <row r="2503" spans="1:4" x14ac:dyDescent="0.3">
      <c r="A2503" s="4" t="s">
        <v>19</v>
      </c>
      <c r="B2503" s="4">
        <v>258</v>
      </c>
      <c r="D2503"/>
    </row>
    <row r="2504" spans="1:4" x14ac:dyDescent="0.3">
      <c r="A2504" s="4" t="s">
        <v>8</v>
      </c>
      <c r="B2504" s="4">
        <v>389</v>
      </c>
      <c r="D2504"/>
    </row>
    <row r="2505" spans="1:4" x14ac:dyDescent="0.3">
      <c r="A2505" s="4" t="s">
        <v>9</v>
      </c>
      <c r="B2505" s="4">
        <v>941</v>
      </c>
      <c r="D2505"/>
    </row>
    <row r="2506" spans="1:4" x14ac:dyDescent="0.3">
      <c r="A2506" s="4" t="s">
        <v>18</v>
      </c>
      <c r="B2506" s="4">
        <v>665</v>
      </c>
      <c r="D2506"/>
    </row>
    <row r="2507" spans="1:4" x14ac:dyDescent="0.3">
      <c r="A2507" s="4" t="s">
        <v>12</v>
      </c>
      <c r="B2507" s="4">
        <v>323</v>
      </c>
      <c r="D2507"/>
    </row>
    <row r="2508" spans="1:4" x14ac:dyDescent="0.3">
      <c r="A2508" s="4" t="s">
        <v>4</v>
      </c>
      <c r="B2508" s="4">
        <v>343</v>
      </c>
      <c r="D2508"/>
    </row>
    <row r="2509" spans="1:4" x14ac:dyDescent="0.3">
      <c r="A2509" s="4" t="s">
        <v>11</v>
      </c>
      <c r="B2509" s="4">
        <v>316</v>
      </c>
      <c r="D2509"/>
    </row>
    <row r="2510" spans="1:4" x14ac:dyDescent="0.3">
      <c r="A2510" s="4" t="s">
        <v>11</v>
      </c>
      <c r="B2510" s="4">
        <v>826</v>
      </c>
      <c r="D2510"/>
    </row>
    <row r="2511" spans="1:4" x14ac:dyDescent="0.3">
      <c r="A2511" s="4" t="s">
        <v>6</v>
      </c>
      <c r="B2511" s="4">
        <v>68</v>
      </c>
      <c r="D2511"/>
    </row>
    <row r="2512" spans="1:4" x14ac:dyDescent="0.3">
      <c r="A2512" s="4" t="s">
        <v>4</v>
      </c>
      <c r="B2512" s="4">
        <v>490</v>
      </c>
      <c r="D2512"/>
    </row>
    <row r="2513" spans="1:4" x14ac:dyDescent="0.3">
      <c r="A2513" s="4" t="s">
        <v>10</v>
      </c>
      <c r="B2513" s="4">
        <v>782</v>
      </c>
      <c r="D2513"/>
    </row>
    <row r="2514" spans="1:4" x14ac:dyDescent="0.3">
      <c r="A2514" s="4" t="s">
        <v>3</v>
      </c>
      <c r="B2514" s="4">
        <v>759</v>
      </c>
      <c r="D2514"/>
    </row>
    <row r="2515" spans="1:4" x14ac:dyDescent="0.3">
      <c r="A2515" s="4" t="s">
        <v>3</v>
      </c>
      <c r="B2515" s="4">
        <v>343</v>
      </c>
      <c r="D2515"/>
    </row>
    <row r="2516" spans="1:4" x14ac:dyDescent="0.3">
      <c r="A2516" s="4" t="s">
        <v>15</v>
      </c>
      <c r="B2516" s="4">
        <v>266</v>
      </c>
      <c r="D2516"/>
    </row>
    <row r="2517" spans="1:4" x14ac:dyDescent="0.3">
      <c r="A2517" s="4" t="s">
        <v>7</v>
      </c>
      <c r="B2517" s="4">
        <v>285</v>
      </c>
      <c r="D2517"/>
    </row>
    <row r="2518" spans="1:4" x14ac:dyDescent="0.3">
      <c r="A2518" s="4" t="s">
        <v>3</v>
      </c>
      <c r="B2518" s="4">
        <v>784</v>
      </c>
      <c r="D2518"/>
    </row>
    <row r="2519" spans="1:4" x14ac:dyDescent="0.3">
      <c r="A2519" s="4" t="s">
        <v>6</v>
      </c>
      <c r="B2519" s="4">
        <v>296</v>
      </c>
      <c r="D2519"/>
    </row>
    <row r="2520" spans="1:4" x14ac:dyDescent="0.3">
      <c r="A2520" s="4" t="s">
        <v>6</v>
      </c>
      <c r="B2520" s="4">
        <v>357</v>
      </c>
      <c r="D2520"/>
    </row>
    <row r="2521" spans="1:4" x14ac:dyDescent="0.3">
      <c r="A2521" s="4" t="s">
        <v>6</v>
      </c>
      <c r="B2521" s="4">
        <v>607</v>
      </c>
      <c r="D2521"/>
    </row>
    <row r="2522" spans="1:4" x14ac:dyDescent="0.3">
      <c r="A2522" s="4" t="s">
        <v>14</v>
      </c>
      <c r="B2522" s="4">
        <v>774</v>
      </c>
      <c r="D2522"/>
    </row>
    <row r="2523" spans="1:4" x14ac:dyDescent="0.3">
      <c r="A2523" s="4" t="s">
        <v>4</v>
      </c>
      <c r="B2523" s="4">
        <v>366</v>
      </c>
      <c r="D2523"/>
    </row>
    <row r="2524" spans="1:4" x14ac:dyDescent="0.3">
      <c r="A2524" s="4" t="s">
        <v>11</v>
      </c>
      <c r="B2524" s="4">
        <v>663</v>
      </c>
      <c r="D2524"/>
    </row>
    <row r="2525" spans="1:4" x14ac:dyDescent="0.3">
      <c r="A2525" s="4" t="s">
        <v>7</v>
      </c>
      <c r="B2525" s="4">
        <v>970</v>
      </c>
      <c r="D2525"/>
    </row>
    <row r="2526" spans="1:4" x14ac:dyDescent="0.3">
      <c r="A2526" s="4" t="s">
        <v>19</v>
      </c>
      <c r="B2526" s="4">
        <v>490</v>
      </c>
      <c r="D2526"/>
    </row>
    <row r="2527" spans="1:4" x14ac:dyDescent="0.3">
      <c r="A2527" s="4" t="s">
        <v>19</v>
      </c>
      <c r="B2527" s="4">
        <v>769</v>
      </c>
      <c r="D2527"/>
    </row>
    <row r="2528" spans="1:4" x14ac:dyDescent="0.3">
      <c r="A2528" s="4" t="s">
        <v>9</v>
      </c>
      <c r="B2528" s="4">
        <v>504</v>
      </c>
      <c r="D2528"/>
    </row>
    <row r="2529" spans="1:4" x14ac:dyDescent="0.3">
      <c r="A2529" s="4" t="s">
        <v>18</v>
      </c>
      <c r="B2529" s="4">
        <v>622</v>
      </c>
      <c r="D2529"/>
    </row>
    <row r="2530" spans="1:4" x14ac:dyDescent="0.3">
      <c r="A2530" s="4" t="s">
        <v>16</v>
      </c>
      <c r="B2530" s="4">
        <v>649</v>
      </c>
      <c r="D2530"/>
    </row>
    <row r="2531" spans="1:4" x14ac:dyDescent="0.3">
      <c r="A2531" s="4" t="s">
        <v>12</v>
      </c>
      <c r="B2531" s="4">
        <v>186</v>
      </c>
      <c r="D2531"/>
    </row>
    <row r="2532" spans="1:4" x14ac:dyDescent="0.3">
      <c r="A2532" s="4" t="s">
        <v>12</v>
      </c>
      <c r="B2532" s="4">
        <v>321</v>
      </c>
      <c r="D2532"/>
    </row>
    <row r="2533" spans="1:4" x14ac:dyDescent="0.3">
      <c r="A2533" s="4" t="s">
        <v>10</v>
      </c>
      <c r="B2533" s="4">
        <v>647</v>
      </c>
      <c r="D2533"/>
    </row>
    <row r="2534" spans="1:4" x14ac:dyDescent="0.3">
      <c r="A2534" s="4" t="s">
        <v>4</v>
      </c>
      <c r="B2534" s="4">
        <v>763</v>
      </c>
      <c r="D2534"/>
    </row>
    <row r="2535" spans="1:4" x14ac:dyDescent="0.3">
      <c r="A2535" s="4" t="s">
        <v>19</v>
      </c>
      <c r="B2535" s="4">
        <v>748</v>
      </c>
      <c r="D2535"/>
    </row>
    <row r="2536" spans="1:4" x14ac:dyDescent="0.3">
      <c r="A2536" s="4" t="s">
        <v>19</v>
      </c>
      <c r="B2536" s="4">
        <v>102</v>
      </c>
      <c r="D2536"/>
    </row>
    <row r="2537" spans="1:4" x14ac:dyDescent="0.3">
      <c r="A2537" s="4" t="s">
        <v>9</v>
      </c>
      <c r="B2537" s="4">
        <v>95</v>
      </c>
      <c r="D2537"/>
    </row>
    <row r="2538" spans="1:4" x14ac:dyDescent="0.3">
      <c r="A2538" s="4" t="s">
        <v>16</v>
      </c>
      <c r="B2538" s="4">
        <v>502</v>
      </c>
      <c r="D2538"/>
    </row>
    <row r="2539" spans="1:4" x14ac:dyDescent="0.3">
      <c r="A2539" s="4" t="s">
        <v>17</v>
      </c>
      <c r="B2539" s="4" t="e">
        <v>#N/A</v>
      </c>
      <c r="D2539"/>
    </row>
    <row r="2540" spans="1:4" x14ac:dyDescent="0.3">
      <c r="A2540" s="4" t="s">
        <v>16</v>
      </c>
      <c r="B2540" s="4">
        <v>517</v>
      </c>
      <c r="D2540"/>
    </row>
    <row r="2541" spans="1:4" x14ac:dyDescent="0.3">
      <c r="A2541" s="4" t="s">
        <v>11</v>
      </c>
      <c r="B2541" s="4">
        <v>656</v>
      </c>
      <c r="D2541"/>
    </row>
    <row r="2542" spans="1:4" x14ac:dyDescent="0.3">
      <c r="A2542" s="4" t="s">
        <v>12</v>
      </c>
      <c r="B2542" s="4">
        <v>385</v>
      </c>
      <c r="D2542"/>
    </row>
    <row r="2543" spans="1:4" x14ac:dyDescent="0.3">
      <c r="A2543" s="4" t="s">
        <v>4</v>
      </c>
      <c r="B2543" s="4">
        <v>356</v>
      </c>
      <c r="D2543"/>
    </row>
    <row r="2544" spans="1:4" x14ac:dyDescent="0.3">
      <c r="A2544" s="4" t="s">
        <v>4</v>
      </c>
      <c r="B2544" s="4">
        <v>190</v>
      </c>
      <c r="D2544"/>
    </row>
    <row r="2545" spans="1:4" x14ac:dyDescent="0.3">
      <c r="A2545" s="4" t="s">
        <v>6</v>
      </c>
      <c r="B2545" s="4">
        <v>349</v>
      </c>
      <c r="D2545"/>
    </row>
    <row r="2546" spans="1:4" x14ac:dyDescent="0.3">
      <c r="A2546" s="4" t="s">
        <v>6</v>
      </c>
      <c r="B2546" s="4">
        <v>645</v>
      </c>
      <c r="D2546"/>
    </row>
    <row r="2547" spans="1:4" x14ac:dyDescent="0.3">
      <c r="A2547" s="4" t="s">
        <v>6</v>
      </c>
      <c r="B2547" s="4">
        <v>609</v>
      </c>
      <c r="D2547"/>
    </row>
    <row r="2548" spans="1:4" x14ac:dyDescent="0.3">
      <c r="A2548" s="4" t="s">
        <v>4</v>
      </c>
      <c r="B2548" s="4">
        <v>859</v>
      </c>
      <c r="D2548"/>
    </row>
    <row r="2549" spans="1:4" x14ac:dyDescent="0.3">
      <c r="A2549" s="4" t="s">
        <v>11</v>
      </c>
      <c r="B2549" s="4">
        <v>375</v>
      </c>
      <c r="D2549"/>
    </row>
    <row r="2550" spans="1:4" x14ac:dyDescent="0.3">
      <c r="A2550" s="4" t="s">
        <v>6</v>
      </c>
      <c r="B2550" s="4">
        <v>569</v>
      </c>
      <c r="D2550"/>
    </row>
    <row r="2551" spans="1:4" x14ac:dyDescent="0.3">
      <c r="A2551" s="4" t="s">
        <v>10</v>
      </c>
      <c r="B2551" s="4">
        <v>624</v>
      </c>
      <c r="D2551"/>
    </row>
    <row r="2552" spans="1:4" x14ac:dyDescent="0.3">
      <c r="A2552" s="4" t="s">
        <v>15</v>
      </c>
      <c r="B2552" s="4">
        <v>43</v>
      </c>
      <c r="D2552"/>
    </row>
    <row r="2553" spans="1:4" x14ac:dyDescent="0.3">
      <c r="A2553" s="4" t="s">
        <v>19</v>
      </c>
      <c r="B2553" s="4">
        <v>277</v>
      </c>
      <c r="D2553"/>
    </row>
    <row r="2554" spans="1:4" x14ac:dyDescent="0.3">
      <c r="A2554" s="4" t="s">
        <v>4</v>
      </c>
      <c r="B2554" s="4">
        <v>543</v>
      </c>
      <c r="D2554"/>
    </row>
    <row r="2555" spans="1:4" x14ac:dyDescent="0.3">
      <c r="A2555" s="4" t="s">
        <v>4</v>
      </c>
      <c r="B2555" s="4">
        <v>284</v>
      </c>
      <c r="D2555"/>
    </row>
    <row r="2556" spans="1:4" x14ac:dyDescent="0.3">
      <c r="A2556" s="4" t="s">
        <v>17</v>
      </c>
      <c r="B2556" s="4">
        <v>529</v>
      </c>
      <c r="D2556"/>
    </row>
    <row r="2557" spans="1:4" x14ac:dyDescent="0.3">
      <c r="A2557" s="4" t="s">
        <v>16</v>
      </c>
      <c r="B2557" s="4">
        <v>240</v>
      </c>
      <c r="D2557"/>
    </row>
    <row r="2558" spans="1:4" x14ac:dyDescent="0.3">
      <c r="A2558" s="4" t="s">
        <v>4</v>
      </c>
      <c r="B2558" s="4">
        <v>310</v>
      </c>
      <c r="D2558"/>
    </row>
    <row r="2559" spans="1:4" x14ac:dyDescent="0.3">
      <c r="A2559" s="4" t="s">
        <v>14</v>
      </c>
      <c r="B2559" s="4">
        <v>311</v>
      </c>
      <c r="D2559"/>
    </row>
    <row r="2560" spans="1:4" x14ac:dyDescent="0.3">
      <c r="A2560" s="4" t="s">
        <v>10</v>
      </c>
      <c r="B2560" s="4">
        <v>522</v>
      </c>
      <c r="D2560"/>
    </row>
    <row r="2561" spans="1:4" x14ac:dyDescent="0.3">
      <c r="A2561" s="4" t="s">
        <v>4</v>
      </c>
      <c r="B2561" s="4">
        <v>244</v>
      </c>
      <c r="D2561"/>
    </row>
    <row r="2562" spans="1:4" x14ac:dyDescent="0.3">
      <c r="A2562" s="4" t="s">
        <v>15</v>
      </c>
      <c r="B2562" s="4">
        <v>511</v>
      </c>
      <c r="D2562"/>
    </row>
    <row r="2563" spans="1:4" x14ac:dyDescent="0.3">
      <c r="A2563" s="4" t="s">
        <v>19</v>
      </c>
      <c r="B2563" s="4">
        <v>609</v>
      </c>
      <c r="D2563"/>
    </row>
    <row r="2564" spans="1:4" x14ac:dyDescent="0.3">
      <c r="A2564" s="4" t="s">
        <v>3</v>
      </c>
      <c r="B2564" s="4">
        <v>537</v>
      </c>
      <c r="D2564"/>
    </row>
    <row r="2565" spans="1:4" x14ac:dyDescent="0.3">
      <c r="A2565" s="4" t="s">
        <v>6</v>
      </c>
      <c r="B2565" s="4">
        <v>229</v>
      </c>
      <c r="D2565"/>
    </row>
    <row r="2566" spans="1:4" x14ac:dyDescent="0.3">
      <c r="A2566" s="4" t="s">
        <v>3</v>
      </c>
      <c r="B2566" s="4">
        <v>901</v>
      </c>
      <c r="D2566"/>
    </row>
    <row r="2567" spans="1:4" x14ac:dyDescent="0.3">
      <c r="A2567" s="4" t="s">
        <v>13</v>
      </c>
      <c r="B2567" s="4">
        <v>178</v>
      </c>
      <c r="D2567"/>
    </row>
    <row r="2568" spans="1:4" x14ac:dyDescent="0.3">
      <c r="A2568" s="4" t="s">
        <v>8</v>
      </c>
      <c r="B2568" s="4">
        <v>324</v>
      </c>
      <c r="D2568"/>
    </row>
    <row r="2569" spans="1:4" x14ac:dyDescent="0.3">
      <c r="A2569" s="4" t="s">
        <v>8</v>
      </c>
      <c r="B2569" s="4">
        <v>417</v>
      </c>
      <c r="D2569"/>
    </row>
    <row r="2570" spans="1:4" x14ac:dyDescent="0.3">
      <c r="A2570" s="4" t="s">
        <v>8</v>
      </c>
      <c r="B2570" s="4">
        <v>636</v>
      </c>
      <c r="D2570"/>
    </row>
    <row r="2571" spans="1:4" x14ac:dyDescent="0.3">
      <c r="A2571" s="4" t="s">
        <v>16</v>
      </c>
      <c r="B2571" s="4">
        <v>300</v>
      </c>
      <c r="D2571"/>
    </row>
    <row r="2572" spans="1:4" x14ac:dyDescent="0.3">
      <c r="A2572" s="4" t="s">
        <v>18</v>
      </c>
      <c r="B2572" s="4">
        <v>511</v>
      </c>
      <c r="D2572"/>
    </row>
    <row r="2573" spans="1:4" x14ac:dyDescent="0.3">
      <c r="A2573" s="4" t="s">
        <v>10</v>
      </c>
      <c r="B2573" s="4">
        <v>727</v>
      </c>
      <c r="D2573"/>
    </row>
    <row r="2574" spans="1:4" x14ac:dyDescent="0.3">
      <c r="A2574" s="4" t="s">
        <v>19</v>
      </c>
      <c r="B2574" s="4">
        <v>629</v>
      </c>
      <c r="D2574"/>
    </row>
    <row r="2575" spans="1:4" x14ac:dyDescent="0.3">
      <c r="A2575" s="4" t="s">
        <v>4</v>
      </c>
      <c r="B2575" s="4">
        <v>253</v>
      </c>
      <c r="D2575"/>
    </row>
    <row r="2576" spans="1:4" x14ac:dyDescent="0.3">
      <c r="A2576" s="4" t="s">
        <v>3</v>
      </c>
      <c r="B2576" s="4">
        <v>329</v>
      </c>
      <c r="D2576"/>
    </row>
    <row r="2577" spans="1:4" x14ac:dyDescent="0.3">
      <c r="A2577" s="4" t="s">
        <v>3</v>
      </c>
      <c r="B2577" s="4">
        <v>769</v>
      </c>
      <c r="D2577"/>
    </row>
    <row r="2578" spans="1:4" x14ac:dyDescent="0.3">
      <c r="A2578" s="4" t="s">
        <v>7</v>
      </c>
      <c r="B2578" s="4">
        <v>939</v>
      </c>
      <c r="D2578"/>
    </row>
    <row r="2579" spans="1:4" x14ac:dyDescent="0.3">
      <c r="A2579" s="4" t="s">
        <v>3</v>
      </c>
      <c r="B2579" s="4">
        <v>583</v>
      </c>
      <c r="D2579"/>
    </row>
    <row r="2580" spans="1:4" x14ac:dyDescent="0.3">
      <c r="A2580" s="4" t="s">
        <v>10</v>
      </c>
      <c r="B2580" s="4">
        <v>934</v>
      </c>
      <c r="D2580"/>
    </row>
    <row r="2581" spans="1:4" x14ac:dyDescent="0.3">
      <c r="A2581" s="4" t="s">
        <v>11</v>
      </c>
      <c r="B2581" s="4">
        <v>379</v>
      </c>
      <c r="D2581"/>
    </row>
    <row r="2582" spans="1:4" x14ac:dyDescent="0.3">
      <c r="A2582" s="4" t="s">
        <v>11</v>
      </c>
      <c r="B2582" s="4">
        <v>627</v>
      </c>
      <c r="D2582"/>
    </row>
    <row r="2583" spans="1:4" x14ac:dyDescent="0.3">
      <c r="A2583" s="4" t="s">
        <v>9</v>
      </c>
      <c r="B2583" s="4">
        <v>938</v>
      </c>
      <c r="D2583"/>
    </row>
    <row r="2584" spans="1:4" x14ac:dyDescent="0.3">
      <c r="A2584" s="4" t="s">
        <v>4</v>
      </c>
      <c r="B2584" s="4">
        <v>690</v>
      </c>
      <c r="D2584"/>
    </row>
    <row r="2585" spans="1:4" x14ac:dyDescent="0.3">
      <c r="A2585" s="4" t="s">
        <v>13</v>
      </c>
      <c r="B2585" s="4">
        <v>487</v>
      </c>
      <c r="D2585"/>
    </row>
    <row r="2586" spans="1:4" x14ac:dyDescent="0.3">
      <c r="A2586" s="4" t="s">
        <v>10</v>
      </c>
      <c r="B2586" s="4">
        <v>587</v>
      </c>
      <c r="D2586"/>
    </row>
    <row r="2587" spans="1:4" x14ac:dyDescent="0.3">
      <c r="A2587" s="4" t="s">
        <v>7</v>
      </c>
      <c r="B2587" s="4">
        <v>944</v>
      </c>
      <c r="D2587"/>
    </row>
    <row r="2588" spans="1:4" x14ac:dyDescent="0.3">
      <c r="A2588" s="4" t="s">
        <v>7</v>
      </c>
      <c r="B2588" s="4">
        <v>758</v>
      </c>
      <c r="D2588"/>
    </row>
    <row r="2589" spans="1:4" x14ac:dyDescent="0.3">
      <c r="A2589" s="4" t="s">
        <v>14</v>
      </c>
      <c r="B2589" s="4">
        <v>565</v>
      </c>
      <c r="D2589"/>
    </row>
    <row r="2590" spans="1:4" x14ac:dyDescent="0.3">
      <c r="A2590" s="4" t="s">
        <v>12</v>
      </c>
      <c r="B2590" s="4">
        <v>576</v>
      </c>
      <c r="D2590"/>
    </row>
    <row r="2591" spans="1:4" x14ac:dyDescent="0.3">
      <c r="A2591" s="4" t="s">
        <v>17</v>
      </c>
      <c r="B2591" s="4">
        <v>616</v>
      </c>
      <c r="D2591"/>
    </row>
    <row r="2592" spans="1:4" x14ac:dyDescent="0.3">
      <c r="A2592" s="4" t="s">
        <v>9</v>
      </c>
      <c r="B2592" s="4">
        <v>568</v>
      </c>
      <c r="D2592"/>
    </row>
    <row r="2593" spans="1:4" x14ac:dyDescent="0.3">
      <c r="A2593" s="4" t="s">
        <v>9</v>
      </c>
      <c r="B2593" s="4">
        <v>779</v>
      </c>
      <c r="D2593"/>
    </row>
    <row r="2594" spans="1:4" x14ac:dyDescent="0.3">
      <c r="A2594" s="4" t="s">
        <v>14</v>
      </c>
      <c r="B2594" s="4">
        <v>151</v>
      </c>
      <c r="D2594"/>
    </row>
    <row r="2595" spans="1:4" x14ac:dyDescent="0.3">
      <c r="A2595" s="4" t="s">
        <v>14</v>
      </c>
      <c r="B2595" s="4">
        <v>424</v>
      </c>
      <c r="D2595"/>
    </row>
    <row r="2596" spans="1:4" x14ac:dyDescent="0.3">
      <c r="A2596" s="4" t="s">
        <v>19</v>
      </c>
      <c r="B2596" s="4">
        <v>265</v>
      </c>
      <c r="D2596"/>
    </row>
    <row r="2597" spans="1:4" x14ac:dyDescent="0.3">
      <c r="A2597" s="4" t="s">
        <v>10</v>
      </c>
      <c r="B2597" s="4">
        <v>381</v>
      </c>
      <c r="D2597"/>
    </row>
    <row r="2598" spans="1:4" x14ac:dyDescent="0.3">
      <c r="A2598" s="4" t="s">
        <v>15</v>
      </c>
      <c r="B2598" s="4">
        <v>464</v>
      </c>
      <c r="D2598"/>
    </row>
    <row r="2599" spans="1:4" x14ac:dyDescent="0.3">
      <c r="A2599" s="4" t="s">
        <v>14</v>
      </c>
      <c r="B2599" s="4">
        <v>722</v>
      </c>
      <c r="D2599"/>
    </row>
    <row r="2600" spans="1:4" x14ac:dyDescent="0.3">
      <c r="A2600" s="4" t="s">
        <v>8</v>
      </c>
      <c r="B2600" s="4">
        <v>460</v>
      </c>
      <c r="D2600"/>
    </row>
    <row r="2601" spans="1:4" x14ac:dyDescent="0.3">
      <c r="A2601" s="4" t="s">
        <v>8</v>
      </c>
      <c r="B2601" s="4">
        <v>832</v>
      </c>
      <c r="D2601"/>
    </row>
    <row r="2602" spans="1:4" x14ac:dyDescent="0.3">
      <c r="A2602" s="4" t="s">
        <v>10</v>
      </c>
      <c r="B2602" s="4">
        <v>950</v>
      </c>
      <c r="D2602"/>
    </row>
    <row r="2603" spans="1:4" x14ac:dyDescent="0.3">
      <c r="A2603" s="4" t="s">
        <v>14</v>
      </c>
      <c r="B2603" s="4">
        <v>221</v>
      </c>
      <c r="D2603"/>
    </row>
    <row r="2604" spans="1:4" x14ac:dyDescent="0.3">
      <c r="A2604" s="4" t="s">
        <v>14</v>
      </c>
      <c r="B2604" s="4">
        <v>922</v>
      </c>
      <c r="D2604"/>
    </row>
    <row r="2605" spans="1:4" x14ac:dyDescent="0.3">
      <c r="A2605" s="4" t="s">
        <v>11</v>
      </c>
      <c r="B2605" s="4">
        <v>931</v>
      </c>
      <c r="D2605"/>
    </row>
    <row r="2606" spans="1:4" x14ac:dyDescent="0.3">
      <c r="A2606" s="4" t="s">
        <v>16</v>
      </c>
      <c r="B2606" s="4">
        <v>645</v>
      </c>
      <c r="D2606"/>
    </row>
    <row r="2607" spans="1:4" x14ac:dyDescent="0.3">
      <c r="A2607" s="4" t="s">
        <v>9</v>
      </c>
      <c r="B2607" s="4">
        <v>704</v>
      </c>
      <c r="D2607"/>
    </row>
    <row r="2608" spans="1:4" x14ac:dyDescent="0.3">
      <c r="A2608" s="4" t="s">
        <v>7</v>
      </c>
      <c r="B2608" s="4">
        <v>965</v>
      </c>
      <c r="D2608"/>
    </row>
    <row r="2609" spans="1:4" x14ac:dyDescent="0.3">
      <c r="A2609" s="4" t="s">
        <v>11</v>
      </c>
      <c r="B2609" s="4">
        <v>507</v>
      </c>
      <c r="D2609"/>
    </row>
    <row r="2610" spans="1:4" x14ac:dyDescent="0.3">
      <c r="A2610" s="4" t="s">
        <v>10</v>
      </c>
      <c r="B2610" s="4">
        <v>709</v>
      </c>
      <c r="D2610"/>
    </row>
    <row r="2611" spans="1:4" x14ac:dyDescent="0.3">
      <c r="A2611" s="4" t="s">
        <v>6</v>
      </c>
      <c r="B2611" s="4">
        <v>495</v>
      </c>
      <c r="D2611"/>
    </row>
    <row r="2612" spans="1:4" x14ac:dyDescent="0.3">
      <c r="A2612" s="4" t="s">
        <v>15</v>
      </c>
      <c r="B2612" s="4">
        <v>767</v>
      </c>
      <c r="D2612"/>
    </row>
    <row r="2613" spans="1:4" x14ac:dyDescent="0.3">
      <c r="A2613" s="4" t="s">
        <v>11</v>
      </c>
      <c r="B2613" s="4">
        <v>805</v>
      </c>
      <c r="D2613"/>
    </row>
    <row r="2614" spans="1:4" x14ac:dyDescent="0.3">
      <c r="A2614" s="4" t="s">
        <v>19</v>
      </c>
      <c r="B2614" s="4">
        <v>564</v>
      </c>
      <c r="D2614"/>
    </row>
    <row r="2615" spans="1:4" x14ac:dyDescent="0.3">
      <c r="A2615" s="4" t="s">
        <v>6</v>
      </c>
      <c r="B2615" s="4">
        <v>507</v>
      </c>
      <c r="D2615"/>
    </row>
    <row r="2616" spans="1:4" x14ac:dyDescent="0.3">
      <c r="A2616" s="4" t="s">
        <v>6</v>
      </c>
      <c r="B2616" s="4">
        <v>874</v>
      </c>
      <c r="D2616"/>
    </row>
    <row r="2617" spans="1:4" x14ac:dyDescent="0.3">
      <c r="A2617" s="4" t="s">
        <v>18</v>
      </c>
      <c r="B2617" s="4">
        <v>252</v>
      </c>
      <c r="D2617"/>
    </row>
    <row r="2618" spans="1:4" x14ac:dyDescent="0.3">
      <c r="A2618" s="4" t="s">
        <v>6</v>
      </c>
      <c r="B2618" s="4" t="e">
        <v>#REF!</v>
      </c>
      <c r="D2618"/>
    </row>
    <row r="2619" spans="1:4" x14ac:dyDescent="0.3">
      <c r="A2619" s="4" t="s">
        <v>16</v>
      </c>
      <c r="B2619" s="4">
        <v>460</v>
      </c>
      <c r="D2619"/>
    </row>
    <row r="2620" spans="1:4" x14ac:dyDescent="0.3">
      <c r="A2620" s="4" t="s">
        <v>19</v>
      </c>
      <c r="B2620" s="4">
        <v>726</v>
      </c>
      <c r="D2620"/>
    </row>
    <row r="2621" spans="1:4" x14ac:dyDescent="0.3">
      <c r="A2621" s="4" t="s">
        <v>17</v>
      </c>
      <c r="B2621" s="4">
        <v>985</v>
      </c>
      <c r="D2621"/>
    </row>
    <row r="2622" spans="1:4" x14ac:dyDescent="0.3">
      <c r="A2622" s="4" t="s">
        <v>19</v>
      </c>
      <c r="B2622" s="4">
        <v>528</v>
      </c>
      <c r="D2622"/>
    </row>
    <row r="2623" spans="1:4" x14ac:dyDescent="0.3">
      <c r="A2623" s="4" t="s">
        <v>10</v>
      </c>
      <c r="B2623" s="4">
        <v>625</v>
      </c>
      <c r="D2623"/>
    </row>
    <row r="2624" spans="1:4" x14ac:dyDescent="0.3">
      <c r="A2624" s="4" t="s">
        <v>10</v>
      </c>
      <c r="B2624" s="4">
        <v>634</v>
      </c>
      <c r="D2624"/>
    </row>
    <row r="2625" spans="1:4" x14ac:dyDescent="0.3">
      <c r="A2625" s="4" t="s">
        <v>14</v>
      </c>
      <c r="B2625" s="4">
        <v>192</v>
      </c>
      <c r="D2625"/>
    </row>
    <row r="2626" spans="1:4" x14ac:dyDescent="0.3">
      <c r="A2626" s="4" t="s">
        <v>14</v>
      </c>
      <c r="B2626" s="4">
        <v>106</v>
      </c>
      <c r="D2626"/>
    </row>
    <row r="2627" spans="1:4" x14ac:dyDescent="0.3">
      <c r="A2627" s="4" t="s">
        <v>13</v>
      </c>
      <c r="B2627" s="4">
        <v>283</v>
      </c>
      <c r="D2627"/>
    </row>
    <row r="2628" spans="1:4" x14ac:dyDescent="0.3">
      <c r="A2628" s="4" t="s">
        <v>8</v>
      </c>
      <c r="B2628" s="4">
        <v>829</v>
      </c>
      <c r="D2628"/>
    </row>
    <row r="2629" spans="1:4" x14ac:dyDescent="0.3">
      <c r="A2629" s="4" t="s">
        <v>17</v>
      </c>
      <c r="B2629" s="4">
        <v>988</v>
      </c>
      <c r="D2629"/>
    </row>
    <row r="2630" spans="1:4" x14ac:dyDescent="0.3">
      <c r="A2630" s="4" t="s">
        <v>12</v>
      </c>
      <c r="B2630" s="4">
        <v>843</v>
      </c>
      <c r="D2630"/>
    </row>
    <row r="2631" spans="1:4" x14ac:dyDescent="0.3">
      <c r="A2631" s="4" t="s">
        <v>19</v>
      </c>
      <c r="B2631" s="4">
        <v>729</v>
      </c>
      <c r="D2631"/>
    </row>
    <row r="2632" spans="1:4" x14ac:dyDescent="0.3">
      <c r="A2632" s="4" t="s">
        <v>9</v>
      </c>
      <c r="B2632" s="4">
        <v>487</v>
      </c>
      <c r="D2632"/>
    </row>
    <row r="2633" spans="1:4" x14ac:dyDescent="0.3">
      <c r="A2633" s="4" t="s">
        <v>16</v>
      </c>
      <c r="B2633" s="4">
        <v>533</v>
      </c>
      <c r="D2633"/>
    </row>
    <row r="2634" spans="1:4" x14ac:dyDescent="0.3">
      <c r="A2634" s="4" t="s">
        <v>4</v>
      </c>
      <c r="B2634" s="4">
        <v>606</v>
      </c>
      <c r="D2634"/>
    </row>
    <row r="2635" spans="1:4" x14ac:dyDescent="0.3">
      <c r="A2635" s="4" t="s">
        <v>15</v>
      </c>
      <c r="B2635" s="4">
        <v>279</v>
      </c>
      <c r="D2635"/>
    </row>
    <row r="2636" spans="1:4" x14ac:dyDescent="0.3">
      <c r="A2636" s="4" t="s">
        <v>12</v>
      </c>
      <c r="B2636" s="4">
        <v>996</v>
      </c>
      <c r="D2636"/>
    </row>
    <row r="2637" spans="1:4" x14ac:dyDescent="0.3">
      <c r="A2637" s="4" t="s">
        <v>15</v>
      </c>
      <c r="B2637" s="4">
        <v>456</v>
      </c>
      <c r="D2637"/>
    </row>
    <row r="2638" spans="1:4" x14ac:dyDescent="0.3">
      <c r="A2638" s="4" t="s">
        <v>4</v>
      </c>
      <c r="B2638" s="4">
        <v>446</v>
      </c>
      <c r="D2638"/>
    </row>
    <row r="2639" spans="1:4" x14ac:dyDescent="0.3">
      <c r="A2639" s="4" t="s">
        <v>10</v>
      </c>
      <c r="B2639" s="4">
        <v>138</v>
      </c>
      <c r="D2639"/>
    </row>
    <row r="2640" spans="1:4" x14ac:dyDescent="0.3">
      <c r="A2640" s="4" t="s">
        <v>17</v>
      </c>
      <c r="B2640" s="4">
        <v>478</v>
      </c>
      <c r="D2640"/>
    </row>
    <row r="2641" spans="1:4" x14ac:dyDescent="0.3">
      <c r="A2641" s="4" t="s">
        <v>15</v>
      </c>
      <c r="B2641" s="4">
        <v>24</v>
      </c>
      <c r="D2641"/>
    </row>
    <row r="2642" spans="1:4" x14ac:dyDescent="0.3">
      <c r="A2642" s="4" t="s">
        <v>9</v>
      </c>
      <c r="B2642" s="4">
        <v>443</v>
      </c>
      <c r="D2642"/>
    </row>
    <row r="2643" spans="1:4" x14ac:dyDescent="0.3">
      <c r="A2643" s="4" t="s">
        <v>18</v>
      </c>
      <c r="B2643" s="4">
        <v>455</v>
      </c>
      <c r="D2643"/>
    </row>
    <row r="2644" spans="1:4" x14ac:dyDescent="0.3">
      <c r="A2644" s="4" t="s">
        <v>6</v>
      </c>
      <c r="B2644" s="4">
        <v>607</v>
      </c>
      <c r="D2644"/>
    </row>
    <row r="2645" spans="1:4" x14ac:dyDescent="0.3">
      <c r="A2645" s="4" t="s">
        <v>8</v>
      </c>
      <c r="B2645" s="4">
        <v>177</v>
      </c>
      <c r="D2645"/>
    </row>
    <row r="2646" spans="1:4" x14ac:dyDescent="0.3">
      <c r="A2646" s="4" t="s">
        <v>6</v>
      </c>
      <c r="B2646" s="4">
        <v>691</v>
      </c>
      <c r="D2646"/>
    </row>
    <row r="2647" spans="1:4" x14ac:dyDescent="0.3">
      <c r="A2647" s="4" t="s">
        <v>10</v>
      </c>
      <c r="B2647" s="4">
        <v>131</v>
      </c>
      <c r="D2647"/>
    </row>
    <row r="2648" spans="1:4" x14ac:dyDescent="0.3">
      <c r="A2648" s="4" t="s">
        <v>19</v>
      </c>
      <c r="B2648" s="4">
        <v>608</v>
      </c>
      <c r="D2648"/>
    </row>
    <row r="2649" spans="1:4" x14ac:dyDescent="0.3">
      <c r="A2649" s="4" t="s">
        <v>18</v>
      </c>
      <c r="B2649" s="4">
        <v>637</v>
      </c>
      <c r="D2649"/>
    </row>
    <row r="2650" spans="1:4" x14ac:dyDescent="0.3">
      <c r="A2650" s="4" t="s">
        <v>14</v>
      </c>
      <c r="B2650" s="4">
        <v>584</v>
      </c>
      <c r="D2650"/>
    </row>
    <row r="2651" spans="1:4" x14ac:dyDescent="0.3">
      <c r="A2651" s="4" t="s">
        <v>6</v>
      </c>
      <c r="B2651" s="4">
        <v>932</v>
      </c>
      <c r="D2651"/>
    </row>
    <row r="2652" spans="1:4" x14ac:dyDescent="0.3">
      <c r="A2652" s="4" t="s">
        <v>19</v>
      </c>
      <c r="B2652" s="4">
        <v>298</v>
      </c>
      <c r="D2652"/>
    </row>
    <row r="2653" spans="1:4" x14ac:dyDescent="0.3">
      <c r="A2653" s="4" t="s">
        <v>10</v>
      </c>
      <c r="B2653" s="4">
        <v>850</v>
      </c>
      <c r="D2653"/>
    </row>
    <row r="2654" spans="1:4" x14ac:dyDescent="0.3">
      <c r="A2654" s="4" t="s">
        <v>7</v>
      </c>
      <c r="B2654" s="4">
        <v>858</v>
      </c>
      <c r="D2654"/>
    </row>
    <row r="2655" spans="1:4" x14ac:dyDescent="0.3">
      <c r="A2655" s="4" t="s">
        <v>8</v>
      </c>
      <c r="B2655" s="4">
        <v>307</v>
      </c>
      <c r="D2655"/>
    </row>
    <row r="2656" spans="1:4" x14ac:dyDescent="0.3">
      <c r="A2656" s="4" t="s">
        <v>19</v>
      </c>
      <c r="B2656" s="4">
        <v>624</v>
      </c>
      <c r="D2656"/>
    </row>
    <row r="2657" spans="1:4" x14ac:dyDescent="0.3">
      <c r="A2657" s="4" t="s">
        <v>19</v>
      </c>
      <c r="B2657" s="4">
        <v>470</v>
      </c>
      <c r="D2657"/>
    </row>
    <row r="2658" spans="1:4" x14ac:dyDescent="0.3">
      <c r="A2658" s="4" t="s">
        <v>7</v>
      </c>
      <c r="B2658" s="4">
        <v>716</v>
      </c>
      <c r="D2658"/>
    </row>
    <row r="2659" spans="1:4" x14ac:dyDescent="0.3">
      <c r="A2659" s="4" t="s">
        <v>8</v>
      </c>
      <c r="B2659" s="4">
        <v>320</v>
      </c>
      <c r="D2659"/>
    </row>
    <row r="2660" spans="1:4" x14ac:dyDescent="0.3">
      <c r="A2660" s="4" t="s">
        <v>9</v>
      </c>
      <c r="B2660" s="4">
        <v>347</v>
      </c>
      <c r="D2660"/>
    </row>
    <row r="2661" spans="1:4" x14ac:dyDescent="0.3">
      <c r="A2661" s="4" t="s">
        <v>12</v>
      </c>
      <c r="B2661" s="4">
        <v>960</v>
      </c>
      <c r="D2661"/>
    </row>
    <row r="2662" spans="1:4" x14ac:dyDescent="0.3">
      <c r="A2662" s="4" t="s">
        <v>9</v>
      </c>
      <c r="B2662" s="4">
        <v>833</v>
      </c>
      <c r="D2662"/>
    </row>
    <row r="2663" spans="1:4" x14ac:dyDescent="0.3">
      <c r="A2663" s="4" t="s">
        <v>12</v>
      </c>
      <c r="B2663" s="4">
        <v>226</v>
      </c>
      <c r="D2663"/>
    </row>
    <row r="2664" spans="1:4" x14ac:dyDescent="0.3">
      <c r="A2664" s="4" t="s">
        <v>11</v>
      </c>
      <c r="B2664" s="4">
        <v>854</v>
      </c>
      <c r="D2664"/>
    </row>
    <row r="2665" spans="1:4" x14ac:dyDescent="0.3">
      <c r="A2665" s="4" t="s">
        <v>13</v>
      </c>
      <c r="B2665" s="4">
        <v>869</v>
      </c>
      <c r="D2665"/>
    </row>
    <row r="2666" spans="1:4" x14ac:dyDescent="0.3">
      <c r="A2666" s="4" t="s">
        <v>15</v>
      </c>
      <c r="B2666" s="4">
        <v>889</v>
      </c>
      <c r="D2666"/>
    </row>
    <row r="2667" spans="1:4" x14ac:dyDescent="0.3">
      <c r="A2667" s="4" t="s">
        <v>9</v>
      </c>
      <c r="B2667" s="4">
        <v>136</v>
      </c>
      <c r="D2667"/>
    </row>
    <row r="2668" spans="1:4" x14ac:dyDescent="0.3">
      <c r="A2668" s="4" t="s">
        <v>11</v>
      </c>
      <c r="B2668" s="4">
        <v>191</v>
      </c>
      <c r="D2668"/>
    </row>
    <row r="2669" spans="1:4" x14ac:dyDescent="0.3">
      <c r="A2669" s="4" t="s">
        <v>10</v>
      </c>
      <c r="B2669" s="4">
        <v>244</v>
      </c>
      <c r="D2669"/>
    </row>
    <row r="2670" spans="1:4" x14ac:dyDescent="0.3">
      <c r="A2670" s="4" t="s">
        <v>10</v>
      </c>
      <c r="B2670" s="4">
        <v>795</v>
      </c>
      <c r="D2670"/>
    </row>
    <row r="2671" spans="1:4" x14ac:dyDescent="0.3">
      <c r="A2671" s="4" t="s">
        <v>6</v>
      </c>
      <c r="B2671" s="4">
        <v>243</v>
      </c>
      <c r="D2671"/>
    </row>
    <row r="2672" spans="1:4" x14ac:dyDescent="0.3">
      <c r="A2672" s="4" t="s">
        <v>19</v>
      </c>
      <c r="B2672" s="4">
        <v>102</v>
      </c>
      <c r="D2672"/>
    </row>
    <row r="2673" spans="1:4" x14ac:dyDescent="0.3">
      <c r="A2673" s="4" t="s">
        <v>12</v>
      </c>
      <c r="B2673" s="4">
        <v>288</v>
      </c>
      <c r="D2673"/>
    </row>
    <row r="2674" spans="1:4" x14ac:dyDescent="0.3">
      <c r="A2674" s="4" t="s">
        <v>11</v>
      </c>
      <c r="B2674" s="4">
        <v>930</v>
      </c>
      <c r="D2674"/>
    </row>
    <row r="2675" spans="1:4" x14ac:dyDescent="0.3">
      <c r="A2675" s="4" t="s">
        <v>14</v>
      </c>
      <c r="B2675" s="4">
        <v>646</v>
      </c>
      <c r="D2675"/>
    </row>
    <row r="2676" spans="1:4" x14ac:dyDescent="0.3">
      <c r="A2676" s="4" t="s">
        <v>14</v>
      </c>
      <c r="B2676" s="4">
        <v>448</v>
      </c>
      <c r="D2676"/>
    </row>
    <row r="2677" spans="1:4" x14ac:dyDescent="0.3">
      <c r="A2677" s="4" t="s">
        <v>10</v>
      </c>
      <c r="B2677" s="4">
        <v>348</v>
      </c>
      <c r="D2677"/>
    </row>
    <row r="2678" spans="1:4" x14ac:dyDescent="0.3">
      <c r="A2678" s="4" t="s">
        <v>17</v>
      </c>
      <c r="B2678" s="4">
        <v>131</v>
      </c>
      <c r="D2678"/>
    </row>
    <row r="2679" spans="1:4" x14ac:dyDescent="0.3">
      <c r="A2679" s="4" t="s">
        <v>12</v>
      </c>
      <c r="B2679" s="4">
        <v>190</v>
      </c>
      <c r="D2679"/>
    </row>
    <row r="2680" spans="1:4" x14ac:dyDescent="0.3">
      <c r="A2680" s="4" t="s">
        <v>12</v>
      </c>
      <c r="B2680" s="4">
        <v>732</v>
      </c>
      <c r="D2680"/>
    </row>
    <row r="2681" spans="1:4" x14ac:dyDescent="0.3">
      <c r="A2681" s="4" t="s">
        <v>17</v>
      </c>
      <c r="B2681" s="4">
        <v>950</v>
      </c>
      <c r="D2681"/>
    </row>
    <row r="2682" spans="1:4" x14ac:dyDescent="0.3">
      <c r="A2682" s="4" t="s">
        <v>6</v>
      </c>
      <c r="B2682" s="4">
        <v>353</v>
      </c>
      <c r="D2682"/>
    </row>
    <row r="2683" spans="1:4" x14ac:dyDescent="0.3">
      <c r="A2683" s="4" t="s">
        <v>19</v>
      </c>
      <c r="B2683" s="4">
        <v>609</v>
      </c>
      <c r="D2683"/>
    </row>
    <row r="2684" spans="1:4" x14ac:dyDescent="0.3">
      <c r="A2684" s="4" t="s">
        <v>4</v>
      </c>
      <c r="B2684" s="4" t="e">
        <v>#REF!</v>
      </c>
      <c r="D2684"/>
    </row>
    <row r="2685" spans="1:4" x14ac:dyDescent="0.3">
      <c r="A2685" s="4" t="s">
        <v>16</v>
      </c>
      <c r="B2685" s="4">
        <v>705</v>
      </c>
      <c r="D2685"/>
    </row>
    <row r="2686" spans="1:4" x14ac:dyDescent="0.3">
      <c r="A2686" s="4" t="s">
        <v>18</v>
      </c>
      <c r="B2686" s="4">
        <v>711</v>
      </c>
      <c r="D2686"/>
    </row>
    <row r="2687" spans="1:4" x14ac:dyDescent="0.3">
      <c r="A2687" s="4" t="s">
        <v>4</v>
      </c>
      <c r="B2687" s="4">
        <v>869</v>
      </c>
      <c r="D2687"/>
    </row>
    <row r="2688" spans="1:4" x14ac:dyDescent="0.3">
      <c r="A2688" s="4" t="s">
        <v>8</v>
      </c>
      <c r="B2688" s="4">
        <v>878</v>
      </c>
      <c r="D2688"/>
    </row>
    <row r="2689" spans="1:4" x14ac:dyDescent="0.3">
      <c r="A2689" s="4" t="s">
        <v>18</v>
      </c>
      <c r="B2689" s="4">
        <v>789</v>
      </c>
      <c r="D2689"/>
    </row>
    <row r="2690" spans="1:4" x14ac:dyDescent="0.3">
      <c r="A2690" s="4" t="s">
        <v>10</v>
      </c>
      <c r="B2690" s="4">
        <v>979</v>
      </c>
      <c r="D2690"/>
    </row>
    <row r="2691" spans="1:4" x14ac:dyDescent="0.3">
      <c r="A2691" s="4" t="s">
        <v>13</v>
      </c>
      <c r="B2691" s="4">
        <v>244</v>
      </c>
      <c r="D2691"/>
    </row>
    <row r="2692" spans="1:4" x14ac:dyDescent="0.3">
      <c r="A2692" s="4" t="s">
        <v>9</v>
      </c>
      <c r="B2692" s="4">
        <v>481</v>
      </c>
      <c r="D2692"/>
    </row>
    <row r="2693" spans="1:4" x14ac:dyDescent="0.3">
      <c r="A2693" s="4" t="s">
        <v>8</v>
      </c>
      <c r="B2693" s="4">
        <v>152</v>
      </c>
      <c r="D2693"/>
    </row>
    <row r="2694" spans="1:4" x14ac:dyDescent="0.3">
      <c r="A2694" s="4" t="s">
        <v>3</v>
      </c>
      <c r="B2694" s="4">
        <v>566</v>
      </c>
      <c r="D2694"/>
    </row>
    <row r="2695" spans="1:4" x14ac:dyDescent="0.3">
      <c r="A2695" s="4" t="s">
        <v>11</v>
      </c>
      <c r="B2695" s="4">
        <v>507</v>
      </c>
      <c r="D2695"/>
    </row>
    <row r="2696" spans="1:4" x14ac:dyDescent="0.3">
      <c r="A2696" s="4" t="s">
        <v>7</v>
      </c>
      <c r="B2696" s="4">
        <v>645</v>
      </c>
      <c r="D2696"/>
    </row>
    <row r="2697" spans="1:4" x14ac:dyDescent="0.3">
      <c r="A2697" s="4" t="s">
        <v>19</v>
      </c>
      <c r="B2697" s="4">
        <v>714</v>
      </c>
      <c r="D2697"/>
    </row>
    <row r="2698" spans="1:4" x14ac:dyDescent="0.3">
      <c r="A2698" s="4" t="s">
        <v>18</v>
      </c>
      <c r="B2698" s="4">
        <v>737</v>
      </c>
      <c r="D2698"/>
    </row>
    <row r="2699" spans="1:4" x14ac:dyDescent="0.3">
      <c r="A2699" s="4" t="s">
        <v>18</v>
      </c>
      <c r="B2699" s="4">
        <v>581</v>
      </c>
      <c r="D2699"/>
    </row>
    <row r="2700" spans="1:4" x14ac:dyDescent="0.3">
      <c r="A2700" s="4" t="s">
        <v>4</v>
      </c>
      <c r="B2700" s="4">
        <v>621</v>
      </c>
      <c r="D2700"/>
    </row>
    <row r="2701" spans="1:4" x14ac:dyDescent="0.3">
      <c r="A2701" s="4" t="s">
        <v>8</v>
      </c>
      <c r="B2701" s="4">
        <v>322</v>
      </c>
      <c r="D2701"/>
    </row>
    <row r="2702" spans="1:4" x14ac:dyDescent="0.3">
      <c r="A2702" s="4" t="s">
        <v>19</v>
      </c>
      <c r="B2702" s="4">
        <v>731</v>
      </c>
      <c r="D2702"/>
    </row>
    <row r="2703" spans="1:4" x14ac:dyDescent="0.3">
      <c r="A2703" s="4" t="s">
        <v>15</v>
      </c>
      <c r="B2703" s="4">
        <v>765</v>
      </c>
      <c r="D2703"/>
    </row>
    <row r="2704" spans="1:4" x14ac:dyDescent="0.3">
      <c r="A2704" s="4" t="s">
        <v>4</v>
      </c>
      <c r="B2704" s="4">
        <v>351</v>
      </c>
      <c r="D2704"/>
    </row>
    <row r="2705" spans="1:4" x14ac:dyDescent="0.3">
      <c r="A2705" s="4" t="s">
        <v>3</v>
      </c>
      <c r="B2705" s="4">
        <v>548</v>
      </c>
      <c r="D2705"/>
    </row>
    <row r="2706" spans="1:4" x14ac:dyDescent="0.3">
      <c r="A2706" s="4" t="s">
        <v>19</v>
      </c>
      <c r="B2706" s="4">
        <v>584</v>
      </c>
      <c r="D2706"/>
    </row>
    <row r="2707" spans="1:4" x14ac:dyDescent="0.3">
      <c r="A2707" s="4" t="s">
        <v>6</v>
      </c>
      <c r="B2707" s="4">
        <v>385</v>
      </c>
      <c r="D2707"/>
    </row>
    <row r="2708" spans="1:4" x14ac:dyDescent="0.3">
      <c r="A2708" s="4" t="s">
        <v>8</v>
      </c>
      <c r="B2708" s="4">
        <v>605</v>
      </c>
      <c r="D2708"/>
    </row>
    <row r="2709" spans="1:4" x14ac:dyDescent="0.3">
      <c r="A2709" s="4" t="s">
        <v>19</v>
      </c>
      <c r="B2709" s="4">
        <v>51</v>
      </c>
      <c r="D2709"/>
    </row>
    <row r="2710" spans="1:4" x14ac:dyDescent="0.3">
      <c r="A2710" s="4" t="s">
        <v>8</v>
      </c>
      <c r="B2710" s="4">
        <v>175</v>
      </c>
      <c r="D2710"/>
    </row>
    <row r="2711" spans="1:4" x14ac:dyDescent="0.3">
      <c r="A2711" s="4" t="s">
        <v>18</v>
      </c>
      <c r="B2711" s="4">
        <v>435</v>
      </c>
      <c r="D2711"/>
    </row>
    <row r="2712" spans="1:4" x14ac:dyDescent="0.3">
      <c r="A2712" s="4" t="s">
        <v>17</v>
      </c>
      <c r="B2712" s="4">
        <v>600</v>
      </c>
      <c r="D2712"/>
    </row>
    <row r="2713" spans="1:4" x14ac:dyDescent="0.3">
      <c r="A2713" s="4" t="s">
        <v>19</v>
      </c>
      <c r="B2713" s="4">
        <v>727</v>
      </c>
      <c r="D2713"/>
    </row>
    <row r="2714" spans="1:4" x14ac:dyDescent="0.3">
      <c r="A2714" s="4" t="s">
        <v>17</v>
      </c>
      <c r="B2714" s="4">
        <v>440</v>
      </c>
      <c r="D2714"/>
    </row>
    <row r="2715" spans="1:4" x14ac:dyDescent="0.3">
      <c r="A2715" s="4" t="s">
        <v>17</v>
      </c>
      <c r="B2715" s="4">
        <v>561</v>
      </c>
      <c r="D2715"/>
    </row>
    <row r="2716" spans="1:4" x14ac:dyDescent="0.3">
      <c r="A2716" s="4" t="s">
        <v>10</v>
      </c>
      <c r="B2716" s="4">
        <v>512</v>
      </c>
      <c r="D2716"/>
    </row>
    <row r="2717" spans="1:4" x14ac:dyDescent="0.3">
      <c r="A2717" s="4" t="s">
        <v>10</v>
      </c>
      <c r="B2717" s="6">
        <v>904</v>
      </c>
      <c r="D2717"/>
    </row>
    <row r="2718" spans="1:4" x14ac:dyDescent="0.3">
      <c r="A2718" s="4" t="s">
        <v>10</v>
      </c>
      <c r="B2718" s="4">
        <v>513</v>
      </c>
      <c r="D2718"/>
    </row>
    <row r="2719" spans="1:4" x14ac:dyDescent="0.3">
      <c r="A2719" s="4" t="s">
        <v>3</v>
      </c>
      <c r="B2719" s="4">
        <v>285</v>
      </c>
      <c r="D2719"/>
    </row>
    <row r="2720" spans="1:4" x14ac:dyDescent="0.3">
      <c r="A2720" s="4" t="s">
        <v>19</v>
      </c>
      <c r="B2720" s="4">
        <v>996</v>
      </c>
      <c r="D2720"/>
    </row>
    <row r="2721" spans="1:4" x14ac:dyDescent="0.3">
      <c r="A2721" s="4" t="s">
        <v>6</v>
      </c>
      <c r="B2721" s="4">
        <v>152</v>
      </c>
      <c r="D2721"/>
    </row>
    <row r="2722" spans="1:4" x14ac:dyDescent="0.3">
      <c r="A2722" s="4" t="s">
        <v>14</v>
      </c>
      <c r="B2722" s="4">
        <v>702</v>
      </c>
      <c r="D2722"/>
    </row>
    <row r="2723" spans="1:4" x14ac:dyDescent="0.3">
      <c r="A2723" s="4" t="s">
        <v>15</v>
      </c>
      <c r="B2723" s="4">
        <v>813</v>
      </c>
      <c r="D2723"/>
    </row>
    <row r="2724" spans="1:4" x14ac:dyDescent="0.3">
      <c r="A2724" s="4" t="s">
        <v>17</v>
      </c>
      <c r="B2724" s="4">
        <v>824</v>
      </c>
      <c r="D2724"/>
    </row>
    <row r="2725" spans="1:4" x14ac:dyDescent="0.3">
      <c r="A2725" s="4" t="s">
        <v>17</v>
      </c>
      <c r="B2725" s="4">
        <v>732</v>
      </c>
      <c r="D2725"/>
    </row>
    <row r="2726" spans="1:4" x14ac:dyDescent="0.3">
      <c r="A2726" s="4" t="s">
        <v>12</v>
      </c>
      <c r="B2726" s="4">
        <v>899</v>
      </c>
      <c r="D2726"/>
    </row>
    <row r="2727" spans="1:4" x14ac:dyDescent="0.3">
      <c r="A2727" s="4" t="s">
        <v>6</v>
      </c>
      <c r="B2727" s="4">
        <v>284</v>
      </c>
      <c r="D2727"/>
    </row>
    <row r="2728" spans="1:4" x14ac:dyDescent="0.3">
      <c r="A2728" s="4" t="s">
        <v>15</v>
      </c>
      <c r="B2728" s="4">
        <v>665</v>
      </c>
      <c r="D2728"/>
    </row>
    <row r="2729" spans="1:4" x14ac:dyDescent="0.3">
      <c r="A2729" s="4" t="s">
        <v>12</v>
      </c>
      <c r="B2729" s="4">
        <v>225</v>
      </c>
      <c r="D2729"/>
    </row>
    <row r="2730" spans="1:4" x14ac:dyDescent="0.3">
      <c r="A2730" s="4" t="s">
        <v>12</v>
      </c>
      <c r="B2730" s="4">
        <v>572</v>
      </c>
      <c r="D2730"/>
    </row>
    <row r="2731" spans="1:4" x14ac:dyDescent="0.3">
      <c r="A2731" s="4" t="s">
        <v>9</v>
      </c>
      <c r="B2731" s="4">
        <v>37</v>
      </c>
      <c r="D2731"/>
    </row>
    <row r="2732" spans="1:4" x14ac:dyDescent="0.3">
      <c r="A2732" s="4" t="s">
        <v>19</v>
      </c>
      <c r="B2732" s="4">
        <v>945</v>
      </c>
      <c r="D2732"/>
    </row>
    <row r="2733" spans="1:4" x14ac:dyDescent="0.3">
      <c r="A2733" s="4" t="s">
        <v>10</v>
      </c>
      <c r="B2733" s="4">
        <v>913</v>
      </c>
      <c r="D2733"/>
    </row>
    <row r="2734" spans="1:4" x14ac:dyDescent="0.3">
      <c r="A2734" s="4" t="s">
        <v>6</v>
      </c>
      <c r="B2734" s="4">
        <v>59</v>
      </c>
      <c r="D2734"/>
    </row>
    <row r="2735" spans="1:4" x14ac:dyDescent="0.3">
      <c r="A2735" s="4" t="s">
        <v>6</v>
      </c>
      <c r="B2735" s="4">
        <v>528</v>
      </c>
      <c r="D2735"/>
    </row>
    <row r="2736" spans="1:4" x14ac:dyDescent="0.3">
      <c r="A2736" s="4" t="s">
        <v>18</v>
      </c>
      <c r="B2736" s="4">
        <v>428</v>
      </c>
      <c r="D2736"/>
    </row>
    <row r="2737" spans="1:4" x14ac:dyDescent="0.3">
      <c r="A2737" s="4" t="s">
        <v>15</v>
      </c>
      <c r="B2737" s="4">
        <v>440</v>
      </c>
      <c r="D2737"/>
    </row>
    <row r="2738" spans="1:4" x14ac:dyDescent="0.3">
      <c r="A2738" s="4" t="s">
        <v>7</v>
      </c>
      <c r="B2738" s="4">
        <v>548</v>
      </c>
      <c r="D2738"/>
    </row>
    <row r="2739" spans="1:4" x14ac:dyDescent="0.3">
      <c r="A2739" s="4" t="s">
        <v>14</v>
      </c>
      <c r="B2739" s="4">
        <v>935</v>
      </c>
      <c r="D2739"/>
    </row>
    <row r="2740" spans="1:4" x14ac:dyDescent="0.3">
      <c r="A2740" s="4" t="s">
        <v>6</v>
      </c>
      <c r="B2740" s="4">
        <v>730</v>
      </c>
      <c r="D2740"/>
    </row>
    <row r="2741" spans="1:4" x14ac:dyDescent="0.3">
      <c r="A2741" s="4" t="s">
        <v>17</v>
      </c>
      <c r="B2741" s="4">
        <v>483</v>
      </c>
      <c r="D2741"/>
    </row>
    <row r="2742" spans="1:4" x14ac:dyDescent="0.3">
      <c r="A2742" s="4" t="s">
        <v>15</v>
      </c>
      <c r="B2742" s="4">
        <v>417</v>
      </c>
      <c r="D2742"/>
    </row>
    <row r="2743" spans="1:4" x14ac:dyDescent="0.3">
      <c r="A2743" s="4" t="s">
        <v>13</v>
      </c>
      <c r="B2743" s="4">
        <v>869</v>
      </c>
      <c r="D2743"/>
    </row>
    <row r="2744" spans="1:4" x14ac:dyDescent="0.3">
      <c r="A2744" s="4" t="s">
        <v>7</v>
      </c>
      <c r="B2744" s="4">
        <v>810</v>
      </c>
      <c r="D2744"/>
    </row>
    <row r="2745" spans="1:4" x14ac:dyDescent="0.3">
      <c r="A2745" s="4" t="s">
        <v>12</v>
      </c>
      <c r="B2745" s="4">
        <v>65</v>
      </c>
      <c r="D2745"/>
    </row>
    <row r="2746" spans="1:4" x14ac:dyDescent="0.3">
      <c r="A2746" s="4" t="s">
        <v>9</v>
      </c>
      <c r="B2746" s="4">
        <v>863</v>
      </c>
      <c r="D2746"/>
    </row>
    <row r="2747" spans="1:4" x14ac:dyDescent="0.3">
      <c r="A2747" s="4" t="s">
        <v>4</v>
      </c>
      <c r="B2747" s="4">
        <v>336</v>
      </c>
      <c r="D2747"/>
    </row>
    <row r="2748" spans="1:4" x14ac:dyDescent="0.3">
      <c r="A2748" s="4" t="s">
        <v>10</v>
      </c>
      <c r="B2748" s="4">
        <v>356</v>
      </c>
      <c r="D2748"/>
    </row>
    <row r="2749" spans="1:4" x14ac:dyDescent="0.3">
      <c r="A2749" s="4" t="s">
        <v>9</v>
      </c>
      <c r="B2749" s="4">
        <v>175</v>
      </c>
      <c r="D2749"/>
    </row>
    <row r="2750" spans="1:4" x14ac:dyDescent="0.3">
      <c r="A2750" s="4" t="s">
        <v>16</v>
      </c>
      <c r="B2750" s="4">
        <v>373</v>
      </c>
      <c r="D2750"/>
    </row>
    <row r="2751" spans="1:4" x14ac:dyDescent="0.3">
      <c r="A2751" s="4" t="s">
        <v>10</v>
      </c>
      <c r="B2751" s="4">
        <v>436</v>
      </c>
      <c r="D2751"/>
    </row>
    <row r="2752" spans="1:4" x14ac:dyDescent="0.3">
      <c r="A2752" s="4" t="s">
        <v>4</v>
      </c>
      <c r="B2752" s="4">
        <v>670</v>
      </c>
      <c r="D2752"/>
    </row>
    <row r="2753" spans="1:4" x14ac:dyDescent="0.3">
      <c r="A2753" s="4" t="s">
        <v>4</v>
      </c>
      <c r="B2753" s="6">
        <v>235</v>
      </c>
      <c r="D2753"/>
    </row>
    <row r="2754" spans="1:4" x14ac:dyDescent="0.3">
      <c r="A2754" s="4" t="s">
        <v>19</v>
      </c>
      <c r="B2754" s="4">
        <v>457</v>
      </c>
      <c r="D2754"/>
    </row>
    <row r="2755" spans="1:4" x14ac:dyDescent="0.3">
      <c r="A2755" s="4" t="s">
        <v>13</v>
      </c>
      <c r="B2755" s="4">
        <v>758</v>
      </c>
      <c r="D2755"/>
    </row>
    <row r="2756" spans="1:4" x14ac:dyDescent="0.3">
      <c r="A2756" s="4" t="s">
        <v>19</v>
      </c>
      <c r="B2756" s="4">
        <v>866</v>
      </c>
      <c r="D2756"/>
    </row>
    <row r="2757" spans="1:4" x14ac:dyDescent="0.3">
      <c r="A2757" s="4" t="s">
        <v>18</v>
      </c>
      <c r="B2757" s="4">
        <v>926</v>
      </c>
      <c r="D2757"/>
    </row>
    <row r="2758" spans="1:4" x14ac:dyDescent="0.3">
      <c r="A2758" s="4" t="s">
        <v>10</v>
      </c>
      <c r="B2758" s="4">
        <v>795</v>
      </c>
      <c r="D2758"/>
    </row>
    <row r="2759" spans="1:4" x14ac:dyDescent="0.3">
      <c r="A2759" s="4" t="s">
        <v>4</v>
      </c>
      <c r="B2759" s="4">
        <v>195</v>
      </c>
      <c r="D2759"/>
    </row>
    <row r="2760" spans="1:4" x14ac:dyDescent="0.3">
      <c r="A2760" s="4" t="s">
        <v>10</v>
      </c>
      <c r="B2760" s="4">
        <v>276</v>
      </c>
      <c r="D2760"/>
    </row>
    <row r="2761" spans="1:4" x14ac:dyDescent="0.3">
      <c r="A2761" s="4" t="s">
        <v>3</v>
      </c>
      <c r="B2761" s="4">
        <v>684</v>
      </c>
      <c r="D2761"/>
    </row>
    <row r="2762" spans="1:4" x14ac:dyDescent="0.3">
      <c r="A2762" s="4" t="s">
        <v>4</v>
      </c>
      <c r="B2762" s="4">
        <v>174</v>
      </c>
      <c r="D2762"/>
    </row>
    <row r="2763" spans="1:4" x14ac:dyDescent="0.3">
      <c r="A2763" s="4" t="s">
        <v>10</v>
      </c>
      <c r="B2763" s="4">
        <v>201</v>
      </c>
      <c r="D2763"/>
    </row>
    <row r="2764" spans="1:4" x14ac:dyDescent="0.3">
      <c r="A2764" s="4" t="s">
        <v>16</v>
      </c>
      <c r="B2764" s="4">
        <v>490</v>
      </c>
      <c r="D2764"/>
    </row>
    <row r="2765" spans="1:4" x14ac:dyDescent="0.3">
      <c r="A2765" s="4" t="s">
        <v>10</v>
      </c>
      <c r="B2765" s="4">
        <v>130</v>
      </c>
      <c r="D2765"/>
    </row>
    <row r="2766" spans="1:4" x14ac:dyDescent="0.3">
      <c r="A2766" s="4" t="s">
        <v>13</v>
      </c>
      <c r="B2766" s="4">
        <v>740</v>
      </c>
      <c r="D2766"/>
    </row>
    <row r="2767" spans="1:4" x14ac:dyDescent="0.3">
      <c r="A2767" s="4" t="s">
        <v>8</v>
      </c>
      <c r="B2767" s="4">
        <v>717</v>
      </c>
      <c r="D2767"/>
    </row>
    <row r="2768" spans="1:4" x14ac:dyDescent="0.3">
      <c r="A2768" s="4" t="s">
        <v>17</v>
      </c>
      <c r="B2768" s="4" t="e">
        <v>#REF!</v>
      </c>
      <c r="D2768"/>
    </row>
    <row r="2769" spans="1:4" x14ac:dyDescent="0.3">
      <c r="A2769" s="4" t="s">
        <v>13</v>
      </c>
      <c r="B2769" s="4">
        <v>124</v>
      </c>
      <c r="D2769"/>
    </row>
    <row r="2770" spans="1:4" x14ac:dyDescent="0.3">
      <c r="A2770" s="4" t="s">
        <v>9</v>
      </c>
      <c r="B2770" s="4">
        <v>273</v>
      </c>
      <c r="D2770"/>
    </row>
    <row r="2771" spans="1:4" x14ac:dyDescent="0.3">
      <c r="A2771" s="4" t="s">
        <v>14</v>
      </c>
      <c r="B2771" s="4">
        <v>543</v>
      </c>
      <c r="D2771"/>
    </row>
    <row r="2772" spans="1:4" x14ac:dyDescent="0.3">
      <c r="A2772" s="4" t="s">
        <v>13</v>
      </c>
      <c r="B2772" s="4">
        <v>604</v>
      </c>
      <c r="D2772"/>
    </row>
    <row r="2773" spans="1:4" x14ac:dyDescent="0.3">
      <c r="A2773" s="4" t="s">
        <v>11</v>
      </c>
      <c r="B2773" s="4">
        <v>904</v>
      </c>
      <c r="D2773"/>
    </row>
    <row r="2774" spans="1:4" x14ac:dyDescent="0.3">
      <c r="A2774" s="4" t="s">
        <v>18</v>
      </c>
      <c r="B2774" s="4">
        <v>104</v>
      </c>
      <c r="D2774"/>
    </row>
    <row r="2775" spans="1:4" x14ac:dyDescent="0.3">
      <c r="A2775" s="4" t="s">
        <v>10</v>
      </c>
      <c r="B2775" s="4">
        <v>195</v>
      </c>
      <c r="D2775"/>
    </row>
    <row r="2776" spans="1:4" x14ac:dyDescent="0.3">
      <c r="A2776" s="4" t="s">
        <v>9</v>
      </c>
      <c r="B2776" s="4">
        <v>200</v>
      </c>
      <c r="D2776"/>
    </row>
    <row r="2777" spans="1:4" x14ac:dyDescent="0.3">
      <c r="A2777" s="4" t="s">
        <v>4</v>
      </c>
      <c r="B2777" s="4">
        <v>506</v>
      </c>
      <c r="D2777"/>
    </row>
    <row r="2778" spans="1:4" x14ac:dyDescent="0.3">
      <c r="A2778" s="4" t="s">
        <v>11</v>
      </c>
      <c r="B2778" s="4">
        <v>495</v>
      </c>
      <c r="D2778"/>
    </row>
    <row r="2779" spans="1:4" x14ac:dyDescent="0.3">
      <c r="A2779" s="4" t="s">
        <v>10</v>
      </c>
      <c r="B2779" s="4">
        <v>926</v>
      </c>
      <c r="D2779"/>
    </row>
    <row r="2780" spans="1:4" x14ac:dyDescent="0.3">
      <c r="A2780" s="4" t="s">
        <v>4</v>
      </c>
      <c r="B2780" s="4">
        <v>614</v>
      </c>
      <c r="D2780"/>
    </row>
    <row r="2781" spans="1:4" x14ac:dyDescent="0.3">
      <c r="A2781" s="4" t="s">
        <v>14</v>
      </c>
      <c r="B2781" s="4">
        <v>463</v>
      </c>
      <c r="D2781"/>
    </row>
    <row r="2782" spans="1:4" x14ac:dyDescent="0.3">
      <c r="A2782" s="4" t="s">
        <v>3</v>
      </c>
      <c r="B2782" s="4">
        <v>434</v>
      </c>
      <c r="D2782"/>
    </row>
    <row r="2783" spans="1:4" x14ac:dyDescent="0.3">
      <c r="A2783" s="4" t="s">
        <v>7</v>
      </c>
      <c r="B2783" s="4">
        <v>211</v>
      </c>
      <c r="D2783"/>
    </row>
    <row r="2784" spans="1:4" x14ac:dyDescent="0.3">
      <c r="A2784" s="4" t="s">
        <v>4</v>
      </c>
      <c r="B2784" s="4">
        <v>379</v>
      </c>
      <c r="D2784"/>
    </row>
    <row r="2785" spans="1:4" x14ac:dyDescent="0.3">
      <c r="A2785" s="4" t="s">
        <v>15</v>
      </c>
      <c r="B2785" s="4">
        <v>543</v>
      </c>
      <c r="D2785"/>
    </row>
    <row r="2786" spans="1:4" x14ac:dyDescent="0.3">
      <c r="A2786" s="4" t="s">
        <v>18</v>
      </c>
      <c r="B2786" s="4">
        <v>979</v>
      </c>
      <c r="D2786"/>
    </row>
    <row r="2787" spans="1:4" x14ac:dyDescent="0.3">
      <c r="A2787" s="4" t="s">
        <v>4</v>
      </c>
      <c r="B2787" s="4">
        <v>625</v>
      </c>
      <c r="D2787"/>
    </row>
    <row r="2788" spans="1:4" x14ac:dyDescent="0.3">
      <c r="A2788" s="4" t="s">
        <v>12</v>
      </c>
      <c r="B2788" s="4">
        <v>126</v>
      </c>
      <c r="D2788"/>
    </row>
    <row r="2789" spans="1:4" x14ac:dyDescent="0.3">
      <c r="A2789" s="4" t="s">
        <v>18</v>
      </c>
      <c r="B2789" s="4">
        <v>308</v>
      </c>
      <c r="D2789"/>
    </row>
    <row r="2790" spans="1:4" x14ac:dyDescent="0.3">
      <c r="A2790" s="4" t="s">
        <v>3</v>
      </c>
      <c r="B2790" s="4">
        <v>472</v>
      </c>
      <c r="D2790"/>
    </row>
    <row r="2791" spans="1:4" x14ac:dyDescent="0.3">
      <c r="A2791" s="4" t="s">
        <v>14</v>
      </c>
      <c r="B2791" s="4">
        <v>689</v>
      </c>
      <c r="D2791"/>
    </row>
    <row r="2792" spans="1:4" x14ac:dyDescent="0.3">
      <c r="A2792" s="4" t="s">
        <v>18</v>
      </c>
      <c r="B2792" s="4">
        <v>178</v>
      </c>
      <c r="D2792"/>
    </row>
    <row r="2793" spans="1:4" x14ac:dyDescent="0.3">
      <c r="A2793" s="4" t="s">
        <v>10</v>
      </c>
      <c r="B2793" s="4">
        <v>541</v>
      </c>
      <c r="D2793"/>
    </row>
    <row r="2794" spans="1:4" x14ac:dyDescent="0.3">
      <c r="A2794" s="4" t="s">
        <v>13</v>
      </c>
      <c r="B2794" s="4">
        <v>795</v>
      </c>
      <c r="D2794"/>
    </row>
    <row r="2795" spans="1:4" x14ac:dyDescent="0.3">
      <c r="A2795" s="4" t="s">
        <v>7</v>
      </c>
      <c r="B2795" s="4">
        <v>349</v>
      </c>
      <c r="D2795"/>
    </row>
    <row r="2796" spans="1:4" x14ac:dyDescent="0.3">
      <c r="A2796" s="4" t="s">
        <v>18</v>
      </c>
      <c r="B2796" s="4">
        <v>405</v>
      </c>
      <c r="D2796"/>
    </row>
    <row r="2797" spans="1:4" x14ac:dyDescent="0.3">
      <c r="A2797" s="4" t="s">
        <v>4</v>
      </c>
      <c r="B2797" s="4">
        <v>320</v>
      </c>
      <c r="D2797"/>
    </row>
    <row r="2798" spans="1:4" x14ac:dyDescent="0.3">
      <c r="A2798" s="4" t="s">
        <v>3</v>
      </c>
      <c r="B2798" s="4">
        <v>788</v>
      </c>
      <c r="D2798"/>
    </row>
    <row r="2799" spans="1:4" x14ac:dyDescent="0.3">
      <c r="A2799" s="4" t="s">
        <v>9</v>
      </c>
      <c r="B2799" s="4">
        <v>840</v>
      </c>
      <c r="D2799"/>
    </row>
    <row r="2800" spans="1:4" x14ac:dyDescent="0.3">
      <c r="A2800" s="4" t="s">
        <v>6</v>
      </c>
      <c r="B2800" s="4">
        <v>246</v>
      </c>
      <c r="D2800"/>
    </row>
    <row r="2801" spans="1:4" x14ac:dyDescent="0.3">
      <c r="A2801" s="4" t="s">
        <v>16</v>
      </c>
      <c r="B2801" s="4">
        <v>593</v>
      </c>
      <c r="D2801"/>
    </row>
    <row r="2802" spans="1:4" x14ac:dyDescent="0.3">
      <c r="A2802" s="4" t="s">
        <v>10</v>
      </c>
      <c r="B2802" s="4">
        <v>702</v>
      </c>
      <c r="D2802"/>
    </row>
    <row r="2803" spans="1:4" x14ac:dyDescent="0.3">
      <c r="A2803" s="4" t="s">
        <v>14</v>
      </c>
      <c r="B2803" s="4">
        <v>655</v>
      </c>
      <c r="D2803"/>
    </row>
    <row r="2804" spans="1:4" x14ac:dyDescent="0.3">
      <c r="A2804" s="4" t="s">
        <v>10</v>
      </c>
      <c r="B2804" s="4">
        <v>535</v>
      </c>
      <c r="D2804"/>
    </row>
    <row r="2805" spans="1:4" x14ac:dyDescent="0.3">
      <c r="A2805" s="4" t="s">
        <v>17</v>
      </c>
      <c r="B2805" s="4">
        <v>867</v>
      </c>
      <c r="D2805"/>
    </row>
    <row r="2806" spans="1:4" x14ac:dyDescent="0.3">
      <c r="A2806" s="4" t="s">
        <v>16</v>
      </c>
      <c r="B2806" s="4">
        <v>873</v>
      </c>
      <c r="D2806"/>
    </row>
    <row r="2807" spans="1:4" x14ac:dyDescent="0.3">
      <c r="A2807" s="4" t="s">
        <v>19</v>
      </c>
      <c r="B2807" s="4">
        <v>558</v>
      </c>
      <c r="D2807"/>
    </row>
    <row r="2808" spans="1:4" x14ac:dyDescent="0.3">
      <c r="A2808" s="4" t="s">
        <v>8</v>
      </c>
      <c r="B2808" s="4">
        <v>781</v>
      </c>
      <c r="D2808"/>
    </row>
    <row r="2809" spans="1:4" x14ac:dyDescent="0.3">
      <c r="A2809" s="4" t="s">
        <v>10</v>
      </c>
      <c r="B2809" s="4">
        <v>414</v>
      </c>
      <c r="D2809"/>
    </row>
    <row r="2810" spans="1:4" x14ac:dyDescent="0.3">
      <c r="A2810" s="4" t="s">
        <v>6</v>
      </c>
      <c r="B2810" s="4">
        <v>445</v>
      </c>
      <c r="D2810"/>
    </row>
    <row r="2811" spans="1:4" x14ac:dyDescent="0.3">
      <c r="A2811" s="4" t="s">
        <v>16</v>
      </c>
      <c r="B2811" s="4">
        <v>746</v>
      </c>
      <c r="D2811"/>
    </row>
    <row r="2812" spans="1:4" x14ac:dyDescent="0.3">
      <c r="A2812" s="4" t="s">
        <v>9</v>
      </c>
      <c r="B2812" s="4" t="e">
        <v>#REF!</v>
      </c>
      <c r="D2812"/>
    </row>
    <row r="2813" spans="1:4" x14ac:dyDescent="0.3">
      <c r="A2813" s="4" t="s">
        <v>19</v>
      </c>
      <c r="B2813" s="4">
        <v>880</v>
      </c>
      <c r="D2813"/>
    </row>
    <row r="2814" spans="1:4" x14ac:dyDescent="0.3">
      <c r="A2814" s="4" t="s">
        <v>14</v>
      </c>
      <c r="B2814" s="4">
        <v>269</v>
      </c>
      <c r="D2814"/>
    </row>
    <row r="2815" spans="1:4" x14ac:dyDescent="0.3">
      <c r="A2815" s="4" t="s">
        <v>10</v>
      </c>
      <c r="B2815" s="4">
        <v>668</v>
      </c>
      <c r="D2815"/>
    </row>
    <row r="2816" spans="1:4" x14ac:dyDescent="0.3">
      <c r="A2816" s="4" t="s">
        <v>4</v>
      </c>
      <c r="B2816" s="4">
        <v>763</v>
      </c>
      <c r="D2816"/>
    </row>
    <row r="2817" spans="1:4" x14ac:dyDescent="0.3">
      <c r="A2817" s="4" t="s">
        <v>6</v>
      </c>
      <c r="B2817" s="4">
        <v>857</v>
      </c>
      <c r="D2817"/>
    </row>
    <row r="2818" spans="1:4" x14ac:dyDescent="0.3">
      <c r="A2818" s="4" t="s">
        <v>8</v>
      </c>
      <c r="B2818" s="4">
        <v>510</v>
      </c>
      <c r="D2818"/>
    </row>
    <row r="2819" spans="1:4" x14ac:dyDescent="0.3">
      <c r="A2819" s="4" t="s">
        <v>10</v>
      </c>
      <c r="B2819" s="4">
        <v>170</v>
      </c>
      <c r="D2819"/>
    </row>
    <row r="2820" spans="1:4" x14ac:dyDescent="0.3">
      <c r="A2820" s="4" t="s">
        <v>14</v>
      </c>
      <c r="B2820" s="4">
        <v>472</v>
      </c>
      <c r="D2820"/>
    </row>
    <row r="2821" spans="1:4" x14ac:dyDescent="0.3">
      <c r="A2821" s="4" t="s">
        <v>9</v>
      </c>
      <c r="B2821" s="4">
        <v>825</v>
      </c>
      <c r="D2821"/>
    </row>
    <row r="2822" spans="1:4" x14ac:dyDescent="0.3">
      <c r="A2822" s="4" t="s">
        <v>18</v>
      </c>
      <c r="B2822" s="4">
        <v>314</v>
      </c>
      <c r="D2822"/>
    </row>
    <row r="2823" spans="1:4" x14ac:dyDescent="0.3">
      <c r="A2823" s="4" t="s">
        <v>13</v>
      </c>
      <c r="B2823" s="4">
        <v>767</v>
      </c>
      <c r="D2823"/>
    </row>
    <row r="2824" spans="1:4" x14ac:dyDescent="0.3">
      <c r="A2824" s="4" t="s">
        <v>10</v>
      </c>
      <c r="B2824" s="4">
        <v>922</v>
      </c>
      <c r="D2824"/>
    </row>
    <row r="2825" spans="1:4" x14ac:dyDescent="0.3">
      <c r="A2825" s="4" t="s">
        <v>12</v>
      </c>
      <c r="B2825" s="4">
        <v>637</v>
      </c>
      <c r="D2825"/>
    </row>
    <row r="2826" spans="1:4" x14ac:dyDescent="0.3">
      <c r="A2826" s="4" t="s">
        <v>10</v>
      </c>
      <c r="B2826" s="4">
        <v>101</v>
      </c>
      <c r="D2826"/>
    </row>
    <row r="2827" spans="1:4" x14ac:dyDescent="0.3">
      <c r="A2827" s="4" t="s">
        <v>10</v>
      </c>
      <c r="B2827" s="4">
        <v>120</v>
      </c>
      <c r="D2827"/>
    </row>
    <row r="2828" spans="1:4" x14ac:dyDescent="0.3">
      <c r="A2828" s="4" t="s">
        <v>19</v>
      </c>
      <c r="B2828" s="4">
        <v>613</v>
      </c>
      <c r="D2828"/>
    </row>
    <row r="2829" spans="1:4" x14ac:dyDescent="0.3">
      <c r="A2829" s="4" t="s">
        <v>12</v>
      </c>
      <c r="B2829" s="4">
        <v>225</v>
      </c>
      <c r="D2829"/>
    </row>
    <row r="2830" spans="1:4" x14ac:dyDescent="0.3">
      <c r="A2830" s="4" t="s">
        <v>14</v>
      </c>
      <c r="B2830" s="4">
        <v>739</v>
      </c>
      <c r="D2830"/>
    </row>
    <row r="2831" spans="1:4" x14ac:dyDescent="0.3">
      <c r="A2831" s="4" t="s">
        <v>18</v>
      </c>
      <c r="B2831" s="4">
        <v>741</v>
      </c>
      <c r="D2831"/>
    </row>
    <row r="2832" spans="1:4" x14ac:dyDescent="0.3">
      <c r="A2832" s="4" t="s">
        <v>8</v>
      </c>
      <c r="B2832" s="4">
        <v>158</v>
      </c>
      <c r="D2832"/>
    </row>
    <row r="2833" spans="1:4" x14ac:dyDescent="0.3">
      <c r="A2833" s="4" t="s">
        <v>7</v>
      </c>
      <c r="B2833" s="4">
        <v>556</v>
      </c>
      <c r="D2833"/>
    </row>
    <row r="2834" spans="1:4" x14ac:dyDescent="0.3">
      <c r="A2834" s="4" t="s">
        <v>6</v>
      </c>
      <c r="B2834" s="4">
        <v>90</v>
      </c>
      <c r="D2834"/>
    </row>
    <row r="2835" spans="1:4" x14ac:dyDescent="0.3">
      <c r="A2835" s="4" t="s">
        <v>10</v>
      </c>
      <c r="B2835" s="4">
        <v>608</v>
      </c>
      <c r="D2835"/>
    </row>
    <row r="2836" spans="1:4" x14ac:dyDescent="0.3">
      <c r="A2836" s="4" t="s">
        <v>3</v>
      </c>
      <c r="B2836" s="4">
        <v>229</v>
      </c>
      <c r="D2836"/>
    </row>
    <row r="2837" spans="1:4" x14ac:dyDescent="0.3">
      <c r="A2837" s="4" t="s">
        <v>19</v>
      </c>
      <c r="B2837" s="4">
        <v>769</v>
      </c>
      <c r="D2837"/>
    </row>
    <row r="2838" spans="1:4" x14ac:dyDescent="0.3">
      <c r="A2838" s="4" t="s">
        <v>8</v>
      </c>
      <c r="B2838" s="4">
        <v>947</v>
      </c>
      <c r="D2838"/>
    </row>
    <row r="2839" spans="1:4" x14ac:dyDescent="0.3">
      <c r="A2839" s="4" t="s">
        <v>6</v>
      </c>
      <c r="B2839" s="4">
        <v>802</v>
      </c>
      <c r="D2839"/>
    </row>
    <row r="2840" spans="1:4" x14ac:dyDescent="0.3">
      <c r="A2840" s="4" t="s">
        <v>9</v>
      </c>
      <c r="B2840" s="4">
        <v>339</v>
      </c>
      <c r="D2840"/>
    </row>
    <row r="2841" spans="1:4" x14ac:dyDescent="0.3">
      <c r="A2841" s="4" t="s">
        <v>9</v>
      </c>
      <c r="B2841" s="4">
        <v>821</v>
      </c>
      <c r="D2841"/>
    </row>
    <row r="2842" spans="1:4" x14ac:dyDescent="0.3">
      <c r="A2842" s="4" t="s">
        <v>4</v>
      </c>
      <c r="B2842" s="4">
        <v>110</v>
      </c>
      <c r="D2842"/>
    </row>
    <row r="2843" spans="1:4" x14ac:dyDescent="0.3">
      <c r="A2843" s="4" t="s">
        <v>3</v>
      </c>
      <c r="B2843" s="4">
        <v>193</v>
      </c>
      <c r="D2843"/>
    </row>
    <row r="2844" spans="1:4" x14ac:dyDescent="0.3">
      <c r="A2844" s="4" t="s">
        <v>9</v>
      </c>
      <c r="B2844" s="4">
        <v>416</v>
      </c>
      <c r="D2844"/>
    </row>
    <row r="2845" spans="1:4" x14ac:dyDescent="0.3">
      <c r="A2845" s="4" t="s">
        <v>12</v>
      </c>
      <c r="B2845" s="4">
        <v>714</v>
      </c>
      <c r="D2845"/>
    </row>
    <row r="2846" spans="1:4" x14ac:dyDescent="0.3">
      <c r="A2846" s="4" t="s">
        <v>19</v>
      </c>
      <c r="B2846" s="4">
        <v>550</v>
      </c>
      <c r="D2846"/>
    </row>
    <row r="2847" spans="1:4" x14ac:dyDescent="0.3">
      <c r="A2847" s="4" t="s">
        <v>3</v>
      </c>
      <c r="B2847" s="4">
        <v>922</v>
      </c>
      <c r="D2847"/>
    </row>
    <row r="2848" spans="1:4" x14ac:dyDescent="0.3">
      <c r="A2848" s="4" t="s">
        <v>6</v>
      </c>
      <c r="B2848" s="4">
        <v>253</v>
      </c>
      <c r="D2848"/>
    </row>
    <row r="2849" spans="1:4" x14ac:dyDescent="0.3">
      <c r="A2849" s="4" t="s">
        <v>19</v>
      </c>
      <c r="B2849" s="4">
        <v>772</v>
      </c>
      <c r="D2849"/>
    </row>
    <row r="2850" spans="1:4" x14ac:dyDescent="0.3">
      <c r="A2850" s="4" t="s">
        <v>15</v>
      </c>
      <c r="B2850" s="4">
        <v>36</v>
      </c>
      <c r="D2850"/>
    </row>
    <row r="2851" spans="1:4" x14ac:dyDescent="0.3">
      <c r="A2851" s="4" t="s">
        <v>16</v>
      </c>
      <c r="B2851" s="4">
        <v>783</v>
      </c>
      <c r="D2851"/>
    </row>
    <row r="2852" spans="1:4" x14ac:dyDescent="0.3">
      <c r="A2852" s="4" t="s">
        <v>17</v>
      </c>
      <c r="B2852" s="4">
        <v>411</v>
      </c>
      <c r="D2852"/>
    </row>
    <row r="2853" spans="1:4" x14ac:dyDescent="0.3">
      <c r="A2853" s="4" t="s">
        <v>7</v>
      </c>
      <c r="B2853" s="4">
        <v>432</v>
      </c>
      <c r="D2853"/>
    </row>
    <row r="2854" spans="1:4" x14ac:dyDescent="0.3">
      <c r="A2854" s="4" t="s">
        <v>14</v>
      </c>
      <c r="B2854" s="4">
        <v>612</v>
      </c>
      <c r="D2854"/>
    </row>
    <row r="2855" spans="1:4" x14ac:dyDescent="0.3">
      <c r="A2855" s="4" t="s">
        <v>13</v>
      </c>
      <c r="B2855" s="4">
        <v>692</v>
      </c>
      <c r="D2855"/>
    </row>
    <row r="2856" spans="1:4" x14ac:dyDescent="0.3">
      <c r="A2856" s="4" t="s">
        <v>9</v>
      </c>
      <c r="B2856" s="4">
        <v>763</v>
      </c>
      <c r="D2856"/>
    </row>
    <row r="2857" spans="1:4" x14ac:dyDescent="0.3">
      <c r="A2857" s="4" t="s">
        <v>14</v>
      </c>
      <c r="B2857" s="4">
        <v>797</v>
      </c>
      <c r="D2857"/>
    </row>
    <row r="2858" spans="1:4" x14ac:dyDescent="0.3">
      <c r="A2858" s="4" t="s">
        <v>11</v>
      </c>
      <c r="B2858" s="4">
        <v>850</v>
      </c>
      <c r="D2858"/>
    </row>
    <row r="2859" spans="1:4" x14ac:dyDescent="0.3">
      <c r="A2859" s="4" t="s">
        <v>17</v>
      </c>
      <c r="B2859" s="4">
        <v>774</v>
      </c>
      <c r="D2859"/>
    </row>
    <row r="2860" spans="1:4" x14ac:dyDescent="0.3">
      <c r="A2860" s="4" t="s">
        <v>14</v>
      </c>
      <c r="B2860" s="4">
        <v>370</v>
      </c>
      <c r="D2860"/>
    </row>
    <row r="2861" spans="1:4" x14ac:dyDescent="0.3">
      <c r="A2861" s="4" t="s">
        <v>4</v>
      </c>
      <c r="B2861" s="4">
        <v>872</v>
      </c>
      <c r="D2861"/>
    </row>
    <row r="2862" spans="1:4" x14ac:dyDescent="0.3">
      <c r="A2862" s="4" t="s">
        <v>15</v>
      </c>
      <c r="B2862" s="4">
        <v>390</v>
      </c>
      <c r="D2862"/>
    </row>
    <row r="2863" spans="1:4" x14ac:dyDescent="0.3">
      <c r="A2863" s="4" t="s">
        <v>6</v>
      </c>
      <c r="B2863" s="4">
        <v>330</v>
      </c>
      <c r="D2863"/>
    </row>
    <row r="2864" spans="1:4" x14ac:dyDescent="0.3">
      <c r="A2864" s="4" t="s">
        <v>9</v>
      </c>
      <c r="B2864" s="4">
        <v>992</v>
      </c>
      <c r="D2864"/>
    </row>
    <row r="2865" spans="1:4" x14ac:dyDescent="0.3">
      <c r="A2865" s="4" t="s">
        <v>12</v>
      </c>
      <c r="B2865" s="4">
        <v>971</v>
      </c>
      <c r="D2865"/>
    </row>
    <row r="2866" spans="1:4" x14ac:dyDescent="0.3">
      <c r="A2866" s="4" t="s">
        <v>10</v>
      </c>
      <c r="B2866" s="4">
        <v>281</v>
      </c>
      <c r="D2866"/>
    </row>
    <row r="2867" spans="1:4" x14ac:dyDescent="0.3">
      <c r="A2867" s="4" t="s">
        <v>19</v>
      </c>
      <c r="B2867" s="4">
        <v>335</v>
      </c>
      <c r="D2867"/>
    </row>
    <row r="2868" spans="1:4" x14ac:dyDescent="0.3">
      <c r="A2868" s="4" t="s">
        <v>8</v>
      </c>
      <c r="B2868" s="4">
        <v>524</v>
      </c>
      <c r="D2868"/>
    </row>
    <row r="2869" spans="1:4" x14ac:dyDescent="0.3">
      <c r="A2869" s="4" t="s">
        <v>10</v>
      </c>
      <c r="B2869" s="4">
        <v>451</v>
      </c>
      <c r="D2869"/>
    </row>
    <row r="2870" spans="1:4" x14ac:dyDescent="0.3">
      <c r="A2870" s="4" t="s">
        <v>4</v>
      </c>
      <c r="B2870" s="4">
        <v>255</v>
      </c>
      <c r="D2870"/>
    </row>
    <row r="2871" spans="1:4" x14ac:dyDescent="0.3">
      <c r="A2871" s="4" t="s">
        <v>11</v>
      </c>
      <c r="B2871" s="4">
        <v>795</v>
      </c>
      <c r="D2871"/>
    </row>
    <row r="2872" spans="1:4" x14ac:dyDescent="0.3">
      <c r="A2872" s="4" t="s">
        <v>7</v>
      </c>
      <c r="B2872" s="4">
        <v>780</v>
      </c>
      <c r="D2872"/>
    </row>
    <row r="2873" spans="1:4" x14ac:dyDescent="0.3">
      <c r="A2873" s="4" t="s">
        <v>14</v>
      </c>
      <c r="B2873" s="4">
        <v>981</v>
      </c>
      <c r="D2873"/>
    </row>
    <row r="2874" spans="1:4" x14ac:dyDescent="0.3">
      <c r="A2874" s="4" t="s">
        <v>13</v>
      </c>
      <c r="B2874" s="4">
        <v>996</v>
      </c>
      <c r="D2874"/>
    </row>
    <row r="2875" spans="1:4" x14ac:dyDescent="0.3">
      <c r="A2875" s="4" t="s">
        <v>13</v>
      </c>
      <c r="B2875" s="4">
        <v>412</v>
      </c>
      <c r="D2875"/>
    </row>
    <row r="2876" spans="1:4" x14ac:dyDescent="0.3">
      <c r="A2876" s="4" t="s">
        <v>4</v>
      </c>
      <c r="B2876" s="4">
        <v>802</v>
      </c>
      <c r="D2876"/>
    </row>
    <row r="2877" spans="1:4" x14ac:dyDescent="0.3">
      <c r="A2877" s="4" t="s">
        <v>6</v>
      </c>
      <c r="B2877" s="4">
        <v>222</v>
      </c>
      <c r="D2877"/>
    </row>
    <row r="2878" spans="1:4" x14ac:dyDescent="0.3">
      <c r="A2878" s="4" t="s">
        <v>15</v>
      </c>
      <c r="B2878" s="4">
        <v>261</v>
      </c>
      <c r="D2878"/>
    </row>
    <row r="2879" spans="1:4" x14ac:dyDescent="0.3">
      <c r="A2879" s="4" t="s">
        <v>6</v>
      </c>
      <c r="B2879" s="4">
        <v>399</v>
      </c>
      <c r="D2879"/>
    </row>
    <row r="2880" spans="1:4" x14ac:dyDescent="0.3">
      <c r="A2880" s="4" t="s">
        <v>19</v>
      </c>
      <c r="B2880" s="4">
        <v>704</v>
      </c>
      <c r="D2880"/>
    </row>
    <row r="2881" spans="1:4" x14ac:dyDescent="0.3">
      <c r="A2881" s="4" t="s">
        <v>3</v>
      </c>
      <c r="B2881" s="4">
        <v>670</v>
      </c>
      <c r="D2881"/>
    </row>
    <row r="2882" spans="1:4" x14ac:dyDescent="0.3">
      <c r="A2882" s="4" t="s">
        <v>16</v>
      </c>
      <c r="B2882" s="4">
        <v>333</v>
      </c>
      <c r="D2882"/>
    </row>
    <row r="2883" spans="1:4" x14ac:dyDescent="0.3">
      <c r="A2883" s="4" t="s">
        <v>14</v>
      </c>
      <c r="B2883" s="4">
        <v>785</v>
      </c>
      <c r="D2883"/>
    </row>
    <row r="2884" spans="1:4" x14ac:dyDescent="0.3">
      <c r="A2884" s="4" t="s">
        <v>4</v>
      </c>
      <c r="B2884" s="4">
        <v>200</v>
      </c>
      <c r="D2884"/>
    </row>
    <row r="2885" spans="1:4" x14ac:dyDescent="0.3">
      <c r="A2885" s="4" t="s">
        <v>7</v>
      </c>
      <c r="B2885" s="4">
        <v>890</v>
      </c>
      <c r="D2885"/>
    </row>
    <row r="2886" spans="1:4" x14ac:dyDescent="0.3">
      <c r="A2886" s="4" t="s">
        <v>17</v>
      </c>
      <c r="B2886" s="4">
        <v>465</v>
      </c>
      <c r="D2886"/>
    </row>
    <row r="2887" spans="1:4" x14ac:dyDescent="0.3">
      <c r="A2887" s="4" t="s">
        <v>6</v>
      </c>
      <c r="B2887" s="4" t="e">
        <v>#N/A</v>
      </c>
      <c r="D2887"/>
    </row>
    <row r="2888" spans="1:4" x14ac:dyDescent="0.3">
      <c r="A2888" s="4" t="s">
        <v>13</v>
      </c>
      <c r="B2888" s="4">
        <v>591</v>
      </c>
      <c r="D2888"/>
    </row>
    <row r="2889" spans="1:4" x14ac:dyDescent="0.3">
      <c r="A2889" s="4" t="s">
        <v>8</v>
      </c>
      <c r="B2889" s="4">
        <v>75</v>
      </c>
      <c r="D2889"/>
    </row>
    <row r="2890" spans="1:4" x14ac:dyDescent="0.3">
      <c r="A2890" s="4" t="s">
        <v>18</v>
      </c>
      <c r="B2890" s="4">
        <v>692</v>
      </c>
      <c r="D2890"/>
    </row>
    <row r="2891" spans="1:4" x14ac:dyDescent="0.3">
      <c r="A2891" s="4" t="s">
        <v>7</v>
      </c>
      <c r="B2891" s="4">
        <v>759</v>
      </c>
      <c r="D2891"/>
    </row>
    <row r="2892" spans="1:4" x14ac:dyDescent="0.3">
      <c r="A2892" s="4" t="s">
        <v>6</v>
      </c>
      <c r="B2892" s="4">
        <v>461</v>
      </c>
      <c r="D2892"/>
    </row>
    <row r="2893" spans="1:4" x14ac:dyDescent="0.3">
      <c r="A2893" s="4" t="s">
        <v>12</v>
      </c>
      <c r="B2893" s="4">
        <v>747</v>
      </c>
      <c r="D2893"/>
    </row>
    <row r="2894" spans="1:4" x14ac:dyDescent="0.3">
      <c r="A2894" s="4" t="s">
        <v>14</v>
      </c>
      <c r="B2894" s="4">
        <v>274</v>
      </c>
      <c r="D2894"/>
    </row>
    <row r="2895" spans="1:4" x14ac:dyDescent="0.3">
      <c r="A2895" s="4" t="s">
        <v>15</v>
      </c>
      <c r="B2895" s="4">
        <v>329</v>
      </c>
      <c r="D2895"/>
    </row>
    <row r="2896" spans="1:4" x14ac:dyDescent="0.3">
      <c r="A2896" s="4" t="s">
        <v>15</v>
      </c>
      <c r="B2896" s="4">
        <v>630</v>
      </c>
      <c r="D2896"/>
    </row>
    <row r="2897" spans="1:4" x14ac:dyDescent="0.3">
      <c r="A2897" s="4" t="s">
        <v>10</v>
      </c>
      <c r="B2897" s="4">
        <v>262</v>
      </c>
      <c r="D2897"/>
    </row>
    <row r="2898" spans="1:4" x14ac:dyDescent="0.3">
      <c r="A2898" s="4" t="s">
        <v>7</v>
      </c>
      <c r="B2898" s="4">
        <v>143</v>
      </c>
      <c r="D2898"/>
    </row>
    <row r="2899" spans="1:4" x14ac:dyDescent="0.3">
      <c r="A2899" s="4" t="s">
        <v>10</v>
      </c>
      <c r="B2899" s="4">
        <v>571</v>
      </c>
      <c r="D2899"/>
    </row>
    <row r="2900" spans="1:4" x14ac:dyDescent="0.3">
      <c r="A2900" s="4" t="s">
        <v>16</v>
      </c>
      <c r="B2900" s="4">
        <v>152</v>
      </c>
      <c r="D2900"/>
    </row>
    <row r="2901" spans="1:4" x14ac:dyDescent="0.3">
      <c r="A2901" s="4" t="s">
        <v>11</v>
      </c>
      <c r="B2901" s="4">
        <v>115</v>
      </c>
      <c r="D2901"/>
    </row>
    <row r="2902" spans="1:4" x14ac:dyDescent="0.3">
      <c r="A2902" s="4" t="s">
        <v>4</v>
      </c>
      <c r="B2902" s="4">
        <v>185</v>
      </c>
      <c r="D2902"/>
    </row>
    <row r="2903" spans="1:4" x14ac:dyDescent="0.3">
      <c r="A2903" s="4" t="s">
        <v>10</v>
      </c>
      <c r="B2903" s="4">
        <v>318</v>
      </c>
      <c r="D2903"/>
    </row>
    <row r="2904" spans="1:4" x14ac:dyDescent="0.3">
      <c r="A2904" s="4" t="s">
        <v>4</v>
      </c>
      <c r="B2904" s="4">
        <v>814</v>
      </c>
      <c r="D2904"/>
    </row>
    <row r="2905" spans="1:4" x14ac:dyDescent="0.3">
      <c r="A2905" s="4" t="s">
        <v>6</v>
      </c>
      <c r="B2905" s="4">
        <v>564</v>
      </c>
      <c r="D2905"/>
    </row>
    <row r="2906" spans="1:4" x14ac:dyDescent="0.3">
      <c r="A2906" s="4" t="s">
        <v>16</v>
      </c>
      <c r="B2906" s="4">
        <v>759</v>
      </c>
      <c r="D2906"/>
    </row>
    <row r="2907" spans="1:4" x14ac:dyDescent="0.3">
      <c r="A2907" s="4" t="s">
        <v>19</v>
      </c>
      <c r="B2907" s="4">
        <v>793</v>
      </c>
      <c r="D2907"/>
    </row>
    <row r="2908" spans="1:4" x14ac:dyDescent="0.3">
      <c r="A2908" s="4" t="s">
        <v>8</v>
      </c>
      <c r="B2908" s="4">
        <v>777</v>
      </c>
      <c r="D2908"/>
    </row>
    <row r="2909" spans="1:4" x14ac:dyDescent="0.3">
      <c r="A2909" s="4" t="s">
        <v>3</v>
      </c>
      <c r="B2909" s="4">
        <v>923</v>
      </c>
      <c r="D2909"/>
    </row>
    <row r="2910" spans="1:4" x14ac:dyDescent="0.3">
      <c r="A2910" s="4" t="s">
        <v>3</v>
      </c>
      <c r="B2910" s="4">
        <v>261</v>
      </c>
      <c r="D2910"/>
    </row>
    <row r="2911" spans="1:4" x14ac:dyDescent="0.3">
      <c r="A2911" s="4" t="s">
        <v>16</v>
      </c>
      <c r="B2911" s="4">
        <v>135</v>
      </c>
      <c r="D2911"/>
    </row>
    <row r="2912" spans="1:4" x14ac:dyDescent="0.3">
      <c r="A2912" s="4" t="s">
        <v>9</v>
      </c>
      <c r="B2912" s="4">
        <v>733</v>
      </c>
      <c r="D2912"/>
    </row>
    <row r="2913" spans="1:4" x14ac:dyDescent="0.3">
      <c r="A2913" s="4" t="s">
        <v>13</v>
      </c>
      <c r="B2913" s="4">
        <v>756</v>
      </c>
      <c r="D2913"/>
    </row>
    <row r="2914" spans="1:4" x14ac:dyDescent="0.3">
      <c r="A2914" s="4" t="s">
        <v>19</v>
      </c>
      <c r="B2914" s="4">
        <v>681</v>
      </c>
      <c r="D2914"/>
    </row>
    <row r="2915" spans="1:4" x14ac:dyDescent="0.3">
      <c r="A2915" s="4" t="s">
        <v>12</v>
      </c>
      <c r="B2915" s="4">
        <v>115</v>
      </c>
      <c r="D2915"/>
    </row>
    <row r="2916" spans="1:4" x14ac:dyDescent="0.3">
      <c r="A2916" s="4" t="s">
        <v>7</v>
      </c>
      <c r="B2916" s="4">
        <v>883</v>
      </c>
      <c r="D2916"/>
    </row>
    <row r="2917" spans="1:4" x14ac:dyDescent="0.3">
      <c r="A2917" s="4" t="s">
        <v>16</v>
      </c>
      <c r="B2917" s="4">
        <v>435</v>
      </c>
      <c r="D2917"/>
    </row>
    <row r="2918" spans="1:4" x14ac:dyDescent="0.3">
      <c r="A2918" s="4" t="s">
        <v>16</v>
      </c>
      <c r="B2918" s="4">
        <v>830</v>
      </c>
      <c r="D2918"/>
    </row>
    <row r="2919" spans="1:4" x14ac:dyDescent="0.3">
      <c r="A2919" s="4" t="s">
        <v>8</v>
      </c>
      <c r="B2919" s="4">
        <v>384</v>
      </c>
      <c r="D2919"/>
    </row>
    <row r="2920" spans="1:4" x14ac:dyDescent="0.3">
      <c r="A2920" s="4" t="s">
        <v>19</v>
      </c>
      <c r="B2920" s="4">
        <v>602</v>
      </c>
      <c r="D2920"/>
    </row>
    <row r="2921" spans="1:4" x14ac:dyDescent="0.3">
      <c r="A2921" s="4" t="s">
        <v>10</v>
      </c>
      <c r="B2921" s="4">
        <v>425</v>
      </c>
      <c r="D2921"/>
    </row>
    <row r="2922" spans="1:4" x14ac:dyDescent="0.3">
      <c r="A2922" s="4" t="s">
        <v>13</v>
      </c>
      <c r="B2922" s="4">
        <v>260</v>
      </c>
      <c r="D2922"/>
    </row>
    <row r="2923" spans="1:4" x14ac:dyDescent="0.3">
      <c r="A2923" s="4" t="s">
        <v>4</v>
      </c>
      <c r="B2923" s="4">
        <v>758</v>
      </c>
      <c r="D2923"/>
    </row>
    <row r="2924" spans="1:4" x14ac:dyDescent="0.3">
      <c r="A2924" s="4" t="s">
        <v>10</v>
      </c>
      <c r="B2924" s="4">
        <v>594</v>
      </c>
      <c r="D2924"/>
    </row>
    <row r="2925" spans="1:4" x14ac:dyDescent="0.3">
      <c r="A2925" s="4" t="s">
        <v>4</v>
      </c>
      <c r="B2925" s="4">
        <v>246</v>
      </c>
      <c r="D2925"/>
    </row>
    <row r="2926" spans="1:4" x14ac:dyDescent="0.3">
      <c r="A2926" s="4" t="s">
        <v>19</v>
      </c>
      <c r="B2926" s="4">
        <v>390</v>
      </c>
      <c r="D2926"/>
    </row>
    <row r="2927" spans="1:4" x14ac:dyDescent="0.3">
      <c r="A2927" s="4" t="s">
        <v>7</v>
      </c>
      <c r="B2927" s="4">
        <v>533</v>
      </c>
      <c r="D2927"/>
    </row>
    <row r="2928" spans="1:4" x14ac:dyDescent="0.3">
      <c r="A2928" s="4" t="s">
        <v>9</v>
      </c>
      <c r="B2928" s="4">
        <v>393</v>
      </c>
      <c r="D2928"/>
    </row>
    <row r="2929" spans="1:4" x14ac:dyDescent="0.3">
      <c r="A2929" s="4" t="s">
        <v>10</v>
      </c>
      <c r="B2929" s="4">
        <v>157</v>
      </c>
      <c r="D2929"/>
    </row>
    <row r="2930" spans="1:4" x14ac:dyDescent="0.3">
      <c r="A2930" s="4" t="s">
        <v>10</v>
      </c>
      <c r="B2930" s="4">
        <v>975</v>
      </c>
      <c r="D2930"/>
    </row>
    <row r="2931" spans="1:4" x14ac:dyDescent="0.3">
      <c r="A2931" s="4" t="s">
        <v>15</v>
      </c>
      <c r="B2931" s="4">
        <v>154</v>
      </c>
      <c r="D2931"/>
    </row>
    <row r="2932" spans="1:4" x14ac:dyDescent="0.3">
      <c r="A2932" s="4" t="s">
        <v>12</v>
      </c>
      <c r="B2932" s="4">
        <v>537</v>
      </c>
      <c r="D2932"/>
    </row>
    <row r="2933" spans="1:4" x14ac:dyDescent="0.3">
      <c r="A2933" s="4" t="s">
        <v>18</v>
      </c>
      <c r="B2933" s="4">
        <v>602</v>
      </c>
      <c r="D2933"/>
    </row>
    <row r="2934" spans="1:4" x14ac:dyDescent="0.3">
      <c r="A2934" s="4" t="s">
        <v>10</v>
      </c>
      <c r="B2934" s="4">
        <v>658</v>
      </c>
      <c r="D2934"/>
    </row>
    <row r="2935" spans="1:4" x14ac:dyDescent="0.3">
      <c r="A2935" s="4" t="s">
        <v>13</v>
      </c>
      <c r="B2935" s="4">
        <v>235</v>
      </c>
      <c r="D2935"/>
    </row>
    <row r="2936" spans="1:4" x14ac:dyDescent="0.3">
      <c r="A2936" s="4" t="s">
        <v>16</v>
      </c>
      <c r="B2936" s="4">
        <v>979</v>
      </c>
      <c r="D2936"/>
    </row>
    <row r="2937" spans="1:4" x14ac:dyDescent="0.3">
      <c r="A2937" s="4" t="s">
        <v>10</v>
      </c>
      <c r="B2937" s="4">
        <v>759</v>
      </c>
      <c r="D2937"/>
    </row>
    <row r="2938" spans="1:4" x14ac:dyDescent="0.3">
      <c r="A2938" s="4" t="s">
        <v>6</v>
      </c>
      <c r="B2938" s="4">
        <v>172</v>
      </c>
      <c r="D2938"/>
    </row>
    <row r="2939" spans="1:4" x14ac:dyDescent="0.3">
      <c r="A2939" s="4" t="s">
        <v>8</v>
      </c>
      <c r="B2939" s="4">
        <v>102</v>
      </c>
      <c r="D2939"/>
    </row>
    <row r="2940" spans="1:4" x14ac:dyDescent="0.3">
      <c r="A2940" s="4" t="s">
        <v>19</v>
      </c>
      <c r="B2940" s="4">
        <v>942</v>
      </c>
      <c r="D2940"/>
    </row>
    <row r="2941" spans="1:4" x14ac:dyDescent="0.3">
      <c r="A2941" s="4" t="s">
        <v>16</v>
      </c>
      <c r="B2941" s="4">
        <v>258</v>
      </c>
      <c r="D2941"/>
    </row>
    <row r="2942" spans="1:4" x14ac:dyDescent="0.3">
      <c r="A2942" s="4" t="s">
        <v>4</v>
      </c>
      <c r="B2942" s="4">
        <v>991</v>
      </c>
      <c r="D2942"/>
    </row>
    <row r="2943" spans="1:4" x14ac:dyDescent="0.3">
      <c r="A2943" s="4" t="s">
        <v>12</v>
      </c>
      <c r="B2943" s="4">
        <v>460</v>
      </c>
      <c r="D2943"/>
    </row>
    <row r="2944" spans="1:4" x14ac:dyDescent="0.3">
      <c r="A2944" s="4" t="s">
        <v>8</v>
      </c>
      <c r="B2944" s="4">
        <v>699</v>
      </c>
      <c r="D2944"/>
    </row>
    <row r="2945" spans="1:4" x14ac:dyDescent="0.3">
      <c r="A2945" s="4" t="s">
        <v>8</v>
      </c>
      <c r="B2945" s="4">
        <v>614</v>
      </c>
      <c r="D2945"/>
    </row>
    <row r="2946" spans="1:4" x14ac:dyDescent="0.3">
      <c r="A2946" s="4" t="s">
        <v>9</v>
      </c>
      <c r="B2946" s="4">
        <v>892</v>
      </c>
      <c r="D2946"/>
    </row>
    <row r="2947" spans="1:4" x14ac:dyDescent="0.3">
      <c r="A2947" s="4" t="s">
        <v>7</v>
      </c>
      <c r="B2947" s="4">
        <v>681</v>
      </c>
      <c r="D2947"/>
    </row>
    <row r="2948" spans="1:4" x14ac:dyDescent="0.3">
      <c r="A2948" s="4" t="s">
        <v>15</v>
      </c>
      <c r="B2948" s="4">
        <v>204</v>
      </c>
      <c r="D2948"/>
    </row>
    <row r="2949" spans="1:4" x14ac:dyDescent="0.3">
      <c r="A2949" s="4" t="s">
        <v>10</v>
      </c>
      <c r="B2949" s="4">
        <v>937</v>
      </c>
      <c r="D2949"/>
    </row>
    <row r="2950" spans="1:4" x14ac:dyDescent="0.3">
      <c r="A2950" s="4" t="s">
        <v>15</v>
      </c>
      <c r="B2950" s="4" t="e">
        <v>#REF!</v>
      </c>
      <c r="D2950"/>
    </row>
    <row r="2951" spans="1:4" x14ac:dyDescent="0.3">
      <c r="A2951" s="4" t="s">
        <v>19</v>
      </c>
      <c r="B2951" s="4">
        <v>221</v>
      </c>
      <c r="D2951"/>
    </row>
    <row r="2952" spans="1:4" x14ac:dyDescent="0.3">
      <c r="A2952" s="4" t="s">
        <v>7</v>
      </c>
      <c r="B2952" s="4">
        <v>966</v>
      </c>
      <c r="D2952"/>
    </row>
    <row r="2953" spans="1:4" x14ac:dyDescent="0.3">
      <c r="A2953" s="4" t="s">
        <v>16</v>
      </c>
      <c r="B2953" s="4">
        <v>136</v>
      </c>
      <c r="D2953"/>
    </row>
    <row r="2954" spans="1:4" x14ac:dyDescent="0.3">
      <c r="A2954" s="4" t="s">
        <v>8</v>
      </c>
      <c r="B2954" s="4">
        <v>641</v>
      </c>
      <c r="D2954"/>
    </row>
    <row r="2955" spans="1:4" x14ac:dyDescent="0.3">
      <c r="A2955" s="4" t="s">
        <v>10</v>
      </c>
      <c r="B2955" s="4">
        <v>571</v>
      </c>
      <c r="D2955"/>
    </row>
    <row r="2956" spans="1:4" x14ac:dyDescent="0.3">
      <c r="A2956" s="4" t="s">
        <v>11</v>
      </c>
      <c r="B2956" s="4">
        <v>693</v>
      </c>
      <c r="D2956"/>
    </row>
    <row r="2957" spans="1:4" x14ac:dyDescent="0.3">
      <c r="A2957" s="4" t="s">
        <v>18</v>
      </c>
      <c r="B2957" s="4">
        <v>330</v>
      </c>
      <c r="D2957"/>
    </row>
    <row r="2958" spans="1:4" x14ac:dyDescent="0.3">
      <c r="A2958" s="4" t="s">
        <v>18</v>
      </c>
      <c r="B2958" s="4">
        <v>445</v>
      </c>
      <c r="D2958"/>
    </row>
    <row r="2959" spans="1:4" x14ac:dyDescent="0.3">
      <c r="A2959" s="4" t="s">
        <v>3</v>
      </c>
      <c r="B2959" s="4">
        <v>869</v>
      </c>
      <c r="D2959"/>
    </row>
    <row r="2960" spans="1:4" x14ac:dyDescent="0.3">
      <c r="A2960" s="4" t="s">
        <v>11</v>
      </c>
      <c r="B2960" s="4">
        <v>938</v>
      </c>
      <c r="D2960"/>
    </row>
    <row r="2961" spans="1:4" x14ac:dyDescent="0.3">
      <c r="A2961" s="4" t="s">
        <v>19</v>
      </c>
      <c r="B2961" s="4">
        <v>463</v>
      </c>
      <c r="D2961"/>
    </row>
    <row r="2962" spans="1:4" x14ac:dyDescent="0.3">
      <c r="A2962" s="4" t="s">
        <v>10</v>
      </c>
      <c r="B2962" s="4">
        <v>304</v>
      </c>
      <c r="D2962"/>
    </row>
    <row r="2963" spans="1:4" x14ac:dyDescent="0.3">
      <c r="A2963" s="4" t="s">
        <v>17</v>
      </c>
      <c r="B2963" s="4">
        <v>116</v>
      </c>
      <c r="D2963"/>
    </row>
    <row r="2964" spans="1:4" x14ac:dyDescent="0.3">
      <c r="A2964" s="4" t="s">
        <v>6</v>
      </c>
      <c r="B2964" s="4">
        <v>359</v>
      </c>
      <c r="D2964"/>
    </row>
    <row r="2965" spans="1:4" x14ac:dyDescent="0.3">
      <c r="A2965" s="4" t="s">
        <v>10</v>
      </c>
      <c r="B2965" s="4">
        <v>877</v>
      </c>
      <c r="D2965"/>
    </row>
    <row r="2966" spans="1:4" x14ac:dyDescent="0.3">
      <c r="A2966" s="4" t="s">
        <v>8</v>
      </c>
      <c r="B2966" s="4">
        <v>246</v>
      </c>
      <c r="D2966"/>
    </row>
    <row r="2967" spans="1:4" x14ac:dyDescent="0.3">
      <c r="A2967" s="4" t="s">
        <v>10</v>
      </c>
      <c r="B2967" s="4">
        <v>365</v>
      </c>
      <c r="D2967"/>
    </row>
    <row r="2968" spans="1:4" x14ac:dyDescent="0.3">
      <c r="A2968" s="4" t="s">
        <v>17</v>
      </c>
      <c r="B2968" s="4">
        <v>121</v>
      </c>
      <c r="D2968"/>
    </row>
    <row r="2969" spans="1:4" x14ac:dyDescent="0.3">
      <c r="A2969" s="4" t="s">
        <v>3</v>
      </c>
      <c r="B2969" s="4">
        <v>857</v>
      </c>
      <c r="D2969"/>
    </row>
    <row r="2970" spans="1:4" x14ac:dyDescent="0.3">
      <c r="A2970" s="4" t="s">
        <v>4</v>
      </c>
      <c r="B2970" s="4">
        <v>945</v>
      </c>
      <c r="D2970"/>
    </row>
    <row r="2971" spans="1:4" x14ac:dyDescent="0.3">
      <c r="A2971" s="4" t="s">
        <v>8</v>
      </c>
      <c r="B2971" s="4">
        <v>756</v>
      </c>
      <c r="D2971"/>
    </row>
    <row r="2972" spans="1:4" x14ac:dyDescent="0.3">
      <c r="A2972" s="4" t="s">
        <v>15</v>
      </c>
      <c r="B2972" s="4">
        <v>465</v>
      </c>
      <c r="D2972"/>
    </row>
    <row r="2973" spans="1:4" x14ac:dyDescent="0.3">
      <c r="A2973" s="4" t="s">
        <v>15</v>
      </c>
      <c r="B2973" s="4">
        <v>700</v>
      </c>
      <c r="D2973"/>
    </row>
    <row r="2974" spans="1:4" x14ac:dyDescent="0.3">
      <c r="A2974" s="4" t="s">
        <v>4</v>
      </c>
      <c r="B2974" s="4">
        <v>825</v>
      </c>
      <c r="D2974"/>
    </row>
    <row r="2975" spans="1:4" x14ac:dyDescent="0.3">
      <c r="A2975" s="4" t="s">
        <v>13</v>
      </c>
      <c r="B2975" s="4">
        <v>579</v>
      </c>
      <c r="D2975"/>
    </row>
    <row r="2976" spans="1:4" x14ac:dyDescent="0.3">
      <c r="A2976" s="4" t="s">
        <v>17</v>
      </c>
      <c r="B2976" s="4">
        <v>557</v>
      </c>
      <c r="D2976"/>
    </row>
    <row r="2977" spans="1:4" x14ac:dyDescent="0.3">
      <c r="A2977" s="4" t="s">
        <v>6</v>
      </c>
      <c r="B2977" s="4">
        <v>164</v>
      </c>
      <c r="D2977"/>
    </row>
    <row r="2978" spans="1:4" x14ac:dyDescent="0.3">
      <c r="A2978" s="4" t="s">
        <v>16</v>
      </c>
      <c r="B2978" s="4">
        <v>261</v>
      </c>
      <c r="D2978"/>
    </row>
    <row r="2979" spans="1:4" x14ac:dyDescent="0.3">
      <c r="A2979" s="4" t="s">
        <v>3</v>
      </c>
      <c r="B2979" s="4">
        <v>797</v>
      </c>
      <c r="D2979"/>
    </row>
    <row r="2980" spans="1:4" x14ac:dyDescent="0.3">
      <c r="A2980" s="4" t="s">
        <v>9</v>
      </c>
      <c r="B2980" s="4">
        <v>527</v>
      </c>
      <c r="D2980"/>
    </row>
    <row r="2981" spans="1:4" x14ac:dyDescent="0.3">
      <c r="A2981" s="4" t="s">
        <v>18</v>
      </c>
      <c r="B2981" s="4">
        <v>264</v>
      </c>
      <c r="D2981"/>
    </row>
    <row r="2982" spans="1:4" x14ac:dyDescent="0.3">
      <c r="A2982" s="4" t="s">
        <v>4</v>
      </c>
      <c r="B2982" s="4">
        <v>659</v>
      </c>
      <c r="D2982"/>
    </row>
    <row r="2983" spans="1:4" x14ac:dyDescent="0.3">
      <c r="A2983" s="4" t="s">
        <v>14</v>
      </c>
      <c r="B2983" s="4">
        <v>720</v>
      </c>
      <c r="D2983"/>
    </row>
    <row r="2984" spans="1:4" x14ac:dyDescent="0.3">
      <c r="A2984" s="4" t="s">
        <v>17</v>
      </c>
      <c r="B2984" s="4">
        <v>841</v>
      </c>
      <c r="D2984"/>
    </row>
    <row r="2985" spans="1:4" x14ac:dyDescent="0.3">
      <c r="A2985" s="4" t="s">
        <v>7</v>
      </c>
      <c r="B2985" s="4">
        <v>332</v>
      </c>
      <c r="D2985"/>
    </row>
    <row r="2986" spans="1:4" x14ac:dyDescent="0.3">
      <c r="A2986" s="4" t="s">
        <v>11</v>
      </c>
      <c r="B2986" s="4">
        <v>323</v>
      </c>
      <c r="D2986"/>
    </row>
    <row r="2987" spans="1:4" x14ac:dyDescent="0.3">
      <c r="A2987" s="4" t="s">
        <v>13</v>
      </c>
      <c r="B2987" s="4">
        <v>194</v>
      </c>
      <c r="D2987"/>
    </row>
    <row r="2988" spans="1:4" x14ac:dyDescent="0.3">
      <c r="A2988" s="4" t="s">
        <v>7</v>
      </c>
      <c r="B2988" s="4">
        <v>702</v>
      </c>
      <c r="D2988"/>
    </row>
    <row r="2989" spans="1:4" x14ac:dyDescent="0.3">
      <c r="A2989" s="4" t="s">
        <v>16</v>
      </c>
      <c r="B2989" s="4">
        <v>118</v>
      </c>
      <c r="D2989"/>
    </row>
    <row r="2990" spans="1:4" x14ac:dyDescent="0.3">
      <c r="A2990" s="4" t="s">
        <v>10</v>
      </c>
      <c r="B2990" s="4">
        <v>236</v>
      </c>
      <c r="D2990"/>
    </row>
    <row r="2991" spans="1:4" x14ac:dyDescent="0.3">
      <c r="A2991" s="4" t="s">
        <v>4</v>
      </c>
      <c r="B2991" s="4">
        <v>978</v>
      </c>
      <c r="D2991"/>
    </row>
    <row r="2992" spans="1:4" x14ac:dyDescent="0.3">
      <c r="A2992" s="4" t="s">
        <v>9</v>
      </c>
      <c r="B2992" s="4">
        <v>302</v>
      </c>
      <c r="D2992"/>
    </row>
    <row r="2993" spans="1:4" x14ac:dyDescent="0.3">
      <c r="A2993" s="4" t="s">
        <v>13</v>
      </c>
      <c r="B2993" s="4">
        <v>591</v>
      </c>
      <c r="D2993"/>
    </row>
    <row r="2994" spans="1:4" x14ac:dyDescent="0.3">
      <c r="A2994" s="4" t="s">
        <v>13</v>
      </c>
      <c r="B2994" s="4">
        <v>845</v>
      </c>
      <c r="D2994"/>
    </row>
    <row r="2995" spans="1:4" x14ac:dyDescent="0.3">
      <c r="A2995" s="4" t="s">
        <v>13</v>
      </c>
      <c r="B2995" s="4">
        <v>977</v>
      </c>
      <c r="D2995"/>
    </row>
    <row r="2996" spans="1:4" x14ac:dyDescent="0.3">
      <c r="A2996" s="4" t="s">
        <v>19</v>
      </c>
      <c r="B2996" s="4">
        <v>107</v>
      </c>
      <c r="D2996"/>
    </row>
    <row r="2997" spans="1:4" x14ac:dyDescent="0.3">
      <c r="A2997" s="4" t="s">
        <v>19</v>
      </c>
      <c r="B2997" s="4">
        <v>509</v>
      </c>
      <c r="D2997"/>
    </row>
    <row r="2998" spans="1:4" x14ac:dyDescent="0.3">
      <c r="A2998" s="4" t="s">
        <v>12</v>
      </c>
      <c r="B2998" s="4" t="e">
        <v>#REF!</v>
      </c>
      <c r="D2998"/>
    </row>
    <row r="2999" spans="1:4" x14ac:dyDescent="0.3">
      <c r="A2999" s="4" t="s">
        <v>3</v>
      </c>
      <c r="B2999" s="4">
        <v>207</v>
      </c>
      <c r="D2999"/>
    </row>
    <row r="3000" spans="1:4" x14ac:dyDescent="0.3">
      <c r="A3000" s="4" t="s">
        <v>19</v>
      </c>
      <c r="B3000" s="4">
        <v>603</v>
      </c>
      <c r="D3000"/>
    </row>
    <row r="3001" spans="1:4" x14ac:dyDescent="0.3">
      <c r="A3001" s="4" t="s">
        <v>6</v>
      </c>
      <c r="B3001" s="4">
        <v>624</v>
      </c>
      <c r="D3001"/>
    </row>
    <row r="3002" spans="1:4" x14ac:dyDescent="0.3">
      <c r="A3002" s="4" t="s">
        <v>19</v>
      </c>
      <c r="B3002" s="4">
        <v>836</v>
      </c>
      <c r="D3002"/>
    </row>
    <row r="3003" spans="1:4" x14ac:dyDescent="0.3">
      <c r="A3003" s="4" t="s">
        <v>19</v>
      </c>
      <c r="B3003" s="4">
        <v>475</v>
      </c>
      <c r="D3003"/>
    </row>
    <row r="3004" spans="1:4" x14ac:dyDescent="0.3">
      <c r="A3004" s="4" t="s">
        <v>16</v>
      </c>
      <c r="B3004" s="4">
        <v>356</v>
      </c>
      <c r="D3004"/>
    </row>
    <row r="3005" spans="1:4" x14ac:dyDescent="0.3">
      <c r="A3005" s="4" t="s">
        <v>17</v>
      </c>
      <c r="B3005" s="4">
        <v>573</v>
      </c>
      <c r="D3005"/>
    </row>
    <row r="3006" spans="1:4" x14ac:dyDescent="0.3">
      <c r="A3006" s="4" t="s">
        <v>8</v>
      </c>
      <c r="B3006" s="4" t="e">
        <v>#REF!</v>
      </c>
      <c r="D3006"/>
    </row>
    <row r="3007" spans="1:4" x14ac:dyDescent="0.3">
      <c r="A3007" s="4" t="s">
        <v>4</v>
      </c>
      <c r="B3007" s="4">
        <v>560</v>
      </c>
      <c r="D3007"/>
    </row>
    <row r="3008" spans="1:4" x14ac:dyDescent="0.3">
      <c r="A3008" s="4" t="s">
        <v>10</v>
      </c>
      <c r="B3008" s="4">
        <v>915</v>
      </c>
      <c r="D3008"/>
    </row>
    <row r="3009" spans="1:4" x14ac:dyDescent="0.3">
      <c r="A3009" s="4" t="s">
        <v>10</v>
      </c>
      <c r="B3009" s="4">
        <v>25</v>
      </c>
      <c r="D3009"/>
    </row>
    <row r="3010" spans="1:4" x14ac:dyDescent="0.3">
      <c r="A3010" s="4" t="s">
        <v>4</v>
      </c>
      <c r="B3010" s="4">
        <v>220</v>
      </c>
      <c r="D3010"/>
    </row>
    <row r="3011" spans="1:4" x14ac:dyDescent="0.3">
      <c r="A3011" s="4" t="s">
        <v>19</v>
      </c>
      <c r="B3011" s="4">
        <v>180</v>
      </c>
      <c r="D3011"/>
    </row>
    <row r="3012" spans="1:4" x14ac:dyDescent="0.3">
      <c r="A3012" s="4" t="s">
        <v>9</v>
      </c>
      <c r="B3012" s="4">
        <v>126</v>
      </c>
      <c r="D3012"/>
    </row>
    <row r="3013" spans="1:4" x14ac:dyDescent="0.3">
      <c r="A3013" s="4" t="s">
        <v>13</v>
      </c>
      <c r="B3013" s="4">
        <v>885</v>
      </c>
      <c r="D3013"/>
    </row>
    <row r="3014" spans="1:4" x14ac:dyDescent="0.3">
      <c r="A3014" s="4" t="s">
        <v>15</v>
      </c>
      <c r="B3014" s="4">
        <v>431</v>
      </c>
      <c r="D3014"/>
    </row>
    <row r="3015" spans="1:4" x14ac:dyDescent="0.3">
      <c r="A3015" s="4" t="s">
        <v>11</v>
      </c>
      <c r="B3015" s="4">
        <v>679</v>
      </c>
      <c r="D3015"/>
    </row>
    <row r="3016" spans="1:4" x14ac:dyDescent="0.3">
      <c r="A3016" s="4" t="s">
        <v>12</v>
      </c>
      <c r="B3016" s="4">
        <v>948</v>
      </c>
      <c r="D3016"/>
    </row>
    <row r="3017" spans="1:4" x14ac:dyDescent="0.3">
      <c r="A3017" s="4" t="s">
        <v>11</v>
      </c>
      <c r="B3017" s="4">
        <v>496</v>
      </c>
      <c r="D3017"/>
    </row>
    <row r="3018" spans="1:4" x14ac:dyDescent="0.3">
      <c r="A3018" s="4" t="s">
        <v>4</v>
      </c>
      <c r="B3018" s="4">
        <v>285</v>
      </c>
      <c r="D3018"/>
    </row>
    <row r="3019" spans="1:4" x14ac:dyDescent="0.3">
      <c r="A3019" s="4" t="s">
        <v>3</v>
      </c>
      <c r="B3019" s="4">
        <v>459</v>
      </c>
      <c r="D3019"/>
    </row>
    <row r="3020" spans="1:4" x14ac:dyDescent="0.3">
      <c r="A3020" s="4" t="s">
        <v>10</v>
      </c>
      <c r="B3020" s="4">
        <v>730</v>
      </c>
      <c r="D3020"/>
    </row>
    <row r="3021" spans="1:4" x14ac:dyDescent="0.3">
      <c r="A3021" s="4" t="s">
        <v>9</v>
      </c>
      <c r="B3021" s="4">
        <v>312</v>
      </c>
      <c r="D3021"/>
    </row>
    <row r="3022" spans="1:4" x14ac:dyDescent="0.3">
      <c r="A3022" s="4" t="s">
        <v>19</v>
      </c>
      <c r="B3022" s="4">
        <v>779</v>
      </c>
      <c r="D3022"/>
    </row>
    <row r="3023" spans="1:4" x14ac:dyDescent="0.3">
      <c r="A3023" s="4" t="s">
        <v>3</v>
      </c>
      <c r="B3023" s="4">
        <v>681</v>
      </c>
      <c r="D3023"/>
    </row>
    <row r="3024" spans="1:4" x14ac:dyDescent="0.3">
      <c r="A3024" s="4" t="s">
        <v>16</v>
      </c>
      <c r="B3024" s="4">
        <v>649</v>
      </c>
      <c r="D3024"/>
    </row>
    <row r="3025" spans="1:4" x14ac:dyDescent="0.3">
      <c r="A3025" s="4" t="s">
        <v>18</v>
      </c>
      <c r="B3025" s="4">
        <v>998</v>
      </c>
      <c r="D3025"/>
    </row>
    <row r="3026" spans="1:4" x14ac:dyDescent="0.3">
      <c r="A3026" s="4" t="s">
        <v>6</v>
      </c>
      <c r="B3026" s="4">
        <v>493</v>
      </c>
      <c r="D3026"/>
    </row>
    <row r="3027" spans="1:4" x14ac:dyDescent="0.3">
      <c r="A3027" s="4" t="s">
        <v>3</v>
      </c>
      <c r="B3027" s="4">
        <v>304</v>
      </c>
      <c r="D3027"/>
    </row>
    <row r="3028" spans="1:4" x14ac:dyDescent="0.3">
      <c r="A3028" s="4" t="s">
        <v>8</v>
      </c>
      <c r="B3028" s="4">
        <v>709</v>
      </c>
      <c r="D3028"/>
    </row>
    <row r="3029" spans="1:4" x14ac:dyDescent="0.3">
      <c r="A3029" s="4" t="s">
        <v>18</v>
      </c>
      <c r="B3029" s="4">
        <v>412</v>
      </c>
      <c r="D3029"/>
    </row>
    <row r="3030" spans="1:4" x14ac:dyDescent="0.3">
      <c r="A3030" s="4" t="s">
        <v>4</v>
      </c>
      <c r="B3030" s="4">
        <v>148</v>
      </c>
      <c r="D3030"/>
    </row>
    <row r="3031" spans="1:4" x14ac:dyDescent="0.3">
      <c r="A3031" s="4" t="s">
        <v>12</v>
      </c>
      <c r="B3031" s="4">
        <v>49</v>
      </c>
      <c r="D3031"/>
    </row>
    <row r="3032" spans="1:4" x14ac:dyDescent="0.3">
      <c r="A3032" s="4" t="s">
        <v>7</v>
      </c>
      <c r="B3032" s="4">
        <v>374</v>
      </c>
      <c r="D3032"/>
    </row>
    <row r="3033" spans="1:4" x14ac:dyDescent="0.3">
      <c r="A3033" s="4" t="s">
        <v>16</v>
      </c>
      <c r="B3033" s="4">
        <v>930</v>
      </c>
      <c r="D3033"/>
    </row>
    <row r="3034" spans="1:4" x14ac:dyDescent="0.3">
      <c r="A3034" s="4" t="s">
        <v>9</v>
      </c>
      <c r="B3034" s="4">
        <v>772</v>
      </c>
      <c r="D3034"/>
    </row>
    <row r="3035" spans="1:4" x14ac:dyDescent="0.3">
      <c r="A3035" s="4" t="s">
        <v>18</v>
      </c>
      <c r="B3035" s="4">
        <v>814</v>
      </c>
      <c r="D3035"/>
    </row>
    <row r="3036" spans="1:4" x14ac:dyDescent="0.3">
      <c r="A3036" s="4" t="s">
        <v>7</v>
      </c>
      <c r="B3036" s="4">
        <v>497</v>
      </c>
      <c r="D3036"/>
    </row>
    <row r="3037" spans="1:4" x14ac:dyDescent="0.3">
      <c r="A3037" s="4" t="s">
        <v>7</v>
      </c>
      <c r="B3037" s="4">
        <v>583</v>
      </c>
      <c r="D3037"/>
    </row>
    <row r="3038" spans="1:4" x14ac:dyDescent="0.3">
      <c r="A3038" s="4" t="s">
        <v>12</v>
      </c>
      <c r="B3038" s="4">
        <v>262</v>
      </c>
      <c r="D3038"/>
    </row>
    <row r="3039" spans="1:4" x14ac:dyDescent="0.3">
      <c r="A3039" s="4" t="s">
        <v>10</v>
      </c>
      <c r="B3039" s="4">
        <v>404</v>
      </c>
      <c r="D3039"/>
    </row>
    <row r="3040" spans="1:4" x14ac:dyDescent="0.3">
      <c r="A3040" s="4" t="s">
        <v>13</v>
      </c>
      <c r="B3040" s="4">
        <v>380</v>
      </c>
      <c r="D3040"/>
    </row>
    <row r="3041" spans="1:4" x14ac:dyDescent="0.3">
      <c r="A3041" s="4" t="s">
        <v>13</v>
      </c>
      <c r="B3041" s="4">
        <v>561</v>
      </c>
      <c r="D3041"/>
    </row>
    <row r="3042" spans="1:4" x14ac:dyDescent="0.3">
      <c r="A3042" s="4" t="s">
        <v>18</v>
      </c>
      <c r="B3042" s="4">
        <v>161</v>
      </c>
      <c r="D3042"/>
    </row>
    <row r="3043" spans="1:4" x14ac:dyDescent="0.3">
      <c r="A3043" s="4" t="s">
        <v>4</v>
      </c>
      <c r="B3043" s="4">
        <v>662</v>
      </c>
      <c r="D3043"/>
    </row>
    <row r="3044" spans="1:4" x14ac:dyDescent="0.3">
      <c r="A3044" s="4" t="s">
        <v>12</v>
      </c>
      <c r="B3044" s="4">
        <v>42</v>
      </c>
      <c r="D3044"/>
    </row>
    <row r="3045" spans="1:4" x14ac:dyDescent="0.3">
      <c r="A3045" s="4" t="s">
        <v>6</v>
      </c>
      <c r="B3045" s="4">
        <v>582</v>
      </c>
      <c r="D3045"/>
    </row>
    <row r="3046" spans="1:4" x14ac:dyDescent="0.3">
      <c r="A3046" s="4" t="s">
        <v>18</v>
      </c>
      <c r="B3046" s="4">
        <v>956</v>
      </c>
      <c r="D3046"/>
    </row>
    <row r="3047" spans="1:4" x14ac:dyDescent="0.3">
      <c r="A3047" s="4" t="s">
        <v>8</v>
      </c>
      <c r="B3047" s="4">
        <v>583</v>
      </c>
      <c r="D3047"/>
    </row>
    <row r="3048" spans="1:4" x14ac:dyDescent="0.3">
      <c r="A3048" s="4" t="s">
        <v>14</v>
      </c>
      <c r="B3048" s="4">
        <v>327</v>
      </c>
      <c r="D3048"/>
    </row>
    <row r="3049" spans="1:4" x14ac:dyDescent="0.3">
      <c r="A3049" s="4" t="s">
        <v>13</v>
      </c>
      <c r="B3049" s="4">
        <v>514</v>
      </c>
      <c r="D3049"/>
    </row>
    <row r="3050" spans="1:4" x14ac:dyDescent="0.3">
      <c r="A3050" s="4" t="s">
        <v>10</v>
      </c>
      <c r="B3050" s="4">
        <v>354</v>
      </c>
      <c r="D3050"/>
    </row>
    <row r="3051" spans="1:4" x14ac:dyDescent="0.3">
      <c r="A3051" s="4" t="s">
        <v>13</v>
      </c>
      <c r="B3051" s="4">
        <v>389</v>
      </c>
      <c r="D3051"/>
    </row>
    <row r="3052" spans="1:4" x14ac:dyDescent="0.3">
      <c r="A3052" s="4" t="s">
        <v>3</v>
      </c>
      <c r="B3052" s="4">
        <v>480</v>
      </c>
      <c r="D3052"/>
    </row>
    <row r="3053" spans="1:4" x14ac:dyDescent="0.3">
      <c r="A3053" s="4" t="s">
        <v>15</v>
      </c>
      <c r="B3053" s="4">
        <v>878</v>
      </c>
      <c r="D3053"/>
    </row>
    <row r="3054" spans="1:4" x14ac:dyDescent="0.3">
      <c r="A3054" s="4" t="s">
        <v>4</v>
      </c>
      <c r="B3054" s="4">
        <v>123</v>
      </c>
      <c r="D3054"/>
    </row>
    <row r="3055" spans="1:4" x14ac:dyDescent="0.3">
      <c r="A3055" s="4" t="s">
        <v>14</v>
      </c>
      <c r="B3055" s="4">
        <v>873</v>
      </c>
      <c r="D3055"/>
    </row>
    <row r="3056" spans="1:4" x14ac:dyDescent="0.3">
      <c r="A3056" s="4" t="s">
        <v>10</v>
      </c>
      <c r="B3056" s="4">
        <v>118</v>
      </c>
      <c r="D3056"/>
    </row>
    <row r="3057" spans="1:4" x14ac:dyDescent="0.3">
      <c r="A3057" s="4" t="s">
        <v>7</v>
      </c>
      <c r="B3057" s="4">
        <v>912</v>
      </c>
      <c r="D3057"/>
    </row>
    <row r="3058" spans="1:4" x14ac:dyDescent="0.3">
      <c r="A3058" s="4" t="s">
        <v>14</v>
      </c>
      <c r="B3058" s="4">
        <v>717</v>
      </c>
      <c r="D3058"/>
    </row>
    <row r="3059" spans="1:4" x14ac:dyDescent="0.3">
      <c r="A3059" s="4" t="s">
        <v>12</v>
      </c>
      <c r="B3059" s="4">
        <v>945</v>
      </c>
      <c r="D3059"/>
    </row>
    <row r="3060" spans="1:4" x14ac:dyDescent="0.3">
      <c r="A3060" s="4" t="s">
        <v>4</v>
      </c>
      <c r="B3060" s="4">
        <v>992</v>
      </c>
      <c r="D3060"/>
    </row>
    <row r="3061" spans="1:4" x14ac:dyDescent="0.3">
      <c r="A3061" s="4" t="s">
        <v>17</v>
      </c>
      <c r="B3061" s="4">
        <v>841</v>
      </c>
      <c r="D3061"/>
    </row>
    <row r="3062" spans="1:4" x14ac:dyDescent="0.3">
      <c r="A3062" s="4" t="s">
        <v>7</v>
      </c>
      <c r="B3062" s="4">
        <v>986</v>
      </c>
      <c r="D3062"/>
    </row>
    <row r="3063" spans="1:4" x14ac:dyDescent="0.3">
      <c r="A3063" s="4" t="s">
        <v>4</v>
      </c>
      <c r="B3063" s="4">
        <v>494</v>
      </c>
      <c r="D3063"/>
    </row>
    <row r="3064" spans="1:4" x14ac:dyDescent="0.3">
      <c r="A3064" s="4" t="s">
        <v>4</v>
      </c>
      <c r="B3064" s="4">
        <v>985</v>
      </c>
      <c r="D3064"/>
    </row>
    <row r="3065" spans="1:4" x14ac:dyDescent="0.3">
      <c r="A3065" s="4" t="s">
        <v>9</v>
      </c>
      <c r="B3065" s="4">
        <v>102</v>
      </c>
      <c r="D3065"/>
    </row>
    <row r="3066" spans="1:4" x14ac:dyDescent="0.3">
      <c r="A3066" s="4" t="s">
        <v>4</v>
      </c>
      <c r="B3066" s="4">
        <v>966</v>
      </c>
      <c r="D3066"/>
    </row>
    <row r="3067" spans="1:4" x14ac:dyDescent="0.3">
      <c r="A3067" s="4" t="s">
        <v>6</v>
      </c>
      <c r="B3067" s="4" t="e">
        <v>#N/A</v>
      </c>
      <c r="D3067"/>
    </row>
    <row r="3068" spans="1:4" x14ac:dyDescent="0.3">
      <c r="A3068" s="4" t="s">
        <v>16</v>
      </c>
      <c r="B3068" s="4">
        <v>516</v>
      </c>
      <c r="D3068"/>
    </row>
    <row r="3069" spans="1:4" x14ac:dyDescent="0.3">
      <c r="A3069" s="4" t="s">
        <v>10</v>
      </c>
      <c r="B3069" s="4">
        <v>564</v>
      </c>
      <c r="D3069"/>
    </row>
    <row r="3070" spans="1:4" x14ac:dyDescent="0.3">
      <c r="A3070" s="4" t="s">
        <v>9</v>
      </c>
      <c r="B3070" s="4">
        <v>403</v>
      </c>
      <c r="D3070"/>
    </row>
    <row r="3071" spans="1:4" x14ac:dyDescent="0.3">
      <c r="A3071" s="4" t="s">
        <v>17</v>
      </c>
      <c r="B3071" s="4">
        <v>713</v>
      </c>
      <c r="D3071"/>
    </row>
    <row r="3072" spans="1:4" x14ac:dyDescent="0.3">
      <c r="A3072" s="4" t="s">
        <v>19</v>
      </c>
      <c r="B3072" s="4">
        <v>951</v>
      </c>
      <c r="D3072"/>
    </row>
    <row r="3073" spans="1:4" x14ac:dyDescent="0.3">
      <c r="A3073" s="4" t="s">
        <v>9</v>
      </c>
      <c r="B3073" s="4">
        <v>109</v>
      </c>
      <c r="D3073"/>
    </row>
    <row r="3074" spans="1:4" x14ac:dyDescent="0.3">
      <c r="A3074" s="4" t="s">
        <v>11</v>
      </c>
      <c r="B3074" s="4">
        <v>209</v>
      </c>
      <c r="D3074"/>
    </row>
    <row r="3075" spans="1:4" x14ac:dyDescent="0.3">
      <c r="A3075" s="4" t="s">
        <v>15</v>
      </c>
      <c r="B3075" s="4">
        <v>353</v>
      </c>
      <c r="D3075"/>
    </row>
    <row r="3076" spans="1:4" x14ac:dyDescent="0.3">
      <c r="A3076" s="4" t="s">
        <v>18</v>
      </c>
      <c r="B3076" s="4">
        <v>994</v>
      </c>
      <c r="D3076"/>
    </row>
    <row r="3077" spans="1:4" x14ac:dyDescent="0.3">
      <c r="A3077" s="4" t="s">
        <v>11</v>
      </c>
      <c r="B3077" s="4">
        <v>894</v>
      </c>
      <c r="D3077"/>
    </row>
    <row r="3078" spans="1:4" x14ac:dyDescent="0.3">
      <c r="A3078" s="4" t="s">
        <v>11</v>
      </c>
      <c r="B3078" s="4">
        <v>551</v>
      </c>
      <c r="D3078"/>
    </row>
    <row r="3079" spans="1:4" x14ac:dyDescent="0.3">
      <c r="A3079" s="4" t="s">
        <v>11</v>
      </c>
      <c r="B3079" s="4">
        <v>540</v>
      </c>
      <c r="D3079"/>
    </row>
    <row r="3080" spans="1:4" x14ac:dyDescent="0.3">
      <c r="A3080" s="4" t="s">
        <v>18</v>
      </c>
      <c r="B3080" s="4">
        <v>590</v>
      </c>
      <c r="D3080"/>
    </row>
    <row r="3081" spans="1:4" x14ac:dyDescent="0.3">
      <c r="A3081" s="4" t="s">
        <v>12</v>
      </c>
      <c r="B3081" s="4">
        <v>927</v>
      </c>
      <c r="D3081"/>
    </row>
    <row r="3082" spans="1:4" x14ac:dyDescent="0.3">
      <c r="A3082" s="4" t="s">
        <v>4</v>
      </c>
      <c r="B3082" s="4">
        <v>314</v>
      </c>
      <c r="D3082"/>
    </row>
    <row r="3083" spans="1:4" x14ac:dyDescent="0.3">
      <c r="A3083" s="4" t="s">
        <v>10</v>
      </c>
      <c r="B3083" s="4">
        <v>174</v>
      </c>
      <c r="D3083"/>
    </row>
    <row r="3084" spans="1:4" x14ac:dyDescent="0.3">
      <c r="A3084" s="4" t="s">
        <v>7</v>
      </c>
      <c r="B3084" s="4">
        <v>276</v>
      </c>
      <c r="D3084"/>
    </row>
    <row r="3085" spans="1:4" x14ac:dyDescent="0.3">
      <c r="A3085" s="4" t="s">
        <v>8</v>
      </c>
      <c r="B3085" s="4">
        <v>398</v>
      </c>
      <c r="D3085"/>
    </row>
    <row r="3086" spans="1:4" x14ac:dyDescent="0.3">
      <c r="A3086" s="4" t="s">
        <v>12</v>
      </c>
      <c r="B3086" s="4">
        <v>27</v>
      </c>
      <c r="D3086"/>
    </row>
    <row r="3087" spans="1:4" x14ac:dyDescent="0.3">
      <c r="A3087" s="4" t="s">
        <v>14</v>
      </c>
      <c r="B3087" s="4">
        <v>208</v>
      </c>
      <c r="D3087"/>
    </row>
    <row r="3088" spans="1:4" x14ac:dyDescent="0.3">
      <c r="A3088" s="4" t="s">
        <v>10</v>
      </c>
      <c r="B3088" s="4">
        <v>904</v>
      </c>
      <c r="D3088"/>
    </row>
    <row r="3089" spans="1:4" x14ac:dyDescent="0.3">
      <c r="A3089" s="4" t="s">
        <v>10</v>
      </c>
      <c r="B3089" s="4">
        <v>368</v>
      </c>
      <c r="D3089"/>
    </row>
    <row r="3090" spans="1:4" x14ac:dyDescent="0.3">
      <c r="A3090" s="4" t="s">
        <v>8</v>
      </c>
      <c r="B3090" s="4">
        <v>844</v>
      </c>
      <c r="D3090"/>
    </row>
    <row r="3091" spans="1:4" x14ac:dyDescent="0.3">
      <c r="A3091" s="4" t="s">
        <v>4</v>
      </c>
      <c r="B3091" s="4" t="e">
        <v>#N/A</v>
      </c>
      <c r="D3091"/>
    </row>
    <row r="3092" spans="1:4" x14ac:dyDescent="0.3">
      <c r="A3092" s="4" t="s">
        <v>19</v>
      </c>
      <c r="B3092" s="4">
        <v>538</v>
      </c>
      <c r="D3092"/>
    </row>
    <row r="3093" spans="1:4" x14ac:dyDescent="0.3">
      <c r="A3093" s="4" t="s">
        <v>6</v>
      </c>
      <c r="B3093" s="4">
        <v>816</v>
      </c>
      <c r="D3093"/>
    </row>
    <row r="3094" spans="1:4" x14ac:dyDescent="0.3">
      <c r="A3094" s="4" t="s">
        <v>4</v>
      </c>
      <c r="B3094" s="4">
        <v>948</v>
      </c>
      <c r="D3094"/>
    </row>
    <row r="3095" spans="1:4" x14ac:dyDescent="0.3">
      <c r="A3095" s="4" t="s">
        <v>19</v>
      </c>
      <c r="B3095" s="4">
        <v>730</v>
      </c>
      <c r="D3095"/>
    </row>
    <row r="3096" spans="1:4" x14ac:dyDescent="0.3">
      <c r="A3096" s="4" t="s">
        <v>18</v>
      </c>
      <c r="B3096" s="4">
        <v>908</v>
      </c>
      <c r="D3096"/>
    </row>
    <row r="3097" spans="1:4" x14ac:dyDescent="0.3">
      <c r="A3097" s="4" t="s">
        <v>7</v>
      </c>
      <c r="B3097" s="4">
        <v>191</v>
      </c>
      <c r="D3097"/>
    </row>
    <row r="3098" spans="1:4" x14ac:dyDescent="0.3">
      <c r="A3098" s="4" t="s">
        <v>9</v>
      </c>
      <c r="B3098" s="4">
        <v>649</v>
      </c>
      <c r="D3098"/>
    </row>
    <row r="3099" spans="1:4" x14ac:dyDescent="0.3">
      <c r="A3099" s="4" t="s">
        <v>10</v>
      </c>
      <c r="B3099" s="4">
        <v>970</v>
      </c>
      <c r="D3099"/>
    </row>
    <row r="3100" spans="1:4" x14ac:dyDescent="0.3">
      <c r="A3100" s="4" t="s">
        <v>13</v>
      </c>
      <c r="B3100" s="4">
        <v>571</v>
      </c>
      <c r="D3100"/>
    </row>
    <row r="3101" spans="1:4" x14ac:dyDescent="0.3">
      <c r="A3101" s="4" t="s">
        <v>3</v>
      </c>
      <c r="B3101" s="4">
        <v>914</v>
      </c>
      <c r="D3101"/>
    </row>
    <row r="3102" spans="1:4" x14ac:dyDescent="0.3">
      <c r="A3102" s="4" t="s">
        <v>8</v>
      </c>
      <c r="B3102" s="4">
        <v>990</v>
      </c>
      <c r="D3102"/>
    </row>
    <row r="3103" spans="1:4" x14ac:dyDescent="0.3">
      <c r="A3103" s="4" t="s">
        <v>10</v>
      </c>
      <c r="B3103" s="4">
        <v>510</v>
      </c>
      <c r="D3103"/>
    </row>
    <row r="3104" spans="1:4" x14ac:dyDescent="0.3">
      <c r="A3104" s="4" t="s">
        <v>8</v>
      </c>
      <c r="B3104" s="4">
        <v>246</v>
      </c>
      <c r="D3104"/>
    </row>
    <row r="3105" spans="1:4" x14ac:dyDescent="0.3">
      <c r="A3105" s="4" t="s">
        <v>10</v>
      </c>
      <c r="B3105" s="4">
        <v>369</v>
      </c>
      <c r="D3105"/>
    </row>
    <row r="3106" spans="1:4" x14ac:dyDescent="0.3">
      <c r="A3106" s="4" t="s">
        <v>8</v>
      </c>
      <c r="B3106" s="4">
        <v>347</v>
      </c>
      <c r="D3106"/>
    </row>
    <row r="3107" spans="1:4" x14ac:dyDescent="0.3">
      <c r="A3107" s="4" t="s">
        <v>19</v>
      </c>
      <c r="B3107" s="4">
        <v>720</v>
      </c>
      <c r="D3107"/>
    </row>
    <row r="3108" spans="1:4" x14ac:dyDescent="0.3">
      <c r="A3108" s="4" t="s">
        <v>7</v>
      </c>
      <c r="B3108" s="4">
        <v>474</v>
      </c>
      <c r="D3108"/>
    </row>
    <row r="3109" spans="1:4" x14ac:dyDescent="0.3">
      <c r="A3109" s="4" t="s">
        <v>12</v>
      </c>
      <c r="B3109" s="4">
        <v>679</v>
      </c>
      <c r="D3109"/>
    </row>
    <row r="3110" spans="1:4" x14ac:dyDescent="0.3">
      <c r="A3110" s="4" t="s">
        <v>4</v>
      </c>
      <c r="B3110" s="4">
        <v>788</v>
      </c>
      <c r="D3110"/>
    </row>
    <row r="3111" spans="1:4" x14ac:dyDescent="0.3">
      <c r="A3111" s="4" t="s">
        <v>12</v>
      </c>
      <c r="B3111" s="4">
        <v>971</v>
      </c>
      <c r="D3111"/>
    </row>
    <row r="3112" spans="1:4" x14ac:dyDescent="0.3">
      <c r="A3112" s="4" t="s">
        <v>3</v>
      </c>
      <c r="B3112" s="4">
        <v>999</v>
      </c>
      <c r="D3112"/>
    </row>
    <row r="3113" spans="1:4" x14ac:dyDescent="0.3">
      <c r="A3113" s="4" t="s">
        <v>18</v>
      </c>
      <c r="B3113" s="4">
        <v>394</v>
      </c>
      <c r="D3113"/>
    </row>
    <row r="3114" spans="1:4" x14ac:dyDescent="0.3">
      <c r="A3114" s="4" t="s">
        <v>6</v>
      </c>
      <c r="B3114" s="4">
        <v>740</v>
      </c>
      <c r="D3114"/>
    </row>
    <row r="3115" spans="1:4" x14ac:dyDescent="0.3">
      <c r="A3115" s="4" t="s">
        <v>6</v>
      </c>
      <c r="B3115" s="4">
        <v>600</v>
      </c>
      <c r="D3115"/>
    </row>
    <row r="3116" spans="1:4" x14ac:dyDescent="0.3">
      <c r="A3116" s="4" t="s">
        <v>18</v>
      </c>
      <c r="B3116" s="4">
        <v>117</v>
      </c>
      <c r="D3116"/>
    </row>
    <row r="3117" spans="1:4" x14ac:dyDescent="0.3">
      <c r="A3117" s="4" t="s">
        <v>9</v>
      </c>
      <c r="B3117" s="4">
        <v>587</v>
      </c>
      <c r="D3117"/>
    </row>
    <row r="3118" spans="1:4" x14ac:dyDescent="0.3">
      <c r="A3118" s="4" t="s">
        <v>12</v>
      </c>
      <c r="B3118" s="4">
        <v>213</v>
      </c>
      <c r="D3118"/>
    </row>
    <row r="3119" spans="1:4" x14ac:dyDescent="0.3">
      <c r="A3119" s="4" t="s">
        <v>19</v>
      </c>
      <c r="B3119" s="4">
        <v>369</v>
      </c>
      <c r="D3119"/>
    </row>
    <row r="3120" spans="1:4" x14ac:dyDescent="0.3">
      <c r="A3120" s="4" t="s">
        <v>12</v>
      </c>
      <c r="B3120" s="4">
        <v>321</v>
      </c>
      <c r="D3120"/>
    </row>
    <row r="3121" spans="1:4" x14ac:dyDescent="0.3">
      <c r="A3121" s="4" t="s">
        <v>19</v>
      </c>
      <c r="B3121" s="4">
        <v>937</v>
      </c>
      <c r="D3121"/>
    </row>
    <row r="3122" spans="1:4" x14ac:dyDescent="0.3">
      <c r="A3122" s="4" t="s">
        <v>14</v>
      </c>
      <c r="B3122" s="4">
        <v>959</v>
      </c>
      <c r="D3122"/>
    </row>
    <row r="3123" spans="1:4" x14ac:dyDescent="0.3">
      <c r="A3123" s="4" t="s">
        <v>4</v>
      </c>
      <c r="B3123" s="4">
        <v>780</v>
      </c>
      <c r="D3123"/>
    </row>
    <row r="3124" spans="1:4" x14ac:dyDescent="0.3">
      <c r="A3124" s="4" t="s">
        <v>12</v>
      </c>
      <c r="B3124" s="4">
        <v>594</v>
      </c>
      <c r="D3124"/>
    </row>
    <row r="3125" spans="1:4" x14ac:dyDescent="0.3">
      <c r="A3125" s="4" t="s">
        <v>11</v>
      </c>
      <c r="B3125" s="4">
        <v>811</v>
      </c>
      <c r="D3125"/>
    </row>
    <row r="3126" spans="1:4" x14ac:dyDescent="0.3">
      <c r="A3126" s="4" t="s">
        <v>17</v>
      </c>
      <c r="B3126" s="4">
        <v>329</v>
      </c>
      <c r="D3126"/>
    </row>
    <row r="3127" spans="1:4" x14ac:dyDescent="0.3">
      <c r="A3127" s="4" t="s">
        <v>7</v>
      </c>
      <c r="B3127" s="4">
        <v>405</v>
      </c>
      <c r="D3127"/>
    </row>
    <row r="3128" spans="1:4" x14ac:dyDescent="0.3">
      <c r="A3128" s="4" t="s">
        <v>7</v>
      </c>
      <c r="B3128" s="4">
        <v>750</v>
      </c>
      <c r="D3128"/>
    </row>
    <row r="3129" spans="1:4" x14ac:dyDescent="0.3">
      <c r="A3129" s="4" t="s">
        <v>8</v>
      </c>
      <c r="B3129" s="4">
        <v>746</v>
      </c>
      <c r="D3129"/>
    </row>
    <row r="3130" spans="1:4" x14ac:dyDescent="0.3">
      <c r="A3130" s="4" t="s">
        <v>4</v>
      </c>
      <c r="B3130" s="4">
        <v>868</v>
      </c>
      <c r="D3130"/>
    </row>
    <row r="3131" spans="1:4" x14ac:dyDescent="0.3">
      <c r="A3131" s="4" t="s">
        <v>13</v>
      </c>
      <c r="B3131" s="4">
        <v>683</v>
      </c>
      <c r="D3131"/>
    </row>
    <row r="3132" spans="1:4" x14ac:dyDescent="0.3">
      <c r="A3132" s="4" t="s">
        <v>15</v>
      </c>
      <c r="B3132" s="4">
        <v>709</v>
      </c>
      <c r="D3132"/>
    </row>
    <row r="3133" spans="1:4" x14ac:dyDescent="0.3">
      <c r="A3133" s="4" t="s">
        <v>18</v>
      </c>
      <c r="B3133" s="4">
        <v>617</v>
      </c>
      <c r="D3133"/>
    </row>
    <row r="3134" spans="1:4" x14ac:dyDescent="0.3">
      <c r="A3134" s="4" t="s">
        <v>17</v>
      </c>
      <c r="B3134" s="4">
        <v>509</v>
      </c>
      <c r="D3134"/>
    </row>
    <row r="3135" spans="1:4" x14ac:dyDescent="0.3">
      <c r="A3135" s="4" t="s">
        <v>14</v>
      </c>
      <c r="B3135" s="4">
        <v>721</v>
      </c>
      <c r="D3135"/>
    </row>
    <row r="3136" spans="1:4" x14ac:dyDescent="0.3">
      <c r="A3136" s="4" t="s">
        <v>6</v>
      </c>
      <c r="B3136" s="4">
        <v>459</v>
      </c>
      <c r="D3136"/>
    </row>
    <row r="3137" spans="1:4" x14ac:dyDescent="0.3">
      <c r="A3137" s="4" t="s">
        <v>11</v>
      </c>
      <c r="B3137" s="4">
        <v>232</v>
      </c>
      <c r="D3137"/>
    </row>
    <row r="3138" spans="1:4" x14ac:dyDescent="0.3">
      <c r="A3138" s="4" t="s">
        <v>7</v>
      </c>
      <c r="B3138" s="4">
        <v>538</v>
      </c>
      <c r="D3138"/>
    </row>
    <row r="3139" spans="1:4" x14ac:dyDescent="0.3">
      <c r="A3139" s="4" t="s">
        <v>18</v>
      </c>
      <c r="B3139" s="4">
        <v>301</v>
      </c>
      <c r="D3139"/>
    </row>
    <row r="3140" spans="1:4" x14ac:dyDescent="0.3">
      <c r="A3140" s="4" t="s">
        <v>4</v>
      </c>
      <c r="B3140" s="6">
        <v>904</v>
      </c>
      <c r="D3140"/>
    </row>
    <row r="3141" spans="1:4" x14ac:dyDescent="0.3">
      <c r="A3141" s="4" t="s">
        <v>14</v>
      </c>
      <c r="B3141" s="4">
        <v>999</v>
      </c>
      <c r="D3141"/>
    </row>
    <row r="3142" spans="1:4" x14ac:dyDescent="0.3">
      <c r="A3142" s="4" t="s">
        <v>12</v>
      </c>
      <c r="B3142" s="4">
        <v>203</v>
      </c>
      <c r="D3142"/>
    </row>
    <row r="3143" spans="1:4" x14ac:dyDescent="0.3">
      <c r="A3143" s="4" t="s">
        <v>11</v>
      </c>
      <c r="B3143" s="4">
        <v>647</v>
      </c>
      <c r="D3143"/>
    </row>
    <row r="3144" spans="1:4" x14ac:dyDescent="0.3">
      <c r="A3144" s="4" t="s">
        <v>6</v>
      </c>
      <c r="B3144" s="4">
        <v>254</v>
      </c>
      <c r="D3144"/>
    </row>
    <row r="3145" spans="1:4" x14ac:dyDescent="0.3">
      <c r="A3145" s="4" t="s">
        <v>14</v>
      </c>
      <c r="B3145" s="4" t="e">
        <v>#REF!</v>
      </c>
      <c r="D3145"/>
    </row>
    <row r="3146" spans="1:4" x14ac:dyDescent="0.3">
      <c r="A3146" s="4" t="s">
        <v>19</v>
      </c>
      <c r="B3146" s="4">
        <v>419</v>
      </c>
      <c r="D3146"/>
    </row>
    <row r="3147" spans="1:4" x14ac:dyDescent="0.3">
      <c r="A3147" s="4" t="s">
        <v>6</v>
      </c>
      <c r="B3147" s="4">
        <v>496</v>
      </c>
      <c r="D3147"/>
    </row>
    <row r="3148" spans="1:4" x14ac:dyDescent="0.3">
      <c r="A3148" s="4" t="s">
        <v>6</v>
      </c>
      <c r="B3148" s="4">
        <v>336</v>
      </c>
      <c r="D3148"/>
    </row>
    <row r="3149" spans="1:4" x14ac:dyDescent="0.3">
      <c r="A3149" s="4" t="s">
        <v>15</v>
      </c>
      <c r="B3149" s="4">
        <v>135</v>
      </c>
      <c r="D3149"/>
    </row>
    <row r="3150" spans="1:4" x14ac:dyDescent="0.3">
      <c r="A3150" s="4" t="s">
        <v>6</v>
      </c>
      <c r="B3150" s="4">
        <v>390</v>
      </c>
      <c r="D3150"/>
    </row>
    <row r="3151" spans="1:4" x14ac:dyDescent="0.3">
      <c r="A3151" s="4" t="s">
        <v>6</v>
      </c>
      <c r="B3151" s="4">
        <v>914</v>
      </c>
      <c r="D3151"/>
    </row>
    <row r="3152" spans="1:4" x14ac:dyDescent="0.3">
      <c r="A3152" s="4" t="s">
        <v>9</v>
      </c>
      <c r="B3152" s="4">
        <v>875</v>
      </c>
      <c r="D3152"/>
    </row>
    <row r="3153" spans="1:4" x14ac:dyDescent="0.3">
      <c r="A3153" s="4" t="s">
        <v>7</v>
      </c>
      <c r="B3153" s="4">
        <v>982</v>
      </c>
      <c r="D3153"/>
    </row>
    <row r="3154" spans="1:4" x14ac:dyDescent="0.3">
      <c r="A3154" s="4" t="s">
        <v>6</v>
      </c>
      <c r="B3154" s="4">
        <v>514</v>
      </c>
      <c r="D3154"/>
    </row>
    <row r="3155" spans="1:4" x14ac:dyDescent="0.3">
      <c r="A3155" s="4" t="s">
        <v>17</v>
      </c>
      <c r="B3155" s="4">
        <v>799</v>
      </c>
      <c r="D3155"/>
    </row>
    <row r="3156" spans="1:4" x14ac:dyDescent="0.3">
      <c r="A3156" s="4" t="s">
        <v>9</v>
      </c>
      <c r="B3156" s="4">
        <v>136</v>
      </c>
      <c r="D3156"/>
    </row>
    <row r="3157" spans="1:4" x14ac:dyDescent="0.3">
      <c r="A3157" s="4" t="s">
        <v>9</v>
      </c>
      <c r="B3157" s="4">
        <v>426</v>
      </c>
      <c r="D3157"/>
    </row>
    <row r="3158" spans="1:4" x14ac:dyDescent="0.3">
      <c r="A3158" s="4" t="s">
        <v>10</v>
      </c>
      <c r="B3158" s="4">
        <v>701</v>
      </c>
      <c r="D3158"/>
    </row>
    <row r="3159" spans="1:4" x14ac:dyDescent="0.3">
      <c r="A3159" s="4" t="s">
        <v>12</v>
      </c>
      <c r="B3159" s="4">
        <v>183</v>
      </c>
      <c r="D3159"/>
    </row>
    <row r="3160" spans="1:4" x14ac:dyDescent="0.3">
      <c r="A3160" s="4" t="s">
        <v>6</v>
      </c>
      <c r="B3160" s="4">
        <v>397</v>
      </c>
      <c r="D3160"/>
    </row>
    <row r="3161" spans="1:4" x14ac:dyDescent="0.3">
      <c r="A3161" s="4" t="s">
        <v>13</v>
      </c>
      <c r="B3161" s="4">
        <v>620</v>
      </c>
      <c r="D3161"/>
    </row>
    <row r="3162" spans="1:4" x14ac:dyDescent="0.3">
      <c r="A3162" s="4" t="s">
        <v>16</v>
      </c>
      <c r="B3162" s="4">
        <v>502</v>
      </c>
      <c r="D3162"/>
    </row>
    <row r="3163" spans="1:4" x14ac:dyDescent="0.3">
      <c r="A3163" s="4" t="s">
        <v>6</v>
      </c>
      <c r="B3163" s="4">
        <v>641</v>
      </c>
      <c r="D3163"/>
    </row>
    <row r="3164" spans="1:4" x14ac:dyDescent="0.3">
      <c r="A3164" s="4" t="s">
        <v>17</v>
      </c>
      <c r="B3164" s="4">
        <v>843</v>
      </c>
      <c r="D3164"/>
    </row>
    <row r="3165" spans="1:4" x14ac:dyDescent="0.3">
      <c r="A3165" s="4" t="s">
        <v>7</v>
      </c>
      <c r="B3165" s="4">
        <v>613</v>
      </c>
      <c r="D3165"/>
    </row>
    <row r="3166" spans="1:4" x14ac:dyDescent="0.3">
      <c r="A3166" s="4" t="s">
        <v>14</v>
      </c>
      <c r="B3166" s="4">
        <v>594</v>
      </c>
      <c r="D3166"/>
    </row>
    <row r="3167" spans="1:4" x14ac:dyDescent="0.3">
      <c r="A3167" s="4" t="s">
        <v>19</v>
      </c>
      <c r="B3167" s="4">
        <v>704</v>
      </c>
      <c r="D3167"/>
    </row>
    <row r="3168" spans="1:4" x14ac:dyDescent="0.3">
      <c r="A3168" s="4" t="s">
        <v>11</v>
      </c>
      <c r="B3168" s="4">
        <v>928</v>
      </c>
      <c r="D3168"/>
    </row>
    <row r="3169" spans="1:4" x14ac:dyDescent="0.3">
      <c r="A3169" s="4" t="s">
        <v>7</v>
      </c>
      <c r="B3169" s="4">
        <v>957</v>
      </c>
      <c r="D3169"/>
    </row>
    <row r="3170" spans="1:4" x14ac:dyDescent="0.3">
      <c r="A3170" s="4" t="s">
        <v>11</v>
      </c>
      <c r="B3170" s="4">
        <v>583</v>
      </c>
      <c r="D3170"/>
    </row>
    <row r="3171" spans="1:4" x14ac:dyDescent="0.3">
      <c r="A3171" s="4" t="s">
        <v>19</v>
      </c>
      <c r="B3171" s="4">
        <v>825</v>
      </c>
      <c r="D3171"/>
    </row>
    <row r="3172" spans="1:4" x14ac:dyDescent="0.3">
      <c r="A3172" s="4" t="s">
        <v>4</v>
      </c>
      <c r="B3172" s="4">
        <v>158</v>
      </c>
      <c r="D3172"/>
    </row>
    <row r="3173" spans="1:4" x14ac:dyDescent="0.3">
      <c r="A3173" s="4" t="s">
        <v>4</v>
      </c>
      <c r="B3173" s="4">
        <v>431</v>
      </c>
      <c r="D3173"/>
    </row>
    <row r="3174" spans="1:4" x14ac:dyDescent="0.3">
      <c r="A3174" s="4" t="s">
        <v>10</v>
      </c>
      <c r="B3174" s="4">
        <v>487</v>
      </c>
      <c r="D3174"/>
    </row>
    <row r="3175" spans="1:4" x14ac:dyDescent="0.3">
      <c r="A3175" s="4" t="s">
        <v>6</v>
      </c>
      <c r="B3175" s="4">
        <v>130</v>
      </c>
      <c r="D3175"/>
    </row>
    <row r="3176" spans="1:4" x14ac:dyDescent="0.3">
      <c r="A3176" s="4" t="s">
        <v>10</v>
      </c>
      <c r="B3176" s="4">
        <v>998</v>
      </c>
      <c r="D3176"/>
    </row>
    <row r="3177" spans="1:4" x14ac:dyDescent="0.3">
      <c r="A3177" s="4" t="s">
        <v>13</v>
      </c>
      <c r="B3177" s="4">
        <v>562</v>
      </c>
      <c r="D3177"/>
    </row>
    <row r="3178" spans="1:4" x14ac:dyDescent="0.3">
      <c r="A3178" s="4" t="s">
        <v>10</v>
      </c>
      <c r="B3178" s="4">
        <v>610</v>
      </c>
      <c r="D3178"/>
    </row>
    <row r="3179" spans="1:4" x14ac:dyDescent="0.3">
      <c r="A3179" s="4" t="s">
        <v>4</v>
      </c>
      <c r="B3179" s="4">
        <v>627</v>
      </c>
      <c r="D3179"/>
    </row>
    <row r="3180" spans="1:4" x14ac:dyDescent="0.3">
      <c r="A3180" s="4" t="s">
        <v>15</v>
      </c>
      <c r="B3180" s="4">
        <v>714</v>
      </c>
      <c r="D3180"/>
    </row>
    <row r="3181" spans="1:4" x14ac:dyDescent="0.3">
      <c r="A3181" s="4" t="s">
        <v>17</v>
      </c>
      <c r="B3181" s="4">
        <v>717</v>
      </c>
      <c r="D3181"/>
    </row>
    <row r="3182" spans="1:4" x14ac:dyDescent="0.3">
      <c r="A3182" s="4" t="s">
        <v>16</v>
      </c>
      <c r="B3182" s="4">
        <v>898</v>
      </c>
      <c r="D3182"/>
    </row>
    <row r="3183" spans="1:4" x14ac:dyDescent="0.3">
      <c r="A3183" s="4" t="s">
        <v>4</v>
      </c>
      <c r="B3183" s="4">
        <v>122</v>
      </c>
      <c r="D3183"/>
    </row>
    <row r="3184" spans="1:4" x14ac:dyDescent="0.3">
      <c r="A3184" s="4" t="s">
        <v>11</v>
      </c>
      <c r="B3184" s="4">
        <v>782</v>
      </c>
      <c r="D3184"/>
    </row>
    <row r="3185" spans="1:4" x14ac:dyDescent="0.3">
      <c r="A3185" s="4" t="s">
        <v>12</v>
      </c>
      <c r="B3185" s="4">
        <v>441</v>
      </c>
      <c r="D3185"/>
    </row>
    <row r="3186" spans="1:4" x14ac:dyDescent="0.3">
      <c r="A3186" s="4" t="s">
        <v>6</v>
      </c>
      <c r="B3186" s="4">
        <v>333</v>
      </c>
      <c r="D3186"/>
    </row>
    <row r="3187" spans="1:4" x14ac:dyDescent="0.3">
      <c r="A3187" s="4" t="s">
        <v>12</v>
      </c>
      <c r="B3187" s="4">
        <v>380</v>
      </c>
      <c r="D3187"/>
    </row>
    <row r="3188" spans="1:4" x14ac:dyDescent="0.3">
      <c r="A3188" s="4" t="s">
        <v>4</v>
      </c>
      <c r="B3188" s="4">
        <v>516</v>
      </c>
      <c r="D3188"/>
    </row>
    <row r="3189" spans="1:4" x14ac:dyDescent="0.3">
      <c r="A3189" s="4" t="s">
        <v>9</v>
      </c>
      <c r="B3189" s="4">
        <v>326</v>
      </c>
      <c r="D3189"/>
    </row>
    <row r="3190" spans="1:4" x14ac:dyDescent="0.3">
      <c r="A3190" s="4" t="s">
        <v>17</v>
      </c>
      <c r="B3190" s="4">
        <v>640</v>
      </c>
      <c r="D3190"/>
    </row>
    <row r="3191" spans="1:4" x14ac:dyDescent="0.3">
      <c r="A3191" s="4" t="s">
        <v>4</v>
      </c>
      <c r="B3191" s="4">
        <v>591</v>
      </c>
      <c r="D3191"/>
    </row>
    <row r="3192" spans="1:4" x14ac:dyDescent="0.3">
      <c r="A3192" s="4" t="s">
        <v>7</v>
      </c>
      <c r="B3192" s="4">
        <v>532</v>
      </c>
      <c r="D3192"/>
    </row>
    <row r="3193" spans="1:4" x14ac:dyDescent="0.3">
      <c r="A3193" s="4" t="s">
        <v>4</v>
      </c>
      <c r="B3193" s="4">
        <v>811</v>
      </c>
      <c r="D3193"/>
    </row>
    <row r="3194" spans="1:4" x14ac:dyDescent="0.3">
      <c r="A3194" s="4" t="s">
        <v>15</v>
      </c>
      <c r="B3194" s="4">
        <v>269</v>
      </c>
      <c r="D3194"/>
    </row>
    <row r="3195" spans="1:4" x14ac:dyDescent="0.3">
      <c r="A3195" s="4" t="s">
        <v>12</v>
      </c>
      <c r="B3195" s="4">
        <v>992</v>
      </c>
      <c r="D3195"/>
    </row>
    <row r="3196" spans="1:4" x14ac:dyDescent="0.3">
      <c r="A3196" s="4" t="s">
        <v>6</v>
      </c>
      <c r="B3196" s="4">
        <v>363</v>
      </c>
      <c r="D3196"/>
    </row>
    <row r="3197" spans="1:4" x14ac:dyDescent="0.3">
      <c r="A3197" s="4" t="s">
        <v>9</v>
      </c>
      <c r="B3197" s="4">
        <v>446</v>
      </c>
      <c r="D3197"/>
    </row>
    <row r="3198" spans="1:4" x14ac:dyDescent="0.3">
      <c r="A3198" s="4" t="s">
        <v>15</v>
      </c>
      <c r="B3198" s="4">
        <v>434</v>
      </c>
      <c r="D3198"/>
    </row>
    <row r="3199" spans="1:4" x14ac:dyDescent="0.3">
      <c r="A3199" s="4" t="s">
        <v>10</v>
      </c>
      <c r="B3199" s="4">
        <v>859</v>
      </c>
      <c r="D3199"/>
    </row>
    <row r="3200" spans="1:4" x14ac:dyDescent="0.3">
      <c r="A3200" s="4" t="s">
        <v>19</v>
      </c>
      <c r="B3200" s="4">
        <v>907</v>
      </c>
      <c r="D3200"/>
    </row>
    <row r="3201" spans="1:4" x14ac:dyDescent="0.3">
      <c r="A3201" s="4" t="s">
        <v>17</v>
      </c>
      <c r="B3201" s="4">
        <v>393</v>
      </c>
      <c r="D3201"/>
    </row>
    <row r="3202" spans="1:4" x14ac:dyDescent="0.3">
      <c r="A3202" s="4" t="s">
        <v>4</v>
      </c>
      <c r="B3202" s="4">
        <v>655</v>
      </c>
      <c r="D3202"/>
    </row>
    <row r="3203" spans="1:4" x14ac:dyDescent="0.3">
      <c r="A3203" s="4" t="s">
        <v>7</v>
      </c>
      <c r="B3203" s="4" t="e">
        <v>#N/A</v>
      </c>
      <c r="D3203"/>
    </row>
    <row r="3204" spans="1:4" x14ac:dyDescent="0.3">
      <c r="A3204" s="4" t="s">
        <v>3</v>
      </c>
      <c r="B3204" s="4">
        <v>212</v>
      </c>
      <c r="D3204"/>
    </row>
    <row r="3205" spans="1:4" x14ac:dyDescent="0.3">
      <c r="A3205" s="4" t="s">
        <v>12</v>
      </c>
      <c r="B3205" s="4">
        <v>817</v>
      </c>
      <c r="D3205"/>
    </row>
    <row r="3206" spans="1:4" x14ac:dyDescent="0.3">
      <c r="A3206" s="4" t="s">
        <v>12</v>
      </c>
      <c r="B3206" s="4">
        <v>282</v>
      </c>
      <c r="D3206"/>
    </row>
    <row r="3207" spans="1:4" x14ac:dyDescent="0.3">
      <c r="A3207" s="4" t="s">
        <v>9</v>
      </c>
      <c r="B3207" s="4">
        <v>163</v>
      </c>
      <c r="D3207"/>
    </row>
    <row r="3208" spans="1:4" x14ac:dyDescent="0.3">
      <c r="A3208" s="4" t="s">
        <v>19</v>
      </c>
      <c r="B3208" s="4">
        <v>198</v>
      </c>
      <c r="D3208"/>
    </row>
    <row r="3209" spans="1:4" x14ac:dyDescent="0.3">
      <c r="A3209" s="4" t="s">
        <v>15</v>
      </c>
      <c r="B3209" s="4">
        <v>578</v>
      </c>
      <c r="D3209"/>
    </row>
    <row r="3210" spans="1:4" x14ac:dyDescent="0.3">
      <c r="A3210" s="4" t="s">
        <v>15</v>
      </c>
      <c r="B3210" s="4">
        <v>932</v>
      </c>
      <c r="D3210"/>
    </row>
    <row r="3211" spans="1:4" x14ac:dyDescent="0.3">
      <c r="A3211" s="4" t="s">
        <v>11</v>
      </c>
      <c r="B3211" s="4">
        <v>967</v>
      </c>
      <c r="D3211"/>
    </row>
    <row r="3212" spans="1:4" x14ac:dyDescent="0.3">
      <c r="A3212" s="4" t="s">
        <v>19</v>
      </c>
      <c r="B3212" s="4">
        <v>318</v>
      </c>
      <c r="D3212"/>
    </row>
    <row r="3213" spans="1:4" x14ac:dyDescent="0.3">
      <c r="A3213" s="4" t="s">
        <v>14</v>
      </c>
      <c r="B3213" s="4">
        <v>346</v>
      </c>
      <c r="D3213"/>
    </row>
    <row r="3214" spans="1:4" x14ac:dyDescent="0.3">
      <c r="A3214" s="4" t="s">
        <v>8</v>
      </c>
      <c r="B3214" s="4">
        <v>748</v>
      </c>
      <c r="D3214"/>
    </row>
    <row r="3215" spans="1:4" x14ac:dyDescent="0.3">
      <c r="A3215" s="4" t="s">
        <v>15</v>
      </c>
      <c r="B3215" s="4">
        <v>592</v>
      </c>
      <c r="D3215"/>
    </row>
    <row r="3216" spans="1:4" x14ac:dyDescent="0.3">
      <c r="A3216" s="4" t="s">
        <v>6</v>
      </c>
      <c r="B3216" s="4">
        <v>548</v>
      </c>
      <c r="D3216"/>
    </row>
    <row r="3217" spans="1:4" x14ac:dyDescent="0.3">
      <c r="A3217" s="4" t="s">
        <v>18</v>
      </c>
      <c r="B3217" s="4">
        <v>846</v>
      </c>
      <c r="D3217"/>
    </row>
    <row r="3218" spans="1:4" x14ac:dyDescent="0.3">
      <c r="A3218" s="4" t="s">
        <v>18</v>
      </c>
      <c r="B3218" s="4">
        <v>341</v>
      </c>
      <c r="D3218"/>
    </row>
    <row r="3219" spans="1:4" x14ac:dyDescent="0.3">
      <c r="A3219" s="4" t="s">
        <v>8</v>
      </c>
      <c r="B3219" s="4">
        <v>138</v>
      </c>
      <c r="D3219"/>
    </row>
    <row r="3220" spans="1:4" x14ac:dyDescent="0.3">
      <c r="A3220" s="4" t="s">
        <v>9</v>
      </c>
      <c r="B3220" s="4">
        <v>854</v>
      </c>
      <c r="D3220"/>
    </row>
    <row r="3221" spans="1:4" x14ac:dyDescent="0.3">
      <c r="A3221" s="4" t="s">
        <v>9</v>
      </c>
      <c r="B3221" s="4">
        <v>236</v>
      </c>
      <c r="D3221"/>
    </row>
    <row r="3222" spans="1:4" x14ac:dyDescent="0.3">
      <c r="A3222" s="4" t="s">
        <v>12</v>
      </c>
      <c r="B3222" s="4">
        <v>145</v>
      </c>
      <c r="D3222"/>
    </row>
    <row r="3223" spans="1:4" x14ac:dyDescent="0.3">
      <c r="A3223" s="4" t="s">
        <v>7</v>
      </c>
      <c r="B3223" s="4">
        <v>446</v>
      </c>
      <c r="D3223"/>
    </row>
    <row r="3224" spans="1:4" x14ac:dyDescent="0.3">
      <c r="A3224" s="4" t="s">
        <v>11</v>
      </c>
      <c r="B3224" s="4">
        <v>734</v>
      </c>
      <c r="D3224"/>
    </row>
    <row r="3225" spans="1:4" x14ac:dyDescent="0.3">
      <c r="A3225" s="4" t="s">
        <v>9</v>
      </c>
      <c r="B3225" s="4">
        <v>294</v>
      </c>
      <c r="D3225"/>
    </row>
    <row r="3226" spans="1:4" x14ac:dyDescent="0.3">
      <c r="A3226" s="4" t="s">
        <v>8</v>
      </c>
      <c r="B3226" s="4">
        <v>355</v>
      </c>
      <c r="D3226"/>
    </row>
    <row r="3227" spans="1:4" x14ac:dyDescent="0.3">
      <c r="A3227" s="4" t="s">
        <v>18</v>
      </c>
      <c r="B3227" s="4">
        <v>641</v>
      </c>
      <c r="D3227"/>
    </row>
    <row r="3228" spans="1:4" x14ac:dyDescent="0.3">
      <c r="A3228" s="4" t="s">
        <v>10</v>
      </c>
      <c r="B3228" s="4">
        <v>548</v>
      </c>
      <c r="D3228"/>
    </row>
    <row r="3229" spans="1:4" x14ac:dyDescent="0.3">
      <c r="A3229" s="4" t="s">
        <v>4</v>
      </c>
      <c r="B3229" s="4">
        <v>122</v>
      </c>
      <c r="D3229"/>
    </row>
    <row r="3230" spans="1:4" x14ac:dyDescent="0.3">
      <c r="A3230" s="4" t="s">
        <v>9</v>
      </c>
      <c r="B3230" s="4">
        <v>182</v>
      </c>
      <c r="D3230"/>
    </row>
    <row r="3231" spans="1:4" x14ac:dyDescent="0.3">
      <c r="A3231" s="4" t="s">
        <v>6</v>
      </c>
      <c r="B3231" s="4">
        <v>714</v>
      </c>
      <c r="D3231"/>
    </row>
    <row r="3232" spans="1:4" x14ac:dyDescent="0.3">
      <c r="A3232" s="4" t="s">
        <v>19</v>
      </c>
      <c r="B3232" s="4">
        <v>897</v>
      </c>
      <c r="D3232"/>
    </row>
    <row r="3233" spans="1:4" x14ac:dyDescent="0.3">
      <c r="A3233" s="4" t="s">
        <v>16</v>
      </c>
      <c r="B3233" s="4">
        <v>772</v>
      </c>
      <c r="D3233"/>
    </row>
    <row r="3234" spans="1:4" x14ac:dyDescent="0.3">
      <c r="A3234" s="4" t="s">
        <v>9</v>
      </c>
      <c r="B3234" s="4">
        <v>34</v>
      </c>
      <c r="D3234"/>
    </row>
    <row r="3235" spans="1:4" x14ac:dyDescent="0.3">
      <c r="A3235" s="4" t="s">
        <v>6</v>
      </c>
      <c r="B3235" s="4">
        <v>671</v>
      </c>
      <c r="D3235"/>
    </row>
    <row r="3236" spans="1:4" x14ac:dyDescent="0.3">
      <c r="A3236" s="4" t="s">
        <v>19</v>
      </c>
      <c r="B3236" s="4">
        <v>193</v>
      </c>
      <c r="D3236"/>
    </row>
    <row r="3237" spans="1:4" x14ac:dyDescent="0.3">
      <c r="A3237" s="4" t="s">
        <v>7</v>
      </c>
      <c r="B3237" s="4">
        <v>20</v>
      </c>
      <c r="D3237"/>
    </row>
    <row r="3238" spans="1:4" x14ac:dyDescent="0.3">
      <c r="A3238" s="4" t="s">
        <v>12</v>
      </c>
      <c r="B3238" s="4">
        <v>758</v>
      </c>
      <c r="D3238"/>
    </row>
    <row r="3239" spans="1:4" x14ac:dyDescent="0.3">
      <c r="A3239" s="4" t="s">
        <v>14</v>
      </c>
      <c r="B3239" s="4">
        <v>913</v>
      </c>
      <c r="D3239"/>
    </row>
    <row r="3240" spans="1:4" x14ac:dyDescent="0.3">
      <c r="A3240" s="4" t="s">
        <v>17</v>
      </c>
      <c r="B3240" s="4">
        <v>890</v>
      </c>
      <c r="D3240"/>
    </row>
    <row r="3241" spans="1:4" x14ac:dyDescent="0.3">
      <c r="A3241" s="4" t="s">
        <v>3</v>
      </c>
      <c r="B3241" s="4">
        <v>852</v>
      </c>
      <c r="D3241"/>
    </row>
    <row r="3242" spans="1:4" x14ac:dyDescent="0.3">
      <c r="A3242" s="4" t="s">
        <v>7</v>
      </c>
      <c r="B3242" s="4">
        <v>811</v>
      </c>
      <c r="D3242"/>
    </row>
    <row r="3243" spans="1:4" x14ac:dyDescent="0.3">
      <c r="A3243" s="4" t="s">
        <v>6</v>
      </c>
      <c r="B3243" s="4">
        <v>607</v>
      </c>
      <c r="D3243"/>
    </row>
    <row r="3244" spans="1:4" x14ac:dyDescent="0.3">
      <c r="A3244" s="4" t="s">
        <v>10</v>
      </c>
      <c r="B3244" s="4">
        <v>978</v>
      </c>
      <c r="D3244"/>
    </row>
    <row r="3245" spans="1:4" x14ac:dyDescent="0.3">
      <c r="A3245" s="4" t="s">
        <v>15</v>
      </c>
      <c r="B3245" s="4">
        <v>860</v>
      </c>
      <c r="D3245"/>
    </row>
    <row r="3246" spans="1:4" x14ac:dyDescent="0.3">
      <c r="A3246" s="4" t="s">
        <v>19</v>
      </c>
      <c r="B3246" s="4">
        <v>540</v>
      </c>
      <c r="D3246"/>
    </row>
    <row r="3247" spans="1:4" x14ac:dyDescent="0.3">
      <c r="A3247" s="4" t="s">
        <v>10</v>
      </c>
      <c r="B3247" s="4">
        <v>188</v>
      </c>
      <c r="D3247"/>
    </row>
    <row r="3248" spans="1:4" x14ac:dyDescent="0.3">
      <c r="A3248" s="4" t="s">
        <v>17</v>
      </c>
      <c r="B3248" s="4">
        <v>477</v>
      </c>
      <c r="D3248"/>
    </row>
    <row r="3249" spans="1:4" x14ac:dyDescent="0.3">
      <c r="A3249" s="4" t="s">
        <v>8</v>
      </c>
      <c r="B3249" s="4">
        <v>573</v>
      </c>
      <c r="D3249"/>
    </row>
    <row r="3250" spans="1:4" x14ac:dyDescent="0.3">
      <c r="A3250" s="4" t="s">
        <v>19</v>
      </c>
      <c r="B3250" s="4">
        <v>751</v>
      </c>
      <c r="D3250"/>
    </row>
    <row r="3251" spans="1:4" x14ac:dyDescent="0.3">
      <c r="A3251" s="4" t="s">
        <v>12</v>
      </c>
      <c r="B3251" s="4">
        <v>774</v>
      </c>
      <c r="D3251"/>
    </row>
    <row r="3252" spans="1:4" x14ac:dyDescent="0.3">
      <c r="A3252" s="4" t="s">
        <v>11</v>
      </c>
      <c r="B3252" s="4">
        <v>930</v>
      </c>
      <c r="D3252"/>
    </row>
    <row r="3253" spans="1:4" x14ac:dyDescent="0.3">
      <c r="A3253" s="4" t="s">
        <v>12</v>
      </c>
      <c r="B3253" s="4">
        <v>740</v>
      </c>
      <c r="D3253"/>
    </row>
    <row r="3254" spans="1:4" x14ac:dyDescent="0.3">
      <c r="A3254" s="4" t="s">
        <v>4</v>
      </c>
      <c r="B3254" s="4">
        <v>724</v>
      </c>
      <c r="D3254"/>
    </row>
    <row r="3255" spans="1:4" x14ac:dyDescent="0.3">
      <c r="A3255" s="4" t="s">
        <v>9</v>
      </c>
      <c r="B3255" s="4">
        <v>133</v>
      </c>
      <c r="D3255"/>
    </row>
    <row r="3256" spans="1:4" x14ac:dyDescent="0.3">
      <c r="A3256" s="4" t="s">
        <v>13</v>
      </c>
      <c r="B3256" s="4">
        <v>918</v>
      </c>
      <c r="D3256"/>
    </row>
    <row r="3257" spans="1:4" x14ac:dyDescent="0.3">
      <c r="A3257" s="4" t="s">
        <v>13</v>
      </c>
      <c r="B3257" s="4">
        <v>596</v>
      </c>
      <c r="D3257"/>
    </row>
    <row r="3258" spans="1:4" x14ac:dyDescent="0.3">
      <c r="A3258" s="4" t="s">
        <v>19</v>
      </c>
      <c r="B3258" s="4">
        <v>733</v>
      </c>
      <c r="D3258"/>
    </row>
    <row r="3259" spans="1:4" x14ac:dyDescent="0.3">
      <c r="A3259" s="4" t="s">
        <v>14</v>
      </c>
      <c r="B3259" s="4">
        <v>516</v>
      </c>
      <c r="D3259"/>
    </row>
    <row r="3260" spans="1:4" x14ac:dyDescent="0.3">
      <c r="A3260" s="4" t="s">
        <v>7</v>
      </c>
      <c r="B3260" s="4">
        <v>795</v>
      </c>
      <c r="D3260"/>
    </row>
    <row r="3261" spans="1:4" x14ac:dyDescent="0.3">
      <c r="A3261" s="4" t="s">
        <v>13</v>
      </c>
      <c r="B3261" s="4">
        <v>426</v>
      </c>
      <c r="D3261"/>
    </row>
    <row r="3262" spans="1:4" x14ac:dyDescent="0.3">
      <c r="A3262" s="4" t="s">
        <v>7</v>
      </c>
      <c r="B3262" s="4">
        <v>300</v>
      </c>
      <c r="D3262"/>
    </row>
    <row r="3263" spans="1:4" x14ac:dyDescent="0.3">
      <c r="A3263" s="4" t="s">
        <v>8</v>
      </c>
      <c r="B3263" s="4">
        <v>679</v>
      </c>
      <c r="D3263"/>
    </row>
    <row r="3264" spans="1:4" x14ac:dyDescent="0.3">
      <c r="A3264" s="4" t="s">
        <v>19</v>
      </c>
      <c r="B3264" s="4">
        <v>608</v>
      </c>
      <c r="D3264"/>
    </row>
    <row r="3265" spans="1:4" x14ac:dyDescent="0.3">
      <c r="A3265" s="4" t="s">
        <v>15</v>
      </c>
      <c r="B3265" s="4">
        <v>840</v>
      </c>
      <c r="D3265"/>
    </row>
    <row r="3266" spans="1:4" x14ac:dyDescent="0.3">
      <c r="A3266" s="4" t="s">
        <v>7</v>
      </c>
      <c r="B3266" s="4">
        <v>780</v>
      </c>
      <c r="D3266"/>
    </row>
    <row r="3267" spans="1:4" x14ac:dyDescent="0.3">
      <c r="A3267" s="4" t="s">
        <v>6</v>
      </c>
      <c r="B3267" s="4">
        <v>888</v>
      </c>
      <c r="D3267"/>
    </row>
    <row r="3268" spans="1:4" x14ac:dyDescent="0.3">
      <c r="A3268" s="4" t="s">
        <v>6</v>
      </c>
      <c r="B3268" s="4">
        <v>100</v>
      </c>
      <c r="D3268"/>
    </row>
    <row r="3269" spans="1:4" x14ac:dyDescent="0.3">
      <c r="A3269" s="4" t="s">
        <v>3</v>
      </c>
      <c r="B3269" s="4">
        <v>848</v>
      </c>
      <c r="D3269"/>
    </row>
    <row r="3270" spans="1:4" x14ac:dyDescent="0.3">
      <c r="A3270" s="4" t="s">
        <v>16</v>
      </c>
      <c r="B3270" s="4">
        <v>471</v>
      </c>
      <c r="D3270"/>
    </row>
    <row r="3271" spans="1:4" x14ac:dyDescent="0.3">
      <c r="A3271" s="4" t="s">
        <v>19</v>
      </c>
      <c r="B3271" s="4">
        <v>722</v>
      </c>
      <c r="D3271"/>
    </row>
    <row r="3272" spans="1:4" x14ac:dyDescent="0.3">
      <c r="A3272" s="4" t="s">
        <v>10</v>
      </c>
      <c r="B3272" s="4">
        <v>902</v>
      </c>
      <c r="D3272"/>
    </row>
    <row r="3273" spans="1:4" x14ac:dyDescent="0.3">
      <c r="A3273" s="4" t="s">
        <v>7</v>
      </c>
      <c r="B3273" s="4">
        <v>71</v>
      </c>
      <c r="D3273"/>
    </row>
    <row r="3274" spans="1:4" x14ac:dyDescent="0.3">
      <c r="A3274" s="4" t="s">
        <v>13</v>
      </c>
      <c r="B3274" s="4">
        <v>394</v>
      </c>
      <c r="D3274"/>
    </row>
    <row r="3275" spans="1:4" x14ac:dyDescent="0.3">
      <c r="A3275" s="4" t="s">
        <v>6</v>
      </c>
      <c r="B3275" s="4">
        <v>614</v>
      </c>
      <c r="D3275"/>
    </row>
    <row r="3276" spans="1:4" x14ac:dyDescent="0.3">
      <c r="A3276" s="4" t="s">
        <v>12</v>
      </c>
      <c r="B3276" s="4">
        <v>923</v>
      </c>
      <c r="D3276"/>
    </row>
    <row r="3277" spans="1:4" x14ac:dyDescent="0.3">
      <c r="A3277" s="4" t="s">
        <v>8</v>
      </c>
      <c r="B3277" s="4">
        <v>357</v>
      </c>
      <c r="D3277"/>
    </row>
    <row r="3278" spans="1:4" x14ac:dyDescent="0.3">
      <c r="A3278" s="4" t="s">
        <v>6</v>
      </c>
      <c r="B3278" s="4">
        <v>368</v>
      </c>
      <c r="D3278"/>
    </row>
    <row r="3279" spans="1:4" x14ac:dyDescent="0.3">
      <c r="A3279" s="4" t="s">
        <v>6</v>
      </c>
      <c r="B3279" s="4">
        <v>340</v>
      </c>
      <c r="D3279"/>
    </row>
    <row r="3280" spans="1:4" x14ac:dyDescent="0.3">
      <c r="A3280" s="4" t="s">
        <v>11</v>
      </c>
      <c r="B3280" s="4">
        <v>429</v>
      </c>
      <c r="D3280"/>
    </row>
    <row r="3281" spans="1:4" x14ac:dyDescent="0.3">
      <c r="A3281" s="4" t="s">
        <v>14</v>
      </c>
      <c r="B3281" s="4">
        <v>682</v>
      </c>
      <c r="D3281"/>
    </row>
    <row r="3282" spans="1:4" x14ac:dyDescent="0.3">
      <c r="A3282" s="4" t="s">
        <v>18</v>
      </c>
      <c r="B3282" s="4">
        <v>469</v>
      </c>
      <c r="D3282"/>
    </row>
    <row r="3283" spans="1:4" x14ac:dyDescent="0.3">
      <c r="A3283" s="4" t="s">
        <v>10</v>
      </c>
      <c r="B3283" s="4">
        <v>869</v>
      </c>
      <c r="D3283"/>
    </row>
    <row r="3284" spans="1:4" x14ac:dyDescent="0.3">
      <c r="A3284" s="4" t="s">
        <v>4</v>
      </c>
      <c r="B3284" s="4">
        <v>342</v>
      </c>
      <c r="D3284"/>
    </row>
    <row r="3285" spans="1:4" x14ac:dyDescent="0.3">
      <c r="A3285" s="4" t="s">
        <v>3</v>
      </c>
      <c r="B3285" s="4">
        <v>992</v>
      </c>
      <c r="D3285"/>
    </row>
    <row r="3286" spans="1:4" x14ac:dyDescent="0.3">
      <c r="A3286" s="4" t="s">
        <v>7</v>
      </c>
      <c r="B3286" s="4">
        <v>580</v>
      </c>
      <c r="D3286"/>
    </row>
    <row r="3287" spans="1:4" x14ac:dyDescent="0.3">
      <c r="A3287" s="4" t="s">
        <v>16</v>
      </c>
      <c r="B3287" s="4">
        <v>691</v>
      </c>
      <c r="D3287"/>
    </row>
    <row r="3288" spans="1:4" x14ac:dyDescent="0.3">
      <c r="A3288" s="4" t="s">
        <v>14</v>
      </c>
      <c r="B3288" s="4">
        <v>793</v>
      </c>
      <c r="D3288"/>
    </row>
    <row r="3289" spans="1:4" x14ac:dyDescent="0.3">
      <c r="A3289" s="4" t="s">
        <v>11</v>
      </c>
      <c r="B3289" s="4">
        <v>256</v>
      </c>
      <c r="D3289"/>
    </row>
    <row r="3290" spans="1:4" x14ac:dyDescent="0.3">
      <c r="A3290" s="4" t="s">
        <v>13</v>
      </c>
      <c r="B3290" s="4">
        <v>162</v>
      </c>
      <c r="D3290"/>
    </row>
    <row r="3291" spans="1:4" x14ac:dyDescent="0.3">
      <c r="A3291" s="4" t="s">
        <v>18</v>
      </c>
      <c r="B3291" s="4">
        <v>219</v>
      </c>
      <c r="D3291"/>
    </row>
    <row r="3292" spans="1:4" x14ac:dyDescent="0.3">
      <c r="A3292" s="4" t="s">
        <v>10</v>
      </c>
      <c r="B3292" s="4">
        <v>786</v>
      </c>
      <c r="D3292"/>
    </row>
    <row r="3293" spans="1:4" x14ac:dyDescent="0.3">
      <c r="A3293" s="4" t="s">
        <v>3</v>
      </c>
      <c r="B3293" s="4">
        <v>547</v>
      </c>
      <c r="D3293"/>
    </row>
    <row r="3294" spans="1:4" x14ac:dyDescent="0.3">
      <c r="A3294" s="4" t="s">
        <v>10</v>
      </c>
      <c r="B3294" s="4">
        <v>934</v>
      </c>
      <c r="D3294"/>
    </row>
    <row r="3295" spans="1:4" x14ac:dyDescent="0.3">
      <c r="A3295" s="4" t="s">
        <v>8</v>
      </c>
      <c r="B3295" s="4">
        <v>323</v>
      </c>
      <c r="D3295"/>
    </row>
    <row r="3296" spans="1:4" x14ac:dyDescent="0.3">
      <c r="A3296" s="4" t="s">
        <v>11</v>
      </c>
      <c r="B3296" s="4">
        <v>411</v>
      </c>
      <c r="D3296"/>
    </row>
    <row r="3297" spans="1:4" x14ac:dyDescent="0.3">
      <c r="A3297" s="4" t="s">
        <v>12</v>
      </c>
      <c r="B3297" s="4">
        <v>412</v>
      </c>
      <c r="D3297"/>
    </row>
    <row r="3298" spans="1:4" x14ac:dyDescent="0.3">
      <c r="A3298" s="4" t="s">
        <v>4</v>
      </c>
      <c r="B3298" s="4">
        <v>323</v>
      </c>
      <c r="D3298"/>
    </row>
    <row r="3299" spans="1:4" x14ac:dyDescent="0.3">
      <c r="A3299" s="4" t="s">
        <v>19</v>
      </c>
      <c r="B3299" s="4">
        <v>727</v>
      </c>
      <c r="D3299"/>
    </row>
    <row r="3300" spans="1:4" x14ac:dyDescent="0.3">
      <c r="A3300" s="4" t="s">
        <v>14</v>
      </c>
      <c r="B3300" s="4">
        <v>272</v>
      </c>
      <c r="D3300"/>
    </row>
    <row r="3301" spans="1:4" x14ac:dyDescent="0.3">
      <c r="A3301" s="4" t="s">
        <v>12</v>
      </c>
      <c r="B3301" s="4">
        <v>511</v>
      </c>
      <c r="D3301"/>
    </row>
    <row r="3302" spans="1:4" x14ac:dyDescent="0.3">
      <c r="A3302" s="4" t="s">
        <v>18</v>
      </c>
      <c r="B3302" s="4">
        <v>901</v>
      </c>
      <c r="D3302"/>
    </row>
    <row r="3303" spans="1:4" x14ac:dyDescent="0.3">
      <c r="A3303" s="4" t="s">
        <v>8</v>
      </c>
      <c r="B3303" s="4">
        <v>809</v>
      </c>
      <c r="D3303"/>
    </row>
    <row r="3304" spans="1:4" x14ac:dyDescent="0.3">
      <c r="A3304" s="4" t="s">
        <v>18</v>
      </c>
      <c r="B3304" s="4">
        <v>837</v>
      </c>
      <c r="D3304"/>
    </row>
    <row r="3305" spans="1:4" x14ac:dyDescent="0.3">
      <c r="A3305" s="4" t="s">
        <v>7</v>
      </c>
      <c r="B3305" s="4">
        <v>566</v>
      </c>
      <c r="D3305"/>
    </row>
    <row r="3306" spans="1:4" x14ac:dyDescent="0.3">
      <c r="A3306" s="4" t="s">
        <v>11</v>
      </c>
      <c r="B3306" s="4">
        <v>247</v>
      </c>
      <c r="D3306"/>
    </row>
    <row r="3307" spans="1:4" x14ac:dyDescent="0.3">
      <c r="A3307" s="4" t="s">
        <v>12</v>
      </c>
      <c r="B3307" s="4" t="e">
        <v>#N/A</v>
      </c>
      <c r="D3307"/>
    </row>
    <row r="3308" spans="1:4" x14ac:dyDescent="0.3">
      <c r="A3308" s="4" t="s">
        <v>12</v>
      </c>
      <c r="B3308" s="4">
        <v>760</v>
      </c>
      <c r="D3308"/>
    </row>
    <row r="3309" spans="1:4" x14ac:dyDescent="0.3">
      <c r="A3309" s="4" t="s">
        <v>16</v>
      </c>
      <c r="B3309" s="4">
        <v>435</v>
      </c>
      <c r="D3309"/>
    </row>
    <row r="3310" spans="1:4" x14ac:dyDescent="0.3">
      <c r="A3310" s="4" t="s">
        <v>6</v>
      </c>
      <c r="B3310" s="4">
        <v>485</v>
      </c>
      <c r="D3310"/>
    </row>
    <row r="3311" spans="1:4" x14ac:dyDescent="0.3">
      <c r="A3311" s="4" t="s">
        <v>9</v>
      </c>
      <c r="B3311" s="4">
        <v>365</v>
      </c>
      <c r="D3311"/>
    </row>
    <row r="3312" spans="1:4" x14ac:dyDescent="0.3">
      <c r="A3312" s="4" t="s">
        <v>10</v>
      </c>
      <c r="B3312" s="4">
        <v>506</v>
      </c>
      <c r="D3312"/>
    </row>
    <row r="3313" spans="1:4" x14ac:dyDescent="0.3">
      <c r="A3313" s="4" t="s">
        <v>16</v>
      </c>
      <c r="B3313" s="4">
        <v>635</v>
      </c>
      <c r="D3313"/>
    </row>
    <row r="3314" spans="1:4" x14ac:dyDescent="0.3">
      <c r="A3314" s="4" t="s">
        <v>14</v>
      </c>
      <c r="B3314" s="4">
        <v>786</v>
      </c>
      <c r="D3314"/>
    </row>
    <row r="3315" spans="1:4" x14ac:dyDescent="0.3">
      <c r="A3315" s="4" t="s">
        <v>12</v>
      </c>
      <c r="B3315" s="4">
        <v>817</v>
      </c>
      <c r="D3315"/>
    </row>
    <row r="3316" spans="1:4" x14ac:dyDescent="0.3">
      <c r="A3316" s="4" t="s">
        <v>19</v>
      </c>
      <c r="B3316" s="4">
        <v>731</v>
      </c>
      <c r="D3316"/>
    </row>
    <row r="3317" spans="1:4" x14ac:dyDescent="0.3">
      <c r="A3317" s="4" t="s">
        <v>3</v>
      </c>
      <c r="B3317" s="4">
        <v>756</v>
      </c>
      <c r="D3317"/>
    </row>
    <row r="3318" spans="1:4" x14ac:dyDescent="0.3">
      <c r="A3318" s="4" t="s">
        <v>16</v>
      </c>
      <c r="B3318" s="4">
        <v>807</v>
      </c>
      <c r="D3318"/>
    </row>
    <row r="3319" spans="1:4" x14ac:dyDescent="0.3">
      <c r="A3319" s="4" t="s">
        <v>14</v>
      </c>
      <c r="B3319" s="4">
        <v>386</v>
      </c>
      <c r="D3319"/>
    </row>
    <row r="3320" spans="1:4" x14ac:dyDescent="0.3">
      <c r="A3320" s="4" t="s">
        <v>12</v>
      </c>
      <c r="B3320" s="4">
        <v>274</v>
      </c>
      <c r="D3320"/>
    </row>
    <row r="3321" spans="1:4" x14ac:dyDescent="0.3">
      <c r="A3321" s="4" t="s">
        <v>3</v>
      </c>
      <c r="B3321" s="4">
        <v>743</v>
      </c>
      <c r="D3321"/>
    </row>
    <row r="3322" spans="1:4" x14ac:dyDescent="0.3">
      <c r="A3322" s="4" t="s">
        <v>11</v>
      </c>
      <c r="B3322" s="4">
        <v>930</v>
      </c>
      <c r="D3322"/>
    </row>
    <row r="3323" spans="1:4" x14ac:dyDescent="0.3">
      <c r="A3323" s="4" t="s">
        <v>11</v>
      </c>
      <c r="B3323" s="4">
        <v>851</v>
      </c>
      <c r="D3323"/>
    </row>
    <row r="3324" spans="1:4" x14ac:dyDescent="0.3">
      <c r="A3324" s="4" t="s">
        <v>13</v>
      </c>
      <c r="B3324" s="4">
        <v>438</v>
      </c>
      <c r="D3324"/>
    </row>
    <row r="3325" spans="1:4" x14ac:dyDescent="0.3">
      <c r="A3325" s="4" t="s">
        <v>10</v>
      </c>
      <c r="B3325" s="4">
        <v>143</v>
      </c>
      <c r="D3325"/>
    </row>
    <row r="3326" spans="1:4" x14ac:dyDescent="0.3">
      <c r="A3326" s="4" t="s">
        <v>19</v>
      </c>
      <c r="B3326" s="4">
        <v>484</v>
      </c>
      <c r="D3326"/>
    </row>
    <row r="3327" spans="1:4" x14ac:dyDescent="0.3">
      <c r="A3327" s="4" t="s">
        <v>12</v>
      </c>
      <c r="B3327" s="4">
        <v>446</v>
      </c>
      <c r="D3327"/>
    </row>
    <row r="3328" spans="1:4" x14ac:dyDescent="0.3">
      <c r="A3328" s="4" t="s">
        <v>9</v>
      </c>
      <c r="B3328" s="4">
        <v>742</v>
      </c>
      <c r="D3328"/>
    </row>
    <row r="3329" spans="1:4" x14ac:dyDescent="0.3">
      <c r="A3329" s="4" t="s">
        <v>3</v>
      </c>
      <c r="B3329" s="4">
        <v>685</v>
      </c>
      <c r="D3329"/>
    </row>
    <row r="3330" spans="1:4" x14ac:dyDescent="0.3">
      <c r="A3330" s="4" t="s">
        <v>15</v>
      </c>
      <c r="B3330" s="4">
        <v>361</v>
      </c>
      <c r="D3330"/>
    </row>
    <row r="3331" spans="1:4" x14ac:dyDescent="0.3">
      <c r="A3331" s="4" t="s">
        <v>10</v>
      </c>
      <c r="B3331" s="4">
        <v>469</v>
      </c>
      <c r="D3331"/>
    </row>
    <row r="3332" spans="1:4" x14ac:dyDescent="0.3">
      <c r="A3332" s="4" t="s">
        <v>4</v>
      </c>
      <c r="B3332" s="4">
        <v>817</v>
      </c>
      <c r="D3332"/>
    </row>
    <row r="3333" spans="1:4" x14ac:dyDescent="0.3">
      <c r="A3333" s="4" t="s">
        <v>19</v>
      </c>
      <c r="B3333" s="4">
        <v>907</v>
      </c>
      <c r="D3333"/>
    </row>
    <row r="3334" spans="1:4" x14ac:dyDescent="0.3">
      <c r="A3334" s="4" t="s">
        <v>3</v>
      </c>
      <c r="B3334" s="4">
        <v>127</v>
      </c>
      <c r="D3334"/>
    </row>
    <row r="3335" spans="1:4" x14ac:dyDescent="0.3">
      <c r="A3335" s="4" t="s">
        <v>9</v>
      </c>
      <c r="B3335" s="4">
        <v>887</v>
      </c>
      <c r="D3335"/>
    </row>
    <row r="3336" spans="1:4" x14ac:dyDescent="0.3">
      <c r="A3336" s="4" t="s">
        <v>10</v>
      </c>
      <c r="B3336" s="4">
        <v>921</v>
      </c>
      <c r="D3336"/>
    </row>
    <row r="3337" spans="1:4" x14ac:dyDescent="0.3">
      <c r="A3337" s="4" t="s">
        <v>10</v>
      </c>
      <c r="B3337" s="4">
        <v>105</v>
      </c>
      <c r="D3337"/>
    </row>
    <row r="3338" spans="1:4" x14ac:dyDescent="0.3">
      <c r="A3338" s="4" t="s">
        <v>4</v>
      </c>
      <c r="B3338" s="4">
        <v>389</v>
      </c>
      <c r="D3338"/>
    </row>
    <row r="3339" spans="1:4" x14ac:dyDescent="0.3">
      <c r="A3339" s="4" t="s">
        <v>17</v>
      </c>
      <c r="B3339" s="4">
        <v>699</v>
      </c>
      <c r="D3339"/>
    </row>
    <row r="3340" spans="1:4" x14ac:dyDescent="0.3">
      <c r="A3340" s="4" t="s">
        <v>13</v>
      </c>
      <c r="B3340" s="4">
        <v>615</v>
      </c>
      <c r="D3340"/>
    </row>
    <row r="3341" spans="1:4" x14ac:dyDescent="0.3">
      <c r="A3341" s="4" t="s">
        <v>7</v>
      </c>
      <c r="B3341" s="4">
        <v>577</v>
      </c>
      <c r="D3341"/>
    </row>
    <row r="3342" spans="1:4" x14ac:dyDescent="0.3">
      <c r="A3342" s="4" t="s">
        <v>17</v>
      </c>
      <c r="B3342" s="4">
        <v>356</v>
      </c>
      <c r="D3342"/>
    </row>
    <row r="3343" spans="1:4" x14ac:dyDescent="0.3">
      <c r="A3343" s="4" t="s">
        <v>15</v>
      </c>
      <c r="B3343" s="4">
        <v>250</v>
      </c>
      <c r="D3343"/>
    </row>
    <row r="3344" spans="1:4" x14ac:dyDescent="0.3">
      <c r="A3344" s="4" t="s">
        <v>12</v>
      </c>
      <c r="B3344" s="4">
        <v>436</v>
      </c>
      <c r="D3344"/>
    </row>
    <row r="3345" spans="1:4" x14ac:dyDescent="0.3">
      <c r="A3345" s="4" t="s">
        <v>18</v>
      </c>
      <c r="B3345" s="4">
        <v>287</v>
      </c>
      <c r="D3345"/>
    </row>
    <row r="3346" spans="1:4" x14ac:dyDescent="0.3">
      <c r="A3346" s="4" t="s">
        <v>14</v>
      </c>
      <c r="B3346" s="4">
        <v>101</v>
      </c>
      <c r="D3346"/>
    </row>
    <row r="3347" spans="1:4" x14ac:dyDescent="0.3">
      <c r="A3347" s="4" t="s">
        <v>7</v>
      </c>
      <c r="B3347" s="4">
        <v>506</v>
      </c>
      <c r="D3347"/>
    </row>
    <row r="3348" spans="1:4" x14ac:dyDescent="0.3">
      <c r="A3348" s="4" t="s">
        <v>6</v>
      </c>
      <c r="B3348" s="4">
        <v>948</v>
      </c>
      <c r="D3348"/>
    </row>
    <row r="3349" spans="1:4" x14ac:dyDescent="0.3">
      <c r="A3349" s="4" t="s">
        <v>10</v>
      </c>
      <c r="B3349" s="4">
        <v>769</v>
      </c>
      <c r="D3349"/>
    </row>
    <row r="3350" spans="1:4" x14ac:dyDescent="0.3">
      <c r="A3350" s="4" t="s">
        <v>12</v>
      </c>
      <c r="B3350" s="4">
        <v>673</v>
      </c>
      <c r="D3350"/>
    </row>
    <row r="3351" spans="1:4" x14ac:dyDescent="0.3">
      <c r="A3351" s="4" t="s">
        <v>12</v>
      </c>
      <c r="B3351" s="4">
        <v>231</v>
      </c>
      <c r="D3351"/>
    </row>
    <row r="3352" spans="1:4" x14ac:dyDescent="0.3">
      <c r="A3352" s="4" t="s">
        <v>7</v>
      </c>
      <c r="B3352" s="4">
        <v>315</v>
      </c>
      <c r="D3352"/>
    </row>
    <row r="3353" spans="1:4" x14ac:dyDescent="0.3">
      <c r="A3353" s="4" t="s">
        <v>6</v>
      </c>
      <c r="B3353" s="4">
        <v>783</v>
      </c>
      <c r="D3353"/>
    </row>
    <row r="3354" spans="1:4" x14ac:dyDescent="0.3">
      <c r="A3354" s="4" t="s">
        <v>14</v>
      </c>
      <c r="B3354" s="4">
        <v>532</v>
      </c>
      <c r="D3354"/>
    </row>
    <row r="3355" spans="1:4" x14ac:dyDescent="0.3">
      <c r="A3355" s="4" t="s">
        <v>8</v>
      </c>
      <c r="B3355" s="4">
        <v>422</v>
      </c>
      <c r="D3355"/>
    </row>
    <row r="3356" spans="1:4" x14ac:dyDescent="0.3">
      <c r="A3356" s="4" t="s">
        <v>12</v>
      </c>
      <c r="B3356" s="4">
        <v>829</v>
      </c>
      <c r="D3356"/>
    </row>
    <row r="3357" spans="1:4" x14ac:dyDescent="0.3">
      <c r="A3357" s="4" t="s">
        <v>6</v>
      </c>
      <c r="B3357" s="4">
        <v>523</v>
      </c>
      <c r="D3357"/>
    </row>
    <row r="3358" spans="1:4" x14ac:dyDescent="0.3">
      <c r="A3358" s="4" t="s">
        <v>16</v>
      </c>
      <c r="B3358" s="4">
        <v>712</v>
      </c>
      <c r="D3358"/>
    </row>
    <row r="3359" spans="1:4" x14ac:dyDescent="0.3">
      <c r="A3359" s="4" t="s">
        <v>14</v>
      </c>
      <c r="B3359" s="4">
        <v>483</v>
      </c>
      <c r="D3359"/>
    </row>
    <row r="3360" spans="1:4" x14ac:dyDescent="0.3">
      <c r="A3360" s="4" t="s">
        <v>14</v>
      </c>
      <c r="B3360" s="4">
        <v>680</v>
      </c>
      <c r="D3360"/>
    </row>
    <row r="3361" spans="1:4" x14ac:dyDescent="0.3">
      <c r="A3361" s="4" t="s">
        <v>9</v>
      </c>
      <c r="B3361" s="4">
        <v>769</v>
      </c>
      <c r="D3361"/>
    </row>
    <row r="3362" spans="1:4" x14ac:dyDescent="0.3">
      <c r="A3362" s="4" t="s">
        <v>14</v>
      </c>
      <c r="B3362" s="4">
        <v>969</v>
      </c>
      <c r="D3362"/>
    </row>
    <row r="3363" spans="1:4" x14ac:dyDescent="0.3">
      <c r="A3363" s="4" t="s">
        <v>13</v>
      </c>
      <c r="B3363" s="4">
        <v>152</v>
      </c>
      <c r="D3363"/>
    </row>
    <row r="3364" spans="1:4" x14ac:dyDescent="0.3">
      <c r="A3364" s="4" t="s">
        <v>17</v>
      </c>
      <c r="B3364" s="4">
        <v>483</v>
      </c>
      <c r="D3364"/>
    </row>
    <row r="3365" spans="1:4" x14ac:dyDescent="0.3">
      <c r="A3365" s="4" t="s">
        <v>10</v>
      </c>
      <c r="B3365" s="4">
        <v>979</v>
      </c>
      <c r="D3365"/>
    </row>
    <row r="3366" spans="1:4" x14ac:dyDescent="0.3">
      <c r="A3366" s="4" t="s">
        <v>9</v>
      </c>
      <c r="B3366" s="4">
        <v>631</v>
      </c>
      <c r="D3366"/>
    </row>
    <row r="3367" spans="1:4" x14ac:dyDescent="0.3">
      <c r="A3367" s="4" t="s">
        <v>7</v>
      </c>
      <c r="B3367" s="4">
        <v>692</v>
      </c>
      <c r="D3367"/>
    </row>
    <row r="3368" spans="1:4" x14ac:dyDescent="0.3">
      <c r="A3368" s="4" t="s">
        <v>10</v>
      </c>
      <c r="B3368" s="4">
        <v>971</v>
      </c>
      <c r="D3368"/>
    </row>
    <row r="3369" spans="1:4" x14ac:dyDescent="0.3">
      <c r="A3369" s="4" t="s">
        <v>15</v>
      </c>
      <c r="B3369" s="4">
        <v>192</v>
      </c>
      <c r="D3369"/>
    </row>
    <row r="3370" spans="1:4" x14ac:dyDescent="0.3">
      <c r="A3370" s="4" t="s">
        <v>18</v>
      </c>
      <c r="B3370" s="4">
        <v>304</v>
      </c>
      <c r="D3370"/>
    </row>
    <row r="3371" spans="1:4" x14ac:dyDescent="0.3">
      <c r="A3371" s="4" t="s">
        <v>7</v>
      </c>
      <c r="B3371" s="4" t="e">
        <v>#N/A</v>
      </c>
      <c r="D3371"/>
    </row>
    <row r="3372" spans="1:4" x14ac:dyDescent="0.3">
      <c r="A3372" s="4" t="s">
        <v>15</v>
      </c>
      <c r="B3372" s="4">
        <v>556</v>
      </c>
      <c r="D3372"/>
    </row>
    <row r="3373" spans="1:4" x14ac:dyDescent="0.3">
      <c r="A3373" s="4" t="s">
        <v>3</v>
      </c>
      <c r="B3373" s="4">
        <v>138</v>
      </c>
      <c r="D3373"/>
    </row>
    <row r="3374" spans="1:4" x14ac:dyDescent="0.3">
      <c r="A3374" s="4" t="s">
        <v>4</v>
      </c>
      <c r="B3374" s="4">
        <v>367</v>
      </c>
      <c r="D3374"/>
    </row>
    <row r="3375" spans="1:4" x14ac:dyDescent="0.3">
      <c r="A3375" s="4" t="s">
        <v>12</v>
      </c>
      <c r="B3375" s="4">
        <v>683</v>
      </c>
      <c r="D3375"/>
    </row>
    <row r="3376" spans="1:4" x14ac:dyDescent="0.3">
      <c r="A3376" s="4" t="s">
        <v>10</v>
      </c>
      <c r="B3376" s="4">
        <v>347</v>
      </c>
      <c r="D3376"/>
    </row>
    <row r="3377" spans="1:4" x14ac:dyDescent="0.3">
      <c r="A3377" s="4" t="s">
        <v>12</v>
      </c>
      <c r="B3377" s="4">
        <v>661</v>
      </c>
      <c r="D3377"/>
    </row>
    <row r="3378" spans="1:4" x14ac:dyDescent="0.3">
      <c r="A3378" s="4" t="s">
        <v>9</v>
      </c>
      <c r="B3378" s="4">
        <v>686</v>
      </c>
      <c r="D3378"/>
    </row>
    <row r="3379" spans="1:4" x14ac:dyDescent="0.3">
      <c r="A3379" s="4" t="s">
        <v>9</v>
      </c>
      <c r="B3379" s="4">
        <v>712</v>
      </c>
      <c r="D3379"/>
    </row>
    <row r="3380" spans="1:4" x14ac:dyDescent="0.3">
      <c r="A3380" s="4" t="s">
        <v>11</v>
      </c>
      <c r="B3380" s="4">
        <v>864</v>
      </c>
      <c r="D3380"/>
    </row>
    <row r="3381" spans="1:4" x14ac:dyDescent="0.3">
      <c r="A3381" s="4" t="s">
        <v>9</v>
      </c>
      <c r="B3381" s="4">
        <v>254</v>
      </c>
      <c r="D3381"/>
    </row>
    <row r="3382" spans="1:4" x14ac:dyDescent="0.3">
      <c r="A3382" s="4" t="s">
        <v>16</v>
      </c>
      <c r="B3382" s="4">
        <v>604</v>
      </c>
      <c r="D3382"/>
    </row>
    <row r="3383" spans="1:4" x14ac:dyDescent="0.3">
      <c r="A3383" s="4" t="s">
        <v>14</v>
      </c>
      <c r="B3383" s="4">
        <v>585</v>
      </c>
      <c r="D3383"/>
    </row>
    <row r="3384" spans="1:4" x14ac:dyDescent="0.3">
      <c r="A3384" s="4" t="s">
        <v>14</v>
      </c>
      <c r="B3384" s="4">
        <v>139</v>
      </c>
      <c r="D3384"/>
    </row>
    <row r="3385" spans="1:4" x14ac:dyDescent="0.3">
      <c r="A3385" s="4" t="s">
        <v>4</v>
      </c>
      <c r="B3385" s="4">
        <v>871</v>
      </c>
      <c r="D3385"/>
    </row>
    <row r="3386" spans="1:4" x14ac:dyDescent="0.3">
      <c r="A3386" s="4" t="s">
        <v>16</v>
      </c>
      <c r="B3386" s="4">
        <v>249</v>
      </c>
      <c r="D3386"/>
    </row>
    <row r="3387" spans="1:4" x14ac:dyDescent="0.3">
      <c r="A3387" s="4" t="s">
        <v>15</v>
      </c>
      <c r="B3387" s="4">
        <v>683</v>
      </c>
      <c r="D3387"/>
    </row>
    <row r="3388" spans="1:4" x14ac:dyDescent="0.3">
      <c r="A3388" s="4" t="s">
        <v>11</v>
      </c>
      <c r="B3388" s="4">
        <v>803</v>
      </c>
      <c r="D3388"/>
    </row>
    <row r="3389" spans="1:4" x14ac:dyDescent="0.3">
      <c r="A3389" s="4" t="s">
        <v>12</v>
      </c>
      <c r="B3389" s="6">
        <v>769</v>
      </c>
      <c r="D3389"/>
    </row>
    <row r="3390" spans="1:4" x14ac:dyDescent="0.3">
      <c r="A3390" s="4" t="s">
        <v>19</v>
      </c>
      <c r="B3390" s="4">
        <v>755</v>
      </c>
      <c r="D3390"/>
    </row>
    <row r="3391" spans="1:4" x14ac:dyDescent="0.3">
      <c r="A3391" s="4" t="s">
        <v>10</v>
      </c>
      <c r="B3391" s="4">
        <v>247</v>
      </c>
      <c r="D3391"/>
    </row>
    <row r="3392" spans="1:4" x14ac:dyDescent="0.3">
      <c r="A3392" s="4" t="s">
        <v>8</v>
      </c>
      <c r="B3392" s="4">
        <v>793</v>
      </c>
      <c r="D3392"/>
    </row>
    <row r="3393" spans="1:4" x14ac:dyDescent="0.3">
      <c r="A3393" s="4" t="s">
        <v>8</v>
      </c>
      <c r="B3393" s="4">
        <v>917</v>
      </c>
      <c r="D3393"/>
    </row>
    <row r="3394" spans="1:4" x14ac:dyDescent="0.3">
      <c r="A3394" s="4" t="s">
        <v>10</v>
      </c>
      <c r="B3394" s="4">
        <v>105</v>
      </c>
      <c r="D3394"/>
    </row>
    <row r="3395" spans="1:4" x14ac:dyDescent="0.3">
      <c r="A3395" s="4" t="s">
        <v>4</v>
      </c>
      <c r="B3395" s="4">
        <v>431</v>
      </c>
      <c r="D3395"/>
    </row>
    <row r="3396" spans="1:4" x14ac:dyDescent="0.3">
      <c r="A3396" s="4" t="s">
        <v>19</v>
      </c>
      <c r="B3396" s="4">
        <v>512</v>
      </c>
      <c r="D3396"/>
    </row>
    <row r="3397" spans="1:4" x14ac:dyDescent="0.3">
      <c r="A3397" s="4" t="s">
        <v>4</v>
      </c>
      <c r="B3397" s="4">
        <v>440</v>
      </c>
      <c r="D3397"/>
    </row>
    <row r="3398" spans="1:4" x14ac:dyDescent="0.3">
      <c r="A3398" s="4" t="s">
        <v>6</v>
      </c>
      <c r="B3398" s="4">
        <v>433</v>
      </c>
      <c r="D3398"/>
    </row>
    <row r="3399" spans="1:4" x14ac:dyDescent="0.3">
      <c r="A3399" s="4" t="s">
        <v>12</v>
      </c>
      <c r="B3399" s="4">
        <v>831</v>
      </c>
      <c r="D3399"/>
    </row>
    <row r="3400" spans="1:4" x14ac:dyDescent="0.3">
      <c r="A3400" s="4" t="s">
        <v>10</v>
      </c>
      <c r="B3400" s="4">
        <v>958</v>
      </c>
      <c r="D3400"/>
    </row>
    <row r="3401" spans="1:4" x14ac:dyDescent="0.3">
      <c r="A3401" s="4" t="s">
        <v>7</v>
      </c>
      <c r="B3401" s="4">
        <v>259</v>
      </c>
      <c r="D3401"/>
    </row>
    <row r="3402" spans="1:4" x14ac:dyDescent="0.3">
      <c r="A3402" s="4" t="s">
        <v>10</v>
      </c>
      <c r="B3402" s="4">
        <v>55</v>
      </c>
      <c r="D3402"/>
    </row>
    <row r="3403" spans="1:4" x14ac:dyDescent="0.3">
      <c r="A3403" s="4" t="s">
        <v>4</v>
      </c>
      <c r="B3403" s="4">
        <v>729</v>
      </c>
      <c r="D3403"/>
    </row>
    <row r="3404" spans="1:4" x14ac:dyDescent="0.3">
      <c r="A3404" s="4" t="s">
        <v>11</v>
      </c>
      <c r="B3404" s="4">
        <v>377</v>
      </c>
      <c r="D3404"/>
    </row>
    <row r="3405" spans="1:4" x14ac:dyDescent="0.3">
      <c r="A3405" s="4" t="s">
        <v>6</v>
      </c>
      <c r="B3405" s="4">
        <v>710</v>
      </c>
      <c r="D3405"/>
    </row>
    <row r="3406" spans="1:4" x14ac:dyDescent="0.3">
      <c r="A3406" s="4" t="s">
        <v>11</v>
      </c>
      <c r="B3406" s="4">
        <v>764</v>
      </c>
      <c r="D3406"/>
    </row>
    <row r="3407" spans="1:4" x14ac:dyDescent="0.3">
      <c r="A3407" s="4" t="s">
        <v>8</v>
      </c>
      <c r="B3407" s="4">
        <v>119</v>
      </c>
      <c r="D3407"/>
    </row>
    <row r="3408" spans="1:4" x14ac:dyDescent="0.3">
      <c r="A3408" s="4" t="s">
        <v>12</v>
      </c>
      <c r="B3408" s="4">
        <v>988</v>
      </c>
      <c r="D3408"/>
    </row>
    <row r="3409" spans="1:4" x14ac:dyDescent="0.3">
      <c r="A3409" s="4" t="s">
        <v>19</v>
      </c>
      <c r="B3409" s="4">
        <v>592</v>
      </c>
      <c r="D3409"/>
    </row>
    <row r="3410" spans="1:4" x14ac:dyDescent="0.3">
      <c r="A3410" s="4" t="s">
        <v>10</v>
      </c>
      <c r="B3410" s="4">
        <v>265</v>
      </c>
      <c r="D3410"/>
    </row>
    <row r="3411" spans="1:4" x14ac:dyDescent="0.3">
      <c r="A3411" s="4" t="s">
        <v>4</v>
      </c>
      <c r="B3411" s="4">
        <v>596</v>
      </c>
      <c r="D3411"/>
    </row>
    <row r="3412" spans="1:4" x14ac:dyDescent="0.3">
      <c r="A3412" s="4" t="s">
        <v>6</v>
      </c>
      <c r="B3412" s="4">
        <v>250</v>
      </c>
      <c r="D3412"/>
    </row>
    <row r="3413" spans="1:4" x14ac:dyDescent="0.3">
      <c r="A3413" s="4" t="s">
        <v>13</v>
      </c>
      <c r="B3413" s="4">
        <v>796</v>
      </c>
      <c r="D3413"/>
    </row>
    <row r="3414" spans="1:4" x14ac:dyDescent="0.3">
      <c r="A3414" s="4" t="s">
        <v>19</v>
      </c>
      <c r="B3414" s="4">
        <v>823</v>
      </c>
      <c r="D3414"/>
    </row>
    <row r="3415" spans="1:4" x14ac:dyDescent="0.3">
      <c r="A3415" s="4" t="s">
        <v>17</v>
      </c>
      <c r="B3415" s="4">
        <v>376</v>
      </c>
      <c r="D3415"/>
    </row>
    <row r="3416" spans="1:4" x14ac:dyDescent="0.3">
      <c r="A3416" s="4" t="s">
        <v>14</v>
      </c>
      <c r="B3416" s="4">
        <v>467</v>
      </c>
      <c r="D3416"/>
    </row>
    <row r="3417" spans="1:4" x14ac:dyDescent="0.3">
      <c r="A3417" s="4" t="s">
        <v>15</v>
      </c>
      <c r="B3417" s="4">
        <v>972</v>
      </c>
      <c r="D3417"/>
    </row>
    <row r="3418" spans="1:4" x14ac:dyDescent="0.3">
      <c r="A3418" s="4" t="s">
        <v>12</v>
      </c>
      <c r="B3418" s="4">
        <v>175</v>
      </c>
      <c r="D3418"/>
    </row>
    <row r="3419" spans="1:4" x14ac:dyDescent="0.3">
      <c r="A3419" s="4" t="s">
        <v>4</v>
      </c>
      <c r="B3419" s="4">
        <v>725</v>
      </c>
      <c r="D3419"/>
    </row>
    <row r="3420" spans="1:4" x14ac:dyDescent="0.3">
      <c r="A3420" s="4" t="s">
        <v>4</v>
      </c>
      <c r="B3420" s="4">
        <v>991</v>
      </c>
      <c r="D3420"/>
    </row>
    <row r="3421" spans="1:4" x14ac:dyDescent="0.3">
      <c r="A3421" s="4" t="s">
        <v>10</v>
      </c>
      <c r="B3421" s="4">
        <v>419</v>
      </c>
      <c r="D3421"/>
    </row>
    <row r="3422" spans="1:4" x14ac:dyDescent="0.3">
      <c r="A3422" s="4" t="s">
        <v>4</v>
      </c>
      <c r="B3422" s="4">
        <v>730</v>
      </c>
      <c r="D3422"/>
    </row>
    <row r="3423" spans="1:4" x14ac:dyDescent="0.3">
      <c r="A3423" s="4" t="s">
        <v>17</v>
      </c>
      <c r="B3423" s="4">
        <v>524</v>
      </c>
      <c r="D3423"/>
    </row>
    <row r="3424" spans="1:4" x14ac:dyDescent="0.3">
      <c r="A3424" s="4" t="s">
        <v>4</v>
      </c>
      <c r="B3424" s="4">
        <v>124</v>
      </c>
      <c r="D3424"/>
    </row>
    <row r="3425" spans="1:4" x14ac:dyDescent="0.3">
      <c r="A3425" s="4" t="s">
        <v>14</v>
      </c>
      <c r="B3425" s="4">
        <v>142</v>
      </c>
      <c r="D3425"/>
    </row>
    <row r="3426" spans="1:4" x14ac:dyDescent="0.3">
      <c r="A3426" s="4" t="s">
        <v>14</v>
      </c>
      <c r="B3426" s="4">
        <v>227</v>
      </c>
      <c r="D3426"/>
    </row>
    <row r="3427" spans="1:4" x14ac:dyDescent="0.3">
      <c r="A3427" s="4" t="s">
        <v>10</v>
      </c>
      <c r="B3427" s="4">
        <v>172</v>
      </c>
      <c r="D3427"/>
    </row>
    <row r="3428" spans="1:4" x14ac:dyDescent="0.3">
      <c r="A3428" s="4" t="s">
        <v>3</v>
      </c>
      <c r="B3428" s="4">
        <v>600</v>
      </c>
      <c r="D3428"/>
    </row>
    <row r="3429" spans="1:4" x14ac:dyDescent="0.3">
      <c r="A3429" s="4" t="s">
        <v>18</v>
      </c>
      <c r="B3429" s="4">
        <v>823</v>
      </c>
      <c r="D3429"/>
    </row>
    <row r="3430" spans="1:4" x14ac:dyDescent="0.3">
      <c r="A3430" s="4" t="s">
        <v>6</v>
      </c>
      <c r="B3430" s="4">
        <v>191</v>
      </c>
      <c r="D3430"/>
    </row>
    <row r="3431" spans="1:4" x14ac:dyDescent="0.3">
      <c r="A3431" s="4" t="s">
        <v>11</v>
      </c>
      <c r="B3431" s="4">
        <v>335</v>
      </c>
      <c r="D3431"/>
    </row>
    <row r="3432" spans="1:4" x14ac:dyDescent="0.3">
      <c r="A3432" s="4" t="s">
        <v>9</v>
      </c>
      <c r="B3432" s="4">
        <v>756</v>
      </c>
      <c r="D3432"/>
    </row>
    <row r="3433" spans="1:4" x14ac:dyDescent="0.3">
      <c r="A3433" s="4" t="s">
        <v>6</v>
      </c>
      <c r="B3433" s="4">
        <v>682</v>
      </c>
      <c r="D3433"/>
    </row>
    <row r="3434" spans="1:4" x14ac:dyDescent="0.3">
      <c r="A3434" s="4" t="s">
        <v>3</v>
      </c>
      <c r="B3434" s="4">
        <v>558</v>
      </c>
      <c r="D3434"/>
    </row>
    <row r="3435" spans="1:4" x14ac:dyDescent="0.3">
      <c r="A3435" s="4" t="s">
        <v>4</v>
      </c>
      <c r="B3435" s="4" t="e">
        <v>#N/A</v>
      </c>
      <c r="D3435"/>
    </row>
    <row r="3436" spans="1:4" x14ac:dyDescent="0.3">
      <c r="A3436" s="4" t="s">
        <v>15</v>
      </c>
      <c r="B3436" s="4">
        <v>339</v>
      </c>
      <c r="D3436"/>
    </row>
    <row r="3437" spans="1:4" x14ac:dyDescent="0.3">
      <c r="A3437" s="4" t="s">
        <v>8</v>
      </c>
      <c r="B3437" s="4">
        <v>710</v>
      </c>
      <c r="D3437"/>
    </row>
    <row r="3438" spans="1:4" x14ac:dyDescent="0.3">
      <c r="A3438" s="4" t="s">
        <v>13</v>
      </c>
      <c r="B3438" s="4">
        <v>339</v>
      </c>
      <c r="D3438"/>
    </row>
    <row r="3439" spans="1:4" x14ac:dyDescent="0.3">
      <c r="A3439" s="4" t="s">
        <v>7</v>
      </c>
      <c r="B3439" s="4">
        <v>755</v>
      </c>
      <c r="D3439"/>
    </row>
    <row r="3440" spans="1:4" x14ac:dyDescent="0.3">
      <c r="A3440" s="4" t="s">
        <v>8</v>
      </c>
      <c r="B3440" s="4">
        <v>875</v>
      </c>
      <c r="D3440"/>
    </row>
    <row r="3441" spans="1:4" x14ac:dyDescent="0.3">
      <c r="A3441" s="4" t="s">
        <v>10</v>
      </c>
      <c r="B3441" s="4">
        <v>599</v>
      </c>
      <c r="D3441"/>
    </row>
    <row r="3442" spans="1:4" x14ac:dyDescent="0.3">
      <c r="A3442" s="4" t="s">
        <v>10</v>
      </c>
      <c r="B3442" s="4">
        <v>158</v>
      </c>
      <c r="D3442"/>
    </row>
    <row r="3443" spans="1:4" x14ac:dyDescent="0.3">
      <c r="A3443" s="4" t="s">
        <v>9</v>
      </c>
      <c r="B3443" s="4">
        <v>568</v>
      </c>
      <c r="D3443"/>
    </row>
    <row r="3444" spans="1:4" x14ac:dyDescent="0.3">
      <c r="A3444" s="4" t="s">
        <v>16</v>
      </c>
      <c r="B3444" s="4">
        <v>885</v>
      </c>
      <c r="D3444"/>
    </row>
    <row r="3445" spans="1:4" x14ac:dyDescent="0.3">
      <c r="A3445" s="4" t="s">
        <v>7</v>
      </c>
      <c r="B3445" s="4">
        <v>159</v>
      </c>
      <c r="D3445"/>
    </row>
    <row r="3446" spans="1:4" x14ac:dyDescent="0.3">
      <c r="A3446" s="4" t="s">
        <v>15</v>
      </c>
      <c r="B3446" s="4" t="e">
        <v>#REF!</v>
      </c>
      <c r="D3446"/>
    </row>
    <row r="3447" spans="1:4" x14ac:dyDescent="0.3">
      <c r="A3447" s="4" t="s">
        <v>13</v>
      </c>
      <c r="B3447" s="4">
        <v>848</v>
      </c>
      <c r="D3447"/>
    </row>
    <row r="3448" spans="1:4" x14ac:dyDescent="0.3">
      <c r="A3448" s="4" t="s">
        <v>4</v>
      </c>
      <c r="B3448" s="4">
        <v>726</v>
      </c>
      <c r="D3448"/>
    </row>
    <row r="3449" spans="1:4" x14ac:dyDescent="0.3">
      <c r="A3449" s="4" t="s">
        <v>11</v>
      </c>
      <c r="B3449" s="4">
        <v>437</v>
      </c>
      <c r="D3449"/>
    </row>
    <row r="3450" spans="1:4" x14ac:dyDescent="0.3">
      <c r="A3450" s="4" t="s">
        <v>6</v>
      </c>
      <c r="B3450" s="4">
        <v>312</v>
      </c>
      <c r="D3450"/>
    </row>
    <row r="3451" spans="1:4" x14ac:dyDescent="0.3">
      <c r="A3451" s="4" t="s">
        <v>4</v>
      </c>
      <c r="B3451" s="4">
        <v>790</v>
      </c>
      <c r="D3451"/>
    </row>
    <row r="3452" spans="1:4" x14ac:dyDescent="0.3">
      <c r="A3452" s="4" t="s">
        <v>17</v>
      </c>
      <c r="B3452" s="4">
        <v>458</v>
      </c>
      <c r="D3452"/>
    </row>
    <row r="3453" spans="1:4" x14ac:dyDescent="0.3">
      <c r="A3453" s="4" t="s">
        <v>11</v>
      </c>
      <c r="B3453" s="4">
        <v>433</v>
      </c>
      <c r="D3453"/>
    </row>
    <row r="3454" spans="1:4" x14ac:dyDescent="0.3">
      <c r="A3454" s="4" t="s">
        <v>16</v>
      </c>
      <c r="B3454" s="4">
        <v>981</v>
      </c>
      <c r="D3454"/>
    </row>
    <row r="3455" spans="1:4" x14ac:dyDescent="0.3">
      <c r="A3455" s="4" t="s">
        <v>10</v>
      </c>
      <c r="B3455" s="4">
        <v>955</v>
      </c>
      <c r="D3455"/>
    </row>
    <row r="3456" spans="1:4" x14ac:dyDescent="0.3">
      <c r="A3456" s="4" t="s">
        <v>3</v>
      </c>
      <c r="B3456" s="4">
        <v>930</v>
      </c>
      <c r="D3456"/>
    </row>
    <row r="3457" spans="1:4" x14ac:dyDescent="0.3">
      <c r="A3457" s="4" t="s">
        <v>12</v>
      </c>
      <c r="B3457" s="4">
        <v>411</v>
      </c>
      <c r="D3457"/>
    </row>
    <row r="3458" spans="1:4" x14ac:dyDescent="0.3">
      <c r="A3458" s="4" t="s">
        <v>10</v>
      </c>
      <c r="B3458" s="4">
        <v>542</v>
      </c>
      <c r="D3458"/>
    </row>
    <row r="3459" spans="1:4" x14ac:dyDescent="0.3">
      <c r="A3459" s="4" t="s">
        <v>13</v>
      </c>
      <c r="B3459" s="4">
        <v>245</v>
      </c>
      <c r="D3459"/>
    </row>
    <row r="3460" spans="1:4" x14ac:dyDescent="0.3">
      <c r="A3460" s="4" t="s">
        <v>14</v>
      </c>
      <c r="B3460" s="4">
        <v>605</v>
      </c>
      <c r="D3460"/>
    </row>
    <row r="3461" spans="1:4" x14ac:dyDescent="0.3">
      <c r="A3461" s="4" t="s">
        <v>12</v>
      </c>
      <c r="B3461" s="4">
        <v>744</v>
      </c>
      <c r="D3461"/>
    </row>
    <row r="3462" spans="1:4" x14ac:dyDescent="0.3">
      <c r="A3462" s="4" t="s">
        <v>10</v>
      </c>
      <c r="B3462" s="4">
        <v>323</v>
      </c>
      <c r="D3462"/>
    </row>
    <row r="3463" spans="1:4" x14ac:dyDescent="0.3">
      <c r="A3463" s="4" t="s">
        <v>12</v>
      </c>
      <c r="B3463" s="4">
        <v>425</v>
      </c>
      <c r="D3463"/>
    </row>
    <row r="3464" spans="1:4" x14ac:dyDescent="0.3">
      <c r="A3464" s="4" t="s">
        <v>19</v>
      </c>
      <c r="B3464" s="4">
        <v>427</v>
      </c>
      <c r="D3464"/>
    </row>
    <row r="3465" spans="1:4" x14ac:dyDescent="0.3">
      <c r="A3465" s="4" t="s">
        <v>7</v>
      </c>
      <c r="B3465" s="4">
        <v>528</v>
      </c>
      <c r="D3465"/>
    </row>
    <row r="3466" spans="1:4" x14ac:dyDescent="0.3">
      <c r="A3466" s="4" t="s">
        <v>11</v>
      </c>
      <c r="B3466" s="4">
        <v>510</v>
      </c>
      <c r="D3466"/>
    </row>
    <row r="3467" spans="1:4" x14ac:dyDescent="0.3">
      <c r="A3467" s="4" t="s">
        <v>6</v>
      </c>
      <c r="B3467" s="4">
        <v>178</v>
      </c>
      <c r="D3467"/>
    </row>
    <row r="3468" spans="1:4" x14ac:dyDescent="0.3">
      <c r="A3468" s="4" t="s">
        <v>3</v>
      </c>
      <c r="B3468" s="4">
        <v>421</v>
      </c>
      <c r="D3468"/>
    </row>
    <row r="3469" spans="1:4" x14ac:dyDescent="0.3">
      <c r="A3469" s="4" t="s">
        <v>12</v>
      </c>
      <c r="B3469" s="4">
        <v>5</v>
      </c>
      <c r="D3469"/>
    </row>
    <row r="3470" spans="1:4" x14ac:dyDescent="0.3">
      <c r="A3470" s="4" t="s">
        <v>4</v>
      </c>
      <c r="B3470" s="4">
        <v>694</v>
      </c>
      <c r="D3470"/>
    </row>
    <row r="3471" spans="1:4" x14ac:dyDescent="0.3">
      <c r="A3471" s="4" t="s">
        <v>4</v>
      </c>
      <c r="B3471" s="4">
        <v>838</v>
      </c>
      <c r="D3471"/>
    </row>
    <row r="3472" spans="1:4" x14ac:dyDescent="0.3">
      <c r="A3472" s="4" t="s">
        <v>4</v>
      </c>
      <c r="B3472" s="4">
        <v>627</v>
      </c>
      <c r="D3472"/>
    </row>
    <row r="3473" spans="1:4" x14ac:dyDescent="0.3">
      <c r="A3473" s="4" t="s">
        <v>15</v>
      </c>
      <c r="B3473" s="4">
        <v>525</v>
      </c>
      <c r="D3473"/>
    </row>
    <row r="3474" spans="1:4" x14ac:dyDescent="0.3">
      <c r="A3474" s="4" t="s">
        <v>4</v>
      </c>
      <c r="B3474" s="4">
        <v>790</v>
      </c>
      <c r="D3474"/>
    </row>
    <row r="3475" spans="1:4" x14ac:dyDescent="0.3">
      <c r="A3475" s="4" t="s">
        <v>6</v>
      </c>
      <c r="B3475" s="4">
        <v>573</v>
      </c>
      <c r="D3475"/>
    </row>
    <row r="3476" spans="1:4" x14ac:dyDescent="0.3">
      <c r="A3476" s="4" t="s">
        <v>13</v>
      </c>
      <c r="B3476" s="4">
        <v>356</v>
      </c>
      <c r="D3476"/>
    </row>
    <row r="3477" spans="1:4" x14ac:dyDescent="0.3">
      <c r="A3477" s="4" t="s">
        <v>14</v>
      </c>
      <c r="B3477" s="4">
        <v>796</v>
      </c>
      <c r="D3477"/>
    </row>
    <row r="3478" spans="1:4" x14ac:dyDescent="0.3">
      <c r="A3478" s="4" t="s">
        <v>11</v>
      </c>
      <c r="B3478" s="4">
        <v>282</v>
      </c>
      <c r="D3478"/>
    </row>
    <row r="3479" spans="1:4" x14ac:dyDescent="0.3">
      <c r="A3479" s="4" t="s">
        <v>15</v>
      </c>
      <c r="B3479" s="4">
        <v>254</v>
      </c>
      <c r="D3479"/>
    </row>
    <row r="3480" spans="1:4" x14ac:dyDescent="0.3">
      <c r="A3480" s="4" t="s">
        <v>19</v>
      </c>
      <c r="B3480" s="4">
        <v>233</v>
      </c>
      <c r="D3480"/>
    </row>
    <row r="3481" spans="1:4" x14ac:dyDescent="0.3">
      <c r="A3481" s="4" t="s">
        <v>19</v>
      </c>
      <c r="B3481" s="4">
        <v>684</v>
      </c>
      <c r="D3481"/>
    </row>
    <row r="3482" spans="1:4" x14ac:dyDescent="0.3">
      <c r="A3482" s="4" t="s">
        <v>4</v>
      </c>
      <c r="B3482" s="4">
        <v>167</v>
      </c>
      <c r="D3482"/>
    </row>
    <row r="3483" spans="1:4" x14ac:dyDescent="0.3">
      <c r="A3483" s="4" t="s">
        <v>15</v>
      </c>
      <c r="B3483" s="4">
        <v>487</v>
      </c>
      <c r="D3483"/>
    </row>
    <row r="3484" spans="1:4" x14ac:dyDescent="0.3">
      <c r="A3484" s="4" t="s">
        <v>9</v>
      </c>
      <c r="B3484" s="4">
        <v>995</v>
      </c>
      <c r="D3484"/>
    </row>
    <row r="3485" spans="1:4" x14ac:dyDescent="0.3">
      <c r="A3485" s="4" t="s">
        <v>3</v>
      </c>
      <c r="B3485" s="4">
        <v>122</v>
      </c>
      <c r="D3485"/>
    </row>
    <row r="3486" spans="1:4" x14ac:dyDescent="0.3">
      <c r="A3486" s="4" t="s">
        <v>12</v>
      </c>
      <c r="B3486" s="4">
        <v>211</v>
      </c>
      <c r="D3486"/>
    </row>
    <row r="3487" spans="1:4" x14ac:dyDescent="0.3">
      <c r="A3487" s="4" t="s">
        <v>14</v>
      </c>
      <c r="B3487" s="6">
        <v>248</v>
      </c>
      <c r="D3487"/>
    </row>
    <row r="3488" spans="1:4" x14ac:dyDescent="0.3">
      <c r="A3488" s="4" t="s">
        <v>19</v>
      </c>
      <c r="B3488" s="4">
        <v>809</v>
      </c>
      <c r="D3488"/>
    </row>
    <row r="3489" spans="1:4" x14ac:dyDescent="0.3">
      <c r="A3489" s="4" t="s">
        <v>19</v>
      </c>
      <c r="B3489" s="4">
        <v>480</v>
      </c>
      <c r="D3489"/>
    </row>
    <row r="3490" spans="1:4" x14ac:dyDescent="0.3">
      <c r="A3490" s="4" t="s">
        <v>14</v>
      </c>
      <c r="B3490" s="4">
        <v>513</v>
      </c>
      <c r="D3490"/>
    </row>
    <row r="3491" spans="1:4" x14ac:dyDescent="0.3">
      <c r="A3491" s="4" t="s">
        <v>4</v>
      </c>
      <c r="B3491" s="4">
        <v>715</v>
      </c>
      <c r="D3491"/>
    </row>
    <row r="3492" spans="1:4" x14ac:dyDescent="0.3">
      <c r="A3492" s="4" t="s">
        <v>19</v>
      </c>
      <c r="B3492" s="4">
        <v>215</v>
      </c>
      <c r="D3492"/>
    </row>
    <row r="3493" spans="1:4" x14ac:dyDescent="0.3">
      <c r="A3493" s="4" t="s">
        <v>16</v>
      </c>
      <c r="B3493" s="4">
        <v>815</v>
      </c>
      <c r="D3493"/>
    </row>
    <row r="3494" spans="1:4" x14ac:dyDescent="0.3">
      <c r="A3494" s="4" t="s">
        <v>12</v>
      </c>
      <c r="B3494" s="4">
        <v>956</v>
      </c>
      <c r="D3494"/>
    </row>
    <row r="3495" spans="1:4" x14ac:dyDescent="0.3">
      <c r="A3495" s="4" t="s">
        <v>7</v>
      </c>
      <c r="B3495" s="4">
        <v>584</v>
      </c>
      <c r="D3495"/>
    </row>
    <row r="3496" spans="1:4" x14ac:dyDescent="0.3">
      <c r="A3496" s="4" t="s">
        <v>4</v>
      </c>
      <c r="B3496" s="4">
        <v>631</v>
      </c>
      <c r="D3496"/>
    </row>
    <row r="3497" spans="1:4" x14ac:dyDescent="0.3">
      <c r="A3497" s="4" t="s">
        <v>10</v>
      </c>
      <c r="B3497" s="4">
        <v>441</v>
      </c>
      <c r="D3497"/>
    </row>
    <row r="3498" spans="1:4" x14ac:dyDescent="0.3">
      <c r="A3498" s="4" t="s">
        <v>10</v>
      </c>
      <c r="B3498" s="4">
        <v>899</v>
      </c>
      <c r="D3498"/>
    </row>
    <row r="3499" spans="1:4" x14ac:dyDescent="0.3">
      <c r="A3499" s="4" t="s">
        <v>10</v>
      </c>
      <c r="B3499" s="4">
        <v>723</v>
      </c>
      <c r="D3499"/>
    </row>
    <row r="3500" spans="1:4" x14ac:dyDescent="0.3">
      <c r="A3500" s="4" t="s">
        <v>19</v>
      </c>
      <c r="B3500" s="4">
        <v>544</v>
      </c>
      <c r="D3500"/>
    </row>
    <row r="3501" spans="1:4" x14ac:dyDescent="0.3">
      <c r="A3501" s="4" t="s">
        <v>10</v>
      </c>
      <c r="B3501" s="4">
        <v>591</v>
      </c>
      <c r="D3501"/>
    </row>
    <row r="3502" spans="1:4" x14ac:dyDescent="0.3">
      <c r="A3502" s="4" t="s">
        <v>12</v>
      </c>
      <c r="B3502" s="4">
        <v>50</v>
      </c>
      <c r="D3502"/>
    </row>
    <row r="3503" spans="1:4" x14ac:dyDescent="0.3">
      <c r="A3503" s="4" t="s">
        <v>6</v>
      </c>
      <c r="B3503" s="4">
        <v>498</v>
      </c>
      <c r="D3503"/>
    </row>
    <row r="3504" spans="1:4" x14ac:dyDescent="0.3">
      <c r="A3504" s="4" t="s">
        <v>19</v>
      </c>
      <c r="B3504" s="4">
        <v>179</v>
      </c>
      <c r="D3504"/>
    </row>
    <row r="3505" spans="1:4" x14ac:dyDescent="0.3">
      <c r="A3505" s="4" t="s">
        <v>12</v>
      </c>
      <c r="B3505" s="4">
        <v>359</v>
      </c>
      <c r="D3505"/>
    </row>
    <row r="3506" spans="1:4" x14ac:dyDescent="0.3">
      <c r="A3506" s="4" t="s">
        <v>10</v>
      </c>
      <c r="B3506" s="4">
        <v>338</v>
      </c>
      <c r="D3506"/>
    </row>
    <row r="3507" spans="1:4" x14ac:dyDescent="0.3">
      <c r="A3507" s="4" t="s">
        <v>19</v>
      </c>
      <c r="B3507" s="4">
        <v>491</v>
      </c>
      <c r="D3507"/>
    </row>
    <row r="3508" spans="1:4" x14ac:dyDescent="0.3">
      <c r="A3508" s="4" t="s">
        <v>3</v>
      </c>
      <c r="B3508" s="4">
        <v>885</v>
      </c>
      <c r="D3508"/>
    </row>
    <row r="3509" spans="1:4" x14ac:dyDescent="0.3">
      <c r="A3509" s="4" t="s">
        <v>3</v>
      </c>
      <c r="B3509" s="4">
        <v>885</v>
      </c>
      <c r="D3509"/>
    </row>
    <row r="3510" spans="1:4" x14ac:dyDescent="0.3">
      <c r="A3510" s="4" t="s">
        <v>19</v>
      </c>
      <c r="B3510" s="4">
        <v>416</v>
      </c>
      <c r="D3510"/>
    </row>
    <row r="3511" spans="1:4" x14ac:dyDescent="0.3">
      <c r="A3511" s="4" t="s">
        <v>15</v>
      </c>
      <c r="B3511" s="4">
        <v>518</v>
      </c>
      <c r="D3511"/>
    </row>
    <row r="3512" spans="1:4" x14ac:dyDescent="0.3">
      <c r="A3512" s="4" t="s">
        <v>9</v>
      </c>
      <c r="B3512" s="4">
        <v>341</v>
      </c>
      <c r="D3512"/>
    </row>
    <row r="3513" spans="1:4" x14ac:dyDescent="0.3">
      <c r="A3513" s="4" t="s">
        <v>16</v>
      </c>
      <c r="B3513" s="4">
        <v>485</v>
      </c>
      <c r="D3513"/>
    </row>
    <row r="3514" spans="1:4" x14ac:dyDescent="0.3">
      <c r="A3514" s="4" t="s">
        <v>8</v>
      </c>
      <c r="B3514" s="4">
        <v>728</v>
      </c>
      <c r="D3514"/>
    </row>
    <row r="3515" spans="1:4" x14ac:dyDescent="0.3">
      <c r="A3515" s="4" t="s">
        <v>15</v>
      </c>
      <c r="B3515" s="4">
        <v>893</v>
      </c>
      <c r="D3515"/>
    </row>
    <row r="3516" spans="1:4" x14ac:dyDescent="0.3">
      <c r="A3516" s="4" t="s">
        <v>6</v>
      </c>
      <c r="B3516" s="4">
        <v>466</v>
      </c>
      <c r="D3516"/>
    </row>
    <row r="3517" spans="1:4" x14ac:dyDescent="0.3">
      <c r="A3517" s="4" t="s">
        <v>8</v>
      </c>
      <c r="B3517" s="4">
        <v>526</v>
      </c>
      <c r="D3517"/>
    </row>
    <row r="3518" spans="1:4" x14ac:dyDescent="0.3">
      <c r="A3518" s="4" t="s">
        <v>4</v>
      </c>
      <c r="B3518" s="4">
        <v>687</v>
      </c>
      <c r="D3518"/>
    </row>
    <row r="3519" spans="1:4" x14ac:dyDescent="0.3">
      <c r="A3519" s="4" t="s">
        <v>9</v>
      </c>
      <c r="B3519" s="4">
        <v>17</v>
      </c>
      <c r="D3519"/>
    </row>
    <row r="3520" spans="1:4" x14ac:dyDescent="0.3">
      <c r="A3520" s="4" t="s">
        <v>13</v>
      </c>
      <c r="B3520" s="4">
        <v>173</v>
      </c>
      <c r="D3520"/>
    </row>
    <row r="3521" spans="1:4" x14ac:dyDescent="0.3">
      <c r="A3521" s="4" t="s">
        <v>14</v>
      </c>
      <c r="B3521" s="4">
        <v>511</v>
      </c>
      <c r="D3521"/>
    </row>
    <row r="3522" spans="1:4" x14ac:dyDescent="0.3">
      <c r="A3522" s="4" t="s">
        <v>3</v>
      </c>
      <c r="B3522" s="4">
        <v>814</v>
      </c>
      <c r="D3522"/>
    </row>
    <row r="3523" spans="1:4" x14ac:dyDescent="0.3">
      <c r="A3523" s="4" t="s">
        <v>12</v>
      </c>
      <c r="B3523" s="4">
        <v>207</v>
      </c>
      <c r="D3523"/>
    </row>
    <row r="3524" spans="1:4" x14ac:dyDescent="0.3">
      <c r="A3524" s="4" t="s">
        <v>6</v>
      </c>
      <c r="B3524" s="4">
        <v>204</v>
      </c>
      <c r="D3524"/>
    </row>
    <row r="3525" spans="1:4" x14ac:dyDescent="0.3">
      <c r="A3525" s="4" t="s">
        <v>14</v>
      </c>
      <c r="B3525" s="4">
        <v>699</v>
      </c>
      <c r="D3525"/>
    </row>
    <row r="3526" spans="1:4" x14ac:dyDescent="0.3">
      <c r="A3526" s="4" t="s">
        <v>10</v>
      </c>
      <c r="B3526" s="4">
        <v>318</v>
      </c>
      <c r="D3526"/>
    </row>
    <row r="3527" spans="1:4" x14ac:dyDescent="0.3">
      <c r="A3527" s="4" t="s">
        <v>12</v>
      </c>
      <c r="B3527" s="4">
        <v>859</v>
      </c>
      <c r="D3527"/>
    </row>
    <row r="3528" spans="1:4" x14ac:dyDescent="0.3">
      <c r="A3528" s="4" t="s">
        <v>13</v>
      </c>
      <c r="B3528" s="4">
        <v>137</v>
      </c>
      <c r="D3528"/>
    </row>
    <row r="3529" spans="1:4" x14ac:dyDescent="0.3">
      <c r="A3529" s="4" t="s">
        <v>17</v>
      </c>
      <c r="B3529" s="4">
        <v>465</v>
      </c>
      <c r="D3529"/>
    </row>
    <row r="3530" spans="1:4" x14ac:dyDescent="0.3">
      <c r="A3530" s="4" t="s">
        <v>7</v>
      </c>
      <c r="B3530" s="4">
        <v>491</v>
      </c>
      <c r="D3530"/>
    </row>
    <row r="3531" spans="1:4" x14ac:dyDescent="0.3">
      <c r="A3531" s="4" t="s">
        <v>19</v>
      </c>
      <c r="B3531" s="4">
        <v>73</v>
      </c>
      <c r="D3531"/>
    </row>
    <row r="3532" spans="1:4" x14ac:dyDescent="0.3">
      <c r="A3532" s="4" t="s">
        <v>16</v>
      </c>
      <c r="B3532" s="4">
        <v>636</v>
      </c>
      <c r="D3532"/>
    </row>
    <row r="3533" spans="1:4" x14ac:dyDescent="0.3">
      <c r="A3533" s="4" t="s">
        <v>18</v>
      </c>
      <c r="B3533" s="4">
        <v>358</v>
      </c>
      <c r="D3533"/>
    </row>
    <row r="3534" spans="1:4" x14ac:dyDescent="0.3">
      <c r="A3534" s="4" t="s">
        <v>8</v>
      </c>
      <c r="B3534" s="4">
        <v>663</v>
      </c>
      <c r="D3534"/>
    </row>
    <row r="3535" spans="1:4" x14ac:dyDescent="0.3">
      <c r="A3535" s="4" t="s">
        <v>3</v>
      </c>
      <c r="B3535" s="4">
        <v>432</v>
      </c>
      <c r="D3535"/>
    </row>
    <row r="3536" spans="1:4" x14ac:dyDescent="0.3">
      <c r="A3536" s="4" t="s">
        <v>11</v>
      </c>
      <c r="B3536" s="4">
        <v>371</v>
      </c>
      <c r="D3536"/>
    </row>
    <row r="3537" spans="1:4" x14ac:dyDescent="0.3">
      <c r="A3537" s="4" t="s">
        <v>12</v>
      </c>
      <c r="B3537" s="4">
        <v>470</v>
      </c>
      <c r="D3537"/>
    </row>
    <row r="3538" spans="1:4" x14ac:dyDescent="0.3">
      <c r="A3538" s="4" t="s">
        <v>3</v>
      </c>
      <c r="B3538" s="4">
        <v>115</v>
      </c>
      <c r="D3538"/>
    </row>
    <row r="3539" spans="1:4" x14ac:dyDescent="0.3">
      <c r="A3539" s="4" t="s">
        <v>10</v>
      </c>
      <c r="B3539" s="4">
        <v>611</v>
      </c>
      <c r="D3539"/>
    </row>
    <row r="3540" spans="1:4" x14ac:dyDescent="0.3">
      <c r="A3540" s="4" t="s">
        <v>6</v>
      </c>
      <c r="B3540" s="4">
        <v>974</v>
      </c>
      <c r="D3540"/>
    </row>
    <row r="3541" spans="1:4" x14ac:dyDescent="0.3">
      <c r="A3541" s="4" t="s">
        <v>18</v>
      </c>
      <c r="B3541" s="4">
        <v>525</v>
      </c>
      <c r="D3541"/>
    </row>
    <row r="3542" spans="1:4" x14ac:dyDescent="0.3">
      <c r="A3542" s="4" t="s">
        <v>6</v>
      </c>
      <c r="B3542" s="4">
        <v>489</v>
      </c>
      <c r="D3542"/>
    </row>
    <row r="3543" spans="1:4" x14ac:dyDescent="0.3">
      <c r="A3543" s="4" t="s">
        <v>9</v>
      </c>
      <c r="B3543" s="4">
        <v>146</v>
      </c>
      <c r="D3543"/>
    </row>
    <row r="3544" spans="1:4" x14ac:dyDescent="0.3">
      <c r="A3544" s="4" t="s">
        <v>18</v>
      </c>
      <c r="B3544" s="4">
        <v>415</v>
      </c>
      <c r="D3544"/>
    </row>
    <row r="3545" spans="1:4" x14ac:dyDescent="0.3">
      <c r="A3545" s="4" t="s">
        <v>10</v>
      </c>
      <c r="B3545" s="4">
        <v>120</v>
      </c>
      <c r="D3545"/>
    </row>
    <row r="3546" spans="1:4" x14ac:dyDescent="0.3">
      <c r="A3546" s="4" t="s">
        <v>18</v>
      </c>
      <c r="B3546" s="4">
        <v>852</v>
      </c>
      <c r="D3546"/>
    </row>
    <row r="3547" spans="1:4" x14ac:dyDescent="0.3">
      <c r="A3547" s="4" t="s">
        <v>16</v>
      </c>
      <c r="B3547" s="4">
        <v>726</v>
      </c>
      <c r="D3547"/>
    </row>
    <row r="3548" spans="1:4" x14ac:dyDescent="0.3">
      <c r="A3548" s="4" t="s">
        <v>11</v>
      </c>
      <c r="B3548" s="4">
        <v>958</v>
      </c>
      <c r="D3548"/>
    </row>
    <row r="3549" spans="1:4" x14ac:dyDescent="0.3">
      <c r="A3549" s="4" t="s">
        <v>19</v>
      </c>
      <c r="B3549" s="4">
        <v>607</v>
      </c>
      <c r="D3549"/>
    </row>
    <row r="3550" spans="1:4" x14ac:dyDescent="0.3">
      <c r="A3550" s="4" t="s">
        <v>4</v>
      </c>
      <c r="B3550" s="4">
        <v>433</v>
      </c>
      <c r="D3550"/>
    </row>
    <row r="3551" spans="1:4" x14ac:dyDescent="0.3">
      <c r="A3551" s="4" t="s">
        <v>10</v>
      </c>
      <c r="B3551" s="4">
        <v>580</v>
      </c>
      <c r="D3551"/>
    </row>
    <row r="3552" spans="1:4" x14ac:dyDescent="0.3">
      <c r="A3552" s="4" t="s">
        <v>19</v>
      </c>
      <c r="B3552" s="4">
        <v>951</v>
      </c>
      <c r="D3552"/>
    </row>
    <row r="3553" spans="1:4" x14ac:dyDescent="0.3">
      <c r="A3553" s="4" t="s">
        <v>7</v>
      </c>
      <c r="B3553" s="4">
        <v>620</v>
      </c>
      <c r="D3553"/>
    </row>
    <row r="3554" spans="1:4" x14ac:dyDescent="0.3">
      <c r="A3554" s="4" t="s">
        <v>8</v>
      </c>
      <c r="B3554" s="4">
        <v>963</v>
      </c>
      <c r="D3554"/>
    </row>
    <row r="3555" spans="1:4" x14ac:dyDescent="0.3">
      <c r="A3555" s="4" t="s">
        <v>17</v>
      </c>
      <c r="B3555" s="4">
        <v>783</v>
      </c>
      <c r="D3555"/>
    </row>
    <row r="3556" spans="1:4" x14ac:dyDescent="0.3">
      <c r="A3556" s="4" t="s">
        <v>11</v>
      </c>
      <c r="B3556" s="4">
        <v>183</v>
      </c>
      <c r="D3556"/>
    </row>
    <row r="3557" spans="1:4" x14ac:dyDescent="0.3">
      <c r="A3557" s="4" t="s">
        <v>10</v>
      </c>
      <c r="B3557" s="4" t="e">
        <v>#REF!</v>
      </c>
      <c r="D3557"/>
    </row>
    <row r="3558" spans="1:4" x14ac:dyDescent="0.3">
      <c r="A3558" s="4" t="s">
        <v>4</v>
      </c>
      <c r="B3558" s="4">
        <v>586</v>
      </c>
      <c r="D3558"/>
    </row>
    <row r="3559" spans="1:4" x14ac:dyDescent="0.3">
      <c r="A3559" s="4" t="s">
        <v>6</v>
      </c>
      <c r="B3559" s="4">
        <v>681</v>
      </c>
      <c r="D3559"/>
    </row>
    <row r="3560" spans="1:4" x14ac:dyDescent="0.3">
      <c r="A3560" s="4" t="s">
        <v>16</v>
      </c>
      <c r="B3560" s="4">
        <v>122</v>
      </c>
      <c r="D3560"/>
    </row>
    <row r="3561" spans="1:4" x14ac:dyDescent="0.3">
      <c r="A3561" s="4" t="s">
        <v>10</v>
      </c>
      <c r="B3561" s="4">
        <v>765</v>
      </c>
      <c r="D3561"/>
    </row>
    <row r="3562" spans="1:4" x14ac:dyDescent="0.3">
      <c r="A3562" s="4" t="s">
        <v>9</v>
      </c>
      <c r="B3562" s="4">
        <v>466</v>
      </c>
      <c r="D3562"/>
    </row>
    <row r="3563" spans="1:4" x14ac:dyDescent="0.3">
      <c r="A3563" s="4" t="s">
        <v>7</v>
      </c>
      <c r="B3563" s="4">
        <v>676</v>
      </c>
      <c r="D3563"/>
    </row>
    <row r="3564" spans="1:4" x14ac:dyDescent="0.3">
      <c r="A3564" s="4" t="s">
        <v>7</v>
      </c>
      <c r="B3564" s="4">
        <v>552</v>
      </c>
      <c r="D3564"/>
    </row>
    <row r="3565" spans="1:4" x14ac:dyDescent="0.3">
      <c r="A3565" s="4" t="s">
        <v>10</v>
      </c>
      <c r="B3565" s="4">
        <v>249</v>
      </c>
      <c r="D3565"/>
    </row>
    <row r="3566" spans="1:4" x14ac:dyDescent="0.3">
      <c r="A3566" s="4" t="s">
        <v>10</v>
      </c>
      <c r="B3566" s="4">
        <v>624</v>
      </c>
      <c r="D3566"/>
    </row>
    <row r="3567" spans="1:4" x14ac:dyDescent="0.3">
      <c r="A3567" s="4" t="s">
        <v>9</v>
      </c>
      <c r="B3567" s="4">
        <v>230</v>
      </c>
      <c r="D3567"/>
    </row>
    <row r="3568" spans="1:4" x14ac:dyDescent="0.3">
      <c r="A3568" s="4" t="s">
        <v>4</v>
      </c>
      <c r="B3568" s="4">
        <v>545</v>
      </c>
      <c r="D3568"/>
    </row>
    <row r="3569" spans="1:4" x14ac:dyDescent="0.3">
      <c r="A3569" s="4" t="s">
        <v>10</v>
      </c>
      <c r="B3569" s="4">
        <v>796</v>
      </c>
      <c r="D3569"/>
    </row>
    <row r="3570" spans="1:4" x14ac:dyDescent="0.3">
      <c r="A3570" s="4" t="s">
        <v>10</v>
      </c>
      <c r="B3570" s="4">
        <v>984</v>
      </c>
      <c r="D3570"/>
    </row>
    <row r="3571" spans="1:4" x14ac:dyDescent="0.3">
      <c r="A3571" s="4" t="s">
        <v>17</v>
      </c>
      <c r="B3571" s="4">
        <v>990</v>
      </c>
      <c r="D3571"/>
    </row>
    <row r="3572" spans="1:4" x14ac:dyDescent="0.3">
      <c r="A3572" s="4" t="s">
        <v>15</v>
      </c>
      <c r="B3572" s="4">
        <v>453</v>
      </c>
      <c r="D3572"/>
    </row>
    <row r="3573" spans="1:4" x14ac:dyDescent="0.3">
      <c r="A3573" s="4" t="s">
        <v>10</v>
      </c>
      <c r="B3573" s="4">
        <v>535</v>
      </c>
      <c r="D3573"/>
    </row>
    <row r="3574" spans="1:4" x14ac:dyDescent="0.3">
      <c r="A3574" s="4" t="s">
        <v>7</v>
      </c>
      <c r="B3574" s="4">
        <v>705</v>
      </c>
      <c r="D3574"/>
    </row>
    <row r="3575" spans="1:4" x14ac:dyDescent="0.3">
      <c r="A3575" s="4" t="s">
        <v>17</v>
      </c>
      <c r="B3575" s="4">
        <v>145</v>
      </c>
      <c r="D3575"/>
    </row>
    <row r="3576" spans="1:4" x14ac:dyDescent="0.3">
      <c r="A3576" s="4" t="s">
        <v>10</v>
      </c>
      <c r="B3576" s="4">
        <v>468</v>
      </c>
      <c r="D3576"/>
    </row>
    <row r="3577" spans="1:4" x14ac:dyDescent="0.3">
      <c r="A3577" s="4" t="s">
        <v>16</v>
      </c>
      <c r="B3577" s="4">
        <v>372</v>
      </c>
      <c r="D3577"/>
    </row>
    <row r="3578" spans="1:4" x14ac:dyDescent="0.3">
      <c r="A3578" s="4" t="s">
        <v>12</v>
      </c>
      <c r="B3578" s="4">
        <v>771</v>
      </c>
      <c r="D3578"/>
    </row>
    <row r="3579" spans="1:4" x14ac:dyDescent="0.3">
      <c r="A3579" s="4" t="s">
        <v>17</v>
      </c>
      <c r="B3579" s="4">
        <v>679</v>
      </c>
      <c r="D3579"/>
    </row>
    <row r="3580" spans="1:4" x14ac:dyDescent="0.3">
      <c r="A3580" s="4" t="s">
        <v>10</v>
      </c>
      <c r="B3580" s="4">
        <v>253</v>
      </c>
      <c r="D3580"/>
    </row>
    <row r="3581" spans="1:4" x14ac:dyDescent="0.3">
      <c r="A3581" s="4" t="s">
        <v>12</v>
      </c>
      <c r="B3581" s="4">
        <v>159</v>
      </c>
      <c r="D3581"/>
    </row>
    <row r="3582" spans="1:4" x14ac:dyDescent="0.3">
      <c r="A3582" s="4" t="s">
        <v>9</v>
      </c>
      <c r="B3582" s="4">
        <v>408</v>
      </c>
      <c r="D3582"/>
    </row>
    <row r="3583" spans="1:4" x14ac:dyDescent="0.3">
      <c r="A3583" s="4" t="s">
        <v>17</v>
      </c>
      <c r="B3583" s="4">
        <v>283</v>
      </c>
      <c r="D3583"/>
    </row>
    <row r="3584" spans="1:4" x14ac:dyDescent="0.3">
      <c r="A3584" s="4" t="s">
        <v>13</v>
      </c>
      <c r="B3584" s="4">
        <v>501</v>
      </c>
      <c r="D3584"/>
    </row>
    <row r="3585" spans="1:4" x14ac:dyDescent="0.3">
      <c r="A3585" s="4" t="s">
        <v>6</v>
      </c>
      <c r="B3585" s="4">
        <v>849</v>
      </c>
      <c r="D3585"/>
    </row>
    <row r="3586" spans="1:4" x14ac:dyDescent="0.3">
      <c r="A3586" s="4" t="s">
        <v>19</v>
      </c>
      <c r="B3586" s="4">
        <v>331</v>
      </c>
      <c r="D3586"/>
    </row>
    <row r="3587" spans="1:4" x14ac:dyDescent="0.3">
      <c r="A3587" s="4" t="s">
        <v>14</v>
      </c>
      <c r="B3587" s="4">
        <v>531</v>
      </c>
      <c r="D3587"/>
    </row>
    <row r="3588" spans="1:4" x14ac:dyDescent="0.3">
      <c r="A3588" s="4" t="s">
        <v>3</v>
      </c>
      <c r="B3588" s="4">
        <v>409</v>
      </c>
      <c r="D3588"/>
    </row>
    <row r="3589" spans="1:4" x14ac:dyDescent="0.3">
      <c r="A3589" s="4" t="s">
        <v>15</v>
      </c>
      <c r="B3589" s="4">
        <v>499</v>
      </c>
      <c r="D3589"/>
    </row>
    <row r="3590" spans="1:4" x14ac:dyDescent="0.3">
      <c r="A3590" s="4" t="s">
        <v>10</v>
      </c>
      <c r="B3590" s="4">
        <v>145</v>
      </c>
      <c r="D3590"/>
    </row>
    <row r="3591" spans="1:4" x14ac:dyDescent="0.3">
      <c r="A3591" s="4" t="s">
        <v>6</v>
      </c>
      <c r="B3591" s="4">
        <v>649</v>
      </c>
      <c r="D3591"/>
    </row>
    <row r="3592" spans="1:4" x14ac:dyDescent="0.3">
      <c r="A3592" s="4" t="s">
        <v>4</v>
      </c>
      <c r="B3592" s="4">
        <v>616</v>
      </c>
      <c r="D3592"/>
    </row>
    <row r="3593" spans="1:4" x14ac:dyDescent="0.3">
      <c r="A3593" s="4" t="s">
        <v>8</v>
      </c>
      <c r="B3593" s="4">
        <v>404</v>
      </c>
      <c r="D3593"/>
    </row>
    <row r="3594" spans="1:4" x14ac:dyDescent="0.3">
      <c r="A3594" s="4" t="s">
        <v>4</v>
      </c>
      <c r="B3594" s="4">
        <v>195</v>
      </c>
      <c r="D3594"/>
    </row>
    <row r="3595" spans="1:4" x14ac:dyDescent="0.3">
      <c r="A3595" s="4" t="s">
        <v>7</v>
      </c>
      <c r="B3595" s="4">
        <v>205</v>
      </c>
      <c r="D3595"/>
    </row>
    <row r="3596" spans="1:4" x14ac:dyDescent="0.3">
      <c r="A3596" s="4" t="s">
        <v>8</v>
      </c>
      <c r="B3596" s="4">
        <v>817</v>
      </c>
      <c r="D3596"/>
    </row>
    <row r="3597" spans="1:4" x14ac:dyDescent="0.3">
      <c r="A3597" s="4" t="s">
        <v>15</v>
      </c>
      <c r="B3597" s="4">
        <v>998</v>
      </c>
      <c r="D3597"/>
    </row>
    <row r="3598" spans="1:4" x14ac:dyDescent="0.3">
      <c r="A3598" s="4" t="s">
        <v>18</v>
      </c>
      <c r="B3598" s="4">
        <v>249</v>
      </c>
      <c r="D3598"/>
    </row>
    <row r="3599" spans="1:4" x14ac:dyDescent="0.3">
      <c r="A3599" s="4" t="s">
        <v>7</v>
      </c>
      <c r="B3599" s="4">
        <v>387</v>
      </c>
      <c r="D3599"/>
    </row>
    <row r="3600" spans="1:4" x14ac:dyDescent="0.3">
      <c r="A3600" s="4" t="s">
        <v>11</v>
      </c>
      <c r="B3600" s="4">
        <v>890</v>
      </c>
      <c r="D3600"/>
    </row>
    <row r="3601" spans="1:4" x14ac:dyDescent="0.3">
      <c r="A3601" s="4" t="s">
        <v>17</v>
      </c>
      <c r="B3601" s="4">
        <v>751</v>
      </c>
      <c r="D3601"/>
    </row>
    <row r="3602" spans="1:4" x14ac:dyDescent="0.3">
      <c r="A3602" s="4" t="s">
        <v>10</v>
      </c>
      <c r="B3602" s="4">
        <v>750</v>
      </c>
      <c r="D3602"/>
    </row>
    <row r="3603" spans="1:4" x14ac:dyDescent="0.3">
      <c r="A3603" s="4" t="s">
        <v>4</v>
      </c>
      <c r="B3603" s="4">
        <v>743</v>
      </c>
      <c r="D3603"/>
    </row>
    <row r="3604" spans="1:4" x14ac:dyDescent="0.3">
      <c r="A3604" s="4" t="s">
        <v>4</v>
      </c>
      <c r="B3604" s="4">
        <v>276</v>
      </c>
      <c r="D3604"/>
    </row>
    <row r="3605" spans="1:4" x14ac:dyDescent="0.3">
      <c r="A3605" s="4" t="s">
        <v>7</v>
      </c>
      <c r="B3605" s="4">
        <v>645</v>
      </c>
      <c r="D3605"/>
    </row>
    <row r="3606" spans="1:4" x14ac:dyDescent="0.3">
      <c r="A3606" s="4" t="s">
        <v>9</v>
      </c>
      <c r="B3606" s="4">
        <v>6</v>
      </c>
      <c r="D3606"/>
    </row>
    <row r="3607" spans="1:4" x14ac:dyDescent="0.3">
      <c r="A3607" s="4" t="s">
        <v>7</v>
      </c>
      <c r="B3607" s="4">
        <v>394</v>
      </c>
      <c r="D3607"/>
    </row>
    <row r="3608" spans="1:4" x14ac:dyDescent="0.3">
      <c r="A3608" s="4" t="s">
        <v>4</v>
      </c>
      <c r="B3608" s="4">
        <v>336</v>
      </c>
      <c r="D3608"/>
    </row>
    <row r="3609" spans="1:4" x14ac:dyDescent="0.3">
      <c r="A3609" s="4" t="s">
        <v>6</v>
      </c>
      <c r="B3609" s="4" t="e">
        <v>#REF!</v>
      </c>
      <c r="D3609"/>
    </row>
    <row r="3610" spans="1:4" x14ac:dyDescent="0.3">
      <c r="A3610" s="4" t="s">
        <v>4</v>
      </c>
      <c r="B3610" s="4">
        <v>669</v>
      </c>
      <c r="D3610"/>
    </row>
    <row r="3611" spans="1:4" x14ac:dyDescent="0.3">
      <c r="A3611" s="4" t="s">
        <v>15</v>
      </c>
      <c r="B3611" s="4">
        <v>983</v>
      </c>
      <c r="D3611"/>
    </row>
    <row r="3612" spans="1:4" x14ac:dyDescent="0.3">
      <c r="A3612" s="4" t="s">
        <v>6</v>
      </c>
      <c r="B3612" s="4">
        <v>984</v>
      </c>
      <c r="D3612"/>
    </row>
    <row r="3613" spans="1:4" x14ac:dyDescent="0.3">
      <c r="A3613" s="4" t="s">
        <v>19</v>
      </c>
      <c r="B3613" s="4">
        <v>271</v>
      </c>
      <c r="D3613"/>
    </row>
    <row r="3614" spans="1:4" x14ac:dyDescent="0.3">
      <c r="A3614" s="4" t="s">
        <v>7</v>
      </c>
      <c r="B3614" s="4">
        <v>798</v>
      </c>
      <c r="D3614"/>
    </row>
    <row r="3615" spans="1:4" x14ac:dyDescent="0.3">
      <c r="A3615" s="4" t="s">
        <v>18</v>
      </c>
      <c r="B3615" s="4">
        <v>898</v>
      </c>
      <c r="D3615"/>
    </row>
    <row r="3616" spans="1:4" x14ac:dyDescent="0.3">
      <c r="A3616" s="4" t="s">
        <v>12</v>
      </c>
      <c r="B3616" s="4">
        <v>856</v>
      </c>
      <c r="D3616"/>
    </row>
    <row r="3617" spans="1:4" x14ac:dyDescent="0.3">
      <c r="A3617" s="4" t="s">
        <v>6</v>
      </c>
      <c r="B3617" s="4">
        <v>861</v>
      </c>
      <c r="D3617"/>
    </row>
    <row r="3618" spans="1:4" x14ac:dyDescent="0.3">
      <c r="A3618" s="4" t="s">
        <v>16</v>
      </c>
      <c r="B3618" s="4">
        <v>293</v>
      </c>
      <c r="D3618"/>
    </row>
    <row r="3619" spans="1:4" x14ac:dyDescent="0.3">
      <c r="A3619" s="4" t="s">
        <v>10</v>
      </c>
      <c r="B3619" s="4">
        <v>344</v>
      </c>
      <c r="D3619"/>
    </row>
    <row r="3620" spans="1:4" x14ac:dyDescent="0.3">
      <c r="A3620" s="4" t="s">
        <v>4</v>
      </c>
      <c r="B3620" s="4">
        <v>736</v>
      </c>
      <c r="D3620"/>
    </row>
    <row r="3621" spans="1:4" x14ac:dyDescent="0.3">
      <c r="A3621" s="4" t="s">
        <v>13</v>
      </c>
      <c r="B3621" s="4">
        <v>368</v>
      </c>
      <c r="D3621"/>
    </row>
    <row r="3622" spans="1:4" x14ac:dyDescent="0.3">
      <c r="A3622" s="4" t="s">
        <v>13</v>
      </c>
      <c r="B3622" s="4">
        <v>641</v>
      </c>
      <c r="D3622"/>
    </row>
    <row r="3623" spans="1:4" x14ac:dyDescent="0.3">
      <c r="A3623" s="4" t="s">
        <v>14</v>
      </c>
      <c r="B3623" s="4">
        <v>878</v>
      </c>
      <c r="D3623"/>
    </row>
    <row r="3624" spans="1:4" x14ac:dyDescent="0.3">
      <c r="A3624" s="4" t="s">
        <v>6</v>
      </c>
      <c r="B3624" s="4">
        <v>394</v>
      </c>
      <c r="D3624"/>
    </row>
    <row r="3625" spans="1:4" x14ac:dyDescent="0.3">
      <c r="A3625" s="4" t="s">
        <v>9</v>
      </c>
      <c r="B3625" s="4">
        <v>569</v>
      </c>
      <c r="D3625"/>
    </row>
    <row r="3626" spans="1:4" x14ac:dyDescent="0.3">
      <c r="A3626" s="4" t="s">
        <v>14</v>
      </c>
      <c r="B3626" s="4">
        <v>833</v>
      </c>
      <c r="D3626"/>
    </row>
    <row r="3627" spans="1:4" x14ac:dyDescent="0.3">
      <c r="A3627" s="4" t="s">
        <v>18</v>
      </c>
      <c r="B3627" s="6">
        <v>485</v>
      </c>
      <c r="D3627"/>
    </row>
    <row r="3628" spans="1:4" x14ac:dyDescent="0.3">
      <c r="A3628" s="4" t="s">
        <v>10</v>
      </c>
      <c r="B3628" s="4">
        <v>246</v>
      </c>
      <c r="D3628"/>
    </row>
    <row r="3629" spans="1:4" x14ac:dyDescent="0.3">
      <c r="A3629" s="4" t="s">
        <v>7</v>
      </c>
      <c r="B3629" s="4">
        <v>35</v>
      </c>
      <c r="D3629"/>
    </row>
    <row r="3630" spans="1:4" x14ac:dyDescent="0.3">
      <c r="A3630" s="4" t="s">
        <v>11</v>
      </c>
      <c r="B3630" s="4">
        <v>158</v>
      </c>
      <c r="D3630"/>
    </row>
    <row r="3631" spans="1:4" x14ac:dyDescent="0.3">
      <c r="A3631" s="4" t="s">
        <v>15</v>
      </c>
      <c r="B3631" s="4">
        <v>737</v>
      </c>
      <c r="D3631"/>
    </row>
    <row r="3632" spans="1:4" x14ac:dyDescent="0.3">
      <c r="A3632" s="4" t="s">
        <v>12</v>
      </c>
      <c r="B3632" s="4">
        <v>886</v>
      </c>
      <c r="D3632"/>
    </row>
    <row r="3633" spans="1:4" x14ac:dyDescent="0.3">
      <c r="A3633" s="4" t="s">
        <v>9</v>
      </c>
      <c r="B3633" s="4">
        <v>517</v>
      </c>
      <c r="D3633"/>
    </row>
    <row r="3634" spans="1:4" x14ac:dyDescent="0.3">
      <c r="A3634" s="4" t="s">
        <v>9</v>
      </c>
      <c r="B3634" s="4">
        <v>634</v>
      </c>
      <c r="D3634"/>
    </row>
    <row r="3635" spans="1:4" x14ac:dyDescent="0.3">
      <c r="A3635" s="4" t="s">
        <v>6</v>
      </c>
      <c r="B3635" s="4">
        <v>909</v>
      </c>
      <c r="D3635"/>
    </row>
    <row r="3636" spans="1:4" x14ac:dyDescent="0.3">
      <c r="A3636" s="4" t="s">
        <v>7</v>
      </c>
      <c r="B3636" s="4">
        <v>249</v>
      </c>
      <c r="D3636"/>
    </row>
    <row r="3637" spans="1:4" x14ac:dyDescent="0.3">
      <c r="A3637" s="4" t="s">
        <v>12</v>
      </c>
      <c r="B3637" s="4">
        <v>759</v>
      </c>
      <c r="D3637"/>
    </row>
    <row r="3638" spans="1:4" x14ac:dyDescent="0.3">
      <c r="A3638" s="4" t="s">
        <v>6</v>
      </c>
      <c r="B3638" s="4">
        <v>576</v>
      </c>
      <c r="D3638"/>
    </row>
    <row r="3639" spans="1:4" x14ac:dyDescent="0.3">
      <c r="A3639" s="4" t="s">
        <v>12</v>
      </c>
      <c r="B3639" s="4">
        <v>378</v>
      </c>
      <c r="D3639"/>
    </row>
    <row r="3640" spans="1:4" x14ac:dyDescent="0.3">
      <c r="A3640" s="4" t="s">
        <v>10</v>
      </c>
      <c r="B3640" s="4">
        <v>86</v>
      </c>
      <c r="D3640"/>
    </row>
    <row r="3641" spans="1:4" x14ac:dyDescent="0.3">
      <c r="A3641" s="4" t="s">
        <v>19</v>
      </c>
      <c r="B3641" s="4">
        <v>240</v>
      </c>
      <c r="D3641"/>
    </row>
    <row r="3642" spans="1:4" x14ac:dyDescent="0.3">
      <c r="A3642" s="4" t="s">
        <v>16</v>
      </c>
      <c r="B3642" s="4">
        <v>982</v>
      </c>
      <c r="D3642"/>
    </row>
    <row r="3643" spans="1:4" x14ac:dyDescent="0.3">
      <c r="A3643" s="4" t="s">
        <v>9</v>
      </c>
      <c r="B3643" s="4">
        <v>525</v>
      </c>
      <c r="D3643"/>
    </row>
    <row r="3644" spans="1:4" x14ac:dyDescent="0.3">
      <c r="A3644" s="4" t="s">
        <v>4</v>
      </c>
      <c r="B3644" s="4">
        <v>574</v>
      </c>
      <c r="D3644"/>
    </row>
    <row r="3645" spans="1:4" x14ac:dyDescent="0.3">
      <c r="A3645" s="4" t="s">
        <v>10</v>
      </c>
      <c r="B3645" s="4">
        <v>586</v>
      </c>
      <c r="D3645"/>
    </row>
    <row r="3646" spans="1:4" x14ac:dyDescent="0.3">
      <c r="A3646" s="4" t="s">
        <v>10</v>
      </c>
      <c r="B3646" s="4">
        <v>909</v>
      </c>
      <c r="D3646"/>
    </row>
    <row r="3647" spans="1:4" x14ac:dyDescent="0.3">
      <c r="A3647" s="4" t="s">
        <v>3</v>
      </c>
      <c r="B3647" s="4">
        <v>687</v>
      </c>
      <c r="D3647"/>
    </row>
    <row r="3648" spans="1:4" x14ac:dyDescent="0.3">
      <c r="A3648" s="4" t="s">
        <v>10</v>
      </c>
      <c r="B3648" s="4">
        <v>920</v>
      </c>
      <c r="D3648"/>
    </row>
    <row r="3649" spans="1:4" x14ac:dyDescent="0.3">
      <c r="A3649" s="4" t="s">
        <v>3</v>
      </c>
      <c r="B3649" s="4" t="e">
        <v>#REF!</v>
      </c>
      <c r="D3649"/>
    </row>
    <row r="3650" spans="1:4" x14ac:dyDescent="0.3">
      <c r="A3650" s="4" t="s">
        <v>16</v>
      </c>
      <c r="B3650" s="4">
        <v>235</v>
      </c>
      <c r="D3650"/>
    </row>
    <row r="3651" spans="1:4" x14ac:dyDescent="0.3">
      <c r="A3651" s="4" t="s">
        <v>10</v>
      </c>
      <c r="B3651" s="4">
        <v>530</v>
      </c>
      <c r="D3651"/>
    </row>
    <row r="3652" spans="1:4" x14ac:dyDescent="0.3">
      <c r="A3652" s="4" t="s">
        <v>9</v>
      </c>
      <c r="B3652" s="4">
        <v>973</v>
      </c>
      <c r="D3652"/>
    </row>
    <row r="3653" spans="1:4" x14ac:dyDescent="0.3">
      <c r="A3653" s="4" t="s">
        <v>9</v>
      </c>
      <c r="B3653" s="4">
        <v>840</v>
      </c>
      <c r="D3653"/>
    </row>
    <row r="3654" spans="1:4" x14ac:dyDescent="0.3">
      <c r="A3654" s="4" t="s">
        <v>17</v>
      </c>
      <c r="B3654" s="4">
        <v>595</v>
      </c>
      <c r="D3654"/>
    </row>
    <row r="3655" spans="1:4" x14ac:dyDescent="0.3">
      <c r="A3655" s="4" t="s">
        <v>17</v>
      </c>
      <c r="B3655" s="4">
        <v>158</v>
      </c>
      <c r="D3655"/>
    </row>
    <row r="3656" spans="1:4" x14ac:dyDescent="0.3">
      <c r="A3656" s="4" t="s">
        <v>8</v>
      </c>
      <c r="B3656" s="4">
        <v>208</v>
      </c>
      <c r="D3656"/>
    </row>
    <row r="3657" spans="1:4" x14ac:dyDescent="0.3">
      <c r="A3657" s="4" t="s">
        <v>7</v>
      </c>
      <c r="B3657" s="4">
        <v>121</v>
      </c>
      <c r="D3657"/>
    </row>
    <row r="3658" spans="1:4" x14ac:dyDescent="0.3">
      <c r="A3658" s="4" t="s">
        <v>17</v>
      </c>
      <c r="B3658" s="4">
        <v>339</v>
      </c>
      <c r="D3658"/>
    </row>
    <row r="3659" spans="1:4" x14ac:dyDescent="0.3">
      <c r="A3659" s="4" t="s">
        <v>8</v>
      </c>
      <c r="B3659" s="4">
        <v>679</v>
      </c>
      <c r="D3659"/>
    </row>
    <row r="3660" spans="1:4" x14ac:dyDescent="0.3">
      <c r="A3660" s="4" t="s">
        <v>19</v>
      </c>
      <c r="B3660" s="4">
        <v>509</v>
      </c>
      <c r="D3660"/>
    </row>
    <row r="3661" spans="1:4" x14ac:dyDescent="0.3">
      <c r="A3661" s="4" t="s">
        <v>16</v>
      </c>
      <c r="B3661" s="4">
        <v>237</v>
      </c>
      <c r="D3661"/>
    </row>
    <row r="3662" spans="1:4" x14ac:dyDescent="0.3">
      <c r="A3662" s="4" t="s">
        <v>19</v>
      </c>
      <c r="B3662" s="4">
        <v>145</v>
      </c>
      <c r="D3662"/>
    </row>
    <row r="3663" spans="1:4" x14ac:dyDescent="0.3">
      <c r="A3663" s="4" t="s">
        <v>15</v>
      </c>
      <c r="B3663" s="4">
        <v>268</v>
      </c>
      <c r="D3663"/>
    </row>
    <row r="3664" spans="1:4" x14ac:dyDescent="0.3">
      <c r="A3664" s="4" t="s">
        <v>12</v>
      </c>
      <c r="B3664" s="4">
        <v>271</v>
      </c>
      <c r="D3664"/>
    </row>
    <row r="3665" spans="1:4" x14ac:dyDescent="0.3">
      <c r="A3665" s="4" t="s">
        <v>3</v>
      </c>
      <c r="B3665" s="4">
        <v>575</v>
      </c>
      <c r="D3665"/>
    </row>
    <row r="3666" spans="1:4" x14ac:dyDescent="0.3">
      <c r="A3666" s="4" t="s">
        <v>10</v>
      </c>
      <c r="B3666" s="4">
        <v>197</v>
      </c>
      <c r="D3666"/>
    </row>
    <row r="3667" spans="1:4" x14ac:dyDescent="0.3">
      <c r="A3667" s="4" t="s">
        <v>18</v>
      </c>
      <c r="B3667" s="4">
        <v>427</v>
      </c>
      <c r="D3667"/>
    </row>
    <row r="3668" spans="1:4" x14ac:dyDescent="0.3">
      <c r="A3668" s="4" t="s">
        <v>3</v>
      </c>
      <c r="B3668" s="4">
        <v>305</v>
      </c>
      <c r="D3668"/>
    </row>
    <row r="3669" spans="1:4" x14ac:dyDescent="0.3">
      <c r="A3669" s="4" t="s">
        <v>6</v>
      </c>
      <c r="B3669" s="4">
        <v>672</v>
      </c>
      <c r="D3669"/>
    </row>
    <row r="3670" spans="1:4" x14ac:dyDescent="0.3">
      <c r="A3670" s="4" t="s">
        <v>17</v>
      </c>
      <c r="B3670" s="4">
        <v>733</v>
      </c>
      <c r="D3670"/>
    </row>
    <row r="3671" spans="1:4" x14ac:dyDescent="0.3">
      <c r="A3671" s="4" t="s">
        <v>3</v>
      </c>
      <c r="B3671" s="4">
        <v>418</v>
      </c>
      <c r="D3671"/>
    </row>
    <row r="3672" spans="1:4" x14ac:dyDescent="0.3">
      <c r="A3672" s="4" t="s">
        <v>7</v>
      </c>
      <c r="B3672" s="4">
        <v>137</v>
      </c>
      <c r="D3672"/>
    </row>
    <row r="3673" spans="1:4" x14ac:dyDescent="0.3">
      <c r="A3673" s="4" t="s">
        <v>10</v>
      </c>
      <c r="B3673" s="4">
        <v>69</v>
      </c>
      <c r="D3673"/>
    </row>
    <row r="3674" spans="1:4" x14ac:dyDescent="0.3">
      <c r="A3674" s="4" t="s">
        <v>15</v>
      </c>
      <c r="B3674" s="4">
        <v>699</v>
      </c>
      <c r="D3674"/>
    </row>
    <row r="3675" spans="1:4" x14ac:dyDescent="0.3">
      <c r="A3675" s="4" t="s">
        <v>12</v>
      </c>
      <c r="B3675" s="4">
        <v>772</v>
      </c>
      <c r="D3675"/>
    </row>
    <row r="3676" spans="1:4" x14ac:dyDescent="0.3">
      <c r="A3676" s="4" t="s">
        <v>6</v>
      </c>
      <c r="B3676" s="4">
        <v>408</v>
      </c>
      <c r="D3676"/>
    </row>
    <row r="3677" spans="1:4" x14ac:dyDescent="0.3">
      <c r="A3677" s="4" t="s">
        <v>16</v>
      </c>
      <c r="B3677" s="4">
        <v>708</v>
      </c>
      <c r="D3677"/>
    </row>
    <row r="3678" spans="1:4" x14ac:dyDescent="0.3">
      <c r="A3678" s="4" t="s">
        <v>11</v>
      </c>
      <c r="B3678" s="4">
        <v>792</v>
      </c>
      <c r="D3678"/>
    </row>
    <row r="3679" spans="1:4" x14ac:dyDescent="0.3">
      <c r="A3679" s="4" t="s">
        <v>6</v>
      </c>
      <c r="B3679" s="4">
        <v>141</v>
      </c>
      <c r="D3679"/>
    </row>
    <row r="3680" spans="1:4" x14ac:dyDescent="0.3">
      <c r="A3680" s="4" t="s">
        <v>12</v>
      </c>
      <c r="B3680" s="4">
        <v>220</v>
      </c>
      <c r="D3680"/>
    </row>
    <row r="3681" spans="1:4" x14ac:dyDescent="0.3">
      <c r="A3681" s="4" t="s">
        <v>8</v>
      </c>
      <c r="B3681" s="4">
        <v>312</v>
      </c>
      <c r="D3681"/>
    </row>
    <row r="3682" spans="1:4" x14ac:dyDescent="0.3">
      <c r="A3682" s="4" t="s">
        <v>3</v>
      </c>
      <c r="B3682" s="4">
        <v>492</v>
      </c>
      <c r="D3682"/>
    </row>
    <row r="3683" spans="1:4" x14ac:dyDescent="0.3">
      <c r="A3683" s="4" t="s">
        <v>13</v>
      </c>
      <c r="B3683" s="4" t="e">
        <v>#REF!</v>
      </c>
      <c r="D3683"/>
    </row>
    <row r="3684" spans="1:4" x14ac:dyDescent="0.3">
      <c r="A3684" s="4" t="s">
        <v>19</v>
      </c>
      <c r="B3684" s="4">
        <v>183</v>
      </c>
      <c r="D3684"/>
    </row>
    <row r="3685" spans="1:4" x14ac:dyDescent="0.3">
      <c r="A3685" s="4" t="s">
        <v>6</v>
      </c>
      <c r="B3685" s="4">
        <v>126</v>
      </c>
      <c r="D3685"/>
    </row>
    <row r="3686" spans="1:4" x14ac:dyDescent="0.3">
      <c r="A3686" s="4" t="s">
        <v>16</v>
      </c>
      <c r="B3686" s="4">
        <v>213</v>
      </c>
      <c r="D3686"/>
    </row>
    <row r="3687" spans="1:4" x14ac:dyDescent="0.3">
      <c r="A3687" s="4" t="s">
        <v>15</v>
      </c>
      <c r="B3687" s="4">
        <v>624</v>
      </c>
      <c r="D3687"/>
    </row>
    <row r="3688" spans="1:4" x14ac:dyDescent="0.3">
      <c r="A3688" s="4" t="s">
        <v>4</v>
      </c>
      <c r="B3688" s="4">
        <v>484</v>
      </c>
      <c r="D3688"/>
    </row>
    <row r="3689" spans="1:4" x14ac:dyDescent="0.3">
      <c r="A3689" s="4" t="s">
        <v>13</v>
      </c>
      <c r="B3689" s="4">
        <v>605</v>
      </c>
      <c r="D3689"/>
    </row>
    <row r="3690" spans="1:4" x14ac:dyDescent="0.3">
      <c r="A3690" s="4" t="s">
        <v>12</v>
      </c>
      <c r="B3690" s="4">
        <v>339</v>
      </c>
      <c r="D3690"/>
    </row>
    <row r="3691" spans="1:4" x14ac:dyDescent="0.3">
      <c r="A3691" s="4" t="s">
        <v>7</v>
      </c>
      <c r="B3691" s="4">
        <v>935</v>
      </c>
      <c r="D3691"/>
    </row>
    <row r="3692" spans="1:4" x14ac:dyDescent="0.3">
      <c r="A3692" s="4" t="s">
        <v>4</v>
      </c>
      <c r="B3692" s="4">
        <v>618</v>
      </c>
      <c r="D3692"/>
    </row>
    <row r="3693" spans="1:4" x14ac:dyDescent="0.3">
      <c r="A3693" s="4" t="s">
        <v>19</v>
      </c>
      <c r="B3693" s="4">
        <v>706</v>
      </c>
      <c r="D3693"/>
    </row>
    <row r="3694" spans="1:4" x14ac:dyDescent="0.3">
      <c r="A3694" s="4" t="s">
        <v>18</v>
      </c>
      <c r="B3694" s="4">
        <v>766</v>
      </c>
      <c r="D3694"/>
    </row>
    <row r="3695" spans="1:4" x14ac:dyDescent="0.3">
      <c r="A3695" s="4" t="s">
        <v>19</v>
      </c>
      <c r="B3695" s="4">
        <v>828</v>
      </c>
      <c r="D3695"/>
    </row>
    <row r="3696" spans="1:4" x14ac:dyDescent="0.3">
      <c r="A3696" s="4" t="s">
        <v>14</v>
      </c>
      <c r="B3696" s="4">
        <v>148</v>
      </c>
      <c r="D3696"/>
    </row>
    <row r="3697" spans="1:4" x14ac:dyDescent="0.3">
      <c r="A3697" s="4" t="s">
        <v>18</v>
      </c>
      <c r="B3697" s="4">
        <v>222</v>
      </c>
      <c r="D3697"/>
    </row>
    <row r="3698" spans="1:4" x14ac:dyDescent="0.3">
      <c r="A3698" s="4" t="s">
        <v>12</v>
      </c>
      <c r="B3698" s="4">
        <v>406</v>
      </c>
      <c r="D3698"/>
    </row>
    <row r="3699" spans="1:4" x14ac:dyDescent="0.3">
      <c r="A3699" s="4" t="s">
        <v>3</v>
      </c>
      <c r="B3699" s="4">
        <v>367</v>
      </c>
      <c r="D3699"/>
    </row>
    <row r="3700" spans="1:4" x14ac:dyDescent="0.3">
      <c r="A3700" s="4" t="s">
        <v>11</v>
      </c>
      <c r="B3700" s="4">
        <v>552</v>
      </c>
      <c r="D3700"/>
    </row>
    <row r="3701" spans="1:4" x14ac:dyDescent="0.3">
      <c r="A3701" s="4" t="s">
        <v>6</v>
      </c>
      <c r="B3701" s="4">
        <v>320</v>
      </c>
      <c r="D3701"/>
    </row>
    <row r="3702" spans="1:4" x14ac:dyDescent="0.3">
      <c r="A3702" s="4" t="s">
        <v>4</v>
      </c>
      <c r="B3702" s="4">
        <v>412</v>
      </c>
      <c r="D3702"/>
    </row>
    <row r="3703" spans="1:4" x14ac:dyDescent="0.3">
      <c r="A3703" s="4" t="s">
        <v>9</v>
      </c>
      <c r="B3703" s="4">
        <v>705</v>
      </c>
      <c r="D3703"/>
    </row>
    <row r="3704" spans="1:4" x14ac:dyDescent="0.3">
      <c r="A3704" s="4" t="s">
        <v>15</v>
      </c>
      <c r="B3704" s="4">
        <v>566</v>
      </c>
      <c r="D3704"/>
    </row>
    <row r="3705" spans="1:4" x14ac:dyDescent="0.3">
      <c r="A3705" s="4" t="s">
        <v>8</v>
      </c>
      <c r="B3705" s="4">
        <v>497</v>
      </c>
      <c r="D3705"/>
    </row>
    <row r="3706" spans="1:4" x14ac:dyDescent="0.3">
      <c r="A3706" s="4" t="s">
        <v>18</v>
      </c>
      <c r="B3706" s="4">
        <v>818</v>
      </c>
      <c r="D3706"/>
    </row>
    <row r="3707" spans="1:4" x14ac:dyDescent="0.3">
      <c r="A3707" s="4" t="s">
        <v>3</v>
      </c>
      <c r="B3707" s="4">
        <v>295</v>
      </c>
      <c r="D3707"/>
    </row>
    <row r="3708" spans="1:4" x14ac:dyDescent="0.3">
      <c r="A3708" s="4" t="s">
        <v>10</v>
      </c>
      <c r="B3708" s="4">
        <v>381</v>
      </c>
      <c r="D3708"/>
    </row>
    <row r="3709" spans="1:4" x14ac:dyDescent="0.3">
      <c r="A3709" s="4" t="s">
        <v>19</v>
      </c>
      <c r="B3709" s="4" t="e">
        <v>#N/A</v>
      </c>
      <c r="D3709"/>
    </row>
    <row r="3710" spans="1:4" x14ac:dyDescent="0.3">
      <c r="A3710" s="4" t="s">
        <v>11</v>
      </c>
      <c r="B3710" s="4">
        <v>86</v>
      </c>
      <c r="D3710"/>
    </row>
    <row r="3711" spans="1:4" x14ac:dyDescent="0.3">
      <c r="A3711" s="4" t="s">
        <v>7</v>
      </c>
      <c r="B3711" s="4">
        <v>307</v>
      </c>
      <c r="D3711"/>
    </row>
    <row r="3712" spans="1:4" x14ac:dyDescent="0.3">
      <c r="A3712" s="4" t="s">
        <v>15</v>
      </c>
      <c r="B3712" s="4">
        <v>665</v>
      </c>
      <c r="D3712"/>
    </row>
    <row r="3713" spans="1:4" x14ac:dyDescent="0.3">
      <c r="A3713" s="4" t="s">
        <v>3</v>
      </c>
      <c r="B3713" s="4">
        <v>506</v>
      </c>
      <c r="D3713"/>
    </row>
    <row r="3714" spans="1:4" x14ac:dyDescent="0.3">
      <c r="A3714" s="4" t="s">
        <v>4</v>
      </c>
      <c r="B3714" s="4">
        <v>732</v>
      </c>
      <c r="D3714"/>
    </row>
    <row r="3715" spans="1:4" x14ac:dyDescent="0.3">
      <c r="A3715" s="4" t="s">
        <v>8</v>
      </c>
      <c r="B3715" s="4">
        <v>241</v>
      </c>
      <c r="D3715"/>
    </row>
    <row r="3716" spans="1:4" x14ac:dyDescent="0.3">
      <c r="A3716" s="4" t="s">
        <v>11</v>
      </c>
      <c r="B3716" s="4">
        <v>147</v>
      </c>
      <c r="D3716"/>
    </row>
    <row r="3717" spans="1:4" x14ac:dyDescent="0.3">
      <c r="A3717" s="4" t="s">
        <v>3</v>
      </c>
      <c r="B3717" s="4">
        <v>418</v>
      </c>
      <c r="D3717"/>
    </row>
    <row r="3718" spans="1:4" x14ac:dyDescent="0.3">
      <c r="A3718" s="4" t="s">
        <v>6</v>
      </c>
      <c r="B3718" s="4">
        <v>638</v>
      </c>
      <c r="D3718"/>
    </row>
    <row r="3719" spans="1:4" x14ac:dyDescent="0.3">
      <c r="A3719" s="4" t="s">
        <v>12</v>
      </c>
      <c r="B3719" s="4">
        <v>248</v>
      </c>
      <c r="D3719"/>
    </row>
    <row r="3720" spans="1:4" x14ac:dyDescent="0.3">
      <c r="A3720" s="4" t="s">
        <v>19</v>
      </c>
      <c r="B3720" s="4">
        <v>439</v>
      </c>
      <c r="D3720"/>
    </row>
    <row r="3721" spans="1:4" x14ac:dyDescent="0.3">
      <c r="A3721" s="4" t="s">
        <v>4</v>
      </c>
      <c r="B3721" s="4">
        <v>417</v>
      </c>
      <c r="D3721"/>
    </row>
    <row r="3722" spans="1:4" x14ac:dyDescent="0.3">
      <c r="A3722" s="4" t="s">
        <v>13</v>
      </c>
      <c r="B3722" s="4">
        <v>377</v>
      </c>
      <c r="D3722"/>
    </row>
    <row r="3723" spans="1:4" x14ac:dyDescent="0.3">
      <c r="A3723" s="4" t="s">
        <v>17</v>
      </c>
      <c r="B3723" s="4">
        <v>638</v>
      </c>
      <c r="D3723"/>
    </row>
    <row r="3724" spans="1:4" x14ac:dyDescent="0.3">
      <c r="A3724" s="4" t="s">
        <v>19</v>
      </c>
      <c r="B3724" s="4">
        <v>344</v>
      </c>
      <c r="D3724"/>
    </row>
    <row r="3725" spans="1:4" x14ac:dyDescent="0.3">
      <c r="A3725" s="4" t="s">
        <v>10</v>
      </c>
      <c r="B3725" s="4">
        <v>611</v>
      </c>
      <c r="D3725"/>
    </row>
    <row r="3726" spans="1:4" x14ac:dyDescent="0.3">
      <c r="A3726" s="4" t="s">
        <v>19</v>
      </c>
      <c r="B3726" s="4">
        <v>221</v>
      </c>
      <c r="D3726"/>
    </row>
    <row r="3727" spans="1:4" x14ac:dyDescent="0.3">
      <c r="A3727" s="4" t="s">
        <v>4</v>
      </c>
      <c r="B3727" s="4">
        <v>508</v>
      </c>
      <c r="D3727"/>
    </row>
    <row r="3728" spans="1:4" x14ac:dyDescent="0.3">
      <c r="A3728" s="4" t="s">
        <v>4</v>
      </c>
      <c r="B3728" s="4">
        <v>122</v>
      </c>
      <c r="D3728"/>
    </row>
    <row r="3729" spans="1:4" x14ac:dyDescent="0.3">
      <c r="A3729" s="4" t="s">
        <v>11</v>
      </c>
      <c r="B3729" s="4">
        <v>971</v>
      </c>
      <c r="D3729"/>
    </row>
    <row r="3730" spans="1:4" x14ac:dyDescent="0.3">
      <c r="A3730" s="4" t="s">
        <v>8</v>
      </c>
      <c r="B3730" s="4">
        <v>959</v>
      </c>
      <c r="D3730"/>
    </row>
    <row r="3731" spans="1:4" x14ac:dyDescent="0.3">
      <c r="A3731" s="4" t="s">
        <v>8</v>
      </c>
      <c r="B3731" s="4">
        <v>226</v>
      </c>
      <c r="D3731"/>
    </row>
    <row r="3732" spans="1:4" x14ac:dyDescent="0.3">
      <c r="A3732" s="4" t="s">
        <v>17</v>
      </c>
      <c r="B3732" s="4">
        <v>167</v>
      </c>
      <c r="D3732"/>
    </row>
    <row r="3733" spans="1:4" x14ac:dyDescent="0.3">
      <c r="A3733" s="4" t="s">
        <v>9</v>
      </c>
      <c r="B3733" s="4">
        <v>484</v>
      </c>
      <c r="D3733"/>
    </row>
    <row r="3734" spans="1:4" x14ac:dyDescent="0.3">
      <c r="A3734" s="4" t="s">
        <v>3</v>
      </c>
      <c r="B3734" s="4">
        <v>535</v>
      </c>
      <c r="D3734"/>
    </row>
    <row r="3735" spans="1:4" x14ac:dyDescent="0.3">
      <c r="A3735" s="4" t="s">
        <v>7</v>
      </c>
      <c r="B3735" s="4">
        <v>200</v>
      </c>
      <c r="D3735"/>
    </row>
    <row r="3736" spans="1:4" x14ac:dyDescent="0.3">
      <c r="A3736" s="4" t="s">
        <v>14</v>
      </c>
      <c r="B3736" s="4">
        <v>598</v>
      </c>
      <c r="D3736"/>
    </row>
    <row r="3737" spans="1:4" x14ac:dyDescent="0.3">
      <c r="A3737" s="4" t="s">
        <v>16</v>
      </c>
      <c r="B3737" s="4">
        <v>140</v>
      </c>
      <c r="D3737"/>
    </row>
    <row r="3738" spans="1:4" x14ac:dyDescent="0.3">
      <c r="A3738" s="4" t="s">
        <v>3</v>
      </c>
      <c r="B3738" s="4">
        <v>409</v>
      </c>
      <c r="D3738"/>
    </row>
    <row r="3739" spans="1:4" x14ac:dyDescent="0.3">
      <c r="A3739" s="4" t="s">
        <v>3</v>
      </c>
      <c r="B3739" s="4">
        <v>436</v>
      </c>
      <c r="D3739"/>
    </row>
    <row r="3740" spans="1:4" x14ac:dyDescent="0.3">
      <c r="A3740" s="4" t="s">
        <v>6</v>
      </c>
      <c r="B3740" s="4">
        <v>270</v>
      </c>
      <c r="D3740"/>
    </row>
    <row r="3741" spans="1:4" x14ac:dyDescent="0.3">
      <c r="A3741" s="4" t="s">
        <v>10</v>
      </c>
      <c r="B3741" s="4">
        <v>941</v>
      </c>
      <c r="D3741"/>
    </row>
    <row r="3742" spans="1:4" x14ac:dyDescent="0.3">
      <c r="A3742" s="4" t="s">
        <v>4</v>
      </c>
      <c r="B3742" s="4">
        <v>537</v>
      </c>
      <c r="D3742"/>
    </row>
    <row r="3743" spans="1:4" x14ac:dyDescent="0.3">
      <c r="A3743" s="4" t="s">
        <v>7</v>
      </c>
      <c r="B3743" s="4" t="e">
        <v>#REF!</v>
      </c>
      <c r="D3743"/>
    </row>
    <row r="3744" spans="1:4" x14ac:dyDescent="0.3">
      <c r="A3744" s="4" t="s">
        <v>7</v>
      </c>
      <c r="B3744" s="4">
        <v>360</v>
      </c>
      <c r="D3744"/>
    </row>
    <row r="3745" spans="1:4" x14ac:dyDescent="0.3">
      <c r="A3745" s="4" t="s">
        <v>4</v>
      </c>
      <c r="B3745" s="4">
        <v>533</v>
      </c>
      <c r="D3745"/>
    </row>
    <row r="3746" spans="1:4" x14ac:dyDescent="0.3">
      <c r="A3746" s="4" t="s">
        <v>6</v>
      </c>
      <c r="B3746" s="4">
        <v>561</v>
      </c>
      <c r="D3746"/>
    </row>
    <row r="3747" spans="1:4" x14ac:dyDescent="0.3">
      <c r="A3747" s="4" t="s">
        <v>16</v>
      </c>
      <c r="B3747" s="4">
        <v>907</v>
      </c>
      <c r="D3747"/>
    </row>
    <row r="3748" spans="1:4" x14ac:dyDescent="0.3">
      <c r="A3748" s="4" t="s">
        <v>4</v>
      </c>
      <c r="B3748" s="4">
        <v>214</v>
      </c>
      <c r="D3748"/>
    </row>
    <row r="3749" spans="1:4" x14ac:dyDescent="0.3">
      <c r="A3749" s="4" t="s">
        <v>16</v>
      </c>
      <c r="B3749" s="4">
        <v>584</v>
      </c>
      <c r="D3749"/>
    </row>
    <row r="3750" spans="1:4" x14ac:dyDescent="0.3">
      <c r="A3750" s="4" t="s">
        <v>19</v>
      </c>
      <c r="B3750" s="4">
        <v>461</v>
      </c>
      <c r="D3750"/>
    </row>
    <row r="3751" spans="1:4" x14ac:dyDescent="0.3">
      <c r="A3751" s="4" t="s">
        <v>12</v>
      </c>
      <c r="B3751" s="4">
        <v>570</v>
      </c>
      <c r="D3751"/>
    </row>
    <row r="3752" spans="1:4" x14ac:dyDescent="0.3">
      <c r="A3752" s="4" t="s">
        <v>16</v>
      </c>
      <c r="B3752" s="4">
        <v>675</v>
      </c>
      <c r="D3752"/>
    </row>
    <row r="3753" spans="1:4" x14ac:dyDescent="0.3">
      <c r="A3753" s="4" t="s">
        <v>10</v>
      </c>
      <c r="B3753" s="4">
        <v>225</v>
      </c>
      <c r="D3753"/>
    </row>
    <row r="3754" spans="1:4" x14ac:dyDescent="0.3">
      <c r="A3754" s="4" t="s">
        <v>15</v>
      </c>
      <c r="B3754" s="4">
        <v>651</v>
      </c>
      <c r="D3754"/>
    </row>
    <row r="3755" spans="1:4" x14ac:dyDescent="0.3">
      <c r="A3755" s="4" t="s">
        <v>19</v>
      </c>
      <c r="B3755" s="4">
        <v>938</v>
      </c>
      <c r="D3755"/>
    </row>
    <row r="3756" spans="1:4" x14ac:dyDescent="0.3">
      <c r="A3756" s="4" t="s">
        <v>10</v>
      </c>
      <c r="B3756" s="4">
        <v>135</v>
      </c>
      <c r="D3756"/>
    </row>
    <row r="3757" spans="1:4" x14ac:dyDescent="0.3">
      <c r="A3757" s="4" t="s">
        <v>4</v>
      </c>
      <c r="B3757" s="4">
        <v>744</v>
      </c>
      <c r="D3757"/>
    </row>
    <row r="3758" spans="1:4" x14ac:dyDescent="0.3">
      <c r="A3758" s="4" t="s">
        <v>10</v>
      </c>
      <c r="B3758" s="4">
        <v>110</v>
      </c>
      <c r="D3758"/>
    </row>
    <row r="3759" spans="1:4" x14ac:dyDescent="0.3">
      <c r="A3759" s="4" t="s">
        <v>14</v>
      </c>
      <c r="B3759" s="4" t="e">
        <v>#N/A</v>
      </c>
      <c r="D3759"/>
    </row>
    <row r="3760" spans="1:4" x14ac:dyDescent="0.3">
      <c r="A3760" s="4" t="s">
        <v>3</v>
      </c>
      <c r="B3760" s="4">
        <v>190</v>
      </c>
      <c r="D3760"/>
    </row>
    <row r="3761" spans="1:4" x14ac:dyDescent="0.3">
      <c r="A3761" s="4" t="s">
        <v>7</v>
      </c>
      <c r="B3761" s="4">
        <v>505</v>
      </c>
      <c r="D3761"/>
    </row>
    <row r="3762" spans="1:4" x14ac:dyDescent="0.3">
      <c r="A3762" s="4" t="s">
        <v>13</v>
      </c>
      <c r="B3762" s="4">
        <v>459</v>
      </c>
      <c r="D3762"/>
    </row>
    <row r="3763" spans="1:4" x14ac:dyDescent="0.3">
      <c r="A3763" s="4" t="s">
        <v>12</v>
      </c>
      <c r="B3763" s="4">
        <v>959</v>
      </c>
      <c r="D3763"/>
    </row>
    <row r="3764" spans="1:4" x14ac:dyDescent="0.3">
      <c r="A3764" s="4" t="s">
        <v>4</v>
      </c>
      <c r="B3764" s="4">
        <v>156</v>
      </c>
      <c r="D3764"/>
    </row>
    <row r="3765" spans="1:4" x14ac:dyDescent="0.3">
      <c r="A3765" s="4" t="s">
        <v>19</v>
      </c>
      <c r="B3765" s="4">
        <v>555</v>
      </c>
      <c r="D3765"/>
    </row>
    <row r="3766" spans="1:4" x14ac:dyDescent="0.3">
      <c r="A3766" s="4" t="s">
        <v>15</v>
      </c>
      <c r="B3766" s="4">
        <v>139</v>
      </c>
      <c r="D3766"/>
    </row>
    <row r="3767" spans="1:4" x14ac:dyDescent="0.3">
      <c r="A3767" s="4" t="s">
        <v>4</v>
      </c>
      <c r="B3767" s="4">
        <v>424</v>
      </c>
      <c r="D3767"/>
    </row>
    <row r="3768" spans="1:4" x14ac:dyDescent="0.3">
      <c r="A3768" s="4" t="s">
        <v>6</v>
      </c>
      <c r="B3768" s="4">
        <v>83</v>
      </c>
      <c r="D3768"/>
    </row>
    <row r="3769" spans="1:4" x14ac:dyDescent="0.3">
      <c r="A3769" s="4" t="s">
        <v>10</v>
      </c>
      <c r="B3769" s="4">
        <v>514</v>
      </c>
      <c r="D3769"/>
    </row>
    <row r="3770" spans="1:4" x14ac:dyDescent="0.3">
      <c r="A3770" s="4" t="s">
        <v>10</v>
      </c>
      <c r="B3770" s="4">
        <v>936</v>
      </c>
      <c r="D3770"/>
    </row>
    <row r="3771" spans="1:4" x14ac:dyDescent="0.3">
      <c r="A3771" s="4" t="s">
        <v>12</v>
      </c>
      <c r="B3771" s="4">
        <v>182</v>
      </c>
      <c r="D3771"/>
    </row>
    <row r="3772" spans="1:4" x14ac:dyDescent="0.3">
      <c r="A3772" s="4" t="s">
        <v>3</v>
      </c>
      <c r="B3772" s="4">
        <v>794</v>
      </c>
      <c r="D3772"/>
    </row>
    <row r="3773" spans="1:4" x14ac:dyDescent="0.3">
      <c r="A3773" s="4" t="s">
        <v>11</v>
      </c>
      <c r="B3773" s="4">
        <v>811</v>
      </c>
      <c r="D3773"/>
    </row>
    <row r="3774" spans="1:4" x14ac:dyDescent="0.3">
      <c r="A3774" s="4" t="s">
        <v>15</v>
      </c>
      <c r="B3774" s="4">
        <v>407</v>
      </c>
      <c r="D3774"/>
    </row>
    <row r="3775" spans="1:4" x14ac:dyDescent="0.3">
      <c r="A3775" s="4" t="s">
        <v>17</v>
      </c>
      <c r="B3775" s="4">
        <v>243</v>
      </c>
      <c r="D3775"/>
    </row>
    <row r="3776" spans="1:4" x14ac:dyDescent="0.3">
      <c r="A3776" s="4" t="s">
        <v>15</v>
      </c>
      <c r="B3776" s="4" t="e">
        <v>#REF!</v>
      </c>
      <c r="D3776"/>
    </row>
    <row r="3777" spans="1:4" x14ac:dyDescent="0.3">
      <c r="A3777" s="4" t="s">
        <v>19</v>
      </c>
      <c r="B3777" s="4">
        <v>841</v>
      </c>
      <c r="D3777"/>
    </row>
    <row r="3778" spans="1:4" x14ac:dyDescent="0.3">
      <c r="A3778" s="4" t="s">
        <v>12</v>
      </c>
      <c r="B3778" s="4">
        <v>119</v>
      </c>
      <c r="D3778"/>
    </row>
    <row r="3779" spans="1:4" x14ac:dyDescent="0.3">
      <c r="A3779" s="4" t="s">
        <v>12</v>
      </c>
      <c r="B3779" s="4">
        <v>295</v>
      </c>
      <c r="D3779"/>
    </row>
    <row r="3780" spans="1:4" x14ac:dyDescent="0.3">
      <c r="A3780" s="4" t="s">
        <v>11</v>
      </c>
      <c r="B3780" s="4">
        <v>394</v>
      </c>
      <c r="D3780"/>
    </row>
    <row r="3781" spans="1:4" x14ac:dyDescent="0.3">
      <c r="A3781" s="4" t="s">
        <v>18</v>
      </c>
      <c r="B3781" s="4">
        <v>193</v>
      </c>
      <c r="D3781"/>
    </row>
    <row r="3782" spans="1:4" x14ac:dyDescent="0.3">
      <c r="A3782" s="4" t="s">
        <v>10</v>
      </c>
      <c r="B3782" s="4">
        <v>366</v>
      </c>
      <c r="D3782"/>
    </row>
    <row r="3783" spans="1:4" x14ac:dyDescent="0.3">
      <c r="A3783" s="4" t="s">
        <v>12</v>
      </c>
      <c r="B3783" s="4">
        <v>703</v>
      </c>
      <c r="D3783"/>
    </row>
    <row r="3784" spans="1:4" x14ac:dyDescent="0.3">
      <c r="A3784" s="4" t="s">
        <v>3</v>
      </c>
      <c r="B3784" s="4">
        <v>521</v>
      </c>
      <c r="D3784"/>
    </row>
    <row r="3785" spans="1:4" x14ac:dyDescent="0.3">
      <c r="A3785" s="4" t="s">
        <v>8</v>
      </c>
      <c r="B3785" s="4">
        <v>881</v>
      </c>
      <c r="D3785"/>
    </row>
    <row r="3786" spans="1:4" x14ac:dyDescent="0.3">
      <c r="A3786" s="4" t="s">
        <v>6</v>
      </c>
      <c r="B3786" s="4">
        <v>760</v>
      </c>
      <c r="D3786"/>
    </row>
    <row r="3787" spans="1:4" x14ac:dyDescent="0.3">
      <c r="A3787" s="4" t="s">
        <v>7</v>
      </c>
      <c r="B3787" s="4">
        <v>896</v>
      </c>
      <c r="D3787"/>
    </row>
    <row r="3788" spans="1:4" x14ac:dyDescent="0.3">
      <c r="A3788" s="4" t="s">
        <v>10</v>
      </c>
      <c r="B3788" s="4">
        <v>485</v>
      </c>
      <c r="D3788"/>
    </row>
    <row r="3789" spans="1:4" x14ac:dyDescent="0.3">
      <c r="A3789" s="4" t="s">
        <v>7</v>
      </c>
      <c r="B3789" s="4">
        <v>162</v>
      </c>
      <c r="D3789"/>
    </row>
    <row r="3790" spans="1:4" x14ac:dyDescent="0.3">
      <c r="A3790" s="4" t="s">
        <v>15</v>
      </c>
      <c r="B3790" s="4">
        <v>802</v>
      </c>
      <c r="D3790"/>
    </row>
    <row r="3791" spans="1:4" x14ac:dyDescent="0.3">
      <c r="A3791" s="4" t="s">
        <v>4</v>
      </c>
      <c r="B3791" s="4">
        <v>799</v>
      </c>
      <c r="D3791"/>
    </row>
    <row r="3792" spans="1:4" x14ac:dyDescent="0.3">
      <c r="A3792" s="4" t="s">
        <v>15</v>
      </c>
      <c r="B3792" s="4">
        <v>508</v>
      </c>
      <c r="D3792"/>
    </row>
    <row r="3793" spans="1:4" x14ac:dyDescent="0.3">
      <c r="A3793" s="4" t="s">
        <v>10</v>
      </c>
      <c r="B3793" s="4">
        <v>221</v>
      </c>
      <c r="D3793"/>
    </row>
    <row r="3794" spans="1:4" x14ac:dyDescent="0.3">
      <c r="A3794" s="4" t="s">
        <v>17</v>
      </c>
      <c r="B3794" s="4">
        <v>548</v>
      </c>
      <c r="D3794"/>
    </row>
    <row r="3795" spans="1:4" x14ac:dyDescent="0.3">
      <c r="A3795" s="4" t="s">
        <v>14</v>
      </c>
      <c r="B3795" s="4">
        <v>435</v>
      </c>
      <c r="D3795"/>
    </row>
    <row r="3796" spans="1:4" x14ac:dyDescent="0.3">
      <c r="A3796" s="4" t="s">
        <v>18</v>
      </c>
      <c r="B3796" s="4">
        <v>376</v>
      </c>
      <c r="D3796"/>
    </row>
    <row r="3797" spans="1:4" x14ac:dyDescent="0.3">
      <c r="A3797" s="4" t="s">
        <v>9</v>
      </c>
      <c r="B3797" s="4">
        <v>656</v>
      </c>
      <c r="D3797"/>
    </row>
    <row r="3798" spans="1:4" x14ac:dyDescent="0.3">
      <c r="A3798" s="4" t="s">
        <v>3</v>
      </c>
      <c r="B3798" s="4">
        <v>229</v>
      </c>
      <c r="D3798"/>
    </row>
    <row r="3799" spans="1:4" x14ac:dyDescent="0.3">
      <c r="A3799" s="4" t="s">
        <v>8</v>
      </c>
      <c r="B3799" s="4">
        <v>261</v>
      </c>
      <c r="D3799"/>
    </row>
    <row r="3800" spans="1:4" x14ac:dyDescent="0.3">
      <c r="A3800" s="4" t="s">
        <v>10</v>
      </c>
      <c r="B3800" s="4">
        <v>495</v>
      </c>
      <c r="D3800"/>
    </row>
    <row r="3801" spans="1:4" x14ac:dyDescent="0.3">
      <c r="A3801" s="4" t="s">
        <v>7</v>
      </c>
      <c r="B3801" s="4">
        <v>509</v>
      </c>
      <c r="D3801"/>
    </row>
    <row r="3802" spans="1:4" x14ac:dyDescent="0.3">
      <c r="A3802" s="4" t="s">
        <v>15</v>
      </c>
      <c r="B3802" s="4">
        <v>793</v>
      </c>
      <c r="D3802"/>
    </row>
    <row r="3803" spans="1:4" x14ac:dyDescent="0.3">
      <c r="A3803" s="4" t="s">
        <v>18</v>
      </c>
      <c r="B3803" s="4">
        <v>975</v>
      </c>
      <c r="D3803"/>
    </row>
    <row r="3804" spans="1:4" x14ac:dyDescent="0.3">
      <c r="A3804" s="4" t="s">
        <v>6</v>
      </c>
      <c r="B3804" s="4">
        <v>271</v>
      </c>
      <c r="D3804"/>
    </row>
    <row r="3805" spans="1:4" x14ac:dyDescent="0.3">
      <c r="A3805" s="4" t="s">
        <v>8</v>
      </c>
      <c r="B3805" s="4">
        <v>939</v>
      </c>
      <c r="D3805"/>
    </row>
    <row r="3806" spans="1:4" x14ac:dyDescent="0.3">
      <c r="A3806" s="4" t="s">
        <v>6</v>
      </c>
      <c r="B3806" s="4">
        <v>786</v>
      </c>
      <c r="D3806"/>
    </row>
    <row r="3807" spans="1:4" x14ac:dyDescent="0.3">
      <c r="A3807" s="4" t="s">
        <v>12</v>
      </c>
      <c r="B3807" s="4">
        <v>621</v>
      </c>
      <c r="D3807"/>
    </row>
    <row r="3808" spans="1:4" x14ac:dyDescent="0.3">
      <c r="A3808" s="4" t="s">
        <v>17</v>
      </c>
      <c r="B3808" s="4">
        <v>113</v>
      </c>
      <c r="D3808"/>
    </row>
    <row r="3809" spans="1:4" x14ac:dyDescent="0.3">
      <c r="A3809" s="4" t="s">
        <v>18</v>
      </c>
      <c r="B3809" s="4">
        <v>140</v>
      </c>
      <c r="D3809"/>
    </row>
    <row r="3810" spans="1:4" x14ac:dyDescent="0.3">
      <c r="A3810" s="4" t="s">
        <v>7</v>
      </c>
      <c r="B3810" s="4">
        <v>948</v>
      </c>
      <c r="D3810"/>
    </row>
    <row r="3811" spans="1:4" x14ac:dyDescent="0.3">
      <c r="A3811" s="4" t="s">
        <v>11</v>
      </c>
      <c r="B3811" s="4">
        <v>779</v>
      </c>
      <c r="D3811"/>
    </row>
    <row r="3812" spans="1:4" x14ac:dyDescent="0.3">
      <c r="A3812" s="4" t="s">
        <v>14</v>
      </c>
      <c r="B3812" s="4">
        <v>481</v>
      </c>
      <c r="D3812"/>
    </row>
    <row r="3813" spans="1:4" x14ac:dyDescent="0.3">
      <c r="A3813" s="4" t="s">
        <v>10</v>
      </c>
      <c r="B3813" s="4">
        <v>649</v>
      </c>
      <c r="D3813"/>
    </row>
    <row r="3814" spans="1:4" x14ac:dyDescent="0.3">
      <c r="A3814" s="4" t="s">
        <v>15</v>
      </c>
      <c r="B3814" s="4">
        <v>164</v>
      </c>
      <c r="D3814"/>
    </row>
    <row r="3815" spans="1:4" x14ac:dyDescent="0.3">
      <c r="A3815" s="4" t="s">
        <v>11</v>
      </c>
      <c r="B3815" s="4">
        <v>633</v>
      </c>
      <c r="D3815"/>
    </row>
    <row r="3816" spans="1:4" x14ac:dyDescent="0.3">
      <c r="A3816" s="4" t="s">
        <v>7</v>
      </c>
      <c r="B3816" s="4">
        <v>700</v>
      </c>
      <c r="D3816"/>
    </row>
    <row r="3817" spans="1:4" x14ac:dyDescent="0.3">
      <c r="A3817" s="4" t="s">
        <v>16</v>
      </c>
      <c r="B3817" s="4">
        <v>617</v>
      </c>
      <c r="D3817"/>
    </row>
    <row r="3818" spans="1:4" x14ac:dyDescent="0.3">
      <c r="A3818" s="4" t="s">
        <v>16</v>
      </c>
      <c r="B3818" s="4">
        <v>430</v>
      </c>
      <c r="D3818"/>
    </row>
    <row r="3819" spans="1:4" x14ac:dyDescent="0.3">
      <c r="A3819" s="4" t="s">
        <v>9</v>
      </c>
      <c r="B3819" s="6">
        <v>532</v>
      </c>
      <c r="D3819"/>
    </row>
    <row r="3820" spans="1:4" x14ac:dyDescent="0.3">
      <c r="A3820" s="4" t="s">
        <v>3</v>
      </c>
      <c r="B3820" s="4">
        <v>193</v>
      </c>
      <c r="D3820"/>
    </row>
    <row r="3821" spans="1:4" x14ac:dyDescent="0.3">
      <c r="A3821" s="4" t="s">
        <v>11</v>
      </c>
      <c r="B3821" s="4">
        <v>881</v>
      </c>
      <c r="D3821"/>
    </row>
    <row r="3822" spans="1:4" x14ac:dyDescent="0.3">
      <c r="A3822" s="4" t="s">
        <v>12</v>
      </c>
      <c r="B3822" s="4">
        <v>222</v>
      </c>
      <c r="D3822"/>
    </row>
    <row r="3823" spans="1:4" x14ac:dyDescent="0.3">
      <c r="A3823" s="4" t="s">
        <v>15</v>
      </c>
      <c r="B3823" s="4">
        <v>332</v>
      </c>
      <c r="D3823"/>
    </row>
    <row r="3824" spans="1:4" x14ac:dyDescent="0.3">
      <c r="A3824" s="4" t="s">
        <v>14</v>
      </c>
      <c r="B3824" s="4">
        <v>702</v>
      </c>
      <c r="D3824"/>
    </row>
    <row r="3825" spans="1:4" x14ac:dyDescent="0.3">
      <c r="A3825" s="4" t="s">
        <v>12</v>
      </c>
      <c r="B3825" s="4">
        <v>599</v>
      </c>
      <c r="D3825"/>
    </row>
    <row r="3826" spans="1:4" x14ac:dyDescent="0.3">
      <c r="A3826" s="4" t="s">
        <v>7</v>
      </c>
      <c r="B3826" s="4">
        <v>834</v>
      </c>
      <c r="D3826"/>
    </row>
    <row r="3827" spans="1:4" x14ac:dyDescent="0.3">
      <c r="A3827" s="4" t="s">
        <v>6</v>
      </c>
      <c r="B3827" s="4">
        <v>448</v>
      </c>
      <c r="D3827"/>
    </row>
    <row r="3828" spans="1:4" x14ac:dyDescent="0.3">
      <c r="A3828" s="4" t="s">
        <v>9</v>
      </c>
      <c r="B3828" s="4">
        <v>471</v>
      </c>
      <c r="D3828"/>
    </row>
    <row r="3829" spans="1:4" x14ac:dyDescent="0.3">
      <c r="A3829" s="4" t="s">
        <v>12</v>
      </c>
      <c r="B3829" s="4">
        <v>284</v>
      </c>
      <c r="D3829"/>
    </row>
    <row r="3830" spans="1:4" x14ac:dyDescent="0.3">
      <c r="A3830" s="4" t="s">
        <v>18</v>
      </c>
      <c r="B3830" s="4">
        <v>141</v>
      </c>
      <c r="D3830"/>
    </row>
    <row r="3831" spans="1:4" x14ac:dyDescent="0.3">
      <c r="A3831" s="4" t="s">
        <v>10</v>
      </c>
      <c r="B3831" s="4">
        <v>382</v>
      </c>
      <c r="D3831"/>
    </row>
    <row r="3832" spans="1:4" x14ac:dyDescent="0.3">
      <c r="A3832" s="4" t="s">
        <v>10</v>
      </c>
      <c r="B3832" s="4">
        <v>516</v>
      </c>
      <c r="D3832"/>
    </row>
    <row r="3833" spans="1:4" x14ac:dyDescent="0.3">
      <c r="A3833" s="4" t="s">
        <v>6</v>
      </c>
      <c r="B3833" s="4">
        <v>196</v>
      </c>
      <c r="D3833"/>
    </row>
    <row r="3834" spans="1:4" x14ac:dyDescent="0.3">
      <c r="A3834" s="4" t="s">
        <v>14</v>
      </c>
      <c r="B3834" s="4">
        <v>341</v>
      </c>
      <c r="D3834"/>
    </row>
    <row r="3835" spans="1:4" x14ac:dyDescent="0.3">
      <c r="A3835" s="4" t="s">
        <v>10</v>
      </c>
      <c r="B3835" s="4">
        <v>925</v>
      </c>
      <c r="D3835"/>
    </row>
    <row r="3836" spans="1:4" x14ac:dyDescent="0.3">
      <c r="A3836" s="4" t="s">
        <v>8</v>
      </c>
      <c r="B3836" s="4">
        <v>342</v>
      </c>
      <c r="D3836"/>
    </row>
    <row r="3837" spans="1:4" x14ac:dyDescent="0.3">
      <c r="A3837" s="4" t="s">
        <v>3</v>
      </c>
      <c r="B3837" s="4">
        <v>460</v>
      </c>
      <c r="D3837"/>
    </row>
    <row r="3838" spans="1:4" x14ac:dyDescent="0.3">
      <c r="A3838" s="4" t="s">
        <v>4</v>
      </c>
      <c r="B3838" s="4">
        <v>608</v>
      </c>
      <c r="D3838"/>
    </row>
    <row r="3839" spans="1:4" x14ac:dyDescent="0.3">
      <c r="A3839" s="4" t="s">
        <v>14</v>
      </c>
      <c r="B3839" s="4">
        <v>747</v>
      </c>
      <c r="D3839"/>
    </row>
    <row r="3840" spans="1:4" x14ac:dyDescent="0.3">
      <c r="A3840" s="4" t="s">
        <v>16</v>
      </c>
      <c r="B3840" s="4" t="e">
        <v>#REF!</v>
      </c>
      <c r="D3840"/>
    </row>
    <row r="3841" spans="1:4" x14ac:dyDescent="0.3">
      <c r="A3841" s="4" t="s">
        <v>10</v>
      </c>
      <c r="B3841" s="4">
        <v>710</v>
      </c>
      <c r="D3841"/>
    </row>
    <row r="3842" spans="1:4" x14ac:dyDescent="0.3">
      <c r="A3842" s="4" t="s">
        <v>7</v>
      </c>
      <c r="B3842" s="4">
        <v>959</v>
      </c>
      <c r="D3842"/>
    </row>
    <row r="3843" spans="1:4" x14ac:dyDescent="0.3">
      <c r="A3843" s="4" t="s">
        <v>12</v>
      </c>
      <c r="B3843" s="4">
        <v>650</v>
      </c>
      <c r="D3843"/>
    </row>
    <row r="3844" spans="1:4" x14ac:dyDescent="0.3">
      <c r="A3844" s="4" t="s">
        <v>16</v>
      </c>
      <c r="B3844" s="4">
        <v>720</v>
      </c>
      <c r="D3844"/>
    </row>
    <row r="3845" spans="1:4" x14ac:dyDescent="0.3">
      <c r="A3845" s="4" t="s">
        <v>14</v>
      </c>
      <c r="B3845" s="4">
        <v>888</v>
      </c>
      <c r="D3845"/>
    </row>
    <row r="3846" spans="1:4" x14ac:dyDescent="0.3">
      <c r="A3846" s="4" t="s">
        <v>6</v>
      </c>
      <c r="B3846" s="4">
        <v>230</v>
      </c>
      <c r="D3846"/>
    </row>
    <row r="3847" spans="1:4" x14ac:dyDescent="0.3">
      <c r="A3847" s="4" t="s">
        <v>4</v>
      </c>
      <c r="B3847" s="4">
        <v>971</v>
      </c>
      <c r="D3847"/>
    </row>
    <row r="3848" spans="1:4" x14ac:dyDescent="0.3">
      <c r="A3848" s="4" t="s">
        <v>3</v>
      </c>
      <c r="B3848" s="4">
        <v>195</v>
      </c>
      <c r="D3848"/>
    </row>
    <row r="3849" spans="1:4" x14ac:dyDescent="0.3">
      <c r="A3849" s="4" t="s">
        <v>3</v>
      </c>
      <c r="B3849" s="4">
        <v>536</v>
      </c>
      <c r="D3849"/>
    </row>
    <row r="3850" spans="1:4" x14ac:dyDescent="0.3">
      <c r="A3850" s="4" t="s">
        <v>7</v>
      </c>
      <c r="B3850" s="4">
        <v>618</v>
      </c>
      <c r="D3850"/>
    </row>
    <row r="3851" spans="1:4" x14ac:dyDescent="0.3">
      <c r="A3851" s="4" t="s">
        <v>7</v>
      </c>
      <c r="B3851" s="4">
        <v>162</v>
      </c>
      <c r="D3851"/>
    </row>
    <row r="3852" spans="1:4" x14ac:dyDescent="0.3">
      <c r="A3852" s="4" t="s">
        <v>3</v>
      </c>
      <c r="B3852" s="4">
        <v>427</v>
      </c>
      <c r="D3852"/>
    </row>
    <row r="3853" spans="1:4" x14ac:dyDescent="0.3">
      <c r="A3853" s="4" t="s">
        <v>7</v>
      </c>
      <c r="B3853" s="4">
        <v>366</v>
      </c>
      <c r="D3853"/>
    </row>
    <row r="3854" spans="1:4" x14ac:dyDescent="0.3">
      <c r="A3854" s="4" t="s">
        <v>7</v>
      </c>
      <c r="B3854" s="4">
        <v>812</v>
      </c>
      <c r="D3854"/>
    </row>
    <row r="3855" spans="1:4" x14ac:dyDescent="0.3">
      <c r="A3855" s="4" t="s">
        <v>6</v>
      </c>
      <c r="B3855" s="4">
        <v>796</v>
      </c>
      <c r="D3855"/>
    </row>
    <row r="3856" spans="1:4" x14ac:dyDescent="0.3">
      <c r="A3856" s="4" t="s">
        <v>7</v>
      </c>
      <c r="B3856" s="4">
        <v>968</v>
      </c>
      <c r="D3856"/>
    </row>
    <row r="3857" spans="1:4" x14ac:dyDescent="0.3">
      <c r="A3857" s="4" t="s">
        <v>9</v>
      </c>
      <c r="B3857" s="4">
        <v>687</v>
      </c>
      <c r="D3857"/>
    </row>
    <row r="3858" spans="1:4" x14ac:dyDescent="0.3">
      <c r="A3858" s="4" t="s">
        <v>13</v>
      </c>
      <c r="B3858" s="4">
        <v>958</v>
      </c>
      <c r="D3858"/>
    </row>
    <row r="3859" spans="1:4" x14ac:dyDescent="0.3">
      <c r="A3859" s="4" t="s">
        <v>7</v>
      </c>
      <c r="B3859" s="4">
        <v>700</v>
      </c>
      <c r="D3859"/>
    </row>
    <row r="3860" spans="1:4" x14ac:dyDescent="0.3">
      <c r="A3860" s="4" t="s">
        <v>19</v>
      </c>
      <c r="B3860" s="4">
        <v>83</v>
      </c>
      <c r="D3860"/>
    </row>
    <row r="3861" spans="1:4" x14ac:dyDescent="0.3">
      <c r="A3861" s="4" t="s">
        <v>9</v>
      </c>
      <c r="B3861" s="4">
        <v>446</v>
      </c>
      <c r="D3861"/>
    </row>
    <row r="3862" spans="1:4" x14ac:dyDescent="0.3">
      <c r="A3862" s="4" t="s">
        <v>19</v>
      </c>
      <c r="B3862" s="4">
        <v>797</v>
      </c>
      <c r="D3862"/>
    </row>
    <row r="3863" spans="1:4" x14ac:dyDescent="0.3">
      <c r="A3863" s="4" t="s">
        <v>10</v>
      </c>
      <c r="B3863" s="4">
        <v>593</v>
      </c>
      <c r="D3863"/>
    </row>
    <row r="3864" spans="1:4" x14ac:dyDescent="0.3">
      <c r="A3864" s="4" t="s">
        <v>9</v>
      </c>
      <c r="B3864" s="4">
        <v>684</v>
      </c>
      <c r="D3864"/>
    </row>
    <row r="3865" spans="1:4" x14ac:dyDescent="0.3">
      <c r="A3865" s="4" t="s">
        <v>13</v>
      </c>
      <c r="B3865" s="4">
        <v>430</v>
      </c>
      <c r="D3865"/>
    </row>
    <row r="3866" spans="1:4" x14ac:dyDescent="0.3">
      <c r="A3866" s="4" t="s">
        <v>17</v>
      </c>
      <c r="B3866" s="6">
        <v>911</v>
      </c>
      <c r="D3866"/>
    </row>
    <row r="3867" spans="1:4" x14ac:dyDescent="0.3">
      <c r="A3867" s="4" t="s">
        <v>4</v>
      </c>
      <c r="B3867" s="4">
        <v>167</v>
      </c>
      <c r="D3867"/>
    </row>
    <row r="3868" spans="1:4" x14ac:dyDescent="0.3">
      <c r="A3868" s="4" t="s">
        <v>10</v>
      </c>
      <c r="B3868" s="4">
        <v>914</v>
      </c>
      <c r="D3868"/>
    </row>
    <row r="3869" spans="1:4" x14ac:dyDescent="0.3">
      <c r="A3869" s="4" t="s">
        <v>6</v>
      </c>
      <c r="B3869" s="4">
        <v>278</v>
      </c>
      <c r="D3869"/>
    </row>
    <row r="3870" spans="1:4" x14ac:dyDescent="0.3">
      <c r="A3870" s="4" t="s">
        <v>4</v>
      </c>
      <c r="B3870" s="4">
        <v>796</v>
      </c>
      <c r="D3870"/>
    </row>
    <row r="3871" spans="1:4" x14ac:dyDescent="0.3">
      <c r="A3871" s="4" t="s">
        <v>12</v>
      </c>
      <c r="B3871" s="4">
        <v>87</v>
      </c>
      <c r="D3871"/>
    </row>
    <row r="3872" spans="1:4" x14ac:dyDescent="0.3">
      <c r="A3872" s="4" t="s">
        <v>4</v>
      </c>
      <c r="B3872" s="4">
        <v>665</v>
      </c>
      <c r="D3872"/>
    </row>
    <row r="3873" spans="1:4" x14ac:dyDescent="0.3">
      <c r="A3873" s="4" t="s">
        <v>9</v>
      </c>
      <c r="B3873" s="4">
        <v>626</v>
      </c>
      <c r="D3873"/>
    </row>
    <row r="3874" spans="1:4" x14ac:dyDescent="0.3">
      <c r="A3874" s="4" t="s">
        <v>10</v>
      </c>
      <c r="B3874" s="4">
        <v>976</v>
      </c>
      <c r="D3874"/>
    </row>
    <row r="3875" spans="1:4" x14ac:dyDescent="0.3">
      <c r="A3875" s="4" t="s">
        <v>10</v>
      </c>
      <c r="B3875" s="4">
        <v>738</v>
      </c>
      <c r="D3875"/>
    </row>
    <row r="3876" spans="1:4" x14ac:dyDescent="0.3">
      <c r="A3876" s="4" t="s">
        <v>14</v>
      </c>
      <c r="B3876" s="4">
        <v>216</v>
      </c>
      <c r="D3876"/>
    </row>
    <row r="3877" spans="1:4" x14ac:dyDescent="0.3">
      <c r="A3877" s="4" t="s">
        <v>6</v>
      </c>
      <c r="B3877" s="4">
        <v>506</v>
      </c>
      <c r="D3877"/>
    </row>
    <row r="3878" spans="1:4" x14ac:dyDescent="0.3">
      <c r="A3878" s="4" t="s">
        <v>17</v>
      </c>
      <c r="B3878" s="4">
        <v>784</v>
      </c>
      <c r="D3878"/>
    </row>
    <row r="3879" spans="1:4" x14ac:dyDescent="0.3">
      <c r="A3879" s="4" t="s">
        <v>19</v>
      </c>
      <c r="B3879" s="4">
        <v>754</v>
      </c>
      <c r="D3879"/>
    </row>
    <row r="3880" spans="1:4" x14ac:dyDescent="0.3">
      <c r="A3880" s="4" t="s">
        <v>14</v>
      </c>
      <c r="B3880" s="4">
        <v>730</v>
      </c>
      <c r="D3880"/>
    </row>
    <row r="3881" spans="1:4" x14ac:dyDescent="0.3">
      <c r="A3881" s="4" t="s">
        <v>6</v>
      </c>
      <c r="B3881" s="4">
        <v>247</v>
      </c>
      <c r="D3881"/>
    </row>
    <row r="3882" spans="1:4" x14ac:dyDescent="0.3">
      <c r="A3882" s="4" t="s">
        <v>3</v>
      </c>
      <c r="B3882" s="4">
        <v>164</v>
      </c>
      <c r="D3882"/>
    </row>
    <row r="3883" spans="1:4" x14ac:dyDescent="0.3">
      <c r="A3883" s="4" t="s">
        <v>6</v>
      </c>
      <c r="B3883" s="4">
        <v>615</v>
      </c>
      <c r="D3883"/>
    </row>
    <row r="3884" spans="1:4" x14ac:dyDescent="0.3">
      <c r="A3884" s="4" t="s">
        <v>15</v>
      </c>
      <c r="B3884" s="4">
        <v>423</v>
      </c>
      <c r="D3884"/>
    </row>
    <row r="3885" spans="1:4" x14ac:dyDescent="0.3">
      <c r="A3885" s="4" t="s">
        <v>8</v>
      </c>
      <c r="B3885" s="4">
        <v>643</v>
      </c>
      <c r="D3885"/>
    </row>
    <row r="3886" spans="1:4" x14ac:dyDescent="0.3">
      <c r="A3886" s="4" t="s">
        <v>18</v>
      </c>
      <c r="B3886" s="4">
        <v>242</v>
      </c>
      <c r="D3886"/>
    </row>
    <row r="3887" spans="1:4" x14ac:dyDescent="0.3">
      <c r="A3887" s="4" t="s">
        <v>18</v>
      </c>
      <c r="B3887" s="4">
        <v>493</v>
      </c>
      <c r="D3887"/>
    </row>
    <row r="3888" spans="1:4" x14ac:dyDescent="0.3">
      <c r="A3888" s="4" t="s">
        <v>14</v>
      </c>
      <c r="B3888" s="4">
        <v>751</v>
      </c>
      <c r="D3888"/>
    </row>
    <row r="3889" spans="1:4" x14ac:dyDescent="0.3">
      <c r="A3889" s="4" t="s">
        <v>19</v>
      </c>
      <c r="B3889" s="4">
        <v>193</v>
      </c>
      <c r="D3889"/>
    </row>
    <row r="3890" spans="1:4" x14ac:dyDescent="0.3">
      <c r="A3890" s="4" t="s">
        <v>12</v>
      </c>
      <c r="B3890" s="4">
        <v>902</v>
      </c>
      <c r="D3890"/>
    </row>
    <row r="3891" spans="1:4" x14ac:dyDescent="0.3">
      <c r="A3891" s="4" t="s">
        <v>16</v>
      </c>
      <c r="B3891" s="4">
        <v>559</v>
      </c>
      <c r="D3891"/>
    </row>
    <row r="3892" spans="1:4" x14ac:dyDescent="0.3">
      <c r="A3892" s="4" t="s">
        <v>11</v>
      </c>
      <c r="B3892" s="4">
        <v>806</v>
      </c>
      <c r="D3892"/>
    </row>
    <row r="3893" spans="1:4" x14ac:dyDescent="0.3">
      <c r="A3893" s="4" t="s">
        <v>14</v>
      </c>
      <c r="B3893" s="4">
        <v>895</v>
      </c>
      <c r="D3893"/>
    </row>
    <row r="3894" spans="1:4" x14ac:dyDescent="0.3">
      <c r="A3894" s="4" t="s">
        <v>10</v>
      </c>
      <c r="B3894" s="4">
        <v>167</v>
      </c>
      <c r="D3894"/>
    </row>
    <row r="3895" spans="1:4" x14ac:dyDescent="0.3">
      <c r="A3895" s="4" t="s">
        <v>16</v>
      </c>
      <c r="B3895" s="4">
        <v>314</v>
      </c>
      <c r="D3895"/>
    </row>
    <row r="3896" spans="1:4" x14ac:dyDescent="0.3">
      <c r="A3896" s="4" t="s">
        <v>18</v>
      </c>
      <c r="B3896" s="4">
        <v>977</v>
      </c>
      <c r="D3896"/>
    </row>
    <row r="3897" spans="1:4" x14ac:dyDescent="0.3">
      <c r="A3897" s="4" t="s">
        <v>11</v>
      </c>
      <c r="B3897" s="4">
        <v>124</v>
      </c>
      <c r="D3897"/>
    </row>
    <row r="3898" spans="1:4" x14ac:dyDescent="0.3">
      <c r="A3898" s="4" t="s">
        <v>11</v>
      </c>
      <c r="B3898" s="4">
        <v>258</v>
      </c>
      <c r="D3898"/>
    </row>
    <row r="3899" spans="1:4" x14ac:dyDescent="0.3">
      <c r="A3899" s="4" t="s">
        <v>13</v>
      </c>
      <c r="B3899" s="4">
        <v>627</v>
      </c>
      <c r="D3899"/>
    </row>
    <row r="3900" spans="1:4" x14ac:dyDescent="0.3">
      <c r="A3900" s="4" t="s">
        <v>17</v>
      </c>
      <c r="B3900" s="4">
        <v>969</v>
      </c>
      <c r="D3900"/>
    </row>
    <row r="3901" spans="1:4" x14ac:dyDescent="0.3">
      <c r="A3901" s="4" t="s">
        <v>11</v>
      </c>
      <c r="B3901" s="4">
        <v>131</v>
      </c>
      <c r="D3901"/>
    </row>
    <row r="3902" spans="1:4" x14ac:dyDescent="0.3">
      <c r="A3902" s="4" t="s">
        <v>6</v>
      </c>
      <c r="B3902" s="4">
        <v>742</v>
      </c>
      <c r="D3902"/>
    </row>
    <row r="3903" spans="1:4" x14ac:dyDescent="0.3">
      <c r="A3903" s="4" t="s">
        <v>19</v>
      </c>
      <c r="B3903" s="4">
        <v>650</v>
      </c>
      <c r="D3903"/>
    </row>
    <row r="3904" spans="1:4" x14ac:dyDescent="0.3">
      <c r="A3904" s="4" t="s">
        <v>9</v>
      </c>
      <c r="B3904" s="4">
        <v>806</v>
      </c>
      <c r="D3904"/>
    </row>
    <row r="3905" spans="1:4" x14ac:dyDescent="0.3">
      <c r="A3905" s="4" t="s">
        <v>14</v>
      </c>
      <c r="B3905" s="4">
        <v>827</v>
      </c>
      <c r="D3905"/>
    </row>
    <row r="3906" spans="1:4" x14ac:dyDescent="0.3">
      <c r="A3906" s="4" t="s">
        <v>6</v>
      </c>
      <c r="B3906" s="4">
        <v>548</v>
      </c>
      <c r="D3906"/>
    </row>
    <row r="3907" spans="1:4" x14ac:dyDescent="0.3">
      <c r="A3907" s="4" t="s">
        <v>12</v>
      </c>
      <c r="B3907" s="4">
        <v>92</v>
      </c>
      <c r="D3907"/>
    </row>
    <row r="3908" spans="1:4" x14ac:dyDescent="0.3">
      <c r="A3908" s="4" t="s">
        <v>8</v>
      </c>
      <c r="B3908" s="4">
        <v>186</v>
      </c>
      <c r="D3908"/>
    </row>
    <row r="3909" spans="1:4" x14ac:dyDescent="0.3">
      <c r="A3909" s="4" t="s">
        <v>7</v>
      </c>
      <c r="B3909" s="4">
        <v>308</v>
      </c>
      <c r="D3909"/>
    </row>
    <row r="3910" spans="1:4" x14ac:dyDescent="0.3">
      <c r="A3910" s="4" t="s">
        <v>4</v>
      </c>
      <c r="B3910" s="4">
        <v>549</v>
      </c>
      <c r="D3910"/>
    </row>
    <row r="3911" spans="1:4" x14ac:dyDescent="0.3">
      <c r="A3911" s="4" t="s">
        <v>16</v>
      </c>
      <c r="B3911" s="4">
        <v>140</v>
      </c>
      <c r="D3911"/>
    </row>
    <row r="3912" spans="1:4" x14ac:dyDescent="0.3">
      <c r="A3912" s="4" t="s">
        <v>4</v>
      </c>
      <c r="B3912" s="4">
        <v>407</v>
      </c>
      <c r="D3912"/>
    </row>
    <row r="3913" spans="1:4" x14ac:dyDescent="0.3">
      <c r="A3913" s="4" t="s">
        <v>4</v>
      </c>
      <c r="B3913" s="4">
        <v>492</v>
      </c>
      <c r="D3913"/>
    </row>
    <row r="3914" spans="1:4" x14ac:dyDescent="0.3">
      <c r="A3914" s="4" t="s">
        <v>14</v>
      </c>
      <c r="B3914" s="4">
        <v>638</v>
      </c>
      <c r="D3914"/>
    </row>
    <row r="3915" spans="1:4" x14ac:dyDescent="0.3">
      <c r="A3915" s="4" t="s">
        <v>15</v>
      </c>
      <c r="B3915" s="4">
        <v>416</v>
      </c>
      <c r="D3915"/>
    </row>
    <row r="3916" spans="1:4" x14ac:dyDescent="0.3">
      <c r="A3916" s="4" t="s">
        <v>16</v>
      </c>
      <c r="B3916" s="4">
        <v>240</v>
      </c>
      <c r="D3916"/>
    </row>
    <row r="3917" spans="1:4" x14ac:dyDescent="0.3">
      <c r="A3917" s="4" t="s">
        <v>7</v>
      </c>
      <c r="B3917" s="4">
        <v>590</v>
      </c>
      <c r="D3917"/>
    </row>
    <row r="3918" spans="1:4" x14ac:dyDescent="0.3">
      <c r="A3918" s="4" t="s">
        <v>19</v>
      </c>
      <c r="B3918" s="4">
        <v>262</v>
      </c>
      <c r="D3918"/>
    </row>
    <row r="3919" spans="1:4" x14ac:dyDescent="0.3">
      <c r="A3919" s="4" t="s">
        <v>10</v>
      </c>
      <c r="B3919" s="4">
        <v>591</v>
      </c>
      <c r="D3919"/>
    </row>
    <row r="3920" spans="1:4" x14ac:dyDescent="0.3">
      <c r="A3920" s="4" t="s">
        <v>18</v>
      </c>
      <c r="B3920" s="4">
        <v>989</v>
      </c>
      <c r="D3920"/>
    </row>
    <row r="3921" spans="1:4" x14ac:dyDescent="0.3">
      <c r="A3921" s="4" t="s">
        <v>3</v>
      </c>
      <c r="B3921" s="4">
        <v>984</v>
      </c>
      <c r="D3921"/>
    </row>
    <row r="3922" spans="1:4" x14ac:dyDescent="0.3">
      <c r="A3922" s="4" t="s">
        <v>4</v>
      </c>
      <c r="B3922" s="4">
        <v>844</v>
      </c>
      <c r="D3922"/>
    </row>
    <row r="3923" spans="1:4" x14ac:dyDescent="0.3">
      <c r="A3923" s="4" t="s">
        <v>12</v>
      </c>
      <c r="B3923" s="4" t="e">
        <v>#N/A</v>
      </c>
      <c r="D3923"/>
    </row>
    <row r="3924" spans="1:4" x14ac:dyDescent="0.3">
      <c r="A3924" s="4" t="s">
        <v>18</v>
      </c>
      <c r="B3924" s="4">
        <v>580</v>
      </c>
      <c r="D3924"/>
    </row>
    <row r="3925" spans="1:4" x14ac:dyDescent="0.3">
      <c r="A3925" s="4" t="s">
        <v>18</v>
      </c>
      <c r="B3925" s="4">
        <v>160</v>
      </c>
      <c r="D3925"/>
    </row>
    <row r="3926" spans="1:4" x14ac:dyDescent="0.3">
      <c r="A3926" s="4" t="s">
        <v>7</v>
      </c>
      <c r="B3926" s="4">
        <v>815</v>
      </c>
      <c r="D3926"/>
    </row>
    <row r="3927" spans="1:4" x14ac:dyDescent="0.3">
      <c r="A3927" s="4" t="s">
        <v>10</v>
      </c>
      <c r="B3927" s="4">
        <v>490</v>
      </c>
      <c r="D3927"/>
    </row>
    <row r="3928" spans="1:4" x14ac:dyDescent="0.3">
      <c r="A3928" s="4" t="s">
        <v>9</v>
      </c>
      <c r="B3928" s="4">
        <v>720</v>
      </c>
      <c r="D3928"/>
    </row>
    <row r="3929" spans="1:4" x14ac:dyDescent="0.3">
      <c r="A3929" s="4" t="s">
        <v>9</v>
      </c>
      <c r="B3929" s="4">
        <v>483</v>
      </c>
      <c r="D3929"/>
    </row>
    <row r="3930" spans="1:4" x14ac:dyDescent="0.3">
      <c r="A3930" s="4" t="s">
        <v>11</v>
      </c>
      <c r="B3930" s="4">
        <v>461</v>
      </c>
      <c r="D3930"/>
    </row>
    <row r="3931" spans="1:4" x14ac:dyDescent="0.3">
      <c r="A3931" s="4" t="s">
        <v>19</v>
      </c>
      <c r="B3931" s="4">
        <v>614</v>
      </c>
      <c r="D3931"/>
    </row>
    <row r="3932" spans="1:4" x14ac:dyDescent="0.3">
      <c r="A3932" s="4" t="s">
        <v>15</v>
      </c>
      <c r="B3932" s="4">
        <v>196</v>
      </c>
      <c r="D3932"/>
    </row>
    <row r="3933" spans="1:4" x14ac:dyDescent="0.3">
      <c r="A3933" s="4" t="s">
        <v>18</v>
      </c>
      <c r="B3933" s="4">
        <v>787</v>
      </c>
      <c r="D3933"/>
    </row>
    <row r="3934" spans="1:4" x14ac:dyDescent="0.3">
      <c r="A3934" s="4" t="s">
        <v>18</v>
      </c>
      <c r="B3934" s="4">
        <v>938</v>
      </c>
      <c r="D3934"/>
    </row>
    <row r="3935" spans="1:4" x14ac:dyDescent="0.3">
      <c r="A3935" s="4" t="s">
        <v>7</v>
      </c>
      <c r="B3935" s="4">
        <v>20</v>
      </c>
      <c r="D3935"/>
    </row>
    <row r="3936" spans="1:4" x14ac:dyDescent="0.3">
      <c r="A3936" s="4" t="s">
        <v>19</v>
      </c>
      <c r="B3936" s="4">
        <v>279</v>
      </c>
      <c r="D3936"/>
    </row>
    <row r="3937" spans="1:4" x14ac:dyDescent="0.3">
      <c r="A3937" s="4" t="s">
        <v>17</v>
      </c>
      <c r="B3937" s="4">
        <v>712</v>
      </c>
      <c r="D3937"/>
    </row>
    <row r="3938" spans="1:4" x14ac:dyDescent="0.3">
      <c r="A3938" s="4" t="s">
        <v>4</v>
      </c>
      <c r="B3938" s="4">
        <v>937</v>
      </c>
      <c r="D3938"/>
    </row>
    <row r="3939" spans="1:4" x14ac:dyDescent="0.3">
      <c r="A3939" s="4" t="s">
        <v>6</v>
      </c>
      <c r="B3939" s="4">
        <v>329</v>
      </c>
      <c r="D3939"/>
    </row>
    <row r="3940" spans="1:4" x14ac:dyDescent="0.3">
      <c r="A3940" s="4" t="s">
        <v>9</v>
      </c>
      <c r="B3940" s="4">
        <v>641</v>
      </c>
      <c r="D3940"/>
    </row>
    <row r="3941" spans="1:4" x14ac:dyDescent="0.3">
      <c r="A3941" s="4" t="s">
        <v>10</v>
      </c>
      <c r="B3941" s="4">
        <v>24</v>
      </c>
      <c r="D3941"/>
    </row>
    <row r="3942" spans="1:4" x14ac:dyDescent="0.3">
      <c r="A3942" s="4" t="s">
        <v>13</v>
      </c>
      <c r="B3942" s="4">
        <v>582</v>
      </c>
      <c r="D3942"/>
    </row>
    <row r="3943" spans="1:4" x14ac:dyDescent="0.3">
      <c r="A3943" s="4" t="s">
        <v>10</v>
      </c>
      <c r="B3943" s="4">
        <v>226</v>
      </c>
      <c r="D3943"/>
    </row>
    <row r="3944" spans="1:4" x14ac:dyDescent="0.3">
      <c r="A3944" s="4" t="s">
        <v>19</v>
      </c>
      <c r="B3944" s="4">
        <v>16</v>
      </c>
      <c r="D3944"/>
    </row>
    <row r="3945" spans="1:4" x14ac:dyDescent="0.3">
      <c r="A3945" s="4" t="s">
        <v>11</v>
      </c>
      <c r="B3945" s="4">
        <v>978</v>
      </c>
      <c r="D3945"/>
    </row>
    <row r="3946" spans="1:4" x14ac:dyDescent="0.3">
      <c r="A3946" s="4" t="s">
        <v>16</v>
      </c>
      <c r="B3946" s="4">
        <v>302</v>
      </c>
      <c r="D3946"/>
    </row>
    <row r="3947" spans="1:4" x14ac:dyDescent="0.3">
      <c r="A3947" s="4" t="s">
        <v>11</v>
      </c>
      <c r="B3947" s="4">
        <v>360</v>
      </c>
      <c r="D3947"/>
    </row>
    <row r="3948" spans="1:4" x14ac:dyDescent="0.3">
      <c r="A3948" s="4" t="s">
        <v>14</v>
      </c>
      <c r="B3948" s="4">
        <v>443</v>
      </c>
      <c r="D3948"/>
    </row>
    <row r="3949" spans="1:4" x14ac:dyDescent="0.3">
      <c r="A3949" s="4" t="s">
        <v>3</v>
      </c>
      <c r="B3949" s="4">
        <v>517</v>
      </c>
      <c r="D3949"/>
    </row>
    <row r="3950" spans="1:4" x14ac:dyDescent="0.3">
      <c r="A3950" s="4" t="s">
        <v>16</v>
      </c>
      <c r="B3950" s="4">
        <v>471</v>
      </c>
      <c r="D3950"/>
    </row>
    <row r="3951" spans="1:4" x14ac:dyDescent="0.3">
      <c r="A3951" s="4" t="s">
        <v>19</v>
      </c>
      <c r="B3951" s="4">
        <v>628</v>
      </c>
      <c r="D3951"/>
    </row>
    <row r="3952" spans="1:4" x14ac:dyDescent="0.3">
      <c r="A3952" s="4" t="s">
        <v>6</v>
      </c>
      <c r="B3952" s="4">
        <v>843</v>
      </c>
      <c r="D3952"/>
    </row>
    <row r="3953" spans="1:4" x14ac:dyDescent="0.3">
      <c r="A3953" s="4" t="s">
        <v>6</v>
      </c>
      <c r="B3953" s="4">
        <v>131</v>
      </c>
      <c r="D3953"/>
    </row>
    <row r="3954" spans="1:4" x14ac:dyDescent="0.3">
      <c r="A3954" s="4" t="s">
        <v>12</v>
      </c>
      <c r="B3954" s="4">
        <v>138</v>
      </c>
      <c r="D3954"/>
    </row>
    <row r="3955" spans="1:4" x14ac:dyDescent="0.3">
      <c r="A3955" s="4" t="s">
        <v>8</v>
      </c>
      <c r="B3955" s="4">
        <v>614</v>
      </c>
      <c r="D3955"/>
    </row>
    <row r="3956" spans="1:4" x14ac:dyDescent="0.3">
      <c r="A3956" s="4" t="s">
        <v>18</v>
      </c>
      <c r="B3956" s="4">
        <v>275</v>
      </c>
      <c r="D3956"/>
    </row>
    <row r="3957" spans="1:4" x14ac:dyDescent="0.3">
      <c r="A3957" s="4" t="s">
        <v>10</v>
      </c>
      <c r="B3957" s="4">
        <v>419</v>
      </c>
      <c r="D3957"/>
    </row>
    <row r="3958" spans="1:4" x14ac:dyDescent="0.3">
      <c r="A3958" s="4" t="s">
        <v>13</v>
      </c>
      <c r="B3958" s="4">
        <v>667</v>
      </c>
      <c r="D3958"/>
    </row>
    <row r="3959" spans="1:4" x14ac:dyDescent="0.3">
      <c r="A3959" s="4" t="s">
        <v>14</v>
      </c>
      <c r="B3959" s="4">
        <v>943</v>
      </c>
      <c r="D3959"/>
    </row>
    <row r="3960" spans="1:4" x14ac:dyDescent="0.3">
      <c r="A3960" s="4" t="s">
        <v>19</v>
      </c>
      <c r="B3960" s="4">
        <v>408</v>
      </c>
      <c r="D3960"/>
    </row>
    <row r="3961" spans="1:4" x14ac:dyDescent="0.3">
      <c r="A3961" s="4" t="s">
        <v>11</v>
      </c>
      <c r="B3961" s="4">
        <v>817</v>
      </c>
      <c r="D3961"/>
    </row>
    <row r="3962" spans="1:4" x14ac:dyDescent="0.3">
      <c r="A3962" s="4" t="s">
        <v>11</v>
      </c>
      <c r="B3962" s="4">
        <v>642</v>
      </c>
      <c r="D3962"/>
    </row>
    <row r="3963" spans="1:4" x14ac:dyDescent="0.3">
      <c r="A3963" s="4" t="s">
        <v>14</v>
      </c>
      <c r="B3963" s="4">
        <v>944</v>
      </c>
      <c r="D3963"/>
    </row>
    <row r="3964" spans="1:4" x14ac:dyDescent="0.3">
      <c r="A3964" s="4" t="s">
        <v>7</v>
      </c>
      <c r="B3964" s="4">
        <v>194</v>
      </c>
      <c r="D3964"/>
    </row>
    <row r="3965" spans="1:4" x14ac:dyDescent="0.3">
      <c r="A3965" s="4" t="s">
        <v>16</v>
      </c>
      <c r="B3965" s="4">
        <v>398</v>
      </c>
      <c r="D3965"/>
    </row>
    <row r="3966" spans="1:4" x14ac:dyDescent="0.3">
      <c r="A3966" s="4" t="s">
        <v>18</v>
      </c>
      <c r="B3966" s="4">
        <v>113</v>
      </c>
      <c r="D3966"/>
    </row>
    <row r="3967" spans="1:4" x14ac:dyDescent="0.3">
      <c r="A3967" s="4" t="s">
        <v>9</v>
      </c>
      <c r="B3967" s="4">
        <v>388</v>
      </c>
      <c r="D3967"/>
    </row>
    <row r="3968" spans="1:4" x14ac:dyDescent="0.3">
      <c r="A3968" s="4" t="s">
        <v>8</v>
      </c>
      <c r="B3968" s="4">
        <v>748</v>
      </c>
      <c r="D3968"/>
    </row>
    <row r="3969" spans="1:4" x14ac:dyDescent="0.3">
      <c r="A3969" s="4" t="s">
        <v>19</v>
      </c>
      <c r="B3969" s="4">
        <v>868</v>
      </c>
      <c r="D3969"/>
    </row>
    <row r="3970" spans="1:4" x14ac:dyDescent="0.3">
      <c r="A3970" s="4" t="s">
        <v>17</v>
      </c>
      <c r="B3970" s="4">
        <v>594</v>
      </c>
      <c r="D3970"/>
    </row>
    <row r="3971" spans="1:4" x14ac:dyDescent="0.3">
      <c r="A3971" s="4" t="s">
        <v>11</v>
      </c>
      <c r="B3971" s="4">
        <v>811</v>
      </c>
      <c r="D3971"/>
    </row>
    <row r="3972" spans="1:4" x14ac:dyDescent="0.3">
      <c r="A3972" s="4" t="s">
        <v>18</v>
      </c>
      <c r="B3972" s="4">
        <v>91</v>
      </c>
      <c r="D3972"/>
    </row>
    <row r="3973" spans="1:4" x14ac:dyDescent="0.3">
      <c r="A3973" s="4" t="s">
        <v>4</v>
      </c>
      <c r="B3973" s="4">
        <v>963</v>
      </c>
      <c r="D3973"/>
    </row>
    <row r="3974" spans="1:4" x14ac:dyDescent="0.3">
      <c r="A3974" s="4" t="s">
        <v>15</v>
      </c>
      <c r="B3974" s="4">
        <v>445</v>
      </c>
      <c r="D3974"/>
    </row>
    <row r="3975" spans="1:4" x14ac:dyDescent="0.3">
      <c r="A3975" s="4" t="s">
        <v>10</v>
      </c>
      <c r="B3975" s="4">
        <v>320</v>
      </c>
      <c r="D3975"/>
    </row>
    <row r="3976" spans="1:4" x14ac:dyDescent="0.3">
      <c r="A3976" s="4" t="s">
        <v>6</v>
      </c>
      <c r="B3976" s="4">
        <v>759</v>
      </c>
      <c r="D3976"/>
    </row>
    <row r="3977" spans="1:4" x14ac:dyDescent="0.3">
      <c r="A3977" s="4" t="s">
        <v>15</v>
      </c>
      <c r="B3977" s="4">
        <v>106</v>
      </c>
      <c r="D3977"/>
    </row>
    <row r="3978" spans="1:4" x14ac:dyDescent="0.3">
      <c r="A3978" s="4" t="s">
        <v>8</v>
      </c>
      <c r="B3978" s="4">
        <v>533</v>
      </c>
      <c r="D3978"/>
    </row>
    <row r="3979" spans="1:4" x14ac:dyDescent="0.3">
      <c r="A3979" s="4" t="s">
        <v>10</v>
      </c>
      <c r="B3979" s="4">
        <v>722</v>
      </c>
      <c r="D3979"/>
    </row>
    <row r="3980" spans="1:4" x14ac:dyDescent="0.3">
      <c r="A3980" s="4" t="s">
        <v>10</v>
      </c>
      <c r="B3980" s="4">
        <v>508</v>
      </c>
      <c r="D3980"/>
    </row>
    <row r="3981" spans="1:4" x14ac:dyDescent="0.3">
      <c r="A3981" s="4" t="s">
        <v>10</v>
      </c>
      <c r="B3981" s="4">
        <v>716</v>
      </c>
      <c r="D3981"/>
    </row>
    <row r="3982" spans="1:4" x14ac:dyDescent="0.3">
      <c r="A3982" s="4" t="s">
        <v>10</v>
      </c>
      <c r="B3982" s="4">
        <v>717</v>
      </c>
      <c r="D3982"/>
    </row>
    <row r="3983" spans="1:4" x14ac:dyDescent="0.3">
      <c r="A3983" s="4" t="s">
        <v>12</v>
      </c>
      <c r="B3983" s="4">
        <v>22</v>
      </c>
      <c r="D3983"/>
    </row>
    <row r="3984" spans="1:4" x14ac:dyDescent="0.3">
      <c r="A3984" s="4" t="s">
        <v>15</v>
      </c>
      <c r="B3984" s="4">
        <v>931</v>
      </c>
      <c r="D3984"/>
    </row>
    <row r="3985" spans="1:4" x14ac:dyDescent="0.3">
      <c r="A3985" s="4" t="s">
        <v>6</v>
      </c>
      <c r="B3985" s="4">
        <v>875</v>
      </c>
      <c r="D3985"/>
    </row>
    <row r="3986" spans="1:4" x14ac:dyDescent="0.3">
      <c r="A3986" s="4" t="s">
        <v>8</v>
      </c>
      <c r="B3986" s="4">
        <v>986</v>
      </c>
      <c r="D3986"/>
    </row>
    <row r="3987" spans="1:4" x14ac:dyDescent="0.3">
      <c r="A3987" s="4" t="s">
        <v>19</v>
      </c>
      <c r="B3987" s="4">
        <v>110</v>
      </c>
      <c r="D3987"/>
    </row>
    <row r="3988" spans="1:4" x14ac:dyDescent="0.3">
      <c r="A3988" s="4" t="s">
        <v>8</v>
      </c>
      <c r="B3988" s="4">
        <v>342</v>
      </c>
      <c r="D3988"/>
    </row>
    <row r="3989" spans="1:4" x14ac:dyDescent="0.3">
      <c r="A3989" s="4" t="s">
        <v>10</v>
      </c>
      <c r="B3989" s="4">
        <v>493</v>
      </c>
      <c r="D3989"/>
    </row>
    <row r="3990" spans="1:4" x14ac:dyDescent="0.3">
      <c r="A3990" s="4" t="s">
        <v>12</v>
      </c>
      <c r="B3990" s="4">
        <v>750</v>
      </c>
      <c r="D3990"/>
    </row>
    <row r="3991" spans="1:4" x14ac:dyDescent="0.3">
      <c r="A3991" s="4" t="s">
        <v>14</v>
      </c>
      <c r="B3991" s="4">
        <v>837</v>
      </c>
      <c r="D3991"/>
    </row>
    <row r="3992" spans="1:4" x14ac:dyDescent="0.3">
      <c r="A3992" s="4" t="s">
        <v>17</v>
      </c>
      <c r="B3992" s="4">
        <v>973</v>
      </c>
      <c r="D3992"/>
    </row>
    <row r="3993" spans="1:4" x14ac:dyDescent="0.3">
      <c r="A3993" s="4" t="s">
        <v>9</v>
      </c>
      <c r="B3993" s="4">
        <v>356</v>
      </c>
      <c r="D3993"/>
    </row>
    <row r="3994" spans="1:4" x14ac:dyDescent="0.3">
      <c r="A3994" s="4" t="s">
        <v>16</v>
      </c>
      <c r="B3994" s="4">
        <v>959</v>
      </c>
      <c r="D3994"/>
    </row>
    <row r="3995" spans="1:4" x14ac:dyDescent="0.3">
      <c r="A3995" s="4" t="s">
        <v>6</v>
      </c>
      <c r="B3995" s="4">
        <v>832</v>
      </c>
      <c r="D3995"/>
    </row>
    <row r="3996" spans="1:4" x14ac:dyDescent="0.3">
      <c r="A3996" s="4" t="s">
        <v>19</v>
      </c>
      <c r="B3996" s="4">
        <v>792</v>
      </c>
      <c r="D3996"/>
    </row>
    <row r="3997" spans="1:4" x14ac:dyDescent="0.3">
      <c r="A3997" s="4" t="s">
        <v>19</v>
      </c>
      <c r="B3997" s="4">
        <v>761</v>
      </c>
      <c r="D3997"/>
    </row>
    <row r="3998" spans="1:4" x14ac:dyDescent="0.3">
      <c r="A3998" s="4" t="s">
        <v>17</v>
      </c>
      <c r="B3998" s="4">
        <v>187</v>
      </c>
      <c r="D3998"/>
    </row>
    <row r="3999" spans="1:4" x14ac:dyDescent="0.3">
      <c r="A3999" s="4" t="s">
        <v>19</v>
      </c>
      <c r="B3999" s="4">
        <v>774</v>
      </c>
      <c r="D3999"/>
    </row>
    <row r="4000" spans="1:4" x14ac:dyDescent="0.3">
      <c r="A4000" s="4" t="s">
        <v>7</v>
      </c>
      <c r="B4000" s="4">
        <v>443</v>
      </c>
      <c r="D4000"/>
    </row>
    <row r="4001" spans="1:4" x14ac:dyDescent="0.3">
      <c r="A4001" s="4" t="s">
        <v>6</v>
      </c>
      <c r="B4001" s="4">
        <v>777</v>
      </c>
      <c r="D4001"/>
    </row>
    <row r="4002" spans="1:4" x14ac:dyDescent="0.3">
      <c r="A4002" s="4" t="s">
        <v>10</v>
      </c>
      <c r="B4002" s="4">
        <v>129</v>
      </c>
      <c r="D4002"/>
    </row>
    <row r="4003" spans="1:4" x14ac:dyDescent="0.3">
      <c r="A4003" s="4" t="s">
        <v>12</v>
      </c>
      <c r="B4003" s="4">
        <v>276</v>
      </c>
      <c r="D4003"/>
    </row>
    <row r="4004" spans="1:4" x14ac:dyDescent="0.3">
      <c r="A4004" s="4" t="s">
        <v>10</v>
      </c>
      <c r="B4004" s="4">
        <v>335</v>
      </c>
      <c r="D4004"/>
    </row>
    <row r="4005" spans="1:4" x14ac:dyDescent="0.3">
      <c r="A4005" s="4" t="s">
        <v>6</v>
      </c>
      <c r="B4005" s="4">
        <v>637</v>
      </c>
      <c r="D4005"/>
    </row>
    <row r="4006" spans="1:4" x14ac:dyDescent="0.3">
      <c r="A4006" s="4" t="s">
        <v>17</v>
      </c>
      <c r="B4006" s="4">
        <v>768</v>
      </c>
      <c r="D4006"/>
    </row>
    <row r="4007" spans="1:4" x14ac:dyDescent="0.3">
      <c r="A4007" s="4" t="s">
        <v>16</v>
      </c>
      <c r="B4007" s="4">
        <v>151</v>
      </c>
      <c r="D4007"/>
    </row>
    <row r="4008" spans="1:4" x14ac:dyDescent="0.3">
      <c r="A4008" s="4" t="s">
        <v>14</v>
      </c>
      <c r="B4008" s="4">
        <v>705</v>
      </c>
      <c r="D4008"/>
    </row>
    <row r="4009" spans="1:4" x14ac:dyDescent="0.3">
      <c r="A4009" s="4" t="s">
        <v>9</v>
      </c>
      <c r="B4009" s="4">
        <v>840</v>
      </c>
      <c r="D4009"/>
    </row>
    <row r="4010" spans="1:4" x14ac:dyDescent="0.3">
      <c r="A4010" s="4" t="s">
        <v>17</v>
      </c>
      <c r="B4010" s="4">
        <v>179</v>
      </c>
      <c r="D4010"/>
    </row>
    <row r="4011" spans="1:4" x14ac:dyDescent="0.3">
      <c r="A4011" s="4" t="s">
        <v>11</v>
      </c>
      <c r="B4011" s="4">
        <v>233</v>
      </c>
      <c r="D4011"/>
    </row>
    <row r="4012" spans="1:4" x14ac:dyDescent="0.3">
      <c r="A4012" s="4" t="s">
        <v>18</v>
      </c>
      <c r="B4012" s="4">
        <v>462</v>
      </c>
      <c r="D4012"/>
    </row>
    <row r="4013" spans="1:4" x14ac:dyDescent="0.3">
      <c r="A4013" s="4" t="s">
        <v>10</v>
      </c>
      <c r="B4013" s="4">
        <v>667</v>
      </c>
      <c r="D4013"/>
    </row>
    <row r="4014" spans="1:4" x14ac:dyDescent="0.3">
      <c r="A4014" s="4" t="s">
        <v>14</v>
      </c>
      <c r="B4014" s="4">
        <v>831</v>
      </c>
      <c r="D4014"/>
    </row>
    <row r="4015" spans="1:4" x14ac:dyDescent="0.3">
      <c r="A4015" s="4" t="s">
        <v>18</v>
      </c>
      <c r="B4015" s="4">
        <v>956</v>
      </c>
      <c r="D4015"/>
    </row>
    <row r="4016" spans="1:4" x14ac:dyDescent="0.3">
      <c r="A4016" s="4" t="s">
        <v>12</v>
      </c>
      <c r="B4016" s="4">
        <v>479</v>
      </c>
      <c r="D4016"/>
    </row>
    <row r="4017" spans="1:4" x14ac:dyDescent="0.3">
      <c r="A4017" s="4" t="s">
        <v>17</v>
      </c>
      <c r="B4017" s="4">
        <v>843</v>
      </c>
      <c r="D4017"/>
    </row>
    <row r="4018" spans="1:4" x14ac:dyDescent="0.3">
      <c r="A4018" s="4" t="s">
        <v>17</v>
      </c>
      <c r="B4018" s="4">
        <v>692</v>
      </c>
      <c r="D4018"/>
    </row>
    <row r="4019" spans="1:4" x14ac:dyDescent="0.3">
      <c r="A4019" s="4" t="s">
        <v>4</v>
      </c>
      <c r="B4019" s="4">
        <v>992</v>
      </c>
      <c r="D4019"/>
    </row>
    <row r="4020" spans="1:4" x14ac:dyDescent="0.3">
      <c r="A4020" s="4" t="s">
        <v>16</v>
      </c>
      <c r="B4020" s="4">
        <v>335</v>
      </c>
      <c r="D4020"/>
    </row>
    <row r="4021" spans="1:4" x14ac:dyDescent="0.3">
      <c r="A4021" s="4" t="s">
        <v>4</v>
      </c>
      <c r="B4021" s="4">
        <v>110</v>
      </c>
      <c r="D4021"/>
    </row>
    <row r="4022" spans="1:4" x14ac:dyDescent="0.3">
      <c r="A4022" s="4" t="s">
        <v>7</v>
      </c>
      <c r="B4022" s="4">
        <v>946</v>
      </c>
      <c r="D4022"/>
    </row>
    <row r="4023" spans="1:4" x14ac:dyDescent="0.3">
      <c r="A4023" s="4" t="s">
        <v>6</v>
      </c>
      <c r="B4023" s="4">
        <v>101</v>
      </c>
      <c r="D4023"/>
    </row>
    <row r="4024" spans="1:4" x14ac:dyDescent="0.3">
      <c r="A4024" s="4" t="s">
        <v>11</v>
      </c>
      <c r="B4024" s="4">
        <v>437</v>
      </c>
      <c r="D4024"/>
    </row>
    <row r="4025" spans="1:4" x14ac:dyDescent="0.3">
      <c r="A4025" s="4" t="s">
        <v>3</v>
      </c>
      <c r="B4025" s="4">
        <v>747</v>
      </c>
      <c r="D4025"/>
    </row>
    <row r="4026" spans="1:4" x14ac:dyDescent="0.3">
      <c r="A4026" s="4" t="s">
        <v>3</v>
      </c>
      <c r="B4026" s="4">
        <v>335</v>
      </c>
      <c r="D4026"/>
    </row>
    <row r="4027" spans="1:4" x14ac:dyDescent="0.3">
      <c r="A4027" s="4" t="s">
        <v>4</v>
      </c>
      <c r="B4027" s="4">
        <v>187</v>
      </c>
      <c r="D4027"/>
    </row>
    <row r="4028" spans="1:4" x14ac:dyDescent="0.3">
      <c r="A4028" s="4" t="s">
        <v>19</v>
      </c>
      <c r="B4028" s="4">
        <v>433</v>
      </c>
      <c r="D4028"/>
    </row>
    <row r="4029" spans="1:4" x14ac:dyDescent="0.3">
      <c r="A4029" s="4" t="s">
        <v>8</v>
      </c>
      <c r="B4029" s="4">
        <v>408</v>
      </c>
      <c r="D4029"/>
    </row>
    <row r="4030" spans="1:4" x14ac:dyDescent="0.3">
      <c r="A4030" s="4" t="s">
        <v>10</v>
      </c>
      <c r="B4030" s="4">
        <v>337</v>
      </c>
      <c r="D4030"/>
    </row>
    <row r="4031" spans="1:4" x14ac:dyDescent="0.3">
      <c r="A4031" s="4" t="s">
        <v>6</v>
      </c>
      <c r="B4031" s="4">
        <v>444</v>
      </c>
      <c r="D4031"/>
    </row>
    <row r="4032" spans="1:4" x14ac:dyDescent="0.3">
      <c r="A4032" s="4" t="s">
        <v>11</v>
      </c>
      <c r="B4032" s="4">
        <v>415</v>
      </c>
      <c r="D4032"/>
    </row>
    <row r="4033" spans="1:4" x14ac:dyDescent="0.3">
      <c r="A4033" s="4" t="s">
        <v>8</v>
      </c>
      <c r="B4033" s="4">
        <v>730</v>
      </c>
      <c r="D4033"/>
    </row>
    <row r="4034" spans="1:4" x14ac:dyDescent="0.3">
      <c r="A4034" s="4" t="s">
        <v>19</v>
      </c>
      <c r="B4034" s="4">
        <v>423</v>
      </c>
      <c r="D4034"/>
    </row>
    <row r="4035" spans="1:4" x14ac:dyDescent="0.3">
      <c r="A4035" s="4" t="s">
        <v>13</v>
      </c>
      <c r="B4035" s="4">
        <v>663</v>
      </c>
      <c r="D4035"/>
    </row>
    <row r="4036" spans="1:4" x14ac:dyDescent="0.3">
      <c r="A4036" s="4" t="s">
        <v>3</v>
      </c>
      <c r="B4036" s="4">
        <v>135</v>
      </c>
      <c r="D4036"/>
    </row>
    <row r="4037" spans="1:4" x14ac:dyDescent="0.3">
      <c r="A4037" s="4" t="s">
        <v>15</v>
      </c>
      <c r="B4037" s="4">
        <v>73</v>
      </c>
      <c r="D4037"/>
    </row>
    <row r="4038" spans="1:4" x14ac:dyDescent="0.3">
      <c r="A4038" s="4" t="s">
        <v>18</v>
      </c>
      <c r="B4038" s="4">
        <v>615</v>
      </c>
      <c r="D4038"/>
    </row>
    <row r="4039" spans="1:4" x14ac:dyDescent="0.3">
      <c r="A4039" s="4" t="s">
        <v>4</v>
      </c>
      <c r="B4039" s="4">
        <v>504</v>
      </c>
      <c r="D4039"/>
    </row>
    <row r="4040" spans="1:4" x14ac:dyDescent="0.3">
      <c r="A4040" s="4" t="s">
        <v>18</v>
      </c>
      <c r="B4040" s="4">
        <v>529</v>
      </c>
      <c r="D4040"/>
    </row>
    <row r="4041" spans="1:4" x14ac:dyDescent="0.3">
      <c r="A4041" s="4" t="s">
        <v>4</v>
      </c>
      <c r="B4041" s="4">
        <v>769</v>
      </c>
      <c r="D4041"/>
    </row>
    <row r="4042" spans="1:4" x14ac:dyDescent="0.3">
      <c r="A4042" s="4" t="s">
        <v>8</v>
      </c>
      <c r="B4042" s="4">
        <v>934</v>
      </c>
      <c r="D4042"/>
    </row>
    <row r="4043" spans="1:4" x14ac:dyDescent="0.3">
      <c r="A4043" s="4" t="s">
        <v>10</v>
      </c>
      <c r="B4043" s="4">
        <v>271</v>
      </c>
      <c r="D4043"/>
    </row>
    <row r="4044" spans="1:4" x14ac:dyDescent="0.3">
      <c r="A4044" s="4" t="s">
        <v>6</v>
      </c>
      <c r="B4044" s="4">
        <v>151</v>
      </c>
      <c r="D4044"/>
    </row>
    <row r="4045" spans="1:4" x14ac:dyDescent="0.3">
      <c r="A4045" s="4" t="s">
        <v>16</v>
      </c>
      <c r="B4045" s="4">
        <v>356</v>
      </c>
      <c r="D4045"/>
    </row>
    <row r="4046" spans="1:4" x14ac:dyDescent="0.3">
      <c r="A4046" s="4" t="s">
        <v>13</v>
      </c>
      <c r="B4046" s="4">
        <v>643</v>
      </c>
      <c r="D4046"/>
    </row>
    <row r="4047" spans="1:4" x14ac:dyDescent="0.3">
      <c r="A4047" s="4" t="s">
        <v>17</v>
      </c>
      <c r="B4047" s="4">
        <v>590</v>
      </c>
      <c r="D4047"/>
    </row>
    <row r="4048" spans="1:4" x14ac:dyDescent="0.3">
      <c r="A4048" s="4" t="s">
        <v>10</v>
      </c>
      <c r="B4048" s="4">
        <v>745</v>
      </c>
      <c r="D4048"/>
    </row>
    <row r="4049" spans="1:4" x14ac:dyDescent="0.3">
      <c r="A4049" s="4" t="s">
        <v>7</v>
      </c>
      <c r="B4049" s="4">
        <v>985</v>
      </c>
      <c r="D4049"/>
    </row>
    <row r="4050" spans="1:4" x14ac:dyDescent="0.3">
      <c r="A4050" s="4" t="s">
        <v>10</v>
      </c>
      <c r="B4050" s="4">
        <v>675</v>
      </c>
      <c r="D4050"/>
    </row>
    <row r="4051" spans="1:4" x14ac:dyDescent="0.3">
      <c r="A4051" s="4" t="s">
        <v>7</v>
      </c>
      <c r="B4051" s="4">
        <v>885</v>
      </c>
      <c r="D4051"/>
    </row>
    <row r="4052" spans="1:4" x14ac:dyDescent="0.3">
      <c r="A4052" s="4" t="s">
        <v>9</v>
      </c>
      <c r="B4052" s="4">
        <v>218</v>
      </c>
      <c r="D4052"/>
    </row>
    <row r="4053" spans="1:4" x14ac:dyDescent="0.3">
      <c r="A4053" s="4" t="s">
        <v>19</v>
      </c>
      <c r="B4053" s="4">
        <v>993</v>
      </c>
      <c r="D4053"/>
    </row>
    <row r="4054" spans="1:4" x14ac:dyDescent="0.3">
      <c r="A4054" s="4" t="s">
        <v>3</v>
      </c>
      <c r="B4054" s="4">
        <v>228</v>
      </c>
      <c r="D4054"/>
    </row>
    <row r="4055" spans="1:4" x14ac:dyDescent="0.3">
      <c r="A4055" s="4" t="s">
        <v>11</v>
      </c>
      <c r="B4055" s="4">
        <v>931</v>
      </c>
      <c r="D4055"/>
    </row>
    <row r="4056" spans="1:4" x14ac:dyDescent="0.3">
      <c r="A4056" s="4" t="s">
        <v>10</v>
      </c>
      <c r="B4056" s="4" t="e">
        <v>#REF!</v>
      </c>
      <c r="D4056"/>
    </row>
    <row r="4057" spans="1:4" x14ac:dyDescent="0.3">
      <c r="A4057" s="4" t="s">
        <v>10</v>
      </c>
      <c r="B4057" s="4">
        <v>395</v>
      </c>
      <c r="D4057"/>
    </row>
    <row r="4058" spans="1:4" x14ac:dyDescent="0.3">
      <c r="A4058" s="4" t="s">
        <v>17</v>
      </c>
      <c r="B4058" s="4">
        <v>547</v>
      </c>
      <c r="D4058"/>
    </row>
    <row r="4059" spans="1:4" x14ac:dyDescent="0.3">
      <c r="A4059" s="4" t="s">
        <v>3</v>
      </c>
      <c r="B4059" s="4">
        <v>712</v>
      </c>
      <c r="D4059"/>
    </row>
    <row r="4060" spans="1:4" x14ac:dyDescent="0.3">
      <c r="A4060" s="4" t="s">
        <v>19</v>
      </c>
      <c r="B4060" s="4">
        <v>28</v>
      </c>
      <c r="D4060"/>
    </row>
    <row r="4061" spans="1:4" x14ac:dyDescent="0.3">
      <c r="A4061" s="4" t="s">
        <v>12</v>
      </c>
      <c r="B4061" s="4">
        <v>27</v>
      </c>
      <c r="D4061"/>
    </row>
    <row r="4062" spans="1:4" x14ac:dyDescent="0.3">
      <c r="A4062" s="4" t="s">
        <v>15</v>
      </c>
      <c r="B4062" s="4">
        <v>325</v>
      </c>
      <c r="D4062"/>
    </row>
    <row r="4063" spans="1:4" x14ac:dyDescent="0.3">
      <c r="A4063" s="4" t="s">
        <v>18</v>
      </c>
      <c r="B4063" s="4">
        <v>930</v>
      </c>
      <c r="D4063"/>
    </row>
    <row r="4064" spans="1:4" x14ac:dyDescent="0.3">
      <c r="A4064" s="4" t="s">
        <v>12</v>
      </c>
      <c r="B4064" s="4">
        <v>592</v>
      </c>
      <c r="D4064"/>
    </row>
    <row r="4065" spans="1:4" x14ac:dyDescent="0.3">
      <c r="A4065" s="4" t="s">
        <v>13</v>
      </c>
      <c r="B4065" s="4" t="e">
        <v>#N/A</v>
      </c>
      <c r="D4065"/>
    </row>
    <row r="4066" spans="1:4" x14ac:dyDescent="0.3">
      <c r="A4066" s="4" t="s">
        <v>6</v>
      </c>
      <c r="B4066" s="4">
        <v>354</v>
      </c>
      <c r="D4066"/>
    </row>
    <row r="4067" spans="1:4" x14ac:dyDescent="0.3">
      <c r="A4067" s="4" t="s">
        <v>6</v>
      </c>
      <c r="B4067" s="4">
        <v>692</v>
      </c>
      <c r="D4067"/>
    </row>
    <row r="4068" spans="1:4" x14ac:dyDescent="0.3">
      <c r="A4068" s="4" t="s">
        <v>8</v>
      </c>
      <c r="B4068" s="4">
        <v>152</v>
      </c>
      <c r="D4068"/>
    </row>
    <row r="4069" spans="1:4" x14ac:dyDescent="0.3">
      <c r="A4069" s="4" t="s">
        <v>3</v>
      </c>
      <c r="B4069" s="4">
        <v>836</v>
      </c>
      <c r="D4069"/>
    </row>
    <row r="4070" spans="1:4" x14ac:dyDescent="0.3">
      <c r="A4070" s="4" t="s">
        <v>8</v>
      </c>
      <c r="B4070" s="4">
        <v>249</v>
      </c>
      <c r="D4070"/>
    </row>
    <row r="4071" spans="1:4" x14ac:dyDescent="0.3">
      <c r="A4071" s="4" t="s">
        <v>6</v>
      </c>
      <c r="B4071" s="4">
        <v>997</v>
      </c>
      <c r="D4071"/>
    </row>
    <row r="4072" spans="1:4" x14ac:dyDescent="0.3">
      <c r="A4072" s="4" t="s">
        <v>8</v>
      </c>
      <c r="B4072" s="4">
        <v>354</v>
      </c>
      <c r="D4072"/>
    </row>
    <row r="4073" spans="1:4" x14ac:dyDescent="0.3">
      <c r="A4073" s="4" t="s">
        <v>6</v>
      </c>
      <c r="B4073" s="4">
        <v>841</v>
      </c>
      <c r="D4073"/>
    </row>
    <row r="4074" spans="1:4" x14ac:dyDescent="0.3">
      <c r="A4074" s="4" t="s">
        <v>3</v>
      </c>
      <c r="B4074" s="6">
        <v>755</v>
      </c>
      <c r="D4074"/>
    </row>
    <row r="4075" spans="1:4" x14ac:dyDescent="0.3">
      <c r="A4075" s="4" t="s">
        <v>6</v>
      </c>
      <c r="B4075" s="4">
        <v>432</v>
      </c>
      <c r="D4075"/>
    </row>
    <row r="4076" spans="1:4" x14ac:dyDescent="0.3">
      <c r="A4076" s="4" t="s">
        <v>10</v>
      </c>
      <c r="B4076" s="4">
        <v>495</v>
      </c>
      <c r="D4076"/>
    </row>
    <row r="4077" spans="1:4" x14ac:dyDescent="0.3">
      <c r="A4077" s="4" t="s">
        <v>12</v>
      </c>
      <c r="B4077" s="4">
        <v>123</v>
      </c>
      <c r="D4077"/>
    </row>
    <row r="4078" spans="1:4" x14ac:dyDescent="0.3">
      <c r="A4078" s="4" t="s">
        <v>9</v>
      </c>
      <c r="B4078" s="4">
        <v>267</v>
      </c>
      <c r="D4078"/>
    </row>
    <row r="4079" spans="1:4" x14ac:dyDescent="0.3">
      <c r="A4079" s="4" t="s">
        <v>12</v>
      </c>
      <c r="B4079" s="4">
        <v>655</v>
      </c>
      <c r="D4079"/>
    </row>
    <row r="4080" spans="1:4" x14ac:dyDescent="0.3">
      <c r="A4080" s="4" t="s">
        <v>12</v>
      </c>
      <c r="B4080" s="4">
        <v>842</v>
      </c>
      <c r="D4080"/>
    </row>
    <row r="4081" spans="1:4" x14ac:dyDescent="0.3">
      <c r="A4081" s="4" t="s">
        <v>4</v>
      </c>
      <c r="B4081" s="4">
        <v>759</v>
      </c>
      <c r="D4081"/>
    </row>
    <row r="4082" spans="1:4" x14ac:dyDescent="0.3">
      <c r="A4082" s="4" t="s">
        <v>4</v>
      </c>
      <c r="B4082" s="4">
        <v>472</v>
      </c>
      <c r="D4082"/>
    </row>
    <row r="4083" spans="1:4" x14ac:dyDescent="0.3">
      <c r="A4083" s="4" t="s">
        <v>12</v>
      </c>
      <c r="B4083" s="4">
        <v>502</v>
      </c>
      <c r="D4083"/>
    </row>
    <row r="4084" spans="1:4" x14ac:dyDescent="0.3">
      <c r="A4084" s="4" t="s">
        <v>9</v>
      </c>
      <c r="B4084" s="4">
        <v>600</v>
      </c>
      <c r="D4084"/>
    </row>
    <row r="4085" spans="1:4" x14ac:dyDescent="0.3">
      <c r="A4085" s="4" t="s">
        <v>6</v>
      </c>
      <c r="B4085" s="4">
        <v>871</v>
      </c>
      <c r="D4085"/>
    </row>
    <row r="4086" spans="1:4" x14ac:dyDescent="0.3">
      <c r="A4086" s="4" t="s">
        <v>16</v>
      </c>
      <c r="B4086" s="4">
        <v>876</v>
      </c>
      <c r="D4086"/>
    </row>
    <row r="4087" spans="1:4" x14ac:dyDescent="0.3">
      <c r="A4087" s="4" t="s">
        <v>11</v>
      </c>
      <c r="B4087" s="4">
        <v>737</v>
      </c>
      <c r="D4087"/>
    </row>
    <row r="4088" spans="1:4" x14ac:dyDescent="0.3">
      <c r="A4088" s="4" t="s">
        <v>19</v>
      </c>
      <c r="B4088" s="4">
        <v>904</v>
      </c>
      <c r="D4088"/>
    </row>
    <row r="4089" spans="1:4" x14ac:dyDescent="0.3">
      <c r="A4089" s="4" t="s">
        <v>18</v>
      </c>
      <c r="B4089" s="4">
        <v>690</v>
      </c>
      <c r="D4089"/>
    </row>
    <row r="4090" spans="1:4" x14ac:dyDescent="0.3">
      <c r="A4090" s="4" t="s">
        <v>17</v>
      </c>
      <c r="B4090" s="4">
        <v>681</v>
      </c>
      <c r="D4090"/>
    </row>
    <row r="4091" spans="1:4" x14ac:dyDescent="0.3">
      <c r="A4091" s="4" t="s">
        <v>13</v>
      </c>
      <c r="B4091" s="4">
        <v>897</v>
      </c>
      <c r="D4091"/>
    </row>
    <row r="4092" spans="1:4" x14ac:dyDescent="0.3">
      <c r="A4092" s="4" t="s">
        <v>9</v>
      </c>
      <c r="B4092" s="4">
        <v>660</v>
      </c>
      <c r="D4092"/>
    </row>
    <row r="4093" spans="1:4" x14ac:dyDescent="0.3">
      <c r="A4093" s="4" t="s">
        <v>10</v>
      </c>
      <c r="B4093" s="4" t="e">
        <v>#REF!</v>
      </c>
      <c r="D4093"/>
    </row>
    <row r="4094" spans="1:4" x14ac:dyDescent="0.3">
      <c r="A4094" s="4" t="s">
        <v>19</v>
      </c>
      <c r="B4094" s="4" t="e">
        <v>#REF!</v>
      </c>
      <c r="D4094"/>
    </row>
    <row r="4095" spans="1:4" x14ac:dyDescent="0.3">
      <c r="A4095" s="4" t="s">
        <v>3</v>
      </c>
      <c r="B4095" s="4">
        <v>363</v>
      </c>
      <c r="D4095"/>
    </row>
    <row r="4096" spans="1:4" x14ac:dyDescent="0.3">
      <c r="A4096" s="4" t="s">
        <v>10</v>
      </c>
      <c r="B4096" s="4">
        <v>395</v>
      </c>
      <c r="D4096"/>
    </row>
    <row r="4097" spans="1:4" x14ac:dyDescent="0.3">
      <c r="A4097" s="4" t="s">
        <v>11</v>
      </c>
      <c r="B4097" s="4">
        <v>933</v>
      </c>
      <c r="D4097"/>
    </row>
    <row r="4098" spans="1:4" x14ac:dyDescent="0.3">
      <c r="A4098" s="4" t="s">
        <v>6</v>
      </c>
      <c r="B4098" s="4">
        <v>94</v>
      </c>
      <c r="D4098"/>
    </row>
    <row r="4099" spans="1:4" x14ac:dyDescent="0.3">
      <c r="A4099" s="4" t="s">
        <v>3</v>
      </c>
      <c r="B4099" s="4">
        <v>126</v>
      </c>
      <c r="D4099"/>
    </row>
    <row r="4100" spans="1:4" x14ac:dyDescent="0.3">
      <c r="A4100" s="4" t="s">
        <v>18</v>
      </c>
      <c r="B4100" s="4">
        <v>566</v>
      </c>
      <c r="D4100"/>
    </row>
    <row r="4101" spans="1:4" x14ac:dyDescent="0.3">
      <c r="A4101" s="4" t="s">
        <v>15</v>
      </c>
      <c r="B4101" s="4">
        <v>141</v>
      </c>
      <c r="D4101"/>
    </row>
    <row r="4102" spans="1:4" x14ac:dyDescent="0.3">
      <c r="A4102" s="4" t="s">
        <v>6</v>
      </c>
      <c r="B4102" s="4">
        <v>648</v>
      </c>
      <c r="D4102"/>
    </row>
    <row r="4103" spans="1:4" x14ac:dyDescent="0.3">
      <c r="A4103" s="4" t="s">
        <v>8</v>
      </c>
      <c r="B4103" s="4">
        <v>805</v>
      </c>
      <c r="D4103"/>
    </row>
    <row r="4104" spans="1:4" x14ac:dyDescent="0.3">
      <c r="A4104" s="4" t="s">
        <v>17</v>
      </c>
      <c r="B4104" s="4">
        <v>202</v>
      </c>
      <c r="D4104"/>
    </row>
    <row r="4105" spans="1:4" x14ac:dyDescent="0.3">
      <c r="A4105" s="4" t="s">
        <v>3</v>
      </c>
      <c r="B4105" s="4">
        <v>378</v>
      </c>
      <c r="D4105"/>
    </row>
    <row r="4106" spans="1:4" x14ac:dyDescent="0.3">
      <c r="A4106" s="4" t="s">
        <v>18</v>
      </c>
      <c r="B4106" s="4">
        <v>658</v>
      </c>
      <c r="D4106"/>
    </row>
    <row r="4107" spans="1:4" x14ac:dyDescent="0.3">
      <c r="A4107" s="4" t="s">
        <v>19</v>
      </c>
      <c r="B4107" s="4">
        <v>718</v>
      </c>
      <c r="D4107"/>
    </row>
    <row r="4108" spans="1:4" x14ac:dyDescent="0.3">
      <c r="A4108" s="4" t="s">
        <v>15</v>
      </c>
      <c r="B4108" s="4">
        <v>898</v>
      </c>
      <c r="D4108"/>
    </row>
    <row r="4109" spans="1:4" x14ac:dyDescent="0.3">
      <c r="A4109" s="4" t="s">
        <v>10</v>
      </c>
      <c r="B4109" s="4">
        <v>12</v>
      </c>
      <c r="D4109"/>
    </row>
    <row r="4110" spans="1:4" x14ac:dyDescent="0.3">
      <c r="A4110" s="4" t="s">
        <v>4</v>
      </c>
      <c r="B4110" s="4">
        <v>617</v>
      </c>
      <c r="D4110"/>
    </row>
    <row r="4111" spans="1:4" x14ac:dyDescent="0.3">
      <c r="A4111" s="4" t="s">
        <v>18</v>
      </c>
      <c r="B4111" s="4">
        <v>447</v>
      </c>
      <c r="D4111"/>
    </row>
    <row r="4112" spans="1:4" x14ac:dyDescent="0.3">
      <c r="A4112" s="4" t="s">
        <v>7</v>
      </c>
      <c r="B4112" s="4">
        <v>764</v>
      </c>
      <c r="D4112"/>
    </row>
    <row r="4113" spans="1:4" x14ac:dyDescent="0.3">
      <c r="A4113" s="4" t="s">
        <v>18</v>
      </c>
      <c r="B4113" s="4">
        <v>118</v>
      </c>
      <c r="D4113"/>
    </row>
    <row r="4114" spans="1:4" x14ac:dyDescent="0.3">
      <c r="A4114" s="4" t="s">
        <v>11</v>
      </c>
      <c r="B4114" s="4">
        <v>207</v>
      </c>
      <c r="D4114"/>
    </row>
    <row r="4115" spans="1:4" x14ac:dyDescent="0.3">
      <c r="A4115" s="4" t="s">
        <v>19</v>
      </c>
      <c r="B4115" s="4">
        <v>520</v>
      </c>
      <c r="D4115"/>
    </row>
    <row r="4116" spans="1:4" x14ac:dyDescent="0.3">
      <c r="A4116" s="4" t="s">
        <v>6</v>
      </c>
      <c r="B4116" s="4">
        <v>750</v>
      </c>
      <c r="D4116"/>
    </row>
    <row r="4117" spans="1:4" x14ac:dyDescent="0.3">
      <c r="A4117" s="4" t="s">
        <v>4</v>
      </c>
      <c r="B4117" s="4">
        <v>988</v>
      </c>
      <c r="D4117"/>
    </row>
    <row r="4118" spans="1:4" x14ac:dyDescent="0.3">
      <c r="A4118" s="4" t="s">
        <v>4</v>
      </c>
      <c r="B4118" s="4">
        <v>596</v>
      </c>
      <c r="D4118"/>
    </row>
    <row r="4119" spans="1:4" x14ac:dyDescent="0.3">
      <c r="A4119" s="4" t="s">
        <v>18</v>
      </c>
      <c r="B4119" s="4">
        <v>819</v>
      </c>
      <c r="D4119"/>
    </row>
    <row r="4120" spans="1:4" x14ac:dyDescent="0.3">
      <c r="A4120" s="4" t="s">
        <v>4</v>
      </c>
      <c r="B4120" s="4">
        <v>715</v>
      </c>
      <c r="D4120"/>
    </row>
    <row r="4121" spans="1:4" x14ac:dyDescent="0.3">
      <c r="A4121" s="4" t="s">
        <v>15</v>
      </c>
      <c r="B4121" s="4">
        <v>20</v>
      </c>
      <c r="D4121"/>
    </row>
    <row r="4122" spans="1:4" x14ac:dyDescent="0.3">
      <c r="A4122" s="4" t="s">
        <v>15</v>
      </c>
      <c r="B4122" s="4">
        <v>353</v>
      </c>
      <c r="D4122"/>
    </row>
    <row r="4123" spans="1:4" x14ac:dyDescent="0.3">
      <c r="A4123" s="4" t="s">
        <v>16</v>
      </c>
      <c r="B4123" s="4">
        <v>891</v>
      </c>
      <c r="D4123"/>
    </row>
    <row r="4124" spans="1:4" x14ac:dyDescent="0.3">
      <c r="A4124" s="4" t="s">
        <v>3</v>
      </c>
      <c r="B4124" s="4">
        <v>299</v>
      </c>
      <c r="D4124"/>
    </row>
    <row r="4125" spans="1:4" x14ac:dyDescent="0.3">
      <c r="A4125" s="4" t="s">
        <v>8</v>
      </c>
      <c r="B4125" s="4">
        <v>251</v>
      </c>
      <c r="D4125"/>
    </row>
    <row r="4126" spans="1:4" x14ac:dyDescent="0.3">
      <c r="A4126" s="4" t="s">
        <v>19</v>
      </c>
      <c r="B4126" s="4">
        <v>638</v>
      </c>
      <c r="D4126"/>
    </row>
    <row r="4127" spans="1:4" x14ac:dyDescent="0.3">
      <c r="A4127" s="4" t="s">
        <v>11</v>
      </c>
      <c r="B4127" s="4">
        <v>752</v>
      </c>
      <c r="D4127"/>
    </row>
    <row r="4128" spans="1:4" x14ac:dyDescent="0.3">
      <c r="A4128" s="4" t="s">
        <v>8</v>
      </c>
      <c r="B4128" s="4">
        <v>405</v>
      </c>
      <c r="D4128"/>
    </row>
    <row r="4129" spans="1:4" x14ac:dyDescent="0.3">
      <c r="A4129" s="4" t="s">
        <v>18</v>
      </c>
      <c r="B4129" s="4">
        <v>991</v>
      </c>
      <c r="D4129"/>
    </row>
    <row r="4130" spans="1:4" x14ac:dyDescent="0.3">
      <c r="A4130" s="4" t="s">
        <v>18</v>
      </c>
      <c r="B4130" s="4">
        <v>101</v>
      </c>
      <c r="D4130"/>
    </row>
    <row r="4131" spans="1:4" x14ac:dyDescent="0.3">
      <c r="A4131" s="4" t="s">
        <v>12</v>
      </c>
      <c r="B4131" s="4">
        <v>867</v>
      </c>
      <c r="D4131"/>
    </row>
    <row r="4132" spans="1:4" x14ac:dyDescent="0.3">
      <c r="A4132" s="4" t="s">
        <v>10</v>
      </c>
      <c r="B4132" s="4">
        <v>208</v>
      </c>
      <c r="D4132"/>
    </row>
    <row r="4133" spans="1:4" x14ac:dyDescent="0.3">
      <c r="A4133" s="4" t="s">
        <v>9</v>
      </c>
      <c r="B4133" s="4">
        <v>572</v>
      </c>
      <c r="D4133"/>
    </row>
    <row r="4134" spans="1:4" x14ac:dyDescent="0.3">
      <c r="A4134" s="4" t="s">
        <v>10</v>
      </c>
      <c r="B4134" s="4">
        <v>742</v>
      </c>
      <c r="D4134"/>
    </row>
    <row r="4135" spans="1:4" x14ac:dyDescent="0.3">
      <c r="A4135" s="4" t="s">
        <v>3</v>
      </c>
      <c r="B4135" s="4">
        <v>678</v>
      </c>
      <c r="D4135"/>
    </row>
    <row r="4136" spans="1:4" x14ac:dyDescent="0.3">
      <c r="A4136" s="4" t="s">
        <v>12</v>
      </c>
      <c r="B4136" s="4" t="e">
        <v>#REF!</v>
      </c>
      <c r="D4136"/>
    </row>
    <row r="4137" spans="1:4" x14ac:dyDescent="0.3">
      <c r="A4137" s="4" t="s">
        <v>12</v>
      </c>
      <c r="B4137" s="4">
        <v>460</v>
      </c>
      <c r="D4137"/>
    </row>
    <row r="4138" spans="1:4" x14ac:dyDescent="0.3">
      <c r="A4138" s="4" t="s">
        <v>9</v>
      </c>
      <c r="B4138" s="4">
        <v>656</v>
      </c>
      <c r="D4138"/>
    </row>
    <row r="4139" spans="1:4" x14ac:dyDescent="0.3">
      <c r="A4139" s="4" t="s">
        <v>3</v>
      </c>
      <c r="B4139" s="4">
        <v>988</v>
      </c>
      <c r="D4139"/>
    </row>
    <row r="4140" spans="1:4" x14ac:dyDescent="0.3">
      <c r="A4140" s="4" t="s">
        <v>14</v>
      </c>
      <c r="B4140" s="4">
        <v>251</v>
      </c>
      <c r="D4140"/>
    </row>
    <row r="4141" spans="1:4" x14ac:dyDescent="0.3">
      <c r="A4141" s="4" t="s">
        <v>4</v>
      </c>
      <c r="B4141" s="4">
        <v>144</v>
      </c>
      <c r="D4141"/>
    </row>
    <row r="4142" spans="1:4" x14ac:dyDescent="0.3">
      <c r="A4142" s="4" t="s">
        <v>4</v>
      </c>
      <c r="B4142" s="4">
        <v>494</v>
      </c>
      <c r="D4142"/>
    </row>
    <row r="4143" spans="1:4" x14ac:dyDescent="0.3">
      <c r="A4143" s="4" t="s">
        <v>3</v>
      </c>
      <c r="B4143" s="4">
        <v>113</v>
      </c>
      <c r="D4143"/>
    </row>
    <row r="4144" spans="1:4" x14ac:dyDescent="0.3">
      <c r="A4144" s="4" t="s">
        <v>10</v>
      </c>
      <c r="B4144" s="4">
        <v>321</v>
      </c>
      <c r="D4144"/>
    </row>
    <row r="4145" spans="1:4" x14ac:dyDescent="0.3">
      <c r="A4145" s="4" t="s">
        <v>13</v>
      </c>
      <c r="B4145" s="4">
        <v>999</v>
      </c>
      <c r="D4145"/>
    </row>
    <row r="4146" spans="1:4" x14ac:dyDescent="0.3">
      <c r="A4146" s="4" t="s">
        <v>15</v>
      </c>
      <c r="B4146" s="4">
        <v>710</v>
      </c>
      <c r="D4146"/>
    </row>
    <row r="4147" spans="1:4" x14ac:dyDescent="0.3">
      <c r="A4147" s="4" t="s">
        <v>4</v>
      </c>
      <c r="B4147" s="4">
        <v>253</v>
      </c>
      <c r="D4147"/>
    </row>
    <row r="4148" spans="1:4" x14ac:dyDescent="0.3">
      <c r="A4148" s="4" t="s">
        <v>4</v>
      </c>
      <c r="B4148" s="4">
        <v>585</v>
      </c>
      <c r="D4148"/>
    </row>
    <row r="4149" spans="1:4" x14ac:dyDescent="0.3">
      <c r="A4149" s="4" t="s">
        <v>19</v>
      </c>
      <c r="B4149" s="4">
        <v>895</v>
      </c>
      <c r="D4149"/>
    </row>
    <row r="4150" spans="1:4" x14ac:dyDescent="0.3">
      <c r="A4150" s="4" t="s">
        <v>13</v>
      </c>
      <c r="B4150" s="4">
        <v>525</v>
      </c>
      <c r="D4150"/>
    </row>
    <row r="4151" spans="1:4" x14ac:dyDescent="0.3">
      <c r="A4151" s="4" t="s">
        <v>12</v>
      </c>
      <c r="B4151" s="4">
        <v>336</v>
      </c>
      <c r="D4151"/>
    </row>
    <row r="4152" spans="1:4" x14ac:dyDescent="0.3">
      <c r="A4152" s="4" t="s">
        <v>18</v>
      </c>
      <c r="B4152" s="4">
        <v>438</v>
      </c>
      <c r="D4152"/>
    </row>
    <row r="4153" spans="1:4" x14ac:dyDescent="0.3">
      <c r="A4153" s="4" t="s">
        <v>12</v>
      </c>
      <c r="B4153" s="4">
        <v>947</v>
      </c>
      <c r="D4153"/>
    </row>
    <row r="4154" spans="1:4" x14ac:dyDescent="0.3">
      <c r="A4154" s="4" t="s">
        <v>7</v>
      </c>
      <c r="B4154" s="4">
        <v>424</v>
      </c>
      <c r="D4154"/>
    </row>
    <row r="4155" spans="1:4" x14ac:dyDescent="0.3">
      <c r="A4155" s="4" t="s">
        <v>10</v>
      </c>
      <c r="B4155" s="4">
        <v>893</v>
      </c>
      <c r="D4155"/>
    </row>
    <row r="4156" spans="1:4" x14ac:dyDescent="0.3">
      <c r="A4156" s="4" t="s">
        <v>6</v>
      </c>
      <c r="B4156" s="4">
        <v>319</v>
      </c>
      <c r="D4156"/>
    </row>
    <row r="4157" spans="1:4" x14ac:dyDescent="0.3">
      <c r="A4157" s="4" t="s">
        <v>14</v>
      </c>
      <c r="B4157" s="4">
        <v>687</v>
      </c>
      <c r="D4157"/>
    </row>
    <row r="4158" spans="1:4" x14ac:dyDescent="0.3">
      <c r="A4158" s="4" t="s">
        <v>12</v>
      </c>
      <c r="B4158" s="4">
        <v>421</v>
      </c>
      <c r="D4158"/>
    </row>
    <row r="4159" spans="1:4" x14ac:dyDescent="0.3">
      <c r="A4159" s="4" t="s">
        <v>11</v>
      </c>
      <c r="B4159" s="4">
        <v>767</v>
      </c>
      <c r="D4159"/>
    </row>
    <row r="4160" spans="1:4" x14ac:dyDescent="0.3">
      <c r="A4160" s="4" t="s">
        <v>10</v>
      </c>
      <c r="B4160" s="4">
        <v>823</v>
      </c>
      <c r="D4160"/>
    </row>
    <row r="4161" spans="1:4" x14ac:dyDescent="0.3">
      <c r="A4161" s="4" t="s">
        <v>7</v>
      </c>
      <c r="B4161" s="4">
        <v>889</v>
      </c>
      <c r="D4161"/>
    </row>
    <row r="4162" spans="1:4" x14ac:dyDescent="0.3">
      <c r="A4162" s="4" t="s">
        <v>6</v>
      </c>
      <c r="B4162" s="4">
        <v>475</v>
      </c>
      <c r="D4162"/>
    </row>
    <row r="4163" spans="1:4" x14ac:dyDescent="0.3">
      <c r="A4163" s="4" t="s">
        <v>8</v>
      </c>
      <c r="B4163" s="4">
        <v>509</v>
      </c>
      <c r="D4163"/>
    </row>
    <row r="4164" spans="1:4" x14ac:dyDescent="0.3">
      <c r="A4164" s="4" t="s">
        <v>8</v>
      </c>
      <c r="B4164" s="4">
        <v>799</v>
      </c>
      <c r="D4164"/>
    </row>
    <row r="4165" spans="1:4" x14ac:dyDescent="0.3">
      <c r="A4165" s="4" t="s">
        <v>10</v>
      </c>
      <c r="B4165" s="4">
        <v>89</v>
      </c>
      <c r="D4165"/>
    </row>
    <row r="4166" spans="1:4" x14ac:dyDescent="0.3">
      <c r="A4166" s="4" t="s">
        <v>8</v>
      </c>
      <c r="B4166" s="4">
        <v>128</v>
      </c>
      <c r="D4166"/>
    </row>
    <row r="4167" spans="1:4" x14ac:dyDescent="0.3">
      <c r="A4167" s="4" t="s">
        <v>4</v>
      </c>
      <c r="B4167" s="4">
        <v>129</v>
      </c>
      <c r="D4167"/>
    </row>
    <row r="4168" spans="1:4" x14ac:dyDescent="0.3">
      <c r="A4168" s="4" t="s">
        <v>14</v>
      </c>
      <c r="B4168" s="4">
        <v>693</v>
      </c>
      <c r="D4168"/>
    </row>
    <row r="4169" spans="1:4" x14ac:dyDescent="0.3">
      <c r="A4169" s="4" t="s">
        <v>9</v>
      </c>
      <c r="B4169" s="4">
        <v>725</v>
      </c>
      <c r="D4169"/>
    </row>
    <row r="4170" spans="1:4" x14ac:dyDescent="0.3">
      <c r="A4170" s="4" t="s">
        <v>8</v>
      </c>
      <c r="B4170" s="4">
        <v>688</v>
      </c>
      <c r="D4170"/>
    </row>
    <row r="4171" spans="1:4" x14ac:dyDescent="0.3">
      <c r="A4171" s="4" t="s">
        <v>19</v>
      </c>
      <c r="B4171" s="4">
        <v>992</v>
      </c>
      <c r="D4171"/>
    </row>
    <row r="4172" spans="1:4" x14ac:dyDescent="0.3">
      <c r="A4172" s="4" t="s">
        <v>19</v>
      </c>
      <c r="B4172" s="4">
        <v>260</v>
      </c>
      <c r="D4172"/>
    </row>
    <row r="4173" spans="1:4" x14ac:dyDescent="0.3">
      <c r="A4173" s="4" t="s">
        <v>17</v>
      </c>
      <c r="B4173" s="4">
        <v>429</v>
      </c>
      <c r="D4173"/>
    </row>
    <row r="4174" spans="1:4" x14ac:dyDescent="0.3">
      <c r="A4174" s="4" t="s">
        <v>4</v>
      </c>
      <c r="B4174" s="4">
        <v>696</v>
      </c>
      <c r="D4174"/>
    </row>
    <row r="4175" spans="1:4" x14ac:dyDescent="0.3">
      <c r="A4175" s="4" t="s">
        <v>18</v>
      </c>
      <c r="B4175" s="4">
        <v>924</v>
      </c>
      <c r="D4175"/>
    </row>
    <row r="4176" spans="1:4" x14ac:dyDescent="0.3">
      <c r="A4176" s="4" t="s">
        <v>7</v>
      </c>
      <c r="B4176" s="4">
        <v>565</v>
      </c>
      <c r="D4176"/>
    </row>
    <row r="4177" spans="1:4" x14ac:dyDescent="0.3">
      <c r="A4177" s="4" t="s">
        <v>14</v>
      </c>
      <c r="B4177" s="4">
        <v>903</v>
      </c>
      <c r="D4177"/>
    </row>
    <row r="4178" spans="1:4" x14ac:dyDescent="0.3">
      <c r="A4178" s="4" t="s">
        <v>15</v>
      </c>
      <c r="B4178" s="4">
        <v>598</v>
      </c>
      <c r="D4178"/>
    </row>
    <row r="4179" spans="1:4" x14ac:dyDescent="0.3">
      <c r="A4179" s="4" t="s">
        <v>18</v>
      </c>
      <c r="B4179" s="4">
        <v>260</v>
      </c>
      <c r="D4179"/>
    </row>
    <row r="4180" spans="1:4" x14ac:dyDescent="0.3">
      <c r="A4180" s="4" t="s">
        <v>12</v>
      </c>
      <c r="B4180" s="4">
        <v>845</v>
      </c>
      <c r="D4180"/>
    </row>
    <row r="4181" spans="1:4" x14ac:dyDescent="0.3">
      <c r="A4181" s="4" t="s">
        <v>17</v>
      </c>
      <c r="B4181" s="4">
        <v>780</v>
      </c>
      <c r="D4181"/>
    </row>
    <row r="4182" spans="1:4" x14ac:dyDescent="0.3">
      <c r="A4182" s="4" t="s">
        <v>13</v>
      </c>
      <c r="B4182" s="4">
        <v>857</v>
      </c>
      <c r="D4182"/>
    </row>
    <row r="4183" spans="1:4" x14ac:dyDescent="0.3">
      <c r="A4183" s="4" t="s">
        <v>8</v>
      </c>
      <c r="B4183" s="4">
        <v>863</v>
      </c>
      <c r="D4183"/>
    </row>
    <row r="4184" spans="1:4" x14ac:dyDescent="0.3">
      <c r="A4184" s="4" t="s">
        <v>14</v>
      </c>
      <c r="B4184" s="4">
        <v>905</v>
      </c>
      <c r="D4184"/>
    </row>
    <row r="4185" spans="1:4" x14ac:dyDescent="0.3">
      <c r="A4185" s="4" t="s">
        <v>11</v>
      </c>
      <c r="B4185" s="4">
        <v>690</v>
      </c>
      <c r="D4185"/>
    </row>
    <row r="4186" spans="1:4" x14ac:dyDescent="0.3">
      <c r="A4186" s="4" t="s">
        <v>9</v>
      </c>
      <c r="B4186" s="4">
        <v>995</v>
      </c>
      <c r="D4186"/>
    </row>
    <row r="4187" spans="1:4" x14ac:dyDescent="0.3">
      <c r="A4187" s="4" t="s">
        <v>11</v>
      </c>
      <c r="B4187" s="4">
        <v>415</v>
      </c>
      <c r="D4187"/>
    </row>
    <row r="4188" spans="1:4" x14ac:dyDescent="0.3">
      <c r="A4188" s="4" t="s">
        <v>10</v>
      </c>
      <c r="B4188" s="4">
        <v>232</v>
      </c>
      <c r="D4188"/>
    </row>
    <row r="4189" spans="1:4" x14ac:dyDescent="0.3">
      <c r="A4189" s="4" t="s">
        <v>18</v>
      </c>
      <c r="B4189" s="4">
        <v>142</v>
      </c>
      <c r="D4189"/>
    </row>
    <row r="4190" spans="1:4" x14ac:dyDescent="0.3">
      <c r="A4190" s="4" t="s">
        <v>19</v>
      </c>
      <c r="B4190" s="4">
        <v>907</v>
      </c>
      <c r="D4190"/>
    </row>
    <row r="4191" spans="1:4" x14ac:dyDescent="0.3">
      <c r="A4191" s="4" t="s">
        <v>4</v>
      </c>
      <c r="B4191" s="4">
        <v>105</v>
      </c>
      <c r="D4191"/>
    </row>
    <row r="4192" spans="1:4" x14ac:dyDescent="0.3">
      <c r="A4192" s="4" t="s">
        <v>12</v>
      </c>
      <c r="B4192" s="4">
        <v>529</v>
      </c>
      <c r="D4192"/>
    </row>
    <row r="4193" spans="1:4" x14ac:dyDescent="0.3">
      <c r="A4193" s="4" t="s">
        <v>12</v>
      </c>
      <c r="B4193" s="4">
        <v>106</v>
      </c>
      <c r="D4193"/>
    </row>
    <row r="4194" spans="1:4" x14ac:dyDescent="0.3">
      <c r="A4194" s="4" t="s">
        <v>11</v>
      </c>
      <c r="B4194" s="4">
        <v>220</v>
      </c>
      <c r="D4194"/>
    </row>
    <row r="4195" spans="1:4" x14ac:dyDescent="0.3">
      <c r="A4195" s="4" t="s">
        <v>13</v>
      </c>
      <c r="B4195" s="4">
        <v>643</v>
      </c>
      <c r="D4195"/>
    </row>
    <row r="4196" spans="1:4" x14ac:dyDescent="0.3">
      <c r="A4196" s="4" t="s">
        <v>10</v>
      </c>
      <c r="B4196" s="4" t="e">
        <v>#REF!</v>
      </c>
      <c r="D4196"/>
    </row>
    <row r="4197" spans="1:4" x14ac:dyDescent="0.3">
      <c r="A4197" s="4" t="s">
        <v>13</v>
      </c>
      <c r="B4197" s="4">
        <v>453</v>
      </c>
      <c r="D4197"/>
    </row>
    <row r="4198" spans="1:4" x14ac:dyDescent="0.3">
      <c r="A4198" s="4" t="s">
        <v>10</v>
      </c>
      <c r="B4198" s="4">
        <v>904</v>
      </c>
      <c r="D4198"/>
    </row>
    <row r="4199" spans="1:4" x14ac:dyDescent="0.3">
      <c r="A4199" s="4" t="s">
        <v>12</v>
      </c>
      <c r="B4199" s="4">
        <v>165</v>
      </c>
      <c r="D4199"/>
    </row>
    <row r="4200" spans="1:4" x14ac:dyDescent="0.3">
      <c r="A4200" s="4" t="s">
        <v>17</v>
      </c>
      <c r="B4200" s="4">
        <v>361</v>
      </c>
      <c r="D4200"/>
    </row>
    <row r="4201" spans="1:4" x14ac:dyDescent="0.3">
      <c r="A4201" s="4" t="s">
        <v>13</v>
      </c>
      <c r="B4201" s="4">
        <v>624</v>
      </c>
      <c r="D4201"/>
    </row>
    <row r="4202" spans="1:4" x14ac:dyDescent="0.3">
      <c r="A4202" s="4" t="s">
        <v>19</v>
      </c>
      <c r="B4202" s="4">
        <v>849</v>
      </c>
      <c r="D4202"/>
    </row>
    <row r="4203" spans="1:4" x14ac:dyDescent="0.3">
      <c r="A4203" s="4" t="s">
        <v>18</v>
      </c>
      <c r="B4203" s="4">
        <v>713</v>
      </c>
      <c r="D4203"/>
    </row>
    <row r="4204" spans="1:4" x14ac:dyDescent="0.3">
      <c r="A4204" s="4" t="s">
        <v>9</v>
      </c>
      <c r="B4204" s="4">
        <v>131</v>
      </c>
      <c r="D4204"/>
    </row>
    <row r="4205" spans="1:4" x14ac:dyDescent="0.3">
      <c r="A4205" s="4" t="s">
        <v>7</v>
      </c>
      <c r="B4205" s="4">
        <v>254</v>
      </c>
      <c r="D4205"/>
    </row>
    <row r="4206" spans="1:4" x14ac:dyDescent="0.3">
      <c r="A4206" s="4" t="s">
        <v>13</v>
      </c>
      <c r="B4206" s="4">
        <v>794</v>
      </c>
      <c r="D4206"/>
    </row>
    <row r="4207" spans="1:4" x14ac:dyDescent="0.3">
      <c r="A4207" s="4" t="s">
        <v>8</v>
      </c>
      <c r="B4207" s="4">
        <v>576</v>
      </c>
      <c r="D4207"/>
    </row>
    <row r="4208" spans="1:4" x14ac:dyDescent="0.3">
      <c r="A4208" s="4" t="s">
        <v>10</v>
      </c>
      <c r="B4208" s="4">
        <v>740</v>
      </c>
      <c r="D4208"/>
    </row>
    <row r="4209" spans="1:4" x14ac:dyDescent="0.3">
      <c r="A4209" s="4" t="s">
        <v>9</v>
      </c>
      <c r="B4209" s="4">
        <v>972</v>
      </c>
      <c r="D4209"/>
    </row>
    <row r="4210" spans="1:4" x14ac:dyDescent="0.3">
      <c r="A4210" s="4" t="s">
        <v>19</v>
      </c>
      <c r="B4210" s="4">
        <v>331</v>
      </c>
      <c r="D4210"/>
    </row>
    <row r="4211" spans="1:4" x14ac:dyDescent="0.3">
      <c r="A4211" s="4" t="s">
        <v>17</v>
      </c>
      <c r="B4211" s="4">
        <v>579</v>
      </c>
      <c r="D4211"/>
    </row>
    <row r="4212" spans="1:4" x14ac:dyDescent="0.3">
      <c r="A4212" s="4" t="s">
        <v>6</v>
      </c>
      <c r="B4212" s="4">
        <v>271</v>
      </c>
      <c r="D4212"/>
    </row>
    <row r="4213" spans="1:4" x14ac:dyDescent="0.3">
      <c r="A4213" s="4" t="s">
        <v>10</v>
      </c>
      <c r="B4213" s="4">
        <v>208</v>
      </c>
      <c r="D4213"/>
    </row>
    <row r="4214" spans="1:4" x14ac:dyDescent="0.3">
      <c r="A4214" s="4" t="s">
        <v>10</v>
      </c>
      <c r="B4214" s="4">
        <v>690</v>
      </c>
      <c r="D4214"/>
    </row>
    <row r="4215" spans="1:4" x14ac:dyDescent="0.3">
      <c r="A4215" s="4" t="s">
        <v>8</v>
      </c>
      <c r="B4215" s="4">
        <v>806</v>
      </c>
      <c r="D4215"/>
    </row>
    <row r="4216" spans="1:4" x14ac:dyDescent="0.3">
      <c r="A4216" s="4" t="s">
        <v>8</v>
      </c>
      <c r="B4216" s="4">
        <v>884</v>
      </c>
      <c r="D4216"/>
    </row>
    <row r="4217" spans="1:4" x14ac:dyDescent="0.3">
      <c r="A4217" s="4" t="s">
        <v>14</v>
      </c>
      <c r="B4217" s="4">
        <v>248</v>
      </c>
      <c r="D4217"/>
    </row>
    <row r="4218" spans="1:4" x14ac:dyDescent="0.3">
      <c r="A4218" s="4" t="s">
        <v>6</v>
      </c>
      <c r="B4218" s="4">
        <v>241</v>
      </c>
      <c r="D4218"/>
    </row>
    <row r="4219" spans="1:4" x14ac:dyDescent="0.3">
      <c r="A4219" s="4" t="s">
        <v>15</v>
      </c>
      <c r="B4219" s="4">
        <v>157</v>
      </c>
      <c r="D4219"/>
    </row>
    <row r="4220" spans="1:4" x14ac:dyDescent="0.3">
      <c r="A4220" s="4" t="s">
        <v>7</v>
      </c>
      <c r="B4220" s="4">
        <v>206</v>
      </c>
      <c r="D4220"/>
    </row>
    <row r="4221" spans="1:4" x14ac:dyDescent="0.3">
      <c r="A4221" s="4" t="s">
        <v>11</v>
      </c>
      <c r="B4221" s="4">
        <v>250</v>
      </c>
      <c r="D4221"/>
    </row>
    <row r="4222" spans="1:4" x14ac:dyDescent="0.3">
      <c r="A4222" s="4" t="s">
        <v>15</v>
      </c>
      <c r="B4222" s="4">
        <v>287</v>
      </c>
      <c r="D4222"/>
    </row>
    <row r="4223" spans="1:4" x14ac:dyDescent="0.3">
      <c r="A4223" s="4" t="s">
        <v>15</v>
      </c>
      <c r="B4223" s="4">
        <v>745</v>
      </c>
      <c r="D4223"/>
    </row>
    <row r="4224" spans="1:4" x14ac:dyDescent="0.3">
      <c r="A4224" s="4" t="s">
        <v>8</v>
      </c>
      <c r="B4224" s="4">
        <v>603</v>
      </c>
      <c r="D4224"/>
    </row>
    <row r="4225" spans="1:4" x14ac:dyDescent="0.3">
      <c r="A4225" s="4" t="s">
        <v>7</v>
      </c>
      <c r="B4225" s="4">
        <v>965</v>
      </c>
      <c r="D4225"/>
    </row>
    <row r="4226" spans="1:4" x14ac:dyDescent="0.3">
      <c r="A4226" s="4" t="s">
        <v>14</v>
      </c>
      <c r="B4226" s="4">
        <v>731</v>
      </c>
      <c r="D4226"/>
    </row>
    <row r="4227" spans="1:4" x14ac:dyDescent="0.3">
      <c r="A4227" s="4" t="s">
        <v>10</v>
      </c>
      <c r="B4227" s="4">
        <v>764</v>
      </c>
      <c r="D4227"/>
    </row>
    <row r="4228" spans="1:4" x14ac:dyDescent="0.3">
      <c r="A4228" s="4" t="s">
        <v>14</v>
      </c>
      <c r="B4228" s="4">
        <v>536</v>
      </c>
      <c r="D4228"/>
    </row>
    <row r="4229" spans="1:4" x14ac:dyDescent="0.3">
      <c r="A4229" s="4" t="s">
        <v>19</v>
      </c>
      <c r="B4229" s="4">
        <v>183</v>
      </c>
      <c r="D4229"/>
    </row>
    <row r="4230" spans="1:4" x14ac:dyDescent="0.3">
      <c r="A4230" s="4" t="s">
        <v>10</v>
      </c>
      <c r="B4230" s="4">
        <v>654</v>
      </c>
      <c r="D4230"/>
    </row>
    <row r="4231" spans="1:4" x14ac:dyDescent="0.3">
      <c r="A4231" s="4" t="s">
        <v>11</v>
      </c>
      <c r="B4231" s="4">
        <v>907</v>
      </c>
      <c r="D4231"/>
    </row>
    <row r="4232" spans="1:4" x14ac:dyDescent="0.3">
      <c r="A4232" s="4" t="s">
        <v>16</v>
      </c>
      <c r="B4232" s="4">
        <v>761</v>
      </c>
      <c r="D4232"/>
    </row>
    <row r="4233" spans="1:4" x14ac:dyDescent="0.3">
      <c r="A4233" s="4" t="s">
        <v>7</v>
      </c>
      <c r="B4233" s="4">
        <v>684</v>
      </c>
      <c r="D4233"/>
    </row>
    <row r="4234" spans="1:4" x14ac:dyDescent="0.3">
      <c r="A4234" s="4" t="s">
        <v>10</v>
      </c>
      <c r="B4234" s="4">
        <v>349</v>
      </c>
      <c r="D4234"/>
    </row>
    <row r="4235" spans="1:4" x14ac:dyDescent="0.3">
      <c r="A4235" s="4" t="s">
        <v>4</v>
      </c>
      <c r="B4235" s="4">
        <v>264</v>
      </c>
      <c r="D4235"/>
    </row>
    <row r="4236" spans="1:4" x14ac:dyDescent="0.3">
      <c r="A4236" s="4" t="s">
        <v>19</v>
      </c>
      <c r="B4236" s="4">
        <v>140</v>
      </c>
      <c r="D4236"/>
    </row>
    <row r="4237" spans="1:4" x14ac:dyDescent="0.3">
      <c r="A4237" s="4" t="s">
        <v>9</v>
      </c>
      <c r="B4237" s="4">
        <v>449</v>
      </c>
      <c r="D4237"/>
    </row>
    <row r="4238" spans="1:4" x14ac:dyDescent="0.3">
      <c r="A4238" s="4" t="s">
        <v>17</v>
      </c>
      <c r="B4238" s="4">
        <v>247</v>
      </c>
      <c r="D4238"/>
    </row>
    <row r="4239" spans="1:4" x14ac:dyDescent="0.3">
      <c r="A4239" s="4" t="s">
        <v>11</v>
      </c>
      <c r="B4239" s="4">
        <v>946</v>
      </c>
      <c r="D4239"/>
    </row>
    <row r="4240" spans="1:4" x14ac:dyDescent="0.3">
      <c r="A4240" s="4" t="s">
        <v>11</v>
      </c>
      <c r="B4240" s="4">
        <v>683</v>
      </c>
      <c r="D4240"/>
    </row>
    <row r="4241" spans="1:4" x14ac:dyDescent="0.3">
      <c r="A4241" s="4" t="s">
        <v>10</v>
      </c>
      <c r="B4241" s="4">
        <v>764</v>
      </c>
      <c r="D4241"/>
    </row>
    <row r="4242" spans="1:4" x14ac:dyDescent="0.3">
      <c r="A4242" s="4" t="s">
        <v>15</v>
      </c>
      <c r="B4242" s="4">
        <v>866</v>
      </c>
      <c r="D4242"/>
    </row>
    <row r="4243" spans="1:4" x14ac:dyDescent="0.3">
      <c r="A4243" s="4" t="s">
        <v>9</v>
      </c>
      <c r="B4243" s="4">
        <v>284</v>
      </c>
      <c r="D4243"/>
    </row>
    <row r="4244" spans="1:4" x14ac:dyDescent="0.3">
      <c r="A4244" s="4" t="s">
        <v>7</v>
      </c>
      <c r="B4244" s="4">
        <v>493</v>
      </c>
      <c r="D4244"/>
    </row>
    <row r="4245" spans="1:4" x14ac:dyDescent="0.3">
      <c r="A4245" s="4" t="s">
        <v>18</v>
      </c>
      <c r="B4245" s="4">
        <v>929</v>
      </c>
      <c r="D4245"/>
    </row>
    <row r="4246" spans="1:4" x14ac:dyDescent="0.3">
      <c r="A4246" s="4" t="s">
        <v>18</v>
      </c>
      <c r="B4246" s="4">
        <v>628</v>
      </c>
      <c r="D4246"/>
    </row>
    <row r="4247" spans="1:4" x14ac:dyDescent="0.3">
      <c r="A4247" s="4" t="s">
        <v>10</v>
      </c>
      <c r="B4247" s="4">
        <v>809</v>
      </c>
      <c r="D4247"/>
    </row>
    <row r="4248" spans="1:4" x14ac:dyDescent="0.3">
      <c r="A4248" s="4" t="s">
        <v>4</v>
      </c>
      <c r="B4248" s="4">
        <v>814</v>
      </c>
      <c r="D4248"/>
    </row>
    <row r="4249" spans="1:4" x14ac:dyDescent="0.3">
      <c r="A4249" s="4" t="s">
        <v>17</v>
      </c>
      <c r="B4249" s="4">
        <v>342</v>
      </c>
      <c r="D4249"/>
    </row>
    <row r="4250" spans="1:4" x14ac:dyDescent="0.3">
      <c r="A4250" s="4" t="s">
        <v>4</v>
      </c>
      <c r="B4250" s="4">
        <v>287</v>
      </c>
      <c r="D4250"/>
    </row>
    <row r="4251" spans="1:4" x14ac:dyDescent="0.3">
      <c r="A4251" s="4" t="s">
        <v>10</v>
      </c>
      <c r="B4251" s="4">
        <v>182</v>
      </c>
      <c r="D4251"/>
    </row>
    <row r="4252" spans="1:4" x14ac:dyDescent="0.3">
      <c r="A4252" s="4" t="s">
        <v>19</v>
      </c>
      <c r="B4252" s="4">
        <v>416</v>
      </c>
      <c r="D4252"/>
    </row>
    <row r="4253" spans="1:4" x14ac:dyDescent="0.3">
      <c r="A4253" s="4" t="s">
        <v>4</v>
      </c>
      <c r="B4253" s="4">
        <v>716</v>
      </c>
      <c r="D4253"/>
    </row>
    <row r="4254" spans="1:4" x14ac:dyDescent="0.3">
      <c r="A4254" s="4" t="s">
        <v>9</v>
      </c>
      <c r="B4254" s="4">
        <v>583</v>
      </c>
      <c r="D4254"/>
    </row>
    <row r="4255" spans="1:4" x14ac:dyDescent="0.3">
      <c r="A4255" s="4" t="s">
        <v>12</v>
      </c>
      <c r="B4255" s="4">
        <v>747</v>
      </c>
      <c r="D4255"/>
    </row>
    <row r="4256" spans="1:4" x14ac:dyDescent="0.3">
      <c r="A4256" s="4" t="s">
        <v>9</v>
      </c>
      <c r="B4256" s="4">
        <v>195</v>
      </c>
      <c r="D4256"/>
    </row>
    <row r="4257" spans="1:4" x14ac:dyDescent="0.3">
      <c r="A4257" s="4" t="s">
        <v>4</v>
      </c>
      <c r="B4257" s="4">
        <v>219</v>
      </c>
      <c r="D4257"/>
    </row>
    <row r="4258" spans="1:4" x14ac:dyDescent="0.3">
      <c r="A4258" s="4" t="s">
        <v>17</v>
      </c>
      <c r="B4258" s="4">
        <v>523</v>
      </c>
      <c r="D4258"/>
    </row>
    <row r="4259" spans="1:4" x14ac:dyDescent="0.3">
      <c r="A4259" s="4" t="s">
        <v>7</v>
      </c>
      <c r="B4259" s="4">
        <v>351</v>
      </c>
      <c r="D4259"/>
    </row>
    <row r="4260" spans="1:4" x14ac:dyDescent="0.3">
      <c r="A4260" s="4" t="s">
        <v>8</v>
      </c>
      <c r="B4260" s="4">
        <v>858</v>
      </c>
      <c r="D4260"/>
    </row>
    <row r="4261" spans="1:4" x14ac:dyDescent="0.3">
      <c r="A4261" s="4" t="s">
        <v>12</v>
      </c>
      <c r="B4261" s="4">
        <v>124</v>
      </c>
      <c r="D4261"/>
    </row>
    <row r="4262" spans="1:4" x14ac:dyDescent="0.3">
      <c r="A4262" s="4" t="s">
        <v>10</v>
      </c>
      <c r="B4262" s="4">
        <v>113</v>
      </c>
      <c r="D4262"/>
    </row>
    <row r="4263" spans="1:4" x14ac:dyDescent="0.3">
      <c r="A4263" s="4" t="s">
        <v>14</v>
      </c>
      <c r="B4263" s="4">
        <v>798</v>
      </c>
      <c r="D4263"/>
    </row>
    <row r="4264" spans="1:4" x14ac:dyDescent="0.3">
      <c r="A4264" s="4" t="s">
        <v>4</v>
      </c>
      <c r="B4264" s="4">
        <v>609</v>
      </c>
      <c r="D4264"/>
    </row>
    <row r="4265" spans="1:4" x14ac:dyDescent="0.3">
      <c r="A4265" s="4" t="s">
        <v>11</v>
      </c>
      <c r="B4265" s="4">
        <v>38</v>
      </c>
      <c r="D4265"/>
    </row>
    <row r="4266" spans="1:4" x14ac:dyDescent="0.3">
      <c r="A4266" s="4" t="s">
        <v>14</v>
      </c>
      <c r="B4266" s="4">
        <v>652</v>
      </c>
      <c r="D4266"/>
    </row>
    <row r="4267" spans="1:4" x14ac:dyDescent="0.3">
      <c r="A4267" s="4" t="s">
        <v>15</v>
      </c>
      <c r="B4267" s="4">
        <v>441</v>
      </c>
      <c r="D4267"/>
    </row>
    <row r="4268" spans="1:4" x14ac:dyDescent="0.3">
      <c r="A4268" s="4" t="s">
        <v>8</v>
      </c>
      <c r="B4268" s="4">
        <v>389</v>
      </c>
      <c r="D4268"/>
    </row>
    <row r="4269" spans="1:4" x14ac:dyDescent="0.3">
      <c r="A4269" s="4" t="s">
        <v>7</v>
      </c>
      <c r="B4269" s="4">
        <v>573</v>
      </c>
      <c r="D4269"/>
    </row>
    <row r="4270" spans="1:4" x14ac:dyDescent="0.3">
      <c r="A4270" s="4" t="s">
        <v>10</v>
      </c>
      <c r="B4270" s="4">
        <v>701</v>
      </c>
      <c r="D4270"/>
    </row>
    <row r="4271" spans="1:4" x14ac:dyDescent="0.3">
      <c r="A4271" s="4" t="s">
        <v>18</v>
      </c>
      <c r="B4271" s="4">
        <v>987</v>
      </c>
      <c r="D4271"/>
    </row>
    <row r="4272" spans="1:4" x14ac:dyDescent="0.3">
      <c r="A4272" s="4" t="s">
        <v>10</v>
      </c>
      <c r="B4272" s="4">
        <v>973</v>
      </c>
      <c r="D4272"/>
    </row>
    <row r="4273" spans="1:4" x14ac:dyDescent="0.3">
      <c r="A4273" s="4" t="s">
        <v>10</v>
      </c>
      <c r="B4273" s="4">
        <v>828</v>
      </c>
      <c r="D4273"/>
    </row>
    <row r="4274" spans="1:4" x14ac:dyDescent="0.3">
      <c r="A4274" s="4" t="s">
        <v>11</v>
      </c>
      <c r="B4274" s="4">
        <v>656</v>
      </c>
      <c r="D4274"/>
    </row>
    <row r="4275" spans="1:4" x14ac:dyDescent="0.3">
      <c r="A4275" s="4" t="s">
        <v>16</v>
      </c>
      <c r="B4275" s="4">
        <v>609</v>
      </c>
      <c r="D4275"/>
    </row>
    <row r="4276" spans="1:4" x14ac:dyDescent="0.3">
      <c r="A4276" s="4" t="s">
        <v>6</v>
      </c>
      <c r="B4276" s="4">
        <v>543</v>
      </c>
      <c r="D4276"/>
    </row>
    <row r="4277" spans="1:4" x14ac:dyDescent="0.3">
      <c r="A4277" s="4" t="s">
        <v>11</v>
      </c>
      <c r="B4277" s="4">
        <v>635</v>
      </c>
      <c r="D4277"/>
    </row>
    <row r="4278" spans="1:4" x14ac:dyDescent="0.3">
      <c r="A4278" s="4" t="s">
        <v>12</v>
      </c>
      <c r="B4278" s="4">
        <v>306</v>
      </c>
      <c r="D4278"/>
    </row>
    <row r="4279" spans="1:4" x14ac:dyDescent="0.3">
      <c r="A4279" s="4" t="s">
        <v>8</v>
      </c>
      <c r="B4279" s="4">
        <v>872</v>
      </c>
      <c r="D4279"/>
    </row>
    <row r="4280" spans="1:4" x14ac:dyDescent="0.3">
      <c r="A4280" s="4" t="s">
        <v>7</v>
      </c>
      <c r="B4280" s="4">
        <v>110</v>
      </c>
      <c r="D4280"/>
    </row>
    <row r="4281" spans="1:4" x14ac:dyDescent="0.3">
      <c r="A4281" s="4" t="s">
        <v>11</v>
      </c>
      <c r="B4281" s="4">
        <v>210</v>
      </c>
      <c r="D4281"/>
    </row>
    <row r="4282" spans="1:4" x14ac:dyDescent="0.3">
      <c r="A4282" s="4" t="s">
        <v>11</v>
      </c>
      <c r="B4282" s="4">
        <v>357</v>
      </c>
      <c r="D4282"/>
    </row>
    <row r="4283" spans="1:4" x14ac:dyDescent="0.3">
      <c r="A4283" s="4" t="s">
        <v>3</v>
      </c>
      <c r="B4283" s="4">
        <v>934</v>
      </c>
      <c r="D4283"/>
    </row>
    <row r="4284" spans="1:4" x14ac:dyDescent="0.3">
      <c r="A4284" s="4" t="s">
        <v>8</v>
      </c>
      <c r="B4284" s="4">
        <v>507</v>
      </c>
      <c r="D4284"/>
    </row>
    <row r="4285" spans="1:4" x14ac:dyDescent="0.3">
      <c r="A4285" s="4" t="s">
        <v>4</v>
      </c>
      <c r="B4285" s="4">
        <v>281</v>
      </c>
      <c r="D4285"/>
    </row>
    <row r="4286" spans="1:4" x14ac:dyDescent="0.3">
      <c r="A4286" s="4" t="s">
        <v>7</v>
      </c>
      <c r="B4286" s="4">
        <v>264</v>
      </c>
      <c r="D4286"/>
    </row>
    <row r="4287" spans="1:4" x14ac:dyDescent="0.3">
      <c r="A4287" s="4" t="s">
        <v>4</v>
      </c>
      <c r="B4287" s="4">
        <v>437</v>
      </c>
      <c r="D4287"/>
    </row>
    <row r="4288" spans="1:4" x14ac:dyDescent="0.3">
      <c r="A4288" s="4" t="s">
        <v>19</v>
      </c>
      <c r="B4288" s="4">
        <v>643</v>
      </c>
      <c r="D4288"/>
    </row>
    <row r="4289" spans="1:4" x14ac:dyDescent="0.3">
      <c r="A4289" s="4" t="s">
        <v>4</v>
      </c>
      <c r="B4289" s="4">
        <v>376</v>
      </c>
      <c r="D4289"/>
    </row>
    <row r="4290" spans="1:4" x14ac:dyDescent="0.3">
      <c r="A4290" s="4" t="s">
        <v>4</v>
      </c>
      <c r="B4290" s="4">
        <v>945</v>
      </c>
      <c r="D4290"/>
    </row>
    <row r="4291" spans="1:4" x14ac:dyDescent="0.3">
      <c r="A4291" s="4" t="s">
        <v>14</v>
      </c>
      <c r="B4291" s="4">
        <v>44</v>
      </c>
      <c r="D4291"/>
    </row>
    <row r="4292" spans="1:4" x14ac:dyDescent="0.3">
      <c r="A4292" s="4" t="s">
        <v>9</v>
      </c>
      <c r="B4292" s="4">
        <v>859</v>
      </c>
      <c r="D4292"/>
    </row>
    <row r="4293" spans="1:4" x14ac:dyDescent="0.3">
      <c r="A4293" s="4" t="s">
        <v>9</v>
      </c>
      <c r="B4293" s="4">
        <v>721</v>
      </c>
      <c r="D4293"/>
    </row>
    <row r="4294" spans="1:4" x14ac:dyDescent="0.3">
      <c r="A4294" s="4" t="s">
        <v>19</v>
      </c>
      <c r="B4294" s="4">
        <v>236</v>
      </c>
      <c r="D4294"/>
    </row>
    <row r="4295" spans="1:4" x14ac:dyDescent="0.3">
      <c r="A4295" s="4" t="s">
        <v>8</v>
      </c>
      <c r="B4295" s="4">
        <v>499</v>
      </c>
      <c r="D4295"/>
    </row>
    <row r="4296" spans="1:4" x14ac:dyDescent="0.3">
      <c r="A4296" s="4" t="s">
        <v>14</v>
      </c>
      <c r="B4296" s="4">
        <v>970</v>
      </c>
      <c r="D4296"/>
    </row>
    <row r="4297" spans="1:4" x14ac:dyDescent="0.3">
      <c r="A4297" s="4" t="s">
        <v>9</v>
      </c>
      <c r="B4297" s="4">
        <v>651</v>
      </c>
      <c r="D4297"/>
    </row>
    <row r="4298" spans="1:4" x14ac:dyDescent="0.3">
      <c r="A4298" s="4" t="s">
        <v>18</v>
      </c>
      <c r="B4298" s="4">
        <v>785</v>
      </c>
      <c r="D4298"/>
    </row>
    <row r="4299" spans="1:4" x14ac:dyDescent="0.3">
      <c r="A4299" s="4" t="s">
        <v>8</v>
      </c>
      <c r="B4299" s="4">
        <v>140</v>
      </c>
      <c r="D4299"/>
    </row>
    <row r="4300" spans="1:4" x14ac:dyDescent="0.3">
      <c r="A4300" s="4" t="s">
        <v>12</v>
      </c>
      <c r="B4300" s="4">
        <v>128</v>
      </c>
      <c r="D4300"/>
    </row>
    <row r="4301" spans="1:4" x14ac:dyDescent="0.3">
      <c r="A4301" s="4" t="s">
        <v>6</v>
      </c>
      <c r="B4301" s="4">
        <v>756</v>
      </c>
      <c r="D4301"/>
    </row>
    <row r="4302" spans="1:4" x14ac:dyDescent="0.3">
      <c r="A4302" s="4" t="s">
        <v>15</v>
      </c>
      <c r="B4302" s="4">
        <v>419</v>
      </c>
      <c r="D4302"/>
    </row>
    <row r="4303" spans="1:4" x14ac:dyDescent="0.3">
      <c r="A4303" s="4" t="s">
        <v>13</v>
      </c>
      <c r="B4303" s="4" t="e">
        <v>#REF!</v>
      </c>
      <c r="D4303"/>
    </row>
    <row r="4304" spans="1:4" x14ac:dyDescent="0.3">
      <c r="A4304" s="4" t="s">
        <v>4</v>
      </c>
      <c r="B4304" s="4">
        <v>465</v>
      </c>
      <c r="D4304"/>
    </row>
    <row r="4305" spans="1:4" x14ac:dyDescent="0.3">
      <c r="A4305" s="4" t="s">
        <v>11</v>
      </c>
      <c r="B4305" s="4">
        <v>340</v>
      </c>
      <c r="D4305"/>
    </row>
    <row r="4306" spans="1:4" x14ac:dyDescent="0.3">
      <c r="A4306" s="4" t="s">
        <v>6</v>
      </c>
      <c r="B4306" s="4">
        <v>766</v>
      </c>
      <c r="D4306"/>
    </row>
    <row r="4307" spans="1:4" x14ac:dyDescent="0.3">
      <c r="A4307" s="4" t="s">
        <v>3</v>
      </c>
      <c r="B4307" s="4">
        <v>393</v>
      </c>
      <c r="D4307"/>
    </row>
    <row r="4308" spans="1:4" x14ac:dyDescent="0.3">
      <c r="A4308" s="4" t="s">
        <v>4</v>
      </c>
      <c r="B4308" s="4">
        <v>214</v>
      </c>
      <c r="D4308"/>
    </row>
    <row r="4309" spans="1:4" x14ac:dyDescent="0.3">
      <c r="A4309" s="4" t="s">
        <v>19</v>
      </c>
      <c r="B4309" s="4">
        <v>250</v>
      </c>
      <c r="D4309"/>
    </row>
    <row r="4310" spans="1:4" x14ac:dyDescent="0.3">
      <c r="A4310" s="4" t="s">
        <v>10</v>
      </c>
      <c r="B4310" s="4">
        <v>600</v>
      </c>
      <c r="D4310"/>
    </row>
    <row r="4311" spans="1:4" x14ac:dyDescent="0.3">
      <c r="A4311" s="4" t="s">
        <v>4</v>
      </c>
      <c r="B4311" s="4">
        <v>492</v>
      </c>
      <c r="D4311"/>
    </row>
    <row r="4312" spans="1:4" x14ac:dyDescent="0.3">
      <c r="A4312" s="4" t="s">
        <v>10</v>
      </c>
      <c r="B4312" s="4">
        <v>861</v>
      </c>
      <c r="D4312"/>
    </row>
    <row r="4313" spans="1:4" x14ac:dyDescent="0.3">
      <c r="A4313" s="4" t="s">
        <v>4</v>
      </c>
      <c r="B4313" s="4">
        <v>597</v>
      </c>
      <c r="D4313"/>
    </row>
    <row r="4314" spans="1:4" x14ac:dyDescent="0.3">
      <c r="A4314" s="4" t="s">
        <v>10</v>
      </c>
      <c r="B4314" s="4">
        <v>559</v>
      </c>
      <c r="D4314"/>
    </row>
    <row r="4315" spans="1:4" x14ac:dyDescent="0.3">
      <c r="A4315" s="4" t="s">
        <v>6</v>
      </c>
      <c r="B4315" s="4">
        <v>714</v>
      </c>
      <c r="D4315"/>
    </row>
    <row r="4316" spans="1:4" x14ac:dyDescent="0.3">
      <c r="A4316" s="4" t="s">
        <v>9</v>
      </c>
      <c r="B4316" s="4">
        <v>30</v>
      </c>
      <c r="D4316"/>
    </row>
    <row r="4317" spans="1:4" x14ac:dyDescent="0.3">
      <c r="A4317" s="4" t="s">
        <v>8</v>
      </c>
      <c r="B4317" s="4">
        <v>204</v>
      </c>
      <c r="D4317"/>
    </row>
    <row r="4318" spans="1:4" x14ac:dyDescent="0.3">
      <c r="A4318" s="4" t="s">
        <v>12</v>
      </c>
      <c r="B4318" s="4">
        <v>652</v>
      </c>
      <c r="D4318"/>
    </row>
    <row r="4319" spans="1:4" x14ac:dyDescent="0.3">
      <c r="A4319" s="4" t="s">
        <v>9</v>
      </c>
      <c r="B4319" s="4" t="e">
        <v>#REF!</v>
      </c>
      <c r="D4319"/>
    </row>
    <row r="4320" spans="1:4" x14ac:dyDescent="0.3">
      <c r="A4320" s="4" t="s">
        <v>16</v>
      </c>
      <c r="B4320" s="4">
        <v>499</v>
      </c>
      <c r="D4320"/>
    </row>
    <row r="4321" spans="1:4" x14ac:dyDescent="0.3">
      <c r="A4321" s="4" t="s">
        <v>9</v>
      </c>
      <c r="B4321" s="4">
        <v>651</v>
      </c>
      <c r="D4321"/>
    </row>
    <row r="4322" spans="1:4" x14ac:dyDescent="0.3">
      <c r="A4322" s="4" t="s">
        <v>4</v>
      </c>
      <c r="B4322" s="4">
        <v>993</v>
      </c>
      <c r="D4322"/>
    </row>
    <row r="4323" spans="1:4" x14ac:dyDescent="0.3">
      <c r="A4323" s="4" t="s">
        <v>7</v>
      </c>
      <c r="B4323" s="4">
        <v>364</v>
      </c>
      <c r="D4323"/>
    </row>
    <row r="4324" spans="1:4" x14ac:dyDescent="0.3">
      <c r="A4324" s="4" t="s">
        <v>14</v>
      </c>
      <c r="B4324" s="4">
        <v>599</v>
      </c>
      <c r="D4324"/>
    </row>
    <row r="4325" spans="1:4" x14ac:dyDescent="0.3">
      <c r="A4325" s="4" t="s">
        <v>10</v>
      </c>
      <c r="B4325" s="4">
        <v>303</v>
      </c>
      <c r="D4325"/>
    </row>
    <row r="4326" spans="1:4" x14ac:dyDescent="0.3">
      <c r="A4326" s="4" t="s">
        <v>3</v>
      </c>
      <c r="B4326" s="4">
        <v>269</v>
      </c>
      <c r="D4326"/>
    </row>
    <row r="4327" spans="1:4" x14ac:dyDescent="0.3">
      <c r="A4327" s="4" t="s">
        <v>19</v>
      </c>
      <c r="B4327" s="4">
        <v>613</v>
      </c>
      <c r="D4327"/>
    </row>
    <row r="4328" spans="1:4" x14ac:dyDescent="0.3">
      <c r="A4328" s="4" t="s">
        <v>4</v>
      </c>
      <c r="B4328" s="4">
        <v>566</v>
      </c>
      <c r="D4328"/>
    </row>
    <row r="4329" spans="1:4" x14ac:dyDescent="0.3">
      <c r="A4329" s="4" t="s">
        <v>4</v>
      </c>
      <c r="B4329" s="4">
        <v>205</v>
      </c>
      <c r="D4329"/>
    </row>
    <row r="4330" spans="1:4" x14ac:dyDescent="0.3">
      <c r="A4330" s="4" t="s">
        <v>6</v>
      </c>
      <c r="B4330" s="4">
        <v>573</v>
      </c>
      <c r="D4330"/>
    </row>
    <row r="4331" spans="1:4" x14ac:dyDescent="0.3">
      <c r="A4331" s="4" t="s">
        <v>12</v>
      </c>
      <c r="B4331" s="4">
        <v>860</v>
      </c>
      <c r="D4331"/>
    </row>
    <row r="4332" spans="1:4" x14ac:dyDescent="0.3">
      <c r="A4332" s="4" t="s">
        <v>10</v>
      </c>
      <c r="B4332" s="4">
        <v>650</v>
      </c>
      <c r="D4332"/>
    </row>
    <row r="4333" spans="1:4" x14ac:dyDescent="0.3">
      <c r="A4333" s="4" t="s">
        <v>4</v>
      </c>
      <c r="B4333" s="4">
        <v>471</v>
      </c>
      <c r="D4333"/>
    </row>
    <row r="4334" spans="1:4" x14ac:dyDescent="0.3">
      <c r="A4334" s="4" t="s">
        <v>10</v>
      </c>
      <c r="B4334" s="4">
        <v>321</v>
      </c>
      <c r="D4334"/>
    </row>
    <row r="4335" spans="1:4" x14ac:dyDescent="0.3">
      <c r="A4335" s="4" t="s">
        <v>10</v>
      </c>
      <c r="B4335" s="4">
        <v>102</v>
      </c>
      <c r="D4335"/>
    </row>
    <row r="4336" spans="1:4" x14ac:dyDescent="0.3">
      <c r="A4336" s="4" t="s">
        <v>7</v>
      </c>
      <c r="B4336" s="4">
        <v>550</v>
      </c>
      <c r="D4336"/>
    </row>
    <row r="4337" spans="1:4" x14ac:dyDescent="0.3">
      <c r="A4337" s="4" t="s">
        <v>9</v>
      </c>
      <c r="B4337" s="4">
        <v>344</v>
      </c>
      <c r="D4337"/>
    </row>
    <row r="4338" spans="1:4" x14ac:dyDescent="0.3">
      <c r="A4338" s="4" t="s">
        <v>16</v>
      </c>
      <c r="B4338" s="4">
        <v>455</v>
      </c>
      <c r="D4338"/>
    </row>
    <row r="4339" spans="1:4" x14ac:dyDescent="0.3">
      <c r="A4339" s="4" t="s">
        <v>10</v>
      </c>
      <c r="B4339" s="4">
        <v>770</v>
      </c>
      <c r="D4339"/>
    </row>
    <row r="4340" spans="1:4" x14ac:dyDescent="0.3">
      <c r="A4340" s="4" t="s">
        <v>11</v>
      </c>
      <c r="B4340" s="4">
        <v>142</v>
      </c>
      <c r="D4340"/>
    </row>
    <row r="4341" spans="1:4" x14ac:dyDescent="0.3">
      <c r="A4341" s="4" t="s">
        <v>14</v>
      </c>
      <c r="B4341" s="4">
        <v>588</v>
      </c>
      <c r="D4341"/>
    </row>
    <row r="4342" spans="1:4" x14ac:dyDescent="0.3">
      <c r="A4342" s="4" t="s">
        <v>4</v>
      </c>
      <c r="B4342" s="4">
        <v>611</v>
      </c>
      <c r="D4342"/>
    </row>
    <row r="4343" spans="1:4" x14ac:dyDescent="0.3">
      <c r="A4343" s="4" t="s">
        <v>17</v>
      </c>
      <c r="B4343" s="4">
        <v>568</v>
      </c>
      <c r="D4343"/>
    </row>
    <row r="4344" spans="1:4" x14ac:dyDescent="0.3">
      <c r="A4344" s="4" t="s">
        <v>8</v>
      </c>
      <c r="B4344" s="4">
        <v>428</v>
      </c>
      <c r="D4344"/>
    </row>
    <row r="4345" spans="1:4" x14ac:dyDescent="0.3">
      <c r="A4345" s="4" t="s">
        <v>9</v>
      </c>
      <c r="B4345" s="4">
        <v>171</v>
      </c>
      <c r="D4345"/>
    </row>
    <row r="4346" spans="1:4" x14ac:dyDescent="0.3">
      <c r="A4346" s="4" t="s">
        <v>17</v>
      </c>
      <c r="B4346" s="4">
        <v>509</v>
      </c>
      <c r="D4346"/>
    </row>
    <row r="4347" spans="1:4" x14ac:dyDescent="0.3">
      <c r="A4347" s="4" t="s">
        <v>10</v>
      </c>
      <c r="B4347" s="4">
        <v>29</v>
      </c>
      <c r="D4347"/>
    </row>
    <row r="4348" spans="1:4" x14ac:dyDescent="0.3">
      <c r="A4348" s="4" t="s">
        <v>6</v>
      </c>
      <c r="B4348" s="4">
        <v>80</v>
      </c>
      <c r="D4348"/>
    </row>
    <row r="4349" spans="1:4" x14ac:dyDescent="0.3">
      <c r="A4349" s="4" t="s">
        <v>6</v>
      </c>
      <c r="B4349" s="4">
        <v>504</v>
      </c>
      <c r="D4349"/>
    </row>
    <row r="4350" spans="1:4" x14ac:dyDescent="0.3">
      <c r="A4350" s="4" t="s">
        <v>6</v>
      </c>
      <c r="B4350" s="4">
        <v>902</v>
      </c>
      <c r="D4350"/>
    </row>
    <row r="4351" spans="1:4" x14ac:dyDescent="0.3">
      <c r="A4351" s="4" t="s">
        <v>17</v>
      </c>
      <c r="B4351" s="4">
        <v>878</v>
      </c>
      <c r="D4351"/>
    </row>
    <row r="4352" spans="1:4" x14ac:dyDescent="0.3">
      <c r="A4352" s="4" t="s">
        <v>4</v>
      </c>
      <c r="B4352" s="4">
        <v>426</v>
      </c>
      <c r="D4352"/>
    </row>
    <row r="4353" spans="1:4" x14ac:dyDescent="0.3">
      <c r="A4353" s="4" t="s">
        <v>10</v>
      </c>
      <c r="B4353" s="4">
        <v>109</v>
      </c>
      <c r="D4353"/>
    </row>
    <row r="4354" spans="1:4" x14ac:dyDescent="0.3">
      <c r="A4354" s="4" t="s">
        <v>10</v>
      </c>
      <c r="B4354" s="4">
        <v>181</v>
      </c>
      <c r="D4354"/>
    </row>
    <row r="4355" spans="1:4" x14ac:dyDescent="0.3">
      <c r="A4355" s="4" t="s">
        <v>17</v>
      </c>
      <c r="B4355" s="4">
        <v>381</v>
      </c>
      <c r="D4355"/>
    </row>
    <row r="4356" spans="1:4" x14ac:dyDescent="0.3">
      <c r="A4356" s="4" t="s">
        <v>11</v>
      </c>
      <c r="B4356" s="4">
        <v>812</v>
      </c>
      <c r="D4356"/>
    </row>
    <row r="4357" spans="1:4" x14ac:dyDescent="0.3">
      <c r="A4357" s="4" t="s">
        <v>13</v>
      </c>
      <c r="B4357" s="4">
        <v>882</v>
      </c>
      <c r="D4357"/>
    </row>
    <row r="4358" spans="1:4" x14ac:dyDescent="0.3">
      <c r="A4358" s="4" t="s">
        <v>16</v>
      </c>
      <c r="B4358" s="4">
        <v>478</v>
      </c>
      <c r="D4358"/>
    </row>
    <row r="4359" spans="1:4" x14ac:dyDescent="0.3">
      <c r="A4359" s="4" t="s">
        <v>9</v>
      </c>
      <c r="B4359" s="4">
        <v>104</v>
      </c>
      <c r="D4359"/>
    </row>
    <row r="4360" spans="1:4" x14ac:dyDescent="0.3">
      <c r="A4360" s="4" t="s">
        <v>16</v>
      </c>
      <c r="B4360" s="4">
        <v>542</v>
      </c>
      <c r="D4360"/>
    </row>
    <row r="4361" spans="1:4" x14ac:dyDescent="0.3">
      <c r="A4361" s="4" t="s">
        <v>16</v>
      </c>
      <c r="B4361" s="4">
        <v>342</v>
      </c>
      <c r="D4361"/>
    </row>
    <row r="4362" spans="1:4" x14ac:dyDescent="0.3">
      <c r="A4362" s="4" t="s">
        <v>7</v>
      </c>
      <c r="B4362" s="4">
        <v>399</v>
      </c>
      <c r="D4362"/>
    </row>
    <row r="4363" spans="1:4" x14ac:dyDescent="0.3">
      <c r="A4363" s="4" t="s">
        <v>6</v>
      </c>
      <c r="B4363" s="4">
        <v>302</v>
      </c>
      <c r="D4363"/>
    </row>
    <row r="4364" spans="1:4" x14ac:dyDescent="0.3">
      <c r="A4364" s="4" t="s">
        <v>4</v>
      </c>
      <c r="B4364" s="4">
        <v>994</v>
      </c>
      <c r="D4364"/>
    </row>
    <row r="4365" spans="1:4" x14ac:dyDescent="0.3">
      <c r="A4365" s="4" t="s">
        <v>14</v>
      </c>
      <c r="B4365" s="4">
        <v>454</v>
      </c>
      <c r="D4365"/>
    </row>
    <row r="4366" spans="1:4" x14ac:dyDescent="0.3">
      <c r="A4366" s="4" t="s">
        <v>18</v>
      </c>
      <c r="B4366" s="4">
        <v>409</v>
      </c>
      <c r="D4366"/>
    </row>
    <row r="4367" spans="1:4" x14ac:dyDescent="0.3">
      <c r="A4367" s="4" t="s">
        <v>7</v>
      </c>
      <c r="B4367" s="4">
        <v>907</v>
      </c>
      <c r="D4367"/>
    </row>
    <row r="4368" spans="1:4" x14ac:dyDescent="0.3">
      <c r="A4368" s="4" t="s">
        <v>10</v>
      </c>
      <c r="B4368" s="4">
        <v>690</v>
      </c>
      <c r="D4368"/>
    </row>
    <row r="4369" spans="1:4" x14ac:dyDescent="0.3">
      <c r="A4369" s="4" t="s">
        <v>14</v>
      </c>
      <c r="B4369" s="4">
        <v>235</v>
      </c>
      <c r="D4369"/>
    </row>
    <row r="4370" spans="1:4" x14ac:dyDescent="0.3">
      <c r="A4370" s="4" t="s">
        <v>14</v>
      </c>
      <c r="B4370" s="4">
        <v>524</v>
      </c>
      <c r="D4370"/>
    </row>
    <row r="4371" spans="1:4" x14ac:dyDescent="0.3">
      <c r="A4371" s="4" t="s">
        <v>18</v>
      </c>
      <c r="B4371" s="4">
        <v>962</v>
      </c>
      <c r="D4371"/>
    </row>
    <row r="4372" spans="1:4" x14ac:dyDescent="0.3">
      <c r="A4372" s="4" t="s">
        <v>10</v>
      </c>
      <c r="B4372" s="4">
        <v>447</v>
      </c>
      <c r="D4372"/>
    </row>
    <row r="4373" spans="1:4" x14ac:dyDescent="0.3">
      <c r="A4373" s="4" t="s">
        <v>15</v>
      </c>
      <c r="B4373" s="4">
        <v>30</v>
      </c>
      <c r="D4373"/>
    </row>
    <row r="4374" spans="1:4" x14ac:dyDescent="0.3">
      <c r="A4374" s="4" t="s">
        <v>6</v>
      </c>
      <c r="B4374" s="4">
        <v>566</v>
      </c>
      <c r="D4374"/>
    </row>
    <row r="4375" spans="1:4" x14ac:dyDescent="0.3">
      <c r="A4375" s="4" t="s">
        <v>15</v>
      </c>
      <c r="B4375" s="4">
        <v>478</v>
      </c>
      <c r="D4375"/>
    </row>
    <row r="4376" spans="1:4" x14ac:dyDescent="0.3">
      <c r="A4376" s="4" t="s">
        <v>11</v>
      </c>
      <c r="B4376" s="4">
        <v>320</v>
      </c>
      <c r="D4376"/>
    </row>
    <row r="4377" spans="1:4" x14ac:dyDescent="0.3">
      <c r="A4377" s="4" t="s">
        <v>6</v>
      </c>
      <c r="B4377" s="4">
        <v>121</v>
      </c>
      <c r="D4377"/>
    </row>
    <row r="4378" spans="1:4" x14ac:dyDescent="0.3">
      <c r="A4378" s="4" t="s">
        <v>12</v>
      </c>
      <c r="B4378" s="4">
        <v>457</v>
      </c>
      <c r="D4378"/>
    </row>
    <row r="4379" spans="1:4" x14ac:dyDescent="0.3">
      <c r="A4379" s="4" t="s">
        <v>6</v>
      </c>
      <c r="B4379" s="4">
        <v>890</v>
      </c>
      <c r="D4379"/>
    </row>
    <row r="4380" spans="1:4" x14ac:dyDescent="0.3">
      <c r="A4380" s="4" t="s">
        <v>19</v>
      </c>
      <c r="B4380" s="4">
        <v>243</v>
      </c>
      <c r="D4380"/>
    </row>
    <row r="4381" spans="1:4" x14ac:dyDescent="0.3">
      <c r="A4381" s="4" t="s">
        <v>6</v>
      </c>
      <c r="B4381" s="4">
        <v>691</v>
      </c>
      <c r="D4381"/>
    </row>
    <row r="4382" spans="1:4" x14ac:dyDescent="0.3">
      <c r="A4382" s="4" t="s">
        <v>7</v>
      </c>
      <c r="B4382" s="4">
        <v>274</v>
      </c>
      <c r="D4382"/>
    </row>
    <row r="4383" spans="1:4" x14ac:dyDescent="0.3">
      <c r="A4383" s="4" t="s">
        <v>7</v>
      </c>
      <c r="B4383" s="4">
        <v>571</v>
      </c>
      <c r="D4383"/>
    </row>
    <row r="4384" spans="1:4" x14ac:dyDescent="0.3">
      <c r="A4384" s="4" t="s">
        <v>3</v>
      </c>
      <c r="B4384" s="4">
        <v>462</v>
      </c>
      <c r="D4384"/>
    </row>
    <row r="4385" spans="1:4" x14ac:dyDescent="0.3">
      <c r="A4385" s="4" t="s">
        <v>7</v>
      </c>
      <c r="B4385" s="4">
        <v>229</v>
      </c>
      <c r="D4385"/>
    </row>
    <row r="4386" spans="1:4" x14ac:dyDescent="0.3">
      <c r="A4386" s="4" t="s">
        <v>17</v>
      </c>
      <c r="B4386" s="4">
        <v>324</v>
      </c>
      <c r="D4386"/>
    </row>
    <row r="4387" spans="1:4" x14ac:dyDescent="0.3">
      <c r="A4387" s="4" t="s">
        <v>10</v>
      </c>
      <c r="B4387" s="4">
        <v>691</v>
      </c>
      <c r="D4387"/>
    </row>
    <row r="4388" spans="1:4" x14ac:dyDescent="0.3">
      <c r="A4388" s="4" t="s">
        <v>15</v>
      </c>
      <c r="B4388" s="4">
        <v>461</v>
      </c>
      <c r="D4388"/>
    </row>
    <row r="4389" spans="1:4" x14ac:dyDescent="0.3">
      <c r="A4389" s="4" t="s">
        <v>19</v>
      </c>
      <c r="B4389" s="4">
        <v>218</v>
      </c>
      <c r="D4389"/>
    </row>
    <row r="4390" spans="1:4" x14ac:dyDescent="0.3">
      <c r="A4390" s="4" t="s">
        <v>4</v>
      </c>
      <c r="B4390" s="4">
        <v>699</v>
      </c>
      <c r="D4390"/>
    </row>
    <row r="4391" spans="1:4" x14ac:dyDescent="0.3">
      <c r="A4391" s="4" t="s">
        <v>10</v>
      </c>
      <c r="B4391" s="4">
        <v>115</v>
      </c>
      <c r="D4391"/>
    </row>
    <row r="4392" spans="1:4" x14ac:dyDescent="0.3">
      <c r="A4392" s="4" t="s">
        <v>18</v>
      </c>
      <c r="B4392" s="4">
        <v>236</v>
      </c>
      <c r="D4392"/>
    </row>
    <row r="4393" spans="1:4" x14ac:dyDescent="0.3">
      <c r="A4393" s="4" t="s">
        <v>7</v>
      </c>
      <c r="B4393" s="4">
        <v>347</v>
      </c>
      <c r="D4393"/>
    </row>
    <row r="4394" spans="1:4" x14ac:dyDescent="0.3">
      <c r="A4394" s="4" t="s">
        <v>16</v>
      </c>
      <c r="B4394" s="4">
        <v>929</v>
      </c>
      <c r="D4394"/>
    </row>
    <row r="4395" spans="1:4" x14ac:dyDescent="0.3">
      <c r="A4395" s="4" t="s">
        <v>7</v>
      </c>
      <c r="B4395" s="4">
        <v>715</v>
      </c>
      <c r="D4395"/>
    </row>
    <row r="4396" spans="1:4" x14ac:dyDescent="0.3">
      <c r="A4396" s="4" t="s">
        <v>19</v>
      </c>
      <c r="B4396" s="4">
        <v>406</v>
      </c>
      <c r="D4396"/>
    </row>
    <row r="4397" spans="1:4" x14ac:dyDescent="0.3">
      <c r="A4397" s="4" t="s">
        <v>15</v>
      </c>
      <c r="B4397" s="4">
        <v>993</v>
      </c>
      <c r="D4397"/>
    </row>
    <row r="4398" spans="1:4" x14ac:dyDescent="0.3">
      <c r="A4398" s="4" t="s">
        <v>10</v>
      </c>
      <c r="B4398" s="4">
        <v>478</v>
      </c>
      <c r="D4398"/>
    </row>
    <row r="4399" spans="1:4" x14ac:dyDescent="0.3">
      <c r="A4399" s="4" t="s">
        <v>12</v>
      </c>
      <c r="B4399" s="4" t="e">
        <v>#N/A</v>
      </c>
      <c r="D4399"/>
    </row>
    <row r="4400" spans="1:4" x14ac:dyDescent="0.3">
      <c r="A4400" s="4" t="s">
        <v>14</v>
      </c>
      <c r="B4400" s="4">
        <v>342</v>
      </c>
      <c r="D4400"/>
    </row>
    <row r="4401" spans="1:4" x14ac:dyDescent="0.3">
      <c r="A4401" s="4" t="s">
        <v>7</v>
      </c>
      <c r="B4401" s="4" t="e">
        <v>#REF!</v>
      </c>
      <c r="D4401"/>
    </row>
    <row r="4402" spans="1:4" x14ac:dyDescent="0.3">
      <c r="A4402" s="4" t="s">
        <v>4</v>
      </c>
      <c r="B4402" s="4">
        <v>671</v>
      </c>
      <c r="D4402"/>
    </row>
    <row r="4403" spans="1:4" x14ac:dyDescent="0.3">
      <c r="A4403" s="4" t="s">
        <v>18</v>
      </c>
      <c r="B4403" s="4">
        <v>655</v>
      </c>
      <c r="D4403"/>
    </row>
    <row r="4404" spans="1:4" x14ac:dyDescent="0.3">
      <c r="A4404" s="4" t="s">
        <v>15</v>
      </c>
      <c r="B4404" s="4">
        <v>970</v>
      </c>
      <c r="D4404"/>
    </row>
    <row r="4405" spans="1:4" x14ac:dyDescent="0.3">
      <c r="A4405" s="4" t="s">
        <v>4</v>
      </c>
      <c r="B4405" s="4">
        <v>547</v>
      </c>
      <c r="D4405"/>
    </row>
    <row r="4406" spans="1:4" x14ac:dyDescent="0.3">
      <c r="A4406" s="4" t="s">
        <v>7</v>
      </c>
      <c r="B4406" s="4">
        <v>698</v>
      </c>
      <c r="D4406"/>
    </row>
    <row r="4407" spans="1:4" x14ac:dyDescent="0.3">
      <c r="A4407" s="4" t="s">
        <v>8</v>
      </c>
      <c r="B4407" s="4">
        <v>144</v>
      </c>
      <c r="D4407"/>
    </row>
    <row r="4408" spans="1:4" x14ac:dyDescent="0.3">
      <c r="A4408" s="4" t="s">
        <v>9</v>
      </c>
      <c r="B4408" s="4">
        <v>511</v>
      </c>
      <c r="D4408"/>
    </row>
    <row r="4409" spans="1:4" x14ac:dyDescent="0.3">
      <c r="A4409" s="4" t="s">
        <v>15</v>
      </c>
      <c r="B4409" s="4">
        <v>690</v>
      </c>
      <c r="D4409"/>
    </row>
    <row r="4410" spans="1:4" x14ac:dyDescent="0.3">
      <c r="A4410" s="4" t="s">
        <v>4</v>
      </c>
      <c r="B4410" s="4">
        <v>447</v>
      </c>
      <c r="D4410"/>
    </row>
    <row r="4411" spans="1:4" x14ac:dyDescent="0.3">
      <c r="A4411" s="4" t="s">
        <v>10</v>
      </c>
      <c r="B4411" s="4">
        <v>26</v>
      </c>
      <c r="D4411"/>
    </row>
    <row r="4412" spans="1:4" x14ac:dyDescent="0.3">
      <c r="A4412" s="4" t="s">
        <v>6</v>
      </c>
      <c r="B4412" s="4">
        <v>611</v>
      </c>
      <c r="D4412"/>
    </row>
    <row r="4413" spans="1:4" x14ac:dyDescent="0.3">
      <c r="A4413" s="4" t="s">
        <v>13</v>
      </c>
      <c r="B4413" s="4">
        <v>300</v>
      </c>
      <c r="D4413"/>
    </row>
    <row r="4414" spans="1:4" x14ac:dyDescent="0.3">
      <c r="A4414" s="4" t="s">
        <v>14</v>
      </c>
      <c r="B4414" s="4">
        <v>475</v>
      </c>
      <c r="D4414"/>
    </row>
    <row r="4415" spans="1:4" x14ac:dyDescent="0.3">
      <c r="A4415" s="4" t="s">
        <v>17</v>
      </c>
      <c r="B4415" s="4">
        <v>797</v>
      </c>
      <c r="D4415"/>
    </row>
    <row r="4416" spans="1:4" x14ac:dyDescent="0.3">
      <c r="A4416" s="4" t="s">
        <v>4</v>
      </c>
      <c r="B4416" s="4">
        <v>839</v>
      </c>
      <c r="D4416"/>
    </row>
    <row r="4417" spans="1:4" x14ac:dyDescent="0.3">
      <c r="A4417" s="4" t="s">
        <v>8</v>
      </c>
      <c r="B4417" s="4">
        <v>775</v>
      </c>
      <c r="D4417"/>
    </row>
    <row r="4418" spans="1:4" x14ac:dyDescent="0.3">
      <c r="A4418" s="4" t="s">
        <v>10</v>
      </c>
      <c r="B4418" s="4">
        <v>307</v>
      </c>
      <c r="D4418"/>
    </row>
    <row r="4419" spans="1:4" x14ac:dyDescent="0.3">
      <c r="A4419" s="4" t="s">
        <v>12</v>
      </c>
      <c r="B4419" s="4">
        <v>189</v>
      </c>
      <c r="D4419"/>
    </row>
    <row r="4420" spans="1:4" x14ac:dyDescent="0.3">
      <c r="A4420" s="4" t="s">
        <v>4</v>
      </c>
      <c r="B4420" s="4">
        <v>686</v>
      </c>
      <c r="D4420"/>
    </row>
    <row r="4421" spans="1:4" x14ac:dyDescent="0.3">
      <c r="A4421" s="4" t="s">
        <v>10</v>
      </c>
      <c r="B4421" s="4">
        <v>866</v>
      </c>
      <c r="D4421"/>
    </row>
    <row r="4422" spans="1:4" x14ac:dyDescent="0.3">
      <c r="A4422" s="4" t="s">
        <v>15</v>
      </c>
      <c r="B4422" s="4">
        <v>149</v>
      </c>
      <c r="D4422"/>
    </row>
    <row r="4423" spans="1:4" x14ac:dyDescent="0.3">
      <c r="A4423" s="4" t="s">
        <v>6</v>
      </c>
      <c r="B4423" s="4">
        <v>652</v>
      </c>
      <c r="D4423"/>
    </row>
    <row r="4424" spans="1:4" x14ac:dyDescent="0.3">
      <c r="A4424" s="4" t="s">
        <v>19</v>
      </c>
      <c r="B4424" s="4">
        <v>198</v>
      </c>
      <c r="D4424"/>
    </row>
    <row r="4425" spans="1:4" x14ac:dyDescent="0.3">
      <c r="A4425" s="4" t="s">
        <v>8</v>
      </c>
      <c r="B4425" s="4">
        <v>519</v>
      </c>
      <c r="D4425"/>
    </row>
    <row r="4426" spans="1:4" x14ac:dyDescent="0.3">
      <c r="A4426" s="4" t="s">
        <v>12</v>
      </c>
      <c r="B4426" s="4">
        <v>194</v>
      </c>
      <c r="D4426"/>
    </row>
    <row r="4427" spans="1:4" x14ac:dyDescent="0.3">
      <c r="A4427" s="4" t="s">
        <v>14</v>
      </c>
      <c r="B4427" s="4">
        <v>882</v>
      </c>
      <c r="D4427"/>
    </row>
    <row r="4428" spans="1:4" x14ac:dyDescent="0.3">
      <c r="A4428" s="4" t="s">
        <v>18</v>
      </c>
      <c r="B4428" s="4">
        <v>756</v>
      </c>
      <c r="D4428"/>
    </row>
    <row r="4429" spans="1:4" x14ac:dyDescent="0.3">
      <c r="A4429" s="4" t="s">
        <v>10</v>
      </c>
      <c r="B4429" s="4">
        <v>946</v>
      </c>
      <c r="D4429"/>
    </row>
    <row r="4430" spans="1:4" x14ac:dyDescent="0.3">
      <c r="A4430" s="4" t="s">
        <v>15</v>
      </c>
      <c r="B4430" s="4">
        <v>416</v>
      </c>
      <c r="D4430"/>
    </row>
    <row r="4431" spans="1:4" x14ac:dyDescent="0.3">
      <c r="A4431" s="4" t="s">
        <v>7</v>
      </c>
      <c r="B4431" s="4">
        <v>820</v>
      </c>
      <c r="D4431"/>
    </row>
    <row r="4432" spans="1:4" x14ac:dyDescent="0.3">
      <c r="A4432" s="4" t="s">
        <v>7</v>
      </c>
      <c r="B4432" s="4">
        <v>438</v>
      </c>
      <c r="D4432"/>
    </row>
    <row r="4433" spans="1:4" x14ac:dyDescent="0.3">
      <c r="A4433" s="4" t="s">
        <v>11</v>
      </c>
      <c r="B4433" s="4">
        <v>539</v>
      </c>
      <c r="D4433"/>
    </row>
    <row r="4434" spans="1:4" x14ac:dyDescent="0.3">
      <c r="A4434" s="4" t="s">
        <v>8</v>
      </c>
      <c r="B4434" s="4">
        <v>788</v>
      </c>
      <c r="D4434"/>
    </row>
    <row r="4435" spans="1:4" x14ac:dyDescent="0.3">
      <c r="A4435" s="4" t="s">
        <v>16</v>
      </c>
      <c r="B4435" s="4">
        <v>288</v>
      </c>
      <c r="D4435"/>
    </row>
    <row r="4436" spans="1:4" x14ac:dyDescent="0.3">
      <c r="A4436" s="4" t="s">
        <v>7</v>
      </c>
      <c r="B4436" s="4">
        <v>835</v>
      </c>
      <c r="D4436"/>
    </row>
    <row r="4437" spans="1:4" x14ac:dyDescent="0.3">
      <c r="A4437" s="4" t="s">
        <v>9</v>
      </c>
      <c r="B4437" s="4">
        <v>710</v>
      </c>
      <c r="D4437"/>
    </row>
    <row r="4438" spans="1:4" x14ac:dyDescent="0.3">
      <c r="A4438" s="4" t="s">
        <v>15</v>
      </c>
      <c r="B4438" s="4">
        <v>296</v>
      </c>
      <c r="D4438"/>
    </row>
    <row r="4439" spans="1:4" x14ac:dyDescent="0.3">
      <c r="A4439" s="4" t="s">
        <v>10</v>
      </c>
      <c r="B4439" s="4">
        <v>803</v>
      </c>
      <c r="D4439"/>
    </row>
    <row r="4440" spans="1:4" x14ac:dyDescent="0.3">
      <c r="A4440" s="4" t="s">
        <v>10</v>
      </c>
      <c r="B4440" s="4">
        <v>981</v>
      </c>
      <c r="D4440"/>
    </row>
    <row r="4441" spans="1:4" x14ac:dyDescent="0.3">
      <c r="A4441" s="4" t="s">
        <v>16</v>
      </c>
      <c r="B4441" s="4">
        <v>284</v>
      </c>
      <c r="D4441"/>
    </row>
    <row r="4442" spans="1:4" x14ac:dyDescent="0.3">
      <c r="A4442" s="4" t="s">
        <v>19</v>
      </c>
      <c r="B4442" s="4">
        <v>653</v>
      </c>
      <c r="D4442"/>
    </row>
    <row r="4443" spans="1:4" x14ac:dyDescent="0.3">
      <c r="A4443" s="4" t="s">
        <v>13</v>
      </c>
      <c r="B4443" s="4">
        <v>583</v>
      </c>
      <c r="D4443"/>
    </row>
    <row r="4444" spans="1:4" x14ac:dyDescent="0.3">
      <c r="A4444" s="4" t="s">
        <v>10</v>
      </c>
      <c r="B4444" s="4">
        <v>737</v>
      </c>
      <c r="D4444"/>
    </row>
    <row r="4445" spans="1:4" x14ac:dyDescent="0.3">
      <c r="A4445" s="4" t="s">
        <v>10</v>
      </c>
      <c r="B4445" s="4">
        <v>834</v>
      </c>
      <c r="D4445"/>
    </row>
    <row r="4446" spans="1:4" x14ac:dyDescent="0.3">
      <c r="A4446" s="4" t="s">
        <v>14</v>
      </c>
      <c r="B4446" s="4">
        <v>242</v>
      </c>
      <c r="D4446"/>
    </row>
    <row r="4447" spans="1:4" x14ac:dyDescent="0.3">
      <c r="A4447" s="4" t="s">
        <v>11</v>
      </c>
      <c r="B4447" s="4">
        <v>687</v>
      </c>
      <c r="D4447"/>
    </row>
    <row r="4448" spans="1:4" x14ac:dyDescent="0.3">
      <c r="A4448" s="4" t="s">
        <v>16</v>
      </c>
      <c r="B4448" s="4">
        <v>343</v>
      </c>
      <c r="D4448"/>
    </row>
    <row r="4449" spans="1:4" x14ac:dyDescent="0.3">
      <c r="A4449" s="4" t="s">
        <v>7</v>
      </c>
      <c r="B4449" s="4">
        <v>392</v>
      </c>
      <c r="D4449"/>
    </row>
    <row r="4450" spans="1:4" x14ac:dyDescent="0.3">
      <c r="A4450" s="4" t="s">
        <v>12</v>
      </c>
      <c r="B4450" s="4">
        <v>532</v>
      </c>
      <c r="D4450"/>
    </row>
    <row r="4451" spans="1:4" x14ac:dyDescent="0.3">
      <c r="A4451" s="4" t="s">
        <v>11</v>
      </c>
      <c r="B4451" s="4">
        <v>669</v>
      </c>
      <c r="D4451"/>
    </row>
    <row r="4452" spans="1:4" x14ac:dyDescent="0.3">
      <c r="A4452" s="4" t="s">
        <v>9</v>
      </c>
      <c r="B4452" s="4">
        <v>121</v>
      </c>
      <c r="D4452"/>
    </row>
    <row r="4453" spans="1:4" x14ac:dyDescent="0.3">
      <c r="A4453" s="4" t="s">
        <v>9</v>
      </c>
      <c r="B4453" s="4">
        <v>959</v>
      </c>
      <c r="D4453"/>
    </row>
    <row r="4454" spans="1:4" x14ac:dyDescent="0.3">
      <c r="A4454" s="4" t="s">
        <v>19</v>
      </c>
      <c r="B4454" s="4">
        <v>542</v>
      </c>
      <c r="D4454"/>
    </row>
    <row r="4455" spans="1:4" x14ac:dyDescent="0.3">
      <c r="A4455" s="4" t="s">
        <v>10</v>
      </c>
      <c r="B4455" s="4">
        <v>688</v>
      </c>
      <c r="D4455"/>
    </row>
    <row r="4456" spans="1:4" x14ac:dyDescent="0.3">
      <c r="A4456" s="4" t="s">
        <v>7</v>
      </c>
      <c r="B4456" s="4">
        <v>574</v>
      </c>
      <c r="D4456"/>
    </row>
    <row r="4457" spans="1:4" x14ac:dyDescent="0.3">
      <c r="A4457" s="4" t="s">
        <v>6</v>
      </c>
      <c r="B4457" s="4">
        <v>350</v>
      </c>
      <c r="D4457"/>
    </row>
    <row r="4458" spans="1:4" x14ac:dyDescent="0.3">
      <c r="A4458" s="4" t="s">
        <v>3</v>
      </c>
      <c r="B4458" s="4">
        <v>600</v>
      </c>
      <c r="D4458"/>
    </row>
    <row r="4459" spans="1:4" x14ac:dyDescent="0.3">
      <c r="A4459" s="4" t="s">
        <v>12</v>
      </c>
      <c r="B4459" s="4">
        <v>516</v>
      </c>
      <c r="D4459"/>
    </row>
    <row r="4460" spans="1:4" x14ac:dyDescent="0.3">
      <c r="A4460" s="4" t="s">
        <v>3</v>
      </c>
      <c r="B4460" s="4">
        <v>592</v>
      </c>
      <c r="D4460"/>
    </row>
    <row r="4461" spans="1:4" x14ac:dyDescent="0.3">
      <c r="A4461" s="4" t="s">
        <v>19</v>
      </c>
      <c r="B4461" s="4">
        <v>896</v>
      </c>
      <c r="D4461"/>
    </row>
    <row r="4462" spans="1:4" x14ac:dyDescent="0.3">
      <c r="A4462" s="4" t="s">
        <v>10</v>
      </c>
      <c r="B4462" s="4">
        <v>933</v>
      </c>
      <c r="D4462"/>
    </row>
    <row r="4463" spans="1:4" x14ac:dyDescent="0.3">
      <c r="A4463" s="4" t="s">
        <v>12</v>
      </c>
      <c r="B4463" s="4">
        <v>786</v>
      </c>
      <c r="D4463"/>
    </row>
    <row r="4464" spans="1:4" x14ac:dyDescent="0.3">
      <c r="A4464" s="4" t="s">
        <v>9</v>
      </c>
      <c r="B4464" s="4">
        <v>813</v>
      </c>
      <c r="D4464"/>
    </row>
    <row r="4465" spans="1:4" x14ac:dyDescent="0.3">
      <c r="A4465" s="4" t="s">
        <v>10</v>
      </c>
      <c r="B4465" s="4">
        <v>698</v>
      </c>
      <c r="D4465"/>
    </row>
    <row r="4466" spans="1:4" x14ac:dyDescent="0.3">
      <c r="A4466" s="4" t="s">
        <v>19</v>
      </c>
      <c r="B4466" s="4">
        <v>736</v>
      </c>
      <c r="D4466"/>
    </row>
    <row r="4467" spans="1:4" x14ac:dyDescent="0.3">
      <c r="A4467" s="4" t="s">
        <v>12</v>
      </c>
      <c r="B4467" s="4">
        <v>117</v>
      </c>
      <c r="D4467"/>
    </row>
    <row r="4468" spans="1:4" x14ac:dyDescent="0.3">
      <c r="A4468" s="4" t="s">
        <v>8</v>
      </c>
      <c r="B4468" s="4">
        <v>552</v>
      </c>
      <c r="D4468"/>
    </row>
    <row r="4469" spans="1:4" x14ac:dyDescent="0.3">
      <c r="A4469" s="4" t="s">
        <v>8</v>
      </c>
      <c r="B4469" s="4">
        <v>947</v>
      </c>
      <c r="D4469"/>
    </row>
    <row r="4470" spans="1:4" x14ac:dyDescent="0.3">
      <c r="A4470" s="4" t="s">
        <v>19</v>
      </c>
      <c r="B4470" s="4">
        <v>551</v>
      </c>
      <c r="D4470"/>
    </row>
    <row r="4471" spans="1:4" x14ac:dyDescent="0.3">
      <c r="A4471" s="4" t="s">
        <v>3</v>
      </c>
      <c r="B4471" s="4">
        <v>653</v>
      </c>
      <c r="D4471"/>
    </row>
    <row r="4472" spans="1:4" x14ac:dyDescent="0.3">
      <c r="A4472" s="4" t="s">
        <v>12</v>
      </c>
      <c r="B4472" s="4">
        <v>52</v>
      </c>
      <c r="D4472"/>
    </row>
    <row r="4473" spans="1:4" x14ac:dyDescent="0.3">
      <c r="A4473" s="4" t="s">
        <v>10</v>
      </c>
      <c r="B4473" s="4">
        <v>693</v>
      </c>
      <c r="D4473"/>
    </row>
    <row r="4474" spans="1:4" x14ac:dyDescent="0.3">
      <c r="A4474" s="4" t="s">
        <v>6</v>
      </c>
      <c r="B4474" s="4">
        <v>645</v>
      </c>
      <c r="D4474"/>
    </row>
    <row r="4475" spans="1:4" x14ac:dyDescent="0.3">
      <c r="A4475" s="4" t="s">
        <v>12</v>
      </c>
      <c r="B4475" s="4">
        <v>562</v>
      </c>
      <c r="D4475"/>
    </row>
    <row r="4476" spans="1:4" x14ac:dyDescent="0.3">
      <c r="A4476" s="4" t="s">
        <v>18</v>
      </c>
      <c r="B4476" s="4">
        <v>518</v>
      </c>
      <c r="D4476"/>
    </row>
    <row r="4477" spans="1:4" x14ac:dyDescent="0.3">
      <c r="A4477" s="4" t="s">
        <v>13</v>
      </c>
      <c r="B4477" s="4">
        <v>644</v>
      </c>
      <c r="D4477"/>
    </row>
    <row r="4478" spans="1:4" x14ac:dyDescent="0.3">
      <c r="A4478" s="4" t="s">
        <v>17</v>
      </c>
      <c r="B4478" s="4">
        <v>669</v>
      </c>
      <c r="D4478"/>
    </row>
    <row r="4479" spans="1:4" x14ac:dyDescent="0.3">
      <c r="A4479" s="4" t="s">
        <v>19</v>
      </c>
      <c r="B4479" s="4">
        <v>274</v>
      </c>
      <c r="D4479"/>
    </row>
    <row r="4480" spans="1:4" x14ac:dyDescent="0.3">
      <c r="A4480" s="4" t="s">
        <v>17</v>
      </c>
      <c r="B4480" s="4" t="e">
        <v>#N/A</v>
      </c>
      <c r="D4480"/>
    </row>
    <row r="4481" spans="1:4" x14ac:dyDescent="0.3">
      <c r="A4481" s="4" t="s">
        <v>3</v>
      </c>
      <c r="B4481" s="4">
        <v>799</v>
      </c>
      <c r="D4481"/>
    </row>
    <row r="4482" spans="1:4" x14ac:dyDescent="0.3">
      <c r="A4482" s="4" t="s">
        <v>12</v>
      </c>
      <c r="B4482" s="4">
        <v>543</v>
      </c>
      <c r="D4482"/>
    </row>
    <row r="4483" spans="1:4" x14ac:dyDescent="0.3">
      <c r="A4483" s="4" t="s">
        <v>8</v>
      </c>
      <c r="B4483" s="4">
        <v>945</v>
      </c>
      <c r="D4483"/>
    </row>
    <row r="4484" spans="1:4" x14ac:dyDescent="0.3">
      <c r="A4484" s="4" t="s">
        <v>13</v>
      </c>
      <c r="B4484" s="4">
        <v>707</v>
      </c>
      <c r="D4484"/>
    </row>
    <row r="4485" spans="1:4" x14ac:dyDescent="0.3">
      <c r="A4485" s="4" t="s">
        <v>16</v>
      </c>
      <c r="B4485" s="4">
        <v>809</v>
      </c>
      <c r="D4485"/>
    </row>
    <row r="4486" spans="1:4" x14ac:dyDescent="0.3">
      <c r="A4486" s="4" t="s">
        <v>12</v>
      </c>
      <c r="B4486" s="4">
        <v>810</v>
      </c>
      <c r="D4486"/>
    </row>
    <row r="4487" spans="1:4" x14ac:dyDescent="0.3">
      <c r="A4487" s="4" t="s">
        <v>15</v>
      </c>
      <c r="B4487" s="4">
        <v>288</v>
      </c>
      <c r="D4487"/>
    </row>
    <row r="4488" spans="1:4" x14ac:dyDescent="0.3">
      <c r="A4488" s="4" t="s">
        <v>11</v>
      </c>
      <c r="B4488" s="4">
        <v>924</v>
      </c>
      <c r="D4488"/>
    </row>
    <row r="4489" spans="1:4" x14ac:dyDescent="0.3">
      <c r="A4489" s="4" t="s">
        <v>6</v>
      </c>
      <c r="B4489" s="4">
        <v>676</v>
      </c>
      <c r="D4489"/>
    </row>
    <row r="4490" spans="1:4" x14ac:dyDescent="0.3">
      <c r="A4490" s="4" t="s">
        <v>18</v>
      </c>
      <c r="B4490" s="4">
        <v>924</v>
      </c>
      <c r="D4490"/>
    </row>
    <row r="4491" spans="1:4" x14ac:dyDescent="0.3">
      <c r="A4491" s="4" t="s">
        <v>9</v>
      </c>
      <c r="B4491" s="4">
        <v>387</v>
      </c>
      <c r="D4491"/>
    </row>
    <row r="4492" spans="1:4" x14ac:dyDescent="0.3">
      <c r="A4492" s="4" t="s">
        <v>11</v>
      </c>
      <c r="B4492" s="4">
        <v>534</v>
      </c>
      <c r="D4492"/>
    </row>
    <row r="4493" spans="1:4" x14ac:dyDescent="0.3">
      <c r="A4493" s="4" t="s">
        <v>12</v>
      </c>
      <c r="B4493" s="4">
        <v>806</v>
      </c>
      <c r="D4493"/>
    </row>
    <row r="4494" spans="1:4" x14ac:dyDescent="0.3">
      <c r="A4494" s="4" t="s">
        <v>14</v>
      </c>
      <c r="B4494" s="4">
        <v>174</v>
      </c>
      <c r="D4494"/>
    </row>
    <row r="4495" spans="1:4" x14ac:dyDescent="0.3">
      <c r="A4495" s="4" t="s">
        <v>9</v>
      </c>
      <c r="B4495" s="4">
        <v>299</v>
      </c>
      <c r="D4495"/>
    </row>
    <row r="4496" spans="1:4" x14ac:dyDescent="0.3">
      <c r="A4496" s="4" t="s">
        <v>10</v>
      </c>
      <c r="B4496" s="4">
        <v>988</v>
      </c>
      <c r="D4496"/>
    </row>
    <row r="4497" spans="1:4" x14ac:dyDescent="0.3">
      <c r="A4497" s="4" t="s">
        <v>15</v>
      </c>
      <c r="B4497" s="4">
        <v>546</v>
      </c>
      <c r="D4497"/>
    </row>
    <row r="4498" spans="1:4" x14ac:dyDescent="0.3">
      <c r="A4498" s="4" t="s">
        <v>19</v>
      </c>
      <c r="B4498" s="4">
        <v>801</v>
      </c>
      <c r="D4498"/>
    </row>
    <row r="4499" spans="1:4" x14ac:dyDescent="0.3">
      <c r="A4499" s="4" t="s">
        <v>6</v>
      </c>
      <c r="B4499" s="4">
        <v>874</v>
      </c>
      <c r="D4499"/>
    </row>
    <row r="4500" spans="1:4" x14ac:dyDescent="0.3">
      <c r="A4500" s="4" t="s">
        <v>4</v>
      </c>
      <c r="B4500" s="4">
        <v>183</v>
      </c>
      <c r="D4500"/>
    </row>
    <row r="4501" spans="1:4" x14ac:dyDescent="0.3">
      <c r="A4501" s="4" t="s">
        <v>11</v>
      </c>
      <c r="B4501" s="4">
        <v>841</v>
      </c>
      <c r="D4501"/>
    </row>
    <row r="4502" spans="1:4" x14ac:dyDescent="0.3">
      <c r="A4502" s="4" t="s">
        <v>17</v>
      </c>
      <c r="B4502" s="4">
        <v>999</v>
      </c>
      <c r="D4502"/>
    </row>
    <row r="4503" spans="1:4" x14ac:dyDescent="0.3">
      <c r="A4503" s="4" t="s">
        <v>3</v>
      </c>
      <c r="B4503" s="4">
        <v>427</v>
      </c>
      <c r="D4503"/>
    </row>
    <row r="4504" spans="1:4" x14ac:dyDescent="0.3">
      <c r="A4504" s="4" t="s">
        <v>12</v>
      </c>
      <c r="B4504" s="4">
        <v>708</v>
      </c>
      <c r="D4504"/>
    </row>
    <row r="4505" spans="1:4" x14ac:dyDescent="0.3">
      <c r="A4505" s="4" t="s">
        <v>9</v>
      </c>
      <c r="B4505" s="4">
        <v>543</v>
      </c>
      <c r="D4505"/>
    </row>
    <row r="4506" spans="1:4" x14ac:dyDescent="0.3">
      <c r="A4506" s="4" t="s">
        <v>15</v>
      </c>
      <c r="B4506" s="4">
        <v>611</v>
      </c>
      <c r="D4506"/>
    </row>
    <row r="4507" spans="1:4" x14ac:dyDescent="0.3">
      <c r="A4507" s="4" t="s">
        <v>16</v>
      </c>
      <c r="B4507" s="4">
        <v>900</v>
      </c>
      <c r="D4507"/>
    </row>
    <row r="4508" spans="1:4" x14ac:dyDescent="0.3">
      <c r="A4508" s="4" t="s">
        <v>12</v>
      </c>
      <c r="B4508" s="4">
        <v>772</v>
      </c>
      <c r="D4508"/>
    </row>
    <row r="4509" spans="1:4" x14ac:dyDescent="0.3">
      <c r="A4509" s="4" t="s">
        <v>4</v>
      </c>
      <c r="B4509" s="4">
        <v>898</v>
      </c>
      <c r="D4509"/>
    </row>
    <row r="4510" spans="1:4" x14ac:dyDescent="0.3">
      <c r="A4510" s="4" t="s">
        <v>10</v>
      </c>
      <c r="B4510" s="4">
        <v>535</v>
      </c>
      <c r="D4510"/>
    </row>
    <row r="4511" spans="1:4" x14ac:dyDescent="0.3">
      <c r="A4511" s="4" t="s">
        <v>7</v>
      </c>
      <c r="B4511" s="4">
        <v>295</v>
      </c>
      <c r="D4511"/>
    </row>
    <row r="4512" spans="1:4" x14ac:dyDescent="0.3">
      <c r="A4512" s="4" t="s">
        <v>3</v>
      </c>
      <c r="B4512" s="4">
        <v>870</v>
      </c>
      <c r="D4512"/>
    </row>
    <row r="4513" spans="1:4" x14ac:dyDescent="0.3">
      <c r="A4513" s="4" t="s">
        <v>3</v>
      </c>
      <c r="B4513" s="4">
        <v>146</v>
      </c>
      <c r="D4513"/>
    </row>
    <row r="4514" spans="1:4" x14ac:dyDescent="0.3">
      <c r="A4514" s="4" t="s">
        <v>13</v>
      </c>
      <c r="B4514" s="4">
        <v>156</v>
      </c>
      <c r="D4514"/>
    </row>
    <row r="4515" spans="1:4" x14ac:dyDescent="0.3">
      <c r="A4515" s="4" t="s">
        <v>19</v>
      </c>
      <c r="B4515" s="4">
        <v>268</v>
      </c>
      <c r="D4515"/>
    </row>
    <row r="4516" spans="1:4" x14ac:dyDescent="0.3">
      <c r="A4516" s="4" t="s">
        <v>3</v>
      </c>
      <c r="B4516" s="4">
        <v>526</v>
      </c>
      <c r="D4516"/>
    </row>
    <row r="4517" spans="1:4" x14ac:dyDescent="0.3">
      <c r="A4517" s="4" t="s">
        <v>10</v>
      </c>
      <c r="B4517" s="4">
        <v>467</v>
      </c>
      <c r="D4517"/>
    </row>
    <row r="4518" spans="1:4" x14ac:dyDescent="0.3">
      <c r="A4518" s="4" t="s">
        <v>13</v>
      </c>
      <c r="B4518" s="4">
        <v>568</v>
      </c>
      <c r="D4518"/>
    </row>
    <row r="4519" spans="1:4" x14ac:dyDescent="0.3">
      <c r="A4519" s="4" t="s">
        <v>15</v>
      </c>
      <c r="B4519" s="4">
        <v>286</v>
      </c>
      <c r="D4519"/>
    </row>
    <row r="4520" spans="1:4" x14ac:dyDescent="0.3">
      <c r="A4520" s="4" t="s">
        <v>12</v>
      </c>
      <c r="B4520" s="4">
        <v>938</v>
      </c>
      <c r="D4520"/>
    </row>
    <row r="4521" spans="1:4" x14ac:dyDescent="0.3">
      <c r="A4521" s="4" t="s">
        <v>10</v>
      </c>
      <c r="B4521" s="4">
        <v>938</v>
      </c>
      <c r="D4521"/>
    </row>
    <row r="4522" spans="1:4" x14ac:dyDescent="0.3">
      <c r="A4522" s="4" t="s">
        <v>6</v>
      </c>
      <c r="B4522" s="4">
        <v>551</v>
      </c>
      <c r="D4522"/>
    </row>
    <row r="4523" spans="1:4" x14ac:dyDescent="0.3">
      <c r="A4523" s="4" t="s">
        <v>11</v>
      </c>
      <c r="B4523" s="4">
        <v>541</v>
      </c>
      <c r="D4523"/>
    </row>
    <row r="4524" spans="1:4" x14ac:dyDescent="0.3">
      <c r="A4524" s="4" t="s">
        <v>14</v>
      </c>
      <c r="B4524" s="4">
        <v>231</v>
      </c>
      <c r="D4524"/>
    </row>
    <row r="4525" spans="1:4" x14ac:dyDescent="0.3">
      <c r="A4525" s="4" t="s">
        <v>18</v>
      </c>
      <c r="B4525" s="4">
        <v>347</v>
      </c>
      <c r="D4525"/>
    </row>
    <row r="4526" spans="1:4" x14ac:dyDescent="0.3">
      <c r="A4526" s="4" t="s">
        <v>18</v>
      </c>
      <c r="B4526" s="4">
        <v>914</v>
      </c>
      <c r="D4526"/>
    </row>
    <row r="4527" spans="1:4" x14ac:dyDescent="0.3">
      <c r="A4527" s="4" t="s">
        <v>9</v>
      </c>
      <c r="B4527" s="4">
        <v>509</v>
      </c>
      <c r="D4527"/>
    </row>
    <row r="4528" spans="1:4" x14ac:dyDescent="0.3">
      <c r="A4528" s="4" t="s">
        <v>11</v>
      </c>
      <c r="B4528" s="4">
        <v>547</v>
      </c>
      <c r="D4528"/>
    </row>
    <row r="4529" spans="1:4" x14ac:dyDescent="0.3">
      <c r="A4529" s="4" t="s">
        <v>18</v>
      </c>
      <c r="B4529" s="4">
        <v>716</v>
      </c>
      <c r="D4529"/>
    </row>
    <row r="4530" spans="1:4" x14ac:dyDescent="0.3">
      <c r="A4530" s="4" t="s">
        <v>17</v>
      </c>
      <c r="B4530" s="4">
        <v>416</v>
      </c>
      <c r="D4530"/>
    </row>
    <row r="4531" spans="1:4" x14ac:dyDescent="0.3">
      <c r="A4531" s="4" t="s">
        <v>12</v>
      </c>
      <c r="B4531" s="4">
        <v>457</v>
      </c>
      <c r="D4531"/>
    </row>
    <row r="4532" spans="1:4" x14ac:dyDescent="0.3">
      <c r="A4532" s="4" t="s">
        <v>4</v>
      </c>
      <c r="B4532" s="4">
        <v>602</v>
      </c>
      <c r="D4532"/>
    </row>
    <row r="4533" spans="1:4" x14ac:dyDescent="0.3">
      <c r="A4533" s="4" t="s">
        <v>16</v>
      </c>
      <c r="B4533" s="4">
        <v>153</v>
      </c>
      <c r="D4533"/>
    </row>
    <row r="4534" spans="1:4" x14ac:dyDescent="0.3">
      <c r="A4534" s="4" t="s">
        <v>8</v>
      </c>
      <c r="B4534" s="4">
        <v>856</v>
      </c>
      <c r="D4534"/>
    </row>
    <row r="4535" spans="1:4" x14ac:dyDescent="0.3">
      <c r="A4535" s="4" t="s">
        <v>13</v>
      </c>
      <c r="B4535" s="4">
        <v>164</v>
      </c>
      <c r="D4535"/>
    </row>
    <row r="4536" spans="1:4" x14ac:dyDescent="0.3">
      <c r="A4536" s="4" t="s">
        <v>10</v>
      </c>
      <c r="B4536" s="4">
        <v>766</v>
      </c>
      <c r="D4536"/>
    </row>
    <row r="4537" spans="1:4" x14ac:dyDescent="0.3">
      <c r="A4537" s="4" t="s">
        <v>14</v>
      </c>
      <c r="B4537" s="4">
        <v>836</v>
      </c>
      <c r="D4537"/>
    </row>
    <row r="4538" spans="1:4" x14ac:dyDescent="0.3">
      <c r="A4538" s="4" t="s">
        <v>18</v>
      </c>
      <c r="B4538" s="4">
        <v>151</v>
      </c>
      <c r="D4538"/>
    </row>
    <row r="4539" spans="1:4" x14ac:dyDescent="0.3">
      <c r="A4539" s="4" t="s">
        <v>7</v>
      </c>
      <c r="B4539" s="4">
        <v>669</v>
      </c>
      <c r="D4539"/>
    </row>
    <row r="4540" spans="1:4" x14ac:dyDescent="0.3">
      <c r="A4540" s="4" t="s">
        <v>4</v>
      </c>
      <c r="B4540" s="4">
        <v>816</v>
      </c>
      <c r="D4540"/>
    </row>
    <row r="4541" spans="1:4" x14ac:dyDescent="0.3">
      <c r="A4541" s="4" t="s">
        <v>7</v>
      </c>
      <c r="B4541" s="4">
        <v>405</v>
      </c>
      <c r="D4541"/>
    </row>
    <row r="4542" spans="1:4" x14ac:dyDescent="0.3">
      <c r="A4542" s="4" t="s">
        <v>3</v>
      </c>
      <c r="B4542" s="4">
        <v>295</v>
      </c>
      <c r="D4542"/>
    </row>
    <row r="4543" spans="1:4" x14ac:dyDescent="0.3">
      <c r="A4543" s="4" t="s">
        <v>3</v>
      </c>
      <c r="B4543" s="4">
        <v>718</v>
      </c>
      <c r="D4543"/>
    </row>
    <row r="4544" spans="1:4" x14ac:dyDescent="0.3">
      <c r="A4544" s="4" t="s">
        <v>7</v>
      </c>
      <c r="B4544" s="4">
        <v>759</v>
      </c>
      <c r="D4544"/>
    </row>
    <row r="4545" spans="1:4" x14ac:dyDescent="0.3">
      <c r="A4545" s="4" t="s">
        <v>13</v>
      </c>
      <c r="B4545" s="4">
        <v>314</v>
      </c>
      <c r="D4545"/>
    </row>
    <row r="4546" spans="1:4" x14ac:dyDescent="0.3">
      <c r="A4546" s="4" t="s">
        <v>10</v>
      </c>
      <c r="B4546" s="4">
        <v>766</v>
      </c>
      <c r="D4546"/>
    </row>
    <row r="4547" spans="1:4" x14ac:dyDescent="0.3">
      <c r="A4547" s="4" t="s">
        <v>14</v>
      </c>
      <c r="B4547" s="4">
        <v>997</v>
      </c>
      <c r="D4547"/>
    </row>
    <row r="4548" spans="1:4" x14ac:dyDescent="0.3">
      <c r="A4548" s="4" t="s">
        <v>12</v>
      </c>
      <c r="B4548" s="4">
        <v>134</v>
      </c>
      <c r="D4548"/>
    </row>
    <row r="4549" spans="1:4" x14ac:dyDescent="0.3">
      <c r="A4549" s="4" t="s">
        <v>6</v>
      </c>
      <c r="B4549" s="4">
        <v>905</v>
      </c>
      <c r="D4549"/>
    </row>
    <row r="4550" spans="1:4" x14ac:dyDescent="0.3">
      <c r="A4550" s="4" t="s">
        <v>12</v>
      </c>
      <c r="B4550" s="4">
        <v>840</v>
      </c>
      <c r="D4550"/>
    </row>
    <row r="4551" spans="1:4" x14ac:dyDescent="0.3">
      <c r="A4551" s="4" t="s">
        <v>16</v>
      </c>
      <c r="B4551" s="4">
        <v>277</v>
      </c>
      <c r="D4551"/>
    </row>
    <row r="4552" spans="1:4" x14ac:dyDescent="0.3">
      <c r="A4552" s="4" t="s">
        <v>9</v>
      </c>
      <c r="B4552" s="4" t="e">
        <v>#N/A</v>
      </c>
      <c r="D4552"/>
    </row>
    <row r="4553" spans="1:4" x14ac:dyDescent="0.3">
      <c r="A4553" s="4" t="s">
        <v>9</v>
      </c>
      <c r="B4553" s="4">
        <v>648</v>
      </c>
      <c r="D4553"/>
    </row>
    <row r="4554" spans="1:4" x14ac:dyDescent="0.3">
      <c r="A4554" s="4" t="s">
        <v>17</v>
      </c>
      <c r="B4554" s="4" t="e">
        <v>#REF!</v>
      </c>
      <c r="D4554"/>
    </row>
    <row r="4555" spans="1:4" x14ac:dyDescent="0.3">
      <c r="A4555" s="4" t="s">
        <v>6</v>
      </c>
      <c r="B4555" s="4">
        <v>329</v>
      </c>
      <c r="D4555"/>
    </row>
    <row r="4556" spans="1:4" x14ac:dyDescent="0.3">
      <c r="A4556" s="4" t="s">
        <v>17</v>
      </c>
      <c r="B4556" s="4">
        <v>982</v>
      </c>
      <c r="D4556"/>
    </row>
    <row r="4557" spans="1:4" x14ac:dyDescent="0.3">
      <c r="A4557" s="4" t="s">
        <v>9</v>
      </c>
      <c r="B4557" s="4" t="e">
        <v>#REF!</v>
      </c>
      <c r="D4557"/>
    </row>
    <row r="4558" spans="1:4" x14ac:dyDescent="0.3">
      <c r="A4558" s="4" t="s">
        <v>4</v>
      </c>
      <c r="B4558" s="4">
        <v>775</v>
      </c>
      <c r="D4558"/>
    </row>
    <row r="4559" spans="1:4" x14ac:dyDescent="0.3">
      <c r="A4559" s="4" t="s">
        <v>8</v>
      </c>
      <c r="B4559" s="4">
        <v>578</v>
      </c>
      <c r="D4559"/>
    </row>
    <row r="4560" spans="1:4" x14ac:dyDescent="0.3">
      <c r="A4560" s="4" t="s">
        <v>7</v>
      </c>
      <c r="B4560" s="4">
        <v>730</v>
      </c>
      <c r="D4560"/>
    </row>
    <row r="4561" spans="1:4" x14ac:dyDescent="0.3">
      <c r="A4561" s="4" t="s">
        <v>6</v>
      </c>
      <c r="B4561" s="4">
        <v>421</v>
      </c>
      <c r="D4561"/>
    </row>
    <row r="4562" spans="1:4" x14ac:dyDescent="0.3">
      <c r="A4562" s="4" t="s">
        <v>12</v>
      </c>
      <c r="B4562" s="4">
        <v>201</v>
      </c>
      <c r="D4562"/>
    </row>
    <row r="4563" spans="1:4" x14ac:dyDescent="0.3">
      <c r="A4563" s="4" t="s">
        <v>9</v>
      </c>
      <c r="B4563" s="4">
        <v>366</v>
      </c>
      <c r="D4563"/>
    </row>
    <row r="4564" spans="1:4" x14ac:dyDescent="0.3">
      <c r="A4564" s="4" t="s">
        <v>3</v>
      </c>
      <c r="B4564" s="4">
        <v>804</v>
      </c>
      <c r="D4564"/>
    </row>
    <row r="4565" spans="1:4" x14ac:dyDescent="0.3">
      <c r="A4565" s="4" t="s">
        <v>19</v>
      </c>
      <c r="B4565" s="4">
        <v>101</v>
      </c>
      <c r="D4565"/>
    </row>
    <row r="4566" spans="1:4" x14ac:dyDescent="0.3">
      <c r="A4566" s="4" t="s">
        <v>14</v>
      </c>
      <c r="B4566" s="4">
        <v>447</v>
      </c>
      <c r="D4566"/>
    </row>
    <row r="4567" spans="1:4" x14ac:dyDescent="0.3">
      <c r="A4567" s="4" t="s">
        <v>18</v>
      </c>
      <c r="B4567" s="4">
        <v>729</v>
      </c>
      <c r="D4567"/>
    </row>
    <row r="4568" spans="1:4" x14ac:dyDescent="0.3">
      <c r="A4568" s="4" t="s">
        <v>9</v>
      </c>
      <c r="B4568" s="4">
        <v>983</v>
      </c>
      <c r="D4568"/>
    </row>
    <row r="4569" spans="1:4" x14ac:dyDescent="0.3">
      <c r="A4569" s="4" t="s">
        <v>15</v>
      </c>
      <c r="B4569" s="4">
        <v>757</v>
      </c>
      <c r="D4569"/>
    </row>
    <row r="4570" spans="1:4" x14ac:dyDescent="0.3">
      <c r="A4570" s="4" t="s">
        <v>18</v>
      </c>
      <c r="B4570" s="4">
        <v>502</v>
      </c>
      <c r="D4570"/>
    </row>
    <row r="4571" spans="1:4" x14ac:dyDescent="0.3">
      <c r="A4571" s="4" t="s">
        <v>14</v>
      </c>
      <c r="B4571" s="4">
        <v>253</v>
      </c>
      <c r="D4571"/>
    </row>
    <row r="4572" spans="1:4" x14ac:dyDescent="0.3">
      <c r="A4572" s="4" t="s">
        <v>8</v>
      </c>
      <c r="B4572" s="4">
        <v>557</v>
      </c>
      <c r="D4572"/>
    </row>
    <row r="4573" spans="1:4" x14ac:dyDescent="0.3">
      <c r="A4573" s="4" t="s">
        <v>6</v>
      </c>
      <c r="B4573" s="4">
        <v>523</v>
      </c>
      <c r="D4573"/>
    </row>
    <row r="4574" spans="1:4" x14ac:dyDescent="0.3">
      <c r="A4574" s="4" t="s">
        <v>18</v>
      </c>
      <c r="B4574" s="4">
        <v>846</v>
      </c>
      <c r="D4574"/>
    </row>
    <row r="4575" spans="1:4" x14ac:dyDescent="0.3">
      <c r="A4575" s="4" t="s">
        <v>3</v>
      </c>
      <c r="B4575" s="4">
        <v>581</v>
      </c>
      <c r="D4575"/>
    </row>
    <row r="4576" spans="1:4" x14ac:dyDescent="0.3">
      <c r="A4576" s="4" t="s">
        <v>10</v>
      </c>
      <c r="B4576" s="4">
        <v>819</v>
      </c>
      <c r="D4576"/>
    </row>
    <row r="4577" spans="1:4" x14ac:dyDescent="0.3">
      <c r="A4577" s="4" t="s">
        <v>13</v>
      </c>
      <c r="B4577" s="4">
        <v>186</v>
      </c>
      <c r="D4577"/>
    </row>
    <row r="4578" spans="1:4" x14ac:dyDescent="0.3">
      <c r="A4578" s="4" t="s">
        <v>19</v>
      </c>
      <c r="B4578" s="4">
        <v>426</v>
      </c>
      <c r="D4578"/>
    </row>
    <row r="4579" spans="1:4" x14ac:dyDescent="0.3">
      <c r="A4579" s="4" t="s">
        <v>4</v>
      </c>
      <c r="B4579" s="4">
        <v>748</v>
      </c>
      <c r="D4579"/>
    </row>
    <row r="4580" spans="1:4" x14ac:dyDescent="0.3">
      <c r="A4580" s="4" t="s">
        <v>18</v>
      </c>
      <c r="B4580" s="4">
        <v>509</v>
      </c>
      <c r="D4580"/>
    </row>
    <row r="4581" spans="1:4" x14ac:dyDescent="0.3">
      <c r="A4581" s="4" t="s">
        <v>6</v>
      </c>
      <c r="B4581" s="4">
        <v>651</v>
      </c>
      <c r="D4581"/>
    </row>
    <row r="4582" spans="1:4" x14ac:dyDescent="0.3">
      <c r="A4582" s="4" t="s">
        <v>10</v>
      </c>
      <c r="B4582" s="4">
        <v>929</v>
      </c>
      <c r="D4582"/>
    </row>
    <row r="4583" spans="1:4" x14ac:dyDescent="0.3">
      <c r="A4583" s="4" t="s">
        <v>4</v>
      </c>
      <c r="B4583" s="4">
        <v>250</v>
      </c>
      <c r="D4583"/>
    </row>
    <row r="4584" spans="1:4" x14ac:dyDescent="0.3">
      <c r="A4584" s="4" t="s">
        <v>11</v>
      </c>
      <c r="B4584" s="4">
        <v>468</v>
      </c>
      <c r="D4584"/>
    </row>
    <row r="4585" spans="1:4" x14ac:dyDescent="0.3">
      <c r="A4585" s="4" t="s">
        <v>14</v>
      </c>
      <c r="B4585" s="4">
        <v>237</v>
      </c>
      <c r="D4585"/>
    </row>
    <row r="4586" spans="1:4" x14ac:dyDescent="0.3">
      <c r="A4586" s="4" t="s">
        <v>16</v>
      </c>
      <c r="B4586" s="4" t="e">
        <v>#REF!</v>
      </c>
      <c r="D4586"/>
    </row>
    <row r="4587" spans="1:4" x14ac:dyDescent="0.3">
      <c r="A4587" s="4" t="s">
        <v>6</v>
      </c>
      <c r="B4587" s="4">
        <v>743</v>
      </c>
      <c r="D4587"/>
    </row>
    <row r="4588" spans="1:4" x14ac:dyDescent="0.3">
      <c r="A4588" s="4" t="s">
        <v>9</v>
      </c>
      <c r="B4588" s="4">
        <v>479</v>
      </c>
      <c r="D4588"/>
    </row>
    <row r="4589" spans="1:4" x14ac:dyDescent="0.3">
      <c r="A4589" s="4" t="s">
        <v>12</v>
      </c>
      <c r="B4589" s="4">
        <v>122</v>
      </c>
      <c r="D4589"/>
    </row>
    <row r="4590" spans="1:4" x14ac:dyDescent="0.3">
      <c r="A4590" s="4" t="s">
        <v>19</v>
      </c>
      <c r="B4590" s="4">
        <v>287</v>
      </c>
      <c r="D4590"/>
    </row>
    <row r="4591" spans="1:4" x14ac:dyDescent="0.3">
      <c r="A4591" s="4" t="s">
        <v>3</v>
      </c>
      <c r="B4591" s="4">
        <v>303</v>
      </c>
      <c r="D4591"/>
    </row>
    <row r="4592" spans="1:4" x14ac:dyDescent="0.3">
      <c r="A4592" s="4" t="s">
        <v>16</v>
      </c>
      <c r="B4592" s="4">
        <v>720</v>
      </c>
      <c r="D4592"/>
    </row>
    <row r="4593" spans="1:4" x14ac:dyDescent="0.3">
      <c r="A4593" s="4" t="s">
        <v>7</v>
      </c>
      <c r="B4593" s="4">
        <v>183</v>
      </c>
      <c r="D4593"/>
    </row>
    <row r="4594" spans="1:4" x14ac:dyDescent="0.3">
      <c r="A4594" s="4" t="s">
        <v>13</v>
      </c>
      <c r="B4594" s="4">
        <v>514</v>
      </c>
      <c r="D4594"/>
    </row>
    <row r="4595" spans="1:4" x14ac:dyDescent="0.3">
      <c r="A4595" s="4" t="s">
        <v>7</v>
      </c>
      <c r="B4595" s="4">
        <v>774</v>
      </c>
      <c r="D4595"/>
    </row>
    <row r="4596" spans="1:4" x14ac:dyDescent="0.3">
      <c r="A4596" s="4" t="s">
        <v>6</v>
      </c>
      <c r="B4596" s="4">
        <v>915</v>
      </c>
      <c r="D4596"/>
    </row>
    <row r="4597" spans="1:4" x14ac:dyDescent="0.3">
      <c r="A4597" s="4" t="s">
        <v>11</v>
      </c>
      <c r="B4597" s="4">
        <v>966</v>
      </c>
      <c r="D4597"/>
    </row>
    <row r="4598" spans="1:4" x14ac:dyDescent="0.3">
      <c r="A4598" s="4" t="s">
        <v>8</v>
      </c>
      <c r="B4598" s="4">
        <v>110</v>
      </c>
      <c r="D4598"/>
    </row>
    <row r="4599" spans="1:4" x14ac:dyDescent="0.3">
      <c r="A4599" s="4" t="s">
        <v>4</v>
      </c>
      <c r="B4599" s="4">
        <v>597</v>
      </c>
      <c r="D4599"/>
    </row>
    <row r="4600" spans="1:4" x14ac:dyDescent="0.3">
      <c r="A4600" s="4" t="s">
        <v>18</v>
      </c>
      <c r="B4600" s="4">
        <v>115</v>
      </c>
      <c r="D4600"/>
    </row>
    <row r="4601" spans="1:4" x14ac:dyDescent="0.3">
      <c r="A4601" s="4" t="s">
        <v>3</v>
      </c>
      <c r="B4601" s="4">
        <v>354</v>
      </c>
      <c r="D4601"/>
    </row>
    <row r="4602" spans="1:4" x14ac:dyDescent="0.3">
      <c r="A4602" s="4" t="s">
        <v>11</v>
      </c>
      <c r="B4602" s="4" t="e">
        <v>#REF!</v>
      </c>
      <c r="D4602"/>
    </row>
    <row r="4603" spans="1:4" x14ac:dyDescent="0.3">
      <c r="A4603" s="4" t="s">
        <v>17</v>
      </c>
      <c r="B4603" s="4">
        <v>936</v>
      </c>
      <c r="D4603"/>
    </row>
    <row r="4604" spans="1:4" x14ac:dyDescent="0.3">
      <c r="A4604" s="4" t="s">
        <v>7</v>
      </c>
      <c r="B4604" s="4">
        <v>76</v>
      </c>
      <c r="D4604"/>
    </row>
    <row r="4605" spans="1:4" x14ac:dyDescent="0.3">
      <c r="A4605" s="4" t="s">
        <v>16</v>
      </c>
      <c r="B4605" s="4">
        <v>221</v>
      </c>
      <c r="D4605"/>
    </row>
    <row r="4606" spans="1:4" x14ac:dyDescent="0.3">
      <c r="A4606" s="4" t="s">
        <v>15</v>
      </c>
      <c r="B4606" s="4">
        <v>587</v>
      </c>
      <c r="D4606"/>
    </row>
    <row r="4607" spans="1:4" x14ac:dyDescent="0.3">
      <c r="A4607" s="4" t="s">
        <v>10</v>
      </c>
      <c r="B4607" s="4">
        <v>469</v>
      </c>
      <c r="D4607"/>
    </row>
    <row r="4608" spans="1:4" x14ac:dyDescent="0.3">
      <c r="A4608" s="4" t="s">
        <v>4</v>
      </c>
      <c r="B4608" s="4">
        <v>511</v>
      </c>
      <c r="D4608"/>
    </row>
    <row r="4609" spans="1:4" x14ac:dyDescent="0.3">
      <c r="A4609" s="4" t="s">
        <v>13</v>
      </c>
      <c r="B4609" s="4">
        <v>592</v>
      </c>
      <c r="D4609"/>
    </row>
    <row r="4610" spans="1:4" x14ac:dyDescent="0.3">
      <c r="A4610" s="4" t="s">
        <v>13</v>
      </c>
      <c r="B4610" s="4">
        <v>671</v>
      </c>
      <c r="D4610"/>
    </row>
    <row r="4611" spans="1:4" x14ac:dyDescent="0.3">
      <c r="A4611" s="4" t="s">
        <v>7</v>
      </c>
      <c r="B4611" s="4">
        <v>502</v>
      </c>
      <c r="D4611"/>
    </row>
    <row r="4612" spans="1:4" x14ac:dyDescent="0.3">
      <c r="A4612" s="4" t="s">
        <v>19</v>
      </c>
      <c r="B4612" s="4">
        <v>455</v>
      </c>
      <c r="D4612"/>
    </row>
    <row r="4613" spans="1:4" x14ac:dyDescent="0.3">
      <c r="A4613" s="4" t="s">
        <v>9</v>
      </c>
      <c r="B4613" s="4">
        <v>34</v>
      </c>
      <c r="D4613"/>
    </row>
    <row r="4614" spans="1:4" x14ac:dyDescent="0.3">
      <c r="A4614" s="4" t="s">
        <v>19</v>
      </c>
      <c r="B4614" s="4">
        <v>720</v>
      </c>
      <c r="D4614"/>
    </row>
    <row r="4615" spans="1:4" x14ac:dyDescent="0.3">
      <c r="A4615" s="4" t="s">
        <v>10</v>
      </c>
      <c r="B4615" s="4">
        <v>653</v>
      </c>
      <c r="D4615"/>
    </row>
    <row r="4616" spans="1:4" x14ac:dyDescent="0.3">
      <c r="A4616" s="4" t="s">
        <v>11</v>
      </c>
      <c r="B4616" s="4">
        <v>111</v>
      </c>
      <c r="D4616"/>
    </row>
    <row r="4617" spans="1:4" x14ac:dyDescent="0.3">
      <c r="A4617" s="4" t="s">
        <v>9</v>
      </c>
      <c r="B4617" s="4">
        <v>613</v>
      </c>
      <c r="D4617"/>
    </row>
    <row r="4618" spans="1:4" x14ac:dyDescent="0.3">
      <c r="A4618" s="4" t="s">
        <v>8</v>
      </c>
      <c r="B4618" s="4">
        <v>338</v>
      </c>
      <c r="D4618"/>
    </row>
    <row r="4619" spans="1:4" x14ac:dyDescent="0.3">
      <c r="A4619" s="4" t="s">
        <v>10</v>
      </c>
      <c r="B4619" s="4">
        <v>341</v>
      </c>
      <c r="D4619"/>
    </row>
    <row r="4620" spans="1:4" x14ac:dyDescent="0.3">
      <c r="A4620" s="4" t="s">
        <v>6</v>
      </c>
      <c r="B4620" s="4">
        <v>689</v>
      </c>
      <c r="D4620"/>
    </row>
    <row r="4621" spans="1:4" x14ac:dyDescent="0.3">
      <c r="A4621" s="4" t="s">
        <v>13</v>
      </c>
      <c r="B4621" s="4">
        <v>775</v>
      </c>
      <c r="D4621"/>
    </row>
    <row r="4622" spans="1:4" x14ac:dyDescent="0.3">
      <c r="A4622" s="4" t="s">
        <v>7</v>
      </c>
      <c r="B4622" s="4">
        <v>130</v>
      </c>
      <c r="D4622"/>
    </row>
    <row r="4623" spans="1:4" x14ac:dyDescent="0.3">
      <c r="A4623" s="4" t="s">
        <v>11</v>
      </c>
      <c r="B4623" s="4">
        <v>440</v>
      </c>
      <c r="D4623"/>
    </row>
    <row r="4624" spans="1:4" x14ac:dyDescent="0.3">
      <c r="A4624" s="4" t="s">
        <v>19</v>
      </c>
      <c r="B4624" s="4">
        <v>549</v>
      </c>
      <c r="D4624"/>
    </row>
    <row r="4625" spans="1:4" x14ac:dyDescent="0.3">
      <c r="A4625" s="4" t="s">
        <v>13</v>
      </c>
      <c r="B4625" s="4">
        <v>403</v>
      </c>
      <c r="D4625"/>
    </row>
    <row r="4626" spans="1:4" x14ac:dyDescent="0.3">
      <c r="A4626" s="4" t="s">
        <v>18</v>
      </c>
      <c r="B4626" s="4">
        <v>480</v>
      </c>
      <c r="D4626"/>
    </row>
    <row r="4627" spans="1:4" x14ac:dyDescent="0.3">
      <c r="A4627" s="4" t="s">
        <v>18</v>
      </c>
      <c r="B4627" s="4">
        <v>934</v>
      </c>
      <c r="D4627"/>
    </row>
    <row r="4628" spans="1:4" x14ac:dyDescent="0.3">
      <c r="A4628" s="4" t="s">
        <v>13</v>
      </c>
      <c r="B4628" s="4" t="e">
        <v>#REF!</v>
      </c>
      <c r="D4628"/>
    </row>
    <row r="4629" spans="1:4" x14ac:dyDescent="0.3">
      <c r="A4629" s="4" t="s">
        <v>18</v>
      </c>
      <c r="B4629" s="4">
        <v>180</v>
      </c>
      <c r="D4629"/>
    </row>
    <row r="4630" spans="1:4" x14ac:dyDescent="0.3">
      <c r="A4630" s="4" t="s">
        <v>4</v>
      </c>
      <c r="B4630" s="4">
        <v>536</v>
      </c>
      <c r="D4630"/>
    </row>
    <row r="4631" spans="1:4" x14ac:dyDescent="0.3">
      <c r="A4631" s="4" t="s">
        <v>13</v>
      </c>
      <c r="B4631" s="4">
        <v>274</v>
      </c>
      <c r="D4631"/>
    </row>
    <row r="4632" spans="1:4" x14ac:dyDescent="0.3">
      <c r="A4632" s="4" t="s">
        <v>13</v>
      </c>
      <c r="B4632" s="4">
        <v>221</v>
      </c>
      <c r="D4632"/>
    </row>
    <row r="4633" spans="1:4" x14ac:dyDescent="0.3">
      <c r="A4633" s="4" t="s">
        <v>10</v>
      </c>
      <c r="B4633" s="4">
        <v>800</v>
      </c>
      <c r="D4633"/>
    </row>
    <row r="4634" spans="1:4" x14ac:dyDescent="0.3">
      <c r="A4634" s="4" t="s">
        <v>16</v>
      </c>
      <c r="B4634" s="4">
        <v>131</v>
      </c>
      <c r="D4634"/>
    </row>
    <row r="4635" spans="1:4" x14ac:dyDescent="0.3">
      <c r="A4635" s="4" t="s">
        <v>16</v>
      </c>
      <c r="B4635" s="4">
        <v>284</v>
      </c>
      <c r="D4635"/>
    </row>
    <row r="4636" spans="1:4" x14ac:dyDescent="0.3">
      <c r="A4636" s="4" t="s">
        <v>3</v>
      </c>
      <c r="B4636" s="4">
        <v>104</v>
      </c>
      <c r="D4636"/>
    </row>
    <row r="4637" spans="1:4" x14ac:dyDescent="0.3">
      <c r="A4637" s="4" t="s">
        <v>16</v>
      </c>
      <c r="B4637" s="4">
        <v>156</v>
      </c>
      <c r="D4637"/>
    </row>
    <row r="4638" spans="1:4" x14ac:dyDescent="0.3">
      <c r="A4638" s="4" t="s">
        <v>9</v>
      </c>
      <c r="B4638" s="4">
        <v>354</v>
      </c>
      <c r="D4638"/>
    </row>
    <row r="4639" spans="1:4" x14ac:dyDescent="0.3">
      <c r="A4639" s="4" t="s">
        <v>8</v>
      </c>
      <c r="B4639" s="4">
        <v>783</v>
      </c>
      <c r="D4639"/>
    </row>
    <row r="4640" spans="1:4" x14ac:dyDescent="0.3">
      <c r="A4640" s="4" t="s">
        <v>9</v>
      </c>
      <c r="B4640" s="4">
        <v>479</v>
      </c>
      <c r="D4640"/>
    </row>
    <row r="4641" spans="1:4" x14ac:dyDescent="0.3">
      <c r="A4641" s="4" t="s">
        <v>4</v>
      </c>
      <c r="B4641" s="4">
        <v>155</v>
      </c>
      <c r="D4641"/>
    </row>
    <row r="4642" spans="1:4" x14ac:dyDescent="0.3">
      <c r="A4642" s="4" t="s">
        <v>6</v>
      </c>
      <c r="B4642" s="4">
        <v>716</v>
      </c>
      <c r="D4642"/>
    </row>
    <row r="4643" spans="1:4" x14ac:dyDescent="0.3">
      <c r="A4643" s="4" t="s">
        <v>4</v>
      </c>
      <c r="B4643" s="4">
        <v>541</v>
      </c>
      <c r="D4643"/>
    </row>
    <row r="4644" spans="1:4" x14ac:dyDescent="0.3">
      <c r="A4644" s="4" t="s">
        <v>10</v>
      </c>
      <c r="B4644" s="4">
        <v>269</v>
      </c>
      <c r="D4644"/>
    </row>
    <row r="4645" spans="1:4" x14ac:dyDescent="0.3">
      <c r="A4645" s="4" t="s">
        <v>7</v>
      </c>
      <c r="B4645" s="4">
        <v>608</v>
      </c>
      <c r="D4645"/>
    </row>
    <row r="4646" spans="1:4" x14ac:dyDescent="0.3">
      <c r="A4646" s="4" t="s">
        <v>18</v>
      </c>
      <c r="B4646" s="4">
        <v>173</v>
      </c>
      <c r="D4646"/>
    </row>
    <row r="4647" spans="1:4" x14ac:dyDescent="0.3">
      <c r="A4647" s="4" t="s">
        <v>17</v>
      </c>
      <c r="B4647" s="4">
        <v>571</v>
      </c>
      <c r="D4647"/>
    </row>
    <row r="4648" spans="1:4" x14ac:dyDescent="0.3">
      <c r="A4648" s="4" t="s">
        <v>4</v>
      </c>
      <c r="B4648" s="4">
        <v>722</v>
      </c>
      <c r="D4648"/>
    </row>
    <row r="4649" spans="1:4" x14ac:dyDescent="0.3">
      <c r="A4649" s="4" t="s">
        <v>6</v>
      </c>
      <c r="B4649" s="4" t="e">
        <v>#REF!</v>
      </c>
      <c r="D4649"/>
    </row>
    <row r="4650" spans="1:4" x14ac:dyDescent="0.3">
      <c r="A4650" s="4" t="s">
        <v>11</v>
      </c>
      <c r="B4650" s="4">
        <v>425</v>
      </c>
      <c r="D4650"/>
    </row>
    <row r="4651" spans="1:4" x14ac:dyDescent="0.3">
      <c r="A4651" s="4" t="s">
        <v>15</v>
      </c>
      <c r="B4651" s="4">
        <v>318</v>
      </c>
      <c r="D4651"/>
    </row>
    <row r="4652" spans="1:4" x14ac:dyDescent="0.3">
      <c r="A4652" s="4" t="s">
        <v>7</v>
      </c>
      <c r="B4652" s="4">
        <v>905</v>
      </c>
      <c r="D4652"/>
    </row>
    <row r="4653" spans="1:4" x14ac:dyDescent="0.3">
      <c r="A4653" s="4" t="s">
        <v>17</v>
      </c>
      <c r="B4653" s="4">
        <v>485</v>
      </c>
      <c r="D4653"/>
    </row>
    <row r="4654" spans="1:4" x14ac:dyDescent="0.3">
      <c r="A4654" s="4" t="s">
        <v>19</v>
      </c>
      <c r="B4654" s="4">
        <v>723</v>
      </c>
      <c r="D4654"/>
    </row>
    <row r="4655" spans="1:4" x14ac:dyDescent="0.3">
      <c r="A4655" s="4" t="s">
        <v>8</v>
      </c>
      <c r="B4655" s="4">
        <v>424</v>
      </c>
      <c r="D4655"/>
    </row>
    <row r="4656" spans="1:4" x14ac:dyDescent="0.3">
      <c r="A4656" s="4" t="s">
        <v>13</v>
      </c>
      <c r="B4656" s="4">
        <v>793</v>
      </c>
      <c r="D4656"/>
    </row>
    <row r="4657" spans="1:4" x14ac:dyDescent="0.3">
      <c r="A4657" s="4" t="s">
        <v>4</v>
      </c>
      <c r="B4657" s="4">
        <v>483</v>
      </c>
      <c r="D4657"/>
    </row>
    <row r="4658" spans="1:4" x14ac:dyDescent="0.3">
      <c r="A4658" s="4" t="s">
        <v>4</v>
      </c>
      <c r="B4658" s="4">
        <v>812</v>
      </c>
      <c r="D4658"/>
    </row>
    <row r="4659" spans="1:4" x14ac:dyDescent="0.3">
      <c r="A4659" s="4" t="s">
        <v>11</v>
      </c>
      <c r="B4659" s="6" t="e">
        <v>#N/A</v>
      </c>
      <c r="D4659"/>
    </row>
    <row r="4660" spans="1:4" x14ac:dyDescent="0.3">
      <c r="A4660" s="4" t="s">
        <v>4</v>
      </c>
      <c r="B4660" s="4">
        <v>168</v>
      </c>
      <c r="D4660"/>
    </row>
    <row r="4661" spans="1:4" x14ac:dyDescent="0.3">
      <c r="A4661" s="4" t="s">
        <v>7</v>
      </c>
      <c r="B4661" s="4">
        <v>341</v>
      </c>
      <c r="D4661"/>
    </row>
    <row r="4662" spans="1:4" x14ac:dyDescent="0.3">
      <c r="A4662" s="4" t="s">
        <v>12</v>
      </c>
      <c r="B4662" s="4">
        <v>792</v>
      </c>
      <c r="D4662"/>
    </row>
    <row r="4663" spans="1:4" x14ac:dyDescent="0.3">
      <c r="A4663" s="4" t="s">
        <v>4</v>
      </c>
      <c r="B4663" s="4">
        <v>300</v>
      </c>
      <c r="D4663"/>
    </row>
    <row r="4664" spans="1:4" x14ac:dyDescent="0.3">
      <c r="A4664" s="4" t="s">
        <v>3</v>
      </c>
      <c r="B4664" s="4">
        <v>399</v>
      </c>
      <c r="D4664"/>
    </row>
    <row r="4665" spans="1:4" x14ac:dyDescent="0.3">
      <c r="A4665" s="4" t="s">
        <v>3</v>
      </c>
      <c r="B4665" s="4">
        <v>941</v>
      </c>
      <c r="D4665"/>
    </row>
    <row r="4666" spans="1:4" x14ac:dyDescent="0.3">
      <c r="A4666" s="4" t="s">
        <v>7</v>
      </c>
      <c r="B4666" s="4">
        <v>981</v>
      </c>
      <c r="D4666"/>
    </row>
    <row r="4667" spans="1:4" x14ac:dyDescent="0.3">
      <c r="A4667" s="4" t="s">
        <v>7</v>
      </c>
      <c r="B4667" s="4">
        <v>642</v>
      </c>
      <c r="D4667"/>
    </row>
    <row r="4668" spans="1:4" x14ac:dyDescent="0.3">
      <c r="A4668" s="4" t="s">
        <v>17</v>
      </c>
      <c r="B4668" s="4">
        <v>155</v>
      </c>
      <c r="D4668"/>
    </row>
    <row r="4669" spans="1:4" x14ac:dyDescent="0.3">
      <c r="A4669" s="4" t="s">
        <v>19</v>
      </c>
      <c r="B4669" s="4">
        <v>249</v>
      </c>
      <c r="D4669"/>
    </row>
    <row r="4670" spans="1:4" x14ac:dyDescent="0.3">
      <c r="A4670" s="4" t="s">
        <v>19</v>
      </c>
      <c r="B4670" s="4">
        <v>137</v>
      </c>
      <c r="D4670"/>
    </row>
    <row r="4671" spans="1:4" x14ac:dyDescent="0.3">
      <c r="A4671" s="4" t="s">
        <v>3</v>
      </c>
      <c r="B4671" s="4">
        <v>133</v>
      </c>
      <c r="D4671"/>
    </row>
    <row r="4672" spans="1:4" x14ac:dyDescent="0.3">
      <c r="A4672" s="4" t="s">
        <v>8</v>
      </c>
      <c r="B4672" s="4">
        <v>420</v>
      </c>
      <c r="D4672"/>
    </row>
    <row r="4673" spans="1:4" x14ac:dyDescent="0.3">
      <c r="A4673" s="4" t="s">
        <v>7</v>
      </c>
      <c r="B4673" s="4">
        <v>617</v>
      </c>
      <c r="D4673"/>
    </row>
    <row r="4674" spans="1:4" x14ac:dyDescent="0.3">
      <c r="A4674" s="4" t="s">
        <v>3</v>
      </c>
      <c r="B4674" s="4">
        <v>969</v>
      </c>
      <c r="D4674"/>
    </row>
    <row r="4675" spans="1:4" x14ac:dyDescent="0.3">
      <c r="A4675" s="4" t="s">
        <v>6</v>
      </c>
      <c r="B4675" s="4">
        <v>676</v>
      </c>
      <c r="D4675"/>
    </row>
    <row r="4676" spans="1:4" x14ac:dyDescent="0.3">
      <c r="A4676" s="4" t="s">
        <v>18</v>
      </c>
      <c r="B4676" s="4" t="e">
        <v>#REF!</v>
      </c>
      <c r="D4676"/>
    </row>
    <row r="4677" spans="1:4" x14ac:dyDescent="0.3">
      <c r="A4677" s="4" t="s">
        <v>4</v>
      </c>
      <c r="B4677" s="4">
        <v>732</v>
      </c>
      <c r="D4677"/>
    </row>
    <row r="4678" spans="1:4" x14ac:dyDescent="0.3">
      <c r="A4678" s="4" t="s">
        <v>16</v>
      </c>
      <c r="B4678" s="4">
        <v>965</v>
      </c>
      <c r="D4678"/>
    </row>
    <row r="4679" spans="1:4" x14ac:dyDescent="0.3">
      <c r="A4679" s="4" t="s">
        <v>11</v>
      </c>
      <c r="B4679" s="4">
        <v>507</v>
      </c>
      <c r="D4679"/>
    </row>
    <row r="4680" spans="1:4" x14ac:dyDescent="0.3">
      <c r="A4680" s="4" t="s">
        <v>19</v>
      </c>
      <c r="B4680" s="4">
        <v>894</v>
      </c>
      <c r="D4680"/>
    </row>
    <row r="4681" spans="1:4" x14ac:dyDescent="0.3">
      <c r="A4681" s="4" t="s">
        <v>9</v>
      </c>
      <c r="B4681" s="4">
        <v>277</v>
      </c>
      <c r="D4681"/>
    </row>
    <row r="4682" spans="1:4" x14ac:dyDescent="0.3">
      <c r="A4682" s="4" t="s">
        <v>6</v>
      </c>
      <c r="B4682" s="4">
        <v>363</v>
      </c>
      <c r="D4682"/>
    </row>
    <row r="4683" spans="1:4" x14ac:dyDescent="0.3">
      <c r="A4683" s="4" t="s">
        <v>11</v>
      </c>
      <c r="B4683" s="4">
        <v>879</v>
      </c>
      <c r="D4683"/>
    </row>
    <row r="4684" spans="1:4" x14ac:dyDescent="0.3">
      <c r="A4684" s="4" t="s">
        <v>12</v>
      </c>
      <c r="B4684" s="4">
        <v>990</v>
      </c>
      <c r="D4684"/>
    </row>
    <row r="4685" spans="1:4" x14ac:dyDescent="0.3">
      <c r="A4685" s="4" t="s">
        <v>3</v>
      </c>
      <c r="B4685" s="4">
        <v>303</v>
      </c>
      <c r="D4685"/>
    </row>
    <row r="4686" spans="1:4" x14ac:dyDescent="0.3">
      <c r="A4686" s="4" t="s">
        <v>9</v>
      </c>
      <c r="B4686" s="4">
        <v>981</v>
      </c>
      <c r="D4686"/>
    </row>
    <row r="4687" spans="1:4" x14ac:dyDescent="0.3">
      <c r="A4687" s="4" t="s">
        <v>11</v>
      </c>
      <c r="B4687" s="4" t="e">
        <v>#N/A</v>
      </c>
      <c r="D4687"/>
    </row>
    <row r="4688" spans="1:4" x14ac:dyDescent="0.3">
      <c r="A4688" s="4" t="s">
        <v>10</v>
      </c>
      <c r="B4688" s="4">
        <v>292</v>
      </c>
      <c r="D4688"/>
    </row>
    <row r="4689" spans="1:4" x14ac:dyDescent="0.3">
      <c r="A4689" s="4" t="s">
        <v>6</v>
      </c>
      <c r="B4689" s="4">
        <v>594</v>
      </c>
      <c r="D4689"/>
    </row>
    <row r="4690" spans="1:4" x14ac:dyDescent="0.3">
      <c r="A4690" s="4" t="s">
        <v>15</v>
      </c>
      <c r="B4690" s="4">
        <v>973</v>
      </c>
      <c r="D4690"/>
    </row>
    <row r="4691" spans="1:4" x14ac:dyDescent="0.3">
      <c r="A4691" s="4" t="s">
        <v>15</v>
      </c>
      <c r="B4691" s="4">
        <v>907</v>
      </c>
      <c r="D4691"/>
    </row>
    <row r="4692" spans="1:4" x14ac:dyDescent="0.3">
      <c r="A4692" s="4" t="s">
        <v>14</v>
      </c>
      <c r="B4692" s="4">
        <v>440</v>
      </c>
      <c r="D4692"/>
    </row>
    <row r="4693" spans="1:4" x14ac:dyDescent="0.3">
      <c r="A4693" s="4" t="s">
        <v>11</v>
      </c>
      <c r="B4693" s="4">
        <v>954</v>
      </c>
      <c r="D4693"/>
    </row>
    <row r="4694" spans="1:4" x14ac:dyDescent="0.3">
      <c r="A4694" s="4" t="s">
        <v>17</v>
      </c>
      <c r="B4694" s="4">
        <v>700</v>
      </c>
      <c r="D4694"/>
    </row>
    <row r="4695" spans="1:4" x14ac:dyDescent="0.3">
      <c r="A4695" s="4" t="s">
        <v>8</v>
      </c>
      <c r="B4695" s="4">
        <v>160</v>
      </c>
      <c r="D4695"/>
    </row>
    <row r="4696" spans="1:4" x14ac:dyDescent="0.3">
      <c r="A4696" s="4" t="s">
        <v>14</v>
      </c>
      <c r="B4696" s="4">
        <v>635</v>
      </c>
      <c r="D4696"/>
    </row>
    <row r="4697" spans="1:4" x14ac:dyDescent="0.3">
      <c r="A4697" s="4" t="s">
        <v>12</v>
      </c>
      <c r="B4697" s="4">
        <v>366</v>
      </c>
      <c r="D4697"/>
    </row>
    <row r="4698" spans="1:4" x14ac:dyDescent="0.3">
      <c r="A4698" s="4" t="s">
        <v>12</v>
      </c>
      <c r="B4698" s="4">
        <v>646</v>
      </c>
      <c r="D4698"/>
    </row>
    <row r="4699" spans="1:4" x14ac:dyDescent="0.3">
      <c r="A4699" s="4" t="s">
        <v>4</v>
      </c>
      <c r="B4699" s="4">
        <v>720</v>
      </c>
      <c r="D4699"/>
    </row>
    <row r="4700" spans="1:4" x14ac:dyDescent="0.3">
      <c r="A4700" s="4" t="s">
        <v>4</v>
      </c>
      <c r="B4700" s="4">
        <v>653</v>
      </c>
      <c r="D4700"/>
    </row>
    <row r="4701" spans="1:4" x14ac:dyDescent="0.3">
      <c r="A4701" s="4" t="s">
        <v>12</v>
      </c>
      <c r="B4701" s="4">
        <v>822</v>
      </c>
      <c r="D4701"/>
    </row>
    <row r="4702" spans="1:4" x14ac:dyDescent="0.3">
      <c r="A4702" s="4" t="s">
        <v>10</v>
      </c>
      <c r="B4702" s="4">
        <v>856</v>
      </c>
      <c r="D4702"/>
    </row>
    <row r="4703" spans="1:4" x14ac:dyDescent="0.3">
      <c r="A4703" s="4" t="s">
        <v>19</v>
      </c>
      <c r="B4703" s="4">
        <v>498</v>
      </c>
      <c r="D4703"/>
    </row>
    <row r="4704" spans="1:4" x14ac:dyDescent="0.3">
      <c r="A4704" s="4" t="s">
        <v>10</v>
      </c>
      <c r="B4704" s="4">
        <v>207</v>
      </c>
      <c r="D4704"/>
    </row>
    <row r="4705" spans="1:4" x14ac:dyDescent="0.3">
      <c r="A4705" s="4" t="s">
        <v>17</v>
      </c>
      <c r="B4705" s="4">
        <v>421</v>
      </c>
      <c r="D4705"/>
    </row>
    <row r="4706" spans="1:4" x14ac:dyDescent="0.3">
      <c r="A4706" s="4" t="s">
        <v>4</v>
      </c>
      <c r="B4706" s="4">
        <v>147</v>
      </c>
      <c r="D4706"/>
    </row>
    <row r="4707" spans="1:4" x14ac:dyDescent="0.3">
      <c r="A4707" s="4" t="s">
        <v>8</v>
      </c>
      <c r="B4707" s="4">
        <v>733</v>
      </c>
      <c r="D4707"/>
    </row>
    <row r="4708" spans="1:4" x14ac:dyDescent="0.3">
      <c r="A4708" s="4" t="s">
        <v>14</v>
      </c>
      <c r="B4708" s="4">
        <v>694</v>
      </c>
      <c r="D4708"/>
    </row>
    <row r="4709" spans="1:4" x14ac:dyDescent="0.3">
      <c r="A4709" s="4" t="s">
        <v>12</v>
      </c>
      <c r="B4709" s="4">
        <v>876</v>
      </c>
      <c r="D4709"/>
    </row>
    <row r="4710" spans="1:4" x14ac:dyDescent="0.3">
      <c r="A4710" s="4" t="s">
        <v>12</v>
      </c>
      <c r="B4710" s="4">
        <v>223</v>
      </c>
      <c r="D4710"/>
    </row>
    <row r="4711" spans="1:4" x14ac:dyDescent="0.3">
      <c r="A4711" s="4" t="s">
        <v>7</v>
      </c>
      <c r="B4711" s="4">
        <v>452</v>
      </c>
      <c r="D4711"/>
    </row>
    <row r="4712" spans="1:4" x14ac:dyDescent="0.3">
      <c r="A4712" s="4" t="s">
        <v>15</v>
      </c>
      <c r="B4712" s="4">
        <v>807</v>
      </c>
      <c r="D4712"/>
    </row>
    <row r="4713" spans="1:4" x14ac:dyDescent="0.3">
      <c r="A4713" s="4" t="s">
        <v>10</v>
      </c>
      <c r="B4713" s="4">
        <v>189</v>
      </c>
      <c r="D4713"/>
    </row>
    <row r="4714" spans="1:4" x14ac:dyDescent="0.3">
      <c r="A4714" s="4" t="s">
        <v>13</v>
      </c>
      <c r="B4714" s="4">
        <v>709</v>
      </c>
      <c r="D4714"/>
    </row>
    <row r="4715" spans="1:4" x14ac:dyDescent="0.3">
      <c r="A4715" s="4" t="s">
        <v>3</v>
      </c>
      <c r="B4715" s="4">
        <v>882</v>
      </c>
      <c r="D4715"/>
    </row>
    <row r="4716" spans="1:4" x14ac:dyDescent="0.3">
      <c r="A4716" s="4" t="s">
        <v>8</v>
      </c>
      <c r="B4716" s="4">
        <v>307</v>
      </c>
      <c r="D4716"/>
    </row>
    <row r="4717" spans="1:4" x14ac:dyDescent="0.3">
      <c r="A4717" s="4" t="s">
        <v>18</v>
      </c>
      <c r="B4717" s="4">
        <v>246</v>
      </c>
      <c r="D4717"/>
    </row>
    <row r="4718" spans="1:4" x14ac:dyDescent="0.3">
      <c r="A4718" s="4" t="s">
        <v>7</v>
      </c>
      <c r="B4718" s="4">
        <v>422</v>
      </c>
      <c r="D4718"/>
    </row>
    <row r="4719" spans="1:4" x14ac:dyDescent="0.3">
      <c r="A4719" s="4" t="s">
        <v>14</v>
      </c>
      <c r="B4719" s="4">
        <v>592</v>
      </c>
      <c r="D4719"/>
    </row>
    <row r="4720" spans="1:4" x14ac:dyDescent="0.3">
      <c r="A4720" s="4" t="s">
        <v>9</v>
      </c>
      <c r="B4720" s="4">
        <v>466</v>
      </c>
      <c r="D4720"/>
    </row>
    <row r="4721" spans="1:4" x14ac:dyDescent="0.3">
      <c r="A4721" s="4" t="s">
        <v>13</v>
      </c>
      <c r="B4721" s="4">
        <v>772</v>
      </c>
      <c r="D4721"/>
    </row>
    <row r="4722" spans="1:4" x14ac:dyDescent="0.3">
      <c r="A4722" s="4" t="s">
        <v>15</v>
      </c>
      <c r="B4722" s="4">
        <v>450</v>
      </c>
      <c r="D4722"/>
    </row>
    <row r="4723" spans="1:4" x14ac:dyDescent="0.3">
      <c r="A4723" s="4" t="s">
        <v>7</v>
      </c>
      <c r="B4723" s="4">
        <v>914</v>
      </c>
      <c r="D4723"/>
    </row>
    <row r="4724" spans="1:4" x14ac:dyDescent="0.3">
      <c r="A4724" s="4" t="s">
        <v>10</v>
      </c>
      <c r="B4724" s="4">
        <v>806</v>
      </c>
      <c r="D4724"/>
    </row>
    <row r="4725" spans="1:4" x14ac:dyDescent="0.3">
      <c r="A4725" s="4" t="s">
        <v>13</v>
      </c>
      <c r="B4725" s="4">
        <v>988</v>
      </c>
      <c r="D4725"/>
    </row>
    <row r="4726" spans="1:4" x14ac:dyDescent="0.3">
      <c r="A4726" s="4" t="s">
        <v>12</v>
      </c>
      <c r="B4726" s="4">
        <v>706</v>
      </c>
      <c r="D4726"/>
    </row>
    <row r="4727" spans="1:4" x14ac:dyDescent="0.3">
      <c r="A4727" s="4" t="s">
        <v>10</v>
      </c>
      <c r="B4727" s="4">
        <v>144</v>
      </c>
      <c r="D4727"/>
    </row>
    <row r="4728" spans="1:4" x14ac:dyDescent="0.3">
      <c r="A4728" s="4" t="s">
        <v>8</v>
      </c>
      <c r="B4728" s="4">
        <v>486</v>
      </c>
      <c r="D4728"/>
    </row>
    <row r="4729" spans="1:4" x14ac:dyDescent="0.3">
      <c r="A4729" s="4" t="s">
        <v>13</v>
      </c>
      <c r="B4729" s="4">
        <v>805</v>
      </c>
      <c r="D4729"/>
    </row>
    <row r="4730" spans="1:4" x14ac:dyDescent="0.3">
      <c r="A4730" s="4" t="s">
        <v>9</v>
      </c>
      <c r="B4730" s="4">
        <v>678</v>
      </c>
      <c r="D4730"/>
    </row>
    <row r="4731" spans="1:4" x14ac:dyDescent="0.3">
      <c r="A4731" s="4" t="s">
        <v>4</v>
      </c>
      <c r="B4731" s="4">
        <v>846</v>
      </c>
      <c r="D4731"/>
    </row>
    <row r="4732" spans="1:4" x14ac:dyDescent="0.3">
      <c r="A4732" s="4" t="s">
        <v>9</v>
      </c>
      <c r="B4732" s="4">
        <v>355</v>
      </c>
      <c r="D4732"/>
    </row>
    <row r="4733" spans="1:4" x14ac:dyDescent="0.3">
      <c r="A4733" s="4" t="s">
        <v>7</v>
      </c>
      <c r="B4733" s="4">
        <v>587</v>
      </c>
      <c r="D4733"/>
    </row>
    <row r="4734" spans="1:4" x14ac:dyDescent="0.3">
      <c r="A4734" s="4" t="s">
        <v>13</v>
      </c>
      <c r="B4734" s="4">
        <v>412</v>
      </c>
      <c r="D4734"/>
    </row>
    <row r="4735" spans="1:4" x14ac:dyDescent="0.3">
      <c r="A4735" s="4" t="s">
        <v>10</v>
      </c>
      <c r="B4735" s="4">
        <v>109</v>
      </c>
      <c r="D4735"/>
    </row>
    <row r="4736" spans="1:4" x14ac:dyDescent="0.3">
      <c r="A4736" s="4" t="s">
        <v>3</v>
      </c>
      <c r="B4736" s="4">
        <v>562</v>
      </c>
      <c r="D4736"/>
    </row>
    <row r="4737" spans="1:4" x14ac:dyDescent="0.3">
      <c r="A4737" s="4" t="s">
        <v>9</v>
      </c>
      <c r="B4737" s="4">
        <v>689</v>
      </c>
      <c r="D4737"/>
    </row>
    <row r="4738" spans="1:4" x14ac:dyDescent="0.3">
      <c r="A4738" s="4" t="s">
        <v>18</v>
      </c>
      <c r="B4738" s="4">
        <v>336</v>
      </c>
      <c r="D4738"/>
    </row>
    <row r="4739" spans="1:4" x14ac:dyDescent="0.3">
      <c r="A4739" s="4" t="s">
        <v>10</v>
      </c>
      <c r="B4739" s="4">
        <v>885</v>
      </c>
      <c r="D4739"/>
    </row>
    <row r="4740" spans="1:4" x14ac:dyDescent="0.3">
      <c r="A4740" s="4" t="s">
        <v>15</v>
      </c>
      <c r="B4740" s="4">
        <v>20</v>
      </c>
      <c r="D4740"/>
    </row>
    <row r="4741" spans="1:4" x14ac:dyDescent="0.3">
      <c r="A4741" s="4" t="s">
        <v>18</v>
      </c>
      <c r="B4741" s="4">
        <v>356</v>
      </c>
      <c r="D4741"/>
    </row>
    <row r="4742" spans="1:4" x14ac:dyDescent="0.3">
      <c r="A4742" s="4" t="s">
        <v>19</v>
      </c>
      <c r="B4742" s="4">
        <v>920</v>
      </c>
      <c r="D4742"/>
    </row>
    <row r="4743" spans="1:4" x14ac:dyDescent="0.3">
      <c r="A4743" s="4" t="s">
        <v>12</v>
      </c>
      <c r="B4743" s="4">
        <v>153</v>
      </c>
      <c r="D4743"/>
    </row>
    <row r="4744" spans="1:4" x14ac:dyDescent="0.3">
      <c r="A4744" s="4" t="s">
        <v>15</v>
      </c>
      <c r="B4744" s="4">
        <v>913</v>
      </c>
      <c r="D4744"/>
    </row>
    <row r="4745" spans="1:4" x14ac:dyDescent="0.3">
      <c r="A4745" s="4" t="s">
        <v>12</v>
      </c>
      <c r="B4745" s="4">
        <v>734</v>
      </c>
      <c r="D4745"/>
    </row>
    <row r="4746" spans="1:4" x14ac:dyDescent="0.3">
      <c r="A4746" s="4" t="s">
        <v>4</v>
      </c>
      <c r="B4746" s="4">
        <v>494</v>
      </c>
      <c r="D4746"/>
    </row>
    <row r="4747" spans="1:4" x14ac:dyDescent="0.3">
      <c r="A4747" s="4" t="s">
        <v>19</v>
      </c>
      <c r="B4747" s="4">
        <v>884</v>
      </c>
      <c r="D4747"/>
    </row>
    <row r="4748" spans="1:4" x14ac:dyDescent="0.3">
      <c r="A4748" s="4" t="s">
        <v>15</v>
      </c>
      <c r="B4748" s="4">
        <v>497</v>
      </c>
      <c r="D4748"/>
    </row>
    <row r="4749" spans="1:4" x14ac:dyDescent="0.3">
      <c r="A4749" s="4" t="s">
        <v>19</v>
      </c>
      <c r="B4749" s="4">
        <v>821</v>
      </c>
      <c r="D4749"/>
    </row>
    <row r="4750" spans="1:4" x14ac:dyDescent="0.3">
      <c r="A4750" s="4" t="s">
        <v>18</v>
      </c>
      <c r="B4750" s="4">
        <v>664</v>
      </c>
      <c r="D4750"/>
    </row>
    <row r="4751" spans="1:4" x14ac:dyDescent="0.3">
      <c r="A4751" s="4" t="s">
        <v>11</v>
      </c>
      <c r="B4751" s="4">
        <v>326</v>
      </c>
      <c r="D4751"/>
    </row>
    <row r="4752" spans="1:4" x14ac:dyDescent="0.3">
      <c r="A4752" s="4" t="s">
        <v>10</v>
      </c>
      <c r="B4752" s="4">
        <v>177</v>
      </c>
      <c r="D4752"/>
    </row>
    <row r="4753" spans="1:4" x14ac:dyDescent="0.3">
      <c r="A4753" s="4" t="s">
        <v>6</v>
      </c>
      <c r="B4753" s="4">
        <v>681</v>
      </c>
      <c r="D4753"/>
    </row>
    <row r="4754" spans="1:4" x14ac:dyDescent="0.3">
      <c r="A4754" s="4" t="s">
        <v>12</v>
      </c>
      <c r="B4754" s="4">
        <v>813</v>
      </c>
      <c r="D4754"/>
    </row>
    <row r="4755" spans="1:4" x14ac:dyDescent="0.3">
      <c r="A4755" s="4" t="s">
        <v>9</v>
      </c>
      <c r="B4755" s="4">
        <v>361</v>
      </c>
      <c r="D4755"/>
    </row>
    <row r="4756" spans="1:4" x14ac:dyDescent="0.3">
      <c r="A4756" s="4" t="s">
        <v>7</v>
      </c>
      <c r="B4756" s="4">
        <v>412</v>
      </c>
      <c r="D4756"/>
    </row>
    <row r="4757" spans="1:4" x14ac:dyDescent="0.3">
      <c r="A4757" s="4" t="s">
        <v>15</v>
      </c>
      <c r="B4757" s="4">
        <v>589</v>
      </c>
      <c r="D4757"/>
    </row>
    <row r="4758" spans="1:4" x14ac:dyDescent="0.3">
      <c r="A4758" s="4" t="s">
        <v>10</v>
      </c>
      <c r="B4758" s="4">
        <v>385</v>
      </c>
      <c r="D4758"/>
    </row>
    <row r="4759" spans="1:4" x14ac:dyDescent="0.3">
      <c r="A4759" s="4" t="s">
        <v>17</v>
      </c>
      <c r="B4759" s="4">
        <v>885</v>
      </c>
      <c r="D4759"/>
    </row>
    <row r="4760" spans="1:4" x14ac:dyDescent="0.3">
      <c r="A4760" s="4" t="s">
        <v>6</v>
      </c>
      <c r="B4760" s="4">
        <v>580</v>
      </c>
      <c r="D4760"/>
    </row>
    <row r="4761" spans="1:4" x14ac:dyDescent="0.3">
      <c r="A4761" s="4" t="s">
        <v>12</v>
      </c>
      <c r="B4761" s="4">
        <v>113</v>
      </c>
      <c r="D4761"/>
    </row>
    <row r="4762" spans="1:4" x14ac:dyDescent="0.3">
      <c r="A4762" s="4" t="s">
        <v>6</v>
      </c>
      <c r="B4762" s="4">
        <v>572</v>
      </c>
      <c r="D4762"/>
    </row>
    <row r="4763" spans="1:4" x14ac:dyDescent="0.3">
      <c r="A4763" s="4" t="s">
        <v>9</v>
      </c>
      <c r="B4763" s="4">
        <v>614</v>
      </c>
      <c r="D4763"/>
    </row>
    <row r="4764" spans="1:4" x14ac:dyDescent="0.3">
      <c r="A4764" s="4" t="s">
        <v>4</v>
      </c>
      <c r="B4764" s="4">
        <v>155</v>
      </c>
      <c r="D4764"/>
    </row>
    <row r="4765" spans="1:4" x14ac:dyDescent="0.3">
      <c r="A4765" s="4" t="s">
        <v>10</v>
      </c>
      <c r="B4765" s="4">
        <v>193</v>
      </c>
      <c r="D4765"/>
    </row>
    <row r="4766" spans="1:4" x14ac:dyDescent="0.3">
      <c r="A4766" s="4" t="s">
        <v>4</v>
      </c>
      <c r="B4766" s="4">
        <v>896</v>
      </c>
      <c r="D4766"/>
    </row>
    <row r="4767" spans="1:4" x14ac:dyDescent="0.3">
      <c r="A4767" s="4" t="s">
        <v>4</v>
      </c>
      <c r="B4767" s="4">
        <v>113</v>
      </c>
      <c r="D4767"/>
    </row>
    <row r="4768" spans="1:4" x14ac:dyDescent="0.3">
      <c r="A4768" s="4" t="s">
        <v>19</v>
      </c>
      <c r="B4768" s="4">
        <v>638</v>
      </c>
      <c r="D4768"/>
    </row>
    <row r="4769" spans="1:4" x14ac:dyDescent="0.3">
      <c r="A4769" s="4" t="s">
        <v>8</v>
      </c>
      <c r="B4769" s="4">
        <v>171</v>
      </c>
      <c r="D4769"/>
    </row>
    <row r="4770" spans="1:4" x14ac:dyDescent="0.3">
      <c r="A4770" s="4" t="s">
        <v>15</v>
      </c>
      <c r="B4770" s="4">
        <v>364</v>
      </c>
      <c r="D4770"/>
    </row>
    <row r="4771" spans="1:4" x14ac:dyDescent="0.3">
      <c r="A4771" s="4" t="s">
        <v>14</v>
      </c>
      <c r="B4771" s="4">
        <v>912</v>
      </c>
      <c r="D4771"/>
    </row>
    <row r="4772" spans="1:4" x14ac:dyDescent="0.3">
      <c r="A4772" s="4" t="s">
        <v>12</v>
      </c>
      <c r="B4772" s="4">
        <v>515</v>
      </c>
      <c r="D4772"/>
    </row>
    <row r="4773" spans="1:4" x14ac:dyDescent="0.3">
      <c r="A4773" s="4" t="s">
        <v>16</v>
      </c>
      <c r="B4773" s="4">
        <v>548</v>
      </c>
      <c r="D4773"/>
    </row>
    <row r="4774" spans="1:4" x14ac:dyDescent="0.3">
      <c r="A4774" s="4" t="s">
        <v>13</v>
      </c>
      <c r="B4774" s="4">
        <v>750</v>
      </c>
      <c r="D4774"/>
    </row>
    <row r="4775" spans="1:4" x14ac:dyDescent="0.3">
      <c r="A4775" s="4" t="s">
        <v>12</v>
      </c>
      <c r="B4775" s="4">
        <v>221</v>
      </c>
      <c r="D4775"/>
    </row>
    <row r="4776" spans="1:4" x14ac:dyDescent="0.3">
      <c r="A4776" s="4" t="s">
        <v>13</v>
      </c>
      <c r="B4776" s="4">
        <v>246</v>
      </c>
      <c r="D4776"/>
    </row>
    <row r="4777" spans="1:4" x14ac:dyDescent="0.3">
      <c r="A4777" s="4" t="s">
        <v>9</v>
      </c>
      <c r="B4777" s="4">
        <v>180</v>
      </c>
      <c r="D4777"/>
    </row>
    <row r="4778" spans="1:4" x14ac:dyDescent="0.3">
      <c r="A4778" s="4" t="s">
        <v>9</v>
      </c>
      <c r="B4778" s="4">
        <v>594</v>
      </c>
      <c r="D4778"/>
    </row>
    <row r="4779" spans="1:4" x14ac:dyDescent="0.3">
      <c r="A4779" s="4" t="s">
        <v>10</v>
      </c>
      <c r="B4779" s="4">
        <v>853</v>
      </c>
      <c r="D4779"/>
    </row>
    <row r="4780" spans="1:4" x14ac:dyDescent="0.3">
      <c r="A4780" s="4" t="s">
        <v>6</v>
      </c>
      <c r="B4780" s="4">
        <v>645</v>
      </c>
      <c r="D4780"/>
    </row>
    <row r="4781" spans="1:4" x14ac:dyDescent="0.3">
      <c r="A4781" s="4" t="s">
        <v>6</v>
      </c>
      <c r="B4781" s="4">
        <v>609</v>
      </c>
      <c r="D4781"/>
    </row>
    <row r="4782" spans="1:4" x14ac:dyDescent="0.3">
      <c r="A4782" s="4" t="s">
        <v>6</v>
      </c>
      <c r="B4782" s="4">
        <v>101</v>
      </c>
      <c r="D4782"/>
    </row>
    <row r="4783" spans="1:4" x14ac:dyDescent="0.3">
      <c r="A4783" s="4" t="s">
        <v>8</v>
      </c>
      <c r="B4783" s="4">
        <v>827</v>
      </c>
      <c r="D4783"/>
    </row>
    <row r="4784" spans="1:4" x14ac:dyDescent="0.3">
      <c r="A4784" s="4" t="s">
        <v>8</v>
      </c>
      <c r="B4784" s="4">
        <v>249</v>
      </c>
      <c r="D4784"/>
    </row>
    <row r="4785" spans="1:4" x14ac:dyDescent="0.3">
      <c r="A4785" s="4" t="s">
        <v>12</v>
      </c>
      <c r="B4785" s="4">
        <v>755</v>
      </c>
      <c r="D4785"/>
    </row>
    <row r="4786" spans="1:4" x14ac:dyDescent="0.3">
      <c r="A4786" s="4" t="s">
        <v>11</v>
      </c>
      <c r="B4786" s="4">
        <v>488</v>
      </c>
      <c r="D4786"/>
    </row>
    <row r="4787" spans="1:4" x14ac:dyDescent="0.3">
      <c r="A4787" s="4" t="s">
        <v>3</v>
      </c>
      <c r="B4787" s="4">
        <v>684</v>
      </c>
      <c r="D4787"/>
    </row>
    <row r="4788" spans="1:4" x14ac:dyDescent="0.3">
      <c r="A4788" s="4" t="s">
        <v>13</v>
      </c>
      <c r="B4788" s="4">
        <v>966</v>
      </c>
      <c r="D4788"/>
    </row>
    <row r="4789" spans="1:4" x14ac:dyDescent="0.3">
      <c r="A4789" s="4" t="s">
        <v>10</v>
      </c>
      <c r="B4789" s="4">
        <v>142</v>
      </c>
      <c r="D4789"/>
    </row>
    <row r="4790" spans="1:4" x14ac:dyDescent="0.3">
      <c r="A4790" s="4" t="s">
        <v>16</v>
      </c>
      <c r="B4790" s="4">
        <v>583</v>
      </c>
      <c r="D4790"/>
    </row>
    <row r="4791" spans="1:4" x14ac:dyDescent="0.3">
      <c r="A4791" s="4" t="s">
        <v>19</v>
      </c>
      <c r="B4791" s="4">
        <v>121</v>
      </c>
      <c r="D4791"/>
    </row>
    <row r="4792" spans="1:4" x14ac:dyDescent="0.3">
      <c r="A4792" s="4" t="s">
        <v>3</v>
      </c>
      <c r="B4792" s="4">
        <v>809</v>
      </c>
      <c r="D4792"/>
    </row>
    <row r="4793" spans="1:4" x14ac:dyDescent="0.3">
      <c r="A4793" s="4" t="s">
        <v>6</v>
      </c>
      <c r="B4793" s="4">
        <v>826</v>
      </c>
      <c r="D4793"/>
    </row>
    <row r="4794" spans="1:4" x14ac:dyDescent="0.3">
      <c r="A4794" s="4" t="s">
        <v>9</v>
      </c>
      <c r="B4794" s="4">
        <v>213</v>
      </c>
      <c r="D4794"/>
    </row>
    <row r="4795" spans="1:4" x14ac:dyDescent="0.3">
      <c r="A4795" s="4" t="s">
        <v>16</v>
      </c>
      <c r="B4795" s="4">
        <v>401</v>
      </c>
      <c r="D4795"/>
    </row>
    <row r="4796" spans="1:4" x14ac:dyDescent="0.3">
      <c r="A4796" s="4" t="s">
        <v>4</v>
      </c>
      <c r="B4796" s="4">
        <v>284</v>
      </c>
      <c r="D4796"/>
    </row>
    <row r="4797" spans="1:4" x14ac:dyDescent="0.3">
      <c r="A4797" s="4" t="s">
        <v>13</v>
      </c>
      <c r="B4797" s="4">
        <v>385</v>
      </c>
      <c r="D4797"/>
    </row>
    <row r="4798" spans="1:4" x14ac:dyDescent="0.3">
      <c r="A4798" s="4" t="s">
        <v>6</v>
      </c>
      <c r="B4798" s="4">
        <v>849</v>
      </c>
      <c r="D4798"/>
    </row>
    <row r="4799" spans="1:4" x14ac:dyDescent="0.3">
      <c r="A4799" s="4" t="s">
        <v>15</v>
      </c>
      <c r="B4799" s="4">
        <v>700</v>
      </c>
      <c r="D4799"/>
    </row>
    <row r="4800" spans="1:4" x14ac:dyDescent="0.3">
      <c r="A4800" s="4" t="s">
        <v>6</v>
      </c>
      <c r="B4800" s="4">
        <v>942</v>
      </c>
      <c r="D4800"/>
    </row>
    <row r="4801" spans="1:4" x14ac:dyDescent="0.3">
      <c r="A4801" s="4" t="s">
        <v>6</v>
      </c>
      <c r="B4801" s="4">
        <v>196</v>
      </c>
      <c r="D4801"/>
    </row>
    <row r="4802" spans="1:4" x14ac:dyDescent="0.3">
      <c r="A4802" s="4" t="s">
        <v>17</v>
      </c>
      <c r="B4802" s="4">
        <v>173</v>
      </c>
      <c r="D4802"/>
    </row>
    <row r="4803" spans="1:4" x14ac:dyDescent="0.3">
      <c r="A4803" s="4" t="s">
        <v>4</v>
      </c>
      <c r="B4803" s="4">
        <v>245</v>
      </c>
      <c r="D4803"/>
    </row>
    <row r="4804" spans="1:4" x14ac:dyDescent="0.3">
      <c r="A4804" s="4" t="s">
        <v>6</v>
      </c>
      <c r="B4804" s="4">
        <v>507</v>
      </c>
      <c r="D4804"/>
    </row>
    <row r="4805" spans="1:4" x14ac:dyDescent="0.3">
      <c r="A4805" s="4" t="s">
        <v>15</v>
      </c>
      <c r="B4805" s="4">
        <v>842</v>
      </c>
      <c r="D4805"/>
    </row>
    <row r="4806" spans="1:4" x14ac:dyDescent="0.3">
      <c r="A4806" s="4" t="s">
        <v>13</v>
      </c>
      <c r="B4806" s="4">
        <v>221</v>
      </c>
      <c r="D4806"/>
    </row>
    <row r="4807" spans="1:4" x14ac:dyDescent="0.3">
      <c r="A4807" s="4" t="s">
        <v>10</v>
      </c>
      <c r="B4807" s="4">
        <v>856</v>
      </c>
      <c r="D4807"/>
    </row>
    <row r="4808" spans="1:4" x14ac:dyDescent="0.3">
      <c r="A4808" s="4" t="s">
        <v>11</v>
      </c>
      <c r="B4808" s="4">
        <v>921</v>
      </c>
      <c r="D4808"/>
    </row>
    <row r="4809" spans="1:4" x14ac:dyDescent="0.3">
      <c r="A4809" s="4" t="s">
        <v>19</v>
      </c>
      <c r="B4809" s="4">
        <v>749</v>
      </c>
      <c r="D4809"/>
    </row>
    <row r="4810" spans="1:4" x14ac:dyDescent="0.3">
      <c r="A4810" s="4" t="s">
        <v>10</v>
      </c>
      <c r="B4810" s="4">
        <v>880</v>
      </c>
      <c r="D4810"/>
    </row>
    <row r="4811" spans="1:4" x14ac:dyDescent="0.3">
      <c r="A4811" s="4" t="s">
        <v>19</v>
      </c>
      <c r="B4811" s="4">
        <v>127</v>
      </c>
      <c r="D4811"/>
    </row>
    <row r="4812" spans="1:4" x14ac:dyDescent="0.3">
      <c r="A4812" s="4" t="s">
        <v>15</v>
      </c>
      <c r="B4812" s="4">
        <v>845</v>
      </c>
      <c r="D4812"/>
    </row>
    <row r="4813" spans="1:4" x14ac:dyDescent="0.3">
      <c r="A4813" s="4" t="s">
        <v>15</v>
      </c>
      <c r="B4813" s="4">
        <v>650</v>
      </c>
      <c r="D4813"/>
    </row>
    <row r="4814" spans="1:4" x14ac:dyDescent="0.3">
      <c r="A4814" s="4" t="s">
        <v>9</v>
      </c>
      <c r="B4814" s="4">
        <v>240</v>
      </c>
      <c r="D4814"/>
    </row>
    <row r="4815" spans="1:4" x14ac:dyDescent="0.3">
      <c r="A4815" s="4" t="s">
        <v>3</v>
      </c>
      <c r="B4815" s="4">
        <v>253</v>
      </c>
      <c r="D4815"/>
    </row>
    <row r="4816" spans="1:4" x14ac:dyDescent="0.3">
      <c r="A4816" s="4" t="s">
        <v>18</v>
      </c>
      <c r="B4816" s="4">
        <v>502</v>
      </c>
      <c r="D4816"/>
    </row>
    <row r="4817" spans="1:4" x14ac:dyDescent="0.3">
      <c r="A4817" s="4" t="s">
        <v>8</v>
      </c>
      <c r="B4817" s="4">
        <v>548</v>
      </c>
      <c r="D4817"/>
    </row>
    <row r="4818" spans="1:4" x14ac:dyDescent="0.3">
      <c r="A4818" s="4" t="s">
        <v>6</v>
      </c>
      <c r="B4818" s="4">
        <v>308</v>
      </c>
      <c r="D4818"/>
    </row>
    <row r="4819" spans="1:4" x14ac:dyDescent="0.3">
      <c r="A4819" s="4" t="s">
        <v>14</v>
      </c>
      <c r="B4819" s="4">
        <v>977</v>
      </c>
      <c r="D4819"/>
    </row>
    <row r="4820" spans="1:4" x14ac:dyDescent="0.3">
      <c r="A4820" s="4" t="s">
        <v>10</v>
      </c>
      <c r="B4820" s="4">
        <v>619</v>
      </c>
      <c r="D4820"/>
    </row>
    <row r="4821" spans="1:4" x14ac:dyDescent="0.3">
      <c r="A4821" s="4" t="s">
        <v>7</v>
      </c>
      <c r="B4821" s="4">
        <v>842</v>
      </c>
      <c r="D4821"/>
    </row>
    <row r="4822" spans="1:4" x14ac:dyDescent="0.3">
      <c r="A4822" s="4" t="s">
        <v>15</v>
      </c>
      <c r="B4822" s="4">
        <v>400</v>
      </c>
      <c r="D4822"/>
    </row>
    <row r="4823" spans="1:4" x14ac:dyDescent="0.3">
      <c r="A4823" s="4" t="s">
        <v>19</v>
      </c>
      <c r="B4823" s="4">
        <v>587</v>
      </c>
      <c r="D4823"/>
    </row>
    <row r="4824" spans="1:4" x14ac:dyDescent="0.3">
      <c r="A4824" s="4" t="s">
        <v>8</v>
      </c>
      <c r="B4824" s="4">
        <v>881</v>
      </c>
      <c r="D4824"/>
    </row>
    <row r="4825" spans="1:4" x14ac:dyDescent="0.3">
      <c r="A4825" s="4" t="s">
        <v>3</v>
      </c>
      <c r="B4825" s="4">
        <v>945</v>
      </c>
      <c r="D4825"/>
    </row>
    <row r="4826" spans="1:4" x14ac:dyDescent="0.3">
      <c r="A4826" s="4" t="s">
        <v>12</v>
      </c>
      <c r="B4826" s="4">
        <v>693</v>
      </c>
      <c r="D4826"/>
    </row>
    <row r="4827" spans="1:4" x14ac:dyDescent="0.3">
      <c r="A4827" s="4" t="s">
        <v>19</v>
      </c>
      <c r="B4827" s="4">
        <v>357</v>
      </c>
      <c r="D4827"/>
    </row>
    <row r="4828" spans="1:4" x14ac:dyDescent="0.3">
      <c r="A4828" s="4" t="s">
        <v>10</v>
      </c>
      <c r="B4828" s="4">
        <v>469</v>
      </c>
      <c r="D4828"/>
    </row>
    <row r="4829" spans="1:4" x14ac:dyDescent="0.3">
      <c r="A4829" s="4" t="s">
        <v>12</v>
      </c>
      <c r="B4829" s="4">
        <v>323</v>
      </c>
      <c r="D4829"/>
    </row>
    <row r="4830" spans="1:4" x14ac:dyDescent="0.3">
      <c r="A4830" s="4" t="s">
        <v>19</v>
      </c>
      <c r="B4830" s="4">
        <v>975</v>
      </c>
      <c r="D4830"/>
    </row>
    <row r="4831" spans="1:4" x14ac:dyDescent="0.3">
      <c r="A4831" s="4" t="s">
        <v>6</v>
      </c>
      <c r="B4831" s="4">
        <v>146</v>
      </c>
      <c r="D4831"/>
    </row>
    <row r="4832" spans="1:4" x14ac:dyDescent="0.3">
      <c r="A4832" s="4" t="s">
        <v>14</v>
      </c>
      <c r="B4832" s="4">
        <v>319</v>
      </c>
      <c r="D4832"/>
    </row>
    <row r="4833" spans="1:4" x14ac:dyDescent="0.3">
      <c r="A4833" s="4" t="s">
        <v>3</v>
      </c>
      <c r="B4833" s="4">
        <v>354</v>
      </c>
      <c r="D4833"/>
    </row>
    <row r="4834" spans="1:4" x14ac:dyDescent="0.3">
      <c r="A4834" s="4" t="s">
        <v>7</v>
      </c>
      <c r="B4834" s="6">
        <v>822</v>
      </c>
      <c r="D4834"/>
    </row>
    <row r="4835" spans="1:4" x14ac:dyDescent="0.3">
      <c r="A4835" s="4" t="s">
        <v>17</v>
      </c>
      <c r="B4835" s="4">
        <v>990</v>
      </c>
      <c r="D4835"/>
    </row>
    <row r="4836" spans="1:4" x14ac:dyDescent="0.3">
      <c r="A4836" s="4" t="s">
        <v>3</v>
      </c>
      <c r="B4836" s="4">
        <v>749</v>
      </c>
      <c r="D4836"/>
    </row>
    <row r="4837" spans="1:4" x14ac:dyDescent="0.3">
      <c r="A4837" s="4" t="s">
        <v>11</v>
      </c>
      <c r="B4837" s="4">
        <v>550</v>
      </c>
      <c r="D4837"/>
    </row>
    <row r="4838" spans="1:4" x14ac:dyDescent="0.3">
      <c r="A4838" s="4" t="s">
        <v>6</v>
      </c>
      <c r="B4838" s="4">
        <v>640</v>
      </c>
      <c r="D4838"/>
    </row>
    <row r="4839" spans="1:4" x14ac:dyDescent="0.3">
      <c r="A4839" s="4" t="s">
        <v>14</v>
      </c>
      <c r="B4839" s="4">
        <v>426</v>
      </c>
      <c r="D4839"/>
    </row>
    <row r="4840" spans="1:4" x14ac:dyDescent="0.3">
      <c r="A4840" s="4" t="s">
        <v>9</v>
      </c>
      <c r="B4840" s="4">
        <v>235</v>
      </c>
      <c r="D4840"/>
    </row>
    <row r="4841" spans="1:4" x14ac:dyDescent="0.3">
      <c r="A4841" s="4" t="s">
        <v>13</v>
      </c>
      <c r="B4841" s="4">
        <v>335</v>
      </c>
      <c r="D4841"/>
    </row>
    <row r="4842" spans="1:4" x14ac:dyDescent="0.3">
      <c r="A4842" s="4" t="s">
        <v>13</v>
      </c>
      <c r="B4842" s="4">
        <v>357</v>
      </c>
      <c r="D4842"/>
    </row>
    <row r="4843" spans="1:4" x14ac:dyDescent="0.3">
      <c r="A4843" s="4" t="s">
        <v>9</v>
      </c>
      <c r="B4843" s="4">
        <v>847</v>
      </c>
      <c r="D4843"/>
    </row>
    <row r="4844" spans="1:4" x14ac:dyDescent="0.3">
      <c r="A4844" s="4" t="s">
        <v>9</v>
      </c>
      <c r="B4844" s="4">
        <v>528</v>
      </c>
      <c r="D4844"/>
    </row>
    <row r="4845" spans="1:4" x14ac:dyDescent="0.3">
      <c r="A4845" s="4" t="s">
        <v>16</v>
      </c>
      <c r="B4845" s="4">
        <v>709</v>
      </c>
      <c r="D4845"/>
    </row>
    <row r="4846" spans="1:4" x14ac:dyDescent="0.3">
      <c r="A4846" s="4" t="s">
        <v>10</v>
      </c>
      <c r="B4846" s="4">
        <v>574</v>
      </c>
      <c r="D4846"/>
    </row>
    <row r="4847" spans="1:4" x14ac:dyDescent="0.3">
      <c r="A4847" s="4" t="s">
        <v>3</v>
      </c>
      <c r="B4847" s="4">
        <v>943</v>
      </c>
      <c r="D4847"/>
    </row>
    <row r="4848" spans="1:4" x14ac:dyDescent="0.3">
      <c r="A4848" s="4" t="s">
        <v>14</v>
      </c>
      <c r="B4848" s="4" t="e">
        <v>#N/A</v>
      </c>
      <c r="D4848"/>
    </row>
    <row r="4849" spans="1:4" x14ac:dyDescent="0.3">
      <c r="A4849" s="4" t="s">
        <v>4</v>
      </c>
      <c r="B4849" s="4">
        <v>234</v>
      </c>
      <c r="D4849"/>
    </row>
    <row r="4850" spans="1:4" x14ac:dyDescent="0.3">
      <c r="A4850" s="4" t="s">
        <v>14</v>
      </c>
      <c r="B4850" s="4">
        <v>489</v>
      </c>
      <c r="D4850"/>
    </row>
    <row r="4851" spans="1:4" x14ac:dyDescent="0.3">
      <c r="A4851" s="4" t="s">
        <v>4</v>
      </c>
      <c r="B4851" s="4" t="e">
        <v>#REF!</v>
      </c>
      <c r="D4851"/>
    </row>
    <row r="4852" spans="1:4" x14ac:dyDescent="0.3">
      <c r="A4852" s="4" t="s">
        <v>15</v>
      </c>
      <c r="B4852" s="4">
        <v>181</v>
      </c>
      <c r="D4852"/>
    </row>
    <row r="4853" spans="1:4" x14ac:dyDescent="0.3">
      <c r="A4853" s="4" t="s">
        <v>7</v>
      </c>
      <c r="B4853" s="4">
        <v>618</v>
      </c>
      <c r="D4853"/>
    </row>
    <row r="4854" spans="1:4" x14ac:dyDescent="0.3">
      <c r="A4854" s="4" t="s">
        <v>7</v>
      </c>
      <c r="B4854" s="4">
        <v>167</v>
      </c>
      <c r="D4854"/>
    </row>
    <row r="4855" spans="1:4" x14ac:dyDescent="0.3">
      <c r="A4855" s="4" t="s">
        <v>13</v>
      </c>
      <c r="B4855" s="4">
        <v>918</v>
      </c>
      <c r="D4855"/>
    </row>
    <row r="4856" spans="1:4" x14ac:dyDescent="0.3">
      <c r="A4856" s="4" t="s">
        <v>14</v>
      </c>
      <c r="B4856" s="4">
        <v>693</v>
      </c>
      <c r="D4856"/>
    </row>
    <row r="4857" spans="1:4" x14ac:dyDescent="0.3">
      <c r="A4857" s="4" t="s">
        <v>14</v>
      </c>
      <c r="B4857" s="4">
        <v>261</v>
      </c>
      <c r="D4857"/>
    </row>
    <row r="4858" spans="1:4" x14ac:dyDescent="0.3">
      <c r="A4858" s="4" t="s">
        <v>10</v>
      </c>
      <c r="B4858" s="4">
        <v>960</v>
      </c>
      <c r="D4858"/>
    </row>
    <row r="4859" spans="1:4" x14ac:dyDescent="0.3">
      <c r="A4859" s="4" t="s">
        <v>14</v>
      </c>
      <c r="B4859" s="4">
        <v>352</v>
      </c>
      <c r="D4859"/>
    </row>
    <row r="4860" spans="1:4" x14ac:dyDescent="0.3">
      <c r="A4860" s="4" t="s">
        <v>13</v>
      </c>
      <c r="B4860" s="4">
        <v>341</v>
      </c>
      <c r="D4860"/>
    </row>
    <row r="4861" spans="1:4" x14ac:dyDescent="0.3">
      <c r="A4861" s="4" t="s">
        <v>10</v>
      </c>
      <c r="B4861" s="4">
        <v>139</v>
      </c>
      <c r="D4861"/>
    </row>
    <row r="4862" spans="1:4" x14ac:dyDescent="0.3">
      <c r="A4862" s="4" t="s">
        <v>11</v>
      </c>
      <c r="B4862" s="4">
        <v>177</v>
      </c>
      <c r="D4862"/>
    </row>
    <row r="4863" spans="1:4" x14ac:dyDescent="0.3">
      <c r="A4863" s="4" t="s">
        <v>3</v>
      </c>
      <c r="B4863" s="4">
        <v>871</v>
      </c>
      <c r="D4863"/>
    </row>
    <row r="4864" spans="1:4" x14ac:dyDescent="0.3">
      <c r="A4864" s="4" t="s">
        <v>7</v>
      </c>
      <c r="B4864" s="4">
        <v>230</v>
      </c>
      <c r="D4864"/>
    </row>
    <row r="4865" spans="1:4" x14ac:dyDescent="0.3">
      <c r="A4865" s="4" t="s">
        <v>12</v>
      </c>
      <c r="B4865" s="4">
        <v>824</v>
      </c>
      <c r="D4865"/>
    </row>
    <row r="4866" spans="1:4" x14ac:dyDescent="0.3">
      <c r="A4866" s="4" t="s">
        <v>10</v>
      </c>
      <c r="B4866" s="4">
        <v>177</v>
      </c>
      <c r="D4866"/>
    </row>
    <row r="4867" spans="1:4" x14ac:dyDescent="0.3">
      <c r="A4867" s="4" t="s">
        <v>11</v>
      </c>
      <c r="B4867" s="4">
        <v>877</v>
      </c>
      <c r="D4867"/>
    </row>
    <row r="4868" spans="1:4" x14ac:dyDescent="0.3">
      <c r="A4868" s="4" t="s">
        <v>10</v>
      </c>
      <c r="B4868" s="4">
        <v>416</v>
      </c>
      <c r="D4868"/>
    </row>
    <row r="4869" spans="1:4" x14ac:dyDescent="0.3">
      <c r="A4869" s="4" t="s">
        <v>6</v>
      </c>
      <c r="B4869" s="4">
        <v>260</v>
      </c>
      <c r="D4869"/>
    </row>
    <row r="4870" spans="1:4" x14ac:dyDescent="0.3">
      <c r="A4870" s="4" t="s">
        <v>7</v>
      </c>
      <c r="B4870" s="4">
        <v>565</v>
      </c>
      <c r="D4870"/>
    </row>
    <row r="4871" spans="1:4" x14ac:dyDescent="0.3">
      <c r="A4871" s="4" t="s">
        <v>14</v>
      </c>
      <c r="B4871" s="4">
        <v>815</v>
      </c>
      <c r="D4871"/>
    </row>
    <row r="4872" spans="1:4" x14ac:dyDescent="0.3">
      <c r="A4872" s="4" t="s">
        <v>13</v>
      </c>
      <c r="B4872" s="4">
        <v>893</v>
      </c>
      <c r="D4872"/>
    </row>
    <row r="4873" spans="1:4" x14ac:dyDescent="0.3">
      <c r="A4873" s="4" t="s">
        <v>18</v>
      </c>
      <c r="B4873" s="4">
        <v>483</v>
      </c>
      <c r="D4873"/>
    </row>
    <row r="4874" spans="1:4" x14ac:dyDescent="0.3">
      <c r="A4874" s="4" t="s">
        <v>9</v>
      </c>
      <c r="B4874" s="4">
        <v>732</v>
      </c>
      <c r="D4874"/>
    </row>
    <row r="4875" spans="1:4" x14ac:dyDescent="0.3">
      <c r="A4875" s="4" t="s">
        <v>12</v>
      </c>
      <c r="B4875" s="4">
        <v>673</v>
      </c>
      <c r="D4875"/>
    </row>
    <row r="4876" spans="1:4" x14ac:dyDescent="0.3">
      <c r="A4876" s="4" t="s">
        <v>10</v>
      </c>
      <c r="B4876" s="4">
        <v>466</v>
      </c>
      <c r="D4876"/>
    </row>
    <row r="4877" spans="1:4" x14ac:dyDescent="0.3">
      <c r="A4877" s="4" t="s">
        <v>3</v>
      </c>
      <c r="B4877" s="4">
        <v>196</v>
      </c>
      <c r="D4877"/>
    </row>
    <row r="4878" spans="1:4" x14ac:dyDescent="0.3">
      <c r="A4878" s="4" t="s">
        <v>10</v>
      </c>
      <c r="B4878" s="4">
        <v>247</v>
      </c>
      <c r="D4878"/>
    </row>
    <row r="4879" spans="1:4" x14ac:dyDescent="0.3">
      <c r="A4879" s="4" t="s">
        <v>19</v>
      </c>
      <c r="B4879" s="4">
        <v>933</v>
      </c>
      <c r="D4879"/>
    </row>
    <row r="4880" spans="1:4" x14ac:dyDescent="0.3">
      <c r="A4880" s="4" t="s">
        <v>8</v>
      </c>
      <c r="B4880" s="4">
        <v>311</v>
      </c>
      <c r="D4880"/>
    </row>
    <row r="4881" spans="1:4" x14ac:dyDescent="0.3">
      <c r="A4881" s="4" t="s">
        <v>7</v>
      </c>
      <c r="B4881" s="4">
        <v>412</v>
      </c>
      <c r="D4881"/>
    </row>
    <row r="4882" spans="1:4" x14ac:dyDescent="0.3">
      <c r="A4882" s="4" t="s">
        <v>16</v>
      </c>
      <c r="B4882" s="4">
        <v>620</v>
      </c>
      <c r="D4882"/>
    </row>
    <row r="4883" spans="1:4" x14ac:dyDescent="0.3">
      <c r="A4883" s="4" t="s">
        <v>10</v>
      </c>
      <c r="B4883" s="4">
        <v>655</v>
      </c>
      <c r="D4883"/>
    </row>
    <row r="4884" spans="1:4" x14ac:dyDescent="0.3">
      <c r="A4884" s="4" t="s">
        <v>4</v>
      </c>
      <c r="B4884" s="4">
        <v>767</v>
      </c>
      <c r="D4884"/>
    </row>
    <row r="4885" spans="1:4" x14ac:dyDescent="0.3">
      <c r="A4885" s="4" t="s">
        <v>10</v>
      </c>
      <c r="B4885" s="4">
        <v>730</v>
      </c>
      <c r="D4885"/>
    </row>
    <row r="4886" spans="1:4" x14ac:dyDescent="0.3">
      <c r="A4886" s="4" t="s">
        <v>3</v>
      </c>
      <c r="B4886" s="4">
        <v>793</v>
      </c>
      <c r="D4886"/>
    </row>
    <row r="4887" spans="1:4" x14ac:dyDescent="0.3">
      <c r="A4887" s="4" t="s">
        <v>9</v>
      </c>
      <c r="B4887" s="4">
        <v>212</v>
      </c>
      <c r="D4887"/>
    </row>
    <row r="4888" spans="1:4" x14ac:dyDescent="0.3">
      <c r="A4888" s="4" t="s">
        <v>17</v>
      </c>
      <c r="B4888" s="4">
        <v>629</v>
      </c>
      <c r="D4888"/>
    </row>
    <row r="4889" spans="1:4" x14ac:dyDescent="0.3">
      <c r="A4889" s="4" t="s">
        <v>6</v>
      </c>
      <c r="B4889" s="4">
        <v>179</v>
      </c>
      <c r="D4889"/>
    </row>
    <row r="4890" spans="1:4" x14ac:dyDescent="0.3">
      <c r="A4890" s="4" t="s">
        <v>11</v>
      </c>
      <c r="B4890" s="4">
        <v>275</v>
      </c>
      <c r="D4890"/>
    </row>
    <row r="4891" spans="1:4" x14ac:dyDescent="0.3">
      <c r="A4891" s="4" t="s">
        <v>7</v>
      </c>
      <c r="B4891" s="4">
        <v>520</v>
      </c>
      <c r="D4891"/>
    </row>
    <row r="4892" spans="1:4" x14ac:dyDescent="0.3">
      <c r="A4892" s="4" t="s">
        <v>18</v>
      </c>
      <c r="B4892" s="4">
        <v>511</v>
      </c>
      <c r="D4892"/>
    </row>
    <row r="4893" spans="1:4" x14ac:dyDescent="0.3">
      <c r="A4893" s="4" t="s">
        <v>7</v>
      </c>
      <c r="B4893" s="4">
        <v>244</v>
      </c>
      <c r="D4893"/>
    </row>
    <row r="4894" spans="1:4" x14ac:dyDescent="0.3">
      <c r="A4894" s="4" t="s">
        <v>6</v>
      </c>
      <c r="B4894" s="4">
        <v>678</v>
      </c>
      <c r="D4894"/>
    </row>
    <row r="4895" spans="1:4" x14ac:dyDescent="0.3">
      <c r="A4895" s="4" t="s">
        <v>10</v>
      </c>
      <c r="B4895" s="4">
        <v>864</v>
      </c>
      <c r="D4895"/>
    </row>
    <row r="4896" spans="1:4" x14ac:dyDescent="0.3">
      <c r="A4896" s="4" t="s">
        <v>4</v>
      </c>
      <c r="B4896" s="4">
        <v>616</v>
      </c>
      <c r="D4896"/>
    </row>
    <row r="4897" spans="1:4" x14ac:dyDescent="0.3">
      <c r="A4897" s="4" t="s">
        <v>9</v>
      </c>
      <c r="B4897" s="4">
        <v>701</v>
      </c>
      <c r="D4897"/>
    </row>
    <row r="4898" spans="1:4" x14ac:dyDescent="0.3">
      <c r="A4898" s="4" t="s">
        <v>7</v>
      </c>
      <c r="B4898" s="4">
        <v>482</v>
      </c>
      <c r="D4898"/>
    </row>
    <row r="4899" spans="1:4" x14ac:dyDescent="0.3">
      <c r="A4899" s="4" t="s">
        <v>7</v>
      </c>
      <c r="B4899" s="4">
        <v>182</v>
      </c>
      <c r="D4899"/>
    </row>
    <row r="4900" spans="1:4" x14ac:dyDescent="0.3">
      <c r="A4900" s="4" t="s">
        <v>4</v>
      </c>
      <c r="B4900" s="4">
        <v>398</v>
      </c>
      <c r="D4900"/>
    </row>
    <row r="4901" spans="1:4" x14ac:dyDescent="0.3">
      <c r="A4901" s="4" t="s">
        <v>10</v>
      </c>
      <c r="B4901" s="4">
        <v>406</v>
      </c>
      <c r="D4901"/>
    </row>
    <row r="4902" spans="1:4" x14ac:dyDescent="0.3">
      <c r="A4902" s="4" t="s">
        <v>9</v>
      </c>
      <c r="B4902" s="4">
        <v>227</v>
      </c>
      <c r="D4902"/>
    </row>
    <row r="4903" spans="1:4" x14ac:dyDescent="0.3">
      <c r="A4903" s="4" t="s">
        <v>19</v>
      </c>
      <c r="B4903" s="4">
        <v>234</v>
      </c>
      <c r="D4903"/>
    </row>
    <row r="4904" spans="1:4" x14ac:dyDescent="0.3">
      <c r="A4904" s="4" t="s">
        <v>4</v>
      </c>
      <c r="B4904" s="4">
        <v>289</v>
      </c>
      <c r="D4904"/>
    </row>
    <row r="4905" spans="1:4" x14ac:dyDescent="0.3">
      <c r="A4905" s="4" t="s">
        <v>8</v>
      </c>
      <c r="B4905" s="4">
        <v>637</v>
      </c>
      <c r="D4905"/>
    </row>
    <row r="4906" spans="1:4" x14ac:dyDescent="0.3">
      <c r="A4906" s="4" t="s">
        <v>18</v>
      </c>
      <c r="B4906" s="4">
        <v>216</v>
      </c>
      <c r="D4906"/>
    </row>
    <row r="4907" spans="1:4" x14ac:dyDescent="0.3">
      <c r="A4907" s="4" t="s">
        <v>6</v>
      </c>
      <c r="B4907" s="4">
        <v>360</v>
      </c>
      <c r="D4907"/>
    </row>
    <row r="4908" spans="1:4" x14ac:dyDescent="0.3">
      <c r="A4908" s="4" t="s">
        <v>17</v>
      </c>
      <c r="B4908" s="4">
        <v>839</v>
      </c>
      <c r="D4908"/>
    </row>
    <row r="4909" spans="1:4" x14ac:dyDescent="0.3">
      <c r="A4909" s="4" t="s">
        <v>7</v>
      </c>
      <c r="B4909" s="4">
        <v>802</v>
      </c>
      <c r="D4909"/>
    </row>
    <row r="4910" spans="1:4" x14ac:dyDescent="0.3">
      <c r="A4910" s="4" t="s">
        <v>7</v>
      </c>
      <c r="B4910" s="4">
        <v>969</v>
      </c>
      <c r="D4910"/>
    </row>
    <row r="4911" spans="1:4" x14ac:dyDescent="0.3">
      <c r="A4911" s="4" t="s">
        <v>9</v>
      </c>
      <c r="B4911" s="4">
        <v>977</v>
      </c>
      <c r="D4911"/>
    </row>
    <row r="4912" spans="1:4" x14ac:dyDescent="0.3">
      <c r="A4912" s="4" t="s">
        <v>4</v>
      </c>
      <c r="B4912" s="4">
        <v>174</v>
      </c>
      <c r="D4912"/>
    </row>
    <row r="4913" spans="1:4" x14ac:dyDescent="0.3">
      <c r="A4913" s="4" t="s">
        <v>12</v>
      </c>
      <c r="B4913" s="4">
        <v>539</v>
      </c>
      <c r="D4913"/>
    </row>
    <row r="4914" spans="1:4" x14ac:dyDescent="0.3">
      <c r="A4914" s="4" t="s">
        <v>18</v>
      </c>
      <c r="B4914" s="4">
        <v>854</v>
      </c>
      <c r="D4914"/>
    </row>
    <row r="4915" spans="1:4" x14ac:dyDescent="0.3">
      <c r="A4915" s="4" t="s">
        <v>10</v>
      </c>
      <c r="B4915" s="4">
        <v>990</v>
      </c>
      <c r="D4915"/>
    </row>
    <row r="4916" spans="1:4" x14ac:dyDescent="0.3">
      <c r="A4916" s="4" t="s">
        <v>12</v>
      </c>
      <c r="B4916" s="4">
        <v>711</v>
      </c>
      <c r="D4916"/>
    </row>
    <row r="4917" spans="1:4" x14ac:dyDescent="0.3">
      <c r="A4917" s="4" t="s">
        <v>9</v>
      </c>
      <c r="B4917" s="4">
        <v>817</v>
      </c>
      <c r="D4917"/>
    </row>
    <row r="4918" spans="1:4" x14ac:dyDescent="0.3">
      <c r="A4918" s="4" t="s">
        <v>4</v>
      </c>
      <c r="B4918" s="4">
        <v>637</v>
      </c>
      <c r="D4918"/>
    </row>
    <row r="4919" spans="1:4" x14ac:dyDescent="0.3">
      <c r="A4919" s="4" t="s">
        <v>4</v>
      </c>
      <c r="B4919" s="4">
        <v>702</v>
      </c>
      <c r="D4919"/>
    </row>
    <row r="4920" spans="1:4" x14ac:dyDescent="0.3">
      <c r="A4920" s="4" t="s">
        <v>3</v>
      </c>
      <c r="B4920" s="4">
        <v>639</v>
      </c>
      <c r="D4920"/>
    </row>
    <row r="4921" spans="1:4" x14ac:dyDescent="0.3">
      <c r="A4921" s="4" t="s">
        <v>7</v>
      </c>
      <c r="B4921" s="4">
        <v>739</v>
      </c>
      <c r="D4921"/>
    </row>
    <row r="4922" spans="1:4" x14ac:dyDescent="0.3">
      <c r="A4922" s="4" t="s">
        <v>4</v>
      </c>
      <c r="B4922" s="4">
        <v>506</v>
      </c>
      <c r="D4922"/>
    </row>
    <row r="4923" spans="1:4" x14ac:dyDescent="0.3">
      <c r="A4923" s="4" t="s">
        <v>11</v>
      </c>
      <c r="B4923" s="4">
        <v>576</v>
      </c>
      <c r="D4923"/>
    </row>
    <row r="4924" spans="1:4" x14ac:dyDescent="0.3">
      <c r="A4924" s="4" t="s">
        <v>4</v>
      </c>
      <c r="B4924" s="4">
        <v>532</v>
      </c>
      <c r="D4924"/>
    </row>
    <row r="4925" spans="1:4" x14ac:dyDescent="0.3">
      <c r="A4925" s="4" t="s">
        <v>12</v>
      </c>
      <c r="B4925" s="4">
        <v>851</v>
      </c>
      <c r="D4925"/>
    </row>
    <row r="4926" spans="1:4" x14ac:dyDescent="0.3">
      <c r="A4926" s="4" t="s">
        <v>3</v>
      </c>
      <c r="B4926" s="4">
        <v>831</v>
      </c>
      <c r="D4926"/>
    </row>
    <row r="4927" spans="1:4" x14ac:dyDescent="0.3">
      <c r="A4927" s="4" t="s">
        <v>4</v>
      </c>
      <c r="B4927" s="4">
        <v>783</v>
      </c>
      <c r="D4927"/>
    </row>
    <row r="4928" spans="1:4" x14ac:dyDescent="0.3">
      <c r="A4928" s="4" t="s">
        <v>10</v>
      </c>
      <c r="B4928" s="4">
        <v>478</v>
      </c>
      <c r="D4928"/>
    </row>
    <row r="4929" spans="1:4" x14ac:dyDescent="0.3">
      <c r="A4929" s="4" t="s">
        <v>12</v>
      </c>
      <c r="B4929" s="4">
        <v>104</v>
      </c>
      <c r="D4929"/>
    </row>
    <row r="4930" spans="1:4" x14ac:dyDescent="0.3">
      <c r="A4930" s="4" t="s">
        <v>8</v>
      </c>
      <c r="B4930" s="4">
        <v>942</v>
      </c>
      <c r="D4930"/>
    </row>
    <row r="4931" spans="1:4" x14ac:dyDescent="0.3">
      <c r="A4931" s="4" t="s">
        <v>19</v>
      </c>
      <c r="B4931" s="4">
        <v>702</v>
      </c>
      <c r="D4931"/>
    </row>
    <row r="4932" spans="1:4" x14ac:dyDescent="0.3">
      <c r="A4932" s="4" t="s">
        <v>14</v>
      </c>
      <c r="B4932" s="4">
        <v>639</v>
      </c>
      <c r="D4932"/>
    </row>
    <row r="4933" spans="1:4" x14ac:dyDescent="0.3">
      <c r="A4933" s="4" t="s">
        <v>17</v>
      </c>
      <c r="B4933" s="4">
        <v>793</v>
      </c>
      <c r="D4933"/>
    </row>
    <row r="4934" spans="1:4" x14ac:dyDescent="0.3">
      <c r="A4934" s="4" t="s">
        <v>9</v>
      </c>
      <c r="B4934" s="4">
        <v>581</v>
      </c>
      <c r="D4934"/>
    </row>
    <row r="4935" spans="1:4" x14ac:dyDescent="0.3">
      <c r="A4935" s="4" t="s">
        <v>7</v>
      </c>
      <c r="B4935" s="4">
        <v>891</v>
      </c>
      <c r="D4935"/>
    </row>
    <row r="4936" spans="1:4" x14ac:dyDescent="0.3">
      <c r="A4936" s="4" t="s">
        <v>11</v>
      </c>
      <c r="B4936" s="4">
        <v>299</v>
      </c>
      <c r="D4936"/>
    </row>
    <row r="4937" spans="1:4" x14ac:dyDescent="0.3">
      <c r="A4937" s="4" t="s">
        <v>4</v>
      </c>
      <c r="B4937" s="4">
        <v>494</v>
      </c>
      <c r="D4937"/>
    </row>
    <row r="4938" spans="1:4" x14ac:dyDescent="0.3">
      <c r="A4938" s="4" t="s">
        <v>12</v>
      </c>
      <c r="B4938" s="4">
        <v>355</v>
      </c>
      <c r="D4938"/>
    </row>
    <row r="4939" spans="1:4" x14ac:dyDescent="0.3">
      <c r="A4939" s="4" t="s">
        <v>11</v>
      </c>
      <c r="B4939" s="4">
        <v>865</v>
      </c>
      <c r="D4939"/>
    </row>
    <row r="4940" spans="1:4" x14ac:dyDescent="0.3">
      <c r="A4940" s="4" t="s">
        <v>4</v>
      </c>
      <c r="B4940" s="4">
        <v>805</v>
      </c>
      <c r="D4940"/>
    </row>
    <row r="4941" spans="1:4" x14ac:dyDescent="0.3">
      <c r="A4941" s="4" t="s">
        <v>14</v>
      </c>
      <c r="B4941" s="4">
        <v>657</v>
      </c>
      <c r="D4941"/>
    </row>
    <row r="4942" spans="1:4" x14ac:dyDescent="0.3">
      <c r="A4942" s="4" t="s">
        <v>4</v>
      </c>
      <c r="B4942" s="4">
        <v>431</v>
      </c>
      <c r="D4942"/>
    </row>
    <row r="4943" spans="1:4" x14ac:dyDescent="0.3">
      <c r="A4943" s="4" t="s">
        <v>18</v>
      </c>
      <c r="B4943" s="4">
        <v>388</v>
      </c>
      <c r="D4943"/>
    </row>
    <row r="4944" spans="1:4" x14ac:dyDescent="0.3">
      <c r="A4944" s="4" t="s">
        <v>12</v>
      </c>
      <c r="B4944" s="4">
        <v>671</v>
      </c>
      <c r="D4944"/>
    </row>
    <row r="4945" spans="1:4" x14ac:dyDescent="0.3">
      <c r="A4945" s="4" t="s">
        <v>9</v>
      </c>
      <c r="B4945" s="4">
        <v>495</v>
      </c>
      <c r="D4945"/>
    </row>
    <row r="4946" spans="1:4" x14ac:dyDescent="0.3">
      <c r="A4946" s="4" t="s">
        <v>18</v>
      </c>
      <c r="B4946" s="4">
        <v>434</v>
      </c>
      <c r="D4946"/>
    </row>
    <row r="4947" spans="1:4" x14ac:dyDescent="0.3">
      <c r="A4947" s="4" t="s">
        <v>12</v>
      </c>
      <c r="B4947" s="4">
        <v>360</v>
      </c>
      <c r="D4947"/>
    </row>
    <row r="4948" spans="1:4" x14ac:dyDescent="0.3">
      <c r="A4948" s="4" t="s">
        <v>17</v>
      </c>
      <c r="B4948" s="4">
        <v>587</v>
      </c>
      <c r="D4948"/>
    </row>
    <row r="4949" spans="1:4" x14ac:dyDescent="0.3">
      <c r="A4949" s="4" t="s">
        <v>15</v>
      </c>
      <c r="B4949" s="4">
        <v>798</v>
      </c>
      <c r="D4949"/>
    </row>
    <row r="4950" spans="1:4" x14ac:dyDescent="0.3">
      <c r="A4950" s="4" t="s">
        <v>10</v>
      </c>
      <c r="B4950" s="4">
        <v>863</v>
      </c>
      <c r="D4950"/>
    </row>
    <row r="4951" spans="1:4" x14ac:dyDescent="0.3">
      <c r="A4951" s="4" t="s">
        <v>6</v>
      </c>
      <c r="B4951" s="4">
        <v>786</v>
      </c>
      <c r="D4951"/>
    </row>
    <row r="4952" spans="1:4" x14ac:dyDescent="0.3">
      <c r="A4952" s="4" t="s">
        <v>3</v>
      </c>
      <c r="B4952" s="4">
        <v>657</v>
      </c>
      <c r="D4952"/>
    </row>
    <row r="4953" spans="1:4" x14ac:dyDescent="0.3">
      <c r="A4953" s="4" t="s">
        <v>8</v>
      </c>
      <c r="B4953" s="4">
        <v>220</v>
      </c>
      <c r="D4953"/>
    </row>
    <row r="4954" spans="1:4" x14ac:dyDescent="0.3">
      <c r="A4954" s="4" t="s">
        <v>18</v>
      </c>
      <c r="B4954" s="4">
        <v>566</v>
      </c>
      <c r="D4954"/>
    </row>
    <row r="4955" spans="1:4" x14ac:dyDescent="0.3">
      <c r="A4955" s="4" t="s">
        <v>16</v>
      </c>
      <c r="B4955" s="4">
        <v>292</v>
      </c>
      <c r="D4955"/>
    </row>
    <row r="4956" spans="1:4" x14ac:dyDescent="0.3">
      <c r="A4956" s="4" t="s">
        <v>9</v>
      </c>
      <c r="B4956" s="4">
        <v>851</v>
      </c>
      <c r="D4956"/>
    </row>
    <row r="4957" spans="1:4" x14ac:dyDescent="0.3">
      <c r="A4957" s="4" t="s">
        <v>11</v>
      </c>
      <c r="B4957" s="4">
        <v>492</v>
      </c>
      <c r="D4957"/>
    </row>
    <row r="4958" spans="1:4" x14ac:dyDescent="0.3">
      <c r="A4958" s="4" t="s">
        <v>18</v>
      </c>
      <c r="B4958" s="4">
        <v>187</v>
      </c>
      <c r="D4958"/>
    </row>
    <row r="4959" spans="1:4" x14ac:dyDescent="0.3">
      <c r="A4959" s="4" t="s">
        <v>11</v>
      </c>
      <c r="B4959" s="4">
        <v>555</v>
      </c>
      <c r="D4959"/>
    </row>
    <row r="4960" spans="1:4" x14ac:dyDescent="0.3">
      <c r="A4960" s="4" t="s">
        <v>13</v>
      </c>
      <c r="B4960" s="4">
        <v>558</v>
      </c>
      <c r="D4960"/>
    </row>
    <row r="4961" spans="1:4" x14ac:dyDescent="0.3">
      <c r="A4961" s="4" t="s">
        <v>11</v>
      </c>
      <c r="B4961" s="4">
        <v>752</v>
      </c>
      <c r="D4961"/>
    </row>
    <row r="4962" spans="1:4" x14ac:dyDescent="0.3">
      <c r="A4962" s="4" t="s">
        <v>9</v>
      </c>
      <c r="B4962" s="4">
        <v>690</v>
      </c>
      <c r="D4962"/>
    </row>
    <row r="4963" spans="1:4" x14ac:dyDescent="0.3">
      <c r="A4963" s="4" t="s">
        <v>15</v>
      </c>
      <c r="B4963" s="4">
        <v>406</v>
      </c>
      <c r="D4963"/>
    </row>
    <row r="4964" spans="1:4" x14ac:dyDescent="0.3">
      <c r="A4964" s="4" t="s">
        <v>19</v>
      </c>
      <c r="B4964" s="4">
        <v>986</v>
      </c>
      <c r="D4964"/>
    </row>
    <row r="4965" spans="1:4" x14ac:dyDescent="0.3">
      <c r="A4965" s="4" t="s">
        <v>15</v>
      </c>
      <c r="B4965" s="4">
        <v>234</v>
      </c>
      <c r="D4965"/>
    </row>
    <row r="4966" spans="1:4" x14ac:dyDescent="0.3">
      <c r="A4966" s="4" t="s">
        <v>7</v>
      </c>
      <c r="B4966" s="4">
        <v>202</v>
      </c>
      <c r="D4966"/>
    </row>
    <row r="4967" spans="1:4" x14ac:dyDescent="0.3">
      <c r="A4967" s="4" t="s">
        <v>7</v>
      </c>
      <c r="B4967" s="4">
        <v>127</v>
      </c>
      <c r="D4967"/>
    </row>
    <row r="4968" spans="1:4" x14ac:dyDescent="0.3">
      <c r="A4968" s="4" t="s">
        <v>12</v>
      </c>
      <c r="B4968" s="4">
        <v>581</v>
      </c>
      <c r="D4968"/>
    </row>
    <row r="4969" spans="1:4" x14ac:dyDescent="0.3">
      <c r="A4969" s="4" t="s">
        <v>19</v>
      </c>
      <c r="B4969" s="4">
        <v>134</v>
      </c>
      <c r="D4969"/>
    </row>
    <row r="4970" spans="1:4" x14ac:dyDescent="0.3">
      <c r="A4970" s="4" t="s">
        <v>11</v>
      </c>
      <c r="B4970" s="4">
        <v>374</v>
      </c>
      <c r="D4970"/>
    </row>
    <row r="4971" spans="1:4" x14ac:dyDescent="0.3">
      <c r="A4971" s="4" t="s">
        <v>18</v>
      </c>
      <c r="B4971" s="4">
        <v>409</v>
      </c>
      <c r="D4971"/>
    </row>
    <row r="4972" spans="1:4" x14ac:dyDescent="0.3">
      <c r="A4972" s="4" t="s">
        <v>9</v>
      </c>
      <c r="B4972" s="4">
        <v>618</v>
      </c>
      <c r="D4972"/>
    </row>
    <row r="4973" spans="1:4" x14ac:dyDescent="0.3">
      <c r="A4973" s="4" t="s">
        <v>7</v>
      </c>
      <c r="B4973" s="4">
        <v>864</v>
      </c>
      <c r="D4973"/>
    </row>
    <row r="4974" spans="1:4" x14ac:dyDescent="0.3">
      <c r="A4974" s="4" t="s">
        <v>10</v>
      </c>
      <c r="B4974" s="4">
        <v>638</v>
      </c>
      <c r="D4974"/>
    </row>
    <row r="4975" spans="1:4" x14ac:dyDescent="0.3">
      <c r="A4975" s="4" t="s">
        <v>10</v>
      </c>
      <c r="B4975" s="4">
        <v>238</v>
      </c>
      <c r="D4975"/>
    </row>
    <row r="4976" spans="1:4" x14ac:dyDescent="0.3">
      <c r="A4976" s="4" t="s">
        <v>4</v>
      </c>
      <c r="B4976" s="4">
        <v>820</v>
      </c>
      <c r="D4976"/>
    </row>
    <row r="4977" spans="1:4" x14ac:dyDescent="0.3">
      <c r="A4977" s="4" t="s">
        <v>3</v>
      </c>
      <c r="B4977" s="4">
        <v>669</v>
      </c>
      <c r="D4977"/>
    </row>
    <row r="4978" spans="1:4" x14ac:dyDescent="0.3">
      <c r="A4978" s="4" t="s">
        <v>16</v>
      </c>
      <c r="B4978" s="4">
        <v>265</v>
      </c>
      <c r="D4978"/>
    </row>
    <row r="4979" spans="1:4" x14ac:dyDescent="0.3">
      <c r="A4979" s="4" t="s">
        <v>6</v>
      </c>
      <c r="B4979" s="4">
        <v>643</v>
      </c>
      <c r="D4979"/>
    </row>
    <row r="4980" spans="1:4" x14ac:dyDescent="0.3">
      <c r="A4980" s="4" t="s">
        <v>8</v>
      </c>
      <c r="B4980" s="4">
        <v>826</v>
      </c>
      <c r="D4980"/>
    </row>
    <row r="4981" spans="1:4" x14ac:dyDescent="0.3">
      <c r="A4981" s="4" t="s">
        <v>12</v>
      </c>
      <c r="B4981" s="4">
        <v>573</v>
      </c>
      <c r="D4981"/>
    </row>
    <row r="4982" spans="1:4" x14ac:dyDescent="0.3">
      <c r="A4982" s="4" t="s">
        <v>4</v>
      </c>
      <c r="B4982" s="4">
        <v>673</v>
      </c>
      <c r="D4982"/>
    </row>
    <row r="4983" spans="1:4" x14ac:dyDescent="0.3">
      <c r="A4983" s="4" t="s">
        <v>10</v>
      </c>
      <c r="B4983" s="4">
        <v>694</v>
      </c>
      <c r="D4983"/>
    </row>
    <row r="4984" spans="1:4" x14ac:dyDescent="0.3">
      <c r="A4984" s="4" t="s">
        <v>9</v>
      </c>
      <c r="B4984" s="4">
        <v>523</v>
      </c>
      <c r="D4984"/>
    </row>
    <row r="4985" spans="1:4" x14ac:dyDescent="0.3">
      <c r="A4985" s="4" t="s">
        <v>17</v>
      </c>
      <c r="B4985" s="4">
        <v>723</v>
      </c>
      <c r="D4985"/>
    </row>
    <row r="4986" spans="1:4" x14ac:dyDescent="0.3">
      <c r="A4986" s="4" t="s">
        <v>16</v>
      </c>
      <c r="B4986" s="4">
        <v>674</v>
      </c>
      <c r="D4986"/>
    </row>
    <row r="4987" spans="1:4" x14ac:dyDescent="0.3">
      <c r="A4987" s="4" t="s">
        <v>4</v>
      </c>
      <c r="B4987" s="4">
        <v>136</v>
      </c>
      <c r="D4987"/>
    </row>
    <row r="4988" spans="1:4" x14ac:dyDescent="0.3">
      <c r="A4988" s="4" t="s">
        <v>6</v>
      </c>
      <c r="B4988" s="4">
        <v>327</v>
      </c>
      <c r="D4988"/>
    </row>
    <row r="4989" spans="1:4" x14ac:dyDescent="0.3">
      <c r="A4989" s="4" t="s">
        <v>19</v>
      </c>
      <c r="B4989" s="4">
        <v>831</v>
      </c>
      <c r="D4989"/>
    </row>
    <row r="4990" spans="1:4" x14ac:dyDescent="0.3">
      <c r="A4990" s="4" t="s">
        <v>17</v>
      </c>
      <c r="B4990" s="4">
        <v>293</v>
      </c>
      <c r="D4990"/>
    </row>
    <row r="4991" spans="1:4" x14ac:dyDescent="0.3">
      <c r="A4991" s="4" t="s">
        <v>10</v>
      </c>
      <c r="B4991" s="4">
        <v>309</v>
      </c>
      <c r="D4991"/>
    </row>
    <row r="4992" spans="1:4" x14ac:dyDescent="0.3">
      <c r="A4992" s="4" t="s">
        <v>8</v>
      </c>
      <c r="B4992" s="4">
        <v>833</v>
      </c>
      <c r="D4992"/>
    </row>
    <row r="4993" spans="1:4" x14ac:dyDescent="0.3">
      <c r="A4993" s="4" t="s">
        <v>12</v>
      </c>
      <c r="B4993" s="4">
        <v>204</v>
      </c>
      <c r="D4993"/>
    </row>
    <row r="4994" spans="1:4" x14ac:dyDescent="0.3">
      <c r="A4994" s="4" t="s">
        <v>18</v>
      </c>
      <c r="B4994" s="4">
        <v>613</v>
      </c>
      <c r="D4994"/>
    </row>
    <row r="4995" spans="1:4" x14ac:dyDescent="0.3">
      <c r="A4995" s="4" t="s">
        <v>10</v>
      </c>
      <c r="B4995" s="4">
        <v>946</v>
      </c>
      <c r="D4995"/>
    </row>
    <row r="4996" spans="1:4" x14ac:dyDescent="0.3">
      <c r="A4996" s="4" t="s">
        <v>14</v>
      </c>
      <c r="B4996" s="4">
        <v>143</v>
      </c>
      <c r="D4996"/>
    </row>
    <row r="4997" spans="1:4" x14ac:dyDescent="0.3">
      <c r="A4997" s="4" t="s">
        <v>15</v>
      </c>
      <c r="B4997" s="4">
        <v>814</v>
      </c>
      <c r="D4997"/>
    </row>
    <row r="4998" spans="1:4" x14ac:dyDescent="0.3">
      <c r="A4998" s="4" t="s">
        <v>18</v>
      </c>
      <c r="B4998" s="4">
        <v>495</v>
      </c>
      <c r="D4998"/>
    </row>
    <row r="4999" spans="1:4" x14ac:dyDescent="0.3">
      <c r="A4999" s="4" t="s">
        <v>14</v>
      </c>
      <c r="B4999" s="4">
        <v>509</v>
      </c>
      <c r="D4999"/>
    </row>
    <row r="5000" spans="1:4" x14ac:dyDescent="0.3">
      <c r="A5000" s="4" t="s">
        <v>10</v>
      </c>
      <c r="B5000" s="4">
        <v>793</v>
      </c>
      <c r="D5000"/>
    </row>
    <row r="5001" spans="1:4" x14ac:dyDescent="0.3">
      <c r="A5001" s="4" t="s">
        <v>18</v>
      </c>
      <c r="B5001" s="4">
        <v>394</v>
      </c>
      <c r="D5001"/>
    </row>
    <row r="5002" spans="1:4" x14ac:dyDescent="0.3">
      <c r="A5002" s="4" t="s">
        <v>15</v>
      </c>
      <c r="B5002" s="4">
        <v>561</v>
      </c>
      <c r="D5002"/>
    </row>
    <row r="5003" spans="1:4" x14ac:dyDescent="0.3">
      <c r="A5003" s="4" t="s">
        <v>8</v>
      </c>
      <c r="B5003" s="4">
        <v>628</v>
      </c>
      <c r="D5003"/>
    </row>
    <row r="5004" spans="1:4" x14ac:dyDescent="0.3">
      <c r="A5004" s="4" t="s">
        <v>15</v>
      </c>
      <c r="B5004" s="4">
        <v>461</v>
      </c>
      <c r="D5004"/>
    </row>
    <row r="5005" spans="1:4" x14ac:dyDescent="0.3">
      <c r="A5005" s="4" t="s">
        <v>17</v>
      </c>
      <c r="B5005" s="4">
        <v>438</v>
      </c>
      <c r="D5005"/>
    </row>
    <row r="5006" spans="1:4" x14ac:dyDescent="0.3">
      <c r="A5006" s="4" t="s">
        <v>8</v>
      </c>
      <c r="B5006" s="4">
        <v>778</v>
      </c>
      <c r="D5006"/>
    </row>
    <row r="5007" spans="1:4" x14ac:dyDescent="0.3">
      <c r="A5007" s="4" t="s">
        <v>9</v>
      </c>
      <c r="B5007" s="4">
        <v>653</v>
      </c>
      <c r="D5007"/>
    </row>
    <row r="5008" spans="1:4" x14ac:dyDescent="0.3">
      <c r="A5008" s="4" t="s">
        <v>9</v>
      </c>
      <c r="B5008" s="4">
        <v>154</v>
      </c>
      <c r="D5008"/>
    </row>
    <row r="5009" spans="1:4" x14ac:dyDescent="0.3">
      <c r="A5009" s="4" t="s">
        <v>9</v>
      </c>
      <c r="B5009" s="4">
        <v>706</v>
      </c>
      <c r="D5009"/>
    </row>
    <row r="5010" spans="1:4" x14ac:dyDescent="0.3">
      <c r="A5010" s="4" t="s">
        <v>12</v>
      </c>
      <c r="B5010" s="4">
        <v>950</v>
      </c>
      <c r="D5010"/>
    </row>
    <row r="5011" spans="1:4" x14ac:dyDescent="0.3">
      <c r="A5011" s="4" t="s">
        <v>4</v>
      </c>
      <c r="B5011" s="4">
        <v>796</v>
      </c>
      <c r="D5011"/>
    </row>
    <row r="5012" spans="1:4" x14ac:dyDescent="0.3">
      <c r="A5012" s="4" t="s">
        <v>14</v>
      </c>
      <c r="B5012" s="4">
        <v>743</v>
      </c>
      <c r="D5012"/>
    </row>
    <row r="5013" spans="1:4" x14ac:dyDescent="0.3">
      <c r="A5013" s="4" t="s">
        <v>9</v>
      </c>
      <c r="B5013" s="4">
        <v>51</v>
      </c>
      <c r="D5013"/>
    </row>
    <row r="5014" spans="1:4" x14ac:dyDescent="0.3">
      <c r="A5014" s="4" t="s">
        <v>17</v>
      </c>
      <c r="B5014" s="4">
        <v>125</v>
      </c>
      <c r="D5014"/>
    </row>
    <row r="5015" spans="1:4" x14ac:dyDescent="0.3">
      <c r="A5015" s="4" t="s">
        <v>14</v>
      </c>
      <c r="B5015" s="4">
        <v>809</v>
      </c>
      <c r="D5015"/>
    </row>
    <row r="5016" spans="1:4" x14ac:dyDescent="0.3">
      <c r="A5016" s="4" t="s">
        <v>11</v>
      </c>
      <c r="B5016" s="4">
        <v>347</v>
      </c>
      <c r="D5016"/>
    </row>
    <row r="5017" spans="1:4" x14ac:dyDescent="0.3">
      <c r="A5017" s="4" t="s">
        <v>15</v>
      </c>
      <c r="B5017" s="4">
        <v>130</v>
      </c>
      <c r="D5017"/>
    </row>
    <row r="5018" spans="1:4" x14ac:dyDescent="0.3">
      <c r="A5018" s="4" t="s">
        <v>11</v>
      </c>
      <c r="B5018" s="4">
        <v>155</v>
      </c>
      <c r="D5018"/>
    </row>
    <row r="5019" spans="1:4" x14ac:dyDescent="0.3">
      <c r="A5019" s="4" t="s">
        <v>18</v>
      </c>
      <c r="B5019" s="4">
        <v>236</v>
      </c>
      <c r="D5019"/>
    </row>
    <row r="5020" spans="1:4" x14ac:dyDescent="0.3">
      <c r="A5020" s="4" t="s">
        <v>6</v>
      </c>
      <c r="B5020" s="4">
        <v>147</v>
      </c>
      <c r="D5020"/>
    </row>
    <row r="5021" spans="1:4" x14ac:dyDescent="0.3">
      <c r="A5021" s="4" t="s">
        <v>11</v>
      </c>
      <c r="B5021" s="4">
        <v>851</v>
      </c>
      <c r="D5021"/>
    </row>
    <row r="5022" spans="1:4" x14ac:dyDescent="0.3">
      <c r="A5022" s="4" t="s">
        <v>3</v>
      </c>
      <c r="B5022" s="4">
        <v>934</v>
      </c>
      <c r="D5022"/>
    </row>
    <row r="5023" spans="1:4" x14ac:dyDescent="0.3">
      <c r="A5023" s="4" t="s">
        <v>10</v>
      </c>
      <c r="B5023" s="4">
        <v>2</v>
      </c>
      <c r="D5023"/>
    </row>
    <row r="5024" spans="1:4" x14ac:dyDescent="0.3">
      <c r="A5024" s="4" t="s">
        <v>4</v>
      </c>
      <c r="B5024" s="4">
        <v>750</v>
      </c>
      <c r="D5024"/>
    </row>
    <row r="5025" spans="1:4" x14ac:dyDescent="0.3">
      <c r="A5025" s="4" t="s">
        <v>8</v>
      </c>
      <c r="B5025" s="4" t="e">
        <v>#REF!</v>
      </c>
      <c r="D5025"/>
    </row>
    <row r="5026" spans="1:4" x14ac:dyDescent="0.3">
      <c r="A5026" s="4" t="s">
        <v>6</v>
      </c>
      <c r="B5026" s="4">
        <v>888</v>
      </c>
      <c r="D5026"/>
    </row>
    <row r="5027" spans="1:4" x14ac:dyDescent="0.3">
      <c r="A5027" s="4" t="s">
        <v>4</v>
      </c>
      <c r="B5027" s="4">
        <v>171</v>
      </c>
      <c r="D5027"/>
    </row>
    <row r="5028" spans="1:4" x14ac:dyDescent="0.3">
      <c r="A5028" s="4" t="s">
        <v>7</v>
      </c>
      <c r="B5028" s="4">
        <v>380</v>
      </c>
      <c r="D5028"/>
    </row>
    <row r="5029" spans="1:4" x14ac:dyDescent="0.3">
      <c r="A5029" s="4" t="s">
        <v>3</v>
      </c>
      <c r="B5029" s="4">
        <v>486</v>
      </c>
      <c r="D5029"/>
    </row>
    <row r="5030" spans="1:4" x14ac:dyDescent="0.3">
      <c r="A5030" s="4" t="s">
        <v>7</v>
      </c>
      <c r="B5030" s="4">
        <v>822</v>
      </c>
      <c r="D5030"/>
    </row>
    <row r="5031" spans="1:4" x14ac:dyDescent="0.3">
      <c r="A5031" s="4" t="s">
        <v>11</v>
      </c>
      <c r="B5031" s="4">
        <v>982</v>
      </c>
      <c r="D5031"/>
    </row>
    <row r="5032" spans="1:4" x14ac:dyDescent="0.3">
      <c r="A5032" s="4" t="s">
        <v>4</v>
      </c>
      <c r="B5032" s="4">
        <v>754</v>
      </c>
      <c r="D5032"/>
    </row>
    <row r="5033" spans="1:4" x14ac:dyDescent="0.3">
      <c r="A5033" s="4" t="s">
        <v>6</v>
      </c>
      <c r="B5033" s="4">
        <v>636</v>
      </c>
      <c r="D5033"/>
    </row>
    <row r="5034" spans="1:4" x14ac:dyDescent="0.3">
      <c r="A5034" s="4" t="s">
        <v>16</v>
      </c>
      <c r="B5034" s="4">
        <v>719</v>
      </c>
      <c r="D5034"/>
    </row>
    <row r="5035" spans="1:4" x14ac:dyDescent="0.3">
      <c r="A5035" s="4" t="s">
        <v>11</v>
      </c>
      <c r="B5035" s="4">
        <v>224</v>
      </c>
      <c r="D5035"/>
    </row>
    <row r="5036" spans="1:4" x14ac:dyDescent="0.3">
      <c r="A5036" s="4" t="s">
        <v>17</v>
      </c>
      <c r="B5036" s="4">
        <v>245</v>
      </c>
      <c r="D5036"/>
    </row>
    <row r="5037" spans="1:4" x14ac:dyDescent="0.3">
      <c r="A5037" s="4" t="s">
        <v>17</v>
      </c>
      <c r="B5037" s="4">
        <v>498</v>
      </c>
      <c r="D5037"/>
    </row>
    <row r="5038" spans="1:4" x14ac:dyDescent="0.3">
      <c r="A5038" s="4" t="s">
        <v>16</v>
      </c>
      <c r="B5038" s="4">
        <v>440</v>
      </c>
      <c r="D5038"/>
    </row>
    <row r="5039" spans="1:4" x14ac:dyDescent="0.3">
      <c r="A5039" s="4" t="s">
        <v>10</v>
      </c>
      <c r="B5039" s="4">
        <v>946</v>
      </c>
      <c r="D5039"/>
    </row>
    <row r="5040" spans="1:4" x14ac:dyDescent="0.3">
      <c r="A5040" s="4" t="s">
        <v>10</v>
      </c>
      <c r="B5040" s="4">
        <v>343</v>
      </c>
      <c r="D5040"/>
    </row>
    <row r="5041" spans="1:4" x14ac:dyDescent="0.3">
      <c r="A5041" s="4" t="s">
        <v>9</v>
      </c>
      <c r="B5041" s="4">
        <v>707</v>
      </c>
      <c r="D5041"/>
    </row>
    <row r="5042" spans="1:4" x14ac:dyDescent="0.3">
      <c r="A5042" s="4" t="s">
        <v>16</v>
      </c>
      <c r="B5042" s="4">
        <v>922</v>
      </c>
      <c r="D5042"/>
    </row>
    <row r="5043" spans="1:4" x14ac:dyDescent="0.3">
      <c r="A5043" s="4" t="s">
        <v>10</v>
      </c>
      <c r="B5043" s="4">
        <v>402</v>
      </c>
      <c r="D5043"/>
    </row>
    <row r="5044" spans="1:4" x14ac:dyDescent="0.3">
      <c r="A5044" s="4" t="s">
        <v>7</v>
      </c>
      <c r="B5044" s="4">
        <v>694</v>
      </c>
      <c r="D5044"/>
    </row>
    <row r="5045" spans="1:4" x14ac:dyDescent="0.3">
      <c r="A5045" s="4" t="s">
        <v>17</v>
      </c>
      <c r="B5045" s="4">
        <v>286</v>
      </c>
      <c r="D5045"/>
    </row>
    <row r="5046" spans="1:4" x14ac:dyDescent="0.3">
      <c r="A5046" s="4" t="s">
        <v>15</v>
      </c>
      <c r="B5046" s="4">
        <v>213</v>
      </c>
      <c r="D5046"/>
    </row>
    <row r="5047" spans="1:4" x14ac:dyDescent="0.3">
      <c r="A5047" s="4" t="s">
        <v>17</v>
      </c>
      <c r="B5047" s="4">
        <v>353</v>
      </c>
      <c r="D5047"/>
    </row>
    <row r="5048" spans="1:4" x14ac:dyDescent="0.3">
      <c r="A5048" s="4" t="s">
        <v>19</v>
      </c>
      <c r="B5048" s="4">
        <v>347</v>
      </c>
      <c r="D5048"/>
    </row>
    <row r="5049" spans="1:4" x14ac:dyDescent="0.3">
      <c r="A5049" s="4" t="s">
        <v>9</v>
      </c>
      <c r="B5049" s="4">
        <v>557</v>
      </c>
      <c r="D5049"/>
    </row>
    <row r="5050" spans="1:4" x14ac:dyDescent="0.3">
      <c r="A5050" s="4" t="s">
        <v>9</v>
      </c>
      <c r="B5050" s="4">
        <v>485</v>
      </c>
      <c r="D5050"/>
    </row>
    <row r="5051" spans="1:4" x14ac:dyDescent="0.3">
      <c r="A5051" s="4" t="s">
        <v>9</v>
      </c>
      <c r="B5051" s="4">
        <v>233</v>
      </c>
      <c r="D5051"/>
    </row>
    <row r="5052" spans="1:4" x14ac:dyDescent="0.3">
      <c r="A5052" s="4" t="s">
        <v>19</v>
      </c>
      <c r="B5052" s="4">
        <v>760</v>
      </c>
      <c r="D5052"/>
    </row>
    <row r="5053" spans="1:4" x14ac:dyDescent="0.3">
      <c r="A5053" s="4" t="s">
        <v>7</v>
      </c>
      <c r="B5053" s="4">
        <v>237</v>
      </c>
      <c r="D5053"/>
    </row>
    <row r="5054" spans="1:4" x14ac:dyDescent="0.3">
      <c r="A5054" s="4" t="s">
        <v>9</v>
      </c>
      <c r="B5054" s="4">
        <v>899</v>
      </c>
      <c r="D5054"/>
    </row>
    <row r="5055" spans="1:4" x14ac:dyDescent="0.3">
      <c r="A5055" s="4" t="s">
        <v>13</v>
      </c>
      <c r="B5055" s="4">
        <v>579</v>
      </c>
      <c r="D5055"/>
    </row>
    <row r="5056" spans="1:4" x14ac:dyDescent="0.3">
      <c r="A5056" s="4" t="s">
        <v>19</v>
      </c>
      <c r="B5056" s="4">
        <v>692</v>
      </c>
      <c r="D5056"/>
    </row>
    <row r="5057" spans="1:4" x14ac:dyDescent="0.3">
      <c r="A5057" s="4" t="s">
        <v>14</v>
      </c>
      <c r="B5057" s="4">
        <v>363</v>
      </c>
      <c r="D5057"/>
    </row>
    <row r="5058" spans="1:4" x14ac:dyDescent="0.3">
      <c r="A5058" s="4" t="s">
        <v>4</v>
      </c>
      <c r="B5058" s="4">
        <v>690</v>
      </c>
      <c r="D5058"/>
    </row>
    <row r="5059" spans="1:4" x14ac:dyDescent="0.3">
      <c r="A5059" s="4" t="s">
        <v>19</v>
      </c>
      <c r="B5059" s="4">
        <v>944</v>
      </c>
      <c r="D5059"/>
    </row>
    <row r="5060" spans="1:4" x14ac:dyDescent="0.3">
      <c r="A5060" s="4" t="s">
        <v>9</v>
      </c>
      <c r="B5060" s="4">
        <v>877</v>
      </c>
      <c r="D5060"/>
    </row>
    <row r="5061" spans="1:4" x14ac:dyDescent="0.3">
      <c r="A5061" s="4" t="s">
        <v>7</v>
      </c>
      <c r="B5061" s="4">
        <v>376</v>
      </c>
      <c r="D5061"/>
    </row>
    <row r="5062" spans="1:4" x14ac:dyDescent="0.3">
      <c r="A5062" s="4" t="s">
        <v>13</v>
      </c>
      <c r="B5062" s="4">
        <v>247</v>
      </c>
      <c r="D5062"/>
    </row>
    <row r="5063" spans="1:4" x14ac:dyDescent="0.3">
      <c r="A5063" s="4" t="s">
        <v>11</v>
      </c>
      <c r="B5063" s="4">
        <v>454</v>
      </c>
      <c r="D5063"/>
    </row>
    <row r="5064" spans="1:4" x14ac:dyDescent="0.3">
      <c r="A5064" s="4" t="s">
        <v>10</v>
      </c>
      <c r="B5064" s="4">
        <v>782</v>
      </c>
      <c r="D5064"/>
    </row>
    <row r="5065" spans="1:4" x14ac:dyDescent="0.3">
      <c r="A5065" s="4" t="s">
        <v>11</v>
      </c>
      <c r="B5065" s="4">
        <v>667</v>
      </c>
      <c r="D5065"/>
    </row>
    <row r="5066" spans="1:4" x14ac:dyDescent="0.3">
      <c r="A5066" s="4" t="s">
        <v>4</v>
      </c>
      <c r="B5066" s="4">
        <v>773</v>
      </c>
      <c r="D5066"/>
    </row>
    <row r="5067" spans="1:4" x14ac:dyDescent="0.3">
      <c r="A5067" s="4" t="s">
        <v>7</v>
      </c>
      <c r="B5067" s="4">
        <v>907</v>
      </c>
      <c r="D5067"/>
    </row>
    <row r="5068" spans="1:4" x14ac:dyDescent="0.3">
      <c r="A5068" s="4" t="s">
        <v>16</v>
      </c>
      <c r="B5068" s="4">
        <v>556</v>
      </c>
      <c r="D5068"/>
    </row>
    <row r="5069" spans="1:4" x14ac:dyDescent="0.3">
      <c r="A5069" s="4" t="s">
        <v>4</v>
      </c>
      <c r="B5069" s="4">
        <v>678</v>
      </c>
      <c r="D5069"/>
    </row>
    <row r="5070" spans="1:4" x14ac:dyDescent="0.3">
      <c r="A5070" s="4" t="s">
        <v>8</v>
      </c>
      <c r="B5070" s="4">
        <v>366</v>
      </c>
      <c r="D5070"/>
    </row>
    <row r="5071" spans="1:4" x14ac:dyDescent="0.3">
      <c r="A5071" s="4" t="s">
        <v>3</v>
      </c>
      <c r="B5071" s="4">
        <v>550</v>
      </c>
      <c r="D5071"/>
    </row>
    <row r="5072" spans="1:4" x14ac:dyDescent="0.3">
      <c r="A5072" s="4" t="s">
        <v>12</v>
      </c>
      <c r="B5072" s="4">
        <v>327</v>
      </c>
      <c r="D5072"/>
    </row>
    <row r="5073" spans="1:4" x14ac:dyDescent="0.3">
      <c r="A5073" s="4" t="s">
        <v>11</v>
      </c>
      <c r="B5073" s="4">
        <v>981</v>
      </c>
      <c r="D5073"/>
    </row>
    <row r="5074" spans="1:4" x14ac:dyDescent="0.3">
      <c r="A5074" s="4" t="s">
        <v>8</v>
      </c>
      <c r="B5074" s="4">
        <v>959</v>
      </c>
      <c r="D5074"/>
    </row>
    <row r="5075" spans="1:4" x14ac:dyDescent="0.3">
      <c r="A5075" s="4" t="s">
        <v>9</v>
      </c>
      <c r="B5075" s="6">
        <v>602</v>
      </c>
      <c r="D5075"/>
    </row>
    <row r="5076" spans="1:4" x14ac:dyDescent="0.3">
      <c r="A5076" s="4" t="s">
        <v>13</v>
      </c>
      <c r="B5076" s="4">
        <v>673</v>
      </c>
      <c r="D5076"/>
    </row>
    <row r="5077" spans="1:4" x14ac:dyDescent="0.3">
      <c r="A5077" s="4" t="s">
        <v>9</v>
      </c>
      <c r="B5077" s="4">
        <v>362</v>
      </c>
      <c r="D5077"/>
    </row>
    <row r="5078" spans="1:4" x14ac:dyDescent="0.3">
      <c r="A5078" s="4" t="s">
        <v>10</v>
      </c>
      <c r="B5078" s="4">
        <v>540</v>
      </c>
      <c r="D5078"/>
    </row>
    <row r="5079" spans="1:4" x14ac:dyDescent="0.3">
      <c r="A5079" s="4" t="s">
        <v>11</v>
      </c>
      <c r="B5079" s="4">
        <v>948</v>
      </c>
      <c r="D5079"/>
    </row>
    <row r="5080" spans="1:4" x14ac:dyDescent="0.3">
      <c r="A5080" s="4" t="s">
        <v>8</v>
      </c>
      <c r="B5080" s="4">
        <v>277</v>
      </c>
      <c r="D5080"/>
    </row>
    <row r="5081" spans="1:4" x14ac:dyDescent="0.3">
      <c r="A5081" s="4" t="s">
        <v>6</v>
      </c>
      <c r="B5081" s="4">
        <v>421</v>
      </c>
      <c r="D5081"/>
    </row>
    <row r="5082" spans="1:4" x14ac:dyDescent="0.3">
      <c r="A5082" s="4" t="s">
        <v>8</v>
      </c>
      <c r="B5082" s="4">
        <v>368</v>
      </c>
      <c r="D5082"/>
    </row>
    <row r="5083" spans="1:4" x14ac:dyDescent="0.3">
      <c r="A5083" s="4" t="s">
        <v>15</v>
      </c>
      <c r="B5083" s="4">
        <v>382</v>
      </c>
      <c r="D5083"/>
    </row>
    <row r="5084" spans="1:4" x14ac:dyDescent="0.3">
      <c r="A5084" s="4" t="s">
        <v>11</v>
      </c>
      <c r="B5084" s="4">
        <v>451</v>
      </c>
      <c r="D5084"/>
    </row>
    <row r="5085" spans="1:4" x14ac:dyDescent="0.3">
      <c r="A5085" s="4" t="s">
        <v>7</v>
      </c>
      <c r="B5085" s="4">
        <v>934</v>
      </c>
      <c r="D5085"/>
    </row>
    <row r="5086" spans="1:4" x14ac:dyDescent="0.3">
      <c r="A5086" s="4" t="s">
        <v>4</v>
      </c>
      <c r="B5086" s="4">
        <v>365</v>
      </c>
      <c r="D5086"/>
    </row>
    <row r="5087" spans="1:4" x14ac:dyDescent="0.3">
      <c r="A5087" s="4" t="s">
        <v>18</v>
      </c>
      <c r="B5087" s="4">
        <v>300</v>
      </c>
      <c r="D5087"/>
    </row>
    <row r="5088" spans="1:4" x14ac:dyDescent="0.3">
      <c r="A5088" s="4" t="s">
        <v>14</v>
      </c>
      <c r="B5088" s="4">
        <v>747</v>
      </c>
      <c r="D5088"/>
    </row>
    <row r="5089" spans="1:4" x14ac:dyDescent="0.3">
      <c r="A5089" s="4" t="s">
        <v>17</v>
      </c>
      <c r="B5089" s="4">
        <v>725</v>
      </c>
      <c r="D5089"/>
    </row>
    <row r="5090" spans="1:4" x14ac:dyDescent="0.3">
      <c r="A5090" s="4" t="s">
        <v>6</v>
      </c>
      <c r="B5090" s="4">
        <v>329</v>
      </c>
      <c r="D5090"/>
    </row>
    <row r="5091" spans="1:4" x14ac:dyDescent="0.3">
      <c r="A5091" s="4" t="s">
        <v>11</v>
      </c>
      <c r="B5091" s="4">
        <v>154</v>
      </c>
      <c r="D5091"/>
    </row>
    <row r="5092" spans="1:4" x14ac:dyDescent="0.3">
      <c r="A5092" s="4" t="s">
        <v>19</v>
      </c>
      <c r="B5092" s="4">
        <v>748</v>
      </c>
      <c r="D5092"/>
    </row>
    <row r="5093" spans="1:4" x14ac:dyDescent="0.3">
      <c r="A5093" s="4" t="s">
        <v>3</v>
      </c>
      <c r="B5093" s="4">
        <v>938</v>
      </c>
      <c r="D5093"/>
    </row>
    <row r="5094" spans="1:4" x14ac:dyDescent="0.3">
      <c r="A5094" s="4" t="s">
        <v>3</v>
      </c>
      <c r="B5094" s="4">
        <v>371</v>
      </c>
      <c r="D5094"/>
    </row>
    <row r="5095" spans="1:4" x14ac:dyDescent="0.3">
      <c r="A5095" s="4" t="s">
        <v>12</v>
      </c>
      <c r="B5095" s="4">
        <v>456</v>
      </c>
      <c r="D5095"/>
    </row>
    <row r="5096" spans="1:4" x14ac:dyDescent="0.3">
      <c r="A5096" s="4" t="s">
        <v>8</v>
      </c>
      <c r="B5096" s="4">
        <v>956</v>
      </c>
      <c r="D5096"/>
    </row>
    <row r="5097" spans="1:4" x14ac:dyDescent="0.3">
      <c r="A5097" s="4" t="s">
        <v>14</v>
      </c>
      <c r="B5097" s="4">
        <v>503</v>
      </c>
      <c r="D5097"/>
    </row>
    <row r="5098" spans="1:4" x14ac:dyDescent="0.3">
      <c r="A5098" s="4" t="s">
        <v>19</v>
      </c>
      <c r="B5098" s="4">
        <v>233</v>
      </c>
      <c r="D5098"/>
    </row>
    <row r="5099" spans="1:4" x14ac:dyDescent="0.3">
      <c r="A5099" s="4" t="s">
        <v>14</v>
      </c>
      <c r="B5099" s="4">
        <v>549</v>
      </c>
      <c r="D5099"/>
    </row>
    <row r="5100" spans="1:4" x14ac:dyDescent="0.3">
      <c r="A5100" s="4" t="s">
        <v>4</v>
      </c>
      <c r="B5100" s="4">
        <v>860</v>
      </c>
      <c r="D5100"/>
    </row>
    <row r="5101" spans="1:4" x14ac:dyDescent="0.3">
      <c r="A5101" s="4" t="s">
        <v>13</v>
      </c>
      <c r="B5101" s="4">
        <v>108</v>
      </c>
      <c r="D5101"/>
    </row>
    <row r="5102" spans="1:4" x14ac:dyDescent="0.3">
      <c r="A5102" s="4" t="s">
        <v>18</v>
      </c>
      <c r="B5102" s="4">
        <v>428</v>
      </c>
      <c r="D5102"/>
    </row>
    <row r="5103" spans="1:4" x14ac:dyDescent="0.3">
      <c r="A5103" s="4" t="s">
        <v>17</v>
      </c>
      <c r="B5103" s="4">
        <v>486</v>
      </c>
      <c r="D5103"/>
    </row>
    <row r="5104" spans="1:4" x14ac:dyDescent="0.3">
      <c r="A5104" s="4" t="s">
        <v>19</v>
      </c>
      <c r="B5104" s="4">
        <v>490</v>
      </c>
      <c r="D5104"/>
    </row>
    <row r="5105" spans="1:4" x14ac:dyDescent="0.3">
      <c r="A5105" s="4" t="s">
        <v>12</v>
      </c>
      <c r="B5105" s="4">
        <v>741</v>
      </c>
      <c r="D5105"/>
    </row>
    <row r="5106" spans="1:4" x14ac:dyDescent="0.3">
      <c r="A5106" s="4" t="s">
        <v>6</v>
      </c>
      <c r="B5106" s="4">
        <v>394</v>
      </c>
      <c r="D5106"/>
    </row>
    <row r="5107" spans="1:4" x14ac:dyDescent="0.3">
      <c r="A5107" s="4" t="s">
        <v>3</v>
      </c>
      <c r="B5107" s="4">
        <v>445</v>
      </c>
      <c r="D5107"/>
    </row>
    <row r="5108" spans="1:4" x14ac:dyDescent="0.3">
      <c r="A5108" s="4" t="s">
        <v>4</v>
      </c>
      <c r="B5108" s="4">
        <v>650</v>
      </c>
      <c r="D5108"/>
    </row>
    <row r="5109" spans="1:4" x14ac:dyDescent="0.3">
      <c r="A5109" s="4" t="s">
        <v>10</v>
      </c>
      <c r="B5109" s="4">
        <v>690</v>
      </c>
      <c r="D5109"/>
    </row>
    <row r="5110" spans="1:4" x14ac:dyDescent="0.3">
      <c r="A5110" s="4" t="s">
        <v>19</v>
      </c>
      <c r="B5110" s="4">
        <v>4</v>
      </c>
      <c r="D5110"/>
    </row>
    <row r="5111" spans="1:4" x14ac:dyDescent="0.3">
      <c r="A5111" s="4" t="s">
        <v>10</v>
      </c>
      <c r="B5111" s="4">
        <v>612</v>
      </c>
      <c r="D5111"/>
    </row>
    <row r="5112" spans="1:4" x14ac:dyDescent="0.3">
      <c r="A5112" s="4" t="s">
        <v>7</v>
      </c>
      <c r="B5112" s="4">
        <v>153</v>
      </c>
      <c r="D5112"/>
    </row>
    <row r="5113" spans="1:4" x14ac:dyDescent="0.3">
      <c r="A5113" s="4" t="s">
        <v>14</v>
      </c>
      <c r="B5113" s="4">
        <v>457</v>
      </c>
      <c r="D5113"/>
    </row>
    <row r="5114" spans="1:4" x14ac:dyDescent="0.3">
      <c r="A5114" s="4" t="s">
        <v>17</v>
      </c>
      <c r="B5114" s="4">
        <v>118</v>
      </c>
      <c r="D5114"/>
    </row>
    <row r="5115" spans="1:4" x14ac:dyDescent="0.3">
      <c r="A5115" s="4" t="s">
        <v>10</v>
      </c>
      <c r="B5115" s="4">
        <v>926</v>
      </c>
      <c r="D5115"/>
    </row>
    <row r="5116" spans="1:4" x14ac:dyDescent="0.3">
      <c r="A5116" s="4" t="s">
        <v>10</v>
      </c>
      <c r="B5116" s="4">
        <v>409</v>
      </c>
      <c r="D5116"/>
    </row>
    <row r="5117" spans="1:4" x14ac:dyDescent="0.3">
      <c r="A5117" s="4" t="s">
        <v>4</v>
      </c>
      <c r="B5117" s="4">
        <v>222</v>
      </c>
      <c r="D5117"/>
    </row>
    <row r="5118" spans="1:4" x14ac:dyDescent="0.3">
      <c r="A5118" s="4" t="s">
        <v>9</v>
      </c>
      <c r="B5118" s="4">
        <v>810</v>
      </c>
      <c r="D5118"/>
    </row>
    <row r="5119" spans="1:4" x14ac:dyDescent="0.3">
      <c r="A5119" s="4" t="s">
        <v>13</v>
      </c>
      <c r="B5119" s="4">
        <v>955</v>
      </c>
      <c r="D5119"/>
    </row>
    <row r="5120" spans="1:4" x14ac:dyDescent="0.3">
      <c r="A5120" s="4" t="s">
        <v>13</v>
      </c>
      <c r="B5120" s="4">
        <v>368</v>
      </c>
      <c r="D5120"/>
    </row>
    <row r="5121" spans="1:4" x14ac:dyDescent="0.3">
      <c r="A5121" s="4" t="s">
        <v>8</v>
      </c>
      <c r="B5121" s="4">
        <v>864</v>
      </c>
      <c r="D5121"/>
    </row>
    <row r="5122" spans="1:4" x14ac:dyDescent="0.3">
      <c r="A5122" s="4" t="s">
        <v>10</v>
      </c>
      <c r="B5122" s="4">
        <v>229</v>
      </c>
      <c r="D5122"/>
    </row>
    <row r="5123" spans="1:4" x14ac:dyDescent="0.3">
      <c r="A5123" s="4" t="s">
        <v>8</v>
      </c>
      <c r="B5123" s="4">
        <v>184</v>
      </c>
      <c r="D5123"/>
    </row>
    <row r="5124" spans="1:4" x14ac:dyDescent="0.3">
      <c r="A5124" s="4" t="s">
        <v>6</v>
      </c>
      <c r="B5124" s="4">
        <v>397</v>
      </c>
      <c r="D5124"/>
    </row>
    <row r="5125" spans="1:4" x14ac:dyDescent="0.3">
      <c r="A5125" s="4" t="s">
        <v>14</v>
      </c>
      <c r="B5125" s="4">
        <v>155</v>
      </c>
      <c r="D5125"/>
    </row>
    <row r="5126" spans="1:4" x14ac:dyDescent="0.3">
      <c r="A5126" s="4" t="s">
        <v>10</v>
      </c>
      <c r="B5126" s="4">
        <v>874</v>
      </c>
      <c r="D5126"/>
    </row>
    <row r="5127" spans="1:4" x14ac:dyDescent="0.3">
      <c r="A5127" s="4" t="s">
        <v>6</v>
      </c>
      <c r="B5127" s="4">
        <v>712</v>
      </c>
      <c r="D5127"/>
    </row>
    <row r="5128" spans="1:4" x14ac:dyDescent="0.3">
      <c r="A5128" s="4" t="s">
        <v>4</v>
      </c>
      <c r="B5128" s="4">
        <v>985</v>
      </c>
      <c r="D5128"/>
    </row>
    <row r="5129" spans="1:4" x14ac:dyDescent="0.3">
      <c r="A5129" s="4" t="s">
        <v>18</v>
      </c>
      <c r="B5129" s="4">
        <v>664</v>
      </c>
      <c r="D5129"/>
    </row>
    <row r="5130" spans="1:4" x14ac:dyDescent="0.3">
      <c r="A5130" s="4" t="s">
        <v>13</v>
      </c>
      <c r="B5130" s="4">
        <v>122</v>
      </c>
      <c r="D5130"/>
    </row>
    <row r="5131" spans="1:4" x14ac:dyDescent="0.3">
      <c r="A5131" s="4" t="s">
        <v>15</v>
      </c>
      <c r="B5131" s="4">
        <v>494</v>
      </c>
      <c r="D5131"/>
    </row>
    <row r="5132" spans="1:4" x14ac:dyDescent="0.3">
      <c r="A5132" s="4" t="s">
        <v>10</v>
      </c>
      <c r="B5132" s="4">
        <v>782</v>
      </c>
      <c r="D5132"/>
    </row>
    <row r="5133" spans="1:4" x14ac:dyDescent="0.3">
      <c r="A5133" s="4" t="s">
        <v>9</v>
      </c>
      <c r="B5133" s="4">
        <v>272</v>
      </c>
      <c r="D5133"/>
    </row>
    <row r="5134" spans="1:4" x14ac:dyDescent="0.3">
      <c r="A5134" s="4" t="s">
        <v>12</v>
      </c>
      <c r="B5134" s="4">
        <v>509</v>
      </c>
      <c r="D5134"/>
    </row>
    <row r="5135" spans="1:4" x14ac:dyDescent="0.3">
      <c r="A5135" s="4" t="s">
        <v>16</v>
      </c>
      <c r="B5135" s="4">
        <v>783</v>
      </c>
      <c r="D5135"/>
    </row>
    <row r="5136" spans="1:4" x14ac:dyDescent="0.3">
      <c r="A5136" s="4" t="s">
        <v>19</v>
      </c>
      <c r="B5136" s="4">
        <v>595</v>
      </c>
      <c r="D5136"/>
    </row>
    <row r="5137" spans="1:4" x14ac:dyDescent="0.3">
      <c r="A5137" s="4" t="s">
        <v>10</v>
      </c>
      <c r="B5137" s="4">
        <v>306</v>
      </c>
      <c r="D5137"/>
    </row>
    <row r="5138" spans="1:4" x14ac:dyDescent="0.3">
      <c r="A5138" s="4" t="s">
        <v>9</v>
      </c>
      <c r="B5138" s="4">
        <v>399</v>
      </c>
      <c r="D5138"/>
    </row>
    <row r="5139" spans="1:4" x14ac:dyDescent="0.3">
      <c r="A5139" s="4" t="s">
        <v>8</v>
      </c>
      <c r="B5139" s="4">
        <v>660</v>
      </c>
      <c r="D5139"/>
    </row>
    <row r="5140" spans="1:4" x14ac:dyDescent="0.3">
      <c r="A5140" s="4" t="s">
        <v>10</v>
      </c>
      <c r="B5140" s="4">
        <v>882</v>
      </c>
      <c r="D5140"/>
    </row>
    <row r="5141" spans="1:4" x14ac:dyDescent="0.3">
      <c r="A5141" s="4" t="s">
        <v>12</v>
      </c>
      <c r="B5141" s="4">
        <v>808</v>
      </c>
      <c r="D5141"/>
    </row>
    <row r="5142" spans="1:4" x14ac:dyDescent="0.3">
      <c r="A5142" s="4" t="s">
        <v>4</v>
      </c>
      <c r="B5142" s="4">
        <v>188</v>
      </c>
      <c r="D5142"/>
    </row>
    <row r="5143" spans="1:4" x14ac:dyDescent="0.3">
      <c r="A5143" s="4" t="s">
        <v>14</v>
      </c>
      <c r="B5143" s="4">
        <v>490</v>
      </c>
      <c r="D5143"/>
    </row>
    <row r="5144" spans="1:4" x14ac:dyDescent="0.3">
      <c r="A5144" s="4" t="s">
        <v>8</v>
      </c>
      <c r="B5144" s="4">
        <v>796</v>
      </c>
      <c r="D5144"/>
    </row>
    <row r="5145" spans="1:4" x14ac:dyDescent="0.3">
      <c r="A5145" s="4" t="s">
        <v>13</v>
      </c>
      <c r="B5145" s="4">
        <v>401</v>
      </c>
      <c r="D5145"/>
    </row>
    <row r="5146" spans="1:4" x14ac:dyDescent="0.3">
      <c r="A5146" s="4" t="s">
        <v>7</v>
      </c>
      <c r="B5146" s="4">
        <v>230</v>
      </c>
      <c r="D5146"/>
    </row>
    <row r="5147" spans="1:4" x14ac:dyDescent="0.3">
      <c r="A5147" s="4" t="s">
        <v>19</v>
      </c>
      <c r="B5147" s="4">
        <v>457</v>
      </c>
      <c r="D5147"/>
    </row>
    <row r="5148" spans="1:4" x14ac:dyDescent="0.3">
      <c r="A5148" s="4" t="s">
        <v>3</v>
      </c>
      <c r="B5148" s="4">
        <v>745</v>
      </c>
      <c r="D5148"/>
    </row>
    <row r="5149" spans="1:4" x14ac:dyDescent="0.3">
      <c r="A5149" s="4" t="s">
        <v>15</v>
      </c>
      <c r="B5149" s="4">
        <v>143</v>
      </c>
      <c r="D5149"/>
    </row>
    <row r="5150" spans="1:4" x14ac:dyDescent="0.3">
      <c r="A5150" s="4" t="s">
        <v>17</v>
      </c>
      <c r="B5150" s="4">
        <v>252</v>
      </c>
      <c r="D5150"/>
    </row>
    <row r="5151" spans="1:4" x14ac:dyDescent="0.3">
      <c r="A5151" s="4" t="s">
        <v>19</v>
      </c>
      <c r="B5151" s="4">
        <v>564</v>
      </c>
      <c r="D5151"/>
    </row>
    <row r="5152" spans="1:4" x14ac:dyDescent="0.3">
      <c r="A5152" s="4" t="s">
        <v>18</v>
      </c>
      <c r="B5152" s="4">
        <v>245</v>
      </c>
      <c r="D5152"/>
    </row>
    <row r="5153" spans="1:4" x14ac:dyDescent="0.3">
      <c r="A5153" s="4" t="s">
        <v>11</v>
      </c>
      <c r="B5153" s="4">
        <v>441</v>
      </c>
      <c r="D5153"/>
    </row>
    <row r="5154" spans="1:4" x14ac:dyDescent="0.3">
      <c r="A5154" s="4" t="s">
        <v>16</v>
      </c>
      <c r="B5154" s="4">
        <v>741</v>
      </c>
      <c r="D5154"/>
    </row>
    <row r="5155" spans="1:4" x14ac:dyDescent="0.3">
      <c r="A5155" s="4" t="s">
        <v>14</v>
      </c>
      <c r="B5155" s="4">
        <v>722</v>
      </c>
      <c r="D5155"/>
    </row>
    <row r="5156" spans="1:4" x14ac:dyDescent="0.3">
      <c r="A5156" s="4" t="s">
        <v>3</v>
      </c>
      <c r="B5156" s="4">
        <v>951</v>
      </c>
      <c r="D5156"/>
    </row>
    <row r="5157" spans="1:4" x14ac:dyDescent="0.3">
      <c r="A5157" s="4" t="s">
        <v>7</v>
      </c>
      <c r="B5157" s="4">
        <v>995</v>
      </c>
      <c r="D5157"/>
    </row>
    <row r="5158" spans="1:4" x14ac:dyDescent="0.3">
      <c r="A5158" s="4" t="s">
        <v>6</v>
      </c>
      <c r="B5158" s="4">
        <v>668</v>
      </c>
      <c r="D5158"/>
    </row>
    <row r="5159" spans="1:4" x14ac:dyDescent="0.3">
      <c r="A5159" s="4" t="s">
        <v>10</v>
      </c>
      <c r="B5159" s="4">
        <v>324</v>
      </c>
      <c r="D5159"/>
    </row>
    <row r="5160" spans="1:4" x14ac:dyDescent="0.3">
      <c r="A5160" s="4" t="s">
        <v>4</v>
      </c>
      <c r="B5160" s="4">
        <v>329</v>
      </c>
      <c r="D5160"/>
    </row>
    <row r="5161" spans="1:4" x14ac:dyDescent="0.3">
      <c r="A5161" s="4" t="s">
        <v>10</v>
      </c>
      <c r="B5161" s="4">
        <v>912</v>
      </c>
      <c r="D5161"/>
    </row>
    <row r="5162" spans="1:4" x14ac:dyDescent="0.3">
      <c r="A5162" s="4" t="s">
        <v>19</v>
      </c>
      <c r="B5162" s="4">
        <v>917</v>
      </c>
      <c r="D5162"/>
    </row>
    <row r="5163" spans="1:4" x14ac:dyDescent="0.3">
      <c r="A5163" s="4" t="s">
        <v>18</v>
      </c>
      <c r="B5163" s="4">
        <v>218</v>
      </c>
      <c r="D5163"/>
    </row>
    <row r="5164" spans="1:4" x14ac:dyDescent="0.3">
      <c r="A5164" s="4" t="s">
        <v>7</v>
      </c>
      <c r="B5164" s="4">
        <v>993</v>
      </c>
      <c r="D5164"/>
    </row>
    <row r="5165" spans="1:4" x14ac:dyDescent="0.3">
      <c r="A5165" s="4" t="s">
        <v>6</v>
      </c>
      <c r="B5165" s="4">
        <v>160</v>
      </c>
      <c r="D5165"/>
    </row>
    <row r="5166" spans="1:4" x14ac:dyDescent="0.3">
      <c r="A5166" s="4" t="s">
        <v>15</v>
      </c>
      <c r="B5166" s="4">
        <v>277</v>
      </c>
      <c r="D5166"/>
    </row>
    <row r="5167" spans="1:4" x14ac:dyDescent="0.3">
      <c r="A5167" s="4" t="s">
        <v>15</v>
      </c>
      <c r="B5167" s="4">
        <v>541</v>
      </c>
      <c r="D5167"/>
    </row>
    <row r="5168" spans="1:4" x14ac:dyDescent="0.3">
      <c r="A5168" s="4" t="s">
        <v>16</v>
      </c>
      <c r="B5168" s="4">
        <v>667</v>
      </c>
      <c r="D5168"/>
    </row>
    <row r="5169" spans="1:4" x14ac:dyDescent="0.3">
      <c r="A5169" s="4" t="s">
        <v>9</v>
      </c>
      <c r="B5169" s="4">
        <v>812</v>
      </c>
      <c r="D5169"/>
    </row>
    <row r="5170" spans="1:4" x14ac:dyDescent="0.3">
      <c r="A5170" s="4" t="s">
        <v>6</v>
      </c>
      <c r="B5170" s="4">
        <v>904</v>
      </c>
      <c r="D5170"/>
    </row>
    <row r="5171" spans="1:4" x14ac:dyDescent="0.3">
      <c r="A5171" s="4" t="s">
        <v>6</v>
      </c>
      <c r="B5171" s="4">
        <v>974</v>
      </c>
      <c r="D5171"/>
    </row>
    <row r="5172" spans="1:4" x14ac:dyDescent="0.3">
      <c r="A5172" s="4" t="s">
        <v>16</v>
      </c>
      <c r="B5172" s="4">
        <v>812</v>
      </c>
      <c r="D5172"/>
    </row>
    <row r="5173" spans="1:4" x14ac:dyDescent="0.3">
      <c r="A5173" s="4" t="s">
        <v>15</v>
      </c>
      <c r="B5173" s="4">
        <v>470</v>
      </c>
      <c r="D5173"/>
    </row>
    <row r="5174" spans="1:4" x14ac:dyDescent="0.3">
      <c r="A5174" s="4" t="s">
        <v>7</v>
      </c>
      <c r="B5174" s="4">
        <v>923</v>
      </c>
      <c r="D5174"/>
    </row>
    <row r="5175" spans="1:4" x14ac:dyDescent="0.3">
      <c r="A5175" s="4" t="s">
        <v>15</v>
      </c>
      <c r="B5175" s="4">
        <v>895</v>
      </c>
      <c r="D5175"/>
    </row>
    <row r="5176" spans="1:4" x14ac:dyDescent="0.3">
      <c r="A5176" s="4" t="s">
        <v>19</v>
      </c>
      <c r="B5176" s="4">
        <v>718</v>
      </c>
      <c r="D5176"/>
    </row>
    <row r="5177" spans="1:4" x14ac:dyDescent="0.3">
      <c r="A5177" s="4" t="s">
        <v>10</v>
      </c>
      <c r="B5177" s="4">
        <v>174</v>
      </c>
      <c r="D5177"/>
    </row>
    <row r="5178" spans="1:4" x14ac:dyDescent="0.3">
      <c r="A5178" s="4" t="s">
        <v>19</v>
      </c>
      <c r="B5178" s="4">
        <v>657</v>
      </c>
      <c r="D5178"/>
    </row>
    <row r="5179" spans="1:4" x14ac:dyDescent="0.3">
      <c r="A5179" s="4" t="s">
        <v>6</v>
      </c>
      <c r="B5179" s="4">
        <v>761</v>
      </c>
      <c r="D5179"/>
    </row>
    <row r="5180" spans="1:4" x14ac:dyDescent="0.3">
      <c r="A5180" s="4" t="s">
        <v>10</v>
      </c>
      <c r="B5180" s="4">
        <v>763</v>
      </c>
      <c r="D5180"/>
    </row>
    <row r="5181" spans="1:4" x14ac:dyDescent="0.3">
      <c r="A5181" s="4" t="s">
        <v>17</v>
      </c>
      <c r="B5181" s="4">
        <v>520</v>
      </c>
      <c r="D5181"/>
    </row>
    <row r="5182" spans="1:4" x14ac:dyDescent="0.3">
      <c r="A5182" s="4" t="s">
        <v>4</v>
      </c>
      <c r="B5182" s="4">
        <v>364</v>
      </c>
      <c r="D5182"/>
    </row>
    <row r="5183" spans="1:4" x14ac:dyDescent="0.3">
      <c r="A5183" s="4" t="s">
        <v>9</v>
      </c>
      <c r="B5183" s="4">
        <v>351</v>
      </c>
      <c r="D5183"/>
    </row>
    <row r="5184" spans="1:4" x14ac:dyDescent="0.3">
      <c r="A5184" s="4" t="s">
        <v>15</v>
      </c>
      <c r="B5184" s="4">
        <v>328</v>
      </c>
      <c r="D5184"/>
    </row>
    <row r="5185" spans="1:4" x14ac:dyDescent="0.3">
      <c r="A5185" s="4" t="s">
        <v>6</v>
      </c>
      <c r="B5185" s="4">
        <v>472</v>
      </c>
      <c r="D5185"/>
    </row>
    <row r="5186" spans="1:4" x14ac:dyDescent="0.3">
      <c r="A5186" s="4" t="s">
        <v>19</v>
      </c>
      <c r="B5186" s="4">
        <v>620</v>
      </c>
      <c r="D5186"/>
    </row>
    <row r="5187" spans="1:4" x14ac:dyDescent="0.3">
      <c r="A5187" s="4" t="s">
        <v>4</v>
      </c>
      <c r="B5187" s="4">
        <v>828</v>
      </c>
      <c r="D5187"/>
    </row>
    <row r="5188" spans="1:4" x14ac:dyDescent="0.3">
      <c r="A5188" s="4" t="s">
        <v>4</v>
      </c>
      <c r="B5188" s="4">
        <v>807</v>
      </c>
      <c r="D5188"/>
    </row>
    <row r="5189" spans="1:4" x14ac:dyDescent="0.3">
      <c r="A5189" s="4" t="s">
        <v>7</v>
      </c>
      <c r="B5189" s="4">
        <v>839</v>
      </c>
      <c r="D5189"/>
    </row>
    <row r="5190" spans="1:4" x14ac:dyDescent="0.3">
      <c r="A5190" s="4" t="s">
        <v>9</v>
      </c>
      <c r="B5190" s="4">
        <v>233</v>
      </c>
      <c r="D5190"/>
    </row>
    <row r="5191" spans="1:4" x14ac:dyDescent="0.3">
      <c r="A5191" s="4" t="s">
        <v>18</v>
      </c>
      <c r="B5191" s="4">
        <v>324</v>
      </c>
      <c r="D5191"/>
    </row>
    <row r="5192" spans="1:4" x14ac:dyDescent="0.3">
      <c r="A5192" s="4" t="s">
        <v>16</v>
      </c>
      <c r="B5192" s="4">
        <v>628</v>
      </c>
      <c r="D5192"/>
    </row>
    <row r="5193" spans="1:4" x14ac:dyDescent="0.3">
      <c r="A5193" s="4" t="s">
        <v>16</v>
      </c>
      <c r="B5193" s="4">
        <v>410</v>
      </c>
      <c r="D5193"/>
    </row>
    <row r="5194" spans="1:4" x14ac:dyDescent="0.3">
      <c r="A5194" s="4" t="s">
        <v>19</v>
      </c>
      <c r="B5194" s="4">
        <v>712</v>
      </c>
      <c r="D5194"/>
    </row>
    <row r="5195" spans="1:4" x14ac:dyDescent="0.3">
      <c r="A5195" s="4" t="s">
        <v>7</v>
      </c>
      <c r="B5195" s="4">
        <v>113</v>
      </c>
      <c r="D5195"/>
    </row>
    <row r="5196" spans="1:4" x14ac:dyDescent="0.3">
      <c r="A5196" s="4" t="s">
        <v>12</v>
      </c>
      <c r="B5196" s="4">
        <v>752</v>
      </c>
      <c r="D5196"/>
    </row>
    <row r="5197" spans="1:4" x14ac:dyDescent="0.3">
      <c r="A5197" s="4" t="s">
        <v>7</v>
      </c>
      <c r="B5197" s="4">
        <v>554</v>
      </c>
      <c r="D5197"/>
    </row>
    <row r="5198" spans="1:4" x14ac:dyDescent="0.3">
      <c r="A5198" s="4" t="s">
        <v>6</v>
      </c>
      <c r="B5198" s="4">
        <v>688</v>
      </c>
      <c r="D5198"/>
    </row>
    <row r="5199" spans="1:4" x14ac:dyDescent="0.3">
      <c r="A5199" s="4" t="s">
        <v>10</v>
      </c>
      <c r="B5199" s="4">
        <v>374</v>
      </c>
      <c r="D5199"/>
    </row>
    <row r="5200" spans="1:4" x14ac:dyDescent="0.3">
      <c r="A5200" s="4" t="s">
        <v>11</v>
      </c>
      <c r="B5200" s="4">
        <v>640</v>
      </c>
      <c r="D5200"/>
    </row>
    <row r="5201" spans="1:4" x14ac:dyDescent="0.3">
      <c r="A5201" s="4" t="s">
        <v>4</v>
      </c>
      <c r="B5201" s="4">
        <v>849</v>
      </c>
      <c r="D5201"/>
    </row>
    <row r="5202" spans="1:4" x14ac:dyDescent="0.3">
      <c r="A5202" s="4" t="s">
        <v>13</v>
      </c>
      <c r="B5202" s="4">
        <v>931</v>
      </c>
      <c r="D5202"/>
    </row>
    <row r="5203" spans="1:4" x14ac:dyDescent="0.3">
      <c r="A5203" s="4" t="s">
        <v>17</v>
      </c>
      <c r="B5203" s="4">
        <v>833</v>
      </c>
      <c r="D5203"/>
    </row>
    <row r="5204" spans="1:4" x14ac:dyDescent="0.3">
      <c r="A5204" s="4" t="s">
        <v>14</v>
      </c>
      <c r="B5204" s="4">
        <v>938</v>
      </c>
      <c r="D5204"/>
    </row>
    <row r="5205" spans="1:4" x14ac:dyDescent="0.3">
      <c r="A5205" s="4" t="s">
        <v>10</v>
      </c>
      <c r="B5205" s="4">
        <v>487</v>
      </c>
      <c r="D5205"/>
    </row>
    <row r="5206" spans="1:4" x14ac:dyDescent="0.3">
      <c r="A5206" s="4" t="s">
        <v>4</v>
      </c>
      <c r="B5206" s="4">
        <v>704</v>
      </c>
      <c r="D5206"/>
    </row>
    <row r="5207" spans="1:4" x14ac:dyDescent="0.3">
      <c r="A5207" s="4" t="s">
        <v>14</v>
      </c>
      <c r="B5207" s="4">
        <v>624</v>
      </c>
      <c r="D5207"/>
    </row>
    <row r="5208" spans="1:4" x14ac:dyDescent="0.3">
      <c r="A5208" s="4" t="s">
        <v>6</v>
      </c>
      <c r="B5208" s="4">
        <v>440</v>
      </c>
      <c r="D5208"/>
    </row>
    <row r="5209" spans="1:4" x14ac:dyDescent="0.3">
      <c r="A5209" s="4" t="s">
        <v>11</v>
      </c>
      <c r="B5209" s="4">
        <v>789</v>
      </c>
      <c r="D5209"/>
    </row>
    <row r="5210" spans="1:4" x14ac:dyDescent="0.3">
      <c r="A5210" s="4" t="s">
        <v>13</v>
      </c>
      <c r="B5210" s="4">
        <v>733</v>
      </c>
      <c r="D5210"/>
    </row>
    <row r="5211" spans="1:4" x14ac:dyDescent="0.3">
      <c r="A5211" s="4" t="s">
        <v>3</v>
      </c>
      <c r="B5211" s="4">
        <v>827</v>
      </c>
      <c r="D5211"/>
    </row>
    <row r="5212" spans="1:4" x14ac:dyDescent="0.3">
      <c r="A5212" s="4" t="s">
        <v>3</v>
      </c>
      <c r="B5212" s="4">
        <v>865</v>
      </c>
      <c r="D5212"/>
    </row>
    <row r="5213" spans="1:4" x14ac:dyDescent="0.3">
      <c r="A5213" s="4" t="s">
        <v>12</v>
      </c>
      <c r="B5213" s="4">
        <v>385</v>
      </c>
      <c r="D5213"/>
    </row>
    <row r="5214" spans="1:4" x14ac:dyDescent="0.3">
      <c r="A5214" s="4" t="s">
        <v>12</v>
      </c>
      <c r="B5214" s="4">
        <v>836</v>
      </c>
      <c r="D5214"/>
    </row>
    <row r="5215" spans="1:4" x14ac:dyDescent="0.3">
      <c r="A5215" s="4" t="s">
        <v>13</v>
      </c>
      <c r="B5215" s="4">
        <v>922</v>
      </c>
      <c r="D5215"/>
    </row>
    <row r="5216" spans="1:4" x14ac:dyDescent="0.3">
      <c r="A5216" s="4" t="s">
        <v>6</v>
      </c>
      <c r="B5216" s="4">
        <v>213</v>
      </c>
      <c r="D5216"/>
    </row>
    <row r="5217" spans="1:4" x14ac:dyDescent="0.3">
      <c r="A5217" s="4" t="s">
        <v>9</v>
      </c>
      <c r="B5217" s="4">
        <v>219</v>
      </c>
      <c r="D5217"/>
    </row>
    <row r="5218" spans="1:4" x14ac:dyDescent="0.3">
      <c r="A5218" s="4" t="s">
        <v>9</v>
      </c>
      <c r="B5218" s="4">
        <v>272</v>
      </c>
      <c r="D5218"/>
    </row>
    <row r="5219" spans="1:4" x14ac:dyDescent="0.3">
      <c r="A5219" s="4" t="s">
        <v>11</v>
      </c>
      <c r="B5219" s="4">
        <v>761</v>
      </c>
      <c r="D5219"/>
    </row>
    <row r="5220" spans="1:4" x14ac:dyDescent="0.3">
      <c r="A5220" s="4" t="s">
        <v>17</v>
      </c>
      <c r="B5220" s="4">
        <v>121</v>
      </c>
      <c r="D5220"/>
    </row>
    <row r="5221" spans="1:4" x14ac:dyDescent="0.3">
      <c r="A5221" s="4" t="s">
        <v>14</v>
      </c>
      <c r="B5221" s="4">
        <v>336</v>
      </c>
      <c r="D5221"/>
    </row>
    <row r="5222" spans="1:4" x14ac:dyDescent="0.3">
      <c r="A5222" s="4" t="s">
        <v>17</v>
      </c>
      <c r="B5222" s="4">
        <v>141</v>
      </c>
      <c r="D5222"/>
    </row>
    <row r="5223" spans="1:4" x14ac:dyDescent="0.3">
      <c r="A5223" s="4" t="s">
        <v>8</v>
      </c>
      <c r="B5223" s="4">
        <v>918</v>
      </c>
      <c r="D5223"/>
    </row>
    <row r="5224" spans="1:4" x14ac:dyDescent="0.3">
      <c r="A5224" s="4" t="s">
        <v>11</v>
      </c>
      <c r="B5224" s="4">
        <v>63</v>
      </c>
      <c r="D5224"/>
    </row>
    <row r="5225" spans="1:4" x14ac:dyDescent="0.3">
      <c r="A5225" s="4" t="s">
        <v>9</v>
      </c>
      <c r="B5225" s="4">
        <v>538</v>
      </c>
      <c r="D5225"/>
    </row>
    <row r="5226" spans="1:4" x14ac:dyDescent="0.3">
      <c r="A5226" s="4" t="s">
        <v>3</v>
      </c>
      <c r="B5226" s="4">
        <v>904</v>
      </c>
      <c r="D5226"/>
    </row>
    <row r="5227" spans="1:4" x14ac:dyDescent="0.3">
      <c r="A5227" s="4" t="s">
        <v>19</v>
      </c>
      <c r="B5227" s="4">
        <v>504</v>
      </c>
      <c r="D5227"/>
    </row>
    <row r="5228" spans="1:4" x14ac:dyDescent="0.3">
      <c r="A5228" s="4" t="s">
        <v>4</v>
      </c>
      <c r="B5228" s="4">
        <v>234</v>
      </c>
      <c r="D5228"/>
    </row>
    <row r="5229" spans="1:4" x14ac:dyDescent="0.3">
      <c r="A5229" s="4" t="s">
        <v>4</v>
      </c>
      <c r="B5229" s="4">
        <v>331</v>
      </c>
      <c r="D5229"/>
    </row>
    <row r="5230" spans="1:4" x14ac:dyDescent="0.3">
      <c r="A5230" s="4" t="s">
        <v>15</v>
      </c>
      <c r="B5230" s="4">
        <v>833</v>
      </c>
      <c r="D5230"/>
    </row>
    <row r="5231" spans="1:4" x14ac:dyDescent="0.3">
      <c r="A5231" s="4" t="s">
        <v>3</v>
      </c>
      <c r="B5231" s="4">
        <v>919</v>
      </c>
      <c r="D5231"/>
    </row>
    <row r="5232" spans="1:4" x14ac:dyDescent="0.3">
      <c r="A5232" s="4" t="s">
        <v>3</v>
      </c>
      <c r="B5232" s="4">
        <v>994</v>
      </c>
      <c r="D5232"/>
    </row>
    <row r="5233" spans="1:4" x14ac:dyDescent="0.3">
      <c r="A5233" s="4" t="s">
        <v>11</v>
      </c>
      <c r="B5233" s="4" t="e">
        <v>#REF!</v>
      </c>
      <c r="D5233"/>
    </row>
    <row r="5234" spans="1:4" x14ac:dyDescent="0.3">
      <c r="A5234" s="4" t="s">
        <v>17</v>
      </c>
      <c r="B5234" s="4">
        <v>619</v>
      </c>
      <c r="D5234"/>
    </row>
    <row r="5235" spans="1:4" x14ac:dyDescent="0.3">
      <c r="A5235" s="4" t="s">
        <v>7</v>
      </c>
      <c r="B5235" s="4">
        <v>822</v>
      </c>
      <c r="D5235"/>
    </row>
    <row r="5236" spans="1:4" x14ac:dyDescent="0.3">
      <c r="A5236" s="4" t="s">
        <v>18</v>
      </c>
      <c r="B5236" s="4">
        <v>324</v>
      </c>
      <c r="D5236"/>
    </row>
    <row r="5237" spans="1:4" x14ac:dyDescent="0.3">
      <c r="A5237" s="4" t="s">
        <v>8</v>
      </c>
      <c r="B5237" s="4">
        <v>896</v>
      </c>
      <c r="D5237"/>
    </row>
    <row r="5238" spans="1:4" x14ac:dyDescent="0.3">
      <c r="A5238" s="4" t="s">
        <v>14</v>
      </c>
      <c r="B5238" s="4">
        <v>976</v>
      </c>
      <c r="D5238"/>
    </row>
    <row r="5239" spans="1:4" x14ac:dyDescent="0.3">
      <c r="A5239" s="4" t="s">
        <v>9</v>
      </c>
      <c r="B5239" s="4">
        <v>894</v>
      </c>
      <c r="D5239"/>
    </row>
    <row r="5240" spans="1:4" x14ac:dyDescent="0.3">
      <c r="A5240" s="4" t="s">
        <v>6</v>
      </c>
      <c r="B5240" s="4">
        <v>287</v>
      </c>
      <c r="D5240"/>
    </row>
    <row r="5241" spans="1:4" x14ac:dyDescent="0.3">
      <c r="A5241" s="4" t="s">
        <v>3</v>
      </c>
      <c r="B5241" s="4">
        <v>614</v>
      </c>
      <c r="D5241"/>
    </row>
    <row r="5242" spans="1:4" x14ac:dyDescent="0.3">
      <c r="A5242" s="4" t="s">
        <v>7</v>
      </c>
      <c r="B5242" s="4">
        <v>313</v>
      </c>
      <c r="D5242"/>
    </row>
    <row r="5243" spans="1:4" x14ac:dyDescent="0.3">
      <c r="A5243" s="4" t="s">
        <v>10</v>
      </c>
      <c r="B5243" s="4">
        <v>953</v>
      </c>
      <c r="D5243"/>
    </row>
    <row r="5244" spans="1:4" x14ac:dyDescent="0.3">
      <c r="A5244" s="4" t="s">
        <v>15</v>
      </c>
      <c r="B5244" s="4">
        <v>197</v>
      </c>
      <c r="D5244"/>
    </row>
    <row r="5245" spans="1:4" x14ac:dyDescent="0.3">
      <c r="A5245" s="4" t="s">
        <v>10</v>
      </c>
      <c r="B5245" s="4">
        <v>400</v>
      </c>
      <c r="D5245"/>
    </row>
    <row r="5246" spans="1:4" x14ac:dyDescent="0.3">
      <c r="A5246" s="4" t="s">
        <v>10</v>
      </c>
      <c r="B5246" s="4">
        <v>94</v>
      </c>
      <c r="D5246"/>
    </row>
    <row r="5247" spans="1:4" x14ac:dyDescent="0.3">
      <c r="A5247" s="4" t="s">
        <v>12</v>
      </c>
      <c r="B5247" s="4">
        <v>905</v>
      </c>
      <c r="D5247"/>
    </row>
    <row r="5248" spans="1:4" x14ac:dyDescent="0.3">
      <c r="A5248" s="4" t="s">
        <v>18</v>
      </c>
      <c r="B5248" s="4">
        <v>567</v>
      </c>
      <c r="D5248"/>
    </row>
    <row r="5249" spans="1:4" x14ac:dyDescent="0.3">
      <c r="A5249" s="4" t="s">
        <v>9</v>
      </c>
      <c r="B5249" s="4">
        <v>587</v>
      </c>
      <c r="D5249"/>
    </row>
    <row r="5250" spans="1:4" x14ac:dyDescent="0.3">
      <c r="A5250" s="4" t="s">
        <v>19</v>
      </c>
      <c r="B5250" s="4">
        <v>645</v>
      </c>
      <c r="D5250"/>
    </row>
    <row r="5251" spans="1:4" x14ac:dyDescent="0.3">
      <c r="A5251" s="4" t="s">
        <v>8</v>
      </c>
      <c r="B5251" s="4">
        <v>937</v>
      </c>
      <c r="D5251"/>
    </row>
    <row r="5252" spans="1:4" x14ac:dyDescent="0.3">
      <c r="A5252" s="4" t="s">
        <v>11</v>
      </c>
      <c r="B5252" s="4">
        <v>718</v>
      </c>
      <c r="D5252"/>
    </row>
    <row r="5253" spans="1:4" x14ac:dyDescent="0.3">
      <c r="A5253" s="4" t="s">
        <v>4</v>
      </c>
      <c r="B5253" s="4">
        <v>697</v>
      </c>
      <c r="D5253"/>
    </row>
    <row r="5254" spans="1:4" x14ac:dyDescent="0.3">
      <c r="A5254" s="4" t="s">
        <v>12</v>
      </c>
      <c r="B5254" s="4">
        <v>694</v>
      </c>
      <c r="D5254"/>
    </row>
    <row r="5255" spans="1:4" x14ac:dyDescent="0.3">
      <c r="A5255" s="4" t="s">
        <v>9</v>
      </c>
      <c r="B5255" s="4">
        <v>342</v>
      </c>
      <c r="D5255"/>
    </row>
    <row r="5256" spans="1:4" x14ac:dyDescent="0.3">
      <c r="A5256" s="4" t="s">
        <v>14</v>
      </c>
      <c r="B5256" s="4">
        <v>715</v>
      </c>
      <c r="D5256"/>
    </row>
    <row r="5257" spans="1:4" x14ac:dyDescent="0.3">
      <c r="A5257" s="4" t="s">
        <v>18</v>
      </c>
      <c r="B5257" s="4">
        <v>231</v>
      </c>
      <c r="D5257"/>
    </row>
    <row r="5258" spans="1:4" x14ac:dyDescent="0.3">
      <c r="A5258" s="4" t="s">
        <v>3</v>
      </c>
      <c r="B5258" s="4">
        <v>198</v>
      </c>
      <c r="D5258"/>
    </row>
    <row r="5259" spans="1:4" x14ac:dyDescent="0.3">
      <c r="A5259" s="4" t="s">
        <v>12</v>
      </c>
      <c r="B5259" s="4">
        <v>167</v>
      </c>
      <c r="D5259"/>
    </row>
    <row r="5260" spans="1:4" x14ac:dyDescent="0.3">
      <c r="A5260" s="4" t="s">
        <v>3</v>
      </c>
      <c r="B5260" s="4">
        <v>410</v>
      </c>
      <c r="D5260"/>
    </row>
    <row r="5261" spans="1:4" x14ac:dyDescent="0.3">
      <c r="A5261" s="4" t="s">
        <v>15</v>
      </c>
      <c r="B5261" s="4">
        <v>464</v>
      </c>
      <c r="D5261"/>
    </row>
    <row r="5262" spans="1:4" x14ac:dyDescent="0.3">
      <c r="A5262" s="4" t="s">
        <v>3</v>
      </c>
      <c r="B5262" s="4">
        <v>892</v>
      </c>
      <c r="D5262"/>
    </row>
    <row r="5263" spans="1:4" x14ac:dyDescent="0.3">
      <c r="A5263" s="4" t="s">
        <v>18</v>
      </c>
      <c r="B5263" s="4">
        <v>369</v>
      </c>
      <c r="D5263"/>
    </row>
    <row r="5264" spans="1:4" x14ac:dyDescent="0.3">
      <c r="A5264" s="4" t="s">
        <v>12</v>
      </c>
      <c r="B5264" s="4">
        <v>619</v>
      </c>
      <c r="D5264"/>
    </row>
    <row r="5265" spans="1:4" x14ac:dyDescent="0.3">
      <c r="A5265" s="4" t="s">
        <v>18</v>
      </c>
      <c r="B5265" s="4">
        <v>767</v>
      </c>
      <c r="D5265"/>
    </row>
    <row r="5266" spans="1:4" x14ac:dyDescent="0.3">
      <c r="A5266" s="4" t="s">
        <v>9</v>
      </c>
      <c r="B5266" s="4">
        <v>487</v>
      </c>
      <c r="D5266"/>
    </row>
    <row r="5267" spans="1:4" x14ac:dyDescent="0.3">
      <c r="A5267" s="4" t="s">
        <v>14</v>
      </c>
      <c r="B5267" s="4">
        <v>975</v>
      </c>
      <c r="D5267"/>
    </row>
    <row r="5268" spans="1:4" x14ac:dyDescent="0.3">
      <c r="A5268" s="4" t="s">
        <v>10</v>
      </c>
      <c r="B5268" s="4">
        <v>815</v>
      </c>
      <c r="D5268"/>
    </row>
    <row r="5269" spans="1:4" x14ac:dyDescent="0.3">
      <c r="A5269" s="4" t="s">
        <v>12</v>
      </c>
      <c r="B5269" s="4">
        <v>533</v>
      </c>
      <c r="D5269"/>
    </row>
    <row r="5270" spans="1:4" x14ac:dyDescent="0.3">
      <c r="A5270" s="4" t="s">
        <v>7</v>
      </c>
      <c r="B5270" s="4">
        <v>809</v>
      </c>
      <c r="D5270"/>
    </row>
    <row r="5271" spans="1:4" x14ac:dyDescent="0.3">
      <c r="A5271" s="4" t="s">
        <v>11</v>
      </c>
      <c r="B5271" s="4">
        <v>273</v>
      </c>
      <c r="D5271"/>
    </row>
    <row r="5272" spans="1:4" x14ac:dyDescent="0.3">
      <c r="A5272" s="4" t="s">
        <v>4</v>
      </c>
      <c r="B5272" s="4">
        <v>796</v>
      </c>
      <c r="D5272"/>
    </row>
    <row r="5273" spans="1:4" x14ac:dyDescent="0.3">
      <c r="A5273" s="4" t="s">
        <v>9</v>
      </c>
      <c r="B5273" s="4">
        <v>480</v>
      </c>
      <c r="D5273"/>
    </row>
    <row r="5274" spans="1:4" x14ac:dyDescent="0.3">
      <c r="A5274" s="4" t="s">
        <v>16</v>
      </c>
      <c r="B5274" s="4">
        <v>628</v>
      </c>
      <c r="D5274"/>
    </row>
    <row r="5275" spans="1:4" x14ac:dyDescent="0.3">
      <c r="A5275" s="4" t="s">
        <v>10</v>
      </c>
      <c r="B5275" s="4">
        <v>161</v>
      </c>
      <c r="D5275"/>
    </row>
    <row r="5276" spans="1:4" x14ac:dyDescent="0.3">
      <c r="A5276" s="4" t="s">
        <v>8</v>
      </c>
      <c r="B5276" s="4">
        <v>208</v>
      </c>
      <c r="D5276"/>
    </row>
    <row r="5277" spans="1:4" x14ac:dyDescent="0.3">
      <c r="A5277" s="4" t="s">
        <v>10</v>
      </c>
      <c r="B5277" s="4">
        <v>781</v>
      </c>
      <c r="D5277"/>
    </row>
    <row r="5278" spans="1:4" x14ac:dyDescent="0.3">
      <c r="A5278" s="4" t="s">
        <v>9</v>
      </c>
      <c r="B5278" s="4">
        <v>533</v>
      </c>
      <c r="D5278"/>
    </row>
    <row r="5279" spans="1:4" x14ac:dyDescent="0.3">
      <c r="A5279" s="4" t="s">
        <v>7</v>
      </c>
      <c r="B5279" s="4">
        <v>394</v>
      </c>
      <c r="D5279"/>
    </row>
    <row r="5280" spans="1:4" x14ac:dyDescent="0.3">
      <c r="A5280" s="4" t="s">
        <v>13</v>
      </c>
      <c r="B5280" s="4">
        <v>625</v>
      </c>
      <c r="D5280"/>
    </row>
    <row r="5281" spans="1:4" x14ac:dyDescent="0.3">
      <c r="A5281" s="4" t="s">
        <v>12</v>
      </c>
      <c r="B5281" s="4">
        <v>865</v>
      </c>
      <c r="D5281"/>
    </row>
    <row r="5282" spans="1:4" x14ac:dyDescent="0.3">
      <c r="A5282" s="4" t="s">
        <v>9</v>
      </c>
      <c r="B5282" s="4">
        <v>479</v>
      </c>
      <c r="D5282"/>
    </row>
    <row r="5283" spans="1:4" x14ac:dyDescent="0.3">
      <c r="A5283" s="4" t="s">
        <v>19</v>
      </c>
      <c r="B5283" s="4">
        <v>563</v>
      </c>
      <c r="D5283"/>
    </row>
    <row r="5284" spans="1:4" x14ac:dyDescent="0.3">
      <c r="A5284" s="4" t="s">
        <v>9</v>
      </c>
      <c r="B5284" s="4">
        <v>764</v>
      </c>
      <c r="D5284"/>
    </row>
    <row r="5285" spans="1:4" x14ac:dyDescent="0.3">
      <c r="A5285" s="4" t="s">
        <v>7</v>
      </c>
      <c r="B5285" s="4">
        <v>817</v>
      </c>
      <c r="D5285"/>
    </row>
    <row r="5286" spans="1:4" x14ac:dyDescent="0.3">
      <c r="A5286" s="4" t="s">
        <v>15</v>
      </c>
      <c r="B5286" s="4">
        <v>289</v>
      </c>
      <c r="D5286"/>
    </row>
    <row r="5287" spans="1:4" x14ac:dyDescent="0.3">
      <c r="A5287" s="4" t="s">
        <v>12</v>
      </c>
      <c r="B5287" s="4" t="e">
        <v>#REF!</v>
      </c>
      <c r="D5287"/>
    </row>
    <row r="5288" spans="1:4" x14ac:dyDescent="0.3">
      <c r="A5288" s="4" t="s">
        <v>10</v>
      </c>
      <c r="B5288" s="4">
        <v>643</v>
      </c>
      <c r="D5288"/>
    </row>
    <row r="5289" spans="1:4" x14ac:dyDescent="0.3">
      <c r="A5289" s="4" t="s">
        <v>8</v>
      </c>
      <c r="B5289" s="4">
        <v>710</v>
      </c>
      <c r="D5289"/>
    </row>
    <row r="5290" spans="1:4" x14ac:dyDescent="0.3">
      <c r="A5290" s="4" t="s">
        <v>14</v>
      </c>
      <c r="B5290" s="4">
        <v>416</v>
      </c>
      <c r="D5290"/>
    </row>
    <row r="5291" spans="1:4" x14ac:dyDescent="0.3">
      <c r="A5291" s="4" t="s">
        <v>7</v>
      </c>
      <c r="B5291" s="4">
        <v>727</v>
      </c>
      <c r="D5291"/>
    </row>
    <row r="5292" spans="1:4" x14ac:dyDescent="0.3">
      <c r="A5292" s="4" t="s">
        <v>8</v>
      </c>
      <c r="B5292" s="4">
        <v>829</v>
      </c>
      <c r="D5292"/>
    </row>
    <row r="5293" spans="1:4" x14ac:dyDescent="0.3">
      <c r="A5293" s="4" t="s">
        <v>16</v>
      </c>
      <c r="B5293" s="4">
        <v>805</v>
      </c>
      <c r="D5293"/>
    </row>
    <row r="5294" spans="1:4" x14ac:dyDescent="0.3">
      <c r="A5294" s="4" t="s">
        <v>12</v>
      </c>
      <c r="B5294" s="4">
        <v>605</v>
      </c>
      <c r="D5294"/>
    </row>
    <row r="5295" spans="1:4" x14ac:dyDescent="0.3">
      <c r="A5295" s="4" t="s">
        <v>8</v>
      </c>
      <c r="B5295" s="4">
        <v>880</v>
      </c>
      <c r="D5295"/>
    </row>
    <row r="5296" spans="1:4" x14ac:dyDescent="0.3">
      <c r="A5296" s="4" t="s">
        <v>15</v>
      </c>
      <c r="B5296" s="4">
        <v>154</v>
      </c>
      <c r="D5296"/>
    </row>
    <row r="5297" spans="1:4" x14ac:dyDescent="0.3">
      <c r="A5297" s="4" t="s">
        <v>10</v>
      </c>
      <c r="B5297" s="4">
        <v>27</v>
      </c>
      <c r="D5297"/>
    </row>
    <row r="5298" spans="1:4" x14ac:dyDescent="0.3">
      <c r="A5298" s="4" t="s">
        <v>6</v>
      </c>
      <c r="B5298" s="4">
        <v>312</v>
      </c>
      <c r="D5298"/>
    </row>
    <row r="5299" spans="1:4" x14ac:dyDescent="0.3">
      <c r="A5299" s="4" t="s">
        <v>6</v>
      </c>
      <c r="B5299" s="4">
        <v>345</v>
      </c>
      <c r="D5299"/>
    </row>
    <row r="5300" spans="1:4" x14ac:dyDescent="0.3">
      <c r="A5300" s="4" t="s">
        <v>4</v>
      </c>
      <c r="B5300" s="4">
        <v>342</v>
      </c>
      <c r="D5300"/>
    </row>
    <row r="5301" spans="1:4" x14ac:dyDescent="0.3">
      <c r="A5301" s="4" t="s">
        <v>3</v>
      </c>
      <c r="B5301" s="4">
        <v>106</v>
      </c>
      <c r="D5301"/>
    </row>
    <row r="5302" spans="1:4" x14ac:dyDescent="0.3">
      <c r="A5302" s="4" t="s">
        <v>19</v>
      </c>
      <c r="B5302" s="4">
        <v>774</v>
      </c>
      <c r="D5302"/>
    </row>
    <row r="5303" spans="1:4" x14ac:dyDescent="0.3">
      <c r="A5303" s="4" t="s">
        <v>14</v>
      </c>
      <c r="B5303" s="4">
        <v>652</v>
      </c>
      <c r="D5303"/>
    </row>
    <row r="5304" spans="1:4" x14ac:dyDescent="0.3">
      <c r="A5304" s="4" t="s">
        <v>4</v>
      </c>
      <c r="B5304" s="4">
        <v>726</v>
      </c>
      <c r="D5304"/>
    </row>
    <row r="5305" spans="1:4" x14ac:dyDescent="0.3">
      <c r="A5305" s="4" t="s">
        <v>3</v>
      </c>
      <c r="B5305" s="4">
        <v>145</v>
      </c>
      <c r="D5305"/>
    </row>
    <row r="5306" spans="1:4" x14ac:dyDescent="0.3">
      <c r="A5306" s="4" t="s">
        <v>16</v>
      </c>
      <c r="B5306" s="4">
        <v>498</v>
      </c>
      <c r="D5306"/>
    </row>
    <row r="5307" spans="1:4" x14ac:dyDescent="0.3">
      <c r="A5307" s="4" t="s">
        <v>18</v>
      </c>
      <c r="B5307" s="4">
        <v>739</v>
      </c>
      <c r="D5307"/>
    </row>
    <row r="5308" spans="1:4" x14ac:dyDescent="0.3">
      <c r="A5308" s="4" t="s">
        <v>4</v>
      </c>
      <c r="B5308" s="4">
        <v>869</v>
      </c>
      <c r="D5308"/>
    </row>
    <row r="5309" spans="1:4" x14ac:dyDescent="0.3">
      <c r="A5309" s="4" t="s">
        <v>6</v>
      </c>
      <c r="B5309" s="4">
        <v>20</v>
      </c>
      <c r="D5309"/>
    </row>
    <row r="5310" spans="1:4" x14ac:dyDescent="0.3">
      <c r="A5310" s="4" t="s">
        <v>17</v>
      </c>
      <c r="B5310" s="4">
        <v>545</v>
      </c>
      <c r="D5310"/>
    </row>
    <row r="5311" spans="1:4" x14ac:dyDescent="0.3">
      <c r="A5311" s="4" t="s">
        <v>6</v>
      </c>
      <c r="B5311" s="4">
        <v>428</v>
      </c>
      <c r="D5311"/>
    </row>
    <row r="5312" spans="1:4" x14ac:dyDescent="0.3">
      <c r="A5312" s="4" t="s">
        <v>18</v>
      </c>
      <c r="B5312" s="4">
        <v>110</v>
      </c>
      <c r="D5312"/>
    </row>
    <row r="5313" spans="1:4" x14ac:dyDescent="0.3">
      <c r="A5313" s="4" t="s">
        <v>11</v>
      </c>
      <c r="B5313" s="4">
        <v>401</v>
      </c>
      <c r="D5313"/>
    </row>
    <row r="5314" spans="1:4" x14ac:dyDescent="0.3">
      <c r="A5314" s="4" t="s">
        <v>13</v>
      </c>
      <c r="B5314" s="4">
        <v>578</v>
      </c>
      <c r="D5314"/>
    </row>
    <row r="5315" spans="1:4" x14ac:dyDescent="0.3">
      <c r="A5315" s="4" t="s">
        <v>16</v>
      </c>
      <c r="B5315" s="4">
        <v>789</v>
      </c>
      <c r="D5315"/>
    </row>
    <row r="5316" spans="1:4" x14ac:dyDescent="0.3">
      <c r="A5316" s="4" t="s">
        <v>10</v>
      </c>
      <c r="B5316" s="4">
        <v>172</v>
      </c>
      <c r="D5316"/>
    </row>
    <row r="5317" spans="1:4" x14ac:dyDescent="0.3">
      <c r="A5317" s="4" t="s">
        <v>15</v>
      </c>
      <c r="B5317" s="4">
        <v>542</v>
      </c>
      <c r="D5317"/>
    </row>
    <row r="5318" spans="1:4" x14ac:dyDescent="0.3">
      <c r="A5318" s="4" t="s">
        <v>17</v>
      </c>
      <c r="B5318" s="4">
        <v>675</v>
      </c>
      <c r="D5318"/>
    </row>
    <row r="5319" spans="1:4" x14ac:dyDescent="0.3">
      <c r="A5319" s="4" t="s">
        <v>14</v>
      </c>
      <c r="B5319" s="4">
        <v>746</v>
      </c>
      <c r="D5319"/>
    </row>
    <row r="5320" spans="1:4" x14ac:dyDescent="0.3">
      <c r="A5320" s="4" t="s">
        <v>9</v>
      </c>
      <c r="B5320" s="4">
        <v>65</v>
      </c>
      <c r="D5320"/>
    </row>
    <row r="5321" spans="1:4" x14ac:dyDescent="0.3">
      <c r="A5321" s="4" t="s">
        <v>6</v>
      </c>
      <c r="B5321" s="4">
        <v>336</v>
      </c>
      <c r="D5321"/>
    </row>
    <row r="5322" spans="1:4" x14ac:dyDescent="0.3">
      <c r="A5322" s="4" t="s">
        <v>7</v>
      </c>
      <c r="B5322" s="4">
        <v>272</v>
      </c>
      <c r="D5322"/>
    </row>
    <row r="5323" spans="1:4" x14ac:dyDescent="0.3">
      <c r="A5323" s="4" t="s">
        <v>7</v>
      </c>
      <c r="B5323" s="4">
        <v>700</v>
      </c>
      <c r="D5323"/>
    </row>
    <row r="5324" spans="1:4" x14ac:dyDescent="0.3">
      <c r="A5324" s="4" t="s">
        <v>18</v>
      </c>
      <c r="B5324" s="4">
        <v>852</v>
      </c>
      <c r="D5324"/>
    </row>
    <row r="5325" spans="1:4" x14ac:dyDescent="0.3">
      <c r="A5325" s="4" t="s">
        <v>9</v>
      </c>
      <c r="B5325" s="4">
        <v>417</v>
      </c>
      <c r="D5325"/>
    </row>
    <row r="5326" spans="1:4" x14ac:dyDescent="0.3">
      <c r="A5326" s="4" t="s">
        <v>4</v>
      </c>
      <c r="B5326" s="4">
        <v>772</v>
      </c>
      <c r="D5326"/>
    </row>
    <row r="5327" spans="1:4" x14ac:dyDescent="0.3">
      <c r="A5327" s="4" t="s">
        <v>8</v>
      </c>
      <c r="B5327" s="4">
        <v>729</v>
      </c>
      <c r="D5327"/>
    </row>
    <row r="5328" spans="1:4" x14ac:dyDescent="0.3">
      <c r="A5328" s="4" t="s">
        <v>3</v>
      </c>
      <c r="B5328" s="4">
        <v>423</v>
      </c>
      <c r="D5328"/>
    </row>
    <row r="5329" spans="1:4" x14ac:dyDescent="0.3">
      <c r="A5329" s="4" t="s">
        <v>4</v>
      </c>
      <c r="B5329" s="4">
        <v>245</v>
      </c>
      <c r="D5329"/>
    </row>
    <row r="5330" spans="1:4" x14ac:dyDescent="0.3">
      <c r="A5330" s="4" t="s">
        <v>8</v>
      </c>
      <c r="B5330" s="4">
        <v>800</v>
      </c>
      <c r="D5330"/>
    </row>
    <row r="5331" spans="1:4" x14ac:dyDescent="0.3">
      <c r="A5331" s="4" t="s">
        <v>4</v>
      </c>
      <c r="B5331" s="4">
        <v>960</v>
      </c>
      <c r="D5331"/>
    </row>
    <row r="5332" spans="1:4" x14ac:dyDescent="0.3">
      <c r="A5332" s="4" t="s">
        <v>9</v>
      </c>
      <c r="B5332" s="4">
        <v>655</v>
      </c>
      <c r="D5332"/>
    </row>
    <row r="5333" spans="1:4" x14ac:dyDescent="0.3">
      <c r="A5333" s="4" t="s">
        <v>10</v>
      </c>
      <c r="B5333" s="4">
        <v>135</v>
      </c>
      <c r="D5333"/>
    </row>
    <row r="5334" spans="1:4" x14ac:dyDescent="0.3">
      <c r="A5334" s="4" t="s">
        <v>6</v>
      </c>
      <c r="B5334" s="4">
        <v>714</v>
      </c>
      <c r="D5334"/>
    </row>
    <row r="5335" spans="1:4" x14ac:dyDescent="0.3">
      <c r="A5335" s="4" t="s">
        <v>9</v>
      </c>
      <c r="B5335" s="4">
        <v>483</v>
      </c>
      <c r="D5335"/>
    </row>
    <row r="5336" spans="1:4" x14ac:dyDescent="0.3">
      <c r="A5336" s="4" t="s">
        <v>16</v>
      </c>
      <c r="B5336" s="4">
        <v>848</v>
      </c>
      <c r="D5336"/>
    </row>
    <row r="5337" spans="1:4" x14ac:dyDescent="0.3">
      <c r="A5337" s="4" t="s">
        <v>10</v>
      </c>
      <c r="B5337" s="4">
        <v>317</v>
      </c>
      <c r="D5337"/>
    </row>
    <row r="5338" spans="1:4" x14ac:dyDescent="0.3">
      <c r="A5338" s="4" t="s">
        <v>7</v>
      </c>
      <c r="B5338" s="4">
        <v>907</v>
      </c>
      <c r="D5338"/>
    </row>
    <row r="5339" spans="1:4" x14ac:dyDescent="0.3">
      <c r="A5339" s="4" t="s">
        <v>11</v>
      </c>
      <c r="B5339" s="4">
        <v>741</v>
      </c>
      <c r="D5339"/>
    </row>
    <row r="5340" spans="1:4" x14ac:dyDescent="0.3">
      <c r="A5340" s="4" t="s">
        <v>6</v>
      </c>
      <c r="B5340" s="4">
        <v>729</v>
      </c>
      <c r="D5340"/>
    </row>
    <row r="5341" spans="1:4" x14ac:dyDescent="0.3">
      <c r="A5341" s="4" t="s">
        <v>6</v>
      </c>
      <c r="B5341" s="4">
        <v>969</v>
      </c>
      <c r="D5341"/>
    </row>
    <row r="5342" spans="1:4" x14ac:dyDescent="0.3">
      <c r="A5342" s="4" t="s">
        <v>14</v>
      </c>
      <c r="B5342" s="4">
        <v>825</v>
      </c>
      <c r="D5342"/>
    </row>
    <row r="5343" spans="1:4" x14ac:dyDescent="0.3">
      <c r="A5343" s="4" t="s">
        <v>3</v>
      </c>
      <c r="B5343" s="4">
        <v>269</v>
      </c>
      <c r="D5343"/>
    </row>
    <row r="5344" spans="1:4" x14ac:dyDescent="0.3">
      <c r="A5344" s="4" t="s">
        <v>18</v>
      </c>
      <c r="B5344" s="4">
        <v>421</v>
      </c>
      <c r="D5344"/>
    </row>
    <row r="5345" spans="1:4" x14ac:dyDescent="0.3">
      <c r="A5345" s="4" t="s">
        <v>19</v>
      </c>
      <c r="B5345" s="4">
        <v>782</v>
      </c>
      <c r="D5345"/>
    </row>
    <row r="5346" spans="1:4" x14ac:dyDescent="0.3">
      <c r="A5346" s="4" t="s">
        <v>10</v>
      </c>
      <c r="B5346" s="4">
        <v>399</v>
      </c>
      <c r="D5346"/>
    </row>
    <row r="5347" spans="1:4" x14ac:dyDescent="0.3">
      <c r="A5347" s="4" t="s">
        <v>11</v>
      </c>
      <c r="B5347" s="4">
        <v>914</v>
      </c>
      <c r="D5347"/>
    </row>
    <row r="5348" spans="1:4" x14ac:dyDescent="0.3">
      <c r="A5348" s="4" t="s">
        <v>13</v>
      </c>
      <c r="B5348" s="4">
        <v>175</v>
      </c>
      <c r="D5348"/>
    </row>
    <row r="5349" spans="1:4" x14ac:dyDescent="0.3">
      <c r="A5349" s="4" t="s">
        <v>10</v>
      </c>
      <c r="B5349" s="4">
        <v>366</v>
      </c>
      <c r="D5349"/>
    </row>
    <row r="5350" spans="1:4" x14ac:dyDescent="0.3">
      <c r="A5350" s="4" t="s">
        <v>19</v>
      </c>
      <c r="B5350" s="4">
        <v>359</v>
      </c>
      <c r="D5350"/>
    </row>
    <row r="5351" spans="1:4" x14ac:dyDescent="0.3">
      <c r="A5351" s="4" t="s">
        <v>8</v>
      </c>
      <c r="B5351" s="4">
        <v>686</v>
      </c>
      <c r="D5351"/>
    </row>
    <row r="5352" spans="1:4" x14ac:dyDescent="0.3">
      <c r="A5352" s="4" t="s">
        <v>10</v>
      </c>
      <c r="B5352" s="4">
        <v>660</v>
      </c>
      <c r="D5352"/>
    </row>
    <row r="5353" spans="1:4" x14ac:dyDescent="0.3">
      <c r="A5353" s="4" t="s">
        <v>9</v>
      </c>
      <c r="B5353" s="4">
        <v>304</v>
      </c>
      <c r="D5353"/>
    </row>
    <row r="5354" spans="1:4" x14ac:dyDescent="0.3">
      <c r="A5354" s="4" t="s">
        <v>7</v>
      </c>
      <c r="B5354" s="4">
        <v>813</v>
      </c>
      <c r="D5354"/>
    </row>
    <row r="5355" spans="1:4" x14ac:dyDescent="0.3">
      <c r="A5355" s="4" t="s">
        <v>10</v>
      </c>
      <c r="B5355" s="4">
        <v>665</v>
      </c>
      <c r="D5355"/>
    </row>
    <row r="5356" spans="1:4" x14ac:dyDescent="0.3">
      <c r="A5356" s="4" t="s">
        <v>17</v>
      </c>
      <c r="B5356" s="4">
        <v>728</v>
      </c>
      <c r="D5356"/>
    </row>
    <row r="5357" spans="1:4" x14ac:dyDescent="0.3">
      <c r="A5357" s="4" t="s">
        <v>12</v>
      </c>
      <c r="B5357" s="4">
        <v>138</v>
      </c>
      <c r="D5357"/>
    </row>
    <row r="5358" spans="1:4" x14ac:dyDescent="0.3">
      <c r="A5358" s="4" t="s">
        <v>19</v>
      </c>
      <c r="B5358" s="4">
        <v>267</v>
      </c>
      <c r="D5358"/>
    </row>
    <row r="5359" spans="1:4" x14ac:dyDescent="0.3">
      <c r="A5359" s="4" t="s">
        <v>12</v>
      </c>
      <c r="B5359" s="4">
        <v>938</v>
      </c>
      <c r="D5359"/>
    </row>
    <row r="5360" spans="1:4" x14ac:dyDescent="0.3">
      <c r="A5360" s="4" t="s">
        <v>15</v>
      </c>
      <c r="B5360" s="4">
        <v>803</v>
      </c>
      <c r="D5360"/>
    </row>
    <row r="5361" spans="1:4" x14ac:dyDescent="0.3">
      <c r="A5361" s="4" t="s">
        <v>3</v>
      </c>
      <c r="B5361" s="6">
        <v>654</v>
      </c>
      <c r="D5361"/>
    </row>
    <row r="5362" spans="1:4" x14ac:dyDescent="0.3">
      <c r="A5362" s="4" t="s">
        <v>7</v>
      </c>
      <c r="B5362" s="4">
        <v>315</v>
      </c>
      <c r="D5362"/>
    </row>
    <row r="5363" spans="1:4" x14ac:dyDescent="0.3">
      <c r="A5363" s="4" t="s">
        <v>3</v>
      </c>
      <c r="B5363" s="4">
        <v>748</v>
      </c>
      <c r="D5363"/>
    </row>
    <row r="5364" spans="1:4" x14ac:dyDescent="0.3">
      <c r="A5364" s="4" t="s">
        <v>9</v>
      </c>
      <c r="B5364" s="4">
        <v>690</v>
      </c>
      <c r="D5364"/>
    </row>
    <row r="5365" spans="1:4" x14ac:dyDescent="0.3">
      <c r="A5365" s="4" t="s">
        <v>18</v>
      </c>
      <c r="B5365" s="4">
        <v>629</v>
      </c>
      <c r="D5365"/>
    </row>
    <row r="5366" spans="1:4" x14ac:dyDescent="0.3">
      <c r="A5366" s="4" t="s">
        <v>12</v>
      </c>
      <c r="B5366" s="4">
        <v>652</v>
      </c>
      <c r="D5366"/>
    </row>
    <row r="5367" spans="1:4" x14ac:dyDescent="0.3">
      <c r="A5367" s="4" t="s">
        <v>4</v>
      </c>
      <c r="B5367" s="4">
        <v>675</v>
      </c>
      <c r="D5367"/>
    </row>
    <row r="5368" spans="1:4" x14ac:dyDescent="0.3">
      <c r="A5368" s="4" t="s">
        <v>8</v>
      </c>
      <c r="B5368" s="4">
        <v>909</v>
      </c>
      <c r="D5368"/>
    </row>
    <row r="5369" spans="1:4" x14ac:dyDescent="0.3">
      <c r="A5369" s="4" t="s">
        <v>9</v>
      </c>
      <c r="B5369" s="4">
        <v>395</v>
      </c>
      <c r="D5369"/>
    </row>
    <row r="5370" spans="1:4" x14ac:dyDescent="0.3">
      <c r="A5370" s="4" t="s">
        <v>14</v>
      </c>
      <c r="B5370" s="4">
        <v>279</v>
      </c>
      <c r="D5370"/>
    </row>
    <row r="5371" spans="1:4" x14ac:dyDescent="0.3">
      <c r="A5371" s="4" t="s">
        <v>4</v>
      </c>
      <c r="B5371" s="4">
        <v>386</v>
      </c>
      <c r="D5371"/>
    </row>
    <row r="5372" spans="1:4" x14ac:dyDescent="0.3">
      <c r="A5372" s="4" t="s">
        <v>19</v>
      </c>
      <c r="B5372" s="4">
        <v>301</v>
      </c>
      <c r="D5372"/>
    </row>
    <row r="5373" spans="1:4" x14ac:dyDescent="0.3">
      <c r="A5373" s="4" t="s">
        <v>12</v>
      </c>
      <c r="B5373" s="4">
        <v>722</v>
      </c>
      <c r="D5373"/>
    </row>
    <row r="5374" spans="1:4" x14ac:dyDescent="0.3">
      <c r="A5374" s="4" t="s">
        <v>17</v>
      </c>
      <c r="B5374" s="4">
        <v>900</v>
      </c>
      <c r="D5374"/>
    </row>
    <row r="5375" spans="1:4" x14ac:dyDescent="0.3">
      <c r="A5375" s="4" t="s">
        <v>14</v>
      </c>
      <c r="B5375" s="4">
        <v>30</v>
      </c>
      <c r="D5375"/>
    </row>
    <row r="5376" spans="1:4" x14ac:dyDescent="0.3">
      <c r="A5376" s="4" t="s">
        <v>10</v>
      </c>
      <c r="B5376" s="4">
        <v>863</v>
      </c>
      <c r="D5376"/>
    </row>
    <row r="5377" spans="1:4" x14ac:dyDescent="0.3">
      <c r="A5377" s="4" t="s">
        <v>15</v>
      </c>
      <c r="B5377" s="4">
        <v>362</v>
      </c>
      <c r="D5377"/>
    </row>
    <row r="5378" spans="1:4" x14ac:dyDescent="0.3">
      <c r="A5378" s="4" t="s">
        <v>19</v>
      </c>
      <c r="B5378" s="4">
        <v>155</v>
      </c>
      <c r="D5378"/>
    </row>
    <row r="5379" spans="1:4" x14ac:dyDescent="0.3">
      <c r="A5379" s="4" t="s">
        <v>18</v>
      </c>
      <c r="B5379" s="4">
        <v>911</v>
      </c>
      <c r="D5379"/>
    </row>
    <row r="5380" spans="1:4" x14ac:dyDescent="0.3">
      <c r="A5380" s="4" t="s">
        <v>13</v>
      </c>
      <c r="B5380" s="4">
        <v>329</v>
      </c>
      <c r="D5380"/>
    </row>
    <row r="5381" spans="1:4" x14ac:dyDescent="0.3">
      <c r="A5381" s="4" t="s">
        <v>10</v>
      </c>
      <c r="B5381" s="4">
        <v>723</v>
      </c>
      <c r="D5381"/>
    </row>
    <row r="5382" spans="1:4" x14ac:dyDescent="0.3">
      <c r="A5382" s="4" t="s">
        <v>17</v>
      </c>
      <c r="B5382" s="4">
        <v>845</v>
      </c>
      <c r="D5382"/>
    </row>
    <row r="5383" spans="1:4" x14ac:dyDescent="0.3">
      <c r="A5383" s="4" t="s">
        <v>14</v>
      </c>
      <c r="B5383" s="4">
        <v>787</v>
      </c>
      <c r="D5383"/>
    </row>
    <row r="5384" spans="1:4" x14ac:dyDescent="0.3">
      <c r="A5384" s="4" t="s">
        <v>6</v>
      </c>
      <c r="B5384" s="4">
        <v>520</v>
      </c>
      <c r="D5384"/>
    </row>
    <row r="5385" spans="1:4" x14ac:dyDescent="0.3">
      <c r="A5385" s="4" t="s">
        <v>18</v>
      </c>
      <c r="B5385" s="4">
        <v>763</v>
      </c>
      <c r="D5385"/>
    </row>
    <row r="5386" spans="1:4" x14ac:dyDescent="0.3">
      <c r="A5386" s="4" t="s">
        <v>7</v>
      </c>
      <c r="B5386" s="6">
        <v>966</v>
      </c>
      <c r="D5386"/>
    </row>
    <row r="5387" spans="1:4" x14ac:dyDescent="0.3">
      <c r="A5387" s="4" t="s">
        <v>18</v>
      </c>
      <c r="B5387" s="4">
        <v>583</v>
      </c>
      <c r="D5387"/>
    </row>
    <row r="5388" spans="1:4" x14ac:dyDescent="0.3">
      <c r="A5388" s="4" t="s">
        <v>10</v>
      </c>
      <c r="B5388" s="4">
        <v>383</v>
      </c>
      <c r="D5388"/>
    </row>
    <row r="5389" spans="1:4" x14ac:dyDescent="0.3">
      <c r="A5389" s="4" t="s">
        <v>7</v>
      </c>
      <c r="B5389" s="4">
        <v>485</v>
      </c>
      <c r="D5389"/>
    </row>
    <row r="5390" spans="1:4" x14ac:dyDescent="0.3">
      <c r="A5390" s="4" t="s">
        <v>18</v>
      </c>
      <c r="B5390" s="4">
        <v>286</v>
      </c>
      <c r="D5390"/>
    </row>
    <row r="5391" spans="1:4" x14ac:dyDescent="0.3">
      <c r="A5391" s="4" t="s">
        <v>18</v>
      </c>
      <c r="B5391" s="4">
        <v>149</v>
      </c>
      <c r="D5391"/>
    </row>
    <row r="5392" spans="1:4" x14ac:dyDescent="0.3">
      <c r="A5392" s="4" t="s">
        <v>19</v>
      </c>
      <c r="B5392" s="4">
        <v>579</v>
      </c>
      <c r="D5392"/>
    </row>
    <row r="5393" spans="1:4" x14ac:dyDescent="0.3">
      <c r="A5393" s="4" t="s">
        <v>11</v>
      </c>
      <c r="B5393" s="4">
        <v>679</v>
      </c>
      <c r="D5393"/>
    </row>
    <row r="5394" spans="1:4" x14ac:dyDescent="0.3">
      <c r="A5394" s="4" t="s">
        <v>12</v>
      </c>
      <c r="B5394" s="4">
        <v>490</v>
      </c>
      <c r="D5394"/>
    </row>
    <row r="5395" spans="1:4" x14ac:dyDescent="0.3">
      <c r="A5395" s="4" t="s">
        <v>6</v>
      </c>
      <c r="B5395" s="4">
        <v>824</v>
      </c>
      <c r="D5395"/>
    </row>
    <row r="5396" spans="1:4" x14ac:dyDescent="0.3">
      <c r="A5396" s="4" t="s">
        <v>15</v>
      </c>
      <c r="B5396" s="6">
        <v>137</v>
      </c>
      <c r="D5396"/>
    </row>
    <row r="5397" spans="1:4" x14ac:dyDescent="0.3">
      <c r="A5397" s="4" t="s">
        <v>3</v>
      </c>
      <c r="B5397" s="4">
        <v>539</v>
      </c>
      <c r="D5397"/>
    </row>
    <row r="5398" spans="1:4" x14ac:dyDescent="0.3">
      <c r="A5398" s="4" t="s">
        <v>4</v>
      </c>
      <c r="B5398" s="4">
        <v>586</v>
      </c>
      <c r="D5398"/>
    </row>
    <row r="5399" spans="1:4" x14ac:dyDescent="0.3">
      <c r="A5399" s="4" t="s">
        <v>8</v>
      </c>
      <c r="B5399" s="4">
        <v>136</v>
      </c>
      <c r="D5399"/>
    </row>
    <row r="5400" spans="1:4" x14ac:dyDescent="0.3">
      <c r="A5400" s="4" t="s">
        <v>9</v>
      </c>
      <c r="B5400" s="4">
        <v>708</v>
      </c>
      <c r="D5400"/>
    </row>
    <row r="5401" spans="1:4" x14ac:dyDescent="0.3">
      <c r="A5401" s="4" t="s">
        <v>10</v>
      </c>
      <c r="B5401" s="4">
        <v>175</v>
      </c>
      <c r="D5401"/>
    </row>
    <row r="5402" spans="1:4" x14ac:dyDescent="0.3">
      <c r="A5402" s="4" t="s">
        <v>4</v>
      </c>
      <c r="B5402" s="4">
        <v>536</v>
      </c>
      <c r="D5402"/>
    </row>
    <row r="5403" spans="1:4" x14ac:dyDescent="0.3">
      <c r="A5403" s="4" t="s">
        <v>10</v>
      </c>
      <c r="B5403" s="4">
        <v>978</v>
      </c>
      <c r="D5403"/>
    </row>
    <row r="5404" spans="1:4" x14ac:dyDescent="0.3">
      <c r="A5404" s="4" t="s">
        <v>14</v>
      </c>
      <c r="B5404" s="4">
        <v>274</v>
      </c>
      <c r="D5404"/>
    </row>
    <row r="5405" spans="1:4" x14ac:dyDescent="0.3">
      <c r="A5405" s="4" t="s">
        <v>10</v>
      </c>
      <c r="B5405" s="4">
        <v>596</v>
      </c>
      <c r="D5405"/>
    </row>
    <row r="5406" spans="1:4" x14ac:dyDescent="0.3">
      <c r="A5406" s="4" t="s">
        <v>10</v>
      </c>
      <c r="B5406" s="4">
        <v>788</v>
      </c>
      <c r="D5406"/>
    </row>
    <row r="5407" spans="1:4" x14ac:dyDescent="0.3">
      <c r="A5407" s="4" t="s">
        <v>6</v>
      </c>
      <c r="B5407" s="4">
        <v>817</v>
      </c>
      <c r="D5407"/>
    </row>
    <row r="5408" spans="1:4" x14ac:dyDescent="0.3">
      <c r="A5408" s="4" t="s">
        <v>11</v>
      </c>
      <c r="B5408" s="4">
        <v>341</v>
      </c>
      <c r="D5408"/>
    </row>
    <row r="5409" spans="1:4" x14ac:dyDescent="0.3">
      <c r="A5409" s="4" t="s">
        <v>4</v>
      </c>
      <c r="B5409" s="4">
        <v>678</v>
      </c>
      <c r="D5409"/>
    </row>
    <row r="5410" spans="1:4" x14ac:dyDescent="0.3">
      <c r="A5410" s="4" t="s">
        <v>7</v>
      </c>
      <c r="B5410" s="4">
        <v>549</v>
      </c>
      <c r="D5410"/>
    </row>
    <row r="5411" spans="1:4" x14ac:dyDescent="0.3">
      <c r="A5411" s="4" t="s">
        <v>16</v>
      </c>
      <c r="B5411" s="4">
        <v>301</v>
      </c>
      <c r="D5411"/>
    </row>
    <row r="5412" spans="1:4" x14ac:dyDescent="0.3">
      <c r="A5412" s="4" t="s">
        <v>6</v>
      </c>
      <c r="B5412" s="4">
        <v>597</v>
      </c>
      <c r="D5412"/>
    </row>
    <row r="5413" spans="1:4" x14ac:dyDescent="0.3">
      <c r="A5413" s="4" t="s">
        <v>18</v>
      </c>
      <c r="B5413" s="4">
        <v>502</v>
      </c>
      <c r="D5413"/>
    </row>
    <row r="5414" spans="1:4" x14ac:dyDescent="0.3">
      <c r="A5414" s="4" t="s">
        <v>10</v>
      </c>
      <c r="B5414" s="4">
        <v>913</v>
      </c>
      <c r="D5414"/>
    </row>
    <row r="5415" spans="1:4" x14ac:dyDescent="0.3">
      <c r="A5415" s="4" t="s">
        <v>8</v>
      </c>
      <c r="B5415" s="4">
        <v>950</v>
      </c>
      <c r="D5415"/>
    </row>
    <row r="5416" spans="1:4" x14ac:dyDescent="0.3">
      <c r="A5416" s="4" t="s">
        <v>18</v>
      </c>
      <c r="B5416" s="4">
        <v>785</v>
      </c>
      <c r="D5416"/>
    </row>
    <row r="5417" spans="1:4" x14ac:dyDescent="0.3">
      <c r="A5417" s="4" t="s">
        <v>10</v>
      </c>
      <c r="B5417" s="4">
        <v>991</v>
      </c>
      <c r="D5417"/>
    </row>
    <row r="5418" spans="1:4" x14ac:dyDescent="0.3">
      <c r="A5418" s="4" t="s">
        <v>19</v>
      </c>
      <c r="B5418" s="4">
        <v>398</v>
      </c>
      <c r="D5418"/>
    </row>
    <row r="5419" spans="1:4" x14ac:dyDescent="0.3">
      <c r="A5419" s="4" t="s">
        <v>19</v>
      </c>
      <c r="B5419" s="4">
        <v>378</v>
      </c>
      <c r="D5419"/>
    </row>
    <row r="5420" spans="1:4" x14ac:dyDescent="0.3">
      <c r="A5420" s="4" t="s">
        <v>10</v>
      </c>
      <c r="B5420" s="4">
        <v>332</v>
      </c>
      <c r="D5420"/>
    </row>
    <row r="5421" spans="1:4" x14ac:dyDescent="0.3">
      <c r="A5421" s="4" t="s">
        <v>17</v>
      </c>
      <c r="B5421" s="4">
        <v>880</v>
      </c>
      <c r="D5421"/>
    </row>
    <row r="5422" spans="1:4" x14ac:dyDescent="0.3">
      <c r="A5422" s="4" t="s">
        <v>18</v>
      </c>
      <c r="B5422" s="4">
        <v>110</v>
      </c>
      <c r="D5422"/>
    </row>
    <row r="5423" spans="1:4" x14ac:dyDescent="0.3">
      <c r="A5423" s="4" t="s">
        <v>12</v>
      </c>
      <c r="B5423" s="4">
        <v>531</v>
      </c>
      <c r="D5423"/>
    </row>
    <row r="5424" spans="1:4" x14ac:dyDescent="0.3">
      <c r="A5424" s="4" t="s">
        <v>11</v>
      </c>
      <c r="B5424" s="4" t="e">
        <v>#N/A</v>
      </c>
      <c r="D5424"/>
    </row>
    <row r="5425" spans="1:4" x14ac:dyDescent="0.3">
      <c r="A5425" s="4" t="s">
        <v>15</v>
      </c>
      <c r="B5425" s="4" t="e">
        <v>#REF!</v>
      </c>
      <c r="D5425"/>
    </row>
    <row r="5426" spans="1:4" x14ac:dyDescent="0.3">
      <c r="A5426" s="4" t="s">
        <v>4</v>
      </c>
      <c r="B5426" s="4">
        <v>139</v>
      </c>
      <c r="D5426"/>
    </row>
    <row r="5427" spans="1:4" x14ac:dyDescent="0.3">
      <c r="A5427" s="4" t="s">
        <v>6</v>
      </c>
      <c r="B5427" s="4">
        <v>961</v>
      </c>
      <c r="D5427"/>
    </row>
    <row r="5428" spans="1:4" x14ac:dyDescent="0.3">
      <c r="A5428" s="4" t="s">
        <v>3</v>
      </c>
      <c r="B5428" s="4">
        <v>683</v>
      </c>
      <c r="D5428"/>
    </row>
    <row r="5429" spans="1:4" x14ac:dyDescent="0.3">
      <c r="A5429" s="4" t="s">
        <v>9</v>
      </c>
      <c r="B5429" s="4">
        <v>812</v>
      </c>
      <c r="D5429"/>
    </row>
    <row r="5430" spans="1:4" x14ac:dyDescent="0.3">
      <c r="A5430" s="4" t="s">
        <v>11</v>
      </c>
      <c r="B5430" s="4">
        <v>726</v>
      </c>
      <c r="D5430"/>
    </row>
    <row r="5431" spans="1:4" x14ac:dyDescent="0.3">
      <c r="A5431" s="4" t="s">
        <v>6</v>
      </c>
      <c r="B5431" s="4">
        <v>89</v>
      </c>
      <c r="D5431"/>
    </row>
    <row r="5432" spans="1:4" x14ac:dyDescent="0.3">
      <c r="A5432" s="4" t="s">
        <v>18</v>
      </c>
      <c r="B5432" s="4">
        <v>503</v>
      </c>
      <c r="D5432"/>
    </row>
    <row r="5433" spans="1:4" x14ac:dyDescent="0.3">
      <c r="A5433" s="4" t="s">
        <v>7</v>
      </c>
      <c r="B5433" s="4">
        <v>815</v>
      </c>
      <c r="D5433"/>
    </row>
    <row r="5434" spans="1:4" x14ac:dyDescent="0.3">
      <c r="A5434" s="4" t="s">
        <v>9</v>
      </c>
      <c r="B5434" s="4">
        <v>319</v>
      </c>
      <c r="D5434"/>
    </row>
    <row r="5435" spans="1:4" x14ac:dyDescent="0.3">
      <c r="A5435" s="4" t="s">
        <v>6</v>
      </c>
      <c r="B5435" s="4">
        <v>449</v>
      </c>
      <c r="D5435"/>
    </row>
    <row r="5436" spans="1:4" x14ac:dyDescent="0.3">
      <c r="A5436" s="4" t="s">
        <v>17</v>
      </c>
      <c r="B5436" s="4">
        <v>988</v>
      </c>
      <c r="D5436"/>
    </row>
    <row r="5437" spans="1:4" x14ac:dyDescent="0.3">
      <c r="A5437" s="4" t="s">
        <v>18</v>
      </c>
      <c r="B5437" s="4">
        <v>371</v>
      </c>
      <c r="D5437"/>
    </row>
    <row r="5438" spans="1:4" x14ac:dyDescent="0.3">
      <c r="A5438" s="4" t="s">
        <v>16</v>
      </c>
      <c r="B5438" s="4">
        <v>442</v>
      </c>
      <c r="D5438"/>
    </row>
    <row r="5439" spans="1:4" x14ac:dyDescent="0.3">
      <c r="A5439" s="4" t="s">
        <v>19</v>
      </c>
      <c r="B5439" s="4">
        <v>88</v>
      </c>
      <c r="D5439"/>
    </row>
    <row r="5440" spans="1:4" x14ac:dyDescent="0.3">
      <c r="A5440" s="4" t="s">
        <v>9</v>
      </c>
      <c r="B5440" s="4">
        <v>189</v>
      </c>
      <c r="D5440"/>
    </row>
    <row r="5441" spans="1:4" x14ac:dyDescent="0.3">
      <c r="A5441" s="4" t="s">
        <v>8</v>
      </c>
      <c r="B5441" s="4">
        <v>797</v>
      </c>
      <c r="D5441"/>
    </row>
    <row r="5442" spans="1:4" x14ac:dyDescent="0.3">
      <c r="A5442" s="4" t="s">
        <v>4</v>
      </c>
      <c r="B5442" s="4">
        <v>867</v>
      </c>
      <c r="D5442"/>
    </row>
    <row r="5443" spans="1:4" x14ac:dyDescent="0.3">
      <c r="A5443" s="4" t="s">
        <v>3</v>
      </c>
      <c r="B5443" s="4">
        <v>522</v>
      </c>
      <c r="D5443"/>
    </row>
    <row r="5444" spans="1:4" x14ac:dyDescent="0.3">
      <c r="A5444" s="4" t="s">
        <v>4</v>
      </c>
      <c r="B5444" s="4">
        <v>686</v>
      </c>
      <c r="D5444"/>
    </row>
    <row r="5445" spans="1:4" x14ac:dyDescent="0.3">
      <c r="A5445" s="4" t="s">
        <v>17</v>
      </c>
      <c r="B5445" s="4">
        <v>238</v>
      </c>
      <c r="D5445"/>
    </row>
    <row r="5446" spans="1:4" x14ac:dyDescent="0.3">
      <c r="A5446" s="4" t="s">
        <v>19</v>
      </c>
      <c r="B5446" s="4">
        <v>397</v>
      </c>
      <c r="D5446"/>
    </row>
    <row r="5447" spans="1:4" x14ac:dyDescent="0.3">
      <c r="A5447" s="4" t="s">
        <v>8</v>
      </c>
      <c r="B5447" s="4">
        <v>728</v>
      </c>
      <c r="D5447"/>
    </row>
    <row r="5448" spans="1:4" x14ac:dyDescent="0.3">
      <c r="A5448" s="4" t="s">
        <v>10</v>
      </c>
      <c r="B5448" s="4">
        <v>509</v>
      </c>
      <c r="D5448"/>
    </row>
    <row r="5449" spans="1:4" x14ac:dyDescent="0.3">
      <c r="A5449" s="4" t="s">
        <v>8</v>
      </c>
      <c r="B5449" s="4">
        <v>578</v>
      </c>
      <c r="D5449"/>
    </row>
    <row r="5450" spans="1:4" x14ac:dyDescent="0.3">
      <c r="A5450" s="4" t="s">
        <v>10</v>
      </c>
      <c r="B5450" s="4">
        <v>264</v>
      </c>
      <c r="D5450"/>
    </row>
    <row r="5451" spans="1:4" x14ac:dyDescent="0.3">
      <c r="A5451" s="4" t="s">
        <v>9</v>
      </c>
      <c r="B5451" s="4">
        <v>542</v>
      </c>
      <c r="D5451"/>
    </row>
    <row r="5452" spans="1:4" x14ac:dyDescent="0.3">
      <c r="A5452" s="4" t="s">
        <v>12</v>
      </c>
      <c r="B5452" s="4">
        <v>977</v>
      </c>
      <c r="D5452"/>
    </row>
    <row r="5453" spans="1:4" x14ac:dyDescent="0.3">
      <c r="A5453" s="4" t="s">
        <v>13</v>
      </c>
      <c r="B5453" s="4">
        <v>580</v>
      </c>
      <c r="D5453"/>
    </row>
    <row r="5454" spans="1:4" x14ac:dyDescent="0.3">
      <c r="A5454" s="4" t="s">
        <v>7</v>
      </c>
      <c r="B5454" s="4">
        <v>168</v>
      </c>
      <c r="D5454"/>
    </row>
    <row r="5455" spans="1:4" x14ac:dyDescent="0.3">
      <c r="A5455" s="4" t="s">
        <v>9</v>
      </c>
      <c r="B5455" s="4">
        <v>837</v>
      </c>
      <c r="D5455"/>
    </row>
    <row r="5456" spans="1:4" x14ac:dyDescent="0.3">
      <c r="A5456" s="4" t="s">
        <v>4</v>
      </c>
      <c r="B5456" s="4">
        <v>729</v>
      </c>
      <c r="D5456"/>
    </row>
    <row r="5457" spans="1:4" x14ac:dyDescent="0.3">
      <c r="A5457" s="4" t="s">
        <v>10</v>
      </c>
      <c r="B5457" s="4">
        <v>260</v>
      </c>
      <c r="D5457"/>
    </row>
    <row r="5458" spans="1:4" x14ac:dyDescent="0.3">
      <c r="A5458" s="4" t="s">
        <v>3</v>
      </c>
      <c r="B5458" s="4">
        <v>820</v>
      </c>
      <c r="D5458"/>
    </row>
    <row r="5459" spans="1:4" x14ac:dyDescent="0.3">
      <c r="A5459" s="4" t="s">
        <v>18</v>
      </c>
      <c r="B5459" s="4">
        <v>943</v>
      </c>
      <c r="D5459"/>
    </row>
    <row r="5460" spans="1:4" x14ac:dyDescent="0.3">
      <c r="A5460" s="4" t="s">
        <v>16</v>
      </c>
      <c r="B5460" s="4">
        <v>932</v>
      </c>
      <c r="D5460"/>
    </row>
    <row r="5461" spans="1:4" x14ac:dyDescent="0.3">
      <c r="A5461" s="4" t="s">
        <v>9</v>
      </c>
      <c r="B5461" s="4">
        <v>773</v>
      </c>
      <c r="D5461"/>
    </row>
    <row r="5462" spans="1:4" x14ac:dyDescent="0.3">
      <c r="A5462" s="4" t="s">
        <v>19</v>
      </c>
      <c r="B5462" s="4">
        <v>259</v>
      </c>
      <c r="D5462"/>
    </row>
    <row r="5463" spans="1:4" x14ac:dyDescent="0.3">
      <c r="A5463" s="4" t="s">
        <v>10</v>
      </c>
      <c r="B5463" s="4">
        <v>293</v>
      </c>
      <c r="D5463"/>
    </row>
    <row r="5464" spans="1:4" x14ac:dyDescent="0.3">
      <c r="A5464" s="4" t="s">
        <v>3</v>
      </c>
      <c r="B5464" s="4">
        <v>939</v>
      </c>
      <c r="D5464"/>
    </row>
    <row r="5465" spans="1:4" x14ac:dyDescent="0.3">
      <c r="A5465" s="4" t="s">
        <v>7</v>
      </c>
      <c r="B5465" s="4">
        <v>427</v>
      </c>
      <c r="D5465"/>
    </row>
    <row r="5466" spans="1:4" x14ac:dyDescent="0.3">
      <c r="A5466" s="4" t="s">
        <v>12</v>
      </c>
      <c r="B5466" s="4">
        <v>996</v>
      </c>
      <c r="D5466"/>
    </row>
    <row r="5467" spans="1:4" x14ac:dyDescent="0.3">
      <c r="A5467" s="4" t="s">
        <v>8</v>
      </c>
      <c r="B5467" s="4">
        <v>54</v>
      </c>
      <c r="D5467"/>
    </row>
    <row r="5468" spans="1:4" x14ac:dyDescent="0.3">
      <c r="A5468" s="4" t="s">
        <v>13</v>
      </c>
      <c r="B5468" s="4">
        <v>521</v>
      </c>
      <c r="D5468"/>
    </row>
    <row r="5469" spans="1:4" x14ac:dyDescent="0.3">
      <c r="A5469" s="4" t="s">
        <v>17</v>
      </c>
      <c r="B5469" s="4">
        <v>771</v>
      </c>
      <c r="D5469"/>
    </row>
    <row r="5470" spans="1:4" x14ac:dyDescent="0.3">
      <c r="A5470" s="4" t="s">
        <v>10</v>
      </c>
      <c r="B5470" s="4">
        <v>136</v>
      </c>
      <c r="D5470"/>
    </row>
    <row r="5471" spans="1:4" x14ac:dyDescent="0.3">
      <c r="A5471" s="4" t="s">
        <v>11</v>
      </c>
      <c r="B5471" s="4">
        <v>883</v>
      </c>
      <c r="D5471"/>
    </row>
    <row r="5472" spans="1:4" x14ac:dyDescent="0.3">
      <c r="A5472" s="4" t="s">
        <v>6</v>
      </c>
      <c r="B5472" s="4">
        <v>700</v>
      </c>
      <c r="D5472"/>
    </row>
    <row r="5473" spans="1:4" x14ac:dyDescent="0.3">
      <c r="A5473" s="4" t="s">
        <v>4</v>
      </c>
      <c r="B5473" s="4">
        <v>786</v>
      </c>
      <c r="D5473"/>
    </row>
    <row r="5474" spans="1:4" x14ac:dyDescent="0.3">
      <c r="A5474" s="4" t="s">
        <v>19</v>
      </c>
      <c r="B5474" s="4">
        <v>526</v>
      </c>
      <c r="D5474"/>
    </row>
    <row r="5475" spans="1:4" x14ac:dyDescent="0.3">
      <c r="A5475" s="4" t="s">
        <v>19</v>
      </c>
      <c r="B5475" s="4">
        <v>817</v>
      </c>
      <c r="D5475"/>
    </row>
    <row r="5476" spans="1:4" x14ac:dyDescent="0.3">
      <c r="A5476" s="4" t="s">
        <v>4</v>
      </c>
      <c r="B5476" s="4">
        <v>788</v>
      </c>
      <c r="D5476"/>
    </row>
    <row r="5477" spans="1:4" x14ac:dyDescent="0.3">
      <c r="A5477" s="4" t="s">
        <v>13</v>
      </c>
      <c r="B5477" s="4">
        <v>410</v>
      </c>
      <c r="D5477"/>
    </row>
    <row r="5478" spans="1:4" x14ac:dyDescent="0.3">
      <c r="A5478" s="4" t="s">
        <v>12</v>
      </c>
      <c r="B5478" s="4">
        <v>465</v>
      </c>
      <c r="D5478"/>
    </row>
    <row r="5479" spans="1:4" x14ac:dyDescent="0.3">
      <c r="A5479" s="4" t="s">
        <v>15</v>
      </c>
      <c r="B5479" s="4">
        <v>576</v>
      </c>
      <c r="D5479"/>
    </row>
    <row r="5480" spans="1:4" x14ac:dyDescent="0.3">
      <c r="A5480" s="4" t="s">
        <v>17</v>
      </c>
      <c r="B5480" s="4">
        <v>854</v>
      </c>
      <c r="D5480"/>
    </row>
    <row r="5481" spans="1:4" x14ac:dyDescent="0.3">
      <c r="A5481" s="4" t="s">
        <v>17</v>
      </c>
      <c r="B5481" s="4">
        <v>888</v>
      </c>
      <c r="D5481"/>
    </row>
    <row r="5482" spans="1:4" x14ac:dyDescent="0.3">
      <c r="A5482" s="4" t="s">
        <v>13</v>
      </c>
      <c r="B5482" s="4">
        <v>330</v>
      </c>
      <c r="D5482"/>
    </row>
    <row r="5483" spans="1:4" x14ac:dyDescent="0.3">
      <c r="A5483" s="4" t="s">
        <v>8</v>
      </c>
      <c r="B5483" s="4">
        <v>379</v>
      </c>
      <c r="D5483"/>
    </row>
    <row r="5484" spans="1:4" x14ac:dyDescent="0.3">
      <c r="A5484" s="4" t="s">
        <v>16</v>
      </c>
      <c r="B5484" s="4">
        <v>467</v>
      </c>
      <c r="D5484"/>
    </row>
    <row r="5485" spans="1:4" x14ac:dyDescent="0.3">
      <c r="A5485" s="4" t="s">
        <v>6</v>
      </c>
      <c r="B5485" s="4">
        <v>217</v>
      </c>
      <c r="D5485"/>
    </row>
    <row r="5486" spans="1:4" x14ac:dyDescent="0.3">
      <c r="A5486" s="4" t="s">
        <v>4</v>
      </c>
      <c r="B5486" s="4">
        <v>752</v>
      </c>
      <c r="D5486"/>
    </row>
    <row r="5487" spans="1:4" x14ac:dyDescent="0.3">
      <c r="A5487" s="4" t="s">
        <v>8</v>
      </c>
      <c r="B5487" s="4">
        <v>942</v>
      </c>
      <c r="D5487"/>
    </row>
    <row r="5488" spans="1:4" x14ac:dyDescent="0.3">
      <c r="A5488" s="4" t="s">
        <v>4</v>
      </c>
      <c r="B5488" s="4">
        <v>418</v>
      </c>
      <c r="D5488"/>
    </row>
    <row r="5489" spans="1:4" x14ac:dyDescent="0.3">
      <c r="A5489" s="4" t="s">
        <v>12</v>
      </c>
      <c r="B5489" s="4">
        <v>588</v>
      </c>
      <c r="D5489"/>
    </row>
    <row r="5490" spans="1:4" x14ac:dyDescent="0.3">
      <c r="A5490" s="4" t="s">
        <v>17</v>
      </c>
      <c r="B5490" s="4">
        <v>672</v>
      </c>
      <c r="D5490"/>
    </row>
    <row r="5491" spans="1:4" x14ac:dyDescent="0.3">
      <c r="A5491" s="4" t="s">
        <v>10</v>
      </c>
      <c r="B5491" s="4">
        <v>255</v>
      </c>
      <c r="D5491"/>
    </row>
    <row r="5492" spans="1:4" x14ac:dyDescent="0.3">
      <c r="A5492" s="4" t="s">
        <v>14</v>
      </c>
      <c r="B5492" s="4">
        <v>195</v>
      </c>
      <c r="D5492"/>
    </row>
    <row r="5493" spans="1:4" x14ac:dyDescent="0.3">
      <c r="A5493" s="4" t="s">
        <v>11</v>
      </c>
      <c r="B5493" s="4">
        <v>607</v>
      </c>
      <c r="D5493"/>
    </row>
    <row r="5494" spans="1:4" x14ac:dyDescent="0.3">
      <c r="A5494" s="4" t="s">
        <v>4</v>
      </c>
      <c r="B5494" s="4">
        <v>644</v>
      </c>
      <c r="D5494"/>
    </row>
    <row r="5495" spans="1:4" x14ac:dyDescent="0.3">
      <c r="A5495" s="4" t="s">
        <v>7</v>
      </c>
      <c r="B5495" s="4">
        <v>166</v>
      </c>
      <c r="D5495"/>
    </row>
    <row r="5496" spans="1:4" x14ac:dyDescent="0.3">
      <c r="A5496" s="4" t="s">
        <v>3</v>
      </c>
      <c r="B5496" s="4">
        <v>374</v>
      </c>
      <c r="D5496"/>
    </row>
    <row r="5497" spans="1:4" x14ac:dyDescent="0.3">
      <c r="A5497" s="4" t="s">
        <v>7</v>
      </c>
      <c r="B5497" s="4">
        <v>616</v>
      </c>
      <c r="D5497"/>
    </row>
    <row r="5498" spans="1:4" x14ac:dyDescent="0.3">
      <c r="A5498" s="4" t="s">
        <v>3</v>
      </c>
      <c r="B5498" s="4">
        <v>466</v>
      </c>
      <c r="D5498"/>
    </row>
    <row r="5499" spans="1:4" x14ac:dyDescent="0.3">
      <c r="A5499" s="4" t="s">
        <v>19</v>
      </c>
      <c r="B5499" s="4">
        <v>321</v>
      </c>
      <c r="D5499"/>
    </row>
    <row r="5500" spans="1:4" x14ac:dyDescent="0.3">
      <c r="A5500" s="4" t="s">
        <v>15</v>
      </c>
      <c r="B5500" s="4">
        <v>804</v>
      </c>
      <c r="D5500"/>
    </row>
    <row r="5501" spans="1:4" x14ac:dyDescent="0.3">
      <c r="A5501" s="4" t="s">
        <v>10</v>
      </c>
      <c r="B5501" s="4">
        <v>324</v>
      </c>
      <c r="D5501"/>
    </row>
    <row r="5502" spans="1:4" x14ac:dyDescent="0.3">
      <c r="A5502" s="4" t="s">
        <v>18</v>
      </c>
      <c r="B5502" s="4">
        <v>746</v>
      </c>
      <c r="D5502"/>
    </row>
    <row r="5503" spans="1:4" x14ac:dyDescent="0.3">
      <c r="A5503" s="4" t="s">
        <v>9</v>
      </c>
      <c r="B5503" s="4">
        <v>299</v>
      </c>
      <c r="D5503"/>
    </row>
    <row r="5504" spans="1:4" x14ac:dyDescent="0.3">
      <c r="A5504" s="4" t="s">
        <v>17</v>
      </c>
      <c r="B5504" s="4">
        <v>891</v>
      </c>
      <c r="D5504"/>
    </row>
    <row r="5505" spans="1:4" x14ac:dyDescent="0.3">
      <c r="A5505" s="4" t="s">
        <v>19</v>
      </c>
      <c r="B5505" s="4">
        <v>829</v>
      </c>
      <c r="D5505"/>
    </row>
    <row r="5506" spans="1:4" x14ac:dyDescent="0.3">
      <c r="A5506" s="4" t="s">
        <v>18</v>
      </c>
      <c r="B5506" s="4">
        <v>219</v>
      </c>
      <c r="D5506"/>
    </row>
    <row r="5507" spans="1:4" x14ac:dyDescent="0.3">
      <c r="A5507" s="4" t="s">
        <v>19</v>
      </c>
      <c r="B5507" s="4">
        <v>345</v>
      </c>
      <c r="D5507"/>
    </row>
    <row r="5508" spans="1:4" x14ac:dyDescent="0.3">
      <c r="A5508" s="4" t="s">
        <v>9</v>
      </c>
      <c r="B5508" s="4">
        <v>866</v>
      </c>
      <c r="D5508"/>
    </row>
    <row r="5509" spans="1:4" x14ac:dyDescent="0.3">
      <c r="A5509" s="4" t="s">
        <v>19</v>
      </c>
      <c r="B5509" s="4">
        <v>834</v>
      </c>
      <c r="D5509"/>
    </row>
    <row r="5510" spans="1:4" x14ac:dyDescent="0.3">
      <c r="A5510" s="4" t="s">
        <v>10</v>
      </c>
      <c r="B5510" s="4">
        <v>661</v>
      </c>
      <c r="D5510"/>
    </row>
    <row r="5511" spans="1:4" x14ac:dyDescent="0.3">
      <c r="A5511" s="4" t="s">
        <v>6</v>
      </c>
      <c r="B5511" s="4">
        <v>780</v>
      </c>
      <c r="D5511"/>
    </row>
    <row r="5512" spans="1:4" x14ac:dyDescent="0.3">
      <c r="A5512" s="4" t="s">
        <v>7</v>
      </c>
      <c r="B5512" s="4">
        <v>192</v>
      </c>
      <c r="D5512"/>
    </row>
    <row r="5513" spans="1:4" x14ac:dyDescent="0.3">
      <c r="A5513" s="4" t="s">
        <v>9</v>
      </c>
      <c r="B5513" s="4">
        <v>534</v>
      </c>
      <c r="D5513"/>
    </row>
    <row r="5514" spans="1:4" x14ac:dyDescent="0.3">
      <c r="A5514" s="4" t="s">
        <v>16</v>
      </c>
      <c r="B5514" s="4">
        <v>290</v>
      </c>
      <c r="D5514"/>
    </row>
    <row r="5515" spans="1:4" x14ac:dyDescent="0.3">
      <c r="A5515" s="4" t="s">
        <v>13</v>
      </c>
      <c r="B5515" s="6">
        <v>512</v>
      </c>
      <c r="D5515"/>
    </row>
    <row r="5516" spans="1:4" x14ac:dyDescent="0.3">
      <c r="A5516" s="4" t="s">
        <v>10</v>
      </c>
      <c r="B5516" s="4">
        <v>793</v>
      </c>
      <c r="D5516"/>
    </row>
    <row r="5517" spans="1:4" x14ac:dyDescent="0.3">
      <c r="A5517" s="4" t="s">
        <v>15</v>
      </c>
      <c r="B5517" s="4">
        <v>332</v>
      </c>
      <c r="D5517"/>
    </row>
    <row r="5518" spans="1:4" x14ac:dyDescent="0.3">
      <c r="A5518" s="4" t="s">
        <v>4</v>
      </c>
      <c r="B5518" s="4">
        <v>255</v>
      </c>
      <c r="D5518"/>
    </row>
    <row r="5519" spans="1:4" x14ac:dyDescent="0.3">
      <c r="A5519" s="4" t="s">
        <v>12</v>
      </c>
      <c r="B5519" s="4">
        <v>214</v>
      </c>
      <c r="D5519"/>
    </row>
    <row r="5520" spans="1:4" x14ac:dyDescent="0.3">
      <c r="A5520" s="4" t="s">
        <v>19</v>
      </c>
      <c r="B5520" s="4">
        <v>759</v>
      </c>
      <c r="D5520"/>
    </row>
    <row r="5521" spans="1:4" x14ac:dyDescent="0.3">
      <c r="A5521" s="4" t="s">
        <v>6</v>
      </c>
      <c r="B5521" s="4">
        <v>838</v>
      </c>
      <c r="D5521"/>
    </row>
    <row r="5522" spans="1:4" x14ac:dyDescent="0.3">
      <c r="A5522" s="4" t="s">
        <v>19</v>
      </c>
      <c r="B5522" s="4">
        <v>868</v>
      </c>
      <c r="D5522"/>
    </row>
    <row r="5523" spans="1:4" x14ac:dyDescent="0.3">
      <c r="A5523" s="4" t="s">
        <v>14</v>
      </c>
      <c r="B5523" s="4">
        <v>140</v>
      </c>
      <c r="D5523"/>
    </row>
    <row r="5524" spans="1:4" x14ac:dyDescent="0.3">
      <c r="A5524" s="4" t="s">
        <v>18</v>
      </c>
      <c r="B5524" s="4">
        <v>190</v>
      </c>
      <c r="D5524"/>
    </row>
    <row r="5525" spans="1:4" x14ac:dyDescent="0.3">
      <c r="A5525" s="4" t="s">
        <v>7</v>
      </c>
      <c r="B5525" s="4">
        <v>691</v>
      </c>
      <c r="D5525"/>
    </row>
    <row r="5526" spans="1:4" x14ac:dyDescent="0.3">
      <c r="A5526" s="4" t="s">
        <v>8</v>
      </c>
      <c r="B5526" s="4">
        <v>124</v>
      </c>
      <c r="D5526"/>
    </row>
    <row r="5527" spans="1:4" x14ac:dyDescent="0.3">
      <c r="A5527" s="4" t="s">
        <v>13</v>
      </c>
      <c r="B5527" s="4">
        <v>777</v>
      </c>
      <c r="D5527"/>
    </row>
    <row r="5528" spans="1:4" x14ac:dyDescent="0.3">
      <c r="A5528" s="4" t="s">
        <v>13</v>
      </c>
      <c r="B5528" s="4">
        <v>221</v>
      </c>
      <c r="D5528"/>
    </row>
    <row r="5529" spans="1:4" x14ac:dyDescent="0.3">
      <c r="A5529" s="4" t="s">
        <v>10</v>
      </c>
      <c r="B5529" s="4">
        <v>755</v>
      </c>
      <c r="D5529"/>
    </row>
    <row r="5530" spans="1:4" x14ac:dyDescent="0.3">
      <c r="A5530" s="4" t="s">
        <v>6</v>
      </c>
      <c r="B5530" s="4">
        <v>255</v>
      </c>
      <c r="D5530"/>
    </row>
    <row r="5531" spans="1:4" x14ac:dyDescent="0.3">
      <c r="A5531" s="4" t="s">
        <v>8</v>
      </c>
      <c r="B5531" s="4">
        <v>591</v>
      </c>
      <c r="D5531"/>
    </row>
    <row r="5532" spans="1:4" x14ac:dyDescent="0.3">
      <c r="A5532" s="4" t="s">
        <v>11</v>
      </c>
      <c r="B5532" s="4">
        <v>276</v>
      </c>
      <c r="D5532"/>
    </row>
    <row r="5533" spans="1:4" x14ac:dyDescent="0.3">
      <c r="A5533" s="4" t="s">
        <v>10</v>
      </c>
      <c r="B5533" s="4">
        <v>572</v>
      </c>
      <c r="D5533"/>
    </row>
    <row r="5534" spans="1:4" x14ac:dyDescent="0.3">
      <c r="A5534" s="4" t="s">
        <v>4</v>
      </c>
      <c r="B5534" s="4">
        <v>949</v>
      </c>
      <c r="D5534"/>
    </row>
    <row r="5535" spans="1:4" x14ac:dyDescent="0.3">
      <c r="A5535" s="4" t="s">
        <v>16</v>
      </c>
      <c r="B5535" s="4">
        <v>428</v>
      </c>
      <c r="D5535"/>
    </row>
    <row r="5536" spans="1:4" x14ac:dyDescent="0.3">
      <c r="A5536" s="4" t="s">
        <v>12</v>
      </c>
      <c r="B5536" s="4">
        <v>459</v>
      </c>
      <c r="D5536"/>
    </row>
    <row r="5537" spans="1:4" x14ac:dyDescent="0.3">
      <c r="A5537" s="4" t="s">
        <v>6</v>
      </c>
      <c r="B5537" s="4">
        <v>689</v>
      </c>
      <c r="D5537"/>
    </row>
    <row r="5538" spans="1:4" x14ac:dyDescent="0.3">
      <c r="A5538" s="4" t="s">
        <v>9</v>
      </c>
      <c r="B5538" s="4" t="e">
        <v>#REF!</v>
      </c>
      <c r="D5538"/>
    </row>
    <row r="5539" spans="1:4" x14ac:dyDescent="0.3">
      <c r="A5539" s="4" t="s">
        <v>10</v>
      </c>
      <c r="B5539" s="4">
        <v>729</v>
      </c>
      <c r="D5539"/>
    </row>
    <row r="5540" spans="1:4" x14ac:dyDescent="0.3">
      <c r="A5540" s="4" t="s">
        <v>8</v>
      </c>
      <c r="B5540" s="4">
        <v>723</v>
      </c>
      <c r="D5540"/>
    </row>
    <row r="5541" spans="1:4" x14ac:dyDescent="0.3">
      <c r="A5541" s="4" t="s">
        <v>3</v>
      </c>
      <c r="B5541" s="4">
        <v>228</v>
      </c>
      <c r="D5541"/>
    </row>
    <row r="5542" spans="1:4" x14ac:dyDescent="0.3">
      <c r="A5542" s="4" t="s">
        <v>19</v>
      </c>
      <c r="B5542" s="4">
        <v>484</v>
      </c>
      <c r="D5542"/>
    </row>
    <row r="5543" spans="1:4" x14ac:dyDescent="0.3">
      <c r="A5543" s="4" t="s">
        <v>19</v>
      </c>
      <c r="B5543" s="4">
        <v>122</v>
      </c>
      <c r="D5543"/>
    </row>
    <row r="5544" spans="1:4" x14ac:dyDescent="0.3">
      <c r="A5544" s="4" t="s">
        <v>13</v>
      </c>
      <c r="B5544" s="4">
        <v>269</v>
      </c>
      <c r="D5544"/>
    </row>
    <row r="5545" spans="1:4" x14ac:dyDescent="0.3">
      <c r="A5545" s="4" t="s">
        <v>6</v>
      </c>
      <c r="B5545" s="4">
        <v>900</v>
      </c>
      <c r="D5545"/>
    </row>
    <row r="5546" spans="1:4" x14ac:dyDescent="0.3">
      <c r="A5546" s="4" t="s">
        <v>17</v>
      </c>
      <c r="B5546" s="6">
        <v>665</v>
      </c>
      <c r="D5546"/>
    </row>
    <row r="5547" spans="1:4" x14ac:dyDescent="0.3">
      <c r="A5547" s="4" t="s">
        <v>15</v>
      </c>
      <c r="B5547" s="4">
        <v>886</v>
      </c>
      <c r="D5547"/>
    </row>
    <row r="5548" spans="1:4" x14ac:dyDescent="0.3">
      <c r="A5548" s="4" t="s">
        <v>6</v>
      </c>
      <c r="B5548" s="4">
        <v>783</v>
      </c>
      <c r="D5548"/>
    </row>
    <row r="5549" spans="1:4" x14ac:dyDescent="0.3">
      <c r="A5549" s="4" t="s">
        <v>3</v>
      </c>
      <c r="B5549" s="4" t="e">
        <v>#REF!</v>
      </c>
      <c r="D5549"/>
    </row>
    <row r="5550" spans="1:4" x14ac:dyDescent="0.3">
      <c r="A5550" s="4" t="s">
        <v>3</v>
      </c>
      <c r="B5550" s="4">
        <v>828</v>
      </c>
      <c r="D5550"/>
    </row>
    <row r="5551" spans="1:4" x14ac:dyDescent="0.3">
      <c r="A5551" s="4" t="s">
        <v>16</v>
      </c>
      <c r="B5551" s="4">
        <v>650</v>
      </c>
      <c r="D5551"/>
    </row>
    <row r="5552" spans="1:4" x14ac:dyDescent="0.3">
      <c r="A5552" s="4" t="s">
        <v>19</v>
      </c>
      <c r="B5552" s="4">
        <v>890</v>
      </c>
      <c r="D5552"/>
    </row>
    <row r="5553" spans="1:4" x14ac:dyDescent="0.3">
      <c r="A5553" s="4" t="s">
        <v>11</v>
      </c>
      <c r="B5553" s="4">
        <v>742</v>
      </c>
      <c r="D5553"/>
    </row>
    <row r="5554" spans="1:4" x14ac:dyDescent="0.3">
      <c r="A5554" s="4" t="s">
        <v>3</v>
      </c>
      <c r="B5554" s="4">
        <v>907</v>
      </c>
      <c r="D5554"/>
    </row>
    <row r="5555" spans="1:4" x14ac:dyDescent="0.3">
      <c r="A5555" s="4" t="s">
        <v>9</v>
      </c>
      <c r="B5555" s="4">
        <v>956</v>
      </c>
      <c r="D5555"/>
    </row>
    <row r="5556" spans="1:4" x14ac:dyDescent="0.3">
      <c r="A5556" s="4" t="s">
        <v>15</v>
      </c>
      <c r="B5556" s="4">
        <v>913</v>
      </c>
      <c r="D5556"/>
    </row>
    <row r="5557" spans="1:4" x14ac:dyDescent="0.3">
      <c r="A5557" s="4" t="s">
        <v>18</v>
      </c>
      <c r="B5557" s="4">
        <v>830</v>
      </c>
      <c r="D5557"/>
    </row>
    <row r="5558" spans="1:4" x14ac:dyDescent="0.3">
      <c r="A5558" s="4" t="s">
        <v>10</v>
      </c>
      <c r="B5558" s="4">
        <v>808</v>
      </c>
      <c r="D5558"/>
    </row>
    <row r="5559" spans="1:4" x14ac:dyDescent="0.3">
      <c r="A5559" s="4" t="s">
        <v>4</v>
      </c>
      <c r="B5559" s="4">
        <v>257</v>
      </c>
      <c r="D5559"/>
    </row>
    <row r="5560" spans="1:4" x14ac:dyDescent="0.3">
      <c r="A5560" s="4" t="s">
        <v>15</v>
      </c>
      <c r="B5560" s="4">
        <v>945</v>
      </c>
      <c r="D5560"/>
    </row>
    <row r="5561" spans="1:4" x14ac:dyDescent="0.3">
      <c r="A5561" s="4" t="s">
        <v>18</v>
      </c>
      <c r="B5561" s="4">
        <v>267</v>
      </c>
      <c r="D5561"/>
    </row>
    <row r="5562" spans="1:4" x14ac:dyDescent="0.3">
      <c r="A5562" s="4" t="s">
        <v>15</v>
      </c>
      <c r="B5562" s="4">
        <v>108</v>
      </c>
      <c r="D5562"/>
    </row>
    <row r="5563" spans="1:4" x14ac:dyDescent="0.3">
      <c r="A5563" s="4" t="s">
        <v>14</v>
      </c>
      <c r="B5563" s="4">
        <v>397</v>
      </c>
      <c r="D5563"/>
    </row>
    <row r="5564" spans="1:4" x14ac:dyDescent="0.3">
      <c r="A5564" s="4" t="s">
        <v>12</v>
      </c>
      <c r="B5564" s="4">
        <v>276</v>
      </c>
      <c r="D5564"/>
    </row>
    <row r="5565" spans="1:4" x14ac:dyDescent="0.3">
      <c r="A5565" s="4" t="s">
        <v>10</v>
      </c>
      <c r="B5565" s="4">
        <v>415</v>
      </c>
      <c r="D5565"/>
    </row>
    <row r="5566" spans="1:4" x14ac:dyDescent="0.3">
      <c r="A5566" s="4" t="s">
        <v>19</v>
      </c>
      <c r="B5566" s="4">
        <v>874</v>
      </c>
      <c r="D5566"/>
    </row>
    <row r="5567" spans="1:4" x14ac:dyDescent="0.3">
      <c r="A5567" s="4" t="s">
        <v>19</v>
      </c>
      <c r="B5567" s="4">
        <v>543</v>
      </c>
      <c r="D5567"/>
    </row>
    <row r="5568" spans="1:4" x14ac:dyDescent="0.3">
      <c r="A5568" s="4" t="s">
        <v>6</v>
      </c>
      <c r="B5568" s="4">
        <v>198</v>
      </c>
      <c r="D5568"/>
    </row>
    <row r="5569" spans="1:4" x14ac:dyDescent="0.3">
      <c r="A5569" s="4" t="s">
        <v>7</v>
      </c>
      <c r="B5569" s="4">
        <v>536</v>
      </c>
      <c r="D5569"/>
    </row>
    <row r="5570" spans="1:4" x14ac:dyDescent="0.3">
      <c r="A5570" s="4" t="s">
        <v>4</v>
      </c>
      <c r="B5570" s="4">
        <v>920</v>
      </c>
      <c r="D5570"/>
    </row>
    <row r="5571" spans="1:4" x14ac:dyDescent="0.3">
      <c r="A5571" s="4" t="s">
        <v>3</v>
      </c>
      <c r="B5571" s="4">
        <v>634</v>
      </c>
      <c r="D5571"/>
    </row>
    <row r="5572" spans="1:4" x14ac:dyDescent="0.3">
      <c r="A5572" s="4" t="s">
        <v>19</v>
      </c>
      <c r="B5572" s="4">
        <v>714</v>
      </c>
      <c r="D5572"/>
    </row>
    <row r="5573" spans="1:4" x14ac:dyDescent="0.3">
      <c r="A5573" s="4" t="s">
        <v>7</v>
      </c>
      <c r="B5573" s="4">
        <v>909</v>
      </c>
      <c r="D5573"/>
    </row>
    <row r="5574" spans="1:4" x14ac:dyDescent="0.3">
      <c r="A5574" s="4" t="s">
        <v>18</v>
      </c>
      <c r="B5574" s="4">
        <v>679</v>
      </c>
      <c r="D5574"/>
    </row>
    <row r="5575" spans="1:4" x14ac:dyDescent="0.3">
      <c r="A5575" s="4" t="s">
        <v>10</v>
      </c>
      <c r="B5575" s="4">
        <v>264</v>
      </c>
      <c r="D5575"/>
    </row>
    <row r="5576" spans="1:4" x14ac:dyDescent="0.3">
      <c r="A5576" s="4" t="s">
        <v>9</v>
      </c>
      <c r="B5576" s="4">
        <v>897</v>
      </c>
      <c r="D5576"/>
    </row>
    <row r="5577" spans="1:4" x14ac:dyDescent="0.3">
      <c r="A5577" s="4" t="s">
        <v>16</v>
      </c>
      <c r="B5577" s="4">
        <v>207</v>
      </c>
      <c r="D5577"/>
    </row>
    <row r="5578" spans="1:4" x14ac:dyDescent="0.3">
      <c r="A5578" s="4" t="s">
        <v>13</v>
      </c>
      <c r="B5578" s="4">
        <v>758</v>
      </c>
      <c r="D5578"/>
    </row>
    <row r="5579" spans="1:4" x14ac:dyDescent="0.3">
      <c r="A5579" s="4" t="s">
        <v>6</v>
      </c>
      <c r="B5579" s="4">
        <v>630</v>
      </c>
      <c r="D5579"/>
    </row>
    <row r="5580" spans="1:4" x14ac:dyDescent="0.3">
      <c r="A5580" s="4" t="s">
        <v>10</v>
      </c>
      <c r="B5580" s="4">
        <v>381</v>
      </c>
      <c r="D5580"/>
    </row>
    <row r="5581" spans="1:4" x14ac:dyDescent="0.3">
      <c r="A5581" s="4" t="s">
        <v>19</v>
      </c>
      <c r="B5581" s="4">
        <v>955</v>
      </c>
      <c r="D5581"/>
    </row>
    <row r="5582" spans="1:4" x14ac:dyDescent="0.3">
      <c r="A5582" s="4" t="s">
        <v>11</v>
      </c>
      <c r="B5582" s="4">
        <v>519</v>
      </c>
      <c r="D5582"/>
    </row>
    <row r="5583" spans="1:4" x14ac:dyDescent="0.3">
      <c r="A5583" s="4" t="s">
        <v>14</v>
      </c>
      <c r="B5583" s="4">
        <v>155</v>
      </c>
      <c r="D5583"/>
    </row>
    <row r="5584" spans="1:4" x14ac:dyDescent="0.3">
      <c r="A5584" s="4" t="s">
        <v>8</v>
      </c>
      <c r="B5584" s="4">
        <v>453</v>
      </c>
      <c r="D5584"/>
    </row>
    <row r="5585" spans="1:4" x14ac:dyDescent="0.3">
      <c r="A5585" s="4" t="s">
        <v>11</v>
      </c>
      <c r="B5585" s="4">
        <v>521</v>
      </c>
      <c r="D5585"/>
    </row>
    <row r="5586" spans="1:4" x14ac:dyDescent="0.3">
      <c r="A5586" s="4" t="s">
        <v>4</v>
      </c>
      <c r="B5586" s="4">
        <v>561</v>
      </c>
      <c r="D5586"/>
    </row>
    <row r="5587" spans="1:4" x14ac:dyDescent="0.3">
      <c r="A5587" s="4" t="s">
        <v>10</v>
      </c>
      <c r="B5587" s="4">
        <v>471</v>
      </c>
      <c r="D5587"/>
    </row>
    <row r="5588" spans="1:4" x14ac:dyDescent="0.3">
      <c r="A5588" s="4" t="s">
        <v>15</v>
      </c>
      <c r="B5588" s="4">
        <v>801</v>
      </c>
      <c r="D5588"/>
    </row>
    <row r="5589" spans="1:4" x14ac:dyDescent="0.3">
      <c r="A5589" s="4" t="s">
        <v>12</v>
      </c>
      <c r="B5589" s="4">
        <v>435</v>
      </c>
      <c r="D5589"/>
    </row>
    <row r="5590" spans="1:4" x14ac:dyDescent="0.3">
      <c r="A5590" s="4" t="s">
        <v>13</v>
      </c>
      <c r="B5590" s="4">
        <v>471</v>
      </c>
      <c r="D5590"/>
    </row>
    <row r="5591" spans="1:4" x14ac:dyDescent="0.3">
      <c r="A5591" s="4" t="s">
        <v>11</v>
      </c>
      <c r="B5591" s="4">
        <v>516</v>
      </c>
      <c r="D5591"/>
    </row>
    <row r="5592" spans="1:4" x14ac:dyDescent="0.3">
      <c r="A5592" s="4" t="s">
        <v>18</v>
      </c>
      <c r="B5592" s="4">
        <v>323</v>
      </c>
      <c r="D5592"/>
    </row>
    <row r="5593" spans="1:4" x14ac:dyDescent="0.3">
      <c r="A5593" s="4" t="s">
        <v>16</v>
      </c>
      <c r="B5593" s="4">
        <v>772</v>
      </c>
      <c r="D5593"/>
    </row>
    <row r="5594" spans="1:4" x14ac:dyDescent="0.3">
      <c r="A5594" s="4" t="s">
        <v>18</v>
      </c>
      <c r="B5594" s="4">
        <v>970</v>
      </c>
      <c r="D5594"/>
    </row>
    <row r="5595" spans="1:4" x14ac:dyDescent="0.3">
      <c r="A5595" s="4" t="s">
        <v>9</v>
      </c>
      <c r="B5595" s="4">
        <v>306</v>
      </c>
      <c r="D5595"/>
    </row>
    <row r="5596" spans="1:4" x14ac:dyDescent="0.3">
      <c r="A5596" s="4" t="s">
        <v>11</v>
      </c>
      <c r="B5596" s="4">
        <v>531</v>
      </c>
      <c r="D5596"/>
    </row>
    <row r="5597" spans="1:4" x14ac:dyDescent="0.3">
      <c r="A5597" s="4" t="s">
        <v>4</v>
      </c>
      <c r="B5597" s="4">
        <v>563</v>
      </c>
      <c r="D5597"/>
    </row>
    <row r="5598" spans="1:4" x14ac:dyDescent="0.3">
      <c r="A5598" s="4" t="s">
        <v>19</v>
      </c>
      <c r="B5598" s="4">
        <v>532</v>
      </c>
      <c r="D5598"/>
    </row>
    <row r="5599" spans="1:4" x14ac:dyDescent="0.3">
      <c r="A5599" s="4" t="s">
        <v>3</v>
      </c>
      <c r="B5599" s="4">
        <v>843</v>
      </c>
      <c r="D5599"/>
    </row>
    <row r="5600" spans="1:4" x14ac:dyDescent="0.3">
      <c r="A5600" s="4" t="s">
        <v>6</v>
      </c>
      <c r="B5600" s="4">
        <v>388</v>
      </c>
      <c r="D5600"/>
    </row>
    <row r="5601" spans="1:4" x14ac:dyDescent="0.3">
      <c r="A5601" s="4" t="s">
        <v>17</v>
      </c>
      <c r="B5601" s="4">
        <v>983</v>
      </c>
      <c r="D5601"/>
    </row>
    <row r="5602" spans="1:4" x14ac:dyDescent="0.3">
      <c r="A5602" s="4" t="s">
        <v>15</v>
      </c>
      <c r="B5602" s="4">
        <v>170</v>
      </c>
      <c r="D5602"/>
    </row>
    <row r="5603" spans="1:4" x14ac:dyDescent="0.3">
      <c r="A5603" s="4" t="s">
        <v>4</v>
      </c>
      <c r="B5603" s="4">
        <v>814</v>
      </c>
      <c r="D5603"/>
    </row>
    <row r="5604" spans="1:4" x14ac:dyDescent="0.3">
      <c r="A5604" s="4" t="s">
        <v>3</v>
      </c>
      <c r="B5604" s="4">
        <v>132</v>
      </c>
      <c r="D5604"/>
    </row>
    <row r="5605" spans="1:4" x14ac:dyDescent="0.3">
      <c r="A5605" s="4" t="s">
        <v>10</v>
      </c>
      <c r="B5605" s="4">
        <v>40</v>
      </c>
      <c r="D5605"/>
    </row>
    <row r="5606" spans="1:4" x14ac:dyDescent="0.3">
      <c r="A5606" s="4" t="s">
        <v>12</v>
      </c>
      <c r="B5606" s="4">
        <v>307</v>
      </c>
      <c r="D5606"/>
    </row>
    <row r="5607" spans="1:4" x14ac:dyDescent="0.3">
      <c r="A5607" s="4" t="s">
        <v>13</v>
      </c>
      <c r="B5607" s="4">
        <v>392</v>
      </c>
      <c r="D5607"/>
    </row>
    <row r="5608" spans="1:4" x14ac:dyDescent="0.3">
      <c r="A5608" s="4" t="s">
        <v>13</v>
      </c>
      <c r="B5608" s="4">
        <v>395</v>
      </c>
      <c r="D5608"/>
    </row>
    <row r="5609" spans="1:4" x14ac:dyDescent="0.3">
      <c r="A5609" s="4" t="s">
        <v>15</v>
      </c>
      <c r="B5609" s="4">
        <v>421</v>
      </c>
      <c r="D5609"/>
    </row>
    <row r="5610" spans="1:4" x14ac:dyDescent="0.3">
      <c r="A5610" s="4" t="s">
        <v>18</v>
      </c>
      <c r="B5610" s="4">
        <v>656</v>
      </c>
      <c r="D5610"/>
    </row>
    <row r="5611" spans="1:4" x14ac:dyDescent="0.3">
      <c r="A5611" s="4" t="s">
        <v>13</v>
      </c>
      <c r="B5611" s="4">
        <v>850</v>
      </c>
      <c r="D5611"/>
    </row>
    <row r="5612" spans="1:4" x14ac:dyDescent="0.3">
      <c r="A5612" s="4" t="s">
        <v>18</v>
      </c>
      <c r="B5612" s="4">
        <v>771</v>
      </c>
      <c r="D5612"/>
    </row>
    <row r="5613" spans="1:4" x14ac:dyDescent="0.3">
      <c r="A5613" s="4" t="s">
        <v>15</v>
      </c>
      <c r="B5613" s="4">
        <v>246</v>
      </c>
      <c r="D5613"/>
    </row>
    <row r="5614" spans="1:4" x14ac:dyDescent="0.3">
      <c r="A5614" s="4" t="s">
        <v>15</v>
      </c>
      <c r="B5614" s="4">
        <v>638</v>
      </c>
      <c r="D5614"/>
    </row>
    <row r="5615" spans="1:4" x14ac:dyDescent="0.3">
      <c r="A5615" s="4" t="s">
        <v>10</v>
      </c>
      <c r="B5615" s="4">
        <v>815</v>
      </c>
      <c r="D5615"/>
    </row>
    <row r="5616" spans="1:4" x14ac:dyDescent="0.3">
      <c r="A5616" s="4" t="s">
        <v>9</v>
      </c>
      <c r="B5616" s="4">
        <v>213</v>
      </c>
      <c r="D5616"/>
    </row>
    <row r="5617" spans="1:4" x14ac:dyDescent="0.3">
      <c r="A5617" s="4" t="s">
        <v>18</v>
      </c>
      <c r="B5617" s="4">
        <v>954</v>
      </c>
      <c r="D5617"/>
    </row>
    <row r="5618" spans="1:4" x14ac:dyDescent="0.3">
      <c r="A5618" s="4" t="s">
        <v>19</v>
      </c>
      <c r="B5618" s="4">
        <v>167</v>
      </c>
      <c r="D5618"/>
    </row>
    <row r="5619" spans="1:4" x14ac:dyDescent="0.3">
      <c r="A5619" s="4" t="s">
        <v>6</v>
      </c>
      <c r="B5619" s="4">
        <v>513</v>
      </c>
      <c r="D5619"/>
    </row>
    <row r="5620" spans="1:4" x14ac:dyDescent="0.3">
      <c r="A5620" s="4" t="s">
        <v>13</v>
      </c>
      <c r="B5620" s="4">
        <v>170</v>
      </c>
      <c r="D5620"/>
    </row>
    <row r="5621" spans="1:4" x14ac:dyDescent="0.3">
      <c r="A5621" s="4" t="s">
        <v>6</v>
      </c>
      <c r="B5621" s="4">
        <v>681</v>
      </c>
      <c r="D5621"/>
    </row>
    <row r="5622" spans="1:4" x14ac:dyDescent="0.3">
      <c r="A5622" s="4" t="s">
        <v>12</v>
      </c>
      <c r="B5622" s="4">
        <v>976</v>
      </c>
      <c r="D5622"/>
    </row>
    <row r="5623" spans="1:4" x14ac:dyDescent="0.3">
      <c r="A5623" s="4" t="s">
        <v>9</v>
      </c>
      <c r="B5623" s="4">
        <v>395</v>
      </c>
      <c r="D5623"/>
    </row>
    <row r="5624" spans="1:4" x14ac:dyDescent="0.3">
      <c r="A5624" s="4" t="s">
        <v>13</v>
      </c>
      <c r="B5624" s="4">
        <v>860</v>
      </c>
      <c r="D5624"/>
    </row>
    <row r="5625" spans="1:4" x14ac:dyDescent="0.3">
      <c r="A5625" s="4" t="s">
        <v>10</v>
      </c>
      <c r="B5625" s="4">
        <v>449</v>
      </c>
      <c r="D5625"/>
    </row>
    <row r="5626" spans="1:4" x14ac:dyDescent="0.3">
      <c r="A5626" s="4" t="s">
        <v>15</v>
      </c>
      <c r="B5626" s="4">
        <v>848</v>
      </c>
      <c r="D5626"/>
    </row>
    <row r="5627" spans="1:4" x14ac:dyDescent="0.3">
      <c r="A5627" s="4" t="s">
        <v>4</v>
      </c>
      <c r="B5627" s="4">
        <v>881</v>
      </c>
      <c r="D5627"/>
    </row>
    <row r="5628" spans="1:4" x14ac:dyDescent="0.3">
      <c r="A5628" s="4" t="s">
        <v>4</v>
      </c>
      <c r="B5628" s="4">
        <v>790</v>
      </c>
      <c r="D5628"/>
    </row>
    <row r="5629" spans="1:4" x14ac:dyDescent="0.3">
      <c r="A5629" s="4" t="s">
        <v>9</v>
      </c>
      <c r="B5629" s="4">
        <v>576</v>
      </c>
      <c r="D5629"/>
    </row>
    <row r="5630" spans="1:4" x14ac:dyDescent="0.3">
      <c r="A5630" s="4" t="s">
        <v>14</v>
      </c>
      <c r="B5630" s="4">
        <v>367</v>
      </c>
      <c r="D5630"/>
    </row>
    <row r="5631" spans="1:4" x14ac:dyDescent="0.3">
      <c r="A5631" s="4" t="s">
        <v>13</v>
      </c>
      <c r="B5631" s="4">
        <v>612</v>
      </c>
      <c r="D5631"/>
    </row>
    <row r="5632" spans="1:4" x14ac:dyDescent="0.3">
      <c r="A5632" s="4" t="s">
        <v>12</v>
      </c>
      <c r="B5632" s="4">
        <v>283</v>
      </c>
      <c r="D5632"/>
    </row>
    <row r="5633" spans="1:4" x14ac:dyDescent="0.3">
      <c r="A5633" s="4" t="s">
        <v>10</v>
      </c>
      <c r="B5633" s="4">
        <v>791</v>
      </c>
      <c r="D5633"/>
    </row>
    <row r="5634" spans="1:4" x14ac:dyDescent="0.3">
      <c r="A5634" s="4" t="s">
        <v>14</v>
      </c>
      <c r="B5634" s="4">
        <v>816</v>
      </c>
      <c r="D5634"/>
    </row>
    <row r="5635" spans="1:4" x14ac:dyDescent="0.3">
      <c r="A5635" s="4" t="s">
        <v>15</v>
      </c>
      <c r="B5635" s="4">
        <v>211</v>
      </c>
      <c r="D5635"/>
    </row>
    <row r="5636" spans="1:4" x14ac:dyDescent="0.3">
      <c r="A5636" s="4" t="s">
        <v>14</v>
      </c>
      <c r="B5636" s="4">
        <v>864</v>
      </c>
      <c r="D5636"/>
    </row>
    <row r="5637" spans="1:4" x14ac:dyDescent="0.3">
      <c r="A5637" s="4" t="s">
        <v>7</v>
      </c>
      <c r="B5637" s="4" t="e">
        <v>#REF!</v>
      </c>
      <c r="D5637"/>
    </row>
    <row r="5638" spans="1:4" x14ac:dyDescent="0.3">
      <c r="A5638" s="4" t="s">
        <v>18</v>
      </c>
      <c r="B5638" s="4">
        <v>635</v>
      </c>
      <c r="D5638"/>
    </row>
    <row r="5639" spans="1:4" x14ac:dyDescent="0.3">
      <c r="A5639" s="4" t="s">
        <v>18</v>
      </c>
      <c r="B5639" s="4">
        <v>437</v>
      </c>
      <c r="D5639"/>
    </row>
    <row r="5640" spans="1:4" x14ac:dyDescent="0.3">
      <c r="A5640" s="4" t="s">
        <v>19</v>
      </c>
      <c r="B5640" s="4">
        <v>122</v>
      </c>
      <c r="D5640"/>
    </row>
    <row r="5641" spans="1:4" x14ac:dyDescent="0.3">
      <c r="A5641" s="4" t="s">
        <v>10</v>
      </c>
      <c r="B5641" s="4">
        <v>511</v>
      </c>
      <c r="D5641"/>
    </row>
    <row r="5642" spans="1:4" x14ac:dyDescent="0.3">
      <c r="A5642" s="4" t="s">
        <v>9</v>
      </c>
      <c r="B5642" s="4">
        <v>652</v>
      </c>
      <c r="D5642"/>
    </row>
    <row r="5643" spans="1:4" x14ac:dyDescent="0.3">
      <c r="A5643" s="4" t="s">
        <v>6</v>
      </c>
      <c r="B5643" s="4">
        <v>862</v>
      </c>
      <c r="D5643"/>
    </row>
    <row r="5644" spans="1:4" x14ac:dyDescent="0.3">
      <c r="A5644" s="4" t="s">
        <v>4</v>
      </c>
      <c r="B5644" s="4" t="e">
        <v>#N/A</v>
      </c>
      <c r="D5644"/>
    </row>
    <row r="5645" spans="1:4" x14ac:dyDescent="0.3">
      <c r="A5645" s="4" t="s">
        <v>6</v>
      </c>
      <c r="B5645" s="4">
        <v>829</v>
      </c>
      <c r="D5645"/>
    </row>
    <row r="5646" spans="1:4" x14ac:dyDescent="0.3">
      <c r="A5646" s="4" t="s">
        <v>12</v>
      </c>
      <c r="B5646" s="4">
        <v>944</v>
      </c>
      <c r="D5646"/>
    </row>
    <row r="5647" spans="1:4" x14ac:dyDescent="0.3">
      <c r="A5647" s="4" t="s">
        <v>9</v>
      </c>
      <c r="B5647" s="4">
        <v>611</v>
      </c>
      <c r="D5647"/>
    </row>
    <row r="5648" spans="1:4" x14ac:dyDescent="0.3">
      <c r="A5648" s="4" t="s">
        <v>10</v>
      </c>
      <c r="B5648" s="4">
        <v>723</v>
      </c>
      <c r="D5648"/>
    </row>
    <row r="5649" spans="1:4" x14ac:dyDescent="0.3">
      <c r="A5649" s="4" t="s">
        <v>6</v>
      </c>
      <c r="B5649" s="4">
        <v>819</v>
      </c>
      <c r="D5649"/>
    </row>
    <row r="5650" spans="1:4" x14ac:dyDescent="0.3">
      <c r="A5650" s="4" t="s">
        <v>4</v>
      </c>
      <c r="B5650" s="4">
        <v>167</v>
      </c>
      <c r="D5650"/>
    </row>
    <row r="5651" spans="1:4" x14ac:dyDescent="0.3">
      <c r="A5651" s="4" t="s">
        <v>17</v>
      </c>
      <c r="B5651" s="4">
        <v>783</v>
      </c>
      <c r="D5651"/>
    </row>
    <row r="5652" spans="1:4" x14ac:dyDescent="0.3">
      <c r="A5652" s="4" t="s">
        <v>4</v>
      </c>
      <c r="B5652" s="4">
        <v>563</v>
      </c>
      <c r="D5652"/>
    </row>
    <row r="5653" spans="1:4" x14ac:dyDescent="0.3">
      <c r="A5653" s="4" t="s">
        <v>3</v>
      </c>
      <c r="B5653" s="4">
        <v>702</v>
      </c>
      <c r="D5653"/>
    </row>
    <row r="5654" spans="1:4" x14ac:dyDescent="0.3">
      <c r="A5654" s="4" t="s">
        <v>7</v>
      </c>
      <c r="B5654" s="4">
        <v>543</v>
      </c>
      <c r="D5654"/>
    </row>
    <row r="5655" spans="1:4" x14ac:dyDescent="0.3">
      <c r="A5655" s="4" t="s">
        <v>7</v>
      </c>
      <c r="B5655" s="4">
        <v>413</v>
      </c>
      <c r="D5655"/>
    </row>
    <row r="5656" spans="1:4" x14ac:dyDescent="0.3">
      <c r="A5656" s="4" t="s">
        <v>18</v>
      </c>
      <c r="B5656" s="4">
        <v>837</v>
      </c>
      <c r="D5656"/>
    </row>
    <row r="5657" spans="1:4" x14ac:dyDescent="0.3">
      <c r="A5657" s="4" t="s">
        <v>9</v>
      </c>
      <c r="B5657" s="4">
        <v>251</v>
      </c>
      <c r="D5657"/>
    </row>
    <row r="5658" spans="1:4" x14ac:dyDescent="0.3">
      <c r="A5658" s="4" t="s">
        <v>12</v>
      </c>
      <c r="B5658" s="4">
        <v>234</v>
      </c>
      <c r="D5658"/>
    </row>
    <row r="5659" spans="1:4" x14ac:dyDescent="0.3">
      <c r="A5659" s="4" t="s">
        <v>14</v>
      </c>
      <c r="B5659" s="4">
        <v>772</v>
      </c>
      <c r="D5659"/>
    </row>
    <row r="5660" spans="1:4" x14ac:dyDescent="0.3">
      <c r="A5660" s="4" t="s">
        <v>9</v>
      </c>
      <c r="B5660" s="4">
        <v>596</v>
      </c>
      <c r="D5660"/>
    </row>
    <row r="5661" spans="1:4" x14ac:dyDescent="0.3">
      <c r="A5661" s="4" t="s">
        <v>18</v>
      </c>
      <c r="B5661" s="4">
        <v>823</v>
      </c>
      <c r="D5661"/>
    </row>
    <row r="5662" spans="1:4" x14ac:dyDescent="0.3">
      <c r="A5662" s="4" t="s">
        <v>13</v>
      </c>
      <c r="B5662" s="4">
        <v>287</v>
      </c>
      <c r="D5662"/>
    </row>
    <row r="5663" spans="1:4" x14ac:dyDescent="0.3">
      <c r="A5663" s="4" t="s">
        <v>19</v>
      </c>
      <c r="B5663" s="4">
        <v>158</v>
      </c>
      <c r="D5663"/>
    </row>
    <row r="5664" spans="1:4" x14ac:dyDescent="0.3">
      <c r="A5664" s="4" t="s">
        <v>15</v>
      </c>
      <c r="B5664" s="4">
        <v>533</v>
      </c>
      <c r="D5664"/>
    </row>
    <row r="5665" spans="1:4" x14ac:dyDescent="0.3">
      <c r="A5665" s="4" t="s">
        <v>19</v>
      </c>
      <c r="B5665" s="4">
        <v>172</v>
      </c>
      <c r="D5665"/>
    </row>
    <row r="5666" spans="1:4" x14ac:dyDescent="0.3">
      <c r="A5666" s="4" t="s">
        <v>17</v>
      </c>
      <c r="B5666" s="4" t="e">
        <v>#N/A</v>
      </c>
      <c r="D5666"/>
    </row>
    <row r="5667" spans="1:4" x14ac:dyDescent="0.3">
      <c r="A5667" s="4" t="s">
        <v>4</v>
      </c>
      <c r="B5667" s="4">
        <v>801</v>
      </c>
      <c r="D5667"/>
    </row>
    <row r="5668" spans="1:4" x14ac:dyDescent="0.3">
      <c r="A5668" s="4" t="s">
        <v>10</v>
      </c>
      <c r="B5668" s="4">
        <v>426</v>
      </c>
      <c r="D5668"/>
    </row>
    <row r="5669" spans="1:4" x14ac:dyDescent="0.3">
      <c r="A5669" s="4" t="s">
        <v>7</v>
      </c>
      <c r="B5669" s="4">
        <v>46</v>
      </c>
      <c r="D5669"/>
    </row>
    <row r="5670" spans="1:4" x14ac:dyDescent="0.3">
      <c r="A5670" s="4" t="s">
        <v>9</v>
      </c>
      <c r="B5670" s="4">
        <v>506</v>
      </c>
      <c r="D5670"/>
    </row>
    <row r="5671" spans="1:4" x14ac:dyDescent="0.3">
      <c r="A5671" s="4" t="s">
        <v>8</v>
      </c>
      <c r="B5671" s="4">
        <v>127</v>
      </c>
      <c r="D5671"/>
    </row>
    <row r="5672" spans="1:4" x14ac:dyDescent="0.3">
      <c r="A5672" s="4" t="s">
        <v>18</v>
      </c>
      <c r="B5672" s="4">
        <v>616</v>
      </c>
      <c r="D5672"/>
    </row>
    <row r="5673" spans="1:4" x14ac:dyDescent="0.3">
      <c r="A5673" s="4" t="s">
        <v>11</v>
      </c>
      <c r="B5673" s="4">
        <v>517</v>
      </c>
      <c r="D5673"/>
    </row>
    <row r="5674" spans="1:4" x14ac:dyDescent="0.3">
      <c r="A5674" s="4" t="s">
        <v>16</v>
      </c>
      <c r="B5674" s="4">
        <v>662</v>
      </c>
      <c r="D5674"/>
    </row>
    <row r="5675" spans="1:4" x14ac:dyDescent="0.3">
      <c r="A5675" s="4" t="s">
        <v>18</v>
      </c>
      <c r="B5675" s="4">
        <v>134</v>
      </c>
      <c r="D5675"/>
    </row>
    <row r="5676" spans="1:4" x14ac:dyDescent="0.3">
      <c r="A5676" s="4" t="s">
        <v>6</v>
      </c>
      <c r="B5676" s="4">
        <v>993</v>
      </c>
      <c r="D5676"/>
    </row>
    <row r="5677" spans="1:4" x14ac:dyDescent="0.3">
      <c r="A5677" s="4" t="s">
        <v>6</v>
      </c>
      <c r="B5677" s="4">
        <v>655</v>
      </c>
      <c r="D5677"/>
    </row>
    <row r="5678" spans="1:4" x14ac:dyDescent="0.3">
      <c r="A5678" s="4" t="s">
        <v>10</v>
      </c>
      <c r="B5678" s="4">
        <v>227</v>
      </c>
      <c r="D5678"/>
    </row>
    <row r="5679" spans="1:4" x14ac:dyDescent="0.3">
      <c r="A5679" s="4" t="s">
        <v>6</v>
      </c>
      <c r="B5679" s="4">
        <v>877</v>
      </c>
      <c r="D5679"/>
    </row>
    <row r="5680" spans="1:4" x14ac:dyDescent="0.3">
      <c r="A5680" s="4" t="s">
        <v>12</v>
      </c>
      <c r="B5680" s="4">
        <v>445</v>
      </c>
      <c r="D5680"/>
    </row>
    <row r="5681" spans="1:4" x14ac:dyDescent="0.3">
      <c r="A5681" s="4" t="s">
        <v>4</v>
      </c>
      <c r="B5681" s="4">
        <v>832</v>
      </c>
      <c r="D5681"/>
    </row>
    <row r="5682" spans="1:4" x14ac:dyDescent="0.3">
      <c r="A5682" s="4" t="s">
        <v>15</v>
      </c>
      <c r="B5682" s="4">
        <v>834</v>
      </c>
      <c r="D5682"/>
    </row>
    <row r="5683" spans="1:4" x14ac:dyDescent="0.3">
      <c r="A5683" s="4" t="s">
        <v>10</v>
      </c>
      <c r="B5683" s="4">
        <v>511</v>
      </c>
      <c r="D5683"/>
    </row>
    <row r="5684" spans="1:4" x14ac:dyDescent="0.3">
      <c r="A5684" s="4" t="s">
        <v>19</v>
      </c>
      <c r="B5684" s="4">
        <v>662</v>
      </c>
      <c r="D5684"/>
    </row>
    <row r="5685" spans="1:4" x14ac:dyDescent="0.3">
      <c r="A5685" s="4" t="s">
        <v>13</v>
      </c>
      <c r="B5685" s="4">
        <v>295</v>
      </c>
      <c r="D5685"/>
    </row>
    <row r="5686" spans="1:4" x14ac:dyDescent="0.3">
      <c r="A5686" s="4" t="s">
        <v>16</v>
      </c>
      <c r="B5686" s="4">
        <v>606</v>
      </c>
      <c r="D5686"/>
    </row>
    <row r="5687" spans="1:4" x14ac:dyDescent="0.3">
      <c r="A5687" s="4" t="s">
        <v>9</v>
      </c>
      <c r="B5687" s="4">
        <v>544</v>
      </c>
      <c r="D5687"/>
    </row>
    <row r="5688" spans="1:4" x14ac:dyDescent="0.3">
      <c r="A5688" s="4" t="s">
        <v>18</v>
      </c>
      <c r="B5688" s="4">
        <v>363</v>
      </c>
      <c r="D5688"/>
    </row>
    <row r="5689" spans="1:4" x14ac:dyDescent="0.3">
      <c r="A5689" s="4" t="s">
        <v>10</v>
      </c>
      <c r="B5689" s="4">
        <v>820</v>
      </c>
      <c r="D5689"/>
    </row>
    <row r="5690" spans="1:4" x14ac:dyDescent="0.3">
      <c r="A5690" s="4" t="s">
        <v>15</v>
      </c>
      <c r="B5690" s="4">
        <v>857</v>
      </c>
      <c r="D5690"/>
    </row>
    <row r="5691" spans="1:4" x14ac:dyDescent="0.3">
      <c r="A5691" s="4" t="s">
        <v>19</v>
      </c>
      <c r="B5691" s="4">
        <v>720</v>
      </c>
      <c r="D5691"/>
    </row>
    <row r="5692" spans="1:4" x14ac:dyDescent="0.3">
      <c r="A5692" s="4" t="s">
        <v>3</v>
      </c>
      <c r="B5692" s="4">
        <v>269</v>
      </c>
      <c r="D5692"/>
    </row>
    <row r="5693" spans="1:4" x14ac:dyDescent="0.3">
      <c r="A5693" s="4" t="s">
        <v>8</v>
      </c>
      <c r="B5693" s="4">
        <v>888</v>
      </c>
      <c r="D5693"/>
    </row>
    <row r="5694" spans="1:4" x14ac:dyDescent="0.3">
      <c r="A5694" s="4" t="s">
        <v>7</v>
      </c>
      <c r="B5694" s="4">
        <v>475</v>
      </c>
      <c r="D5694"/>
    </row>
    <row r="5695" spans="1:4" x14ac:dyDescent="0.3">
      <c r="A5695" s="4" t="s">
        <v>19</v>
      </c>
      <c r="B5695" s="4">
        <v>797</v>
      </c>
      <c r="D5695"/>
    </row>
    <row r="5696" spans="1:4" x14ac:dyDescent="0.3">
      <c r="A5696" s="4" t="s">
        <v>10</v>
      </c>
      <c r="B5696" s="4">
        <v>332</v>
      </c>
      <c r="D5696"/>
    </row>
    <row r="5697" spans="1:4" x14ac:dyDescent="0.3">
      <c r="A5697" s="4" t="s">
        <v>7</v>
      </c>
      <c r="B5697" s="4">
        <v>810</v>
      </c>
      <c r="D5697"/>
    </row>
    <row r="5698" spans="1:4" x14ac:dyDescent="0.3">
      <c r="A5698" s="4" t="s">
        <v>7</v>
      </c>
      <c r="B5698" s="4">
        <v>92</v>
      </c>
      <c r="D5698"/>
    </row>
    <row r="5699" spans="1:4" x14ac:dyDescent="0.3">
      <c r="A5699" s="4" t="s">
        <v>12</v>
      </c>
      <c r="B5699" s="4">
        <v>621</v>
      </c>
      <c r="D5699"/>
    </row>
    <row r="5700" spans="1:4" x14ac:dyDescent="0.3">
      <c r="A5700" s="4" t="s">
        <v>8</v>
      </c>
      <c r="B5700" s="4">
        <v>788</v>
      </c>
      <c r="D5700"/>
    </row>
    <row r="5701" spans="1:4" x14ac:dyDescent="0.3">
      <c r="A5701" s="4" t="s">
        <v>16</v>
      </c>
      <c r="B5701" s="4">
        <v>774</v>
      </c>
      <c r="D5701"/>
    </row>
    <row r="5702" spans="1:4" x14ac:dyDescent="0.3">
      <c r="A5702" s="4" t="s">
        <v>3</v>
      </c>
      <c r="B5702" s="4">
        <v>542</v>
      </c>
      <c r="D5702"/>
    </row>
    <row r="5703" spans="1:4" x14ac:dyDescent="0.3">
      <c r="A5703" s="4" t="s">
        <v>19</v>
      </c>
      <c r="B5703" s="4">
        <v>279</v>
      </c>
      <c r="D5703"/>
    </row>
    <row r="5704" spans="1:4" x14ac:dyDescent="0.3">
      <c r="A5704" s="4" t="s">
        <v>8</v>
      </c>
      <c r="B5704" s="4">
        <v>302</v>
      </c>
      <c r="D5704"/>
    </row>
    <row r="5705" spans="1:4" x14ac:dyDescent="0.3">
      <c r="A5705" s="4" t="s">
        <v>19</v>
      </c>
      <c r="B5705" s="4">
        <v>211</v>
      </c>
      <c r="D5705"/>
    </row>
    <row r="5706" spans="1:4" x14ac:dyDescent="0.3">
      <c r="A5706" s="4" t="s">
        <v>9</v>
      </c>
      <c r="B5706" s="4">
        <v>434</v>
      </c>
      <c r="D5706"/>
    </row>
    <row r="5707" spans="1:4" x14ac:dyDescent="0.3">
      <c r="A5707" s="4" t="s">
        <v>12</v>
      </c>
      <c r="B5707" s="4">
        <v>578</v>
      </c>
      <c r="D5707"/>
    </row>
    <row r="5708" spans="1:4" x14ac:dyDescent="0.3">
      <c r="A5708" s="4" t="s">
        <v>13</v>
      </c>
      <c r="B5708" s="4">
        <v>983</v>
      </c>
      <c r="D5708"/>
    </row>
    <row r="5709" spans="1:4" x14ac:dyDescent="0.3">
      <c r="A5709" s="4" t="s">
        <v>3</v>
      </c>
      <c r="B5709" s="4">
        <v>216</v>
      </c>
      <c r="D5709"/>
    </row>
    <row r="5710" spans="1:4" x14ac:dyDescent="0.3">
      <c r="A5710" s="4" t="s">
        <v>7</v>
      </c>
      <c r="B5710" s="4">
        <v>933</v>
      </c>
      <c r="D5710"/>
    </row>
    <row r="5711" spans="1:4" x14ac:dyDescent="0.3">
      <c r="A5711" s="4" t="s">
        <v>11</v>
      </c>
      <c r="B5711" s="4">
        <v>825</v>
      </c>
      <c r="D5711"/>
    </row>
    <row r="5712" spans="1:4" x14ac:dyDescent="0.3">
      <c r="A5712" s="4" t="s">
        <v>18</v>
      </c>
      <c r="B5712" s="4">
        <v>830</v>
      </c>
      <c r="D5712"/>
    </row>
    <row r="5713" spans="1:4" x14ac:dyDescent="0.3">
      <c r="A5713" s="4" t="s">
        <v>4</v>
      </c>
      <c r="B5713" s="4">
        <v>715</v>
      </c>
      <c r="D5713"/>
    </row>
    <row r="5714" spans="1:4" x14ac:dyDescent="0.3">
      <c r="A5714" s="4" t="s">
        <v>12</v>
      </c>
      <c r="B5714" s="4">
        <v>855</v>
      </c>
      <c r="D5714"/>
    </row>
    <row r="5715" spans="1:4" x14ac:dyDescent="0.3">
      <c r="A5715" s="4" t="s">
        <v>18</v>
      </c>
      <c r="B5715" s="4">
        <v>396</v>
      </c>
      <c r="D5715"/>
    </row>
    <row r="5716" spans="1:4" x14ac:dyDescent="0.3">
      <c r="A5716" s="4" t="s">
        <v>7</v>
      </c>
      <c r="B5716" s="4">
        <v>950</v>
      </c>
      <c r="D5716"/>
    </row>
    <row r="5717" spans="1:4" x14ac:dyDescent="0.3">
      <c r="A5717" s="4" t="s">
        <v>3</v>
      </c>
      <c r="B5717" s="4">
        <v>200</v>
      </c>
      <c r="D5717"/>
    </row>
    <row r="5718" spans="1:4" x14ac:dyDescent="0.3">
      <c r="A5718" s="4" t="s">
        <v>7</v>
      </c>
      <c r="B5718" s="4">
        <v>417</v>
      </c>
      <c r="D5718"/>
    </row>
    <row r="5719" spans="1:4" x14ac:dyDescent="0.3">
      <c r="A5719" s="4" t="s">
        <v>16</v>
      </c>
      <c r="B5719" s="4">
        <v>376</v>
      </c>
      <c r="D5719"/>
    </row>
    <row r="5720" spans="1:4" x14ac:dyDescent="0.3">
      <c r="A5720" s="4" t="s">
        <v>7</v>
      </c>
      <c r="B5720" s="4">
        <v>508</v>
      </c>
      <c r="D5720"/>
    </row>
    <row r="5721" spans="1:4" x14ac:dyDescent="0.3">
      <c r="A5721" s="4" t="s">
        <v>4</v>
      </c>
      <c r="B5721" s="4">
        <v>851</v>
      </c>
      <c r="D5721"/>
    </row>
    <row r="5722" spans="1:4" x14ac:dyDescent="0.3">
      <c r="A5722" s="4" t="s">
        <v>15</v>
      </c>
      <c r="B5722" s="4">
        <v>60</v>
      </c>
      <c r="D5722"/>
    </row>
    <row r="5723" spans="1:4" x14ac:dyDescent="0.3">
      <c r="A5723" s="4" t="s">
        <v>19</v>
      </c>
      <c r="B5723" s="4">
        <v>220</v>
      </c>
      <c r="D5723"/>
    </row>
    <row r="5724" spans="1:4" x14ac:dyDescent="0.3">
      <c r="A5724" s="4" t="s">
        <v>7</v>
      </c>
      <c r="B5724" s="4">
        <v>150</v>
      </c>
      <c r="D5724"/>
    </row>
    <row r="5725" spans="1:4" x14ac:dyDescent="0.3">
      <c r="A5725" s="4" t="s">
        <v>10</v>
      </c>
      <c r="B5725" s="4">
        <v>655</v>
      </c>
      <c r="D5725"/>
    </row>
    <row r="5726" spans="1:4" x14ac:dyDescent="0.3">
      <c r="A5726" s="4" t="s">
        <v>6</v>
      </c>
      <c r="B5726" s="4">
        <v>529</v>
      </c>
      <c r="D5726"/>
    </row>
    <row r="5727" spans="1:4" x14ac:dyDescent="0.3">
      <c r="A5727" s="4" t="s">
        <v>4</v>
      </c>
      <c r="B5727" s="4">
        <v>636</v>
      </c>
      <c r="D5727"/>
    </row>
    <row r="5728" spans="1:4" x14ac:dyDescent="0.3">
      <c r="A5728" s="4" t="s">
        <v>6</v>
      </c>
      <c r="B5728" s="4">
        <v>386</v>
      </c>
      <c r="D5728"/>
    </row>
    <row r="5729" spans="1:4" x14ac:dyDescent="0.3">
      <c r="A5729" s="4" t="s">
        <v>10</v>
      </c>
      <c r="B5729" s="4" t="e">
        <v>#REF!</v>
      </c>
      <c r="D5729"/>
    </row>
    <row r="5730" spans="1:4" x14ac:dyDescent="0.3">
      <c r="A5730" s="4" t="s">
        <v>14</v>
      </c>
      <c r="B5730" s="4">
        <v>887</v>
      </c>
      <c r="D5730"/>
    </row>
    <row r="5731" spans="1:4" x14ac:dyDescent="0.3">
      <c r="A5731" s="4" t="s">
        <v>15</v>
      </c>
      <c r="B5731" s="4">
        <v>387</v>
      </c>
      <c r="D5731"/>
    </row>
    <row r="5732" spans="1:4" x14ac:dyDescent="0.3">
      <c r="A5732" s="4" t="s">
        <v>10</v>
      </c>
      <c r="B5732" s="4">
        <v>214</v>
      </c>
      <c r="D5732"/>
    </row>
    <row r="5733" spans="1:4" x14ac:dyDescent="0.3">
      <c r="A5733" s="4" t="s">
        <v>7</v>
      </c>
      <c r="B5733" s="4">
        <v>744</v>
      </c>
      <c r="D5733"/>
    </row>
    <row r="5734" spans="1:4" x14ac:dyDescent="0.3">
      <c r="A5734" s="4" t="s">
        <v>18</v>
      </c>
      <c r="B5734" s="4">
        <v>298</v>
      </c>
      <c r="D5734"/>
    </row>
    <row r="5735" spans="1:4" x14ac:dyDescent="0.3">
      <c r="A5735" s="4" t="s">
        <v>10</v>
      </c>
      <c r="B5735" s="4">
        <v>632</v>
      </c>
      <c r="D5735"/>
    </row>
    <row r="5736" spans="1:4" x14ac:dyDescent="0.3">
      <c r="A5736" s="4" t="s">
        <v>16</v>
      </c>
      <c r="B5736" s="4">
        <v>574</v>
      </c>
      <c r="D5736"/>
    </row>
    <row r="5737" spans="1:4" x14ac:dyDescent="0.3">
      <c r="A5737" s="4" t="s">
        <v>12</v>
      </c>
      <c r="B5737" s="4">
        <v>458</v>
      </c>
      <c r="D5737"/>
    </row>
    <row r="5738" spans="1:4" x14ac:dyDescent="0.3">
      <c r="A5738" s="4" t="s">
        <v>16</v>
      </c>
      <c r="B5738" s="6">
        <v>458</v>
      </c>
      <c r="D5738"/>
    </row>
    <row r="5739" spans="1:4" x14ac:dyDescent="0.3">
      <c r="A5739" s="4" t="s">
        <v>6</v>
      </c>
      <c r="B5739" s="4">
        <v>420</v>
      </c>
      <c r="D5739"/>
    </row>
    <row r="5740" spans="1:4" x14ac:dyDescent="0.3">
      <c r="A5740" s="4" t="s">
        <v>3</v>
      </c>
      <c r="B5740" s="4">
        <v>507</v>
      </c>
      <c r="D5740"/>
    </row>
    <row r="5741" spans="1:4" x14ac:dyDescent="0.3">
      <c r="A5741" s="4" t="s">
        <v>12</v>
      </c>
      <c r="B5741" s="4">
        <v>708</v>
      </c>
      <c r="D5741"/>
    </row>
    <row r="5742" spans="1:4" x14ac:dyDescent="0.3">
      <c r="A5742" s="4" t="s">
        <v>10</v>
      </c>
      <c r="B5742" s="4">
        <v>556</v>
      </c>
      <c r="D5742"/>
    </row>
    <row r="5743" spans="1:4" x14ac:dyDescent="0.3">
      <c r="A5743" s="4" t="s">
        <v>10</v>
      </c>
      <c r="B5743" s="4">
        <v>123</v>
      </c>
      <c r="D5743"/>
    </row>
    <row r="5744" spans="1:4" x14ac:dyDescent="0.3">
      <c r="A5744" s="4" t="s">
        <v>9</v>
      </c>
      <c r="B5744" s="4">
        <v>141</v>
      </c>
      <c r="D5744"/>
    </row>
    <row r="5745" spans="1:4" x14ac:dyDescent="0.3">
      <c r="A5745" s="4" t="s">
        <v>18</v>
      </c>
      <c r="B5745" s="4">
        <v>25</v>
      </c>
      <c r="D5745"/>
    </row>
    <row r="5746" spans="1:4" x14ac:dyDescent="0.3">
      <c r="A5746" s="4" t="s">
        <v>8</v>
      </c>
      <c r="B5746" s="4">
        <v>988</v>
      </c>
      <c r="D5746"/>
    </row>
    <row r="5747" spans="1:4" x14ac:dyDescent="0.3">
      <c r="A5747" s="4" t="s">
        <v>7</v>
      </c>
      <c r="B5747" s="4">
        <v>497</v>
      </c>
      <c r="D5747"/>
    </row>
    <row r="5748" spans="1:4" x14ac:dyDescent="0.3">
      <c r="A5748" s="4" t="s">
        <v>3</v>
      </c>
      <c r="B5748" s="4">
        <v>102</v>
      </c>
      <c r="D5748"/>
    </row>
    <row r="5749" spans="1:4" x14ac:dyDescent="0.3">
      <c r="A5749" s="4" t="s">
        <v>12</v>
      </c>
      <c r="B5749" s="4">
        <v>134</v>
      </c>
      <c r="D5749"/>
    </row>
    <row r="5750" spans="1:4" x14ac:dyDescent="0.3">
      <c r="A5750" s="4" t="s">
        <v>18</v>
      </c>
      <c r="B5750" s="4">
        <v>528</v>
      </c>
      <c r="D5750"/>
    </row>
    <row r="5751" spans="1:4" x14ac:dyDescent="0.3">
      <c r="A5751" s="4" t="s">
        <v>19</v>
      </c>
      <c r="B5751" s="4">
        <v>123</v>
      </c>
      <c r="D5751"/>
    </row>
    <row r="5752" spans="1:4" x14ac:dyDescent="0.3">
      <c r="A5752" s="4" t="s">
        <v>13</v>
      </c>
      <c r="B5752" s="4">
        <v>193</v>
      </c>
      <c r="D5752"/>
    </row>
    <row r="5753" spans="1:4" x14ac:dyDescent="0.3">
      <c r="A5753" s="4" t="s">
        <v>19</v>
      </c>
      <c r="B5753" s="4">
        <v>929</v>
      </c>
      <c r="D5753"/>
    </row>
    <row r="5754" spans="1:4" x14ac:dyDescent="0.3">
      <c r="A5754" s="4" t="s">
        <v>8</v>
      </c>
      <c r="B5754" s="4">
        <v>431</v>
      </c>
      <c r="D5754"/>
    </row>
    <row r="5755" spans="1:4" x14ac:dyDescent="0.3">
      <c r="A5755" s="4" t="s">
        <v>10</v>
      </c>
      <c r="B5755" s="4">
        <v>175</v>
      </c>
      <c r="D5755"/>
    </row>
    <row r="5756" spans="1:4" x14ac:dyDescent="0.3">
      <c r="A5756" s="4" t="s">
        <v>13</v>
      </c>
      <c r="B5756" s="4">
        <v>354</v>
      </c>
      <c r="D5756"/>
    </row>
    <row r="5757" spans="1:4" x14ac:dyDescent="0.3">
      <c r="A5757" s="4" t="s">
        <v>10</v>
      </c>
      <c r="B5757" s="4">
        <v>139</v>
      </c>
      <c r="D5757"/>
    </row>
    <row r="5758" spans="1:4" x14ac:dyDescent="0.3">
      <c r="A5758" s="4" t="s">
        <v>18</v>
      </c>
      <c r="B5758" s="4">
        <v>499</v>
      </c>
      <c r="D5758"/>
    </row>
    <row r="5759" spans="1:4" x14ac:dyDescent="0.3">
      <c r="A5759" s="4" t="s">
        <v>14</v>
      </c>
      <c r="B5759" s="4">
        <v>619</v>
      </c>
      <c r="D5759"/>
    </row>
    <row r="5760" spans="1:4" x14ac:dyDescent="0.3">
      <c r="A5760" s="4" t="s">
        <v>4</v>
      </c>
      <c r="B5760" s="4">
        <v>674</v>
      </c>
      <c r="D5760"/>
    </row>
    <row r="5761" spans="1:4" x14ac:dyDescent="0.3">
      <c r="A5761" s="4" t="s">
        <v>9</v>
      </c>
      <c r="B5761" s="4">
        <v>542</v>
      </c>
      <c r="D5761"/>
    </row>
    <row r="5762" spans="1:4" x14ac:dyDescent="0.3">
      <c r="A5762" s="4" t="s">
        <v>3</v>
      </c>
      <c r="B5762" s="4">
        <v>131</v>
      </c>
      <c r="D5762"/>
    </row>
    <row r="5763" spans="1:4" x14ac:dyDescent="0.3">
      <c r="A5763" s="4" t="s">
        <v>10</v>
      </c>
      <c r="B5763" s="4">
        <v>734</v>
      </c>
      <c r="D5763"/>
    </row>
    <row r="5764" spans="1:4" x14ac:dyDescent="0.3">
      <c r="A5764" s="4" t="s">
        <v>12</v>
      </c>
      <c r="B5764" s="4">
        <v>923</v>
      </c>
      <c r="D5764"/>
    </row>
    <row r="5765" spans="1:4" x14ac:dyDescent="0.3">
      <c r="A5765" s="4" t="s">
        <v>11</v>
      </c>
      <c r="B5765" s="4">
        <v>317</v>
      </c>
      <c r="D5765"/>
    </row>
    <row r="5766" spans="1:4" x14ac:dyDescent="0.3">
      <c r="A5766" s="4" t="s">
        <v>10</v>
      </c>
      <c r="B5766" s="4" t="e">
        <v>#REF!</v>
      </c>
      <c r="D5766"/>
    </row>
    <row r="5767" spans="1:4" x14ac:dyDescent="0.3">
      <c r="A5767" s="4" t="s">
        <v>8</v>
      </c>
      <c r="B5767" s="4">
        <v>849</v>
      </c>
      <c r="D5767"/>
    </row>
    <row r="5768" spans="1:4" x14ac:dyDescent="0.3">
      <c r="A5768" s="4" t="s">
        <v>10</v>
      </c>
      <c r="B5768" s="4">
        <v>364</v>
      </c>
      <c r="D5768"/>
    </row>
    <row r="5769" spans="1:4" x14ac:dyDescent="0.3">
      <c r="A5769" s="4" t="s">
        <v>13</v>
      </c>
      <c r="B5769" s="4">
        <v>507</v>
      </c>
      <c r="D5769"/>
    </row>
    <row r="5770" spans="1:4" x14ac:dyDescent="0.3">
      <c r="A5770" s="4" t="s">
        <v>7</v>
      </c>
      <c r="B5770" s="4">
        <v>806</v>
      </c>
      <c r="D5770"/>
    </row>
    <row r="5771" spans="1:4" x14ac:dyDescent="0.3">
      <c r="A5771" s="4" t="s">
        <v>7</v>
      </c>
      <c r="B5771" s="4">
        <v>910</v>
      </c>
      <c r="D5771"/>
    </row>
    <row r="5772" spans="1:4" x14ac:dyDescent="0.3">
      <c r="A5772" s="4" t="s">
        <v>3</v>
      </c>
      <c r="B5772" s="4">
        <v>253</v>
      </c>
      <c r="D5772"/>
    </row>
    <row r="5773" spans="1:4" x14ac:dyDescent="0.3">
      <c r="A5773" s="4" t="s">
        <v>4</v>
      </c>
      <c r="B5773" s="4">
        <v>353</v>
      </c>
      <c r="D5773"/>
    </row>
    <row r="5774" spans="1:4" x14ac:dyDescent="0.3">
      <c r="A5774" s="4" t="s">
        <v>12</v>
      </c>
      <c r="B5774" s="4">
        <v>771</v>
      </c>
      <c r="D5774"/>
    </row>
    <row r="5775" spans="1:4" x14ac:dyDescent="0.3">
      <c r="A5775" s="4" t="s">
        <v>16</v>
      </c>
      <c r="B5775" s="4">
        <v>259</v>
      </c>
      <c r="D5775"/>
    </row>
    <row r="5776" spans="1:4" x14ac:dyDescent="0.3">
      <c r="A5776" s="4" t="s">
        <v>9</v>
      </c>
      <c r="B5776" s="4">
        <v>643</v>
      </c>
      <c r="D5776"/>
    </row>
    <row r="5777" spans="1:4" x14ac:dyDescent="0.3">
      <c r="A5777" s="4" t="s">
        <v>16</v>
      </c>
      <c r="B5777" s="4">
        <v>380</v>
      </c>
      <c r="D5777"/>
    </row>
    <row r="5778" spans="1:4" x14ac:dyDescent="0.3">
      <c r="A5778" s="4" t="s">
        <v>10</v>
      </c>
      <c r="B5778" s="4">
        <v>174</v>
      </c>
      <c r="D5778"/>
    </row>
    <row r="5779" spans="1:4" x14ac:dyDescent="0.3">
      <c r="A5779" s="4" t="s">
        <v>18</v>
      </c>
      <c r="B5779" s="4">
        <v>209</v>
      </c>
      <c r="D5779"/>
    </row>
    <row r="5780" spans="1:4" x14ac:dyDescent="0.3">
      <c r="A5780" s="4" t="s">
        <v>14</v>
      </c>
      <c r="B5780" s="4">
        <v>398</v>
      </c>
      <c r="D5780"/>
    </row>
    <row r="5781" spans="1:4" x14ac:dyDescent="0.3">
      <c r="A5781" s="4" t="s">
        <v>15</v>
      </c>
      <c r="B5781" s="4">
        <v>641</v>
      </c>
      <c r="D5781"/>
    </row>
    <row r="5782" spans="1:4" x14ac:dyDescent="0.3">
      <c r="A5782" s="4" t="s">
        <v>13</v>
      </c>
      <c r="B5782" s="4">
        <v>971</v>
      </c>
      <c r="D5782"/>
    </row>
    <row r="5783" spans="1:4" x14ac:dyDescent="0.3">
      <c r="A5783" s="4" t="s">
        <v>19</v>
      </c>
      <c r="B5783" s="4" t="e">
        <v>#REF!</v>
      </c>
      <c r="D5783"/>
    </row>
    <row r="5784" spans="1:4" x14ac:dyDescent="0.3">
      <c r="A5784" s="4" t="s">
        <v>12</v>
      </c>
      <c r="B5784" s="4">
        <v>298</v>
      </c>
      <c r="D5784"/>
    </row>
    <row r="5785" spans="1:4" x14ac:dyDescent="0.3">
      <c r="A5785" s="4" t="s">
        <v>18</v>
      </c>
      <c r="B5785" s="4">
        <v>365</v>
      </c>
      <c r="D5785"/>
    </row>
    <row r="5786" spans="1:4" x14ac:dyDescent="0.3">
      <c r="A5786" s="4" t="s">
        <v>14</v>
      </c>
      <c r="B5786" s="4">
        <v>661</v>
      </c>
      <c r="D5786"/>
    </row>
    <row r="5787" spans="1:4" x14ac:dyDescent="0.3">
      <c r="A5787" s="4" t="s">
        <v>16</v>
      </c>
      <c r="B5787" s="4">
        <v>203</v>
      </c>
      <c r="D5787"/>
    </row>
    <row r="5788" spans="1:4" x14ac:dyDescent="0.3">
      <c r="A5788" s="4" t="s">
        <v>14</v>
      </c>
      <c r="B5788" s="4">
        <v>748</v>
      </c>
      <c r="D5788"/>
    </row>
    <row r="5789" spans="1:4" x14ac:dyDescent="0.3">
      <c r="A5789" s="4" t="s">
        <v>14</v>
      </c>
      <c r="B5789" s="4">
        <v>375</v>
      </c>
      <c r="D5789"/>
    </row>
    <row r="5790" spans="1:4" x14ac:dyDescent="0.3">
      <c r="A5790" s="4" t="s">
        <v>13</v>
      </c>
      <c r="B5790" s="4">
        <v>703</v>
      </c>
      <c r="D5790"/>
    </row>
    <row r="5791" spans="1:4" x14ac:dyDescent="0.3">
      <c r="A5791" s="4" t="s">
        <v>10</v>
      </c>
      <c r="B5791" s="4">
        <v>994</v>
      </c>
      <c r="D5791"/>
    </row>
    <row r="5792" spans="1:4" x14ac:dyDescent="0.3">
      <c r="A5792" s="4" t="s">
        <v>17</v>
      </c>
      <c r="B5792" s="4">
        <v>414</v>
      </c>
      <c r="D5792"/>
    </row>
    <row r="5793" spans="1:4" x14ac:dyDescent="0.3">
      <c r="A5793" s="4" t="s">
        <v>3</v>
      </c>
      <c r="B5793" s="4">
        <v>942</v>
      </c>
      <c r="D5793"/>
    </row>
    <row r="5794" spans="1:4" x14ac:dyDescent="0.3">
      <c r="A5794" s="4" t="s">
        <v>11</v>
      </c>
      <c r="B5794" s="4">
        <v>726</v>
      </c>
      <c r="D5794"/>
    </row>
    <row r="5795" spans="1:4" x14ac:dyDescent="0.3">
      <c r="A5795" s="4" t="s">
        <v>12</v>
      </c>
      <c r="B5795" s="4">
        <v>742</v>
      </c>
      <c r="D5795"/>
    </row>
    <row r="5796" spans="1:4" x14ac:dyDescent="0.3">
      <c r="A5796" s="4" t="s">
        <v>4</v>
      </c>
      <c r="B5796" s="4">
        <v>681</v>
      </c>
      <c r="D5796"/>
    </row>
    <row r="5797" spans="1:4" x14ac:dyDescent="0.3">
      <c r="A5797" s="4" t="s">
        <v>19</v>
      </c>
      <c r="B5797" s="4">
        <v>555</v>
      </c>
      <c r="D5797"/>
    </row>
    <row r="5798" spans="1:4" x14ac:dyDescent="0.3">
      <c r="A5798" s="4" t="s">
        <v>14</v>
      </c>
      <c r="B5798" s="4" t="e">
        <v>#N/A</v>
      </c>
      <c r="D5798"/>
    </row>
    <row r="5799" spans="1:4" x14ac:dyDescent="0.3">
      <c r="A5799" s="4" t="s">
        <v>4</v>
      </c>
      <c r="B5799" s="4">
        <v>151</v>
      </c>
      <c r="D5799"/>
    </row>
    <row r="5800" spans="1:4" x14ac:dyDescent="0.3">
      <c r="A5800" s="4" t="s">
        <v>12</v>
      </c>
      <c r="B5800" s="4">
        <v>217</v>
      </c>
      <c r="D5800"/>
    </row>
    <row r="5801" spans="1:4" x14ac:dyDescent="0.3">
      <c r="A5801" s="4" t="s">
        <v>17</v>
      </c>
      <c r="B5801" s="4">
        <v>265</v>
      </c>
      <c r="D5801"/>
    </row>
    <row r="5802" spans="1:4" x14ac:dyDescent="0.3">
      <c r="A5802" s="4" t="s">
        <v>9</v>
      </c>
      <c r="B5802" s="4">
        <v>229</v>
      </c>
      <c r="D5802"/>
    </row>
    <row r="5803" spans="1:4" x14ac:dyDescent="0.3">
      <c r="A5803" s="4" t="s">
        <v>7</v>
      </c>
      <c r="B5803" s="4">
        <v>242</v>
      </c>
      <c r="D5803"/>
    </row>
    <row r="5804" spans="1:4" x14ac:dyDescent="0.3">
      <c r="A5804" s="4" t="s">
        <v>18</v>
      </c>
      <c r="B5804" s="4">
        <v>649</v>
      </c>
      <c r="D5804"/>
    </row>
    <row r="5805" spans="1:4" x14ac:dyDescent="0.3">
      <c r="A5805" s="4" t="s">
        <v>19</v>
      </c>
      <c r="B5805" s="4">
        <v>322</v>
      </c>
      <c r="D5805"/>
    </row>
    <row r="5806" spans="1:4" x14ac:dyDescent="0.3">
      <c r="A5806" s="4" t="s">
        <v>19</v>
      </c>
      <c r="B5806" s="4">
        <v>354</v>
      </c>
      <c r="D5806"/>
    </row>
    <row r="5807" spans="1:4" x14ac:dyDescent="0.3">
      <c r="A5807" s="4" t="s">
        <v>3</v>
      </c>
      <c r="B5807" s="4">
        <v>489</v>
      </c>
      <c r="D5807"/>
    </row>
    <row r="5808" spans="1:4" x14ac:dyDescent="0.3">
      <c r="A5808" s="4" t="s">
        <v>8</v>
      </c>
      <c r="B5808" s="4">
        <v>810</v>
      </c>
      <c r="D5808"/>
    </row>
    <row r="5809" spans="1:4" x14ac:dyDescent="0.3">
      <c r="A5809" s="4" t="s">
        <v>7</v>
      </c>
      <c r="B5809" s="4">
        <v>771</v>
      </c>
      <c r="D5809"/>
    </row>
    <row r="5810" spans="1:4" x14ac:dyDescent="0.3">
      <c r="A5810" s="4" t="s">
        <v>19</v>
      </c>
      <c r="B5810" s="4">
        <v>198</v>
      </c>
      <c r="D5810"/>
    </row>
    <row r="5811" spans="1:4" x14ac:dyDescent="0.3">
      <c r="A5811" s="4" t="s">
        <v>6</v>
      </c>
      <c r="B5811" s="6">
        <v>466</v>
      </c>
      <c r="D5811"/>
    </row>
    <row r="5812" spans="1:4" x14ac:dyDescent="0.3">
      <c r="A5812" s="4" t="s">
        <v>16</v>
      </c>
      <c r="B5812" s="4">
        <v>200</v>
      </c>
      <c r="D5812"/>
    </row>
    <row r="5813" spans="1:4" x14ac:dyDescent="0.3">
      <c r="A5813" s="4" t="s">
        <v>9</v>
      </c>
      <c r="B5813" s="4">
        <v>864</v>
      </c>
      <c r="D5813"/>
    </row>
    <row r="5814" spans="1:4" x14ac:dyDescent="0.3">
      <c r="A5814" s="4" t="s">
        <v>19</v>
      </c>
      <c r="B5814" s="4">
        <v>741</v>
      </c>
      <c r="D5814"/>
    </row>
    <row r="5815" spans="1:4" x14ac:dyDescent="0.3">
      <c r="A5815" s="4" t="s">
        <v>18</v>
      </c>
      <c r="B5815" s="4">
        <v>808</v>
      </c>
      <c r="D5815"/>
    </row>
    <row r="5816" spans="1:4" x14ac:dyDescent="0.3">
      <c r="A5816" s="4" t="s">
        <v>6</v>
      </c>
      <c r="B5816" s="4">
        <v>284</v>
      </c>
      <c r="D5816"/>
    </row>
    <row r="5817" spans="1:4" x14ac:dyDescent="0.3">
      <c r="A5817" s="4" t="s">
        <v>19</v>
      </c>
      <c r="B5817" s="4">
        <v>135</v>
      </c>
      <c r="D5817"/>
    </row>
    <row r="5818" spans="1:4" x14ac:dyDescent="0.3">
      <c r="A5818" s="4" t="s">
        <v>6</v>
      </c>
      <c r="B5818" s="4">
        <v>428</v>
      </c>
      <c r="D5818"/>
    </row>
    <row r="5819" spans="1:4" x14ac:dyDescent="0.3">
      <c r="A5819" s="4" t="s">
        <v>4</v>
      </c>
      <c r="B5819" s="4">
        <v>955</v>
      </c>
      <c r="D5819"/>
    </row>
    <row r="5820" spans="1:4" x14ac:dyDescent="0.3">
      <c r="A5820" s="4" t="s">
        <v>8</v>
      </c>
      <c r="B5820" s="4">
        <v>696</v>
      </c>
      <c r="D5820"/>
    </row>
    <row r="5821" spans="1:4" x14ac:dyDescent="0.3">
      <c r="A5821" s="4" t="s">
        <v>15</v>
      </c>
      <c r="B5821" s="4">
        <v>200</v>
      </c>
      <c r="D5821"/>
    </row>
    <row r="5822" spans="1:4" x14ac:dyDescent="0.3">
      <c r="A5822" s="4" t="s">
        <v>16</v>
      </c>
      <c r="B5822" s="4">
        <v>220</v>
      </c>
      <c r="D5822"/>
    </row>
    <row r="5823" spans="1:4" x14ac:dyDescent="0.3">
      <c r="A5823" s="4" t="s">
        <v>12</v>
      </c>
      <c r="B5823" s="4">
        <v>332</v>
      </c>
      <c r="D5823"/>
    </row>
    <row r="5824" spans="1:4" x14ac:dyDescent="0.3">
      <c r="A5824" s="4" t="s">
        <v>9</v>
      </c>
      <c r="B5824" s="4">
        <v>592</v>
      </c>
      <c r="D5824"/>
    </row>
    <row r="5825" spans="1:4" x14ac:dyDescent="0.3">
      <c r="A5825" s="4" t="s">
        <v>10</v>
      </c>
      <c r="B5825" s="4">
        <v>915</v>
      </c>
      <c r="D5825"/>
    </row>
    <row r="5826" spans="1:4" x14ac:dyDescent="0.3">
      <c r="A5826" s="4" t="s">
        <v>6</v>
      </c>
      <c r="B5826" s="4">
        <v>710</v>
      </c>
      <c r="D5826"/>
    </row>
    <row r="5827" spans="1:4" x14ac:dyDescent="0.3">
      <c r="A5827" s="4" t="s">
        <v>17</v>
      </c>
      <c r="B5827" s="4">
        <v>438</v>
      </c>
      <c r="D5827"/>
    </row>
    <row r="5828" spans="1:4" x14ac:dyDescent="0.3">
      <c r="A5828" s="4" t="s">
        <v>15</v>
      </c>
      <c r="B5828" s="4">
        <v>772</v>
      </c>
      <c r="D5828"/>
    </row>
    <row r="5829" spans="1:4" x14ac:dyDescent="0.3">
      <c r="A5829" s="4" t="s">
        <v>4</v>
      </c>
      <c r="B5829" s="4">
        <v>209</v>
      </c>
      <c r="D5829"/>
    </row>
    <row r="5830" spans="1:4" x14ac:dyDescent="0.3">
      <c r="A5830" s="4" t="s">
        <v>4</v>
      </c>
      <c r="B5830" s="4">
        <v>515</v>
      </c>
      <c r="D5830"/>
    </row>
    <row r="5831" spans="1:4" x14ac:dyDescent="0.3">
      <c r="A5831" s="4" t="s">
        <v>11</v>
      </c>
      <c r="B5831" s="4">
        <v>84</v>
      </c>
      <c r="D5831"/>
    </row>
    <row r="5832" spans="1:4" x14ac:dyDescent="0.3">
      <c r="A5832" s="4" t="s">
        <v>3</v>
      </c>
      <c r="B5832" s="4">
        <v>930</v>
      </c>
      <c r="D5832"/>
    </row>
    <row r="5833" spans="1:4" x14ac:dyDescent="0.3">
      <c r="A5833" s="4" t="s">
        <v>4</v>
      </c>
      <c r="B5833" s="4">
        <v>684</v>
      </c>
      <c r="D5833"/>
    </row>
    <row r="5834" spans="1:4" x14ac:dyDescent="0.3">
      <c r="A5834" s="4" t="s">
        <v>3</v>
      </c>
      <c r="B5834" s="4">
        <v>822</v>
      </c>
      <c r="D5834"/>
    </row>
    <row r="5835" spans="1:4" x14ac:dyDescent="0.3">
      <c r="A5835" s="4" t="s">
        <v>10</v>
      </c>
      <c r="B5835" s="4">
        <v>882</v>
      </c>
      <c r="D5835"/>
    </row>
    <row r="5836" spans="1:4" x14ac:dyDescent="0.3">
      <c r="A5836" s="4" t="s">
        <v>11</v>
      </c>
      <c r="B5836" s="4">
        <v>741</v>
      </c>
      <c r="D5836"/>
    </row>
    <row r="5837" spans="1:4" x14ac:dyDescent="0.3">
      <c r="A5837" s="4" t="s">
        <v>11</v>
      </c>
      <c r="B5837" s="4">
        <v>768</v>
      </c>
      <c r="D5837"/>
    </row>
    <row r="5838" spans="1:4" x14ac:dyDescent="0.3">
      <c r="A5838" s="4" t="s">
        <v>19</v>
      </c>
      <c r="B5838" s="4">
        <v>515</v>
      </c>
      <c r="D5838"/>
    </row>
    <row r="5839" spans="1:4" x14ac:dyDescent="0.3">
      <c r="A5839" s="4" t="s">
        <v>6</v>
      </c>
      <c r="B5839" s="4">
        <v>486</v>
      </c>
      <c r="D5839"/>
    </row>
    <row r="5840" spans="1:4" x14ac:dyDescent="0.3">
      <c r="A5840" s="4" t="s">
        <v>14</v>
      </c>
      <c r="B5840" s="4">
        <v>632</v>
      </c>
      <c r="D5840"/>
    </row>
    <row r="5841" spans="1:4" x14ac:dyDescent="0.3">
      <c r="A5841" s="4" t="s">
        <v>4</v>
      </c>
      <c r="B5841" s="4">
        <v>785</v>
      </c>
      <c r="D5841"/>
    </row>
    <row r="5842" spans="1:4" x14ac:dyDescent="0.3">
      <c r="A5842" s="4" t="s">
        <v>7</v>
      </c>
      <c r="B5842" s="4">
        <v>360</v>
      </c>
      <c r="D5842"/>
    </row>
    <row r="5843" spans="1:4" x14ac:dyDescent="0.3">
      <c r="A5843" s="4" t="s">
        <v>10</v>
      </c>
      <c r="B5843" s="4">
        <v>941</v>
      </c>
      <c r="D5843"/>
    </row>
    <row r="5844" spans="1:4" x14ac:dyDescent="0.3">
      <c r="A5844" s="4" t="s">
        <v>9</v>
      </c>
      <c r="B5844" s="4">
        <v>418</v>
      </c>
      <c r="D5844"/>
    </row>
    <row r="5845" spans="1:4" x14ac:dyDescent="0.3">
      <c r="A5845" s="4" t="s">
        <v>4</v>
      </c>
      <c r="B5845" s="4">
        <v>114</v>
      </c>
      <c r="D5845"/>
    </row>
    <row r="5846" spans="1:4" x14ac:dyDescent="0.3">
      <c r="A5846" s="4" t="s">
        <v>13</v>
      </c>
      <c r="B5846" s="4">
        <v>867</v>
      </c>
      <c r="D5846"/>
    </row>
    <row r="5847" spans="1:4" x14ac:dyDescent="0.3">
      <c r="A5847" s="4" t="s">
        <v>16</v>
      </c>
      <c r="B5847" s="4">
        <v>644</v>
      </c>
      <c r="D5847"/>
    </row>
    <row r="5848" spans="1:4" x14ac:dyDescent="0.3">
      <c r="A5848" s="4" t="s">
        <v>15</v>
      </c>
      <c r="B5848" s="4">
        <v>701</v>
      </c>
      <c r="D5848"/>
    </row>
    <row r="5849" spans="1:4" x14ac:dyDescent="0.3">
      <c r="A5849" s="4" t="s">
        <v>12</v>
      </c>
      <c r="B5849" s="4">
        <v>563</v>
      </c>
      <c r="D5849"/>
    </row>
    <row r="5850" spans="1:4" x14ac:dyDescent="0.3">
      <c r="A5850" s="4" t="s">
        <v>3</v>
      </c>
      <c r="B5850" s="4">
        <v>906</v>
      </c>
      <c r="D5850"/>
    </row>
    <row r="5851" spans="1:4" x14ac:dyDescent="0.3">
      <c r="A5851" s="4" t="s">
        <v>11</v>
      </c>
      <c r="B5851" s="4">
        <v>147</v>
      </c>
      <c r="D5851"/>
    </row>
    <row r="5852" spans="1:4" x14ac:dyDescent="0.3">
      <c r="A5852" s="4" t="s">
        <v>15</v>
      </c>
      <c r="B5852" s="4">
        <v>147</v>
      </c>
      <c r="D5852"/>
    </row>
    <row r="5853" spans="1:4" x14ac:dyDescent="0.3">
      <c r="A5853" s="4" t="s">
        <v>14</v>
      </c>
      <c r="B5853" s="4">
        <v>523</v>
      </c>
      <c r="D5853"/>
    </row>
    <row r="5854" spans="1:4" x14ac:dyDescent="0.3">
      <c r="A5854" s="4" t="s">
        <v>3</v>
      </c>
      <c r="B5854" s="4">
        <v>755</v>
      </c>
      <c r="D5854"/>
    </row>
    <row r="5855" spans="1:4" x14ac:dyDescent="0.3">
      <c r="A5855" s="4" t="s">
        <v>11</v>
      </c>
      <c r="B5855" s="4">
        <v>889</v>
      </c>
      <c r="D5855"/>
    </row>
    <row r="5856" spans="1:4" x14ac:dyDescent="0.3">
      <c r="A5856" s="4" t="s">
        <v>13</v>
      </c>
      <c r="B5856" s="4">
        <v>819</v>
      </c>
      <c r="D5856"/>
    </row>
    <row r="5857" spans="1:4" x14ac:dyDescent="0.3">
      <c r="A5857" s="4" t="s">
        <v>18</v>
      </c>
      <c r="B5857" s="4">
        <v>915</v>
      </c>
      <c r="D5857"/>
    </row>
    <row r="5858" spans="1:4" x14ac:dyDescent="0.3">
      <c r="A5858" s="4" t="s">
        <v>4</v>
      </c>
      <c r="B5858" s="4">
        <v>250</v>
      </c>
      <c r="D5858"/>
    </row>
    <row r="5859" spans="1:4" x14ac:dyDescent="0.3">
      <c r="A5859" s="4" t="s">
        <v>12</v>
      </c>
      <c r="B5859" s="4">
        <v>504</v>
      </c>
      <c r="D5859"/>
    </row>
    <row r="5860" spans="1:4" x14ac:dyDescent="0.3">
      <c r="A5860" s="4" t="s">
        <v>7</v>
      </c>
      <c r="B5860" s="4">
        <v>787</v>
      </c>
      <c r="D5860"/>
    </row>
    <row r="5861" spans="1:4" x14ac:dyDescent="0.3">
      <c r="A5861" s="4" t="s">
        <v>10</v>
      </c>
      <c r="B5861" s="4">
        <v>794</v>
      </c>
      <c r="D5861"/>
    </row>
    <row r="5862" spans="1:4" x14ac:dyDescent="0.3">
      <c r="A5862" s="4" t="s">
        <v>9</v>
      </c>
      <c r="B5862" s="4">
        <v>989</v>
      </c>
      <c r="D5862"/>
    </row>
    <row r="5863" spans="1:4" x14ac:dyDescent="0.3">
      <c r="A5863" s="4" t="s">
        <v>16</v>
      </c>
      <c r="B5863" s="4">
        <v>407</v>
      </c>
      <c r="D5863"/>
    </row>
    <row r="5864" spans="1:4" x14ac:dyDescent="0.3">
      <c r="A5864" s="4" t="s">
        <v>14</v>
      </c>
      <c r="B5864" s="4">
        <v>513</v>
      </c>
      <c r="D5864"/>
    </row>
    <row r="5865" spans="1:4" x14ac:dyDescent="0.3">
      <c r="A5865" s="4" t="s">
        <v>11</v>
      </c>
      <c r="B5865" s="4">
        <v>654</v>
      </c>
      <c r="D5865"/>
    </row>
    <row r="5866" spans="1:4" x14ac:dyDescent="0.3">
      <c r="A5866" s="4" t="s">
        <v>6</v>
      </c>
      <c r="B5866" s="4">
        <v>168</v>
      </c>
      <c r="D5866"/>
    </row>
    <row r="5867" spans="1:4" x14ac:dyDescent="0.3">
      <c r="A5867" s="4" t="s">
        <v>6</v>
      </c>
      <c r="B5867" s="4" t="e">
        <v>#REF!</v>
      </c>
      <c r="D5867"/>
    </row>
    <row r="5868" spans="1:4" x14ac:dyDescent="0.3">
      <c r="A5868" s="4" t="s">
        <v>13</v>
      </c>
      <c r="B5868" s="4">
        <v>984</v>
      </c>
      <c r="D5868"/>
    </row>
    <row r="5869" spans="1:4" x14ac:dyDescent="0.3">
      <c r="A5869" s="4" t="s">
        <v>15</v>
      </c>
      <c r="B5869" s="4">
        <v>677</v>
      </c>
      <c r="D5869"/>
    </row>
    <row r="5870" spans="1:4" x14ac:dyDescent="0.3">
      <c r="A5870" s="4" t="s">
        <v>15</v>
      </c>
      <c r="B5870" s="4">
        <v>733</v>
      </c>
      <c r="D5870"/>
    </row>
    <row r="5871" spans="1:4" x14ac:dyDescent="0.3">
      <c r="A5871" s="4" t="s">
        <v>11</v>
      </c>
      <c r="B5871" s="4">
        <v>290</v>
      </c>
      <c r="D5871"/>
    </row>
    <row r="5872" spans="1:4" x14ac:dyDescent="0.3">
      <c r="A5872" s="4" t="s">
        <v>10</v>
      </c>
      <c r="B5872" s="4">
        <v>787</v>
      </c>
      <c r="D5872"/>
    </row>
    <row r="5873" spans="1:4" x14ac:dyDescent="0.3">
      <c r="A5873" s="4" t="s">
        <v>12</v>
      </c>
      <c r="B5873" s="4">
        <v>279</v>
      </c>
      <c r="D5873"/>
    </row>
    <row r="5874" spans="1:4" x14ac:dyDescent="0.3">
      <c r="A5874" s="4" t="s">
        <v>9</v>
      </c>
      <c r="B5874" s="4">
        <v>661</v>
      </c>
      <c r="D5874"/>
    </row>
    <row r="5875" spans="1:4" x14ac:dyDescent="0.3">
      <c r="A5875" s="4" t="s">
        <v>4</v>
      </c>
      <c r="B5875" s="4">
        <v>745</v>
      </c>
      <c r="D5875"/>
    </row>
    <row r="5876" spans="1:4" x14ac:dyDescent="0.3">
      <c r="A5876" s="4" t="s">
        <v>11</v>
      </c>
      <c r="B5876" s="4">
        <v>535</v>
      </c>
      <c r="D5876"/>
    </row>
    <row r="5877" spans="1:4" x14ac:dyDescent="0.3">
      <c r="A5877" s="4" t="s">
        <v>14</v>
      </c>
      <c r="B5877" s="4">
        <v>265</v>
      </c>
      <c r="D5877"/>
    </row>
    <row r="5878" spans="1:4" x14ac:dyDescent="0.3">
      <c r="A5878" s="4" t="s">
        <v>3</v>
      </c>
      <c r="B5878" s="4">
        <v>293</v>
      </c>
      <c r="D5878"/>
    </row>
    <row r="5879" spans="1:4" x14ac:dyDescent="0.3">
      <c r="A5879" s="4" t="s">
        <v>10</v>
      </c>
      <c r="B5879" s="4">
        <v>960</v>
      </c>
      <c r="D5879"/>
    </row>
    <row r="5880" spans="1:4" x14ac:dyDescent="0.3">
      <c r="A5880" s="4" t="s">
        <v>16</v>
      </c>
      <c r="B5880" s="4">
        <v>648</v>
      </c>
      <c r="D5880"/>
    </row>
    <row r="5881" spans="1:4" x14ac:dyDescent="0.3">
      <c r="A5881" s="4" t="s">
        <v>8</v>
      </c>
      <c r="B5881" s="4">
        <v>232</v>
      </c>
      <c r="D5881"/>
    </row>
    <row r="5882" spans="1:4" x14ac:dyDescent="0.3">
      <c r="A5882" s="4" t="s">
        <v>10</v>
      </c>
      <c r="B5882" s="4">
        <v>667</v>
      </c>
      <c r="D5882"/>
    </row>
    <row r="5883" spans="1:4" x14ac:dyDescent="0.3">
      <c r="A5883" s="4" t="s">
        <v>16</v>
      </c>
      <c r="B5883" s="4" t="e">
        <v>#REF!</v>
      </c>
      <c r="D5883"/>
    </row>
    <row r="5884" spans="1:4" x14ac:dyDescent="0.3">
      <c r="A5884" s="4" t="s">
        <v>12</v>
      </c>
      <c r="B5884" s="4">
        <v>322</v>
      </c>
      <c r="D5884"/>
    </row>
    <row r="5885" spans="1:4" x14ac:dyDescent="0.3">
      <c r="A5885" s="4" t="s">
        <v>15</v>
      </c>
      <c r="B5885" s="4">
        <v>608</v>
      </c>
      <c r="D5885"/>
    </row>
    <row r="5886" spans="1:4" x14ac:dyDescent="0.3">
      <c r="A5886" s="4" t="s">
        <v>10</v>
      </c>
      <c r="B5886" s="4">
        <v>885</v>
      </c>
      <c r="D5886"/>
    </row>
    <row r="5887" spans="1:4" x14ac:dyDescent="0.3">
      <c r="A5887" s="4" t="s">
        <v>4</v>
      </c>
      <c r="B5887" s="4">
        <v>862</v>
      </c>
      <c r="D5887"/>
    </row>
    <row r="5888" spans="1:4" x14ac:dyDescent="0.3">
      <c r="A5888" s="4" t="s">
        <v>18</v>
      </c>
      <c r="B5888" s="4">
        <v>901</v>
      </c>
      <c r="D5888"/>
    </row>
    <row r="5889" spans="1:4" x14ac:dyDescent="0.3">
      <c r="A5889" s="4" t="s">
        <v>4</v>
      </c>
      <c r="B5889" s="4">
        <v>512</v>
      </c>
      <c r="D5889"/>
    </row>
    <row r="5890" spans="1:4" x14ac:dyDescent="0.3">
      <c r="A5890" s="4" t="s">
        <v>10</v>
      </c>
      <c r="B5890" s="4">
        <v>625</v>
      </c>
      <c r="D5890"/>
    </row>
    <row r="5891" spans="1:4" x14ac:dyDescent="0.3">
      <c r="A5891" s="4" t="s">
        <v>10</v>
      </c>
      <c r="B5891" s="4">
        <v>283</v>
      </c>
      <c r="D5891"/>
    </row>
    <row r="5892" spans="1:4" x14ac:dyDescent="0.3">
      <c r="A5892" s="4" t="s">
        <v>16</v>
      </c>
      <c r="B5892" s="4">
        <v>881</v>
      </c>
      <c r="D5892"/>
    </row>
    <row r="5893" spans="1:4" x14ac:dyDescent="0.3">
      <c r="A5893" s="4" t="s">
        <v>12</v>
      </c>
      <c r="B5893" s="4">
        <v>996</v>
      </c>
      <c r="D5893"/>
    </row>
    <row r="5894" spans="1:4" x14ac:dyDescent="0.3">
      <c r="A5894" s="4" t="s">
        <v>12</v>
      </c>
      <c r="B5894" s="4">
        <v>349</v>
      </c>
      <c r="D5894"/>
    </row>
    <row r="5895" spans="1:4" x14ac:dyDescent="0.3">
      <c r="A5895" s="4" t="s">
        <v>14</v>
      </c>
      <c r="B5895" s="4">
        <v>978</v>
      </c>
      <c r="D5895"/>
    </row>
    <row r="5896" spans="1:4" x14ac:dyDescent="0.3">
      <c r="A5896" s="4" t="s">
        <v>6</v>
      </c>
      <c r="B5896" s="4">
        <v>333</v>
      </c>
      <c r="D5896"/>
    </row>
    <row r="5897" spans="1:4" x14ac:dyDescent="0.3">
      <c r="A5897" s="4" t="s">
        <v>7</v>
      </c>
      <c r="B5897" s="4">
        <v>388</v>
      </c>
      <c r="D5897"/>
    </row>
    <row r="5898" spans="1:4" x14ac:dyDescent="0.3">
      <c r="A5898" s="4" t="s">
        <v>10</v>
      </c>
      <c r="B5898" s="4">
        <v>465</v>
      </c>
      <c r="D5898"/>
    </row>
    <row r="5899" spans="1:4" x14ac:dyDescent="0.3">
      <c r="A5899" s="4" t="s">
        <v>17</v>
      </c>
      <c r="B5899" s="4">
        <v>199</v>
      </c>
      <c r="D5899"/>
    </row>
    <row r="5900" spans="1:4" x14ac:dyDescent="0.3">
      <c r="A5900" s="4" t="s">
        <v>3</v>
      </c>
      <c r="B5900" s="4">
        <v>113</v>
      </c>
      <c r="D5900"/>
    </row>
    <row r="5901" spans="1:4" x14ac:dyDescent="0.3">
      <c r="A5901" s="4" t="s">
        <v>8</v>
      </c>
      <c r="B5901" s="4">
        <v>198</v>
      </c>
      <c r="D5901"/>
    </row>
    <row r="5902" spans="1:4" x14ac:dyDescent="0.3">
      <c r="A5902" s="4" t="s">
        <v>7</v>
      </c>
      <c r="B5902" s="4">
        <v>414</v>
      </c>
      <c r="D5902"/>
    </row>
    <row r="5903" spans="1:4" x14ac:dyDescent="0.3">
      <c r="A5903" s="4" t="s">
        <v>6</v>
      </c>
      <c r="B5903" s="4">
        <v>122</v>
      </c>
      <c r="D5903"/>
    </row>
    <row r="5904" spans="1:4" x14ac:dyDescent="0.3">
      <c r="A5904" s="4" t="s">
        <v>10</v>
      </c>
      <c r="B5904" s="4">
        <v>340</v>
      </c>
      <c r="D5904"/>
    </row>
    <row r="5905" spans="1:4" x14ac:dyDescent="0.3">
      <c r="A5905" s="4" t="s">
        <v>3</v>
      </c>
      <c r="B5905" s="4">
        <v>207</v>
      </c>
      <c r="D5905"/>
    </row>
    <row r="5906" spans="1:4" x14ac:dyDescent="0.3">
      <c r="A5906" s="4" t="s">
        <v>14</v>
      </c>
      <c r="B5906" s="4">
        <v>109</v>
      </c>
      <c r="D5906"/>
    </row>
    <row r="5907" spans="1:4" x14ac:dyDescent="0.3">
      <c r="A5907" s="4" t="s">
        <v>4</v>
      </c>
      <c r="B5907" s="4">
        <v>838</v>
      </c>
      <c r="D5907"/>
    </row>
    <row r="5908" spans="1:4" x14ac:dyDescent="0.3">
      <c r="A5908" s="4" t="s">
        <v>6</v>
      </c>
      <c r="B5908" s="4">
        <v>218</v>
      </c>
      <c r="D5908"/>
    </row>
    <row r="5909" spans="1:4" x14ac:dyDescent="0.3">
      <c r="A5909" s="4" t="s">
        <v>12</v>
      </c>
      <c r="B5909" s="4">
        <v>441</v>
      </c>
      <c r="D5909"/>
    </row>
    <row r="5910" spans="1:4" x14ac:dyDescent="0.3">
      <c r="A5910" s="4" t="s">
        <v>8</v>
      </c>
      <c r="B5910" s="4">
        <v>767</v>
      </c>
      <c r="D5910"/>
    </row>
    <row r="5911" spans="1:4" x14ac:dyDescent="0.3">
      <c r="A5911" s="4" t="s">
        <v>14</v>
      </c>
      <c r="B5911" s="4">
        <v>216</v>
      </c>
      <c r="D5911"/>
    </row>
    <row r="5912" spans="1:4" x14ac:dyDescent="0.3">
      <c r="A5912" s="4" t="s">
        <v>10</v>
      </c>
      <c r="B5912" s="4">
        <v>730</v>
      </c>
      <c r="D5912"/>
    </row>
    <row r="5913" spans="1:4" x14ac:dyDescent="0.3">
      <c r="A5913" s="4" t="s">
        <v>14</v>
      </c>
      <c r="B5913" s="4">
        <v>611</v>
      </c>
      <c r="D5913"/>
    </row>
    <row r="5914" spans="1:4" x14ac:dyDescent="0.3">
      <c r="A5914" s="4" t="s">
        <v>16</v>
      </c>
      <c r="B5914" s="4">
        <v>689</v>
      </c>
      <c r="D5914"/>
    </row>
    <row r="5915" spans="1:4" x14ac:dyDescent="0.3">
      <c r="A5915" s="4" t="s">
        <v>7</v>
      </c>
      <c r="B5915" s="4">
        <v>570</v>
      </c>
      <c r="D5915"/>
    </row>
    <row r="5916" spans="1:4" x14ac:dyDescent="0.3">
      <c r="A5916" s="4" t="s">
        <v>11</v>
      </c>
      <c r="B5916" s="4">
        <v>743</v>
      </c>
      <c r="D5916"/>
    </row>
    <row r="5917" spans="1:4" x14ac:dyDescent="0.3">
      <c r="A5917" s="4" t="s">
        <v>10</v>
      </c>
      <c r="B5917" s="4">
        <v>843</v>
      </c>
      <c r="D5917"/>
    </row>
    <row r="5918" spans="1:4" x14ac:dyDescent="0.3">
      <c r="A5918" s="4" t="s">
        <v>15</v>
      </c>
      <c r="B5918" s="4">
        <v>138</v>
      </c>
      <c r="D5918"/>
    </row>
    <row r="5919" spans="1:4" x14ac:dyDescent="0.3">
      <c r="A5919" s="4" t="s">
        <v>14</v>
      </c>
      <c r="B5919" s="4">
        <v>805</v>
      </c>
      <c r="D5919"/>
    </row>
    <row r="5920" spans="1:4" x14ac:dyDescent="0.3">
      <c r="A5920" s="4" t="s">
        <v>9</v>
      </c>
      <c r="B5920" s="4">
        <v>108</v>
      </c>
      <c r="D5920"/>
    </row>
    <row r="5921" spans="1:4" x14ac:dyDescent="0.3">
      <c r="A5921" s="4" t="s">
        <v>4</v>
      </c>
      <c r="B5921" s="4">
        <v>243</v>
      </c>
      <c r="D5921"/>
    </row>
    <row r="5922" spans="1:4" x14ac:dyDescent="0.3">
      <c r="A5922" s="4" t="s">
        <v>19</v>
      </c>
      <c r="B5922" s="4">
        <v>431</v>
      </c>
      <c r="D5922"/>
    </row>
    <row r="5923" spans="1:4" x14ac:dyDescent="0.3">
      <c r="A5923" s="4" t="s">
        <v>11</v>
      </c>
      <c r="B5923" s="4">
        <v>465</v>
      </c>
      <c r="D5923"/>
    </row>
    <row r="5924" spans="1:4" x14ac:dyDescent="0.3">
      <c r="A5924" s="4" t="s">
        <v>10</v>
      </c>
      <c r="B5924" s="4">
        <v>228</v>
      </c>
      <c r="D5924"/>
    </row>
    <row r="5925" spans="1:4" x14ac:dyDescent="0.3">
      <c r="A5925" s="4" t="s">
        <v>11</v>
      </c>
      <c r="B5925" s="4">
        <v>827</v>
      </c>
      <c r="D5925"/>
    </row>
    <row r="5926" spans="1:4" x14ac:dyDescent="0.3">
      <c r="A5926" s="4" t="s">
        <v>12</v>
      </c>
      <c r="B5926" s="4">
        <v>865</v>
      </c>
      <c r="D5926"/>
    </row>
    <row r="5927" spans="1:4" x14ac:dyDescent="0.3">
      <c r="A5927" s="4" t="s">
        <v>3</v>
      </c>
      <c r="B5927" s="4">
        <v>356</v>
      </c>
      <c r="D5927"/>
    </row>
    <row r="5928" spans="1:4" x14ac:dyDescent="0.3">
      <c r="A5928" s="4" t="s">
        <v>6</v>
      </c>
      <c r="B5928" s="4">
        <v>425</v>
      </c>
      <c r="D5928"/>
    </row>
    <row r="5929" spans="1:4" x14ac:dyDescent="0.3">
      <c r="A5929" s="4" t="s">
        <v>15</v>
      </c>
      <c r="B5929" s="4">
        <v>555</v>
      </c>
      <c r="D5929"/>
    </row>
    <row r="5930" spans="1:4" x14ac:dyDescent="0.3">
      <c r="A5930" s="4" t="s">
        <v>4</v>
      </c>
      <c r="B5930" s="4">
        <v>810</v>
      </c>
      <c r="D5930"/>
    </row>
    <row r="5931" spans="1:4" x14ac:dyDescent="0.3">
      <c r="A5931" s="4" t="s">
        <v>12</v>
      </c>
      <c r="B5931" s="4">
        <v>48</v>
      </c>
      <c r="D5931"/>
    </row>
    <row r="5932" spans="1:4" x14ac:dyDescent="0.3">
      <c r="A5932" s="4" t="s">
        <v>6</v>
      </c>
      <c r="B5932" s="4">
        <v>316</v>
      </c>
      <c r="D5932"/>
    </row>
    <row r="5933" spans="1:4" x14ac:dyDescent="0.3">
      <c r="A5933" s="4" t="s">
        <v>10</v>
      </c>
      <c r="B5933" s="4">
        <v>562</v>
      </c>
      <c r="D5933"/>
    </row>
    <row r="5934" spans="1:4" x14ac:dyDescent="0.3">
      <c r="A5934" s="4" t="s">
        <v>6</v>
      </c>
      <c r="B5934" s="4">
        <v>670</v>
      </c>
      <c r="D5934"/>
    </row>
    <row r="5935" spans="1:4" x14ac:dyDescent="0.3">
      <c r="A5935" s="4" t="s">
        <v>10</v>
      </c>
      <c r="B5935" s="4">
        <v>410</v>
      </c>
      <c r="D5935"/>
    </row>
    <row r="5936" spans="1:4" x14ac:dyDescent="0.3">
      <c r="A5936" s="4" t="s">
        <v>12</v>
      </c>
      <c r="B5936" s="4">
        <v>304</v>
      </c>
      <c r="D5936"/>
    </row>
    <row r="5937" spans="1:4" x14ac:dyDescent="0.3">
      <c r="A5937" s="4" t="s">
        <v>3</v>
      </c>
      <c r="B5937" s="4">
        <v>631</v>
      </c>
      <c r="D5937"/>
    </row>
    <row r="5938" spans="1:4" x14ac:dyDescent="0.3">
      <c r="A5938" s="4" t="s">
        <v>14</v>
      </c>
      <c r="B5938" s="4">
        <v>932</v>
      </c>
      <c r="D5938"/>
    </row>
    <row r="5939" spans="1:4" x14ac:dyDescent="0.3">
      <c r="A5939" s="4" t="s">
        <v>10</v>
      </c>
      <c r="B5939" s="4">
        <v>278</v>
      </c>
      <c r="D5939"/>
    </row>
    <row r="5940" spans="1:4" x14ac:dyDescent="0.3">
      <c r="A5940" s="4" t="s">
        <v>12</v>
      </c>
      <c r="B5940" s="4">
        <v>613</v>
      </c>
      <c r="D5940"/>
    </row>
    <row r="5941" spans="1:4" x14ac:dyDescent="0.3">
      <c r="A5941" s="4" t="s">
        <v>12</v>
      </c>
      <c r="B5941" s="4">
        <v>802</v>
      </c>
      <c r="D5941"/>
    </row>
    <row r="5942" spans="1:4" x14ac:dyDescent="0.3">
      <c r="A5942" s="4" t="s">
        <v>4</v>
      </c>
      <c r="B5942" s="4">
        <v>456</v>
      </c>
      <c r="D5942"/>
    </row>
    <row r="5943" spans="1:4" x14ac:dyDescent="0.3">
      <c r="A5943" s="4" t="s">
        <v>12</v>
      </c>
      <c r="B5943" s="4">
        <v>567</v>
      </c>
      <c r="D5943"/>
    </row>
    <row r="5944" spans="1:4" x14ac:dyDescent="0.3">
      <c r="A5944" s="4" t="s">
        <v>14</v>
      </c>
      <c r="B5944" s="4">
        <v>615</v>
      </c>
      <c r="D5944"/>
    </row>
    <row r="5945" spans="1:4" x14ac:dyDescent="0.3">
      <c r="A5945" s="4" t="s">
        <v>8</v>
      </c>
      <c r="B5945" s="4">
        <v>787</v>
      </c>
      <c r="D5945"/>
    </row>
    <row r="5946" spans="1:4" x14ac:dyDescent="0.3">
      <c r="A5946" s="4" t="s">
        <v>9</v>
      </c>
      <c r="B5946" s="4">
        <v>572</v>
      </c>
      <c r="D5946"/>
    </row>
    <row r="5947" spans="1:4" x14ac:dyDescent="0.3">
      <c r="A5947" s="4" t="s">
        <v>4</v>
      </c>
      <c r="B5947" s="4">
        <v>996</v>
      </c>
      <c r="D5947"/>
    </row>
    <row r="5948" spans="1:4" x14ac:dyDescent="0.3">
      <c r="A5948" s="4" t="s">
        <v>9</v>
      </c>
      <c r="B5948" s="4">
        <v>147</v>
      </c>
      <c r="D5948"/>
    </row>
    <row r="5949" spans="1:4" x14ac:dyDescent="0.3">
      <c r="A5949" s="4" t="s">
        <v>10</v>
      </c>
      <c r="B5949" s="4">
        <v>506</v>
      </c>
      <c r="D5949"/>
    </row>
  </sheetData>
  <mergeCells count="1"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959B-4FD3-4350-A692-4FCAA9312F5C}">
  <dimension ref="A1:N42"/>
  <sheetViews>
    <sheetView tabSelected="1" topLeftCell="A5" workbookViewId="0">
      <selection activeCell="N31" sqref="N31"/>
    </sheetView>
  </sheetViews>
  <sheetFormatPr defaultRowHeight="14.4" x14ac:dyDescent="0.3"/>
  <cols>
    <col min="3" max="3" width="19" customWidth="1"/>
    <col min="4" max="4" width="11.6640625" bestFit="1" customWidth="1"/>
    <col min="7" max="7" width="10.33203125" bestFit="1" customWidth="1"/>
  </cols>
  <sheetData>
    <row r="1" spans="1:12" x14ac:dyDescent="0.3">
      <c r="A1" t="s">
        <v>54</v>
      </c>
      <c r="B1" t="s">
        <v>55</v>
      </c>
      <c r="C1" t="s">
        <v>56</v>
      </c>
      <c r="D1" t="s">
        <v>57</v>
      </c>
      <c r="J1">
        <v>4</v>
      </c>
      <c r="L1">
        <v>8</v>
      </c>
    </row>
    <row r="2" spans="1:12" x14ac:dyDescent="0.3">
      <c r="A2" t="s">
        <v>58</v>
      </c>
      <c r="B2" t="s">
        <v>59</v>
      </c>
      <c r="C2" t="s">
        <v>93</v>
      </c>
      <c r="D2">
        <v>174</v>
      </c>
    </row>
    <row r="3" spans="1:12" x14ac:dyDescent="0.3">
      <c r="A3" t="s">
        <v>60</v>
      </c>
      <c r="B3" t="s">
        <v>61</v>
      </c>
      <c r="C3" t="s">
        <v>94</v>
      </c>
      <c r="D3">
        <v>370</v>
      </c>
    </row>
    <row r="4" spans="1:12" x14ac:dyDescent="0.3">
      <c r="A4" t="s">
        <v>62</v>
      </c>
      <c r="B4" t="s">
        <v>63</v>
      </c>
      <c r="C4" t="s">
        <v>95</v>
      </c>
      <c r="D4">
        <v>606</v>
      </c>
      <c r="H4" s="15" t="s">
        <v>105</v>
      </c>
    </row>
    <row r="5" spans="1:12" x14ac:dyDescent="0.3">
      <c r="A5" t="s">
        <v>64</v>
      </c>
      <c r="B5" t="s">
        <v>65</v>
      </c>
      <c r="C5" t="s">
        <v>99</v>
      </c>
      <c r="D5">
        <v>255</v>
      </c>
    </row>
    <row r="6" spans="1:12" x14ac:dyDescent="0.3">
      <c r="A6" t="s">
        <v>66</v>
      </c>
      <c r="B6" t="s">
        <v>67</v>
      </c>
      <c r="C6" t="s">
        <v>96</v>
      </c>
      <c r="D6">
        <v>381</v>
      </c>
    </row>
    <row r="7" spans="1:12" x14ac:dyDescent="0.3">
      <c r="A7" t="s">
        <v>68</v>
      </c>
      <c r="B7" t="s">
        <v>69</v>
      </c>
      <c r="C7" t="s">
        <v>97</v>
      </c>
      <c r="D7">
        <v>558</v>
      </c>
    </row>
    <row r="8" spans="1:12" x14ac:dyDescent="0.3">
      <c r="A8" t="s">
        <v>70</v>
      </c>
      <c r="B8" t="s">
        <v>71</v>
      </c>
      <c r="C8" t="s">
        <v>98</v>
      </c>
      <c r="D8">
        <v>149</v>
      </c>
    </row>
    <row r="9" spans="1:12" x14ac:dyDescent="0.3">
      <c r="A9" t="s">
        <v>72</v>
      </c>
      <c r="B9" t="s">
        <v>73</v>
      </c>
      <c r="C9" t="s">
        <v>100</v>
      </c>
      <c r="D9">
        <v>228</v>
      </c>
    </row>
    <row r="10" spans="1:12" x14ac:dyDescent="0.3">
      <c r="A10" t="s">
        <v>74</v>
      </c>
      <c r="B10" t="s">
        <v>75</v>
      </c>
      <c r="C10" t="s">
        <v>101</v>
      </c>
      <c r="D10">
        <v>646</v>
      </c>
    </row>
    <row r="11" spans="1:12" x14ac:dyDescent="0.3">
      <c r="A11" t="s">
        <v>76</v>
      </c>
      <c r="B11" t="s">
        <v>77</v>
      </c>
      <c r="C11" t="s">
        <v>102</v>
      </c>
      <c r="D11">
        <v>56</v>
      </c>
    </row>
    <row r="12" spans="1:12" x14ac:dyDescent="0.3">
      <c r="A12" t="s">
        <v>78</v>
      </c>
      <c r="B12" t="s">
        <v>79</v>
      </c>
      <c r="C12" t="s">
        <v>103</v>
      </c>
      <c r="D12">
        <v>402</v>
      </c>
    </row>
    <row r="13" spans="1:12" x14ac:dyDescent="0.3">
      <c r="A13" t="s">
        <v>80</v>
      </c>
      <c r="B13" t="s">
        <v>81</v>
      </c>
      <c r="C13" t="s">
        <v>104</v>
      </c>
      <c r="D13">
        <v>389</v>
      </c>
    </row>
    <row r="16" spans="1:12" x14ac:dyDescent="0.3">
      <c r="A16" t="s">
        <v>58</v>
      </c>
      <c r="B16" t="s">
        <v>59</v>
      </c>
      <c r="C16" t="s">
        <v>93</v>
      </c>
      <c r="D16">
        <v>174</v>
      </c>
      <c r="F16" t="b">
        <f>AND(MONTH(EOMONTH("01-"&amp;A16,0))&gt;=$I$20, MONTH(EOMONTH("01-"&amp;A16,0))&lt;=$K$20)</f>
        <v>0</v>
      </c>
    </row>
    <row r="17" spans="1:14" x14ac:dyDescent="0.3">
      <c r="A17" t="s">
        <v>60</v>
      </c>
      <c r="B17" t="s">
        <v>61</v>
      </c>
      <c r="C17" t="s">
        <v>94</v>
      </c>
      <c r="D17">
        <v>370</v>
      </c>
      <c r="F17" t="b">
        <f t="shared" ref="F17:F27" si="0">AND(MONTH(EOMONTH("01-"&amp;A17,0))&gt;=$I$20, MONTH(EOMONTH("01-"&amp;A17,0))&lt;=$K$20)</f>
        <v>0</v>
      </c>
    </row>
    <row r="18" spans="1:14" x14ac:dyDescent="0.3">
      <c r="A18" t="s">
        <v>62</v>
      </c>
      <c r="B18" t="s">
        <v>63</v>
      </c>
      <c r="C18" t="s">
        <v>95</v>
      </c>
      <c r="D18">
        <v>606</v>
      </c>
      <c r="F18" t="b">
        <f t="shared" si="0"/>
        <v>0</v>
      </c>
    </row>
    <row r="19" spans="1:14" x14ac:dyDescent="0.3">
      <c r="A19" t="s">
        <v>64</v>
      </c>
      <c r="B19" t="s">
        <v>65</v>
      </c>
      <c r="C19" t="s">
        <v>99</v>
      </c>
      <c r="D19">
        <v>255</v>
      </c>
      <c r="F19" t="b">
        <f t="shared" si="0"/>
        <v>0</v>
      </c>
    </row>
    <row r="20" spans="1:14" x14ac:dyDescent="0.3">
      <c r="A20" t="s">
        <v>66</v>
      </c>
      <c r="B20" t="s">
        <v>67</v>
      </c>
      <c r="C20" t="s">
        <v>96</v>
      </c>
      <c r="D20">
        <v>381</v>
      </c>
      <c r="F20" t="b">
        <f t="shared" si="0"/>
        <v>1</v>
      </c>
      <c r="I20">
        <v>5</v>
      </c>
      <c r="K20">
        <v>12</v>
      </c>
      <c r="N20" t="b">
        <f>AND(MONTH(EOMONTH("01-"&amp;$A16,0))&gt;=$I$20, MONTH(EOMONTH("01-"&amp;$A16,0))&lt;=$K$20)</f>
        <v>0</v>
      </c>
    </row>
    <row r="21" spans="1:14" x14ac:dyDescent="0.3">
      <c r="A21" t="s">
        <v>68</v>
      </c>
      <c r="B21" t="s">
        <v>69</v>
      </c>
      <c r="C21" t="s">
        <v>97</v>
      </c>
      <c r="D21">
        <v>558</v>
      </c>
      <c r="F21" t="b">
        <f t="shared" si="0"/>
        <v>1</v>
      </c>
    </row>
    <row r="22" spans="1:14" x14ac:dyDescent="0.3">
      <c r="A22" t="s">
        <v>70</v>
      </c>
      <c r="B22" t="s">
        <v>71</v>
      </c>
      <c r="C22" t="s">
        <v>98</v>
      </c>
      <c r="D22">
        <v>149</v>
      </c>
      <c r="F22" t="b">
        <f t="shared" si="0"/>
        <v>1</v>
      </c>
    </row>
    <row r="23" spans="1:14" x14ac:dyDescent="0.3">
      <c r="A23" t="s">
        <v>72</v>
      </c>
      <c r="B23" t="s">
        <v>73</v>
      </c>
      <c r="C23" t="s">
        <v>100</v>
      </c>
      <c r="D23">
        <v>228</v>
      </c>
      <c r="F23" t="b">
        <f t="shared" si="0"/>
        <v>1</v>
      </c>
    </row>
    <row r="24" spans="1:14" x14ac:dyDescent="0.3">
      <c r="A24" t="s">
        <v>74</v>
      </c>
      <c r="B24" t="s">
        <v>75</v>
      </c>
      <c r="C24" t="s">
        <v>101</v>
      </c>
      <c r="D24">
        <v>646</v>
      </c>
      <c r="F24" t="b">
        <f t="shared" si="0"/>
        <v>1</v>
      </c>
    </row>
    <row r="25" spans="1:14" x14ac:dyDescent="0.3">
      <c r="A25" t="s">
        <v>76</v>
      </c>
      <c r="B25" t="s">
        <v>77</v>
      </c>
      <c r="C25" t="s">
        <v>102</v>
      </c>
      <c r="D25">
        <v>56</v>
      </c>
      <c r="F25" t="b">
        <f t="shared" si="0"/>
        <v>1</v>
      </c>
    </row>
    <row r="26" spans="1:14" x14ac:dyDescent="0.3">
      <c r="A26" t="s">
        <v>78</v>
      </c>
      <c r="B26" t="s">
        <v>79</v>
      </c>
      <c r="C26" t="s">
        <v>103</v>
      </c>
      <c r="D26">
        <v>402</v>
      </c>
      <c r="F26" t="b">
        <f t="shared" si="0"/>
        <v>1</v>
      </c>
    </row>
    <row r="27" spans="1:14" x14ac:dyDescent="0.3">
      <c r="A27" t="s">
        <v>80</v>
      </c>
      <c r="B27" t="s">
        <v>81</v>
      </c>
      <c r="C27" t="s">
        <v>104</v>
      </c>
      <c r="D27">
        <v>389</v>
      </c>
      <c r="F27" t="b">
        <f t="shared" si="0"/>
        <v>1</v>
      </c>
    </row>
    <row r="28" spans="1:14" x14ac:dyDescent="0.3">
      <c r="J28" cm="1">
        <f t="array" ref="J28:J39">_xlfn.LET(_xlpm.a,ROW(A16:A27)-15,(_xlpm.a&gt;=$I$20)*(_xlpm.a&lt;=$K$20))</f>
        <v>0</v>
      </c>
    </row>
    <row r="29" spans="1:14" x14ac:dyDescent="0.3">
      <c r="J29">
        <v>0</v>
      </c>
    </row>
    <row r="30" spans="1:14" x14ac:dyDescent="0.3">
      <c r="J30">
        <v>0</v>
      </c>
    </row>
    <row r="31" spans="1:14" x14ac:dyDescent="0.3">
      <c r="J31">
        <v>0</v>
      </c>
    </row>
    <row r="32" spans="1:14" x14ac:dyDescent="0.3">
      <c r="A32" t="s">
        <v>58</v>
      </c>
      <c r="B32" t="s">
        <v>59</v>
      </c>
      <c r="C32" t="s">
        <v>93</v>
      </c>
      <c r="D32">
        <v>174</v>
      </c>
      <c r="G32" s="24">
        <f ca="1">_xlfn.LET(_xlpm.a, EOMONTH(A32&amp;YEAR(TODAY()),-1), (_xlpm.a+1&gt;=EOMONTH($I$20&amp;YEAR(TODAY()),-1)+1)*(_xlpm.a+1&lt;=EOMONTH($K$20&amp;YEAR(TODAY()),-1)+1))</f>
        <v>0</v>
      </c>
      <c r="J32">
        <v>1</v>
      </c>
    </row>
    <row r="33" spans="1:10" x14ac:dyDescent="0.3">
      <c r="A33" t="s">
        <v>60</v>
      </c>
      <c r="B33" t="s">
        <v>61</v>
      </c>
      <c r="C33" t="s">
        <v>94</v>
      </c>
      <c r="D33">
        <v>370</v>
      </c>
      <c r="G33" s="24">
        <f ca="1">_xlfn.LET(_xlpm.a, EOMONTH(A33&amp;YEAR(TODAY()),-1), (_xlpm.a+1&gt;=EOMONTH($I$20&amp;YEAR(TODAY()),-1)+1)*(_xlpm.a+1&lt;=EOMONTH($K$20&amp;YEAR(TODAY()),-1)+1))</f>
        <v>0</v>
      </c>
      <c r="J33">
        <v>1</v>
      </c>
    </row>
    <row r="34" spans="1:10" x14ac:dyDescent="0.3">
      <c r="A34" t="s">
        <v>62</v>
      </c>
      <c r="B34" t="s">
        <v>63</v>
      </c>
      <c r="C34" t="s">
        <v>95</v>
      </c>
      <c r="D34">
        <v>606</v>
      </c>
      <c r="G34" s="24">
        <f ca="1">_xlfn.LET(_xlpm.a, EOMONTH(A34&amp;YEAR(TODAY()),-1), (_xlpm.a+1&gt;=EOMONTH($I$20&amp;YEAR(TODAY()),-1)+1)*(_xlpm.a+1&lt;=EOMONTH($K$20&amp;YEAR(TODAY()),1)-1))</f>
        <v>0</v>
      </c>
      <c r="J34">
        <v>1</v>
      </c>
    </row>
    <row r="35" spans="1:10" x14ac:dyDescent="0.3">
      <c r="A35" t="s">
        <v>64</v>
      </c>
      <c r="B35" t="s">
        <v>65</v>
      </c>
      <c r="C35" t="s">
        <v>99</v>
      </c>
      <c r="D35">
        <v>255</v>
      </c>
      <c r="G35" s="24">
        <f t="shared" ref="G35:G41" ca="1" si="1">_xlfn.LET(_xlpm.a, EOMONTH(A35&amp;YEAR(TODAY()),-1), (_xlpm.a+1&gt;=EOMONTH($I$20&amp;YEAR(TODAY()),-1)+1)*(_xlpm.a+1&lt;=EOMONTH($K$20&amp;YEAR(TODAY()),1)-1))</f>
        <v>0</v>
      </c>
      <c r="J35">
        <v>1</v>
      </c>
    </row>
    <row r="36" spans="1:10" x14ac:dyDescent="0.3">
      <c r="A36" t="s">
        <v>66</v>
      </c>
      <c r="B36" t="s">
        <v>67</v>
      </c>
      <c r="C36" t="s">
        <v>96</v>
      </c>
      <c r="D36">
        <v>381</v>
      </c>
      <c r="G36" s="24">
        <f t="shared" ca="1" si="1"/>
        <v>0</v>
      </c>
      <c r="J36">
        <v>1</v>
      </c>
    </row>
    <row r="37" spans="1:10" x14ac:dyDescent="0.3">
      <c r="A37" t="s">
        <v>68</v>
      </c>
      <c r="B37" t="s">
        <v>69</v>
      </c>
      <c r="C37" t="s">
        <v>97</v>
      </c>
      <c r="D37">
        <v>558</v>
      </c>
      <c r="G37" s="24">
        <f t="shared" ca="1" si="1"/>
        <v>0</v>
      </c>
      <c r="J37">
        <v>1</v>
      </c>
    </row>
    <row r="38" spans="1:10" x14ac:dyDescent="0.3">
      <c r="A38" t="s">
        <v>70</v>
      </c>
      <c r="B38" t="s">
        <v>71</v>
      </c>
      <c r="C38" t="s">
        <v>98</v>
      </c>
      <c r="D38">
        <v>149</v>
      </c>
      <c r="G38" s="24">
        <f t="shared" ca="1" si="1"/>
        <v>0</v>
      </c>
      <c r="J38">
        <v>1</v>
      </c>
    </row>
    <row r="39" spans="1:10" x14ac:dyDescent="0.3">
      <c r="A39" t="s">
        <v>72</v>
      </c>
      <c r="B39" t="s">
        <v>73</v>
      </c>
      <c r="C39" t="s">
        <v>100</v>
      </c>
      <c r="D39">
        <v>228</v>
      </c>
      <c r="G39" s="24">
        <f t="shared" ca="1" si="1"/>
        <v>0</v>
      </c>
      <c r="J39">
        <v>1</v>
      </c>
    </row>
    <row r="40" spans="1:10" x14ac:dyDescent="0.3">
      <c r="A40" t="s">
        <v>74</v>
      </c>
      <c r="B40" t="s">
        <v>75</v>
      </c>
      <c r="C40" t="s">
        <v>101</v>
      </c>
      <c r="D40">
        <v>646</v>
      </c>
      <c r="G40" s="24">
        <f t="shared" ca="1" si="1"/>
        <v>0</v>
      </c>
    </row>
    <row r="41" spans="1:10" x14ac:dyDescent="0.3">
      <c r="A41" t="s">
        <v>76</v>
      </c>
      <c r="B41" t="s">
        <v>77</v>
      </c>
      <c r="C41" t="s">
        <v>102</v>
      </c>
      <c r="D41">
        <v>56</v>
      </c>
      <c r="G41" s="24">
        <f t="shared" ca="1" si="1"/>
        <v>0</v>
      </c>
    </row>
    <row r="42" spans="1:10" x14ac:dyDescent="0.3">
      <c r="A42" t="s">
        <v>78</v>
      </c>
      <c r="B42" t="s">
        <v>79</v>
      </c>
      <c r="C42" t="s">
        <v>103</v>
      </c>
      <c r="D42">
        <v>402</v>
      </c>
      <c r="G42" s="24">
        <f t="shared" ref="G33:G42" ca="1" si="2">_xlfn.LET(_xlpm.a, EOMONTH(A42&amp;YEAR(TODAY()),-1), (_xlpm.a+1&gt;=EOMONTH($I$20&amp;YEAR(TODAY()),-1)+1)*(_xlpm.a+1&lt;=EOMONTH($K$20&amp;YEAR(TODAY()),-1)+1))</f>
        <v>0</v>
      </c>
    </row>
  </sheetData>
  <conditionalFormatting sqref="A2:D13">
    <cfRule type="expression" dxfId="17" priority="11">
      <formula>AND(MONTH(1&amp;$A2)&gt;=$J$1,MONTH(1&amp;$A2)&lt;=$L$1)</formula>
    </cfRule>
  </conditionalFormatting>
  <conditionalFormatting sqref="A16:D27">
    <cfRule type="expression" dxfId="16" priority="6">
      <formula>AND(MONTH(EOMONTH("01-"&amp;$A16,0))&gt;=$I$20, MONTH(EOMONTH("01-"&amp;$A16,0))&lt;=$K$20)</formula>
    </cfRule>
  </conditionalFormatting>
  <conditionalFormatting sqref="M16:Q27">
    <cfRule type="expression" dxfId="14" priority="5">
      <formula>_xlfn.LET(_xlpm.a,ROW(A16:A27)-15,(_xlpm.a&gt;=I20)*(_xlpm.a&lt;=K20))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Drop Down 8">
              <controlPr defaultSize="0" autoLine="0" autoPict="0">
                <anchor moveWithCells="1">
                  <from>
                    <xdr:col>7</xdr:col>
                    <xdr:colOff>83820</xdr:colOff>
                    <xdr:row>5</xdr:row>
                    <xdr:rowOff>152400</xdr:rowOff>
                  </from>
                  <to>
                    <xdr:col>9</xdr:col>
                    <xdr:colOff>601980</xdr:colOff>
                    <xdr:row>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Drop Down 9">
              <controlPr defaultSize="0" autoLine="0" autoPict="0">
                <anchor moveWithCells="1">
                  <from>
                    <xdr:col>11</xdr:col>
                    <xdr:colOff>60960</xdr:colOff>
                    <xdr:row>5</xdr:row>
                    <xdr:rowOff>160020</xdr:rowOff>
                  </from>
                  <to>
                    <xdr:col>14</xdr:col>
                    <xdr:colOff>0</xdr:colOff>
                    <xdr:row>7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Drop Down 10">
              <controlPr defaultSize="0" autoLine="0" autoPict="0">
                <anchor moveWithCells="1">
                  <from>
                    <xdr:col>8</xdr:col>
                    <xdr:colOff>30480</xdr:colOff>
                    <xdr:row>12</xdr:row>
                    <xdr:rowOff>76200</xdr:rowOff>
                  </from>
                  <to>
                    <xdr:col>10</xdr:col>
                    <xdr:colOff>213360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7" name="Drop Down 11">
              <controlPr defaultSize="0" autoLine="0" autoPict="0">
                <anchor moveWithCells="1">
                  <from>
                    <xdr:col>11</xdr:col>
                    <xdr:colOff>38100</xdr:colOff>
                    <xdr:row>12</xdr:row>
                    <xdr:rowOff>76200</xdr:rowOff>
                  </from>
                  <to>
                    <xdr:col>13</xdr:col>
                    <xdr:colOff>220980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0990-0C03-40BE-8BE8-ED8537CBE59C}">
  <dimension ref="A1:N18"/>
  <sheetViews>
    <sheetView zoomScale="112" zoomScaleNormal="112" workbookViewId="0">
      <selection activeCell="N2" sqref="N2:N18"/>
    </sheetView>
  </sheetViews>
  <sheetFormatPr defaultRowHeight="14.4" x14ac:dyDescent="0.3"/>
  <cols>
    <col min="1" max="1" width="10.109375" bestFit="1" customWidth="1"/>
    <col min="2" max="2" width="7.88671875" customWidth="1"/>
    <col min="5" max="5" width="35.6640625" customWidth="1"/>
  </cols>
  <sheetData>
    <row r="1" spans="1:14" x14ac:dyDescent="0.3">
      <c r="A1" t="s">
        <v>56</v>
      </c>
      <c r="B1" t="s">
        <v>82</v>
      </c>
      <c r="E1" t="s">
        <v>83</v>
      </c>
      <c r="F1" t="s">
        <v>84</v>
      </c>
    </row>
    <row r="2" spans="1:14" x14ac:dyDescent="0.3">
      <c r="A2" t="s">
        <v>85</v>
      </c>
      <c r="B2">
        <v>15852</v>
      </c>
      <c r="E2" t="str">
        <f>VLOOKUP("ZZZ",$A$2:A2,1)&amp;"("&amp;B2&amp;")"</f>
        <v>Meenakshi(15852)</v>
      </c>
      <c r="F2" t="s">
        <v>90</v>
      </c>
      <c r="I2" t="str">
        <f>IF(A2="",MID(E1,1, FIND("(",I1)-1)&amp;"("&amp;B2&amp;")",A2&amp;"("&amp;B2&amp;")")</f>
        <v>Meenakshi(15852)</v>
      </c>
      <c r="L2" t="str">
        <f>IF(A2="",LEFT(L1,FIND("(",L1)-1)&amp;"("&amp;B2&amp;")",A2&amp;"("&amp;B2&amp;")")</f>
        <v>Meenakshi(15852)</v>
      </c>
      <c r="N2" t="str">
        <f>VLOOKUP("ZZZ",$A$2:A2,1,1)</f>
        <v>Meenakshi</v>
      </c>
    </row>
    <row r="3" spans="1:14" x14ac:dyDescent="0.3">
      <c r="B3">
        <v>26545</v>
      </c>
      <c r="E3" t="str">
        <f>VLOOKUP("ZZZ",$A$2:A3,1)&amp;"("&amp;B3&amp;")"</f>
        <v>Meenakshi(26545)</v>
      </c>
      <c r="F3" t="s">
        <v>91</v>
      </c>
      <c r="I3" t="str">
        <f>IF(A3="",MID(E2,1, FIND("(",I2)-1)&amp;"("&amp;B3&amp;")",A3&amp;"("&amp;B3&amp;")")</f>
        <v>Meenakshi(26545)</v>
      </c>
      <c r="L3" t="str">
        <f t="shared" ref="L3:L18" si="0">IF(A3="",LEFT(L2,FIND("(",L2)-1)&amp;"("&amp;B3&amp;")",A3&amp;"("&amp;B3&amp;")")</f>
        <v>Meenakshi(26545)</v>
      </c>
      <c r="N3" t="str">
        <f>VLOOKUP("ZZZ",$A$2:A3,1,1)</f>
        <v>Meenakshi</v>
      </c>
    </row>
    <row r="4" spans="1:14" x14ac:dyDescent="0.3">
      <c r="B4">
        <v>16505</v>
      </c>
      <c r="E4" t="str">
        <f>VLOOKUP("ZZZ",$A$2:A4,1)&amp;"("&amp;B4&amp;")"</f>
        <v>Meenakshi(16505)</v>
      </c>
      <c r="F4" t="s">
        <v>92</v>
      </c>
      <c r="I4" t="str">
        <f t="shared" ref="I3:I18" si="1">IF(A4="",MID(E3,1, FIND("(",I3)-1)&amp;"("&amp;B4&amp;")",A4&amp;"("&amp;B4&amp;")")</f>
        <v>Meenakshi(16505)</v>
      </c>
      <c r="L4" t="str">
        <f t="shared" si="0"/>
        <v>Meenakshi(16505)</v>
      </c>
      <c r="N4" t="str">
        <f>VLOOKUP("ZZZ",$A$2:A4,1,1)</f>
        <v>Meenakshi</v>
      </c>
    </row>
    <row r="5" spans="1:14" x14ac:dyDescent="0.3">
      <c r="A5" t="s">
        <v>86</v>
      </c>
      <c r="B5">
        <v>28273</v>
      </c>
      <c r="E5" t="str">
        <f>VLOOKUP("ZZZ",$A$2:A5,1)&amp;"("&amp;B5&amp;")"</f>
        <v>Sandeep(28273)</v>
      </c>
      <c r="I5" t="str">
        <f t="shared" si="1"/>
        <v>Sandeep(28273)</v>
      </c>
      <c r="L5" t="str">
        <f t="shared" si="0"/>
        <v>Sandeep(28273)</v>
      </c>
      <c r="N5" t="str">
        <f>VLOOKUP("ZZZ",$A$2:A5,1,1)</f>
        <v>Sandeep</v>
      </c>
    </row>
    <row r="6" spans="1:14" x14ac:dyDescent="0.3">
      <c r="B6">
        <v>23240</v>
      </c>
      <c r="E6" t="str">
        <f>VLOOKUP("ZZZ",$A$2:A6,1)&amp;"("&amp;B6&amp;")"</f>
        <v>Sandeep(23240)</v>
      </c>
      <c r="I6" t="str">
        <f t="shared" si="1"/>
        <v>Sandeep(23240)</v>
      </c>
      <c r="L6" t="str">
        <f t="shared" si="0"/>
        <v>Sandeep(23240)</v>
      </c>
      <c r="N6" t="str">
        <f>VLOOKUP("ZZZ",$A$2:A6,1,1)</f>
        <v>Sandeep</v>
      </c>
    </row>
    <row r="7" spans="1:14" x14ac:dyDescent="0.3">
      <c r="B7">
        <v>14210</v>
      </c>
      <c r="E7" t="str">
        <f>VLOOKUP("ZZZ",$A$2:A7,1)&amp;"("&amp;B7&amp;")"</f>
        <v>Sandeep(14210)</v>
      </c>
      <c r="I7" t="str">
        <f t="shared" si="1"/>
        <v>Sandeep(14210)</v>
      </c>
      <c r="L7" t="str">
        <f t="shared" si="0"/>
        <v>Sandeep(14210)</v>
      </c>
      <c r="N7" t="str">
        <f>VLOOKUP("ZZZ",$A$2:A7,1,1)</f>
        <v>Sandeep</v>
      </c>
    </row>
    <row r="8" spans="1:14" x14ac:dyDescent="0.3">
      <c r="A8" t="s">
        <v>87</v>
      </c>
      <c r="B8">
        <v>14601</v>
      </c>
      <c r="E8" t="str">
        <f>VLOOKUP("ZZZ",$A$2:A8,1)&amp;"("&amp;B8&amp;")"</f>
        <v>Anumeet(14601)</v>
      </c>
      <c r="I8" t="str">
        <f t="shared" si="1"/>
        <v>Anumeet(14601)</v>
      </c>
      <c r="L8" t="str">
        <f t="shared" si="0"/>
        <v>Anumeet(14601)</v>
      </c>
      <c r="N8" t="str">
        <f>VLOOKUP("ZZZ",$A$2:A8,1,1)</f>
        <v>Anumeet</v>
      </c>
    </row>
    <row r="9" spans="1:14" x14ac:dyDescent="0.3">
      <c r="B9">
        <v>24849</v>
      </c>
      <c r="E9" t="str">
        <f>VLOOKUP("ZZZ",$A$2:A9,1)&amp;"("&amp;B9&amp;")"</f>
        <v>Anumeet(24849)</v>
      </c>
      <c r="I9" t="str">
        <f t="shared" si="1"/>
        <v>Anumeet(24849)</v>
      </c>
      <c r="L9" t="str">
        <f t="shared" si="0"/>
        <v>Anumeet(24849)</v>
      </c>
      <c r="N9" t="str">
        <f>VLOOKUP("ZZZ",$A$2:A9,1,1)</f>
        <v>Anumeet</v>
      </c>
    </row>
    <row r="10" spans="1:14" x14ac:dyDescent="0.3">
      <c r="B10">
        <v>12729</v>
      </c>
      <c r="E10" t="str">
        <f>VLOOKUP("ZZZ",$A$2:A10,1)&amp;"("&amp;B10&amp;")"</f>
        <v>Anumeet(12729)</v>
      </c>
      <c r="I10" t="str">
        <f t="shared" si="1"/>
        <v>Anumeet(12729)</v>
      </c>
      <c r="L10" t="str">
        <f t="shared" si="0"/>
        <v>Anumeet(12729)</v>
      </c>
      <c r="N10" t="str">
        <f>VLOOKUP("ZZZ",$A$2:A10,1,1)</f>
        <v>Anumeet</v>
      </c>
    </row>
    <row r="11" spans="1:14" x14ac:dyDescent="0.3">
      <c r="B11">
        <v>11552</v>
      </c>
      <c r="E11" t="str">
        <f>VLOOKUP("ZZZ",$A$2:A11,1)&amp;"("&amp;B11&amp;")"</f>
        <v>Anumeet(11552)</v>
      </c>
      <c r="I11" t="str">
        <f t="shared" si="1"/>
        <v>Anumeet(11552)</v>
      </c>
      <c r="L11" t="str">
        <f t="shared" si="0"/>
        <v>Anumeet(11552)</v>
      </c>
      <c r="N11" t="str">
        <f>VLOOKUP("ZZZ",$A$2:A11,1,1)</f>
        <v>Anumeet</v>
      </c>
    </row>
    <row r="12" spans="1:14" x14ac:dyDescent="0.3">
      <c r="A12" t="s">
        <v>88</v>
      </c>
      <c r="B12">
        <v>28826</v>
      </c>
      <c r="E12" t="str">
        <f>VLOOKUP("ZZZ",$A$2:A12,1)&amp;"("&amp;B12&amp;")"</f>
        <v>Tejpal(28826)</v>
      </c>
      <c r="I12" t="str">
        <f t="shared" si="1"/>
        <v>Tejpal(28826)</v>
      </c>
      <c r="L12" t="str">
        <f t="shared" si="0"/>
        <v>Tejpal(28826)</v>
      </c>
      <c r="N12" t="str">
        <f>VLOOKUP("ZZZ",$A$2:A12,1,1)</f>
        <v>Tejpal</v>
      </c>
    </row>
    <row r="13" spans="1:14" x14ac:dyDescent="0.3">
      <c r="B13">
        <v>21510</v>
      </c>
      <c r="E13" t="str">
        <f>VLOOKUP("ZZZ",$A$2:A13,1)&amp;"("&amp;B13&amp;")"</f>
        <v>Tejpal(21510)</v>
      </c>
      <c r="I13" t="str">
        <f t="shared" si="1"/>
        <v>Tejpal(21510)</v>
      </c>
      <c r="L13" t="str">
        <f t="shared" si="0"/>
        <v>Tejpal(21510)</v>
      </c>
      <c r="N13" t="str">
        <f>VLOOKUP("ZZZ",$A$2:A13,1,1)</f>
        <v>Tejpal</v>
      </c>
    </row>
    <row r="14" spans="1:14" x14ac:dyDescent="0.3">
      <c r="B14">
        <v>18171</v>
      </c>
      <c r="E14" t="str">
        <f>VLOOKUP("ZZZ",$A$2:A14,1)&amp;"("&amp;B14&amp;")"</f>
        <v>Tejpal(18171)</v>
      </c>
      <c r="I14" t="str">
        <f t="shared" si="1"/>
        <v>Tejpal(18171)</v>
      </c>
      <c r="L14" t="str">
        <f t="shared" si="0"/>
        <v>Tejpal(18171)</v>
      </c>
      <c r="N14" t="str">
        <f>VLOOKUP("ZZZ",$A$2:A14,1,1)</f>
        <v>Tejpal</v>
      </c>
    </row>
    <row r="15" spans="1:14" x14ac:dyDescent="0.3">
      <c r="B15">
        <v>10335</v>
      </c>
      <c r="E15" t="str">
        <f>VLOOKUP("ZZZ",$A$2:A15,1)&amp;"("&amp;B15&amp;")"</f>
        <v>Tejpal(10335)</v>
      </c>
      <c r="I15" t="str">
        <f t="shared" si="1"/>
        <v>Tejpal(10335)</v>
      </c>
      <c r="L15" t="str">
        <f t="shared" si="0"/>
        <v>Tejpal(10335)</v>
      </c>
      <c r="N15" t="str">
        <f>VLOOKUP("ZZZ",$A$2:A15,1,1)</f>
        <v>Tejpal</v>
      </c>
    </row>
    <row r="16" spans="1:14" x14ac:dyDescent="0.3">
      <c r="A16" t="s">
        <v>89</v>
      </c>
      <c r="B16">
        <v>23799</v>
      </c>
      <c r="E16" t="str">
        <f>VLOOKUP("ZZZ",$A$2:A16,1)&amp;"("&amp;B16&amp;")"</f>
        <v>Hemant(23799)</v>
      </c>
      <c r="I16" t="str">
        <f t="shared" si="1"/>
        <v>Hemant(23799)</v>
      </c>
      <c r="L16" t="str">
        <f t="shared" si="0"/>
        <v>Hemant(23799)</v>
      </c>
      <c r="N16" t="str">
        <f>VLOOKUP("ZZZ",$A$2:A16,1,1)</f>
        <v>Hemant</v>
      </c>
    </row>
    <row r="17" spans="2:14" x14ac:dyDescent="0.3">
      <c r="B17">
        <v>27687</v>
      </c>
      <c r="E17" t="str">
        <f>VLOOKUP("ZZZ",$A$2:A17,1)&amp;"("&amp;B17&amp;")"</f>
        <v>Hemant(27687)</v>
      </c>
      <c r="I17" t="str">
        <f t="shared" si="1"/>
        <v>Hemant(27687)</v>
      </c>
      <c r="L17" t="str">
        <f t="shared" si="0"/>
        <v>Hemant(27687)</v>
      </c>
      <c r="N17" t="str">
        <f>VLOOKUP("ZZZ",$A$2:A17,1,1)</f>
        <v>Hemant</v>
      </c>
    </row>
    <row r="18" spans="2:14" x14ac:dyDescent="0.3">
      <c r="B18">
        <v>28029</v>
      </c>
      <c r="E18" t="str">
        <f>VLOOKUP("ZZZ",$A$2:A18,1)&amp;"("&amp;B18&amp;")"</f>
        <v>Hemant(28029)</v>
      </c>
      <c r="I18" t="str">
        <f t="shared" si="1"/>
        <v>Hemant(28029)</v>
      </c>
      <c r="L18" t="str">
        <f t="shared" si="0"/>
        <v>Hemant(28029)</v>
      </c>
      <c r="N18" t="str">
        <f>VLOOKUP("ZZZ",$A$2:A18,1,1)</f>
        <v>Hemant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B6AA-805B-4FFB-8C64-19ECC00C6178}">
  <dimension ref="A1:M135"/>
  <sheetViews>
    <sheetView topLeftCell="B1" zoomScaleNormal="100" workbookViewId="0">
      <pane ySplit="1" topLeftCell="A15" activePane="bottomLeft" state="frozen"/>
      <selection activeCell="D6" sqref="D6:N19"/>
      <selection pane="bottomLeft" activeCell="G30" sqref="G30"/>
    </sheetView>
  </sheetViews>
  <sheetFormatPr defaultRowHeight="14.4" x14ac:dyDescent="0.3"/>
  <cols>
    <col min="1" max="1" width="7.5546875" bestFit="1" customWidth="1"/>
    <col min="2" max="2" width="19.5546875" bestFit="1" customWidth="1"/>
    <col min="3" max="3" width="9" customWidth="1"/>
    <col min="4" max="4" width="8.109375" bestFit="1" customWidth="1"/>
    <col min="7" max="7" width="12.5546875" bestFit="1" customWidth="1"/>
    <col min="8" max="8" width="15.5546875" bestFit="1" customWidth="1"/>
    <col min="9" max="9" width="12.21875" bestFit="1" customWidth="1"/>
    <col min="10" max="10" width="10.44140625" bestFit="1" customWidth="1"/>
    <col min="11" max="11" width="12.21875" bestFit="1" customWidth="1"/>
    <col min="12" max="12" width="15.21875" bestFit="1" customWidth="1"/>
    <col min="13" max="13" width="17" bestFit="1" customWidth="1"/>
    <col min="14" max="14" width="17.88671875" customWidth="1"/>
  </cols>
  <sheetData>
    <row r="1" spans="1:13" x14ac:dyDescent="0.3">
      <c r="A1" s="7" t="s">
        <v>31</v>
      </c>
      <c r="B1" s="7" t="s">
        <v>32</v>
      </c>
      <c r="C1" s="7" t="s">
        <v>29</v>
      </c>
      <c r="D1" s="8" t="s">
        <v>1</v>
      </c>
      <c r="G1" s="19" t="s">
        <v>33</v>
      </c>
      <c r="H1" s="20"/>
      <c r="I1" s="20"/>
      <c r="J1" s="20"/>
      <c r="K1" s="20"/>
      <c r="L1" s="20"/>
      <c r="M1" s="21"/>
    </row>
    <row r="2" spans="1:13" x14ac:dyDescent="0.3">
      <c r="A2" s="4" t="s">
        <v>25</v>
      </c>
      <c r="B2" s="4" t="s">
        <v>34</v>
      </c>
      <c r="C2" s="4">
        <v>177</v>
      </c>
      <c r="D2" s="6">
        <v>530168</v>
      </c>
    </row>
    <row r="3" spans="1:13" x14ac:dyDescent="0.3">
      <c r="A3" s="4" t="s">
        <v>20</v>
      </c>
      <c r="B3" s="4" t="s">
        <v>34</v>
      </c>
      <c r="C3" s="4">
        <v>198</v>
      </c>
      <c r="D3" s="6">
        <v>381107</v>
      </c>
      <c r="G3" s="22" t="s">
        <v>35</v>
      </c>
      <c r="H3" s="23" t="s">
        <v>34</v>
      </c>
      <c r="I3" s="23"/>
      <c r="J3" s="23" t="s">
        <v>36</v>
      </c>
      <c r="K3" s="23"/>
      <c r="L3" s="23" t="s">
        <v>37</v>
      </c>
      <c r="M3" s="23"/>
    </row>
    <row r="4" spans="1:13" x14ac:dyDescent="0.3">
      <c r="A4" s="4" t="s">
        <v>23</v>
      </c>
      <c r="B4" s="4" t="s">
        <v>36</v>
      </c>
      <c r="C4" s="4">
        <v>222</v>
      </c>
      <c r="D4" s="6">
        <v>520183</v>
      </c>
      <c r="G4" s="22"/>
      <c r="H4" s="9" t="s">
        <v>29</v>
      </c>
      <c r="I4" s="9" t="s">
        <v>1</v>
      </c>
      <c r="J4" s="9" t="s">
        <v>29</v>
      </c>
      <c r="K4" s="9" t="s">
        <v>38</v>
      </c>
      <c r="L4" s="9" t="s">
        <v>39</v>
      </c>
      <c r="M4" s="9" t="s">
        <v>40</v>
      </c>
    </row>
    <row r="5" spans="1:13" x14ac:dyDescent="0.3">
      <c r="A5" s="4" t="s">
        <v>27</v>
      </c>
      <c r="B5" s="4" t="s">
        <v>34</v>
      </c>
      <c r="C5" s="4">
        <v>999</v>
      </c>
      <c r="D5" s="6">
        <v>482789</v>
      </c>
      <c r="G5" s="9" t="s">
        <v>25</v>
      </c>
      <c r="H5" s="6">
        <f>SUMIFS($C:$C,$A:$A,$G5,$B:$B,"Approved")</f>
        <v>6650</v>
      </c>
      <c r="I5" s="6">
        <f>SUMIFS($D:$D,$A:$A,$G5,$B:$B,"Approved")</f>
        <v>3100906</v>
      </c>
      <c r="J5" s="6">
        <f>SUMIFS($C:$C,$A:$A,$G5,$B:$B,"Cancelled")</f>
        <v>2079</v>
      </c>
      <c r="K5" s="6">
        <f>SUMIFS($D:$D,$A:$A,$G5,$B:$B,"Cancelled")</f>
        <v>1481485</v>
      </c>
      <c r="L5" s="6">
        <f>SUM(H5,J5)</f>
        <v>8729</v>
      </c>
      <c r="M5" s="6">
        <f>SUM(I5,K5)</f>
        <v>4582391</v>
      </c>
    </row>
    <row r="6" spans="1:13" x14ac:dyDescent="0.3">
      <c r="A6" s="4" t="s">
        <v>21</v>
      </c>
      <c r="B6" s="4" t="s">
        <v>34</v>
      </c>
      <c r="C6" s="4">
        <v>625</v>
      </c>
      <c r="D6" s="6">
        <v>686068</v>
      </c>
      <c r="G6" s="9" t="s">
        <v>20</v>
      </c>
      <c r="H6" s="6">
        <f t="shared" ref="H6:H13" si="0">SUMIFS($C:$C,$A:$A,$G6,$B:$B,"Approved")</f>
        <v>6067</v>
      </c>
      <c r="I6" s="6">
        <f t="shared" ref="I6:I13" si="1">SUMIFS($D:$D,$A:$A,$G6,$B:$B,"Approved")</f>
        <v>6935323</v>
      </c>
      <c r="J6" s="6">
        <f t="shared" ref="J6:J13" si="2">SUMIFS($C:$C,$A:$A,$G6,$B:$B,"Cancelled")</f>
        <v>2225</v>
      </c>
      <c r="K6" s="6">
        <f t="shared" ref="K6:K13" si="3">SUMIFS($D:$D,$A:$A,$G6,$B:$B,"Cancelled")</f>
        <v>2571125</v>
      </c>
      <c r="L6" s="6">
        <f t="shared" ref="L6:M13" si="4">SUM(H6,J6)</f>
        <v>8292</v>
      </c>
      <c r="M6" s="6">
        <f t="shared" si="4"/>
        <v>9506448</v>
      </c>
    </row>
    <row r="7" spans="1:13" x14ac:dyDescent="0.3">
      <c r="A7" s="4" t="s">
        <v>28</v>
      </c>
      <c r="B7" s="4" t="s">
        <v>34</v>
      </c>
      <c r="C7" s="4">
        <v>800</v>
      </c>
      <c r="D7" s="6">
        <v>278438</v>
      </c>
      <c r="G7" s="9" t="s">
        <v>23</v>
      </c>
      <c r="H7" s="6">
        <f t="shared" si="0"/>
        <v>4377</v>
      </c>
      <c r="I7" s="6">
        <f t="shared" si="1"/>
        <v>4695387</v>
      </c>
      <c r="J7" s="6">
        <f t="shared" si="2"/>
        <v>2475</v>
      </c>
      <c r="K7" s="6">
        <f t="shared" si="3"/>
        <v>3232888</v>
      </c>
      <c r="L7" s="6">
        <f t="shared" si="4"/>
        <v>6852</v>
      </c>
      <c r="M7" s="6">
        <f t="shared" si="4"/>
        <v>7928275</v>
      </c>
    </row>
    <row r="8" spans="1:13" x14ac:dyDescent="0.3">
      <c r="A8" s="4" t="s">
        <v>26</v>
      </c>
      <c r="B8" s="4" t="s">
        <v>36</v>
      </c>
      <c r="C8" s="4">
        <v>478</v>
      </c>
      <c r="D8" s="6">
        <v>693809</v>
      </c>
      <c r="G8" s="9" t="s">
        <v>27</v>
      </c>
      <c r="H8" s="6">
        <f t="shared" si="0"/>
        <v>8980</v>
      </c>
      <c r="I8" s="6">
        <f t="shared" si="1"/>
        <v>6458052</v>
      </c>
      <c r="J8" s="6">
        <f t="shared" si="2"/>
        <v>569</v>
      </c>
      <c r="K8" s="6">
        <f t="shared" si="3"/>
        <v>1131179</v>
      </c>
      <c r="L8" s="6">
        <f t="shared" si="4"/>
        <v>9549</v>
      </c>
      <c r="M8" s="6">
        <f t="shared" si="4"/>
        <v>7589231</v>
      </c>
    </row>
    <row r="9" spans="1:13" x14ac:dyDescent="0.3">
      <c r="A9" s="4" t="s">
        <v>24</v>
      </c>
      <c r="B9" s="4" t="s">
        <v>34</v>
      </c>
      <c r="C9" s="4">
        <v>405</v>
      </c>
      <c r="D9" s="6">
        <v>449841</v>
      </c>
      <c r="G9" s="9" t="s">
        <v>21</v>
      </c>
      <c r="H9" s="6">
        <f t="shared" si="0"/>
        <v>5509</v>
      </c>
      <c r="I9" s="6">
        <f t="shared" si="1"/>
        <v>4619672</v>
      </c>
      <c r="J9" s="6">
        <f t="shared" si="2"/>
        <v>1742</v>
      </c>
      <c r="K9" s="6">
        <f t="shared" si="3"/>
        <v>3200520</v>
      </c>
      <c r="L9" s="6">
        <f t="shared" si="4"/>
        <v>7251</v>
      </c>
      <c r="M9" s="6">
        <f t="shared" si="4"/>
        <v>7820192</v>
      </c>
    </row>
    <row r="10" spans="1:13" x14ac:dyDescent="0.3">
      <c r="A10" s="4" t="s">
        <v>22</v>
      </c>
      <c r="B10" s="4" t="s">
        <v>34</v>
      </c>
      <c r="C10" s="4">
        <v>231</v>
      </c>
      <c r="D10" s="6">
        <v>511539</v>
      </c>
      <c r="G10" s="9" t="s">
        <v>28</v>
      </c>
      <c r="H10" s="6">
        <f t="shared" si="0"/>
        <v>8302</v>
      </c>
      <c r="I10" s="6">
        <f t="shared" si="1"/>
        <v>8027259</v>
      </c>
      <c r="J10" s="6">
        <f t="shared" si="2"/>
        <v>875</v>
      </c>
      <c r="K10" s="6">
        <f t="shared" si="3"/>
        <v>238094</v>
      </c>
      <c r="L10" s="6">
        <f t="shared" si="4"/>
        <v>9177</v>
      </c>
      <c r="M10" s="6">
        <f t="shared" si="4"/>
        <v>8265353</v>
      </c>
    </row>
    <row r="11" spans="1:13" x14ac:dyDescent="0.3">
      <c r="A11" s="4" t="s">
        <v>25</v>
      </c>
      <c r="B11" s="4" t="s">
        <v>34</v>
      </c>
      <c r="C11" s="4">
        <v>989</v>
      </c>
      <c r="D11" s="6">
        <v>940289</v>
      </c>
      <c r="G11" s="9" t="s">
        <v>26</v>
      </c>
      <c r="H11" s="6">
        <f t="shared" si="0"/>
        <v>5971</v>
      </c>
      <c r="I11" s="6">
        <f t="shared" si="1"/>
        <v>4172251</v>
      </c>
      <c r="J11" s="6">
        <f t="shared" si="2"/>
        <v>3501</v>
      </c>
      <c r="K11" s="6">
        <f t="shared" si="3"/>
        <v>3228750</v>
      </c>
      <c r="L11" s="6">
        <f t="shared" si="4"/>
        <v>9472</v>
      </c>
      <c r="M11" s="6">
        <f t="shared" si="4"/>
        <v>7401001</v>
      </c>
    </row>
    <row r="12" spans="1:13" x14ac:dyDescent="0.3">
      <c r="A12" s="4" t="s">
        <v>20</v>
      </c>
      <c r="B12" s="4" t="s">
        <v>36</v>
      </c>
      <c r="C12" s="4">
        <v>641</v>
      </c>
      <c r="D12" s="6">
        <v>844651</v>
      </c>
      <c r="G12" s="9" t="s">
        <v>24</v>
      </c>
      <c r="H12" s="6">
        <f t="shared" si="0"/>
        <v>3466</v>
      </c>
      <c r="I12" s="6">
        <f t="shared" si="1"/>
        <v>4368524</v>
      </c>
      <c r="J12" s="6">
        <f t="shared" si="2"/>
        <v>2280</v>
      </c>
      <c r="K12" s="6">
        <f t="shared" si="3"/>
        <v>2244114</v>
      </c>
      <c r="L12" s="6">
        <f t="shared" si="4"/>
        <v>5746</v>
      </c>
      <c r="M12" s="6">
        <f t="shared" si="4"/>
        <v>6612638</v>
      </c>
    </row>
    <row r="13" spans="1:13" x14ac:dyDescent="0.3">
      <c r="A13" s="4" t="s">
        <v>23</v>
      </c>
      <c r="B13" s="4" t="s">
        <v>34</v>
      </c>
      <c r="C13" s="4">
        <v>983</v>
      </c>
      <c r="D13" s="6">
        <v>373381</v>
      </c>
      <c r="G13" s="9" t="s">
        <v>22</v>
      </c>
      <c r="H13" s="6">
        <f t="shared" si="0"/>
        <v>6198</v>
      </c>
      <c r="I13" s="6">
        <f t="shared" si="1"/>
        <v>6950623</v>
      </c>
      <c r="J13" s="6">
        <f t="shared" si="2"/>
        <v>863</v>
      </c>
      <c r="K13" s="6">
        <f t="shared" si="3"/>
        <v>340951</v>
      </c>
      <c r="L13" s="6">
        <f t="shared" si="4"/>
        <v>7061</v>
      </c>
      <c r="M13" s="6">
        <f t="shared" si="4"/>
        <v>7291574</v>
      </c>
    </row>
    <row r="14" spans="1:13" x14ac:dyDescent="0.3">
      <c r="A14" s="4" t="s">
        <v>27</v>
      </c>
      <c r="B14" s="4" t="s">
        <v>34</v>
      </c>
      <c r="C14" s="4">
        <v>295</v>
      </c>
      <c r="D14" s="6">
        <v>48666</v>
      </c>
      <c r="G14" s="9" t="s">
        <v>41</v>
      </c>
      <c r="H14" s="10">
        <f>SUM(H5:H13)</f>
        <v>55520</v>
      </c>
      <c r="I14" s="10">
        <f t="shared" ref="I14:M14" si="5">SUM(I5:I13)</f>
        <v>49327997</v>
      </c>
      <c r="J14" s="10">
        <f t="shared" si="5"/>
        <v>16609</v>
      </c>
      <c r="K14" s="10">
        <f t="shared" si="5"/>
        <v>17669106</v>
      </c>
      <c r="L14" s="10">
        <f t="shared" si="5"/>
        <v>72129</v>
      </c>
      <c r="M14" s="10">
        <f t="shared" si="5"/>
        <v>66997103</v>
      </c>
    </row>
    <row r="15" spans="1:13" x14ac:dyDescent="0.3">
      <c r="A15" s="4" t="s">
        <v>21</v>
      </c>
      <c r="B15" s="4" t="s">
        <v>36</v>
      </c>
      <c r="C15" s="4">
        <v>606</v>
      </c>
      <c r="D15" s="6">
        <v>93314</v>
      </c>
    </row>
    <row r="16" spans="1:13" x14ac:dyDescent="0.3">
      <c r="A16" s="4" t="s">
        <v>28</v>
      </c>
      <c r="B16" s="4" t="s">
        <v>34</v>
      </c>
      <c r="C16" s="4">
        <v>886</v>
      </c>
      <c r="D16" s="6">
        <v>941206</v>
      </c>
      <c r="H16" s="16" t="s">
        <v>32</v>
      </c>
      <c r="I16" s="16" t="s">
        <v>108</v>
      </c>
    </row>
    <row r="17" spans="1:13" x14ac:dyDescent="0.3">
      <c r="A17" s="4" t="s">
        <v>25</v>
      </c>
      <c r="B17" s="4" t="s">
        <v>36</v>
      </c>
      <c r="C17" s="4">
        <v>329</v>
      </c>
      <c r="D17" s="6">
        <v>194735</v>
      </c>
      <c r="H17" t="s">
        <v>34</v>
      </c>
      <c r="J17" t="s">
        <v>36</v>
      </c>
      <c r="L17" t="s">
        <v>107</v>
      </c>
      <c r="M17" t="s">
        <v>109</v>
      </c>
    </row>
    <row r="18" spans="1:13" x14ac:dyDescent="0.3">
      <c r="A18" s="4" t="s">
        <v>20</v>
      </c>
      <c r="B18" s="4" t="s">
        <v>34</v>
      </c>
      <c r="C18" s="4">
        <v>627</v>
      </c>
      <c r="D18" s="6">
        <v>360058</v>
      </c>
      <c r="G18" s="16" t="s">
        <v>31</v>
      </c>
      <c r="H18" t="s">
        <v>106</v>
      </c>
      <c r="I18" t="s">
        <v>110</v>
      </c>
      <c r="J18" t="s">
        <v>106</v>
      </c>
      <c r="K18" t="s">
        <v>110</v>
      </c>
    </row>
    <row r="19" spans="1:13" x14ac:dyDescent="0.3">
      <c r="A19" s="4" t="s">
        <v>23</v>
      </c>
      <c r="B19" s="4" t="s">
        <v>34</v>
      </c>
      <c r="C19" s="4">
        <v>650</v>
      </c>
      <c r="D19" s="6">
        <v>339908</v>
      </c>
      <c r="G19" t="s">
        <v>25</v>
      </c>
      <c r="H19">
        <v>6650</v>
      </c>
      <c r="I19">
        <v>3100906</v>
      </c>
      <c r="J19">
        <v>2079</v>
      </c>
      <c r="K19">
        <v>1481485</v>
      </c>
      <c r="L19">
        <v>8729</v>
      </c>
      <c r="M19">
        <v>4582391</v>
      </c>
    </row>
    <row r="20" spans="1:13" x14ac:dyDescent="0.3">
      <c r="A20" s="4" t="s">
        <v>27</v>
      </c>
      <c r="B20" s="4" t="s">
        <v>34</v>
      </c>
      <c r="C20" s="4">
        <v>266</v>
      </c>
      <c r="D20" s="6">
        <v>920215</v>
      </c>
      <c r="G20" t="s">
        <v>20</v>
      </c>
      <c r="H20">
        <v>6067</v>
      </c>
      <c r="I20">
        <v>6935323</v>
      </c>
      <c r="J20">
        <v>2225</v>
      </c>
      <c r="K20">
        <v>2571125</v>
      </c>
      <c r="L20">
        <v>8292</v>
      </c>
      <c r="M20">
        <v>9506448</v>
      </c>
    </row>
    <row r="21" spans="1:13" x14ac:dyDescent="0.3">
      <c r="A21" s="4" t="s">
        <v>21</v>
      </c>
      <c r="B21" s="4" t="s">
        <v>36</v>
      </c>
      <c r="C21" s="4">
        <v>423</v>
      </c>
      <c r="D21" s="6">
        <v>638626</v>
      </c>
      <c r="G21" t="s">
        <v>23</v>
      </c>
      <c r="H21">
        <v>4377</v>
      </c>
      <c r="I21">
        <v>4695387</v>
      </c>
      <c r="J21">
        <v>2475</v>
      </c>
      <c r="K21">
        <v>3232888</v>
      </c>
      <c r="L21">
        <v>6852</v>
      </c>
      <c r="M21">
        <v>7928275</v>
      </c>
    </row>
    <row r="22" spans="1:13" x14ac:dyDescent="0.3">
      <c r="A22" s="4" t="s">
        <v>28</v>
      </c>
      <c r="B22" s="4" t="s">
        <v>34</v>
      </c>
      <c r="C22" s="4">
        <v>69</v>
      </c>
      <c r="D22" s="6">
        <v>911856</v>
      </c>
      <c r="G22" t="s">
        <v>27</v>
      </c>
      <c r="H22">
        <v>8980</v>
      </c>
      <c r="I22">
        <v>6458052</v>
      </c>
      <c r="J22">
        <v>569</v>
      </c>
      <c r="K22">
        <v>1131179</v>
      </c>
      <c r="L22">
        <v>9549</v>
      </c>
      <c r="M22">
        <v>7589231</v>
      </c>
    </row>
    <row r="23" spans="1:13" x14ac:dyDescent="0.3">
      <c r="A23" s="4" t="s">
        <v>26</v>
      </c>
      <c r="B23" s="4" t="s">
        <v>34</v>
      </c>
      <c r="C23" s="4">
        <v>683</v>
      </c>
      <c r="D23" s="6">
        <v>710226</v>
      </c>
      <c r="G23" t="s">
        <v>21</v>
      </c>
      <c r="H23">
        <v>5509</v>
      </c>
      <c r="I23">
        <v>4619672</v>
      </c>
      <c r="J23">
        <v>1742</v>
      </c>
      <c r="K23">
        <v>3200520</v>
      </c>
      <c r="L23">
        <v>7251</v>
      </c>
      <c r="M23">
        <v>7820192</v>
      </c>
    </row>
    <row r="24" spans="1:13" x14ac:dyDescent="0.3">
      <c r="A24" s="4" t="s">
        <v>24</v>
      </c>
      <c r="B24" s="4" t="s">
        <v>36</v>
      </c>
      <c r="C24" s="4">
        <v>948</v>
      </c>
      <c r="D24" s="6">
        <v>273734</v>
      </c>
      <c r="G24" t="s">
        <v>28</v>
      </c>
      <c r="H24">
        <v>8302</v>
      </c>
      <c r="I24">
        <v>8027259</v>
      </c>
      <c r="J24">
        <v>875</v>
      </c>
      <c r="K24">
        <v>238094</v>
      </c>
      <c r="L24">
        <v>9177</v>
      </c>
      <c r="M24">
        <v>8265353</v>
      </c>
    </row>
    <row r="25" spans="1:13" x14ac:dyDescent="0.3">
      <c r="A25" s="4" t="s">
        <v>22</v>
      </c>
      <c r="B25" s="4" t="s">
        <v>34</v>
      </c>
      <c r="C25" s="4">
        <v>34</v>
      </c>
      <c r="D25" s="6">
        <v>316205</v>
      </c>
      <c r="G25" t="s">
        <v>26</v>
      </c>
      <c r="H25">
        <v>5971</v>
      </c>
      <c r="I25">
        <v>4172251</v>
      </c>
      <c r="J25">
        <v>3501</v>
      </c>
      <c r="K25">
        <v>3228750</v>
      </c>
      <c r="L25">
        <v>9472</v>
      </c>
      <c r="M25">
        <v>7401001</v>
      </c>
    </row>
    <row r="26" spans="1:13" x14ac:dyDescent="0.3">
      <c r="A26" s="4" t="s">
        <v>25</v>
      </c>
      <c r="B26" s="4" t="s">
        <v>34</v>
      </c>
      <c r="C26" s="4">
        <v>674</v>
      </c>
      <c r="D26" s="6">
        <v>250842</v>
      </c>
      <c r="G26" t="s">
        <v>24</v>
      </c>
      <c r="H26">
        <v>3466</v>
      </c>
      <c r="I26">
        <v>4368524</v>
      </c>
      <c r="J26">
        <v>2280</v>
      </c>
      <c r="K26">
        <v>2244114</v>
      </c>
      <c r="L26">
        <v>5746</v>
      </c>
      <c r="M26">
        <v>6612638</v>
      </c>
    </row>
    <row r="27" spans="1:13" x14ac:dyDescent="0.3">
      <c r="A27" s="4" t="s">
        <v>20</v>
      </c>
      <c r="B27" s="4" t="s">
        <v>36</v>
      </c>
      <c r="C27" s="4">
        <v>434</v>
      </c>
      <c r="D27" s="6">
        <v>736614</v>
      </c>
      <c r="G27" t="s">
        <v>22</v>
      </c>
      <c r="H27">
        <v>6198</v>
      </c>
      <c r="I27">
        <v>6950623</v>
      </c>
      <c r="J27">
        <v>863</v>
      </c>
      <c r="K27">
        <v>340951</v>
      </c>
      <c r="L27">
        <v>7061</v>
      </c>
      <c r="M27">
        <v>7291574</v>
      </c>
    </row>
    <row r="28" spans="1:13" x14ac:dyDescent="0.3">
      <c r="A28" s="4" t="s">
        <v>23</v>
      </c>
      <c r="B28" s="4" t="s">
        <v>34</v>
      </c>
      <c r="C28" s="4">
        <v>190</v>
      </c>
      <c r="D28" s="6">
        <v>459502</v>
      </c>
      <c r="G28" t="s">
        <v>41</v>
      </c>
      <c r="H28">
        <v>55520</v>
      </c>
      <c r="I28">
        <v>49327997</v>
      </c>
      <c r="J28">
        <v>16609</v>
      </c>
      <c r="K28">
        <v>17669106</v>
      </c>
      <c r="L28">
        <v>72129</v>
      </c>
      <c r="M28">
        <v>66997103</v>
      </c>
    </row>
    <row r="29" spans="1:13" x14ac:dyDescent="0.3">
      <c r="A29" s="4" t="s">
        <v>27</v>
      </c>
      <c r="B29" s="4" t="s">
        <v>34</v>
      </c>
      <c r="C29" s="4">
        <v>484</v>
      </c>
      <c r="D29" s="6">
        <v>947110</v>
      </c>
    </row>
    <row r="30" spans="1:13" x14ac:dyDescent="0.3">
      <c r="A30" s="4" t="s">
        <v>21</v>
      </c>
      <c r="B30" s="4" t="s">
        <v>34</v>
      </c>
      <c r="C30" s="4">
        <v>835</v>
      </c>
      <c r="D30" s="6">
        <v>351515</v>
      </c>
      <c r="H30" s="16" t="s">
        <v>111</v>
      </c>
    </row>
    <row r="31" spans="1:13" x14ac:dyDescent="0.3">
      <c r="A31" s="4" t="s">
        <v>28</v>
      </c>
      <c r="B31" s="4" t="s">
        <v>34</v>
      </c>
      <c r="C31" s="4">
        <v>671</v>
      </c>
      <c r="D31" s="6">
        <v>512866</v>
      </c>
      <c r="H31" t="s">
        <v>34</v>
      </c>
      <c r="J31" t="s">
        <v>36</v>
      </c>
      <c r="L31" t="s">
        <v>107</v>
      </c>
      <c r="M31" t="s">
        <v>109</v>
      </c>
    </row>
    <row r="32" spans="1:13" x14ac:dyDescent="0.3">
      <c r="A32" s="4" t="s">
        <v>26</v>
      </c>
      <c r="B32" s="4" t="s">
        <v>34</v>
      </c>
      <c r="C32" s="4">
        <v>670</v>
      </c>
      <c r="D32" s="6">
        <v>36821</v>
      </c>
      <c r="G32" s="16" t="s">
        <v>35</v>
      </c>
      <c r="H32" t="s">
        <v>106</v>
      </c>
      <c r="I32" t="s">
        <v>110</v>
      </c>
      <c r="J32" t="s">
        <v>106</v>
      </c>
      <c r="K32" t="s">
        <v>110</v>
      </c>
    </row>
    <row r="33" spans="1:13" x14ac:dyDescent="0.3">
      <c r="A33" s="4" t="s">
        <v>24</v>
      </c>
      <c r="B33" s="4" t="s">
        <v>36</v>
      </c>
      <c r="C33" s="4">
        <v>47</v>
      </c>
      <c r="D33" s="6">
        <v>521755</v>
      </c>
      <c r="G33" s="25" t="s">
        <v>25</v>
      </c>
      <c r="H33" s="24">
        <v>6650</v>
      </c>
      <c r="I33" s="26">
        <v>3100906</v>
      </c>
      <c r="J33" s="24">
        <v>2079</v>
      </c>
      <c r="K33" s="26">
        <v>1481485</v>
      </c>
      <c r="L33" s="24">
        <v>8729</v>
      </c>
      <c r="M33" s="26">
        <v>4582391</v>
      </c>
    </row>
    <row r="34" spans="1:13" x14ac:dyDescent="0.3">
      <c r="A34" s="4" t="s">
        <v>22</v>
      </c>
      <c r="B34" s="4" t="s">
        <v>34</v>
      </c>
      <c r="C34" s="4">
        <v>640</v>
      </c>
      <c r="D34" s="6">
        <v>625942</v>
      </c>
      <c r="G34" s="25" t="s">
        <v>20</v>
      </c>
      <c r="H34" s="24">
        <v>6067</v>
      </c>
      <c r="I34" s="26">
        <v>6935323</v>
      </c>
      <c r="J34" s="24">
        <v>2225</v>
      </c>
      <c r="K34" s="26">
        <v>2571125</v>
      </c>
      <c r="L34" s="24">
        <v>8292</v>
      </c>
      <c r="M34" s="26">
        <v>9506448</v>
      </c>
    </row>
    <row r="35" spans="1:13" x14ac:dyDescent="0.3">
      <c r="A35" s="4" t="s">
        <v>25</v>
      </c>
      <c r="B35" s="4" t="s">
        <v>34</v>
      </c>
      <c r="C35" s="4">
        <v>712</v>
      </c>
      <c r="D35" s="6">
        <v>96076</v>
      </c>
      <c r="G35" s="25" t="s">
        <v>23</v>
      </c>
      <c r="H35" s="24">
        <v>4377</v>
      </c>
      <c r="I35" s="26">
        <v>4695387</v>
      </c>
      <c r="J35" s="24">
        <v>2475</v>
      </c>
      <c r="K35" s="26">
        <v>3232888</v>
      </c>
      <c r="L35" s="24">
        <v>6852</v>
      </c>
      <c r="M35" s="26">
        <v>7928275</v>
      </c>
    </row>
    <row r="36" spans="1:13" x14ac:dyDescent="0.3">
      <c r="A36" s="4" t="s">
        <v>20</v>
      </c>
      <c r="B36" s="4" t="s">
        <v>34</v>
      </c>
      <c r="C36" s="4">
        <v>631</v>
      </c>
      <c r="D36" s="6">
        <v>966670</v>
      </c>
      <c r="G36" s="25" t="s">
        <v>27</v>
      </c>
      <c r="H36" s="24">
        <v>8980</v>
      </c>
      <c r="I36" s="26">
        <v>6458052</v>
      </c>
      <c r="J36" s="24">
        <v>569</v>
      </c>
      <c r="K36" s="26">
        <v>1131179</v>
      </c>
      <c r="L36" s="24">
        <v>9549</v>
      </c>
      <c r="M36" s="26">
        <v>7589231</v>
      </c>
    </row>
    <row r="37" spans="1:13" x14ac:dyDescent="0.3">
      <c r="A37" s="4" t="s">
        <v>23</v>
      </c>
      <c r="B37" s="4" t="s">
        <v>36</v>
      </c>
      <c r="C37" s="4">
        <v>269</v>
      </c>
      <c r="D37" s="6">
        <v>144780</v>
      </c>
      <c r="G37" s="25" t="s">
        <v>21</v>
      </c>
      <c r="H37" s="24">
        <v>5509</v>
      </c>
      <c r="I37" s="26">
        <v>4619672</v>
      </c>
      <c r="J37" s="24">
        <v>1742</v>
      </c>
      <c r="K37" s="26">
        <v>3200520</v>
      </c>
      <c r="L37" s="24">
        <v>7251</v>
      </c>
      <c r="M37" s="26">
        <v>7820192</v>
      </c>
    </row>
    <row r="38" spans="1:13" x14ac:dyDescent="0.3">
      <c r="A38" s="4" t="s">
        <v>27</v>
      </c>
      <c r="B38" s="4" t="s">
        <v>34</v>
      </c>
      <c r="C38" s="4">
        <v>643</v>
      </c>
      <c r="D38" s="6">
        <v>23237</v>
      </c>
      <c r="G38" s="25" t="s">
        <v>28</v>
      </c>
      <c r="H38" s="24">
        <v>8302</v>
      </c>
      <c r="I38" s="26">
        <v>8027259</v>
      </c>
      <c r="J38" s="24">
        <v>875</v>
      </c>
      <c r="K38" s="26">
        <v>238094</v>
      </c>
      <c r="L38" s="24">
        <v>9177</v>
      </c>
      <c r="M38" s="26">
        <v>8265353</v>
      </c>
    </row>
    <row r="39" spans="1:13" x14ac:dyDescent="0.3">
      <c r="A39" s="4" t="s">
        <v>21</v>
      </c>
      <c r="B39" s="4" t="s">
        <v>34</v>
      </c>
      <c r="C39" s="4">
        <v>463</v>
      </c>
      <c r="D39" s="6">
        <v>408689</v>
      </c>
      <c r="G39" s="25" t="s">
        <v>26</v>
      </c>
      <c r="H39" s="24">
        <v>5971</v>
      </c>
      <c r="I39" s="26">
        <v>4172251</v>
      </c>
      <c r="J39" s="24">
        <v>3501</v>
      </c>
      <c r="K39" s="26">
        <v>3228750</v>
      </c>
      <c r="L39" s="24">
        <v>9472</v>
      </c>
      <c r="M39" s="26">
        <v>7401001</v>
      </c>
    </row>
    <row r="40" spans="1:13" x14ac:dyDescent="0.3">
      <c r="A40" s="4" t="s">
        <v>28</v>
      </c>
      <c r="B40" s="4" t="s">
        <v>34</v>
      </c>
      <c r="C40" s="4">
        <v>627</v>
      </c>
      <c r="D40" s="6">
        <v>28096</v>
      </c>
      <c r="G40" s="25" t="s">
        <v>24</v>
      </c>
      <c r="H40" s="24">
        <v>3466</v>
      </c>
      <c r="I40" s="26">
        <v>4368524</v>
      </c>
      <c r="J40" s="24">
        <v>2280</v>
      </c>
      <c r="K40" s="26">
        <v>2244114</v>
      </c>
      <c r="L40" s="24">
        <v>5746</v>
      </c>
      <c r="M40" s="26">
        <v>6612638</v>
      </c>
    </row>
    <row r="41" spans="1:13" x14ac:dyDescent="0.3">
      <c r="A41" s="4" t="s">
        <v>26</v>
      </c>
      <c r="B41" s="4" t="s">
        <v>36</v>
      </c>
      <c r="C41" s="4">
        <v>979</v>
      </c>
      <c r="D41" s="6">
        <v>460133</v>
      </c>
      <c r="G41" s="25" t="s">
        <v>22</v>
      </c>
      <c r="H41" s="24">
        <v>6198</v>
      </c>
      <c r="I41" s="26">
        <v>6950623</v>
      </c>
      <c r="J41" s="24">
        <v>863</v>
      </c>
      <c r="K41" s="26">
        <v>340951</v>
      </c>
      <c r="L41" s="24">
        <v>7061</v>
      </c>
      <c r="M41" s="26">
        <v>7291574</v>
      </c>
    </row>
    <row r="42" spans="1:13" x14ac:dyDescent="0.3">
      <c r="A42" s="4" t="s">
        <v>24</v>
      </c>
      <c r="B42" s="4" t="s">
        <v>34</v>
      </c>
      <c r="C42" s="4">
        <v>131</v>
      </c>
      <c r="D42" s="6">
        <v>847680</v>
      </c>
      <c r="G42" s="25" t="s">
        <v>41</v>
      </c>
      <c r="H42" s="24">
        <v>55520</v>
      </c>
      <c r="I42" s="26">
        <v>49327997</v>
      </c>
      <c r="J42" s="24">
        <v>16609</v>
      </c>
      <c r="K42" s="26">
        <v>17669106</v>
      </c>
      <c r="L42" s="24">
        <v>72129</v>
      </c>
      <c r="M42" s="26">
        <v>66997103</v>
      </c>
    </row>
    <row r="43" spans="1:13" x14ac:dyDescent="0.3">
      <c r="A43" s="4" t="s">
        <v>22</v>
      </c>
      <c r="B43" s="4" t="s">
        <v>34</v>
      </c>
      <c r="C43" s="4">
        <v>312</v>
      </c>
      <c r="D43" s="6">
        <v>511225</v>
      </c>
    </row>
    <row r="44" spans="1:13" x14ac:dyDescent="0.3">
      <c r="A44" s="4" t="s">
        <v>25</v>
      </c>
      <c r="B44" s="4" t="s">
        <v>34</v>
      </c>
      <c r="C44" s="4">
        <v>834</v>
      </c>
      <c r="D44" s="6">
        <v>95870</v>
      </c>
    </row>
    <row r="45" spans="1:13" x14ac:dyDescent="0.3">
      <c r="A45" s="4" t="s">
        <v>20</v>
      </c>
      <c r="B45" s="4" t="s">
        <v>34</v>
      </c>
      <c r="C45" s="4">
        <v>724</v>
      </c>
      <c r="D45" s="6">
        <v>679534</v>
      </c>
    </row>
    <row r="46" spans="1:13" x14ac:dyDescent="0.3">
      <c r="A46" s="4" t="s">
        <v>23</v>
      </c>
      <c r="B46" s="4" t="s">
        <v>36</v>
      </c>
      <c r="C46" s="4">
        <v>536</v>
      </c>
      <c r="D46" s="6">
        <v>834730</v>
      </c>
    </row>
    <row r="47" spans="1:13" x14ac:dyDescent="0.3">
      <c r="A47" s="4" t="s">
        <v>27</v>
      </c>
      <c r="B47" s="4" t="s">
        <v>34</v>
      </c>
      <c r="C47" s="4">
        <v>696</v>
      </c>
      <c r="D47" s="6">
        <v>950398</v>
      </c>
    </row>
    <row r="48" spans="1:13" x14ac:dyDescent="0.3">
      <c r="A48" s="4" t="s">
        <v>21</v>
      </c>
      <c r="B48" s="4" t="s">
        <v>34</v>
      </c>
      <c r="C48" s="4">
        <v>56</v>
      </c>
      <c r="D48" s="6">
        <v>144294</v>
      </c>
    </row>
    <row r="49" spans="1:4" x14ac:dyDescent="0.3">
      <c r="A49" s="4" t="s">
        <v>28</v>
      </c>
      <c r="B49" s="4" t="s">
        <v>34</v>
      </c>
      <c r="C49" s="4">
        <v>875</v>
      </c>
      <c r="D49" s="6">
        <v>141941</v>
      </c>
    </row>
    <row r="50" spans="1:4" x14ac:dyDescent="0.3">
      <c r="A50" s="4" t="s">
        <v>26</v>
      </c>
      <c r="B50" s="4" t="s">
        <v>36</v>
      </c>
      <c r="C50" s="4">
        <v>980</v>
      </c>
      <c r="D50" s="6">
        <v>591531</v>
      </c>
    </row>
    <row r="51" spans="1:4" x14ac:dyDescent="0.3">
      <c r="A51" s="4" t="s">
        <v>24</v>
      </c>
      <c r="B51" s="4" t="s">
        <v>34</v>
      </c>
      <c r="C51" s="4">
        <v>8</v>
      </c>
      <c r="D51" s="6">
        <v>201227</v>
      </c>
    </row>
    <row r="52" spans="1:4" x14ac:dyDescent="0.3">
      <c r="A52" s="4" t="s">
        <v>22</v>
      </c>
      <c r="B52" s="4" t="s">
        <v>34</v>
      </c>
      <c r="C52" s="4">
        <v>689</v>
      </c>
      <c r="D52" s="6">
        <v>768703</v>
      </c>
    </row>
    <row r="53" spans="1:4" x14ac:dyDescent="0.3">
      <c r="A53" s="4" t="s">
        <v>25</v>
      </c>
      <c r="B53" s="4" t="s">
        <v>34</v>
      </c>
      <c r="C53" s="4">
        <v>647</v>
      </c>
      <c r="D53" s="6">
        <v>260790</v>
      </c>
    </row>
    <row r="54" spans="1:4" x14ac:dyDescent="0.3">
      <c r="A54" s="4" t="s">
        <v>20</v>
      </c>
      <c r="B54" s="4" t="s">
        <v>36</v>
      </c>
      <c r="C54" s="4">
        <v>155</v>
      </c>
      <c r="D54" s="6">
        <v>194371</v>
      </c>
    </row>
    <row r="55" spans="1:4" x14ac:dyDescent="0.3">
      <c r="A55" s="4" t="s">
        <v>23</v>
      </c>
      <c r="B55" s="4" t="s">
        <v>34</v>
      </c>
      <c r="C55" s="4">
        <v>340</v>
      </c>
      <c r="D55" s="6">
        <v>672395</v>
      </c>
    </row>
    <row r="56" spans="1:4" x14ac:dyDescent="0.3">
      <c r="A56" s="4" t="s">
        <v>27</v>
      </c>
      <c r="B56" s="4" t="s">
        <v>34</v>
      </c>
      <c r="C56" s="4">
        <v>829</v>
      </c>
      <c r="D56" s="6">
        <v>725416</v>
      </c>
    </row>
    <row r="57" spans="1:4" x14ac:dyDescent="0.3">
      <c r="A57" s="4" t="s">
        <v>21</v>
      </c>
      <c r="B57" s="4" t="s">
        <v>36</v>
      </c>
      <c r="C57" s="4">
        <v>114</v>
      </c>
      <c r="D57" s="6">
        <v>998663</v>
      </c>
    </row>
    <row r="58" spans="1:4" x14ac:dyDescent="0.3">
      <c r="A58" s="4" t="s">
        <v>28</v>
      </c>
      <c r="B58" s="4" t="s">
        <v>34</v>
      </c>
      <c r="C58" s="4">
        <v>900</v>
      </c>
      <c r="D58" s="6">
        <v>972103</v>
      </c>
    </row>
    <row r="59" spans="1:4" x14ac:dyDescent="0.3">
      <c r="A59" s="4" t="s">
        <v>26</v>
      </c>
      <c r="B59" s="4" t="s">
        <v>34</v>
      </c>
      <c r="C59" s="4">
        <v>230</v>
      </c>
      <c r="D59" s="6">
        <v>782450</v>
      </c>
    </row>
    <row r="60" spans="1:4" x14ac:dyDescent="0.3">
      <c r="A60" s="4" t="s">
        <v>24</v>
      </c>
      <c r="B60" s="4" t="s">
        <v>36</v>
      </c>
      <c r="C60" s="4">
        <v>460</v>
      </c>
      <c r="D60" s="6">
        <v>143820</v>
      </c>
    </row>
    <row r="61" spans="1:4" x14ac:dyDescent="0.3">
      <c r="A61" s="4" t="s">
        <v>22</v>
      </c>
      <c r="B61" s="4" t="s">
        <v>34</v>
      </c>
      <c r="C61" s="4">
        <v>218</v>
      </c>
      <c r="D61" s="6">
        <v>899028</v>
      </c>
    </row>
    <row r="62" spans="1:4" x14ac:dyDescent="0.3">
      <c r="A62" s="4" t="s">
        <v>20</v>
      </c>
      <c r="B62" s="4" t="s">
        <v>34</v>
      </c>
      <c r="C62" s="4">
        <v>800</v>
      </c>
      <c r="D62" s="6">
        <v>278438</v>
      </c>
    </row>
    <row r="63" spans="1:4" x14ac:dyDescent="0.3">
      <c r="A63" s="4" t="s">
        <v>23</v>
      </c>
      <c r="B63" s="4" t="s">
        <v>36</v>
      </c>
      <c r="C63" s="4">
        <v>478</v>
      </c>
      <c r="D63" s="6">
        <v>693809</v>
      </c>
    </row>
    <row r="64" spans="1:4" x14ac:dyDescent="0.3">
      <c r="A64" s="4" t="s">
        <v>27</v>
      </c>
      <c r="B64" s="4" t="s">
        <v>34</v>
      </c>
      <c r="C64" s="4">
        <v>405</v>
      </c>
      <c r="D64" s="6">
        <v>449841</v>
      </c>
    </row>
    <row r="65" spans="1:4" x14ac:dyDescent="0.3">
      <c r="A65" s="4" t="s">
        <v>21</v>
      </c>
      <c r="B65" s="4" t="s">
        <v>34</v>
      </c>
      <c r="C65" s="4">
        <v>231</v>
      </c>
      <c r="D65" s="6">
        <v>511539</v>
      </c>
    </row>
    <row r="66" spans="1:4" x14ac:dyDescent="0.3">
      <c r="A66" s="4" t="s">
        <v>28</v>
      </c>
      <c r="B66" s="4" t="s">
        <v>34</v>
      </c>
      <c r="C66" s="4">
        <v>989</v>
      </c>
      <c r="D66" s="6">
        <v>940289</v>
      </c>
    </row>
    <row r="67" spans="1:4" x14ac:dyDescent="0.3">
      <c r="A67" s="4" t="s">
        <v>26</v>
      </c>
      <c r="B67" s="4" t="s">
        <v>36</v>
      </c>
      <c r="C67" s="4">
        <v>641</v>
      </c>
      <c r="D67" s="6">
        <v>844651</v>
      </c>
    </row>
    <row r="68" spans="1:4" x14ac:dyDescent="0.3">
      <c r="A68" s="4" t="s">
        <v>24</v>
      </c>
      <c r="B68" s="4" t="s">
        <v>34</v>
      </c>
      <c r="C68" s="4">
        <v>983</v>
      </c>
      <c r="D68" s="6">
        <v>373381</v>
      </c>
    </row>
    <row r="69" spans="1:4" x14ac:dyDescent="0.3">
      <c r="A69" s="4" t="s">
        <v>22</v>
      </c>
      <c r="B69" s="4" t="s">
        <v>34</v>
      </c>
      <c r="C69" s="4">
        <v>295</v>
      </c>
      <c r="D69" s="6">
        <v>48666</v>
      </c>
    </row>
    <row r="70" spans="1:4" x14ac:dyDescent="0.3">
      <c r="A70" s="4" t="s">
        <v>25</v>
      </c>
      <c r="B70" s="4" t="s">
        <v>36</v>
      </c>
      <c r="C70" s="4">
        <v>606</v>
      </c>
      <c r="D70" s="6">
        <v>93314</v>
      </c>
    </row>
    <row r="71" spans="1:4" x14ac:dyDescent="0.3">
      <c r="A71" s="4" t="s">
        <v>20</v>
      </c>
      <c r="B71" s="4" t="s">
        <v>34</v>
      </c>
      <c r="C71" s="4">
        <v>886</v>
      </c>
      <c r="D71" s="6">
        <v>941206</v>
      </c>
    </row>
    <row r="72" spans="1:4" x14ac:dyDescent="0.3">
      <c r="A72" s="4" t="s">
        <v>23</v>
      </c>
      <c r="B72" s="4" t="s">
        <v>34</v>
      </c>
      <c r="C72" s="4">
        <v>440</v>
      </c>
      <c r="D72" s="6">
        <v>798904</v>
      </c>
    </row>
    <row r="73" spans="1:4" x14ac:dyDescent="0.3">
      <c r="A73" s="4" t="s">
        <v>27</v>
      </c>
      <c r="B73" s="4" t="s">
        <v>34</v>
      </c>
      <c r="C73" s="4">
        <v>533</v>
      </c>
      <c r="D73" s="6">
        <v>734153</v>
      </c>
    </row>
    <row r="74" spans="1:4" x14ac:dyDescent="0.3">
      <c r="A74" s="4" t="s">
        <v>21</v>
      </c>
      <c r="B74" s="4" t="s">
        <v>36</v>
      </c>
      <c r="C74" s="4">
        <v>165</v>
      </c>
      <c r="D74" s="6">
        <v>733303</v>
      </c>
    </row>
    <row r="75" spans="1:4" x14ac:dyDescent="0.3">
      <c r="A75" s="4" t="s">
        <v>28</v>
      </c>
      <c r="B75" s="4" t="s">
        <v>34</v>
      </c>
      <c r="C75" s="4">
        <v>544</v>
      </c>
      <c r="D75" s="6">
        <v>400546</v>
      </c>
    </row>
    <row r="76" spans="1:4" x14ac:dyDescent="0.3">
      <c r="A76" s="4" t="s">
        <v>26</v>
      </c>
      <c r="B76" s="4" t="s">
        <v>34</v>
      </c>
      <c r="C76" s="4">
        <v>590</v>
      </c>
      <c r="D76" s="6">
        <v>216818</v>
      </c>
    </row>
    <row r="77" spans="1:4" x14ac:dyDescent="0.3">
      <c r="A77" s="4" t="s">
        <v>24</v>
      </c>
      <c r="B77" s="4" t="s">
        <v>36</v>
      </c>
      <c r="C77" s="4">
        <v>347</v>
      </c>
      <c r="D77" s="6">
        <v>610996</v>
      </c>
    </row>
    <row r="78" spans="1:4" x14ac:dyDescent="0.3">
      <c r="A78" s="4" t="s">
        <v>22</v>
      </c>
      <c r="B78" s="4" t="s">
        <v>34</v>
      </c>
      <c r="C78" s="4">
        <v>860</v>
      </c>
      <c r="D78" s="6">
        <v>834133</v>
      </c>
    </row>
    <row r="79" spans="1:4" x14ac:dyDescent="0.3">
      <c r="A79" s="4" t="s">
        <v>25</v>
      </c>
      <c r="B79" s="4" t="s">
        <v>34</v>
      </c>
      <c r="C79" s="4">
        <v>985</v>
      </c>
      <c r="D79" s="6">
        <v>235945</v>
      </c>
    </row>
    <row r="80" spans="1:4" x14ac:dyDescent="0.3">
      <c r="A80" s="4" t="s">
        <v>20</v>
      </c>
      <c r="B80" s="4" t="s">
        <v>34</v>
      </c>
      <c r="C80" s="4">
        <v>177</v>
      </c>
      <c r="D80" s="6">
        <v>530168</v>
      </c>
    </row>
    <row r="81" spans="1:4" x14ac:dyDescent="0.3">
      <c r="A81" s="4" t="s">
        <v>23</v>
      </c>
      <c r="B81" s="4" t="s">
        <v>34</v>
      </c>
      <c r="C81" s="4">
        <v>198</v>
      </c>
      <c r="D81" s="6">
        <v>381107</v>
      </c>
    </row>
    <row r="82" spans="1:4" x14ac:dyDescent="0.3">
      <c r="A82" s="4" t="s">
        <v>27</v>
      </c>
      <c r="B82" s="4" t="s">
        <v>36</v>
      </c>
      <c r="C82" s="4">
        <v>222</v>
      </c>
      <c r="D82" s="6">
        <v>520183</v>
      </c>
    </row>
    <row r="83" spans="1:4" x14ac:dyDescent="0.3">
      <c r="A83" s="4" t="s">
        <v>21</v>
      </c>
      <c r="B83" s="4" t="s">
        <v>34</v>
      </c>
      <c r="C83" s="4">
        <v>999</v>
      </c>
      <c r="D83" s="6">
        <v>482789</v>
      </c>
    </row>
    <row r="84" spans="1:4" x14ac:dyDescent="0.3">
      <c r="A84" s="4" t="s">
        <v>28</v>
      </c>
      <c r="B84" s="4" t="s">
        <v>34</v>
      </c>
      <c r="C84" s="4">
        <v>625</v>
      </c>
      <c r="D84" s="6">
        <v>686068</v>
      </c>
    </row>
    <row r="85" spans="1:4" x14ac:dyDescent="0.3">
      <c r="A85" s="4" t="s">
        <v>26</v>
      </c>
      <c r="B85" s="4" t="s">
        <v>34</v>
      </c>
      <c r="C85" s="4">
        <v>800</v>
      </c>
      <c r="D85" s="6">
        <v>278438</v>
      </c>
    </row>
    <row r="86" spans="1:4" x14ac:dyDescent="0.3">
      <c r="A86" s="4" t="s">
        <v>24</v>
      </c>
      <c r="B86" s="4" t="s">
        <v>36</v>
      </c>
      <c r="C86" s="4">
        <v>478</v>
      </c>
      <c r="D86" s="6">
        <v>693809</v>
      </c>
    </row>
    <row r="87" spans="1:4" x14ac:dyDescent="0.3">
      <c r="A87" s="4" t="s">
        <v>22</v>
      </c>
      <c r="B87" s="4" t="s">
        <v>34</v>
      </c>
      <c r="C87" s="4">
        <v>405</v>
      </c>
      <c r="D87" s="6">
        <v>449841</v>
      </c>
    </row>
    <row r="88" spans="1:4" x14ac:dyDescent="0.3">
      <c r="A88" s="4" t="s">
        <v>25</v>
      </c>
      <c r="B88" s="4" t="s">
        <v>34</v>
      </c>
      <c r="C88" s="4">
        <v>231</v>
      </c>
      <c r="D88" s="6">
        <v>511539</v>
      </c>
    </row>
    <row r="89" spans="1:4" x14ac:dyDescent="0.3">
      <c r="A89" s="4" t="s">
        <v>20</v>
      </c>
      <c r="B89" s="4" t="s">
        <v>34</v>
      </c>
      <c r="C89" s="4">
        <v>989</v>
      </c>
      <c r="D89" s="6">
        <v>940289</v>
      </c>
    </row>
    <row r="90" spans="1:4" x14ac:dyDescent="0.3">
      <c r="A90" s="4" t="s">
        <v>23</v>
      </c>
      <c r="B90" s="4" t="s">
        <v>36</v>
      </c>
      <c r="C90" s="4">
        <v>641</v>
      </c>
      <c r="D90" s="6">
        <v>844651</v>
      </c>
    </row>
    <row r="91" spans="1:4" x14ac:dyDescent="0.3">
      <c r="A91" s="4" t="s">
        <v>27</v>
      </c>
      <c r="B91" s="4" t="s">
        <v>34</v>
      </c>
      <c r="C91" s="4">
        <v>983</v>
      </c>
      <c r="D91" s="6">
        <v>373381</v>
      </c>
    </row>
    <row r="92" spans="1:4" x14ac:dyDescent="0.3">
      <c r="A92" s="4" t="s">
        <v>21</v>
      </c>
      <c r="B92" s="4" t="s">
        <v>34</v>
      </c>
      <c r="C92" s="4">
        <v>295</v>
      </c>
      <c r="D92" s="6">
        <v>48666</v>
      </c>
    </row>
    <row r="93" spans="1:4" x14ac:dyDescent="0.3">
      <c r="A93" s="4" t="s">
        <v>28</v>
      </c>
      <c r="B93" s="4" t="s">
        <v>36</v>
      </c>
      <c r="C93" s="4">
        <v>606</v>
      </c>
      <c r="D93" s="6">
        <v>93314</v>
      </c>
    </row>
    <row r="94" spans="1:4" x14ac:dyDescent="0.3">
      <c r="A94" s="4" t="s">
        <v>26</v>
      </c>
      <c r="B94" s="4" t="s">
        <v>34</v>
      </c>
      <c r="C94" s="4">
        <v>886</v>
      </c>
      <c r="D94" s="6">
        <v>941206</v>
      </c>
    </row>
    <row r="95" spans="1:4" x14ac:dyDescent="0.3">
      <c r="A95" s="4" t="s">
        <v>24</v>
      </c>
      <c r="B95" s="4" t="s">
        <v>34</v>
      </c>
      <c r="C95" s="4">
        <v>440</v>
      </c>
      <c r="D95" s="6">
        <v>798904</v>
      </c>
    </row>
    <row r="96" spans="1:4" x14ac:dyDescent="0.3">
      <c r="A96" s="4" t="s">
        <v>22</v>
      </c>
      <c r="B96" s="4" t="s">
        <v>34</v>
      </c>
      <c r="C96" s="4">
        <v>533</v>
      </c>
      <c r="D96" s="6">
        <v>734153</v>
      </c>
    </row>
    <row r="97" spans="1:4" x14ac:dyDescent="0.3">
      <c r="A97" s="4" t="s">
        <v>25</v>
      </c>
      <c r="B97" s="4" t="s">
        <v>36</v>
      </c>
      <c r="C97" s="4">
        <v>165</v>
      </c>
      <c r="D97" s="6">
        <v>733303</v>
      </c>
    </row>
    <row r="98" spans="1:4" x14ac:dyDescent="0.3">
      <c r="A98" s="4" t="s">
        <v>20</v>
      </c>
      <c r="B98" s="4" t="s">
        <v>34</v>
      </c>
      <c r="C98" s="4">
        <v>544</v>
      </c>
      <c r="D98" s="6">
        <v>400546</v>
      </c>
    </row>
    <row r="99" spans="1:4" x14ac:dyDescent="0.3">
      <c r="A99" s="4" t="s">
        <v>23</v>
      </c>
      <c r="B99" s="4" t="s">
        <v>34</v>
      </c>
      <c r="C99" s="4">
        <v>590</v>
      </c>
      <c r="D99" s="6">
        <v>216818</v>
      </c>
    </row>
    <row r="100" spans="1:4" x14ac:dyDescent="0.3">
      <c r="A100" s="4" t="s">
        <v>27</v>
      </c>
      <c r="B100" s="4" t="s">
        <v>36</v>
      </c>
      <c r="C100" s="4">
        <v>347</v>
      </c>
      <c r="D100" s="6">
        <v>610996</v>
      </c>
    </row>
    <row r="101" spans="1:4" x14ac:dyDescent="0.3">
      <c r="A101" s="4" t="s">
        <v>28</v>
      </c>
      <c r="B101" s="4" t="s">
        <v>34</v>
      </c>
      <c r="C101" s="4">
        <v>860</v>
      </c>
      <c r="D101" s="6">
        <v>834133</v>
      </c>
    </row>
    <row r="102" spans="1:4" x14ac:dyDescent="0.3">
      <c r="A102" s="4" t="s">
        <v>26</v>
      </c>
      <c r="B102" s="4" t="s">
        <v>34</v>
      </c>
      <c r="C102" s="4">
        <v>985</v>
      </c>
      <c r="D102" s="6">
        <v>235945</v>
      </c>
    </row>
    <row r="103" spans="1:4" x14ac:dyDescent="0.3">
      <c r="A103" s="4" t="s">
        <v>24</v>
      </c>
      <c r="B103" s="4" t="s">
        <v>34</v>
      </c>
      <c r="C103" s="4">
        <v>132</v>
      </c>
      <c r="D103" s="6">
        <v>25431</v>
      </c>
    </row>
    <row r="104" spans="1:4" x14ac:dyDescent="0.3">
      <c r="A104" s="4" t="s">
        <v>22</v>
      </c>
      <c r="B104" s="4" t="s">
        <v>36</v>
      </c>
      <c r="C104" s="4">
        <v>863</v>
      </c>
      <c r="D104" s="6">
        <v>340951</v>
      </c>
    </row>
    <row r="105" spans="1:4" x14ac:dyDescent="0.3">
      <c r="A105" s="4" t="s">
        <v>25</v>
      </c>
      <c r="B105" s="4" t="s">
        <v>34</v>
      </c>
      <c r="C105" s="4">
        <v>731</v>
      </c>
      <c r="D105" s="6">
        <v>142566</v>
      </c>
    </row>
    <row r="106" spans="1:4" x14ac:dyDescent="0.3">
      <c r="A106" s="4" t="s">
        <v>20</v>
      </c>
      <c r="B106" s="4" t="s">
        <v>34</v>
      </c>
      <c r="C106" s="4">
        <v>360</v>
      </c>
      <c r="D106" s="6">
        <v>609627</v>
      </c>
    </row>
    <row r="107" spans="1:4" x14ac:dyDescent="0.3">
      <c r="A107" s="4" t="s">
        <v>23</v>
      </c>
      <c r="B107" s="4" t="s">
        <v>36</v>
      </c>
      <c r="C107" s="4">
        <v>329</v>
      </c>
      <c r="D107" s="6">
        <v>194735</v>
      </c>
    </row>
    <row r="108" spans="1:4" x14ac:dyDescent="0.3">
      <c r="A108" s="4" t="s">
        <v>27</v>
      </c>
      <c r="B108" s="4" t="s">
        <v>34</v>
      </c>
      <c r="C108" s="4">
        <v>627</v>
      </c>
      <c r="D108" s="6">
        <v>360058</v>
      </c>
    </row>
    <row r="109" spans="1:4" x14ac:dyDescent="0.3">
      <c r="A109" s="4" t="s">
        <v>21</v>
      </c>
      <c r="B109" s="4" t="s">
        <v>34</v>
      </c>
      <c r="C109" s="4">
        <v>650</v>
      </c>
      <c r="D109" s="6">
        <v>339908</v>
      </c>
    </row>
    <row r="110" spans="1:4" x14ac:dyDescent="0.3">
      <c r="A110" s="4" t="s">
        <v>28</v>
      </c>
      <c r="B110" s="4" t="s">
        <v>34</v>
      </c>
      <c r="C110" s="4">
        <v>266</v>
      </c>
      <c r="D110" s="6">
        <v>920215</v>
      </c>
    </row>
    <row r="111" spans="1:4" x14ac:dyDescent="0.3">
      <c r="A111" s="4" t="s">
        <v>26</v>
      </c>
      <c r="B111" s="4" t="s">
        <v>36</v>
      </c>
      <c r="C111" s="4">
        <v>423</v>
      </c>
      <c r="D111" s="6">
        <v>638626</v>
      </c>
    </row>
    <row r="112" spans="1:4" x14ac:dyDescent="0.3">
      <c r="A112" s="4" t="s">
        <v>24</v>
      </c>
      <c r="B112" s="4" t="s">
        <v>34</v>
      </c>
      <c r="C112" s="4">
        <v>69</v>
      </c>
      <c r="D112" s="6">
        <v>911856</v>
      </c>
    </row>
    <row r="113" spans="1:4" x14ac:dyDescent="0.3">
      <c r="A113" s="4" t="s">
        <v>22</v>
      </c>
      <c r="B113" s="4" t="s">
        <v>34</v>
      </c>
      <c r="C113" s="4">
        <v>683</v>
      </c>
      <c r="D113" s="6">
        <v>710226</v>
      </c>
    </row>
    <row r="114" spans="1:4" x14ac:dyDescent="0.3">
      <c r="A114" s="4" t="s">
        <v>20</v>
      </c>
      <c r="B114" s="4" t="s">
        <v>36</v>
      </c>
      <c r="C114" s="4">
        <v>948</v>
      </c>
      <c r="D114" s="6">
        <v>273734</v>
      </c>
    </row>
    <row r="115" spans="1:4" x14ac:dyDescent="0.3">
      <c r="A115" s="4" t="s">
        <v>23</v>
      </c>
      <c r="B115" s="4" t="s">
        <v>34</v>
      </c>
      <c r="C115" s="4">
        <v>34</v>
      </c>
      <c r="D115" s="6">
        <v>316205</v>
      </c>
    </row>
    <row r="116" spans="1:4" x14ac:dyDescent="0.3">
      <c r="A116" s="4" t="s">
        <v>27</v>
      </c>
      <c r="B116" s="4" t="s">
        <v>34</v>
      </c>
      <c r="C116" s="4">
        <v>674</v>
      </c>
      <c r="D116" s="6">
        <v>250842</v>
      </c>
    </row>
    <row r="117" spans="1:4" x14ac:dyDescent="0.3">
      <c r="A117" s="4" t="s">
        <v>21</v>
      </c>
      <c r="B117" s="4" t="s">
        <v>36</v>
      </c>
      <c r="C117" s="4">
        <v>434</v>
      </c>
      <c r="D117" s="6">
        <v>736614</v>
      </c>
    </row>
    <row r="118" spans="1:4" x14ac:dyDescent="0.3">
      <c r="A118" s="4" t="s">
        <v>28</v>
      </c>
      <c r="B118" s="4" t="s">
        <v>34</v>
      </c>
      <c r="C118" s="4">
        <v>190</v>
      </c>
      <c r="D118" s="6">
        <v>459502</v>
      </c>
    </row>
    <row r="119" spans="1:4" x14ac:dyDescent="0.3">
      <c r="A119" s="4" t="s">
        <v>26</v>
      </c>
      <c r="B119" s="4" t="s">
        <v>34</v>
      </c>
      <c r="C119" s="4">
        <v>484</v>
      </c>
      <c r="D119" s="6">
        <v>947110</v>
      </c>
    </row>
    <row r="120" spans="1:4" x14ac:dyDescent="0.3">
      <c r="A120" s="4" t="s">
        <v>24</v>
      </c>
      <c r="B120" s="4" t="s">
        <v>34</v>
      </c>
      <c r="C120" s="4">
        <v>835</v>
      </c>
      <c r="D120" s="6">
        <v>351515</v>
      </c>
    </row>
    <row r="121" spans="1:4" x14ac:dyDescent="0.3">
      <c r="A121" s="4" t="s">
        <v>22</v>
      </c>
      <c r="B121" s="4" t="s">
        <v>34</v>
      </c>
      <c r="C121" s="4">
        <v>671</v>
      </c>
      <c r="D121" s="6">
        <v>512866</v>
      </c>
    </row>
    <row r="122" spans="1:4" x14ac:dyDescent="0.3">
      <c r="A122" s="4" t="s">
        <v>25</v>
      </c>
      <c r="B122" s="4" t="s">
        <v>34</v>
      </c>
      <c r="C122" s="4">
        <v>670</v>
      </c>
      <c r="D122" s="6">
        <v>36821</v>
      </c>
    </row>
    <row r="123" spans="1:4" x14ac:dyDescent="0.3">
      <c r="A123" s="4" t="s">
        <v>20</v>
      </c>
      <c r="B123" s="4" t="s">
        <v>36</v>
      </c>
      <c r="C123" s="4">
        <v>47</v>
      </c>
      <c r="D123" s="6">
        <v>521755</v>
      </c>
    </row>
    <row r="124" spans="1:4" x14ac:dyDescent="0.3">
      <c r="A124" s="4" t="s">
        <v>23</v>
      </c>
      <c r="B124" s="4" t="s">
        <v>34</v>
      </c>
      <c r="C124" s="4">
        <v>640</v>
      </c>
      <c r="D124" s="6">
        <v>625942</v>
      </c>
    </row>
    <row r="125" spans="1:4" x14ac:dyDescent="0.3">
      <c r="A125" s="4" t="s">
        <v>27</v>
      </c>
      <c r="B125" s="4" t="s">
        <v>34</v>
      </c>
      <c r="C125" s="4">
        <v>712</v>
      </c>
      <c r="D125" s="6">
        <v>96076</v>
      </c>
    </row>
    <row r="126" spans="1:4" x14ac:dyDescent="0.3">
      <c r="A126" s="4" t="s">
        <v>21</v>
      </c>
      <c r="B126" s="4" t="s">
        <v>34</v>
      </c>
      <c r="C126" s="4">
        <v>631</v>
      </c>
      <c r="D126" s="6">
        <v>966670</v>
      </c>
    </row>
    <row r="127" spans="1:4" x14ac:dyDescent="0.3">
      <c r="A127" s="4" t="s">
        <v>28</v>
      </c>
      <c r="B127" s="4" t="s">
        <v>36</v>
      </c>
      <c r="C127" s="4">
        <v>269</v>
      </c>
      <c r="D127" s="6">
        <v>144780</v>
      </c>
    </row>
    <row r="128" spans="1:4" x14ac:dyDescent="0.3">
      <c r="A128" s="4" t="s">
        <v>26</v>
      </c>
      <c r="B128" s="4" t="s">
        <v>34</v>
      </c>
      <c r="C128" s="4">
        <v>643</v>
      </c>
      <c r="D128" s="6">
        <v>23237</v>
      </c>
    </row>
    <row r="129" spans="1:4" x14ac:dyDescent="0.3">
      <c r="A129" s="4" t="s">
        <v>24</v>
      </c>
      <c r="B129" s="4" t="s">
        <v>34</v>
      </c>
      <c r="C129" s="4">
        <v>463</v>
      </c>
      <c r="D129" s="6">
        <v>408689</v>
      </c>
    </row>
    <row r="130" spans="1:4" x14ac:dyDescent="0.3">
      <c r="A130" s="4" t="s">
        <v>22</v>
      </c>
      <c r="B130" s="4" t="s">
        <v>34</v>
      </c>
      <c r="C130" s="4">
        <v>627</v>
      </c>
      <c r="D130" s="6">
        <v>28096</v>
      </c>
    </row>
    <row r="131" spans="1:4" x14ac:dyDescent="0.3">
      <c r="A131" s="4" t="s">
        <v>25</v>
      </c>
      <c r="B131" s="4" t="s">
        <v>36</v>
      </c>
      <c r="C131" s="4">
        <v>979</v>
      </c>
      <c r="D131" s="6">
        <v>460133</v>
      </c>
    </row>
    <row r="132" spans="1:4" x14ac:dyDescent="0.3">
      <c r="A132" s="4" t="s">
        <v>20</v>
      </c>
      <c r="B132" s="4" t="s">
        <v>34</v>
      </c>
      <c r="C132" s="4">
        <v>131</v>
      </c>
      <c r="D132" s="6">
        <v>847680</v>
      </c>
    </row>
    <row r="133" spans="1:4" x14ac:dyDescent="0.3">
      <c r="A133" s="4" t="s">
        <v>23</v>
      </c>
      <c r="B133" s="4" t="s">
        <v>34</v>
      </c>
      <c r="C133" s="4">
        <v>312</v>
      </c>
      <c r="D133" s="6">
        <v>511225</v>
      </c>
    </row>
    <row r="134" spans="1:4" x14ac:dyDescent="0.3">
      <c r="A134" s="4" t="s">
        <v>27</v>
      </c>
      <c r="B134" s="4" t="s">
        <v>34</v>
      </c>
      <c r="C134" s="4">
        <v>834</v>
      </c>
      <c r="D134" s="6">
        <v>95870</v>
      </c>
    </row>
    <row r="135" spans="1:4" x14ac:dyDescent="0.3">
      <c r="A135" s="4" t="s">
        <v>21</v>
      </c>
      <c r="B135" s="4" t="s">
        <v>34</v>
      </c>
      <c r="C135" s="4">
        <v>724</v>
      </c>
      <c r="D135" s="6">
        <v>679534</v>
      </c>
    </row>
  </sheetData>
  <mergeCells count="5">
    <mergeCell ref="G1:M1"/>
    <mergeCell ref="G3:G4"/>
    <mergeCell ref="H3:I3"/>
    <mergeCell ref="J3:K3"/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 1</vt:lpstr>
      <vt:lpstr>Q 2</vt:lpstr>
      <vt:lpstr>Q 3</vt:lpstr>
      <vt:lpstr>Q 4</vt:lpstr>
      <vt:lpstr>Q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2020-10-30T07:09:58Z</dcterms:created>
  <dcterms:modified xsi:type="dcterms:W3CDTF">2026-01-27T08:03:01Z</dcterms:modified>
</cp:coreProperties>
</file>