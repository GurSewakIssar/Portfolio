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2"/>
  <workbookPr/>
  <mc:AlternateContent xmlns:mc="http://schemas.openxmlformats.org/markup-compatibility/2006">
    <mc:Choice Requires="x15">
      <x15ac:absPath xmlns:x15ac="http://schemas.microsoft.com/office/spreadsheetml/2010/11/ac" url="C:\Users\gurse\Documents\Work\Crackjob\"/>
    </mc:Choice>
  </mc:AlternateContent>
  <xr:revisionPtr revIDLastSave="0" documentId="13_ncr:1_{A11495A1-C390-4348-85EC-AD624935091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J#1" sheetId="4" r:id="rId1"/>
    <sheet name="CJ#2" sheetId="1" r:id="rId2"/>
    <sheet name="CJ#3" sheetId="2" r:id="rId3"/>
    <sheet name="CJ#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5" l="1" a="1"/>
  <c r="K9" i="5"/>
  <c r="L9" i="5" a="1"/>
  <c r="L9" i="5"/>
  <c r="K10" i="5" a="1"/>
  <c r="K10" i="5"/>
  <c r="L10" i="5" a="1"/>
  <c r="L10" i="5"/>
  <c r="J10" i="5" a="1"/>
  <c r="J10" i="5"/>
  <c r="J9" i="5" a="1"/>
  <c r="J9" i="5" s="1"/>
  <c r="H9" i="5"/>
  <c r="I9" i="5"/>
  <c r="H10" i="5"/>
  <c r="I10" i="5"/>
  <c r="G10" i="5"/>
  <c r="G9" i="5"/>
  <c r="G4" i="4" a="1"/>
  <c r="G4" i="4"/>
  <c r="G5" i="4" a="1"/>
  <c r="G5" i="4"/>
  <c r="G6" i="4" a="1"/>
  <c r="G6" i="4"/>
  <c r="G7" i="4" a="1"/>
  <c r="G7" i="4"/>
  <c r="G8" i="4" a="1"/>
  <c r="G8" i="4"/>
  <c r="G9" i="4" a="1"/>
  <c r="G9" i="4"/>
  <c r="G10" i="4" a="1"/>
  <c r="G10" i="4"/>
  <c r="G11" i="4" a="1"/>
  <c r="G11" i="4"/>
  <c r="G12" i="4" a="1"/>
  <c r="G12" i="4"/>
  <c r="G13" i="4" a="1"/>
  <c r="G13" i="4"/>
  <c r="G14" i="4" a="1"/>
  <c r="G14" i="4"/>
  <c r="G15" i="4" a="1"/>
  <c r="G15" i="4"/>
  <c r="G16" i="4" a="1"/>
  <c r="G16" i="4"/>
  <c r="G17" i="4" a="1"/>
  <c r="G17" i="4"/>
  <c r="G18" i="4" a="1"/>
  <c r="G18" i="4"/>
  <c r="G19" i="4" a="1"/>
  <c r="G19" i="4"/>
  <c r="G20" i="4" a="1"/>
  <c r="G20" i="4"/>
  <c r="G21" i="4" a="1"/>
  <c r="G21" i="4"/>
  <c r="G22" i="4" a="1"/>
  <c r="G22" i="4"/>
  <c r="G3" i="4" a="1"/>
  <c r="G3" i="4" s="1"/>
  <c r="E4" i="4" a="1"/>
  <c r="E4" i="4" s="1"/>
  <c r="E5" i="4" a="1"/>
  <c r="E5" i="4"/>
  <c r="E6" i="4" a="1"/>
  <c r="E6" i="4"/>
  <c r="E7" i="4" a="1"/>
  <c r="E7" i="4"/>
  <c r="E8" i="4" a="1"/>
  <c r="E8" i="4"/>
  <c r="E9" i="4" a="1"/>
  <c r="E9" i="4"/>
  <c r="E10" i="4" a="1"/>
  <c r="E10" i="4" s="1"/>
  <c r="E11" i="4" a="1"/>
  <c r="E11" i="4"/>
  <c r="E12" i="4" a="1"/>
  <c r="E12" i="4" s="1"/>
  <c r="E13" i="4" a="1"/>
  <c r="E13" i="4"/>
  <c r="E14" i="4" a="1"/>
  <c r="E14" i="4"/>
  <c r="E15" i="4" a="1"/>
  <c r="E15" i="4"/>
  <c r="E16" i="4" a="1"/>
  <c r="E16" i="4"/>
  <c r="E17" i="4" a="1"/>
  <c r="E17" i="4"/>
  <c r="E18" i="4" a="1"/>
  <c r="E18" i="4"/>
  <c r="E19" i="4" a="1"/>
  <c r="E19" i="4"/>
  <c r="E20" i="4" a="1"/>
  <c r="E20" i="4" s="1"/>
  <c r="E21" i="4" a="1"/>
  <c r="E21" i="4" s="1"/>
  <c r="E22" i="4" a="1"/>
  <c r="E22" i="4" s="1"/>
  <c r="E3" i="4" a="1"/>
  <c r="E3" i="4" s="1"/>
  <c r="K3" i="5"/>
  <c r="L3" i="5"/>
  <c r="K4" i="5"/>
  <c r="L4" i="5"/>
  <c r="J4" i="5"/>
  <c r="J3" i="5"/>
  <c r="G3" i="5" a="1"/>
  <c r="G3" i="5"/>
  <c r="H3" i="5" a="1"/>
  <c r="H3" i="5" s="1"/>
  <c r="G4" i="5" a="1"/>
  <c r="G4" i="5"/>
  <c r="H4" i="5" a="1"/>
  <c r="H4" i="5" s="1"/>
  <c r="F4" i="5" a="1"/>
  <c r="F4" i="5" s="1"/>
  <c r="F3" i="5" a="1"/>
  <c r="F3" i="5" s="1"/>
  <c r="C3" i="1"/>
  <c r="C4" i="1"/>
  <c r="C4" i="4" a="1"/>
  <c r="C4" i="4" s="1"/>
  <c r="C5" i="4" a="1"/>
  <c r="C5" i="4" s="1"/>
  <c r="C6" i="4" a="1"/>
  <c r="C6" i="4" s="1"/>
  <c r="C7" i="4" a="1"/>
  <c r="C7" i="4" s="1"/>
  <c r="C8" i="4" a="1"/>
  <c r="C8" i="4" s="1"/>
  <c r="C9" i="4" a="1"/>
  <c r="C9" i="4" s="1"/>
  <c r="C10" i="4" a="1"/>
  <c r="C10" i="4" s="1"/>
  <c r="C11" i="4" a="1"/>
  <c r="C11" i="4" s="1"/>
  <c r="C12" i="4" a="1"/>
  <c r="C12" i="4" s="1"/>
  <c r="C13" i="4" a="1"/>
  <c r="C13" i="4" s="1"/>
  <c r="C14" i="4" a="1"/>
  <c r="C14" i="4" s="1"/>
  <c r="C15" i="4" a="1"/>
  <c r="C15" i="4" s="1"/>
  <c r="C16" i="4" a="1"/>
  <c r="C16" i="4" s="1"/>
  <c r="C17" i="4" a="1"/>
  <c r="C17" i="4" s="1"/>
  <c r="C18" i="4" a="1"/>
  <c r="C18" i="4" s="1"/>
  <c r="C19" i="4" a="1"/>
  <c r="C19" i="4" s="1"/>
  <c r="C20" i="4" a="1"/>
  <c r="C20" i="4" s="1"/>
  <c r="C21" i="4" a="1"/>
  <c r="C21" i="4" s="1"/>
  <c r="C22" i="4" a="1"/>
  <c r="C22" i="4" s="1"/>
  <c r="C3" i="4" a="1"/>
  <c r="C3" i="4" s="1"/>
  <c r="B4" i="4" a="1"/>
  <c r="B4" i="4" s="1"/>
  <c r="B5" i="4" a="1"/>
  <c r="B5" i="4" s="1"/>
  <c r="B6" i="4" a="1"/>
  <c r="B6" i="4" s="1"/>
  <c r="B7" i="4" a="1"/>
  <c r="B7" i="4" s="1"/>
  <c r="B8" i="4" a="1"/>
  <c r="B8" i="4" s="1"/>
  <c r="B9" i="4" a="1"/>
  <c r="B9" i="4" s="1"/>
  <c r="B10" i="4" a="1"/>
  <c r="B10" i="4" s="1"/>
  <c r="B11" i="4" a="1"/>
  <c r="B11" i="4" s="1"/>
  <c r="B12" i="4" a="1"/>
  <c r="B12" i="4" s="1"/>
  <c r="B13" i="4" a="1"/>
  <c r="B13" i="4" s="1"/>
  <c r="B14" i="4" a="1"/>
  <c r="B14" i="4" s="1"/>
  <c r="B15" i="4" a="1"/>
  <c r="B15" i="4" s="1"/>
  <c r="B16" i="4" a="1"/>
  <c r="B16" i="4" s="1"/>
  <c r="B17" i="4" a="1"/>
  <c r="B17" i="4" s="1"/>
  <c r="B18" i="4" a="1"/>
  <c r="B18" i="4" s="1"/>
  <c r="B19" i="4" a="1"/>
  <c r="B19" i="4" s="1"/>
  <c r="B20" i="4" a="1"/>
  <c r="B20" i="4" s="1"/>
  <c r="B21" i="4" a="1"/>
  <c r="B21" i="4" s="1"/>
  <c r="B22" i="4" a="1"/>
  <c r="B22" i="4" s="1"/>
  <c r="B3" i="4" a="1"/>
  <c r="B3" i="4" s="1"/>
  <c r="C4" i="5" a="1"/>
  <c r="C4" i="5" s="1"/>
  <c r="D4" i="5" a="1"/>
  <c r="D4" i="5" s="1"/>
  <c r="B4" i="5" a="1"/>
  <c r="B4" i="5" s="1"/>
  <c r="C3" i="5" a="1"/>
  <c r="C3" i="5" s="1"/>
  <c r="D3" i="5" a="1"/>
  <c r="D3" i="5" s="1"/>
  <c r="B3" i="5" a="1"/>
  <c r="B3" i="5" s="1"/>
  <c r="E9" i="5"/>
  <c r="E10" i="5"/>
  <c r="E11" i="5"/>
  <c r="E12" i="5"/>
  <c r="E13" i="5"/>
  <c r="E14" i="5"/>
  <c r="E15" i="5"/>
  <c r="E16" i="5"/>
  <c r="E17" i="5"/>
  <c r="E18" i="5"/>
  <c r="E19" i="5"/>
  <c r="E8" i="5"/>
  <c r="C5" i="2"/>
  <c r="C4" i="2"/>
  <c r="C3" i="2"/>
  <c r="C8" i="1" a="1"/>
  <c r="E3" i="1" a="1"/>
  <c r="E3" i="2" a="1"/>
  <c r="C8" i="1" l="1"/>
  <c r="E3" i="2"/>
  <c r="E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<sst xmlns="http://schemas.openxmlformats.org/spreadsheetml/2006/main" count="49" uniqueCount="39">
  <si>
    <t>Find the Last Numeric Value in a Column</t>
  </si>
  <si>
    <t>Find the Last Text Value in a Column</t>
  </si>
  <si>
    <t>Country</t>
  </si>
  <si>
    <t>Date</t>
  </si>
  <si>
    <t>Quantity</t>
  </si>
  <si>
    <t>Price</t>
  </si>
  <si>
    <t>Name</t>
  </si>
  <si>
    <t>Need Name in Desc Order as per serial no</t>
  </si>
  <si>
    <t>SONIKA</t>
  </si>
  <si>
    <t>SAURABH</t>
  </si>
  <si>
    <t>OUTPUT</t>
  </si>
  <si>
    <t>Product</t>
  </si>
  <si>
    <t>Sony</t>
  </si>
  <si>
    <t>Oppo</t>
  </si>
  <si>
    <t>Vivo</t>
  </si>
  <si>
    <t>Lava</t>
  </si>
  <si>
    <t>Sales</t>
  </si>
  <si>
    <t>Expect output with 2 formula method</t>
  </si>
  <si>
    <t>Geetika Singh</t>
  </si>
  <si>
    <t>Pranjal Prajapati</t>
  </si>
  <si>
    <t>Vipul Mishra</t>
  </si>
  <si>
    <t>Anamika Sharma</t>
  </si>
  <si>
    <t>Niharika Pant</t>
  </si>
  <si>
    <t>Bharat Saxena</t>
  </si>
  <si>
    <t>Rupali Dalpatiya</t>
  </si>
  <si>
    <t>Rudransh Mishra</t>
  </si>
  <si>
    <t>Anumeet Kaur</t>
  </si>
  <si>
    <t>Lipika Sharma</t>
  </si>
  <si>
    <t>Mikul Bhatia</t>
  </si>
  <si>
    <t>Rumi Ali</t>
  </si>
  <si>
    <t>Lokesh Vats</t>
  </si>
  <si>
    <t>Rajan Kumar Mishra</t>
  </si>
  <si>
    <t>Rishabh Sharma</t>
  </si>
  <si>
    <t>Nimisha Singh</t>
  </si>
  <si>
    <t>Bhanu Chauhan</t>
  </si>
  <si>
    <t>Bhashkar Sharma</t>
  </si>
  <si>
    <t>Nimita Jha</t>
  </si>
  <si>
    <t>Jayant Chaudhary</t>
  </si>
  <si>
    <t>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</si>
</sst>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93D68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9">
    <xf numFmtId="0" fontId="0" fillId="0" borderId="0" xfId="0"/>
    <xf numFmtId="0" fontId="1" fillId="0" borderId="1" xfId="1" applyAlignment="1">
      <alignment vertical="center"/>
    </xf>
    <xf numFmtId="0" fontId="3" fillId="2" borderId="0" xfId="0" applyFont="1" applyFill="1" applyAlignment="1">
      <alignment wrapText="1"/>
    </xf>
    <xf numFmtId="17" fontId="3" fillId="2" borderId="0" xfId="0" applyNumberFormat="1" applyFont="1" applyFill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 wrapText="1"/>
    </xf>
    <xf numFmtId="17" fontId="4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center" wrapText="1"/>
    </xf>
    <xf numFmtId="0" fontId="5" fillId="0" borderId="2" xfId="0" applyFont="1" applyBorder="1" applyAlignment="1">
      <alignment wrapText="1"/>
    </xf>
    <xf numFmtId="0" fontId="0" fillId="0" borderId="3" xfId="0" applyBorder="1" applyAlignment="1">
      <alignment wrapText="1"/>
    </xf>
    <xf numFmtId="0" fontId="2" fillId="0" borderId="0" xfId="0" applyFont="1"/>
    <xf numFmtId="0" fontId="5" fillId="0" borderId="5" xfId="0" applyFont="1" applyBorder="1" applyAlignment="1">
      <alignment wrapText="1"/>
    </xf>
    <xf numFmtId="0" fontId="1" fillId="0" borderId="4" xfId="1" applyBorder="1" applyAlignment="1">
      <alignment vertical="center"/>
    </xf>
    <xf numFmtId="0" fontId="0" fillId="0" borderId="4" xfId="0" applyBorder="1"/>
    <xf numFmtId="0" fontId="0" fillId="0" borderId="4" xfId="0" applyBorder="1" applyAlignment="1">
      <alignment wrapText="1"/>
    </xf>
    <xf numFmtId="0" fontId="6" fillId="3" borderId="0" xfId="0" applyFont="1" applyFill="1"/>
    <xf numFmtId="0" fontId="7" fillId="3" borderId="0" xfId="0" applyFont="1" applyFill="1" applyAlignment="1">
      <alignment wrapText="1"/>
    </xf>
  </cellXfs>
  <cellStyles count="2">
    <cellStyle name="Heading 2" xfId="1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45D00-E006-4030-96BF-97A094484F92}">
  <dimension ref="A2:G37"/>
  <sheetViews>
    <sheetView zoomScale="95" zoomScaleNormal="95" workbookViewId="0">
      <selection activeCell="G3" sqref="G3:G22"/>
    </sheetView>
  </sheetViews>
  <sheetFormatPr defaultRowHeight="14.4" x14ac:dyDescent="0.3"/>
  <cols>
    <col min="1" max="1" width="22.88671875" customWidth="1"/>
    <col min="2" max="2" width="18.44140625" customWidth="1"/>
    <col min="3" max="3" width="23.33203125" bestFit="1" customWidth="1"/>
    <col min="5" max="5" width="19.21875" customWidth="1"/>
  </cols>
  <sheetData>
    <row r="2" spans="1:7" ht="17.399999999999999" x14ac:dyDescent="0.3">
      <c r="A2" s="16" t="s">
        <v>6</v>
      </c>
      <c r="B2" s="14" t="s">
        <v>7</v>
      </c>
      <c r="C2" s="15"/>
    </row>
    <row r="3" spans="1:7" ht="15" thickBot="1" x14ac:dyDescent="0.35">
      <c r="A3" s="13" t="s">
        <v>18</v>
      </c>
      <c r="B3" s="13" t="str" cm="1">
        <f t="array" ref="B3">INDEX($A$3:$A$22,COUNTA(A3:$A$22))</f>
        <v>Jayant Chaudhary</v>
      </c>
      <c r="C3" s="13" t="str" cm="1">
        <f t="array" ref="C3">INDEX($A$3:$A$22,ROWS(A3:$A$22))</f>
        <v>Jayant Chaudhary</v>
      </c>
      <c r="E3" s="17" t="str" cm="1">
        <f t="array" ref="E3">INDEX($A$3:$A$22,21-ROWS($D$3:D3))</f>
        <v>Jayant Chaudhary</v>
      </c>
      <c r="G3" t="str" cm="1">
        <f t="array" ref="G3">INDEX($A$3:$A$22,COUNTA($A$3:$A$22)-ROWS($F$3:F3)+1)</f>
        <v>Jayant Chaudhary</v>
      </c>
    </row>
    <row r="4" spans="1:7" ht="15" thickBot="1" x14ac:dyDescent="0.35">
      <c r="A4" s="10" t="s">
        <v>19</v>
      </c>
      <c r="B4" s="10" t="str" cm="1">
        <f t="array" ref="B4">INDEX($A$3:$A$22,COUNTA(A4:$A$22))</f>
        <v>Nimita Jha</v>
      </c>
      <c r="C4" s="10" t="str" cm="1">
        <f t="array" ref="C4">INDEX($A$3:$A$22,ROWS(A4:$A$22))</f>
        <v>Nimita Jha</v>
      </c>
      <c r="E4" s="17" t="str" cm="1">
        <f t="array" ref="E4">INDEX($A$3:$A$22,21-ROWS($D$3:D4))</f>
        <v>Nimita Jha</v>
      </c>
      <c r="G4" t="str" cm="1">
        <f t="array" ref="G4">INDEX($A$3:$A$22,COUNTA($A$3:$A$22)-ROWS($F$3:F4)+1)</f>
        <v>Nimita Jha</v>
      </c>
    </row>
    <row r="5" spans="1:7" ht="15" thickBot="1" x14ac:dyDescent="0.35">
      <c r="A5" s="10" t="s">
        <v>20</v>
      </c>
      <c r="B5" s="10" t="str" cm="1">
        <f t="array" ref="B5">INDEX($A$3:$A$22,COUNTA(A5:$A$22))</f>
        <v>Bhashkar Sharma</v>
      </c>
      <c r="C5" s="10" t="str" cm="1">
        <f t="array" ref="C5">INDEX($A$3:$A$22,ROWS(A5:$A$22))</f>
        <v>Bhashkar Sharma</v>
      </c>
      <c r="E5" s="17" t="str" cm="1">
        <f t="array" ref="E5">INDEX($A$3:$A$22,21-ROWS($D$3:D5))</f>
        <v>Bhashkar Sharma</v>
      </c>
      <c r="G5" t="str" cm="1">
        <f t="array" ref="G5">INDEX($A$3:$A$22,COUNTA($A$3:$A$22)-ROWS($F$3:F5)+1)</f>
        <v>Bhashkar Sharma</v>
      </c>
    </row>
    <row r="6" spans="1:7" ht="15" thickBot="1" x14ac:dyDescent="0.35">
      <c r="A6" s="10" t="s">
        <v>21</v>
      </c>
      <c r="B6" s="10" t="str" cm="1">
        <f t="array" ref="B6">INDEX($A$3:$A$22,COUNTA(A6:$A$22))</f>
        <v>Bhanu Chauhan</v>
      </c>
      <c r="C6" s="10" t="str" cm="1">
        <f t="array" ref="C6">INDEX($A$3:$A$22,ROWS(A6:$A$22))</f>
        <v>Bhanu Chauhan</v>
      </c>
      <c r="E6" s="17" t="str" cm="1">
        <f t="array" ref="E6">INDEX($A$3:$A$22,21-ROWS($D$3:D6))</f>
        <v>Bhanu Chauhan</v>
      </c>
      <c r="G6" t="str" cm="1">
        <f t="array" ref="G6">INDEX($A$3:$A$22,COUNTA($A$3:$A$22)-ROWS($F$3:F6)+1)</f>
        <v>Bhanu Chauhan</v>
      </c>
    </row>
    <row r="7" spans="1:7" ht="15" thickBot="1" x14ac:dyDescent="0.35">
      <c r="A7" s="10" t="s">
        <v>22</v>
      </c>
      <c r="B7" s="10" t="str" cm="1">
        <f t="array" ref="B7">INDEX($A$3:$A$22,COUNTA(A7:$A$22))</f>
        <v>Nimisha Singh</v>
      </c>
      <c r="C7" s="10" t="str" cm="1">
        <f t="array" ref="C7">INDEX($A$3:$A$22,ROWS(A7:$A$22))</f>
        <v>Nimisha Singh</v>
      </c>
      <c r="E7" s="17" t="str" cm="1">
        <f t="array" ref="E7">INDEX($A$3:$A$22,21-ROWS($D$3:D7))</f>
        <v>Nimisha Singh</v>
      </c>
      <c r="G7" t="str" cm="1">
        <f t="array" ref="G7">INDEX($A$3:$A$22,COUNTA($A$3:$A$22)-ROWS($F$3:F7)+1)</f>
        <v>Nimisha Singh</v>
      </c>
    </row>
    <row r="8" spans="1:7" ht="15" thickBot="1" x14ac:dyDescent="0.35">
      <c r="A8" s="10" t="s">
        <v>23</v>
      </c>
      <c r="B8" s="10" t="str" cm="1">
        <f t="array" ref="B8">INDEX($A$3:$A$22,COUNTA(A8:$A$22))</f>
        <v>Rishabh Sharma</v>
      </c>
      <c r="C8" s="10" t="str" cm="1">
        <f t="array" ref="C8">INDEX($A$3:$A$22,ROWS(A8:$A$22))</f>
        <v>Rishabh Sharma</v>
      </c>
      <c r="E8" s="17" t="str" cm="1">
        <f t="array" ref="E8">INDEX($A$3:$A$22,21-ROWS($D$3:D8))</f>
        <v>Rishabh Sharma</v>
      </c>
      <c r="G8" t="str" cm="1">
        <f t="array" ref="G8">INDEX($A$3:$A$22,COUNTA($A$3:$A$22)-ROWS($F$3:F8)+1)</f>
        <v>Rishabh Sharma</v>
      </c>
    </row>
    <row r="9" spans="1:7" ht="15" thickBot="1" x14ac:dyDescent="0.35">
      <c r="A9" s="10" t="s">
        <v>24</v>
      </c>
      <c r="B9" s="10" t="str" cm="1">
        <f t="array" ref="B9">INDEX($A$3:$A$22,COUNTA(A9:$A$22))</f>
        <v>Rajan Kumar Mishra</v>
      </c>
      <c r="C9" s="10" t="str" cm="1">
        <f t="array" ref="C9">INDEX($A$3:$A$22,ROWS(A9:$A$22))</f>
        <v>Rajan Kumar Mishra</v>
      </c>
      <c r="E9" s="17" t="str" cm="1">
        <f t="array" ref="E9">INDEX($A$3:$A$22,21-ROWS($D$3:D9))</f>
        <v>Rajan Kumar Mishra</v>
      </c>
      <c r="G9" t="str" cm="1">
        <f t="array" ref="G9">INDEX($A$3:$A$22,COUNTA($A$3:$A$22)-ROWS($F$3:F9)+1)</f>
        <v>Rajan Kumar Mishra</v>
      </c>
    </row>
    <row r="10" spans="1:7" ht="15" thickBot="1" x14ac:dyDescent="0.35">
      <c r="A10" s="10" t="s">
        <v>25</v>
      </c>
      <c r="B10" s="10" t="str" cm="1">
        <f t="array" ref="B10">INDEX($A$3:$A$22,COUNTA(A10:$A$22))</f>
        <v>Lokesh Vats</v>
      </c>
      <c r="C10" s="10" t="str" cm="1">
        <f t="array" ref="C10">INDEX($A$3:$A$22,ROWS(A10:$A$22))</f>
        <v>Lokesh Vats</v>
      </c>
      <c r="E10" s="17" t="str" cm="1">
        <f t="array" ref="E10">INDEX($A$3:$A$22,21-ROWS($D$3:D10))</f>
        <v>Lokesh Vats</v>
      </c>
      <c r="G10" t="str" cm="1">
        <f t="array" ref="G10">INDEX($A$3:$A$22,COUNTA($A$3:$A$22)-ROWS($F$3:F10)+1)</f>
        <v>Lokesh Vats</v>
      </c>
    </row>
    <row r="11" spans="1:7" ht="15" thickBot="1" x14ac:dyDescent="0.35">
      <c r="A11" s="10" t="s">
        <v>26</v>
      </c>
      <c r="B11" s="10" t="str" cm="1">
        <f t="array" ref="B11">INDEX($A$3:$A$22,COUNTA(A11:$A$22))</f>
        <v>Rumi Ali</v>
      </c>
      <c r="C11" s="10" t="str" cm="1">
        <f t="array" ref="C11">INDEX($A$3:$A$22,ROWS(A11:$A$22))</f>
        <v>Rumi Ali</v>
      </c>
      <c r="E11" s="17" t="str" cm="1">
        <f t="array" ref="E11">INDEX($A$3:$A$22,21-ROWS($D$3:D11))</f>
        <v>Rumi Ali</v>
      </c>
      <c r="G11" t="str" cm="1">
        <f t="array" ref="G11">INDEX($A$3:$A$22,COUNTA($A$3:$A$22)-ROWS($F$3:F11)+1)</f>
        <v>Rumi Ali</v>
      </c>
    </row>
    <row r="12" spans="1:7" ht="15" thickBot="1" x14ac:dyDescent="0.35">
      <c r="A12" s="10" t="s">
        <v>27</v>
      </c>
      <c r="B12" s="10" t="str" cm="1">
        <f t="array" ref="B12">INDEX($A$3:$A$22,COUNTA(A12:$A$22))</f>
        <v>Mikul Bhatia</v>
      </c>
      <c r="C12" s="10" t="str" cm="1">
        <f t="array" ref="C12">INDEX($A$3:$A$22,ROWS(A12:$A$22))</f>
        <v>Mikul Bhatia</v>
      </c>
      <c r="E12" s="17" t="str" cm="1">
        <f t="array" ref="E12">INDEX($A$3:$A$22,21-ROWS($D$3:D12))</f>
        <v>Mikul Bhatia</v>
      </c>
      <c r="G12" t="str" cm="1">
        <f t="array" ref="G12">INDEX($A$3:$A$22,COUNTA($A$3:$A$22)-ROWS($F$3:F12)+1)</f>
        <v>Mikul Bhatia</v>
      </c>
    </row>
    <row r="13" spans="1:7" ht="15" thickBot="1" x14ac:dyDescent="0.35">
      <c r="A13" s="10" t="s">
        <v>28</v>
      </c>
      <c r="B13" s="10" t="str" cm="1">
        <f t="array" ref="B13">INDEX($A$3:$A$22,COUNTA(A13:$A$22))</f>
        <v>Lipika Sharma</v>
      </c>
      <c r="C13" s="10" t="str" cm="1">
        <f t="array" ref="C13">INDEX($A$3:$A$22,ROWS(A13:$A$22))</f>
        <v>Lipika Sharma</v>
      </c>
      <c r="E13" s="17" t="str" cm="1">
        <f t="array" ref="E13">INDEX($A$3:$A$22,21-ROWS($D$3:D13))</f>
        <v>Lipika Sharma</v>
      </c>
      <c r="G13" t="str" cm="1">
        <f t="array" ref="G13">INDEX($A$3:$A$22,COUNTA($A$3:$A$22)-ROWS($F$3:F13)+1)</f>
        <v>Lipika Sharma</v>
      </c>
    </row>
    <row r="14" spans="1:7" ht="15" thickBot="1" x14ac:dyDescent="0.35">
      <c r="A14" s="10" t="s">
        <v>29</v>
      </c>
      <c r="B14" s="10" t="str" cm="1">
        <f t="array" ref="B14">INDEX($A$3:$A$22,COUNTA(A14:$A$22))</f>
        <v>Anumeet Kaur</v>
      </c>
      <c r="C14" s="10" t="str" cm="1">
        <f t="array" ref="C14">INDEX($A$3:$A$22,ROWS(A14:$A$22))</f>
        <v>Anumeet Kaur</v>
      </c>
      <c r="E14" s="17" t="str" cm="1">
        <f t="array" ref="E14">INDEX($A$3:$A$22,21-ROWS($D$3:D14))</f>
        <v>Anumeet Kaur</v>
      </c>
      <c r="G14" t="str" cm="1">
        <f t="array" ref="G14">INDEX($A$3:$A$22,COUNTA($A$3:$A$22)-ROWS($F$3:F14)+1)</f>
        <v>Anumeet Kaur</v>
      </c>
    </row>
    <row r="15" spans="1:7" ht="15" thickBot="1" x14ac:dyDescent="0.35">
      <c r="A15" s="10" t="s">
        <v>30</v>
      </c>
      <c r="B15" s="10" t="str" cm="1">
        <f t="array" ref="B15">INDEX($A$3:$A$22,COUNTA(A15:$A$22))</f>
        <v>Rudransh Mishra</v>
      </c>
      <c r="C15" s="10" t="str" cm="1">
        <f t="array" ref="C15">INDEX($A$3:$A$22,ROWS(A15:$A$22))</f>
        <v>Rudransh Mishra</v>
      </c>
      <c r="E15" s="17" t="str" cm="1">
        <f t="array" ref="E15">INDEX($A$3:$A$22,21-ROWS($D$3:D15))</f>
        <v>Rudransh Mishra</v>
      </c>
      <c r="G15" t="str" cm="1">
        <f t="array" ref="G15">INDEX($A$3:$A$22,COUNTA($A$3:$A$22)-ROWS($F$3:F15)+1)</f>
        <v>Rudransh Mishra</v>
      </c>
    </row>
    <row r="16" spans="1:7" ht="15" thickBot="1" x14ac:dyDescent="0.35">
      <c r="A16" s="10" t="s">
        <v>31</v>
      </c>
      <c r="B16" s="10" t="str" cm="1">
        <f t="array" ref="B16">INDEX($A$3:$A$22,COUNTA(A16:$A$22))</f>
        <v>Rupali Dalpatiya</v>
      </c>
      <c r="C16" s="10" t="str" cm="1">
        <f t="array" ref="C16">INDEX($A$3:$A$22,ROWS(A16:$A$22))</f>
        <v>Rupali Dalpatiya</v>
      </c>
      <c r="E16" s="17" t="str" cm="1">
        <f t="array" ref="E16">INDEX($A$3:$A$22,21-ROWS($D$3:D16))</f>
        <v>Rupali Dalpatiya</v>
      </c>
      <c r="G16" t="str" cm="1">
        <f t="array" ref="G16">INDEX($A$3:$A$22,COUNTA($A$3:$A$22)-ROWS($F$3:F16)+1)</f>
        <v>Rupali Dalpatiya</v>
      </c>
    </row>
    <row r="17" spans="1:7" ht="15" thickBot="1" x14ac:dyDescent="0.35">
      <c r="A17" s="10" t="s">
        <v>32</v>
      </c>
      <c r="B17" s="10" t="str" cm="1">
        <f t="array" ref="B17">INDEX($A$3:$A$22,COUNTA(A17:$A$22))</f>
        <v>Bharat Saxena</v>
      </c>
      <c r="C17" s="10" t="str" cm="1">
        <f t="array" ref="C17">INDEX($A$3:$A$22,ROWS(A17:$A$22))</f>
        <v>Bharat Saxena</v>
      </c>
      <c r="E17" s="17" t="str" cm="1">
        <f t="array" ref="E17">INDEX($A$3:$A$22,21-ROWS($D$3:D17))</f>
        <v>Bharat Saxena</v>
      </c>
      <c r="G17" t="str" cm="1">
        <f t="array" ref="G17">INDEX($A$3:$A$22,COUNTA($A$3:$A$22)-ROWS($F$3:F17)+1)</f>
        <v>Bharat Saxena</v>
      </c>
    </row>
    <row r="18" spans="1:7" ht="15" thickBot="1" x14ac:dyDescent="0.35">
      <c r="A18" s="10" t="s">
        <v>33</v>
      </c>
      <c r="B18" s="10" t="str" cm="1">
        <f t="array" ref="B18">INDEX($A$3:$A$22,COUNTA(A18:$A$22))</f>
        <v>Niharika Pant</v>
      </c>
      <c r="C18" s="10" t="str" cm="1">
        <f t="array" ref="C18">INDEX($A$3:$A$22,ROWS(A18:$A$22))</f>
        <v>Niharika Pant</v>
      </c>
      <c r="E18" s="17" t="str" cm="1">
        <f t="array" ref="E18">INDEX($A$3:$A$22,21-ROWS($D$3:D18))</f>
        <v>Niharika Pant</v>
      </c>
      <c r="G18" t="str" cm="1">
        <f t="array" ref="G18">INDEX($A$3:$A$22,COUNTA($A$3:$A$22)-ROWS($F$3:F18)+1)</f>
        <v>Niharika Pant</v>
      </c>
    </row>
    <row r="19" spans="1:7" ht="15" thickBot="1" x14ac:dyDescent="0.35">
      <c r="A19" s="10" t="s">
        <v>34</v>
      </c>
      <c r="B19" s="10" t="str" cm="1">
        <f t="array" ref="B19">INDEX($A$3:$A$22,COUNTA(A19:$A$22))</f>
        <v>Anamika Sharma</v>
      </c>
      <c r="C19" s="10" t="str" cm="1">
        <f t="array" ref="C19">INDEX($A$3:$A$22,ROWS(A19:$A$22))</f>
        <v>Anamika Sharma</v>
      </c>
      <c r="E19" s="17" t="str" cm="1">
        <f t="array" ref="E19">INDEX($A$3:$A$22,21-ROWS($D$3:D19))</f>
        <v>Anamika Sharma</v>
      </c>
      <c r="G19" t="str" cm="1">
        <f t="array" ref="G19">INDEX($A$3:$A$22,COUNTA($A$3:$A$22)-ROWS($F$3:F19)+1)</f>
        <v>Anamika Sharma</v>
      </c>
    </row>
    <row r="20" spans="1:7" ht="15" thickBot="1" x14ac:dyDescent="0.35">
      <c r="A20" s="10" t="s">
        <v>35</v>
      </c>
      <c r="B20" s="10" t="str" cm="1">
        <f t="array" ref="B20">INDEX($A$3:$A$22,COUNTA(A20:$A$22))</f>
        <v>Vipul Mishra</v>
      </c>
      <c r="C20" s="10" t="str" cm="1">
        <f t="array" ref="C20">INDEX($A$3:$A$22,ROWS(A20:$A$22))</f>
        <v>Vipul Mishra</v>
      </c>
      <c r="E20" s="17" t="str" cm="1">
        <f t="array" ref="E20">INDEX($A$3:$A$22,21-ROWS($D$3:D20))</f>
        <v>Vipul Mishra</v>
      </c>
      <c r="G20" t="str" cm="1">
        <f t="array" ref="G20">INDEX($A$3:$A$22,COUNTA($A$3:$A$22)-ROWS($F$3:F20)+1)</f>
        <v>Vipul Mishra</v>
      </c>
    </row>
    <row r="21" spans="1:7" ht="15" thickBot="1" x14ac:dyDescent="0.35">
      <c r="A21" s="10" t="s">
        <v>36</v>
      </c>
      <c r="B21" s="10" t="str" cm="1">
        <f t="array" ref="B21">INDEX($A$3:$A$22,COUNTA(A21:$A$22))</f>
        <v>Pranjal Prajapati</v>
      </c>
      <c r="C21" s="10" t="str" cm="1">
        <f t="array" ref="C21">INDEX($A$3:$A$22,ROWS(A21:$A$22))</f>
        <v>Pranjal Prajapati</v>
      </c>
      <c r="E21" s="17" t="str" cm="1">
        <f t="array" ref="E21">INDEX($A$3:$A$22,21-ROWS($D$3:D21))</f>
        <v>Pranjal Prajapati</v>
      </c>
      <c r="G21" t="str" cm="1">
        <f t="array" ref="G21">INDEX($A$3:$A$22,COUNTA($A$3:$A$22)-ROWS($F$3:F21)+1)</f>
        <v>Pranjal Prajapati</v>
      </c>
    </row>
    <row r="22" spans="1:7" ht="15" thickBot="1" x14ac:dyDescent="0.35">
      <c r="A22" s="10" t="s">
        <v>37</v>
      </c>
      <c r="B22" s="10" t="str" cm="1">
        <f t="array" ref="B22">INDEX($A$3:$A$22,COUNTA(A22:$A$22))</f>
        <v>Geetika Singh</v>
      </c>
      <c r="C22" s="10" t="str" cm="1">
        <f t="array" ref="C22">INDEX($A$3:$A$22,ROWS(A22:$A$22))</f>
        <v>Geetika Singh</v>
      </c>
      <c r="E22" s="17" t="str" cm="1">
        <f t="array" ref="E22">INDEX($A$3:$A$22,21-ROWS($D$3:D22))</f>
        <v>Geetika Singh</v>
      </c>
      <c r="G22" t="str" cm="1">
        <f t="array" ref="G22">INDEX($A$3:$A$22,COUNTA($A$3:$A$22)-ROWS($F$3:F22)+1)</f>
        <v>Geetika Singh</v>
      </c>
    </row>
    <row r="23" spans="1:7" ht="15" thickBot="1" x14ac:dyDescent="0.35">
      <c r="A23" s="11"/>
      <c r="B23" s="11"/>
    </row>
    <row r="24" spans="1:7" ht="15" thickBot="1" x14ac:dyDescent="0.35">
      <c r="A24" s="11"/>
      <c r="B24" s="11"/>
    </row>
    <row r="25" spans="1:7" ht="15" thickBot="1" x14ac:dyDescent="0.35">
      <c r="A25" s="11"/>
      <c r="B25" s="11"/>
    </row>
    <row r="26" spans="1:7" ht="15" thickBot="1" x14ac:dyDescent="0.35">
      <c r="A26" s="11"/>
      <c r="B26" s="11"/>
    </row>
    <row r="27" spans="1:7" ht="15" thickBot="1" x14ac:dyDescent="0.35">
      <c r="A27" s="11"/>
      <c r="B27" s="11"/>
    </row>
    <row r="28" spans="1:7" ht="15" thickBot="1" x14ac:dyDescent="0.35">
      <c r="A28" s="11"/>
      <c r="B28" s="11"/>
    </row>
    <row r="29" spans="1:7" ht="15" thickBot="1" x14ac:dyDescent="0.35">
      <c r="A29" s="11"/>
      <c r="B29" s="11"/>
    </row>
    <row r="30" spans="1:7" ht="15" thickBot="1" x14ac:dyDescent="0.35">
      <c r="A30" s="11"/>
      <c r="B30" s="11"/>
    </row>
    <row r="31" spans="1:7" ht="15" thickBot="1" x14ac:dyDescent="0.35">
      <c r="A31" s="11"/>
      <c r="B31" s="11"/>
    </row>
    <row r="32" spans="1:7" ht="15" thickBot="1" x14ac:dyDescent="0.35">
      <c r="A32" s="11"/>
      <c r="B32" s="11"/>
    </row>
    <row r="33" spans="1:2" ht="15" thickBot="1" x14ac:dyDescent="0.35">
      <c r="A33" s="11"/>
      <c r="B33" s="11"/>
    </row>
    <row r="34" spans="1:2" ht="15" thickBot="1" x14ac:dyDescent="0.35">
      <c r="A34" s="11"/>
      <c r="B34" s="11"/>
    </row>
    <row r="35" spans="1:2" ht="15" thickBot="1" x14ac:dyDescent="0.35">
      <c r="A35" s="11"/>
      <c r="B35" s="11"/>
    </row>
    <row r="36" spans="1:2" ht="15" thickBot="1" x14ac:dyDescent="0.35">
      <c r="A36" s="11"/>
      <c r="B36" s="11"/>
    </row>
    <row r="37" spans="1:2" ht="15" thickBot="1" x14ac:dyDescent="0.35">
      <c r="A37" s="11"/>
      <c r="B37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zoomScale="145" zoomScaleNormal="145" workbookViewId="0">
      <selection activeCell="A15" sqref="A15"/>
    </sheetView>
  </sheetViews>
  <sheetFormatPr defaultRowHeight="14.4" x14ac:dyDescent="0.3"/>
  <sheetData>
    <row r="1" spans="1:5" ht="18" thickBot="1" x14ac:dyDescent="0.35">
      <c r="A1" s="1" t="s">
        <v>0</v>
      </c>
    </row>
    <row r="2" spans="1:5" ht="15" thickTop="1" x14ac:dyDescent="0.3">
      <c r="A2">
        <v>23</v>
      </c>
    </row>
    <row r="3" spans="1:5" x14ac:dyDescent="0.3">
      <c r="A3">
        <v>232</v>
      </c>
      <c r="C3">
        <f>VLOOKUP( 9E+99, A:A, 1, TRUE)</f>
        <v>88</v>
      </c>
      <c r="E3" s="17" t="str" cm="1">
        <f t="array" aca="1" ref="E3" ca="1">INDIRECT("a"&amp;MAX(IF(ISBLANK(A2:A200),"",ROW(A2:A200))))</f>
        <v>BB</v>
      </c>
    </row>
    <row r="4" spans="1:5" x14ac:dyDescent="0.3">
      <c r="A4">
        <v>4</v>
      </c>
      <c r="C4">
        <f>INDEX( A:A, MATCH( 9E+99, A:A, 1) )</f>
        <v>88</v>
      </c>
    </row>
    <row r="5" spans="1:5" x14ac:dyDescent="0.3">
      <c r="A5">
        <v>24</v>
      </c>
    </row>
    <row r="6" spans="1:5" x14ac:dyDescent="0.3">
      <c r="A6">
        <v>23</v>
      </c>
    </row>
    <row r="7" spans="1:5" x14ac:dyDescent="0.3">
      <c r="A7">
        <v>44</v>
      </c>
    </row>
    <row r="8" spans="1:5" x14ac:dyDescent="0.3">
      <c r="C8" cm="1">
        <f t="array" aca="1" ref="C8" ca="1">INDIRECT("a"&amp;MAX(IF((NOT(ISBLANK(A:A))*(ISNUMBER(A:A)))=1,ROW(A:A),"")), TRUE)</f>
        <v>88</v>
      </c>
    </row>
    <row r="12" spans="1:5" x14ac:dyDescent="0.3">
      <c r="A12">
        <v>88</v>
      </c>
    </row>
    <row r="14" spans="1:5" x14ac:dyDescent="0.3">
      <c r="A14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C2E0-6D58-4A82-A8BE-A8E7BAB29695}">
  <dimension ref="A1:E12"/>
  <sheetViews>
    <sheetView zoomScaleNormal="100" workbookViewId="0">
      <selection activeCell="F3" sqref="F3"/>
    </sheetView>
  </sheetViews>
  <sheetFormatPr defaultRowHeight="14.4" x14ac:dyDescent="0.3"/>
  <sheetData>
    <row r="1" spans="1:5" ht="18" thickBot="1" x14ac:dyDescent="0.35">
      <c r="A1" s="1" t="s">
        <v>1</v>
      </c>
    </row>
    <row r="2" spans="1:5" ht="15" thickTop="1" x14ac:dyDescent="0.3">
      <c r="C2" s="12" t="s">
        <v>10</v>
      </c>
    </row>
    <row r="3" spans="1:5" x14ac:dyDescent="0.3">
      <c r="A3">
        <v>66</v>
      </c>
      <c r="C3" t="str">
        <f>INDEX(A3:A12,MATCH("*",A3:A12,-1))</f>
        <v>SONIKA</v>
      </c>
      <c r="E3" s="17" t="str" cm="1">
        <f t="array" aca="1" ref="E3" ca="1">INDIRECT("a"&amp;MAX(IF(ISBLANK(A2:A200)+ISNUMBER(A2:A200),"",ROW(A2:A200))))</f>
        <v>SONIKA</v>
      </c>
    </row>
    <row r="4" spans="1:5" x14ac:dyDescent="0.3">
      <c r="A4">
        <v>22</v>
      </c>
      <c r="C4" t="str">
        <f>VLOOKUP( "🗿",A3:A12, 1, TRUE)</f>
        <v>SONIKA</v>
      </c>
    </row>
    <row r="5" spans="1:5" x14ac:dyDescent="0.3">
      <c r="A5">
        <v>33</v>
      </c>
      <c r="C5" t="str">
        <f>INDEX(A3:A12,MATCH("🗿",A3:A12,1))</f>
        <v>SONIKA</v>
      </c>
    </row>
    <row r="6" spans="1:5" x14ac:dyDescent="0.3">
      <c r="A6">
        <v>4</v>
      </c>
    </row>
    <row r="7" spans="1:5" x14ac:dyDescent="0.3">
      <c r="A7">
        <v>33</v>
      </c>
    </row>
    <row r="8" spans="1:5" x14ac:dyDescent="0.3">
      <c r="A8" t="s">
        <v>9</v>
      </c>
    </row>
    <row r="9" spans="1:5" x14ac:dyDescent="0.3">
      <c r="A9">
        <v>22</v>
      </c>
    </row>
    <row r="10" spans="1:5" x14ac:dyDescent="0.3">
      <c r="A10">
        <v>4</v>
      </c>
    </row>
    <row r="11" spans="1:5" x14ac:dyDescent="0.3">
      <c r="A11">
        <v>55</v>
      </c>
    </row>
    <row r="12" spans="1:5" x14ac:dyDescent="0.3">
      <c r="A12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5437-D24E-40EB-ADAB-5AA690A0EFF4}">
  <dimension ref="A1:L19"/>
  <sheetViews>
    <sheetView tabSelected="1" zoomScale="94" zoomScaleNormal="94" workbookViewId="0">
      <selection activeCell="G13" sqref="G13"/>
    </sheetView>
  </sheetViews>
  <sheetFormatPr defaultRowHeight="14.4" x14ac:dyDescent="0.3"/>
  <cols>
    <col min="1" max="1" width="8.109375" bestFit="1" customWidth="1"/>
    <col min="2" max="2" width="13.77734375" customWidth="1"/>
  </cols>
  <sheetData>
    <row r="1" spans="1:12" ht="18" thickBot="1" x14ac:dyDescent="0.35">
      <c r="A1" s="1" t="s">
        <v>17</v>
      </c>
    </row>
    <row r="2" spans="1:12" ht="31.8" thickTop="1" x14ac:dyDescent="0.3">
      <c r="A2" s="2" t="s">
        <v>11</v>
      </c>
      <c r="B2" s="3">
        <v>45292</v>
      </c>
      <c r="C2" s="3">
        <v>45323</v>
      </c>
      <c r="D2" s="3">
        <v>45352</v>
      </c>
      <c r="E2" s="4"/>
      <c r="F2" s="4"/>
      <c r="G2" s="4"/>
      <c r="H2" s="4"/>
    </row>
    <row r="3" spans="1:12" ht="15.6" x14ac:dyDescent="0.3">
      <c r="A3" s="4" t="s">
        <v>12</v>
      </c>
      <c r="B3" s="4" cm="1">
        <f t="array" ref="B3">INDEX($A$7:$E$19,MATCH($A3&amp;B2,$A$7:$A$19&amp;$B$7:$B$19,0),5)</f>
        <v>514272</v>
      </c>
      <c r="C3" s="4" cm="1">
        <f t="array" ref="C3">INDEX($A$7:$E$19,MATCH($A3&amp;C2,$A$7:$A$19&amp;$B$7:$B$19,0),5)</f>
        <v>225776</v>
      </c>
      <c r="D3" s="4" cm="1">
        <f t="array" ref="D3">INDEX($A$7:$E$19,MATCH($A3&amp;D2,$A$7:$A$19&amp;$B$7:$B$19,0),5)</f>
        <v>249759</v>
      </c>
      <c r="E3" s="5"/>
      <c r="F3" s="18" cm="1">
        <f t="array" ref="F3">SUMPRODUCT(($A$8:$A$19=$A3)*($B$8:$B$19=B$2)*($E$8:$E$19))</f>
        <v>514272</v>
      </c>
      <c r="G3" s="18" cm="1">
        <f t="array" ref="G3">SUMPRODUCT(($A$8:$A$19=$A3)*($B$8:$B$19=C$2)*($E$8:$E$19))</f>
        <v>225776</v>
      </c>
      <c r="H3" s="18" cm="1">
        <f t="array" ref="H3">SUMPRODUCT(($A$8:$A$19=$A3)*($B$8:$B$19=D$2)*($E$8:$E$19))</f>
        <v>249759</v>
      </c>
      <c r="J3" s="17">
        <f>SUMIFS($E$8:$E$19,$A$8:$A$19,$A3,$B$8:$B$19,B$2)</f>
        <v>514272</v>
      </c>
      <c r="K3" s="17">
        <f t="shared" ref="K3:L4" si="0">SUMIFS($E$8:$E$19,$A$8:$A$19,$A3,$B$8:$B$19,C$2)</f>
        <v>225776</v>
      </c>
      <c r="L3" s="17">
        <f t="shared" si="0"/>
        <v>249759</v>
      </c>
    </row>
    <row r="4" spans="1:12" ht="15.6" x14ac:dyDescent="0.3">
      <c r="A4" s="4" t="s">
        <v>12</v>
      </c>
      <c r="B4" s="4" cm="1">
        <f t="array" ref="B4">SUMPRODUCT(($A$8:$A$19=$A$4)*($B$8:$B$19=B2)*($E$8:$E$19))</f>
        <v>514272</v>
      </c>
      <c r="C4" s="4" cm="1">
        <f t="array" ref="C4">SUMPRODUCT(($A$8:$A$19=$A$4)*($B$8:$B$19=C2)*($E$8:$E$19))</f>
        <v>225776</v>
      </c>
      <c r="D4" s="4" cm="1">
        <f t="array" ref="D4">SUMPRODUCT(($A$8:$A$19=$A$4)*($B$8:$B$19=D2)*($E$8:$E$19))</f>
        <v>249759</v>
      </c>
      <c r="E4" s="5"/>
      <c r="F4" s="18" cm="1">
        <f t="array" ref="F4">SUMPRODUCT(($A$8:$A$19=$A4)*($B$8:$B$19=B$2)*($E$8:$E$19))</f>
        <v>514272</v>
      </c>
      <c r="G4" s="18" cm="1">
        <f t="array" ref="G4">SUMPRODUCT(($A$8:$A$19=$A4)*($B$8:$B$19=C$2)*($E$8:$E$19))</f>
        <v>225776</v>
      </c>
      <c r="H4" s="18" cm="1">
        <f t="array" ref="H4">SUMPRODUCT(($A$8:$A$19=$A4)*($B$8:$B$19=D$2)*($E$8:$E$19))</f>
        <v>249759</v>
      </c>
      <c r="J4" s="17">
        <f>SUMIFS($E$8:$E$19,$A$8:$A$19,$A4,$B$8:$B$19,B$2)</f>
        <v>514272</v>
      </c>
      <c r="K4" s="17">
        <f t="shared" si="0"/>
        <v>225776</v>
      </c>
      <c r="L4" s="17">
        <f t="shared" si="0"/>
        <v>249759</v>
      </c>
    </row>
    <row r="5" spans="1:12" ht="15.6" x14ac:dyDescent="0.3">
      <c r="A5" s="4"/>
      <c r="B5" s="4"/>
      <c r="C5" s="4"/>
      <c r="D5" s="4"/>
      <c r="E5" s="4"/>
      <c r="F5" s="4"/>
      <c r="G5" s="4"/>
      <c r="H5" s="4"/>
    </row>
    <row r="6" spans="1:12" ht="15.6" x14ac:dyDescent="0.3">
      <c r="A6" s="4"/>
      <c r="B6" s="4"/>
      <c r="C6" s="4"/>
      <c r="D6" s="4"/>
      <c r="E6" s="4"/>
      <c r="F6" s="4"/>
      <c r="G6" s="4"/>
      <c r="H6" s="4"/>
    </row>
    <row r="7" spans="1:12" ht="31.2" x14ac:dyDescent="0.3">
      <c r="A7" s="6" t="s">
        <v>2</v>
      </c>
      <c r="B7" s="6" t="s">
        <v>3</v>
      </c>
      <c r="C7" s="6" t="s">
        <v>4</v>
      </c>
      <c r="D7" s="6" t="s">
        <v>5</v>
      </c>
      <c r="E7" s="6" t="s">
        <v>16</v>
      </c>
      <c r="F7" s="4"/>
      <c r="G7" s="4"/>
      <c r="H7" s="4"/>
    </row>
    <row r="8" spans="1:12" ht="15.6" x14ac:dyDescent="0.3">
      <c r="A8" s="4" t="s">
        <v>13</v>
      </c>
      <c r="B8" s="7">
        <v>45292</v>
      </c>
      <c r="C8" s="8">
        <v>14</v>
      </c>
      <c r="D8" s="9">
        <v>46085</v>
      </c>
      <c r="E8" s="9">
        <f>C8*D8</f>
        <v>645190</v>
      </c>
      <c r="F8" s="4"/>
      <c r="G8" s="4"/>
      <c r="H8" s="4"/>
    </row>
    <row r="9" spans="1:12" ht="15.6" x14ac:dyDescent="0.3">
      <c r="A9" s="4" t="s">
        <v>14</v>
      </c>
      <c r="B9" s="7">
        <v>45292</v>
      </c>
      <c r="C9" s="8">
        <v>6</v>
      </c>
      <c r="D9" s="9">
        <v>24474</v>
      </c>
      <c r="E9" s="9">
        <f t="shared" ref="E9:E19" si="1">C9*D9</f>
        <v>146844</v>
      </c>
      <c r="F9" s="4"/>
      <c r="G9" s="4">
        <f>SUMIFS($E$8:$E$19,$A$8:$A$19,$A3,$B$8:$B$19,B$2)</f>
        <v>514272</v>
      </c>
      <c r="H9" s="4">
        <f t="shared" ref="H9:I9" si="2">SUMIFS($E$8:$E$19,$A$8:$A$19,$A3,$B$8:$B$19,C$2)</f>
        <v>225776</v>
      </c>
      <c r="I9" s="4">
        <f t="shared" si="2"/>
        <v>249759</v>
      </c>
      <c r="J9" cm="1">
        <f t="array" ref="J9">SUMPRODUCT(($A$8:$A$19=$A3)*($B$8:$B$19=B$2)*($E$8:$E$19))</f>
        <v>514272</v>
      </c>
      <c r="K9" cm="1">
        <f t="array" ref="K9">SUMPRODUCT(($A$8:$A$19=$A3)*($B$8:$B$19=C$2)*($E$8:$E$19))</f>
        <v>225776</v>
      </c>
      <c r="L9" cm="1">
        <f t="array" ref="L9">SUMPRODUCT(($A$8:$A$19=$A3)*($B$8:$B$19=D$2)*($E$8:$E$19))</f>
        <v>249759</v>
      </c>
    </row>
    <row r="10" spans="1:12" ht="15.6" x14ac:dyDescent="0.3">
      <c r="A10" s="4" t="s">
        <v>15</v>
      </c>
      <c r="B10" s="7">
        <v>45292</v>
      </c>
      <c r="C10" s="8">
        <v>19</v>
      </c>
      <c r="D10" s="9">
        <v>40237</v>
      </c>
      <c r="E10" s="9">
        <f t="shared" si="1"/>
        <v>764503</v>
      </c>
      <c r="F10" s="4"/>
      <c r="G10" s="4">
        <f>SUMIFS($E$8:$E$19,$A$8:$A$19,$A4,$B$8:$B$19,B$2)</f>
        <v>514272</v>
      </c>
      <c r="H10" s="4">
        <f t="shared" ref="H10:I10" si="3">SUMIFS($E$8:$E$19,$A$8:$A$19,$A4,$B$8:$B$19,C$2)</f>
        <v>225776</v>
      </c>
      <c r="I10" s="4">
        <f t="shared" si="3"/>
        <v>249759</v>
      </c>
      <c r="J10" cm="1">
        <f t="array" ref="J10">SUMPRODUCT(($A$8:$A$19=$A4)*($B$8:$B$19=B$2)*($E$8:$E$19))</f>
        <v>514272</v>
      </c>
      <c r="K10" cm="1">
        <f t="array" ref="K10">SUMPRODUCT(($A$8:$A$19=$A4)*($B$8:$B$19=C$2)*($E$8:$E$19))</f>
        <v>225776</v>
      </c>
      <c r="L10" cm="1">
        <f t="array" ref="L10">SUMPRODUCT(($A$8:$A$19=$A4)*($B$8:$B$19=D$2)*($E$8:$E$19))</f>
        <v>249759</v>
      </c>
    </row>
    <row r="11" spans="1:12" ht="15.6" x14ac:dyDescent="0.3">
      <c r="A11" s="4" t="s">
        <v>12</v>
      </c>
      <c r="B11" s="7">
        <v>45292</v>
      </c>
      <c r="C11" s="8">
        <v>11</v>
      </c>
      <c r="D11" s="9">
        <v>46752</v>
      </c>
      <c r="E11" s="9">
        <f t="shared" si="1"/>
        <v>514272</v>
      </c>
      <c r="F11" s="4"/>
      <c r="G11" s="4"/>
      <c r="H11" s="4"/>
    </row>
    <row r="12" spans="1:12" ht="15.6" x14ac:dyDescent="0.3">
      <c r="A12" s="4" t="s">
        <v>13</v>
      </c>
      <c r="B12" s="7">
        <v>45323</v>
      </c>
      <c r="C12" s="8">
        <v>14</v>
      </c>
      <c r="D12" s="9">
        <v>36763</v>
      </c>
      <c r="E12" s="9">
        <f t="shared" si="1"/>
        <v>514682</v>
      </c>
      <c r="F12" s="4"/>
      <c r="G12" s="4"/>
      <c r="H12" s="4"/>
    </row>
    <row r="13" spans="1:12" ht="15.6" x14ac:dyDescent="0.3">
      <c r="A13" s="4" t="s">
        <v>14</v>
      </c>
      <c r="B13" s="7">
        <v>45323</v>
      </c>
      <c r="C13" s="8">
        <v>15</v>
      </c>
      <c r="D13" s="9">
        <v>27466</v>
      </c>
      <c r="E13" s="9">
        <f t="shared" si="1"/>
        <v>411990</v>
      </c>
      <c r="F13" s="4"/>
      <c r="G13" s="4"/>
      <c r="H13" s="4"/>
    </row>
    <row r="14" spans="1:12" ht="15.6" x14ac:dyDescent="0.3">
      <c r="A14" s="4" t="s">
        <v>15</v>
      </c>
      <c r="B14" s="7">
        <v>45323</v>
      </c>
      <c r="C14" s="8">
        <v>7</v>
      </c>
      <c r="D14" s="9">
        <v>41083</v>
      </c>
      <c r="E14" s="9">
        <f t="shared" si="1"/>
        <v>287581</v>
      </c>
      <c r="F14" s="4"/>
      <c r="G14" s="4"/>
      <c r="H14" s="4"/>
    </row>
    <row r="15" spans="1:12" ht="15.6" x14ac:dyDescent="0.3">
      <c r="A15" s="4" t="s">
        <v>12</v>
      </c>
      <c r="B15" s="7">
        <v>45323</v>
      </c>
      <c r="C15" s="8">
        <v>8</v>
      </c>
      <c r="D15" s="9">
        <v>28222</v>
      </c>
      <c r="E15" s="9">
        <f t="shared" si="1"/>
        <v>225776</v>
      </c>
      <c r="F15" s="4"/>
      <c r="G15" s="4"/>
      <c r="H15" s="4"/>
    </row>
    <row r="16" spans="1:12" ht="15.6" x14ac:dyDescent="0.3">
      <c r="A16" s="4" t="s">
        <v>13</v>
      </c>
      <c r="B16" s="7">
        <v>45352</v>
      </c>
      <c r="C16" s="8">
        <v>20</v>
      </c>
      <c r="D16" s="9">
        <v>46962</v>
      </c>
      <c r="E16" s="9">
        <f t="shared" si="1"/>
        <v>939240</v>
      </c>
      <c r="F16" s="4"/>
      <c r="G16" s="4"/>
      <c r="H16" s="4"/>
    </row>
    <row r="17" spans="1:8" ht="15.6" x14ac:dyDescent="0.3">
      <c r="A17" s="4" t="s">
        <v>14</v>
      </c>
      <c r="B17" s="7">
        <v>45352</v>
      </c>
      <c r="C17" s="8">
        <v>17</v>
      </c>
      <c r="D17" s="9">
        <v>45594</v>
      </c>
      <c r="E17" s="9">
        <f t="shared" si="1"/>
        <v>775098</v>
      </c>
      <c r="F17" s="4"/>
      <c r="G17" s="4"/>
      <c r="H17" s="4"/>
    </row>
    <row r="18" spans="1:8" ht="15.6" x14ac:dyDescent="0.3">
      <c r="A18" s="4" t="s">
        <v>15</v>
      </c>
      <c r="B18" s="7">
        <v>45352</v>
      </c>
      <c r="C18" s="8">
        <v>18</v>
      </c>
      <c r="D18" s="9">
        <v>34862</v>
      </c>
      <c r="E18" s="9">
        <f t="shared" si="1"/>
        <v>627516</v>
      </c>
      <c r="F18" s="4"/>
      <c r="G18" s="4"/>
      <c r="H18" s="4"/>
    </row>
    <row r="19" spans="1:8" ht="15.6" x14ac:dyDescent="0.3">
      <c r="A19" s="4" t="s">
        <v>12</v>
      </c>
      <c r="B19" s="7">
        <v>45352</v>
      </c>
      <c r="C19" s="8">
        <v>9</v>
      </c>
      <c r="D19" s="9">
        <v>27751</v>
      </c>
      <c r="E19" s="9">
        <f t="shared" si="1"/>
        <v>249759</v>
      </c>
      <c r="F19" s="4"/>
      <c r="G19" s="4"/>
      <c r="H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CJ#1</vt:lpstr>
      <vt:lpstr>CJ#2</vt:lpstr>
      <vt:lpstr>CJ#3</vt:lpstr>
      <vt:lpstr>CJ#4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 Jha</dc:creator>
  <cp:lastModifiedBy>Gursewak Singh</cp:lastModifiedBy>
  <dcterms:created xsi:type="dcterms:W3CDTF">2015-06-05T18:17:20Z</dcterms:created>
  <dcterms:modified xsi:type="dcterms:W3CDTF">2026-01-30T16:46:20Z</dcterms:modified>
</cp:coreProperties>
</file>