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EB3415B3-9696-4D96-87FD-BA5A93F5E50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7" r:id="rId1"/>
    <sheet name="Q2" sheetId="6" r:id="rId2"/>
    <sheet name="Q3" sheetId="4" r:id="rId3"/>
    <sheet name="Q4" sheetId="3" r:id="rId4"/>
    <sheet name="Q5" sheetId="5" r:id="rId5"/>
  </sheets>
  <externalReferences>
    <externalReference r:id="rId6"/>
  </externalReferences>
  <definedNames>
    <definedName name="Apr">'Q4'!$D$7:$D$93</definedName>
    <definedName name="Aug">'Q4'!$H$7:$H$93</definedName>
    <definedName name="CustomerAN">'[1]HW(45an)'!$E$8:$E$112</definedName>
    <definedName name="DateAN">'[1]HW(45an)'!$A$8:$A$112</definedName>
    <definedName name="DateDataAnswer">'[1](102an)'!$A$4:INDEX('[1](102an)'!$A$4:$A$100,COUNT('[1](102an)'!$A$4:$A$100))</definedName>
    <definedName name="Dec">'Q4'!$L$7:$L$93</definedName>
    <definedName name="Feb">'Q4'!$B$7:$B$93</definedName>
    <definedName name="Jan">'Q4'!$A$7:$A$93</definedName>
    <definedName name="Jul">'Q4'!$G$7:$G$93</definedName>
    <definedName name="Jun">'Q4'!$F$7:$F$93</definedName>
    <definedName name="Mar">'Q4'!$C$7:$C$93</definedName>
    <definedName name="May">'Q4'!$E$7:$E$93</definedName>
    <definedName name="Nov">'Q4'!$K$7:$K$93</definedName>
    <definedName name="Oct">'Q4'!$J$7:$J$93</definedName>
    <definedName name="ProductAN">'[1]HW(45an)'!$B$8:$B$112</definedName>
    <definedName name="SalesAN">'[1]HW(45an)'!$G$8:$G$112</definedName>
    <definedName name="SalesDataAnswer">'[1](102an)'!$B$4:INDEX('[1](102an)'!$B$4:$B$100,COUNT('[1](102an)'!$B$4:$B$100))</definedName>
    <definedName name="Sep">'Q4'!$I$7:$I$93</definedName>
  </definedNames>
  <calcPr calcId="191029"/>
  <pivotCaches>
    <pivotCache cacheId="0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13" i="4"/>
  <c r="F8" i="7" a="1"/>
  <c r="F8" i="7" s="1"/>
  <c r="D8" i="7" a="1"/>
  <c r="D8" i="7" s="1"/>
  <c r="D4" i="3"/>
  <c r="F12" i="4"/>
  <c r="N4" i="6" a="1"/>
  <c r="N4" i="6" s="1"/>
  <c r="F5" i="7" a="1"/>
  <c r="F5" i="7" s="1"/>
  <c r="D5" i="7" a="1"/>
  <c r="D5" i="7" s="1"/>
  <c r="C4" i="3"/>
  <c r="M15" i="6" l="1"/>
  <c r="M14" i="6"/>
  <c r="M13" i="6"/>
  <c r="M12" i="6"/>
  <c r="M11" i="6"/>
  <c r="M10" i="6"/>
  <c r="M9" i="6"/>
  <c r="M8" i="6"/>
  <c r="M7" i="6"/>
  <c r="M6" i="6"/>
  <c r="M5" i="6"/>
  <c r="M4" i="6"/>
  <c r="D12" i="4"/>
  <c r="A12" i="4"/>
  <c r="A1" i="4" s="1"/>
  <c r="B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<sst xmlns="http://schemas.openxmlformats.org/spreadsheetml/2006/main" count="303" uniqueCount="127">
  <si>
    <t xml:space="preserve">Solution: </t>
  </si>
  <si>
    <t>Ishu</t>
  </si>
  <si>
    <t>Rahul</t>
  </si>
  <si>
    <t>Sanjeev</t>
  </si>
  <si>
    <t>Deepak</t>
  </si>
  <si>
    <t>Saneev</t>
  </si>
  <si>
    <t>In cell B4 create a formula that will add the sales for the month. The formula should update when you change the value in cell B3.</t>
  </si>
  <si>
    <t>Month</t>
  </si>
  <si>
    <t>May</t>
  </si>
  <si>
    <t>Total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</si>
  <si>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</si>
  <si>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</si>
  <si>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</si>
  <si>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</si>
  <si>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</si>
  <si>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</si>
  <si>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</si>
  <si>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</si>
  <si>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</si>
  <si>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</si>
  <si>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</si>
  <si>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Date</t>
  </si>
  <si>
    <t>Product</t>
  </si>
  <si>
    <t>Sales</t>
  </si>
  <si>
    <t>Criteria 1</t>
  </si>
  <si>
    <t>Criteria 2</t>
  </si>
  <si>
    <t>Create a Pivot Table that shows the total sales for each month and the running totals for each month</t>
  </si>
  <si>
    <t>SalesRep</t>
  </si>
  <si>
    <t>Sum of Sales</t>
  </si>
  <si>
    <t>Grand Total</t>
  </si>
  <si>
    <t>Add Conditional Formatting to highlight the 5 largest values.</t>
  </si>
  <si>
    <t>Large?</t>
  </si>
  <si>
    <t>List</t>
  </si>
  <si>
    <t>Ishu Tiwari</t>
  </si>
  <si>
    <t>Amaninder Kaur</t>
  </si>
  <si>
    <t>Rakesh Singh</t>
  </si>
  <si>
    <t>Satish Ojha</t>
  </si>
  <si>
    <t>Sourav Maity</t>
  </si>
  <si>
    <t>Saljeet Yadav</t>
  </si>
  <si>
    <t>Jitender Kumar</t>
  </si>
  <si>
    <t>Abdul Salam</t>
  </si>
  <si>
    <t>Puran Singh</t>
  </si>
  <si>
    <t>Prashant Gupta</t>
  </si>
  <si>
    <t>Gaurav Bhatia</t>
  </si>
  <si>
    <t>Ankesh Kumar</t>
  </si>
  <si>
    <t>Situ Sahoo</t>
  </si>
  <si>
    <t>Tejpal Sain</t>
  </si>
  <si>
    <t>Samsung</t>
  </si>
  <si>
    <t>Nokia</t>
  </si>
  <si>
    <t>Sony</t>
  </si>
  <si>
    <t>Moto</t>
  </si>
  <si>
    <t>Oppo</t>
  </si>
  <si>
    <t>Sujata Mohanty</t>
  </si>
  <si>
    <t>Suraj Rajput</t>
  </si>
  <si>
    <t>Pramod Bhavsar</t>
  </si>
  <si>
    <t>Satsh Ojha</t>
  </si>
  <si>
    <t>Sintu Kumar</t>
  </si>
  <si>
    <t>Krutika Shelar</t>
  </si>
  <si>
    <t>Arjun Shaw</t>
  </si>
  <si>
    <t>Shrikant Badge</t>
  </si>
  <si>
    <t>Dharmendar Rana</t>
  </si>
  <si>
    <t>Adnan Soukat</t>
  </si>
  <si>
    <t>Sheetal Nishad</t>
  </si>
  <si>
    <t>Monika Pawar</t>
  </si>
  <si>
    <t>Meena Mourya</t>
  </si>
  <si>
    <t>Ashu Sharma</t>
  </si>
  <si>
    <t>Harivansh Gautam</t>
  </si>
  <si>
    <t>Vini Saini</t>
  </si>
  <si>
    <t>Anand Singh Rajput</t>
  </si>
  <si>
    <t>Jaishri Saxena</t>
  </si>
  <si>
    <t>Virender Sroha</t>
  </si>
  <si>
    <t>Arban Khan</t>
  </si>
  <si>
    <t>Naeem Khan</t>
  </si>
  <si>
    <t>Anmol Singh</t>
  </si>
  <si>
    <t>Dheeraj Attri</t>
  </si>
  <si>
    <t>Tarjit Malka</t>
  </si>
  <si>
    <t>Lokesh Singh Bisht</t>
  </si>
  <si>
    <t>Bhoopendra Raghav</t>
  </si>
  <si>
    <t>Ram Singh</t>
  </si>
  <si>
    <t>Shagor Ahmed</t>
  </si>
  <si>
    <t>Abir Sarkar</t>
  </si>
  <si>
    <t>Shiv Kumar</t>
  </si>
  <si>
    <t>Deeksha Agrawal</t>
  </si>
  <si>
    <t>Heman Gusain</t>
  </si>
  <si>
    <t>Vikram Kumar</t>
  </si>
  <si>
    <t>Ekanshika Kalra</t>
  </si>
  <si>
    <t>Rav Kumar</t>
  </si>
  <si>
    <t>Manpreet Kaur</t>
  </si>
  <si>
    <t>Sandeep Aswal</t>
  </si>
  <si>
    <t>Ayushi Patel</t>
  </si>
  <si>
    <t>Nadeem Ahmed</t>
  </si>
  <si>
    <t>Archana Kumari</t>
  </si>
  <si>
    <t>Asihwarya Ambasta</t>
  </si>
  <si>
    <t>Meenav Shah</t>
  </si>
  <si>
    <t>Karan Kapoor</t>
  </si>
  <si>
    <t>Sunil Kumar</t>
  </si>
  <si>
    <t>Shivam Daksh</t>
  </si>
  <si>
    <t>Banda Satyanarayana</t>
  </si>
  <si>
    <t>Harish Tote</t>
  </si>
  <si>
    <t>Ajay Singh</t>
  </si>
  <si>
    <t>Ajinkya Shinde</t>
  </si>
  <si>
    <t>Kishor Panara</t>
  </si>
  <si>
    <t>Prashant Pnajabi</t>
  </si>
  <si>
    <t>Vandan Dave</t>
  </si>
  <si>
    <t>Rakesh Ky</t>
  </si>
  <si>
    <t>Aftab Alam</t>
  </si>
  <si>
    <t>Sanjay Chaurasia</t>
  </si>
  <si>
    <t>Ubaidillah Muhammad</t>
  </si>
  <si>
    <t>Pavan Kumar</t>
  </si>
  <si>
    <t>Narayan Lohar</t>
  </si>
  <si>
    <t>Anil Hoge</t>
  </si>
  <si>
    <t>Rajnikant Kamble</t>
  </si>
  <si>
    <t>Raj Kumar</t>
  </si>
  <si>
    <t>Vicky Singh</t>
  </si>
  <si>
    <t>Aakanksha Srivastava</t>
  </si>
  <si>
    <t>Mahboob Hossain</t>
  </si>
  <si>
    <t>Kiran Dodke</t>
  </si>
  <si>
    <t>Paramjeet Singh</t>
  </si>
  <si>
    <t>Kanika Mathur</t>
  </si>
  <si>
    <t>Jyoti Chaudhary</t>
  </si>
  <si>
    <t>Feroz Khilji</t>
  </si>
  <si>
    <t>Sudhakar Arya</t>
  </si>
  <si>
    <t>What name is repeated maximum number of times and how many times</t>
  </si>
  <si>
    <t>Running Total</t>
  </si>
  <si>
    <t>Row Labels</t>
  </si>
  <si>
    <t>jan</t>
  </si>
  <si>
    <t>Sum of Sales2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</si>
</sst>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_(* #,##0.00_);_(* \(#,##0.00\);_(* &quot;-&quot;??_);_(@_)"/>
    <numFmt numFmtId="166" formatCode="m/d/yy"/>
    <numFmt numFmtId="167" formatCode="_(* #,##0_);_(* \(#,##0\);_(* &quot;-&quot;??_);_(@_)"/>
    <numFmt numFmtId="168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165" fontId="3" fillId="0" borderId="0" applyFont="0" applyFill="0" applyBorder="0" applyAlignment="0" applyProtection="0"/>
    <xf numFmtId="0" fontId="7" fillId="0" borderId="0"/>
  </cellStyleXfs>
  <cellXfs count="35">
    <xf numFmtId="0" fontId="0" fillId="0" borderId="0" xfId="0"/>
    <xf numFmtId="0" fontId="2" fillId="2" borderId="0" xfId="1" applyFont="1"/>
    <xf numFmtId="0" fontId="2" fillId="0" borderId="0" xfId="0" applyFont="1"/>
    <xf numFmtId="0" fontId="0" fillId="0" borderId="0" xfId="0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6" fillId="5" borderId="1" xfId="0" applyFont="1" applyFill="1" applyBorder="1"/>
    <xf numFmtId="0" fontId="0" fillId="3" borderId="2" xfId="0" applyFill="1" applyBorder="1" applyAlignment="1">
      <alignment horizontal="centerContinuous" wrapText="1"/>
    </xf>
    <xf numFmtId="0" fontId="0" fillId="3" borderId="3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6" fillId="5" borderId="1" xfId="0" applyFont="1" applyFill="1" applyBorder="1" applyAlignment="1">
      <alignment wrapText="1"/>
    </xf>
    <xf numFmtId="166" fontId="0" fillId="0" borderId="1" xfId="0" applyNumberFormat="1" applyBorder="1"/>
    <xf numFmtId="167" fontId="0" fillId="0" borderId="1" xfId="2" applyNumberFormat="1" applyFont="1" applyBorder="1"/>
    <xf numFmtId="0" fontId="6" fillId="5" borderId="2" xfId="0" applyFont="1" applyFill="1" applyBorder="1" applyAlignment="1">
      <alignment horizontal="centerContinuous" wrapText="1"/>
    </xf>
    <xf numFmtId="0" fontId="6" fillId="5" borderId="3" xfId="0" applyFont="1" applyFill="1" applyBorder="1" applyAlignment="1">
      <alignment horizontal="centerContinuous" wrapText="1"/>
    </xf>
    <xf numFmtId="0" fontId="6" fillId="5" borderId="4" xfId="0" applyFont="1" applyFill="1" applyBorder="1" applyAlignment="1">
      <alignment horizontal="centerContinuous" wrapText="1"/>
    </xf>
    <xf numFmtId="167" fontId="0" fillId="4" borderId="1" xfId="0" applyNumberFormat="1" applyFill="1" applyBorder="1"/>
    <xf numFmtId="14" fontId="0" fillId="0" borderId="0" xfId="0" applyNumberFormat="1"/>
    <xf numFmtId="168" fontId="0" fillId="0" borderId="0" xfId="0" applyNumberFormat="1"/>
    <xf numFmtId="0" fontId="0" fillId="4" borderId="5" xfId="0" applyFill="1" applyBorder="1"/>
    <xf numFmtId="0" fontId="0" fillId="4" borderId="1" xfId="0" applyFill="1" applyBorder="1"/>
    <xf numFmtId="0" fontId="6" fillId="0" borderId="0" xfId="0" applyFont="1" applyAlignment="1">
      <alignment wrapText="1"/>
    </xf>
    <xf numFmtId="167" fontId="0" fillId="0" borderId="0" xfId="2" applyNumberFormat="1" applyFont="1" applyFill="1" applyBorder="1"/>
    <xf numFmtId="0" fontId="6" fillId="5" borderId="1" xfId="0" applyFont="1" applyFill="1" applyBorder="1" applyAlignment="1">
      <alignment horizontal="centerContinuous" wrapText="1"/>
    </xf>
    <xf numFmtId="0" fontId="0" fillId="0" borderId="0" xfId="0" pivotButton="1"/>
    <xf numFmtId="14" fontId="0" fillId="0" borderId="4" xfId="0" applyNumberFormat="1" applyBorder="1"/>
    <xf numFmtId="0" fontId="0" fillId="0" borderId="2" xfId="0" applyBorder="1"/>
    <xf numFmtId="0" fontId="4" fillId="5" borderId="6" xfId="0" applyFont="1" applyFill="1" applyBorder="1"/>
    <xf numFmtId="0" fontId="4" fillId="5" borderId="5" xfId="0" applyFont="1" applyFill="1" applyBorder="1"/>
    <xf numFmtId="0" fontId="4" fillId="5" borderId="7" xfId="0" applyFont="1" applyFill="1" applyBorder="1"/>
    <xf numFmtId="14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NumberFormat="1"/>
  </cellXfs>
  <cellStyles count="4">
    <cellStyle name="Comma" xfId="2" builtinId="3"/>
    <cellStyle name="Neutral" xfId="1" builtinId="28"/>
    <cellStyle name="Normal" xfId="0" builtinId="0"/>
    <cellStyle name="Normal 3" xfId="3" xr:uid="{19636BC7-AD2B-436C-8C09-A95E28FB0DFE}"/>
  </cellStyles>
  <dxfs count="19"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FF0000"/>
        </patternFill>
      </fill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%20CLASS%20LECTURE\MIS%20ADVANCE%20EXCEL%20DAYWISE%20CLASS\ADVANCE%20INTERVIEW%20TRICKS\REVISION%20SERIES\Excel100QuesRevis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  <sheetName val="HW(14)"/>
      <sheetName val="HW(14an)"/>
      <sheetName val="HW(15)"/>
      <sheetName val="HW(15an)"/>
      <sheetName val="HW(16)"/>
      <sheetName val="HW(16an)"/>
      <sheetName val="HW(17)"/>
      <sheetName val="HW(17an)"/>
      <sheetName val="HW(18)"/>
      <sheetName val="HW(18an)"/>
      <sheetName val="HW(19)"/>
      <sheetName val="HW(19an)"/>
      <sheetName val="HW(20)"/>
      <sheetName val="HW(20an)"/>
      <sheetName val="HW(21)"/>
      <sheetName val="HW(21an)"/>
      <sheetName val="HW(22)"/>
      <sheetName val="HW(22an)"/>
      <sheetName val="HW(23)"/>
      <sheetName val="HW(23an)"/>
      <sheetName val="HW(24)"/>
      <sheetName val="HW(24an)"/>
      <sheetName val="HW(25)"/>
      <sheetName val="HW(25an)"/>
      <sheetName val="HW(26)"/>
      <sheetName val="HW(26an)"/>
      <sheetName val="HW(27)"/>
      <sheetName val="HW(27an)"/>
      <sheetName val="HW(28)"/>
      <sheetName val="HW(28an)"/>
      <sheetName val="HW(29)"/>
      <sheetName val="HW(29an)"/>
      <sheetName val="HW(30)"/>
      <sheetName val="HW(30an)"/>
      <sheetName val="HW(31)"/>
      <sheetName val="HW(31an)"/>
      <sheetName val="HW(32)"/>
      <sheetName val="HW(32an)"/>
      <sheetName val="HW(33)"/>
      <sheetName val="HW(33an)"/>
      <sheetName val="HW(34)"/>
      <sheetName val="HW(34an)"/>
      <sheetName val="HW(35)"/>
      <sheetName val="HW(35an)"/>
      <sheetName val="HW(36)"/>
      <sheetName val="HW(36an)"/>
      <sheetName val="HW(37)"/>
      <sheetName val="HW(37an)"/>
      <sheetName val="HW(38)"/>
      <sheetName val="HW(38an)"/>
      <sheetName val="HW(39)"/>
      <sheetName val="HW(39an)"/>
      <sheetName val="HW(40)"/>
      <sheetName val="HW(40an)"/>
      <sheetName val="HW(41)"/>
      <sheetName val="HW(41an)"/>
      <sheetName val="HW(42)"/>
      <sheetName val="HW(42an)"/>
      <sheetName val="HW(43)"/>
      <sheetName val="AssumptionsFor43"/>
      <sheetName val="HW(43an)"/>
      <sheetName val="HW(44)"/>
      <sheetName val="HW(44an)"/>
      <sheetName val="HW(45)"/>
      <sheetName val="HW(45an)"/>
      <sheetName val="HW(46)"/>
      <sheetName val="HW(46an)"/>
      <sheetName val="HW(47)"/>
      <sheetName val="HW(47an)"/>
      <sheetName val="HW(48)"/>
      <sheetName val="HW(48an)"/>
      <sheetName val="HW(49)"/>
      <sheetName val="HW(49an)"/>
      <sheetName val="HW(50)"/>
      <sheetName val="HW(50an)"/>
      <sheetName val="HW(51)"/>
      <sheetName val="HW(51an)"/>
      <sheetName val="HW(52)"/>
      <sheetName val="HW(52an)"/>
      <sheetName val="HW(53)"/>
      <sheetName val="HW(53an)"/>
      <sheetName val="HW(54)"/>
      <sheetName val="HW(54an)"/>
      <sheetName val="HW(55)"/>
      <sheetName val="HW(55an)"/>
      <sheetName val="HW(56)"/>
      <sheetName val="HW(56an)"/>
      <sheetName val="HW(57)"/>
      <sheetName val="HW(57an)"/>
      <sheetName val="HW(58)"/>
      <sheetName val="HW(58an)"/>
      <sheetName val="HW(59)"/>
      <sheetName val="HW(59an)"/>
      <sheetName val="HW(60)"/>
      <sheetName val="HW(60an)"/>
      <sheetName val="HW(61)"/>
      <sheetName val="HW(61an)"/>
      <sheetName val="HW(62)"/>
      <sheetName val="HW(62an)"/>
      <sheetName val="HW(63)"/>
      <sheetName val="HW(63an)"/>
      <sheetName val="HW(64)"/>
      <sheetName val="HW(64an)"/>
      <sheetName val="HW(65)"/>
      <sheetName val="HW(65an)"/>
      <sheetName val="HW(66)"/>
      <sheetName val="HW(66an)"/>
      <sheetName val="HW(67)"/>
      <sheetName val="HW(67an)"/>
      <sheetName val="HW(68)"/>
      <sheetName val="HW(68an)"/>
      <sheetName val="HW(69)"/>
      <sheetName val="HW(69an)"/>
      <sheetName val="HW(70)"/>
      <sheetName val="HW(70an)"/>
      <sheetName val="HW(71)"/>
      <sheetName val="HW(71an)"/>
      <sheetName val="HW(72)"/>
      <sheetName val="HW(72an)"/>
      <sheetName val="HW(73)"/>
      <sheetName val="HW(73an)"/>
      <sheetName val="HW(74)"/>
      <sheetName val="HW(74an)"/>
      <sheetName val="HW(75)"/>
      <sheetName val="HW(75an)"/>
      <sheetName val="HW(76)"/>
      <sheetName val="HW(76an)"/>
      <sheetName val="HW(77)"/>
      <sheetName val="HW(77an)"/>
      <sheetName val="HW(78)"/>
      <sheetName val="HW(78an)"/>
      <sheetName val="HW(79)"/>
      <sheetName val="HW(79an)"/>
      <sheetName val="HW(80)"/>
      <sheetName val="HW(80an)"/>
      <sheetName val="HW(81)"/>
      <sheetName val="HW(81an)"/>
      <sheetName val="HW(82)"/>
      <sheetName val="HW(82an)"/>
      <sheetName val="HW(83)"/>
      <sheetName val="HW(83an)"/>
      <sheetName val="HW(84)"/>
      <sheetName val="HW(84an)"/>
      <sheetName val="HW(85)"/>
      <sheetName val="HW(85an)"/>
      <sheetName val="HW(86)"/>
      <sheetName val="HW(86an)"/>
      <sheetName val="HW(87)"/>
      <sheetName val="HW(87an)"/>
      <sheetName val="HW(88)"/>
      <sheetName val="HW(88an)"/>
      <sheetName val="HW(89)"/>
      <sheetName val="HW(89an)"/>
      <sheetName val="HW(90)"/>
      <sheetName val="HW(90an)"/>
      <sheetName val="HW(91)"/>
      <sheetName val="HW(91an)"/>
      <sheetName val="HW(92)"/>
      <sheetName val="HW(92an)"/>
      <sheetName val="HW(93)"/>
      <sheetName val="HW(93an)"/>
      <sheetName val="HW(94)"/>
      <sheetName val="HW(94an)"/>
      <sheetName val="(HW95)"/>
      <sheetName val="(HW95an)"/>
      <sheetName val="(HW96)"/>
      <sheetName val="(HW96an)"/>
      <sheetName val="HW(97)"/>
      <sheetName val="HW(97an)"/>
      <sheetName val="HW(98)"/>
      <sheetName val="HW(98an)"/>
      <sheetName val="HW(99)"/>
      <sheetName val="HW(99an)"/>
      <sheetName val="HW(100)"/>
      <sheetName val="HW(100an)"/>
      <sheetName val="Extra==&gt;&gt;"/>
      <sheetName val="(101.1)"/>
      <sheetName val="(101.2)"/>
      <sheetName val="(101.3)"/>
      <sheetName val="(101.1an)"/>
      <sheetName val="(101.2an)"/>
      <sheetName val="(101.3an)"/>
      <sheetName val="(102)"/>
      <sheetName val="(102an)"/>
      <sheetName val="(103)"/>
      <sheetName val="(103a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>
        <row r="8">
          <cell r="A8">
            <v>40569</v>
          </cell>
          <cell r="B8" t="str">
            <v>Bellen</v>
          </cell>
          <cell r="E8" t="str">
            <v>FRED</v>
          </cell>
          <cell r="G8">
            <v>5000</v>
          </cell>
        </row>
        <row r="9">
          <cell r="A9">
            <v>40553</v>
          </cell>
          <cell r="B9" t="str">
            <v>Bellen</v>
          </cell>
          <cell r="E9" t="str">
            <v>FM</v>
          </cell>
          <cell r="G9">
            <v>154</v>
          </cell>
        </row>
        <row r="10">
          <cell r="A10">
            <v>40546</v>
          </cell>
          <cell r="B10" t="str">
            <v>Sunshine</v>
          </cell>
          <cell r="E10" t="str">
            <v>PCC</v>
          </cell>
          <cell r="G10">
            <v>114</v>
          </cell>
        </row>
        <row r="11">
          <cell r="A11">
            <v>40550</v>
          </cell>
          <cell r="B11" t="str">
            <v>Sunset</v>
          </cell>
          <cell r="E11" t="str">
            <v>T</v>
          </cell>
          <cell r="G11">
            <v>1281</v>
          </cell>
        </row>
        <row r="12">
          <cell r="A12">
            <v>40561</v>
          </cell>
          <cell r="B12" t="str">
            <v>Sunshine</v>
          </cell>
          <cell r="E12" t="str">
            <v>AST</v>
          </cell>
          <cell r="G12">
            <v>152</v>
          </cell>
        </row>
        <row r="13">
          <cell r="A13">
            <v>40563</v>
          </cell>
          <cell r="B13" t="str">
            <v>Carlota</v>
          </cell>
          <cell r="E13" t="str">
            <v>ET</v>
          </cell>
          <cell r="G13">
            <v>1357</v>
          </cell>
        </row>
        <row r="14">
          <cell r="A14">
            <v>40569</v>
          </cell>
          <cell r="B14" t="str">
            <v>Bellen</v>
          </cell>
          <cell r="E14" t="str">
            <v>PSA</v>
          </cell>
          <cell r="G14">
            <v>462</v>
          </cell>
        </row>
        <row r="15">
          <cell r="A15">
            <v>40550</v>
          </cell>
          <cell r="B15" t="str">
            <v>Carlota</v>
          </cell>
          <cell r="E15" t="str">
            <v>HHH</v>
          </cell>
          <cell r="G15">
            <v>276</v>
          </cell>
        </row>
        <row r="16">
          <cell r="A16">
            <v>40548</v>
          </cell>
          <cell r="B16" t="str">
            <v>Carlota</v>
          </cell>
          <cell r="E16" t="str">
            <v>ITTW</v>
          </cell>
          <cell r="G16">
            <v>1380</v>
          </cell>
        </row>
        <row r="17">
          <cell r="A17">
            <v>40560</v>
          </cell>
          <cell r="B17" t="str">
            <v>Quad</v>
          </cell>
          <cell r="E17" t="str">
            <v>HII</v>
          </cell>
          <cell r="G17">
            <v>1674</v>
          </cell>
        </row>
        <row r="18">
          <cell r="A18">
            <v>40571</v>
          </cell>
          <cell r="B18" t="str">
            <v>Sunshine</v>
          </cell>
          <cell r="E18" t="str">
            <v>FRED</v>
          </cell>
          <cell r="G18">
            <v>969</v>
          </cell>
        </row>
        <row r="19">
          <cell r="A19">
            <v>40560</v>
          </cell>
          <cell r="B19" t="str">
            <v>Quad</v>
          </cell>
          <cell r="E19" t="str">
            <v>SFWK</v>
          </cell>
          <cell r="G19">
            <v>1161</v>
          </cell>
        </row>
        <row r="20">
          <cell r="A20">
            <v>40559</v>
          </cell>
          <cell r="B20" t="str">
            <v>Bellen</v>
          </cell>
          <cell r="E20" t="str">
            <v>YTR</v>
          </cell>
          <cell r="G20">
            <v>1232</v>
          </cell>
        </row>
        <row r="21">
          <cell r="A21">
            <v>40558</v>
          </cell>
          <cell r="B21" t="str">
            <v>Sunshine</v>
          </cell>
          <cell r="E21" t="str">
            <v>YTR</v>
          </cell>
          <cell r="G21">
            <v>209</v>
          </cell>
        </row>
        <row r="22">
          <cell r="A22">
            <v>40555</v>
          </cell>
          <cell r="B22" t="str">
            <v>Bellen</v>
          </cell>
          <cell r="E22" t="str">
            <v>WT</v>
          </cell>
          <cell r="G22">
            <v>154</v>
          </cell>
        </row>
        <row r="23">
          <cell r="A23">
            <v>40546</v>
          </cell>
          <cell r="B23" t="str">
            <v>Sunset</v>
          </cell>
          <cell r="E23" t="str">
            <v>WSD</v>
          </cell>
          <cell r="G23">
            <v>483</v>
          </cell>
        </row>
        <row r="24">
          <cell r="A24">
            <v>40565</v>
          </cell>
          <cell r="B24" t="str">
            <v>Carlota</v>
          </cell>
          <cell r="E24" t="str">
            <v>KBTB</v>
          </cell>
          <cell r="G24">
            <v>667</v>
          </cell>
        </row>
        <row r="25">
          <cell r="A25">
            <v>40564</v>
          </cell>
          <cell r="B25" t="str">
            <v>Quad</v>
          </cell>
          <cell r="E25" t="str">
            <v>ITW</v>
          </cell>
          <cell r="G25">
            <v>1512</v>
          </cell>
        </row>
        <row r="26">
          <cell r="A26">
            <v>40556</v>
          </cell>
          <cell r="B26" t="str">
            <v>Sunshine</v>
          </cell>
          <cell r="E26" t="str">
            <v>PSA</v>
          </cell>
          <cell r="G26">
            <v>627</v>
          </cell>
        </row>
        <row r="27">
          <cell r="A27">
            <v>40553</v>
          </cell>
          <cell r="B27" t="str">
            <v>Quad</v>
          </cell>
          <cell r="E27" t="str">
            <v>KBTB</v>
          </cell>
          <cell r="G27">
            <v>1755</v>
          </cell>
        </row>
        <row r="28">
          <cell r="A28">
            <v>40551</v>
          </cell>
          <cell r="B28" t="str">
            <v>Quad</v>
          </cell>
          <cell r="E28" t="str">
            <v>HII</v>
          </cell>
          <cell r="G28">
            <v>432</v>
          </cell>
        </row>
        <row r="29">
          <cell r="A29">
            <v>40549</v>
          </cell>
          <cell r="B29" t="str">
            <v>Quad</v>
          </cell>
          <cell r="E29" t="str">
            <v>PCC</v>
          </cell>
          <cell r="G29">
            <v>1728</v>
          </cell>
        </row>
        <row r="30">
          <cell r="A30">
            <v>40569</v>
          </cell>
          <cell r="B30" t="str">
            <v>Sunset</v>
          </cell>
          <cell r="E30" t="str">
            <v>DFGH</v>
          </cell>
          <cell r="G30">
            <v>924</v>
          </cell>
        </row>
        <row r="31">
          <cell r="A31">
            <v>40564</v>
          </cell>
          <cell r="B31" t="str">
            <v>Sunshine</v>
          </cell>
          <cell r="E31" t="str">
            <v>QT</v>
          </cell>
          <cell r="G31">
            <v>1216</v>
          </cell>
        </row>
        <row r="32">
          <cell r="A32">
            <v>40550</v>
          </cell>
          <cell r="B32" t="str">
            <v>Bellen</v>
          </cell>
          <cell r="E32" t="str">
            <v>T</v>
          </cell>
          <cell r="G32">
            <v>594</v>
          </cell>
        </row>
        <row r="33">
          <cell r="A33">
            <v>40563</v>
          </cell>
          <cell r="B33" t="str">
            <v>Bellen</v>
          </cell>
          <cell r="E33" t="str">
            <v>PSA</v>
          </cell>
          <cell r="G33">
            <v>220</v>
          </cell>
        </row>
        <row r="34">
          <cell r="A34">
            <v>40552</v>
          </cell>
          <cell r="B34" t="str">
            <v>Bellen</v>
          </cell>
          <cell r="E34" t="str">
            <v>WSD</v>
          </cell>
          <cell r="G34">
            <v>572</v>
          </cell>
        </row>
        <row r="35">
          <cell r="A35">
            <v>40550</v>
          </cell>
          <cell r="B35" t="str">
            <v>Sunset</v>
          </cell>
          <cell r="E35" t="str">
            <v>PCC</v>
          </cell>
          <cell r="G35">
            <v>462</v>
          </cell>
        </row>
        <row r="36">
          <cell r="A36">
            <v>40572</v>
          </cell>
          <cell r="B36" t="str">
            <v>Bellen</v>
          </cell>
          <cell r="E36" t="str">
            <v>AST</v>
          </cell>
          <cell r="G36">
            <v>1100</v>
          </cell>
        </row>
        <row r="37">
          <cell r="A37">
            <v>40573</v>
          </cell>
          <cell r="B37" t="str">
            <v>Sunshine</v>
          </cell>
          <cell r="E37" t="str">
            <v>TTT</v>
          </cell>
          <cell r="G37">
            <v>437</v>
          </cell>
        </row>
        <row r="38">
          <cell r="A38">
            <v>40573</v>
          </cell>
          <cell r="B38" t="str">
            <v>Sunshine</v>
          </cell>
          <cell r="E38" t="str">
            <v>DFR</v>
          </cell>
          <cell r="G38">
            <v>931</v>
          </cell>
        </row>
        <row r="39">
          <cell r="A39">
            <v>40571</v>
          </cell>
          <cell r="B39" t="str">
            <v>Carlota</v>
          </cell>
          <cell r="E39" t="str">
            <v>LOP</v>
          </cell>
          <cell r="G39">
            <v>345</v>
          </cell>
        </row>
        <row r="40">
          <cell r="A40">
            <v>40544</v>
          </cell>
          <cell r="B40" t="str">
            <v>Quad</v>
          </cell>
          <cell r="E40" t="str">
            <v>AA</v>
          </cell>
          <cell r="G40">
            <v>432</v>
          </cell>
        </row>
        <row r="41">
          <cell r="A41">
            <v>40573</v>
          </cell>
          <cell r="B41" t="str">
            <v>Quad</v>
          </cell>
          <cell r="E41" t="str">
            <v>TTT</v>
          </cell>
          <cell r="G41">
            <v>675</v>
          </cell>
        </row>
        <row r="42">
          <cell r="A42">
            <v>40559</v>
          </cell>
          <cell r="B42" t="str">
            <v>Carlota</v>
          </cell>
          <cell r="E42" t="str">
            <v>QT</v>
          </cell>
          <cell r="G42">
            <v>713</v>
          </cell>
        </row>
        <row r="43">
          <cell r="A43">
            <v>40567</v>
          </cell>
          <cell r="B43" t="str">
            <v>Quad</v>
          </cell>
          <cell r="E43" t="str">
            <v>HII</v>
          </cell>
          <cell r="G43">
            <v>1701</v>
          </cell>
        </row>
        <row r="44">
          <cell r="A44">
            <v>40568</v>
          </cell>
          <cell r="B44" t="str">
            <v>Sunshine</v>
          </cell>
          <cell r="E44" t="str">
            <v>JAQ</v>
          </cell>
          <cell r="G44">
            <v>399</v>
          </cell>
        </row>
        <row r="45">
          <cell r="A45">
            <v>40564</v>
          </cell>
          <cell r="B45" t="str">
            <v>Sunshine</v>
          </cell>
          <cell r="E45" t="str">
            <v>DFR</v>
          </cell>
          <cell r="G45">
            <v>437</v>
          </cell>
        </row>
        <row r="46">
          <cell r="A46">
            <v>40561</v>
          </cell>
          <cell r="B46" t="str">
            <v>Bellen</v>
          </cell>
          <cell r="E46" t="str">
            <v>DFR</v>
          </cell>
          <cell r="G46">
            <v>1298</v>
          </cell>
        </row>
        <row r="47">
          <cell r="A47">
            <v>40556</v>
          </cell>
          <cell r="B47" t="str">
            <v>Bellen</v>
          </cell>
          <cell r="E47" t="str">
            <v>PLOT</v>
          </cell>
          <cell r="G47">
            <v>1254</v>
          </cell>
        </row>
        <row r="48">
          <cell r="A48">
            <v>40564</v>
          </cell>
          <cell r="B48" t="str">
            <v>Quad</v>
          </cell>
          <cell r="E48" t="str">
            <v>FM</v>
          </cell>
          <cell r="G48">
            <v>1566</v>
          </cell>
        </row>
        <row r="49">
          <cell r="A49">
            <v>40552</v>
          </cell>
          <cell r="B49" t="str">
            <v>Sunshine</v>
          </cell>
          <cell r="E49" t="str">
            <v>PCC</v>
          </cell>
          <cell r="G49">
            <v>798</v>
          </cell>
        </row>
        <row r="50">
          <cell r="A50">
            <v>40552</v>
          </cell>
          <cell r="B50" t="str">
            <v>Bellen</v>
          </cell>
          <cell r="E50" t="str">
            <v>QT</v>
          </cell>
          <cell r="G50">
            <v>330</v>
          </cell>
        </row>
        <row r="51">
          <cell r="A51">
            <v>40570</v>
          </cell>
          <cell r="B51" t="str">
            <v>Carlota</v>
          </cell>
          <cell r="E51" t="str">
            <v>QT</v>
          </cell>
          <cell r="G51">
            <v>230</v>
          </cell>
        </row>
        <row r="52">
          <cell r="A52">
            <v>40549</v>
          </cell>
          <cell r="B52" t="str">
            <v>Carlota</v>
          </cell>
          <cell r="E52" t="str">
            <v>KPSA</v>
          </cell>
          <cell r="G52">
            <v>414</v>
          </cell>
        </row>
        <row r="53">
          <cell r="A53">
            <v>40553</v>
          </cell>
          <cell r="B53" t="str">
            <v>Sunset</v>
          </cell>
          <cell r="E53" t="str">
            <v>TRU</v>
          </cell>
          <cell r="G53">
            <v>567</v>
          </cell>
        </row>
        <row r="54">
          <cell r="A54">
            <v>40564</v>
          </cell>
          <cell r="B54" t="str">
            <v>Sunset</v>
          </cell>
          <cell r="E54" t="str">
            <v>HHH</v>
          </cell>
          <cell r="G54">
            <v>273</v>
          </cell>
        </row>
        <row r="55">
          <cell r="A55">
            <v>40565</v>
          </cell>
          <cell r="B55" t="str">
            <v>Bellen</v>
          </cell>
          <cell r="E55" t="str">
            <v>YTR</v>
          </cell>
          <cell r="G55">
            <v>770</v>
          </cell>
        </row>
        <row r="56">
          <cell r="A56">
            <v>40546</v>
          </cell>
          <cell r="B56" t="str">
            <v>Sunshine</v>
          </cell>
          <cell r="E56" t="str">
            <v>FM</v>
          </cell>
          <cell r="G56">
            <v>722</v>
          </cell>
        </row>
        <row r="57">
          <cell r="A57">
            <v>40553</v>
          </cell>
          <cell r="B57" t="str">
            <v>Carlota</v>
          </cell>
          <cell r="E57" t="str">
            <v>AA</v>
          </cell>
          <cell r="G57">
            <v>1449</v>
          </cell>
        </row>
        <row r="58">
          <cell r="A58">
            <v>40565</v>
          </cell>
          <cell r="B58" t="str">
            <v>Quad</v>
          </cell>
          <cell r="E58" t="str">
            <v>FM</v>
          </cell>
          <cell r="G58">
            <v>783</v>
          </cell>
        </row>
        <row r="59">
          <cell r="A59">
            <v>40571</v>
          </cell>
          <cell r="B59" t="str">
            <v>Sunset</v>
          </cell>
          <cell r="E59" t="str">
            <v>ZAT</v>
          </cell>
          <cell r="G59">
            <v>756</v>
          </cell>
        </row>
        <row r="60">
          <cell r="A60">
            <v>40553</v>
          </cell>
          <cell r="B60" t="str">
            <v>Quad</v>
          </cell>
          <cell r="E60" t="str">
            <v>DFR</v>
          </cell>
          <cell r="G60">
            <v>459</v>
          </cell>
        </row>
        <row r="61">
          <cell r="A61">
            <v>40560</v>
          </cell>
          <cell r="B61" t="str">
            <v>Bellen</v>
          </cell>
          <cell r="E61" t="str">
            <v>PCC</v>
          </cell>
          <cell r="G61">
            <v>352</v>
          </cell>
        </row>
        <row r="62">
          <cell r="A62">
            <v>40563</v>
          </cell>
          <cell r="B62" t="str">
            <v>Sunshine</v>
          </cell>
          <cell r="E62" t="str">
            <v>YTR</v>
          </cell>
          <cell r="G62">
            <v>1102</v>
          </cell>
        </row>
        <row r="63">
          <cell r="A63">
            <v>40561</v>
          </cell>
          <cell r="B63" t="str">
            <v>Bellen</v>
          </cell>
          <cell r="E63" t="str">
            <v>DFGH</v>
          </cell>
          <cell r="G63">
            <v>440</v>
          </cell>
        </row>
        <row r="64">
          <cell r="A64">
            <v>40556</v>
          </cell>
          <cell r="B64" t="str">
            <v>Bellen</v>
          </cell>
          <cell r="E64" t="str">
            <v>PSA</v>
          </cell>
          <cell r="G64">
            <v>880</v>
          </cell>
        </row>
        <row r="65">
          <cell r="A65">
            <v>40557</v>
          </cell>
          <cell r="B65" t="str">
            <v>Carlota</v>
          </cell>
          <cell r="E65" t="str">
            <v>JAQ</v>
          </cell>
          <cell r="G65">
            <v>782</v>
          </cell>
        </row>
        <row r="66">
          <cell r="A66">
            <v>40560</v>
          </cell>
          <cell r="B66" t="str">
            <v>Quad</v>
          </cell>
          <cell r="E66" t="str">
            <v>EPP</v>
          </cell>
          <cell r="G66">
            <v>1647</v>
          </cell>
        </row>
        <row r="67">
          <cell r="A67">
            <v>40555</v>
          </cell>
          <cell r="B67" t="str">
            <v>Sunset</v>
          </cell>
          <cell r="E67" t="str">
            <v>ITW</v>
          </cell>
          <cell r="G67">
            <v>399</v>
          </cell>
        </row>
        <row r="68">
          <cell r="A68">
            <v>40549</v>
          </cell>
          <cell r="B68" t="str">
            <v>Sunshine</v>
          </cell>
          <cell r="E68" t="str">
            <v>QT</v>
          </cell>
          <cell r="G68">
            <v>760</v>
          </cell>
        </row>
        <row r="69">
          <cell r="A69">
            <v>40562</v>
          </cell>
          <cell r="B69" t="str">
            <v>Bellen</v>
          </cell>
          <cell r="E69" t="str">
            <v>T</v>
          </cell>
          <cell r="G69">
            <v>770</v>
          </cell>
        </row>
        <row r="70">
          <cell r="A70">
            <v>40569</v>
          </cell>
          <cell r="B70" t="str">
            <v>Bellen</v>
          </cell>
          <cell r="E70" t="str">
            <v>KPSA</v>
          </cell>
          <cell r="G70">
            <v>374</v>
          </cell>
        </row>
        <row r="71">
          <cell r="A71">
            <v>40548</v>
          </cell>
          <cell r="B71" t="str">
            <v>Sunset</v>
          </cell>
          <cell r="E71" t="str">
            <v>TTT</v>
          </cell>
          <cell r="G71">
            <v>1197</v>
          </cell>
        </row>
        <row r="72">
          <cell r="A72">
            <v>40571</v>
          </cell>
          <cell r="B72" t="str">
            <v>Carlota</v>
          </cell>
          <cell r="E72" t="str">
            <v>MNGD</v>
          </cell>
          <cell r="G72">
            <v>1058</v>
          </cell>
        </row>
        <row r="73">
          <cell r="A73">
            <v>40553</v>
          </cell>
          <cell r="B73" t="str">
            <v>Sunshine</v>
          </cell>
          <cell r="E73" t="str">
            <v>TRU</v>
          </cell>
          <cell r="G73">
            <v>570</v>
          </cell>
        </row>
        <row r="74">
          <cell r="A74">
            <v>40550</v>
          </cell>
          <cell r="B74" t="str">
            <v>Sunset</v>
          </cell>
          <cell r="E74" t="str">
            <v>WT</v>
          </cell>
          <cell r="G74">
            <v>1113</v>
          </cell>
        </row>
        <row r="75">
          <cell r="A75">
            <v>40571</v>
          </cell>
          <cell r="B75" t="str">
            <v>Quad</v>
          </cell>
          <cell r="E75" t="str">
            <v>YTR</v>
          </cell>
          <cell r="G75">
            <v>1134</v>
          </cell>
        </row>
        <row r="76">
          <cell r="A76">
            <v>40545</v>
          </cell>
          <cell r="B76" t="str">
            <v>Quad</v>
          </cell>
          <cell r="E76" t="str">
            <v>AST</v>
          </cell>
          <cell r="G76">
            <v>810</v>
          </cell>
        </row>
        <row r="77">
          <cell r="A77">
            <v>40558</v>
          </cell>
          <cell r="B77" t="str">
            <v>Sunset</v>
          </cell>
          <cell r="E77" t="str">
            <v>AST</v>
          </cell>
          <cell r="G77">
            <v>1323</v>
          </cell>
        </row>
        <row r="78">
          <cell r="A78">
            <v>40553</v>
          </cell>
          <cell r="B78" t="str">
            <v>Sunset</v>
          </cell>
          <cell r="E78" t="str">
            <v>MBG</v>
          </cell>
          <cell r="G78">
            <v>357</v>
          </cell>
        </row>
        <row r="79">
          <cell r="A79">
            <v>40566</v>
          </cell>
          <cell r="B79" t="str">
            <v>Quad</v>
          </cell>
          <cell r="E79" t="str">
            <v>WT</v>
          </cell>
          <cell r="G79">
            <v>594</v>
          </cell>
        </row>
        <row r="80">
          <cell r="A80">
            <v>40549</v>
          </cell>
          <cell r="B80" t="str">
            <v>Sunshine</v>
          </cell>
          <cell r="E80" t="str">
            <v>PSA</v>
          </cell>
          <cell r="G80">
            <v>1026</v>
          </cell>
        </row>
        <row r="81">
          <cell r="A81">
            <v>40561</v>
          </cell>
          <cell r="B81" t="str">
            <v>Carlota</v>
          </cell>
          <cell r="E81" t="str">
            <v>YTR</v>
          </cell>
          <cell r="G81">
            <v>1219</v>
          </cell>
        </row>
        <row r="82">
          <cell r="A82">
            <v>40554</v>
          </cell>
          <cell r="B82" t="str">
            <v>Quad</v>
          </cell>
          <cell r="E82" t="str">
            <v>BBT</v>
          </cell>
          <cell r="G82">
            <v>1323</v>
          </cell>
        </row>
        <row r="83">
          <cell r="A83">
            <v>40564</v>
          </cell>
          <cell r="B83" t="str">
            <v>Bellen</v>
          </cell>
          <cell r="E83" t="str">
            <v>TRU</v>
          </cell>
          <cell r="G83">
            <v>242</v>
          </cell>
        </row>
        <row r="84">
          <cell r="A84">
            <v>40561</v>
          </cell>
          <cell r="B84" t="str">
            <v>Sunset</v>
          </cell>
          <cell r="E84" t="str">
            <v>MNGD</v>
          </cell>
          <cell r="G84">
            <v>252</v>
          </cell>
        </row>
        <row r="85">
          <cell r="A85">
            <v>40553</v>
          </cell>
          <cell r="B85" t="str">
            <v>Sunshine</v>
          </cell>
          <cell r="E85" t="str">
            <v>TTT</v>
          </cell>
          <cell r="G85">
            <v>152</v>
          </cell>
        </row>
        <row r="86">
          <cell r="A86">
            <v>40560</v>
          </cell>
          <cell r="B86" t="str">
            <v>Sunshine</v>
          </cell>
          <cell r="E86" t="str">
            <v>HHH</v>
          </cell>
          <cell r="G86">
            <v>1121</v>
          </cell>
        </row>
        <row r="87">
          <cell r="A87">
            <v>40566</v>
          </cell>
          <cell r="B87" t="str">
            <v>Sunshine</v>
          </cell>
          <cell r="E87" t="str">
            <v>T</v>
          </cell>
          <cell r="G87">
            <v>931</v>
          </cell>
        </row>
        <row r="88">
          <cell r="A88">
            <v>40566</v>
          </cell>
          <cell r="B88" t="str">
            <v>Quad</v>
          </cell>
          <cell r="E88" t="str">
            <v>PCC</v>
          </cell>
          <cell r="G88">
            <v>1188</v>
          </cell>
        </row>
        <row r="89">
          <cell r="A89">
            <v>40571</v>
          </cell>
          <cell r="B89" t="str">
            <v>Sunset</v>
          </cell>
          <cell r="E89" t="str">
            <v>FM</v>
          </cell>
          <cell r="G89">
            <v>1302</v>
          </cell>
        </row>
        <row r="90">
          <cell r="A90">
            <v>40572</v>
          </cell>
          <cell r="B90" t="str">
            <v>Quad</v>
          </cell>
          <cell r="E90" t="str">
            <v>PLOT</v>
          </cell>
          <cell r="G90">
            <v>270</v>
          </cell>
        </row>
        <row r="91">
          <cell r="A91">
            <v>40556</v>
          </cell>
          <cell r="B91" t="str">
            <v>Carlota</v>
          </cell>
          <cell r="E91" t="str">
            <v>FM</v>
          </cell>
          <cell r="G91">
            <v>1196</v>
          </cell>
        </row>
        <row r="92">
          <cell r="A92">
            <v>40561</v>
          </cell>
          <cell r="B92" t="str">
            <v>Quad</v>
          </cell>
          <cell r="E92" t="str">
            <v>PLOT</v>
          </cell>
          <cell r="G92">
            <v>459</v>
          </cell>
        </row>
        <row r="93">
          <cell r="A93">
            <v>40547</v>
          </cell>
          <cell r="B93" t="str">
            <v>Sunset</v>
          </cell>
          <cell r="E93" t="str">
            <v>BBT</v>
          </cell>
          <cell r="G93">
            <v>609</v>
          </cell>
        </row>
        <row r="94">
          <cell r="A94">
            <v>40571</v>
          </cell>
          <cell r="B94" t="str">
            <v>Bellen</v>
          </cell>
          <cell r="E94" t="str">
            <v>QT</v>
          </cell>
          <cell r="G94">
            <v>550</v>
          </cell>
        </row>
        <row r="95">
          <cell r="A95">
            <v>40554</v>
          </cell>
          <cell r="B95" t="str">
            <v>Quad</v>
          </cell>
          <cell r="E95" t="str">
            <v>ITW</v>
          </cell>
          <cell r="G95">
            <v>378</v>
          </cell>
        </row>
        <row r="96">
          <cell r="A96">
            <v>40565</v>
          </cell>
          <cell r="B96" t="str">
            <v>Bellen</v>
          </cell>
          <cell r="E96" t="str">
            <v>AST</v>
          </cell>
          <cell r="G96">
            <v>1166</v>
          </cell>
        </row>
        <row r="97">
          <cell r="A97">
            <v>40553</v>
          </cell>
          <cell r="B97" t="str">
            <v>Sunset</v>
          </cell>
          <cell r="E97" t="str">
            <v>MBG</v>
          </cell>
          <cell r="G97">
            <v>987</v>
          </cell>
        </row>
        <row r="98">
          <cell r="A98">
            <v>40567</v>
          </cell>
          <cell r="B98" t="str">
            <v>Carlota</v>
          </cell>
          <cell r="E98" t="str">
            <v>BBT</v>
          </cell>
          <cell r="G98">
            <v>299</v>
          </cell>
        </row>
        <row r="99">
          <cell r="A99">
            <v>40548</v>
          </cell>
          <cell r="B99" t="str">
            <v>Sunshine</v>
          </cell>
          <cell r="E99" t="str">
            <v>ET</v>
          </cell>
          <cell r="G99">
            <v>228</v>
          </cell>
        </row>
        <row r="100">
          <cell r="A100">
            <v>40546</v>
          </cell>
          <cell r="B100" t="str">
            <v>Carlota</v>
          </cell>
          <cell r="E100" t="str">
            <v>FM</v>
          </cell>
          <cell r="G100">
            <v>460</v>
          </cell>
        </row>
        <row r="101">
          <cell r="A101">
            <v>40552</v>
          </cell>
          <cell r="B101" t="str">
            <v>Bellen</v>
          </cell>
          <cell r="E101" t="str">
            <v>EPP</v>
          </cell>
          <cell r="G101">
            <v>880</v>
          </cell>
        </row>
        <row r="102">
          <cell r="A102">
            <v>40566</v>
          </cell>
          <cell r="B102" t="str">
            <v>Bellen</v>
          </cell>
          <cell r="E102" t="str">
            <v>DFGH</v>
          </cell>
          <cell r="G102">
            <v>198</v>
          </cell>
        </row>
        <row r="103">
          <cell r="A103">
            <v>40552</v>
          </cell>
          <cell r="B103" t="str">
            <v>Carlota</v>
          </cell>
          <cell r="E103" t="str">
            <v>WSD</v>
          </cell>
          <cell r="G103">
            <v>874</v>
          </cell>
        </row>
        <row r="104">
          <cell r="A104">
            <v>40545</v>
          </cell>
          <cell r="B104" t="str">
            <v>Bellen</v>
          </cell>
          <cell r="E104" t="str">
            <v>KBTB</v>
          </cell>
          <cell r="G104">
            <v>528</v>
          </cell>
        </row>
        <row r="105">
          <cell r="A105">
            <v>40560</v>
          </cell>
          <cell r="B105" t="str">
            <v>Quad</v>
          </cell>
          <cell r="E105" t="str">
            <v>PCC</v>
          </cell>
          <cell r="G105">
            <v>270</v>
          </cell>
        </row>
        <row r="106">
          <cell r="A106">
            <v>40571</v>
          </cell>
          <cell r="B106" t="str">
            <v>Quad</v>
          </cell>
          <cell r="E106" t="str">
            <v>KBTB</v>
          </cell>
          <cell r="G106">
            <v>1512</v>
          </cell>
        </row>
        <row r="107">
          <cell r="A107">
            <v>40561</v>
          </cell>
          <cell r="B107" t="str">
            <v>Sunshine</v>
          </cell>
          <cell r="E107" t="str">
            <v>PCC</v>
          </cell>
          <cell r="G107">
            <v>1178</v>
          </cell>
        </row>
        <row r="108">
          <cell r="A108">
            <v>40571</v>
          </cell>
          <cell r="B108" t="str">
            <v>Quad</v>
          </cell>
          <cell r="E108" t="str">
            <v>YTR</v>
          </cell>
          <cell r="G108">
            <v>1188</v>
          </cell>
        </row>
        <row r="109">
          <cell r="A109">
            <v>40560</v>
          </cell>
          <cell r="B109" t="str">
            <v>Carlota</v>
          </cell>
          <cell r="E109" t="str">
            <v>PCC</v>
          </cell>
          <cell r="G109">
            <v>897</v>
          </cell>
        </row>
        <row r="110">
          <cell r="A110">
            <v>40561</v>
          </cell>
          <cell r="B110" t="str">
            <v>Sunshine</v>
          </cell>
          <cell r="E110" t="str">
            <v>AA</v>
          </cell>
          <cell r="G110">
            <v>456</v>
          </cell>
        </row>
        <row r="111">
          <cell r="A111">
            <v>40565</v>
          </cell>
          <cell r="B111" t="str">
            <v>Bellen</v>
          </cell>
          <cell r="E111" t="str">
            <v>WT</v>
          </cell>
          <cell r="G111">
            <v>132</v>
          </cell>
        </row>
        <row r="112">
          <cell r="A112">
            <v>40545</v>
          </cell>
          <cell r="B112" t="str">
            <v>Bellen</v>
          </cell>
          <cell r="E112" t="str">
            <v>SFWK</v>
          </cell>
          <cell r="G112">
            <v>418</v>
          </cell>
        </row>
      </sheetData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4">
          <cell r="A4">
            <v>40601</v>
          </cell>
          <cell r="B4">
            <v>10</v>
          </cell>
        </row>
        <row r="5">
          <cell r="A5">
            <v>40602</v>
          </cell>
          <cell r="B5">
            <v>8</v>
          </cell>
        </row>
        <row r="6">
          <cell r="A6">
            <v>40603</v>
          </cell>
          <cell r="B6">
            <v>10</v>
          </cell>
        </row>
        <row r="7">
          <cell r="A7">
            <v>40604</v>
          </cell>
          <cell r="B7">
            <v>9</v>
          </cell>
        </row>
        <row r="8">
          <cell r="A8">
            <v>40605</v>
          </cell>
          <cell r="B8">
            <v>6</v>
          </cell>
        </row>
        <row r="9">
          <cell r="A9">
            <v>40606</v>
          </cell>
          <cell r="B9">
            <v>7</v>
          </cell>
        </row>
        <row r="10">
          <cell r="A10">
            <v>40607</v>
          </cell>
          <cell r="B10">
            <v>2</v>
          </cell>
        </row>
        <row r="11">
          <cell r="A11">
            <v>40608</v>
          </cell>
          <cell r="B11">
            <v>6</v>
          </cell>
        </row>
        <row r="12">
          <cell r="A12">
            <v>40609</v>
          </cell>
          <cell r="B12">
            <v>1</v>
          </cell>
        </row>
        <row r="13">
          <cell r="A13">
            <v>40610</v>
          </cell>
          <cell r="B13">
            <v>1</v>
          </cell>
        </row>
        <row r="14">
          <cell r="A14">
            <v>40611</v>
          </cell>
          <cell r="B14">
            <v>5</v>
          </cell>
        </row>
        <row r="15">
          <cell r="A15">
            <v>40612</v>
          </cell>
          <cell r="B15">
            <v>5</v>
          </cell>
        </row>
        <row r="16">
          <cell r="A16">
            <v>40613</v>
          </cell>
          <cell r="B16">
            <v>6</v>
          </cell>
        </row>
      </sheetData>
      <sheetData sheetId="210"/>
      <sheetData sheetId="2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IS%20CLASS%20LECTURE\MIS%20ADVANCE%20EXCEL%20DAYWISE%20CLASS\ADVANCE%20INTERVIEW%20TRICKS\REVISION%20SERIES\Excel100QuesRevision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Girvin" refreshedDate="40596.693102777775" createdVersion="4" refreshedVersion="4" minRefreshableVersion="3" recordCount="205" xr:uid="{A0282EF1-F233-4F44-9FD4-132C942AE647}">
  <cacheSource type="worksheet">
    <worksheetSource ref="A3:C208" sheet="HW(81an)" r:id="rId2"/>
  </cacheSource>
  <cacheFields count="4">
    <cacheField name="Date" numFmtId="14">
      <sharedItems containsSemiMixedTypes="0" containsNonDate="0" containsDate="1" containsString="0" minDate="2010-03-18T00:00:00" maxDate="2010-10-09T00:00:00" count="205"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</sharedItems>
      <fieldGroup par="3" base="0">
        <rangePr groupBy="months" startDate="2010-03-18T00:00:00" endDate="2010-10-09T00:00:00"/>
        <groupItems count="14">
          <s v="&lt;3/18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9/2010"/>
        </groupItems>
      </fieldGroup>
    </cacheField>
    <cacheField name="SalesRep" numFmtId="0">
      <sharedItems/>
    </cacheField>
    <cacheField name="Sales" numFmtId="164">
      <sharedItems containsSemiMixedTypes="0" containsString="0" containsNumber="1" containsInteger="1" minValue="50" maxValue="170"/>
    </cacheField>
    <cacheField name="Years" numFmtId="0" databaseField="0">
      <fieldGroup base="0">
        <rangePr groupBy="years" startDate="2010-03-18T00:00:00" endDate="2010-10-09T00:00:00"/>
        <groupItems count="3">
          <s v="&lt;3/18/2010"/>
          <s v="2010"/>
          <s v="&gt;10/9/201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sewak Singh" refreshedDate="45231.819634027779" createdVersion="8" refreshedVersion="8" minRefreshableVersion="3" recordCount="205" xr:uid="{72F2F126-D7CE-41B7-B299-0B8E7D334A83}">
  <cacheSource type="worksheet">
    <worksheetSource name="Table1"/>
  </cacheSource>
  <cacheFields count="5">
    <cacheField name="Date" numFmtId="14">
      <sharedItems containsSemiMixedTypes="0" containsNonDate="0" containsDate="1" containsString="0" minDate="2010-03-18T00:00:00" maxDate="2010-10-09T00:00:00" count="205"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</sharedItems>
      <fieldGroup par="4"/>
    </cacheField>
    <cacheField name="SalesRep" numFmtId="0">
      <sharedItems/>
    </cacheField>
    <cacheField name="Sales" numFmtId="0">
      <sharedItems containsSemiMixedTypes="0" containsString="0" containsNumber="1" containsInteger="1" minValue="50" maxValue="170"/>
    </cacheField>
    <cacheField name="Days (Date)" numFmtId="0" databaseField="0">
      <fieldGroup base="0">
        <rangePr groupBy="days" startDate="2010-03-18T00:00:00" endDate="2010-10-09T00:00:00"/>
        <groupItems count="368">
          <s v="&lt;18-03-201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-10-2010"/>
        </groupItems>
      </fieldGroup>
    </cacheField>
    <cacheField name="Months (Date)" numFmtId="0" databaseField="0">
      <fieldGroup base="0">
        <rangePr groupBy="months" startDate="2010-03-18T00:00:00" endDate="2010-10-09T00:00:00"/>
        <groupItems count="14">
          <s v="&lt;18-03-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10-201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x v="0"/>
    <s v="Fred"/>
    <n v="73"/>
  </r>
  <r>
    <x v="1"/>
    <s v="Jo"/>
    <n v="121"/>
  </r>
  <r>
    <x v="2"/>
    <s v="Fred"/>
    <n v="167"/>
  </r>
  <r>
    <x v="3"/>
    <s v="Joe"/>
    <n v="167"/>
  </r>
  <r>
    <x v="4"/>
    <s v="Sue"/>
    <n v="75"/>
  </r>
  <r>
    <x v="5"/>
    <s v="Fred"/>
    <n v="157"/>
  </r>
  <r>
    <x v="6"/>
    <s v="Sue"/>
    <n v="61"/>
  </r>
  <r>
    <x v="7"/>
    <s v="Fred"/>
    <n v="108"/>
  </r>
  <r>
    <x v="8"/>
    <s v="Jo"/>
    <n v="139"/>
  </r>
  <r>
    <x v="9"/>
    <s v="Sioux"/>
    <n v="130"/>
  </r>
  <r>
    <x v="10"/>
    <s v="Sue"/>
    <n v="66"/>
  </r>
  <r>
    <x v="11"/>
    <s v="Sioux"/>
    <n v="86"/>
  </r>
  <r>
    <x v="12"/>
    <s v="Joe"/>
    <n v="122"/>
  </r>
  <r>
    <x v="13"/>
    <s v="Sioux"/>
    <n v="50"/>
  </r>
  <r>
    <x v="14"/>
    <s v="Sue"/>
    <n v="77"/>
  </r>
  <r>
    <x v="15"/>
    <s v="Fred"/>
    <n v="140"/>
  </r>
  <r>
    <x v="16"/>
    <s v="Sue"/>
    <n v="107"/>
  </r>
  <r>
    <x v="17"/>
    <s v="Sioux"/>
    <n v="109"/>
  </r>
  <r>
    <x v="18"/>
    <s v="Joe"/>
    <n v="121"/>
  </r>
  <r>
    <x v="19"/>
    <s v="Fred"/>
    <n v="78"/>
  </r>
  <r>
    <x v="20"/>
    <s v="Sioux"/>
    <n v="168"/>
  </r>
  <r>
    <x v="21"/>
    <s v="Jo"/>
    <n v="88"/>
  </r>
  <r>
    <x v="22"/>
    <s v="Chin"/>
    <n v="110"/>
  </r>
  <r>
    <x v="23"/>
    <s v="Chin"/>
    <n v="132"/>
  </r>
  <r>
    <x v="24"/>
    <s v="Jo"/>
    <n v="54"/>
  </r>
  <r>
    <x v="25"/>
    <s v="Fred"/>
    <n v="58"/>
  </r>
  <r>
    <x v="26"/>
    <s v="Sue"/>
    <n v="71"/>
  </r>
  <r>
    <x v="27"/>
    <s v="Jo"/>
    <n v="50"/>
  </r>
  <r>
    <x v="28"/>
    <s v="Fred"/>
    <n v="109"/>
  </r>
  <r>
    <x v="29"/>
    <s v="Sue"/>
    <n v="138"/>
  </r>
  <r>
    <x v="30"/>
    <s v="Jo"/>
    <n v="74"/>
  </r>
  <r>
    <x v="31"/>
    <s v="Sioux"/>
    <n v="50"/>
  </r>
  <r>
    <x v="32"/>
    <s v="Chin"/>
    <n v="103"/>
  </r>
  <r>
    <x v="33"/>
    <s v="Sue"/>
    <n v="134"/>
  </r>
  <r>
    <x v="34"/>
    <s v="Chin"/>
    <n v="151"/>
  </r>
  <r>
    <x v="35"/>
    <s v="Joe"/>
    <n v="135"/>
  </r>
  <r>
    <x v="36"/>
    <s v="Chin"/>
    <n v="54"/>
  </r>
  <r>
    <x v="37"/>
    <s v="Sue"/>
    <n v="66"/>
  </r>
  <r>
    <x v="38"/>
    <s v="Sioux"/>
    <n v="81"/>
  </r>
  <r>
    <x v="39"/>
    <s v="Chin"/>
    <n v="94"/>
  </r>
  <r>
    <x v="40"/>
    <s v="Jo"/>
    <n v="142"/>
  </r>
  <r>
    <x v="41"/>
    <s v="Fred"/>
    <n v="75"/>
  </r>
  <r>
    <x v="42"/>
    <s v="Chin"/>
    <n v="114"/>
  </r>
  <r>
    <x v="43"/>
    <s v="Fred"/>
    <n v="120"/>
  </r>
  <r>
    <x v="44"/>
    <s v="Chin"/>
    <n v="146"/>
  </r>
  <r>
    <x v="45"/>
    <s v="Sioux"/>
    <n v="96"/>
  </r>
  <r>
    <x v="46"/>
    <s v="Sioux"/>
    <n v="69"/>
  </r>
  <r>
    <x v="47"/>
    <s v="Sue"/>
    <n v="130"/>
  </r>
  <r>
    <x v="48"/>
    <s v="Fred"/>
    <n v="150"/>
  </r>
  <r>
    <x v="49"/>
    <s v="Chin"/>
    <n v="62"/>
  </r>
  <r>
    <x v="50"/>
    <s v="Sioux"/>
    <n v="166"/>
  </r>
  <r>
    <x v="51"/>
    <s v="Sioux"/>
    <n v="152"/>
  </r>
  <r>
    <x v="52"/>
    <s v="Joe"/>
    <n v="143"/>
  </r>
  <r>
    <x v="53"/>
    <s v="Joe"/>
    <n v="139"/>
  </r>
  <r>
    <x v="54"/>
    <s v="Chin"/>
    <n v="111"/>
  </r>
  <r>
    <x v="55"/>
    <s v="Joe"/>
    <n v="70"/>
  </r>
  <r>
    <x v="56"/>
    <s v="Fred"/>
    <n v="104"/>
  </r>
  <r>
    <x v="57"/>
    <s v="Sioux"/>
    <n v="64"/>
  </r>
  <r>
    <x v="58"/>
    <s v="Jo"/>
    <n v="56"/>
  </r>
  <r>
    <x v="59"/>
    <s v="Joe"/>
    <n v="76"/>
  </r>
  <r>
    <x v="60"/>
    <s v="Joe"/>
    <n v="96"/>
  </r>
  <r>
    <x v="61"/>
    <s v="Fred"/>
    <n v="163"/>
  </r>
  <r>
    <x v="62"/>
    <s v="Joe"/>
    <n v="108"/>
  </r>
  <r>
    <x v="63"/>
    <s v="Joe"/>
    <n v="63"/>
  </r>
  <r>
    <x v="64"/>
    <s v="Fred"/>
    <n v="99"/>
  </r>
  <r>
    <x v="65"/>
    <s v="Jo"/>
    <n v="115"/>
  </r>
  <r>
    <x v="66"/>
    <s v="Fred"/>
    <n v="125"/>
  </r>
  <r>
    <x v="67"/>
    <s v="Joe"/>
    <n v="130"/>
  </r>
  <r>
    <x v="68"/>
    <s v="Joe"/>
    <n v="133"/>
  </r>
  <r>
    <x v="69"/>
    <s v="Joe"/>
    <n v="148"/>
  </r>
  <r>
    <x v="70"/>
    <s v="Joe"/>
    <n v="148"/>
  </r>
  <r>
    <x v="71"/>
    <s v="Joe"/>
    <n v="56"/>
  </r>
  <r>
    <x v="72"/>
    <s v="Fred"/>
    <n v="134"/>
  </r>
  <r>
    <x v="73"/>
    <s v="Fred"/>
    <n v="54"/>
  </r>
  <r>
    <x v="74"/>
    <s v="Jo"/>
    <n v="59"/>
  </r>
  <r>
    <x v="75"/>
    <s v="Jo"/>
    <n v="99"/>
  </r>
  <r>
    <x v="76"/>
    <s v="Sue"/>
    <n v="135"/>
  </r>
  <r>
    <x v="77"/>
    <s v="Joe"/>
    <n v="135"/>
  </r>
  <r>
    <x v="78"/>
    <s v="Joe"/>
    <n v="75"/>
  </r>
  <r>
    <x v="79"/>
    <s v="Sue"/>
    <n v="167"/>
  </r>
  <r>
    <x v="80"/>
    <s v="Joe"/>
    <n v="152"/>
  </r>
  <r>
    <x v="81"/>
    <s v="Sue"/>
    <n v="129"/>
  </r>
  <r>
    <x v="82"/>
    <s v="Sioux"/>
    <n v="167"/>
  </r>
  <r>
    <x v="83"/>
    <s v="Joe"/>
    <n v="74"/>
  </r>
  <r>
    <x v="84"/>
    <s v="Chin"/>
    <n v="69"/>
  </r>
  <r>
    <x v="85"/>
    <s v="Chin"/>
    <n v="109"/>
  </r>
  <r>
    <x v="86"/>
    <s v="Joe"/>
    <n v="119"/>
  </r>
  <r>
    <x v="87"/>
    <s v="Jo"/>
    <n v="76"/>
  </r>
  <r>
    <x v="88"/>
    <s v="Sue"/>
    <n v="108"/>
  </r>
  <r>
    <x v="89"/>
    <s v="Sue"/>
    <n v="109"/>
  </r>
  <r>
    <x v="90"/>
    <s v="Sioux"/>
    <n v="138"/>
  </r>
  <r>
    <x v="91"/>
    <s v="Fred"/>
    <n v="130"/>
  </r>
  <r>
    <x v="92"/>
    <s v="Sue"/>
    <n v="137"/>
  </r>
  <r>
    <x v="93"/>
    <s v="Fred"/>
    <n v="152"/>
  </r>
  <r>
    <x v="94"/>
    <s v="Jo"/>
    <n v="100"/>
  </r>
  <r>
    <x v="95"/>
    <s v="Jo"/>
    <n v="123"/>
  </r>
  <r>
    <x v="96"/>
    <s v="Sue"/>
    <n v="110"/>
  </r>
  <r>
    <x v="97"/>
    <s v="Sue"/>
    <n v="146"/>
  </r>
  <r>
    <x v="98"/>
    <s v="Joe"/>
    <n v="71"/>
  </r>
  <r>
    <x v="99"/>
    <s v="Jo"/>
    <n v="141"/>
  </r>
  <r>
    <x v="100"/>
    <s v="Fred"/>
    <n v="126"/>
  </r>
  <r>
    <x v="101"/>
    <s v="Jo"/>
    <n v="126"/>
  </r>
  <r>
    <x v="102"/>
    <s v="Joe"/>
    <n v="123"/>
  </r>
  <r>
    <x v="103"/>
    <s v="Chin"/>
    <n v="165"/>
  </r>
  <r>
    <x v="104"/>
    <s v="Joe"/>
    <n v="153"/>
  </r>
  <r>
    <x v="105"/>
    <s v="Sue"/>
    <n v="103"/>
  </r>
  <r>
    <x v="106"/>
    <s v="Sue"/>
    <n v="156"/>
  </r>
  <r>
    <x v="107"/>
    <s v="Jo"/>
    <n v="141"/>
  </r>
  <r>
    <x v="108"/>
    <s v="Fred"/>
    <n v="79"/>
  </r>
  <r>
    <x v="109"/>
    <s v="Chin"/>
    <n v="78"/>
  </r>
  <r>
    <x v="110"/>
    <s v="Sue"/>
    <n v="120"/>
  </r>
  <r>
    <x v="111"/>
    <s v="Jo"/>
    <n v="157"/>
  </r>
  <r>
    <x v="112"/>
    <s v="Joe"/>
    <n v="67"/>
  </r>
  <r>
    <x v="113"/>
    <s v="Sue"/>
    <n v="170"/>
  </r>
  <r>
    <x v="114"/>
    <s v="Fred"/>
    <n v="92"/>
  </r>
  <r>
    <x v="115"/>
    <s v="Jo"/>
    <n v="104"/>
  </r>
  <r>
    <x v="116"/>
    <s v="Jo"/>
    <n v="141"/>
  </r>
  <r>
    <x v="117"/>
    <s v="Chin"/>
    <n v="153"/>
  </r>
  <r>
    <x v="118"/>
    <s v="Fred"/>
    <n v="100"/>
  </r>
  <r>
    <x v="119"/>
    <s v="Sue"/>
    <n v="56"/>
  </r>
  <r>
    <x v="120"/>
    <s v="Sioux"/>
    <n v="76"/>
  </r>
  <r>
    <x v="121"/>
    <s v="Jo"/>
    <n v="113"/>
  </r>
  <r>
    <x v="122"/>
    <s v="Joe"/>
    <n v="117"/>
  </r>
  <r>
    <x v="123"/>
    <s v="Chin"/>
    <n v="78"/>
  </r>
  <r>
    <x v="124"/>
    <s v="Sue"/>
    <n v="88"/>
  </r>
  <r>
    <x v="125"/>
    <s v="Sue"/>
    <n v="168"/>
  </r>
  <r>
    <x v="126"/>
    <s v="Joe"/>
    <n v="159"/>
  </r>
  <r>
    <x v="127"/>
    <s v="Chin"/>
    <n v="98"/>
  </r>
  <r>
    <x v="128"/>
    <s v="Jo"/>
    <n v="130"/>
  </r>
  <r>
    <x v="129"/>
    <s v="Chin"/>
    <n v="136"/>
  </r>
  <r>
    <x v="130"/>
    <s v="Joe"/>
    <n v="56"/>
  </r>
  <r>
    <x v="131"/>
    <s v="Joe"/>
    <n v="130"/>
  </r>
  <r>
    <x v="132"/>
    <s v="Jo"/>
    <n v="53"/>
  </r>
  <r>
    <x v="133"/>
    <s v="Sue"/>
    <n v="160"/>
  </r>
  <r>
    <x v="134"/>
    <s v="Chin"/>
    <n v="113"/>
  </r>
  <r>
    <x v="135"/>
    <s v="Sioux"/>
    <n v="123"/>
  </r>
  <r>
    <x v="136"/>
    <s v="Chin"/>
    <n v="60"/>
  </r>
  <r>
    <x v="137"/>
    <s v="Sioux"/>
    <n v="73"/>
  </r>
  <r>
    <x v="138"/>
    <s v="Sue"/>
    <n v="167"/>
  </r>
  <r>
    <x v="139"/>
    <s v="Sioux"/>
    <n v="114"/>
  </r>
  <r>
    <x v="140"/>
    <s v="Sue"/>
    <n v="148"/>
  </r>
  <r>
    <x v="141"/>
    <s v="Jo"/>
    <n v="81"/>
  </r>
  <r>
    <x v="142"/>
    <s v="Jo"/>
    <n v="79"/>
  </r>
  <r>
    <x v="143"/>
    <s v="Jo"/>
    <n v="76"/>
  </r>
  <r>
    <x v="144"/>
    <s v="Joe"/>
    <n v="166"/>
  </r>
  <r>
    <x v="145"/>
    <s v="Jo"/>
    <n v="106"/>
  </r>
  <r>
    <x v="146"/>
    <s v="Sue"/>
    <n v="74"/>
  </r>
  <r>
    <x v="147"/>
    <s v="Sioux"/>
    <n v="95"/>
  </r>
  <r>
    <x v="148"/>
    <s v="Joe"/>
    <n v="151"/>
  </r>
  <r>
    <x v="149"/>
    <s v="Fred"/>
    <n v="117"/>
  </r>
  <r>
    <x v="150"/>
    <s v="Sue"/>
    <n v="143"/>
  </r>
  <r>
    <x v="151"/>
    <s v="Jo"/>
    <n v="122"/>
  </r>
  <r>
    <x v="152"/>
    <s v="Fred"/>
    <n v="76"/>
  </r>
  <r>
    <x v="153"/>
    <s v="Joe"/>
    <n v="145"/>
  </r>
  <r>
    <x v="154"/>
    <s v="Joe"/>
    <n v="123"/>
  </r>
  <r>
    <x v="155"/>
    <s v="Jo"/>
    <n v="116"/>
  </r>
  <r>
    <x v="156"/>
    <s v="Sue"/>
    <n v="91"/>
  </r>
  <r>
    <x v="157"/>
    <s v="Sue"/>
    <n v="117"/>
  </r>
  <r>
    <x v="158"/>
    <s v="Joe"/>
    <n v="170"/>
  </r>
  <r>
    <x v="159"/>
    <s v="Fred"/>
    <n v="141"/>
  </r>
  <r>
    <x v="160"/>
    <s v="Sue"/>
    <n v="54"/>
  </r>
  <r>
    <x v="161"/>
    <s v="Jo"/>
    <n v="95"/>
  </r>
  <r>
    <x v="162"/>
    <s v="Sioux"/>
    <n v="57"/>
  </r>
  <r>
    <x v="163"/>
    <s v="Sue"/>
    <n v="133"/>
  </r>
  <r>
    <x v="164"/>
    <s v="Jo"/>
    <n v="147"/>
  </r>
  <r>
    <x v="165"/>
    <s v="Chin"/>
    <n v="84"/>
  </r>
  <r>
    <x v="166"/>
    <s v="Sue"/>
    <n v="147"/>
  </r>
  <r>
    <x v="167"/>
    <s v="Fred"/>
    <n v="86"/>
  </r>
  <r>
    <x v="168"/>
    <s v="Fred"/>
    <n v="87"/>
  </r>
  <r>
    <x v="169"/>
    <s v="Jo"/>
    <n v="150"/>
  </r>
  <r>
    <x v="170"/>
    <s v="Chin"/>
    <n v="97"/>
  </r>
  <r>
    <x v="171"/>
    <s v="Jo"/>
    <n v="151"/>
  </r>
  <r>
    <x v="172"/>
    <s v="Chin"/>
    <n v="62"/>
  </r>
  <r>
    <x v="173"/>
    <s v="Jo"/>
    <n v="125"/>
  </r>
  <r>
    <x v="174"/>
    <s v="Fred"/>
    <n v="69"/>
  </r>
  <r>
    <x v="175"/>
    <s v="Jo"/>
    <n v="160"/>
  </r>
  <r>
    <x v="176"/>
    <s v="Joe"/>
    <n v="88"/>
  </r>
  <r>
    <x v="177"/>
    <s v="Chin"/>
    <n v="107"/>
  </r>
  <r>
    <x v="178"/>
    <s v="Chin"/>
    <n v="148"/>
  </r>
  <r>
    <x v="179"/>
    <s v="Fred"/>
    <n v="75"/>
  </r>
  <r>
    <x v="180"/>
    <s v="Fred"/>
    <n v="68"/>
  </r>
  <r>
    <x v="181"/>
    <s v="Joe"/>
    <n v="98"/>
  </r>
  <r>
    <x v="182"/>
    <s v="Sue"/>
    <n v="134"/>
  </r>
  <r>
    <x v="183"/>
    <s v="Chin"/>
    <n v="84"/>
  </r>
  <r>
    <x v="184"/>
    <s v="Sioux"/>
    <n v="155"/>
  </r>
  <r>
    <x v="185"/>
    <s v="Jo"/>
    <n v="146"/>
  </r>
  <r>
    <x v="186"/>
    <s v="Sue"/>
    <n v="110"/>
  </r>
  <r>
    <x v="187"/>
    <s v="Sue"/>
    <n v="139"/>
  </r>
  <r>
    <x v="188"/>
    <s v="Sioux"/>
    <n v="68"/>
  </r>
  <r>
    <x v="189"/>
    <s v="Jo"/>
    <n v="131"/>
  </r>
  <r>
    <x v="190"/>
    <s v="Sue"/>
    <n v="141"/>
  </r>
  <r>
    <x v="191"/>
    <s v="Sue"/>
    <n v="50"/>
  </r>
  <r>
    <x v="192"/>
    <s v="Sioux"/>
    <n v="65"/>
  </r>
  <r>
    <x v="193"/>
    <s v="Joe"/>
    <n v="126"/>
  </r>
  <r>
    <x v="194"/>
    <s v="Joe"/>
    <n v="117"/>
  </r>
  <r>
    <x v="195"/>
    <s v="Joe"/>
    <n v="57"/>
  </r>
  <r>
    <x v="196"/>
    <s v="Fred"/>
    <n v="146"/>
  </r>
  <r>
    <x v="197"/>
    <s v="Sioux"/>
    <n v="159"/>
  </r>
  <r>
    <x v="198"/>
    <s v="Sue"/>
    <n v="80"/>
  </r>
  <r>
    <x v="199"/>
    <s v="Sue"/>
    <n v="132"/>
  </r>
  <r>
    <x v="200"/>
    <s v="Sioux"/>
    <n v="60"/>
  </r>
  <r>
    <x v="201"/>
    <s v="Sue"/>
    <n v="116"/>
  </r>
  <r>
    <x v="202"/>
    <s v="Joe"/>
    <n v="132"/>
  </r>
  <r>
    <x v="203"/>
    <s v="Fred"/>
    <n v="143"/>
  </r>
  <r>
    <x v="204"/>
    <s v="Sue"/>
    <n v="14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x v="0"/>
    <s v="Sujata Mohanty"/>
    <n v="73"/>
  </r>
  <r>
    <x v="1"/>
    <s v="Suraj Rajput"/>
    <n v="121"/>
  </r>
  <r>
    <x v="2"/>
    <s v="Pramod Bhavsar"/>
    <n v="167"/>
  </r>
  <r>
    <x v="3"/>
    <s v="Satsh Ojha"/>
    <n v="167"/>
  </r>
  <r>
    <x v="4"/>
    <s v="Sintu Kumar"/>
    <n v="75"/>
  </r>
  <r>
    <x v="5"/>
    <s v="Krutika Shelar"/>
    <n v="157"/>
  </r>
  <r>
    <x v="6"/>
    <s v="Arjun Shaw"/>
    <n v="61"/>
  </r>
  <r>
    <x v="7"/>
    <s v="Shrikant Badge"/>
    <n v="108"/>
  </r>
  <r>
    <x v="8"/>
    <s v="Jitender Kumar"/>
    <n v="139"/>
  </r>
  <r>
    <x v="9"/>
    <s v="Dharmendar Rana"/>
    <n v="130"/>
  </r>
  <r>
    <x v="10"/>
    <s v="Adnan Soukat"/>
    <n v="66"/>
  </r>
  <r>
    <x v="11"/>
    <s v="Sheetal Nishad"/>
    <n v="86"/>
  </r>
  <r>
    <x v="12"/>
    <s v="Monika Pawar"/>
    <n v="122"/>
  </r>
  <r>
    <x v="13"/>
    <s v="Meena Mourya"/>
    <n v="50"/>
  </r>
  <r>
    <x v="14"/>
    <s v="Ashu Sharma"/>
    <n v="77"/>
  </r>
  <r>
    <x v="15"/>
    <s v="Harivansh Gautam"/>
    <n v="140"/>
  </r>
  <r>
    <x v="16"/>
    <s v="Vini Saini"/>
    <n v="107"/>
  </r>
  <r>
    <x v="17"/>
    <s v="Anand Singh Rajput"/>
    <n v="109"/>
  </r>
  <r>
    <x v="18"/>
    <s v="Jaishri Saxena"/>
    <n v="121"/>
  </r>
  <r>
    <x v="19"/>
    <s v="Virender Sroha"/>
    <n v="78"/>
  </r>
  <r>
    <x v="20"/>
    <s v="Arban Khan"/>
    <n v="168"/>
  </r>
  <r>
    <x v="21"/>
    <s v="Naeem Khan"/>
    <n v="88"/>
  </r>
  <r>
    <x v="22"/>
    <s v="Tejpal Sain"/>
    <n v="110"/>
  </r>
  <r>
    <x v="23"/>
    <s v="Sourav Maity"/>
    <n v="132"/>
  </r>
  <r>
    <x v="24"/>
    <s v="Anmol Singh"/>
    <n v="54"/>
  </r>
  <r>
    <x v="25"/>
    <s v="Dheeraj Attri"/>
    <n v="58"/>
  </r>
  <r>
    <x v="26"/>
    <s v="Tarjit Malka"/>
    <n v="71"/>
  </r>
  <r>
    <x v="27"/>
    <s v="Lokesh Singh Bisht"/>
    <n v="50"/>
  </r>
  <r>
    <x v="28"/>
    <s v="Bhoopendra Raghav"/>
    <n v="109"/>
  </r>
  <r>
    <x v="29"/>
    <s v="Ram Singh"/>
    <n v="138"/>
  </r>
  <r>
    <x v="30"/>
    <s v="Shagor Ahmed"/>
    <n v="74"/>
  </r>
  <r>
    <x v="31"/>
    <s v="Abir Sarkar"/>
    <n v="50"/>
  </r>
  <r>
    <x v="32"/>
    <s v="Shiv Kumar"/>
    <n v="103"/>
  </r>
  <r>
    <x v="33"/>
    <s v="Deeksha Agrawal"/>
    <n v="134"/>
  </r>
  <r>
    <x v="34"/>
    <s v="Heman Gusain"/>
    <n v="151"/>
  </r>
  <r>
    <x v="35"/>
    <s v="Vikram Kumar"/>
    <n v="135"/>
  </r>
  <r>
    <x v="36"/>
    <s v="Ekanshika Kalra"/>
    <n v="54"/>
  </r>
  <r>
    <x v="37"/>
    <s v="Rav Kumar"/>
    <n v="66"/>
  </r>
  <r>
    <x v="38"/>
    <s v="Manpreet Kaur"/>
    <n v="81"/>
  </r>
  <r>
    <x v="39"/>
    <s v="Sandeep Aswal"/>
    <n v="94"/>
  </r>
  <r>
    <x v="40"/>
    <s v="Ayushi Patel"/>
    <n v="142"/>
  </r>
  <r>
    <x v="41"/>
    <s v="Nadeem Ahmed"/>
    <n v="75"/>
  </r>
  <r>
    <x v="42"/>
    <s v="Archana Kumari"/>
    <n v="114"/>
  </r>
  <r>
    <x v="43"/>
    <s v="Rakesh Singh"/>
    <n v="120"/>
  </r>
  <r>
    <x v="44"/>
    <s v="Asihwarya Ambasta"/>
    <n v="146"/>
  </r>
  <r>
    <x v="45"/>
    <s v="Meenav Shah"/>
    <n v="96"/>
  </r>
  <r>
    <x v="46"/>
    <s v="Karan Kapoor"/>
    <n v="69"/>
  </r>
  <r>
    <x v="47"/>
    <s v="Sunil Kumar"/>
    <n v="130"/>
  </r>
  <r>
    <x v="48"/>
    <s v="Shivam Daksh"/>
    <n v="150"/>
  </r>
  <r>
    <x v="49"/>
    <s v="Banda Satyanarayana"/>
    <n v="62"/>
  </r>
  <r>
    <x v="50"/>
    <s v="Harish Tote"/>
    <n v="166"/>
  </r>
  <r>
    <x v="51"/>
    <s v="Ajay Singh"/>
    <n v="152"/>
  </r>
  <r>
    <x v="52"/>
    <s v="Ajinkya Shinde"/>
    <n v="143"/>
  </r>
  <r>
    <x v="53"/>
    <s v="Kishor Panara"/>
    <n v="139"/>
  </r>
  <r>
    <x v="54"/>
    <s v="Puran Singh"/>
    <n v="111"/>
  </r>
  <r>
    <x v="55"/>
    <s v="Prashant Pnajabi"/>
    <n v="70"/>
  </r>
  <r>
    <x v="56"/>
    <s v="Vandan Dave"/>
    <n v="104"/>
  </r>
  <r>
    <x v="57"/>
    <s v="Rakesh Ky"/>
    <n v="64"/>
  </r>
  <r>
    <x v="58"/>
    <s v="Aftab Alam"/>
    <n v="56"/>
  </r>
  <r>
    <x v="59"/>
    <s v="Sanjay Chaurasia"/>
    <n v="76"/>
  </r>
  <r>
    <x v="60"/>
    <s v="Ubaidillah Muhammad"/>
    <n v="96"/>
  </r>
  <r>
    <x v="61"/>
    <s v="Pavan Kumar"/>
    <n v="163"/>
  </r>
  <r>
    <x v="62"/>
    <s v="Narayan Lohar"/>
    <n v="108"/>
  </r>
  <r>
    <x v="63"/>
    <s v="Anil Hoge"/>
    <n v="63"/>
  </r>
  <r>
    <x v="64"/>
    <s v="Rajnikant Kamble"/>
    <n v="99"/>
  </r>
  <r>
    <x v="65"/>
    <s v="Raj Kumar"/>
    <n v="115"/>
  </r>
  <r>
    <x v="66"/>
    <s v="Vicky Singh"/>
    <n v="125"/>
  </r>
  <r>
    <x v="67"/>
    <s v="Aakanksha Srivastava"/>
    <n v="130"/>
  </r>
  <r>
    <x v="68"/>
    <s v="Mahboob Hossain"/>
    <n v="133"/>
  </r>
  <r>
    <x v="69"/>
    <s v="Kiran Dodke"/>
    <n v="148"/>
  </r>
  <r>
    <x v="70"/>
    <s v="Paramjeet Singh"/>
    <n v="148"/>
  </r>
  <r>
    <x v="71"/>
    <s v="Kanika Mathur"/>
    <n v="56"/>
  </r>
  <r>
    <x v="72"/>
    <s v="Jyoti Chaudhary"/>
    <n v="134"/>
  </r>
  <r>
    <x v="73"/>
    <s v="Feroz Khilji"/>
    <n v="54"/>
  </r>
  <r>
    <x v="74"/>
    <s v="Sudhakar Arya"/>
    <n v="59"/>
  </r>
  <r>
    <x v="75"/>
    <s v="Sujata Mohanty"/>
    <n v="99"/>
  </r>
  <r>
    <x v="76"/>
    <s v="Suraj Rajput"/>
    <n v="135"/>
  </r>
  <r>
    <x v="77"/>
    <s v="Pramod Bhavsar"/>
    <n v="135"/>
  </r>
  <r>
    <x v="78"/>
    <s v="Satsh Ojha"/>
    <n v="75"/>
  </r>
  <r>
    <x v="79"/>
    <s v="Sintu Kumar"/>
    <n v="167"/>
  </r>
  <r>
    <x v="80"/>
    <s v="Krutika Shelar"/>
    <n v="152"/>
  </r>
  <r>
    <x v="81"/>
    <s v="Arjun Shaw"/>
    <n v="129"/>
  </r>
  <r>
    <x v="82"/>
    <s v="Shrikant Badge"/>
    <n v="167"/>
  </r>
  <r>
    <x v="83"/>
    <s v="Jitender Kumar"/>
    <n v="74"/>
  </r>
  <r>
    <x v="84"/>
    <s v="Dharmendar Rana"/>
    <n v="69"/>
  </r>
  <r>
    <x v="85"/>
    <s v="Adnan Soukat"/>
    <n v="109"/>
  </r>
  <r>
    <x v="86"/>
    <s v="Sheetal Nishad"/>
    <n v="119"/>
  </r>
  <r>
    <x v="87"/>
    <s v="Monika Pawar"/>
    <n v="76"/>
  </r>
  <r>
    <x v="88"/>
    <s v="Meena Mourya"/>
    <n v="108"/>
  </r>
  <r>
    <x v="89"/>
    <s v="Ashu Sharma"/>
    <n v="109"/>
  </r>
  <r>
    <x v="90"/>
    <s v="Harivansh Gautam"/>
    <n v="138"/>
  </r>
  <r>
    <x v="91"/>
    <s v="Vini Saini"/>
    <n v="130"/>
  </r>
  <r>
    <x v="92"/>
    <s v="Anand Singh Rajput"/>
    <n v="137"/>
  </r>
  <r>
    <x v="93"/>
    <s v="Jaishri Saxena"/>
    <n v="152"/>
  </r>
  <r>
    <x v="94"/>
    <s v="Virender Sroha"/>
    <n v="100"/>
  </r>
  <r>
    <x v="95"/>
    <s v="Sujata Mohanty"/>
    <n v="123"/>
  </r>
  <r>
    <x v="96"/>
    <s v="Suraj Rajput"/>
    <n v="110"/>
  </r>
  <r>
    <x v="97"/>
    <s v="Pramod Bhavsar"/>
    <n v="146"/>
  </r>
  <r>
    <x v="98"/>
    <s v="Satsh Ojha"/>
    <n v="71"/>
  </r>
  <r>
    <x v="99"/>
    <s v="Sintu Kumar"/>
    <n v="141"/>
  </r>
  <r>
    <x v="100"/>
    <s v="Krutika Shelar"/>
    <n v="126"/>
  </r>
  <r>
    <x v="101"/>
    <s v="Arjun Shaw"/>
    <n v="126"/>
  </r>
  <r>
    <x v="102"/>
    <s v="Shrikant Badge"/>
    <n v="123"/>
  </r>
  <r>
    <x v="103"/>
    <s v="Jitender Kumar"/>
    <n v="165"/>
  </r>
  <r>
    <x v="104"/>
    <s v="Dharmendar Rana"/>
    <n v="153"/>
  </r>
  <r>
    <x v="105"/>
    <s v="Adnan Soukat"/>
    <n v="103"/>
  </r>
  <r>
    <x v="106"/>
    <s v="Sheetal Nishad"/>
    <n v="156"/>
  </r>
  <r>
    <x v="107"/>
    <s v="Monika Pawar"/>
    <n v="141"/>
  </r>
  <r>
    <x v="108"/>
    <s v="Meena Mourya"/>
    <n v="79"/>
  </r>
  <r>
    <x v="109"/>
    <s v="Ashu Sharma"/>
    <n v="78"/>
  </r>
  <r>
    <x v="110"/>
    <s v="Harivansh Gautam"/>
    <n v="120"/>
  </r>
  <r>
    <x v="111"/>
    <s v="Vini Saini"/>
    <n v="157"/>
  </r>
  <r>
    <x v="112"/>
    <s v="Anand Singh Rajput"/>
    <n v="67"/>
  </r>
  <r>
    <x v="113"/>
    <s v="Jaishri Saxena"/>
    <n v="170"/>
  </r>
  <r>
    <x v="114"/>
    <s v="Virender Sroha"/>
    <n v="92"/>
  </r>
  <r>
    <x v="115"/>
    <s v="Arban Khan"/>
    <n v="104"/>
  </r>
  <r>
    <x v="116"/>
    <s v="Naeem Khan"/>
    <n v="141"/>
  </r>
  <r>
    <x v="117"/>
    <s v="Tejpal Sain"/>
    <n v="153"/>
  </r>
  <r>
    <x v="118"/>
    <s v="Sourav Maity"/>
    <n v="100"/>
  </r>
  <r>
    <x v="119"/>
    <s v="Anmol Singh"/>
    <n v="56"/>
  </r>
  <r>
    <x v="120"/>
    <s v="Dheeraj Attri"/>
    <n v="76"/>
  </r>
  <r>
    <x v="121"/>
    <s v="Tarjit Malka"/>
    <n v="113"/>
  </r>
  <r>
    <x v="122"/>
    <s v="Lokesh Singh Bisht"/>
    <n v="117"/>
  </r>
  <r>
    <x v="123"/>
    <s v="Bhoopendra Raghav"/>
    <n v="78"/>
  </r>
  <r>
    <x v="124"/>
    <s v="Ram Singh"/>
    <n v="88"/>
  </r>
  <r>
    <x v="125"/>
    <s v="Shagor Ahmed"/>
    <n v="168"/>
  </r>
  <r>
    <x v="126"/>
    <s v="Abir Sarkar"/>
    <n v="159"/>
  </r>
  <r>
    <x v="127"/>
    <s v="Shiv Kumar"/>
    <n v="98"/>
  </r>
  <r>
    <x v="128"/>
    <s v="Deeksha Agrawal"/>
    <n v="130"/>
  </r>
  <r>
    <x v="129"/>
    <s v="Heman Gusain"/>
    <n v="136"/>
  </r>
  <r>
    <x v="130"/>
    <s v="Vikram Kumar"/>
    <n v="56"/>
  </r>
  <r>
    <x v="131"/>
    <s v="Ekanshika Kalra"/>
    <n v="130"/>
  </r>
  <r>
    <x v="132"/>
    <s v="Rav Kumar"/>
    <n v="53"/>
  </r>
  <r>
    <x v="133"/>
    <s v="Manpreet Kaur"/>
    <n v="160"/>
  </r>
  <r>
    <x v="134"/>
    <s v="Sandeep Aswal"/>
    <n v="113"/>
  </r>
  <r>
    <x v="135"/>
    <s v="Ayushi Patel"/>
    <n v="123"/>
  </r>
  <r>
    <x v="136"/>
    <s v="Nadeem Ahmed"/>
    <n v="60"/>
  </r>
  <r>
    <x v="137"/>
    <s v="Archana Kumari"/>
    <n v="73"/>
  </r>
  <r>
    <x v="138"/>
    <s v="Rakesh Singh"/>
    <n v="167"/>
  </r>
  <r>
    <x v="139"/>
    <s v="Asihwarya Ambasta"/>
    <n v="114"/>
  </r>
  <r>
    <x v="140"/>
    <s v="Meenav Shah"/>
    <n v="148"/>
  </r>
  <r>
    <x v="141"/>
    <s v="Karan Kapoor"/>
    <n v="81"/>
  </r>
  <r>
    <x v="142"/>
    <s v="Sunil Kumar"/>
    <n v="79"/>
  </r>
  <r>
    <x v="143"/>
    <s v="Shivam Daksh"/>
    <n v="76"/>
  </r>
  <r>
    <x v="144"/>
    <s v="Banda Satyanarayana"/>
    <n v="166"/>
  </r>
  <r>
    <x v="145"/>
    <s v="Harish Tote"/>
    <n v="106"/>
  </r>
  <r>
    <x v="146"/>
    <s v="Ajay Singh"/>
    <n v="74"/>
  </r>
  <r>
    <x v="147"/>
    <s v="Ajinkya Shinde"/>
    <n v="95"/>
  </r>
  <r>
    <x v="148"/>
    <s v="Kishor Panara"/>
    <n v="151"/>
  </r>
  <r>
    <x v="149"/>
    <s v="Puran Singh"/>
    <n v="117"/>
  </r>
  <r>
    <x v="150"/>
    <s v="Prashant Pnajabi"/>
    <n v="143"/>
  </r>
  <r>
    <x v="151"/>
    <s v="Vandan Dave"/>
    <n v="122"/>
  </r>
  <r>
    <x v="152"/>
    <s v="Rakesh Ky"/>
    <n v="76"/>
  </r>
  <r>
    <x v="153"/>
    <s v="Aftab Alam"/>
    <n v="145"/>
  </r>
  <r>
    <x v="154"/>
    <s v="Sanjay Chaurasia"/>
    <n v="123"/>
  </r>
  <r>
    <x v="155"/>
    <s v="Ubaidillah Muhammad"/>
    <n v="116"/>
  </r>
  <r>
    <x v="156"/>
    <s v="Pavan Kumar"/>
    <n v="91"/>
  </r>
  <r>
    <x v="157"/>
    <s v="Narayan Lohar"/>
    <n v="117"/>
  </r>
  <r>
    <x v="158"/>
    <s v="Anil Hoge"/>
    <n v="170"/>
  </r>
  <r>
    <x v="159"/>
    <s v="Rajnikant Kamble"/>
    <n v="141"/>
  </r>
  <r>
    <x v="160"/>
    <s v="Raj Kumar"/>
    <n v="54"/>
  </r>
  <r>
    <x v="161"/>
    <s v="Vicky Singh"/>
    <n v="95"/>
  </r>
  <r>
    <x v="162"/>
    <s v="Aakanksha Srivastava"/>
    <n v="57"/>
  </r>
  <r>
    <x v="163"/>
    <s v="Mahboob Hossain"/>
    <n v="133"/>
  </r>
  <r>
    <x v="164"/>
    <s v="Kiran Dodke"/>
    <n v="147"/>
  </r>
  <r>
    <x v="165"/>
    <s v="Paramjeet Singh"/>
    <n v="84"/>
  </r>
  <r>
    <x v="166"/>
    <s v="Kanika Mathur"/>
    <n v="147"/>
  </r>
  <r>
    <x v="167"/>
    <s v="Jyoti Chaudhary"/>
    <n v="86"/>
  </r>
  <r>
    <x v="168"/>
    <s v="Feroz Khilji"/>
    <n v="87"/>
  </r>
  <r>
    <x v="169"/>
    <s v="Sudhakar Arya"/>
    <n v="150"/>
  </r>
  <r>
    <x v="170"/>
    <s v="Sujata Mohanty"/>
    <n v="97"/>
  </r>
  <r>
    <x v="171"/>
    <s v="Suraj Rajput"/>
    <n v="151"/>
  </r>
  <r>
    <x v="172"/>
    <s v="Pramod Bhavsar"/>
    <n v="62"/>
  </r>
  <r>
    <x v="173"/>
    <s v="Satsh Ojha"/>
    <n v="125"/>
  </r>
  <r>
    <x v="174"/>
    <s v="Sintu Kumar"/>
    <n v="69"/>
  </r>
  <r>
    <x v="175"/>
    <s v="Krutika Shelar"/>
    <n v="160"/>
  </r>
  <r>
    <x v="176"/>
    <s v="Arjun Shaw"/>
    <n v="88"/>
  </r>
  <r>
    <x v="177"/>
    <s v="Shrikant Badge"/>
    <n v="107"/>
  </r>
  <r>
    <x v="178"/>
    <s v="Jitender Kumar"/>
    <n v="148"/>
  </r>
  <r>
    <x v="179"/>
    <s v="Dharmendar Rana"/>
    <n v="75"/>
  </r>
  <r>
    <x v="180"/>
    <s v="Adnan Soukat"/>
    <n v="68"/>
  </r>
  <r>
    <x v="181"/>
    <s v="Sheetal Nishad"/>
    <n v="98"/>
  </r>
  <r>
    <x v="182"/>
    <s v="Monika Pawar"/>
    <n v="134"/>
  </r>
  <r>
    <x v="183"/>
    <s v="Meena Mourya"/>
    <n v="84"/>
  </r>
  <r>
    <x v="184"/>
    <s v="Ashu Sharma"/>
    <n v="155"/>
  </r>
  <r>
    <x v="185"/>
    <s v="Harivansh Gautam"/>
    <n v="146"/>
  </r>
  <r>
    <x v="186"/>
    <s v="Vini Saini"/>
    <n v="110"/>
  </r>
  <r>
    <x v="187"/>
    <s v="Anand Singh Rajput"/>
    <n v="139"/>
  </r>
  <r>
    <x v="188"/>
    <s v="Jaishri Saxena"/>
    <n v="68"/>
  </r>
  <r>
    <x v="189"/>
    <s v="Virender Sroha"/>
    <n v="131"/>
  </r>
  <r>
    <x v="190"/>
    <s v="Sintu Kumar"/>
    <n v="141"/>
  </r>
  <r>
    <x v="191"/>
    <s v="Krutika Shelar"/>
    <n v="50"/>
  </r>
  <r>
    <x v="192"/>
    <s v="Arjun Shaw"/>
    <n v="65"/>
  </r>
  <r>
    <x v="193"/>
    <s v="Shrikant Badge"/>
    <n v="126"/>
  </r>
  <r>
    <x v="194"/>
    <s v="Jitender Kumar"/>
    <n v="117"/>
  </r>
  <r>
    <x v="195"/>
    <s v="Dharmendar Rana"/>
    <n v="57"/>
  </r>
  <r>
    <x v="196"/>
    <s v="Adnan Soukat"/>
    <n v="146"/>
  </r>
  <r>
    <x v="197"/>
    <s v="Sheetal Nishad"/>
    <n v="159"/>
  </r>
  <r>
    <x v="198"/>
    <s v="Monika Pawar"/>
    <n v="80"/>
  </r>
  <r>
    <x v="199"/>
    <s v="Meena Mourya"/>
    <n v="132"/>
  </r>
  <r>
    <x v="200"/>
    <s v="Ashu Sharma"/>
    <n v="60"/>
  </r>
  <r>
    <x v="201"/>
    <s v="Harivansh Gautam"/>
    <n v="116"/>
  </r>
  <r>
    <x v="202"/>
    <s v="Vini Saini"/>
    <n v="132"/>
  </r>
  <r>
    <x v="203"/>
    <s v="Anand Singh Rajput"/>
    <n v="143"/>
  </r>
  <r>
    <x v="204"/>
    <s v="Jaishri Saxena"/>
    <n v="1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95503-D966-4D0A-ADE4-51D5E3B8678A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7:G26" firstHeaderRow="0" firstDataRow="1" firstDataCol="1"/>
  <pivotFields count="5">
    <pivotField numFmtId="14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showAll="0"/>
    <pivotField dataField="1"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/>
    <dataField name="Sum of Sales2" fld="2" showDataAs="runTotal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20C68-F352-482E-80EE-ED2A1DAF3C6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12" firstHeaderRow="0" firstDataRow="1" firstDataCol="1"/>
  <pivotFields count="5">
    <pivotField numFmtId="14" showAll="0">
      <items count="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/>
    <dataField name="Running Total" fld="2" showDataAs="runTotal" baseField="4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39318-D026-426A-A8CC-264C6D5C4383}" name="PivotTable2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compact="0" compactData="0" multipleFieldFilters="0">
  <location ref="E3:G12" firstHeaderRow="0" firstDataRow="1" firstDataCol="1"/>
  <pivotFields count="4">
    <pivotField axis="axisRow"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dataField="1" compact="0" numFmtId="164" outline="0" showAll="0"/>
    <pivotField compact="0" outline="0" showAll="0" defaultSubtotal="0">
      <items count="3">
        <item x="0"/>
        <item x="1"/>
        <item x="2"/>
      </items>
    </pivotField>
  </pivotFields>
  <rowFields count="1">
    <field x="0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3" numFmtId="168"/>
    <dataField name="Running Total" fld="2" showDataAs="runTotal" baseField="0" baseItem="3" numFmtId="168"/>
  </dataFields>
  <formats count="2">
    <format dxfId="18">
      <pivotArea outline="0" fieldPosition="0">
        <references count="1">
          <reference field="0" count="8" selected="0"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7">
      <pivotArea field="0" grandRow="1" outline="0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3AEA4-DA51-4D06-A44B-C43B68103AC0}" name="Table1" displayName="Table1" ref="A3:C208" totalsRowShown="0" headerRowDxfId="16" headerRowBorderDxfId="15" tableBorderDxfId="14" totalsRowBorderDxfId="13">
  <autoFilter ref="A3:C208" xr:uid="{3CA3AEA4-DA51-4D06-A44B-C43B68103AC0}"/>
  <tableColumns count="3">
    <tableColumn id="1" xr3:uid="{74C18CC7-4B94-4261-9A6C-F8F437DEFD04}" name="Date" dataDxfId="12"/>
    <tableColumn id="2" xr3:uid="{278872EC-3EE5-4784-8BEF-938D75064021}" name="SalesRep" dataDxfId="11"/>
    <tableColumn id="3" xr3:uid="{A9D1AC7E-DB5B-4B7E-85C8-DC4B6DE4A387}" name="Sales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D8A1-A97B-4259-ABBC-43CD1D324373}">
  <sheetPr>
    <tabColor rgb="FF002060"/>
  </sheetPr>
  <dimension ref="B1:K9"/>
  <sheetViews>
    <sheetView zoomScale="145" zoomScaleNormal="145" workbookViewId="0">
      <selection activeCell="F9" sqref="F9"/>
    </sheetView>
  </sheetViews>
  <sheetFormatPr defaultRowHeight="14.4" x14ac:dyDescent="0.3"/>
  <cols>
    <col min="1" max="1" width="2.88671875" customWidth="1"/>
    <col min="2" max="11" width="7.109375" customWidth="1"/>
  </cols>
  <sheetData>
    <row r="1" spans="2:11" x14ac:dyDescent="0.3">
      <c r="B1" t="s">
        <v>122</v>
      </c>
    </row>
    <row r="2" spans="2:11" x14ac:dyDescent="0.3">
      <c r="B2" s="1" t="s">
        <v>1</v>
      </c>
      <c r="C2" s="2" t="s">
        <v>2</v>
      </c>
      <c r="D2" s="2" t="s">
        <v>3</v>
      </c>
      <c r="E2" s="1" t="s">
        <v>1</v>
      </c>
      <c r="F2" s="2" t="s">
        <v>3</v>
      </c>
      <c r="G2" s="1" t="s">
        <v>1</v>
      </c>
      <c r="H2" s="2" t="s">
        <v>5</v>
      </c>
      <c r="I2" s="2" t="s">
        <v>4</v>
      </c>
      <c r="J2" s="1" t="s">
        <v>1</v>
      </c>
      <c r="K2" s="2" t="s">
        <v>4</v>
      </c>
    </row>
    <row r="5" spans="2:11" x14ac:dyDescent="0.3">
      <c r="B5" t="s">
        <v>0</v>
      </c>
      <c r="D5" t="str">
        <f t="array" ref="D5">INDEX(B2:K2,MATCH(MAX(COUNTIF(B2:K2,B2:K2)),COUNTIF(B2:K2,B2:K2),0))&amp; " ("&amp;MAX(COUNTIF(B2:K2,B2:K2))&amp;" times)"</f>
        <v>Ishu (4 times)</v>
      </c>
      <c r="F5" t="str" cm="1">
        <f t="array" ref="F5">_xlfn.CHOOSEROWS(_xlfn.UNIQUE(TRANSPOSE(IF(COUNTIF(B2:K2,B2:K2)=MAX(COUNTIF(B2:K2,B2:K2)),B2:K2,""))),1) &amp; " ("&amp;MAX(COUNTIF(B2:K2,B2:K2))&amp;" times)"</f>
        <v>Ishu (4 times)</v>
      </c>
    </row>
    <row r="8" spans="2:11" x14ac:dyDescent="0.3">
      <c r="D8" t="str" cm="1">
        <f t="array" ref="D8">_xlfn.CHOOSECOLS(_xlfn.UNIQUE(IF(COUNTIF(B2:K2,B2:K2) = MAX(COUNTIF(B2:K2,B2:K2)), B2:K2, ""),TRUE ),1)</f>
        <v>Ishu</v>
      </c>
      <c r="F8" t="str" cm="1">
        <f t="array" ref="F8">_xlfn.LET(_xlpm.cnt, COUNTIF(B2:K2,B2:K2), INDEX(B2:K2,MATCH(MAX(_xlpm.cnt),_xlpm.cnt,0)) &amp;"("&amp; MAX(_xlpm.cnt)&amp;")")</f>
        <v>Ishu(4)</v>
      </c>
    </row>
    <row r="9" spans="2:11" x14ac:dyDescent="0.3">
      <c r="D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340A-FD39-4DDD-8CE1-165A923A6AAB}">
  <sheetPr>
    <tabColor rgb="FFFF0000"/>
  </sheetPr>
  <dimension ref="A1:T32"/>
  <sheetViews>
    <sheetView topLeftCell="A7" workbookViewId="0">
      <selection activeCell="B19" sqref="B19:I32"/>
    </sheetView>
  </sheetViews>
  <sheetFormatPr defaultRowHeight="14.4" x14ac:dyDescent="0.3"/>
  <cols>
    <col min="1" max="1" width="15.44140625" bestFit="1" customWidth="1"/>
    <col min="2" max="9" width="11.88671875" bestFit="1" customWidth="1"/>
    <col min="10" max="10" width="1.6640625" customWidth="1"/>
    <col min="12" max="12" width="1.6640625" customWidth="1"/>
  </cols>
  <sheetData>
    <row r="1" spans="1:14" x14ac:dyDescent="0.3">
      <c r="A1" s="7" t="s">
        <v>30</v>
      </c>
      <c r="B1" s="8"/>
      <c r="C1" s="8"/>
      <c r="D1" s="8"/>
      <c r="E1" s="8"/>
      <c r="F1" s="8"/>
      <c r="G1" s="8"/>
      <c r="H1" s="8"/>
      <c r="I1" s="9"/>
    </row>
    <row r="3" spans="1:14" x14ac:dyDescent="0.3">
      <c r="A3" s="5"/>
      <c r="B3" s="6">
        <v>2013</v>
      </c>
      <c r="C3" s="6">
        <v>2014</v>
      </c>
      <c r="D3" s="6">
        <v>2015</v>
      </c>
      <c r="E3" s="6">
        <v>2016</v>
      </c>
      <c r="F3" s="6">
        <v>2017</v>
      </c>
      <c r="G3" s="6">
        <v>2018</v>
      </c>
      <c r="H3" s="6">
        <v>2019</v>
      </c>
      <c r="I3" s="6">
        <v>2020</v>
      </c>
      <c r="K3" s="5" t="s">
        <v>31</v>
      </c>
      <c r="M3" s="5" t="s">
        <v>32</v>
      </c>
    </row>
    <row r="4" spans="1:14" x14ac:dyDescent="0.3">
      <c r="A4" s="6" t="s">
        <v>33</v>
      </c>
      <c r="B4" s="5">
        <v>148546</v>
      </c>
      <c r="C4" s="5">
        <v>145260</v>
      </c>
      <c r="D4" s="5">
        <v>126372</v>
      </c>
      <c r="E4" s="5">
        <v>135607</v>
      </c>
      <c r="F4" s="5">
        <v>129679</v>
      </c>
      <c r="G4" s="5">
        <v>111892</v>
      </c>
      <c r="H4" s="5">
        <v>100470</v>
      </c>
      <c r="I4" s="5">
        <v>111901</v>
      </c>
      <c r="K4" s="5">
        <v>5</v>
      </c>
      <c r="M4" s="19">
        <f>IF(ROWS(M$4:M4)&gt;K$4,"",LARGE($B$4:$I$17,ROWS(M$4:M4)))</f>
        <v>159582</v>
      </c>
      <c r="N4" cm="1">
        <f t="array" ref="N4:N8">LARGE(B4:I17, _xlfn.SEQUENCE(K4))</f>
        <v>159582</v>
      </c>
    </row>
    <row r="5" spans="1:14" x14ac:dyDescent="0.3">
      <c r="A5" s="6" t="s">
        <v>34</v>
      </c>
      <c r="B5" s="5">
        <v>135646</v>
      </c>
      <c r="C5" s="5">
        <v>96682</v>
      </c>
      <c r="D5" s="5">
        <v>150431</v>
      </c>
      <c r="E5" s="5">
        <v>141223</v>
      </c>
      <c r="F5" s="5">
        <v>142200</v>
      </c>
      <c r="G5" s="5">
        <v>124103</v>
      </c>
      <c r="H5" s="5">
        <v>80135</v>
      </c>
      <c r="I5" s="5">
        <v>151251</v>
      </c>
      <c r="M5" s="20">
        <f>IF(ROWS(M$4:M5)&gt;K$4,"",LARGE($B$4:$I$17,ROWS(M$4:M5)))</f>
        <v>159122</v>
      </c>
      <c r="N5">
        <v>159122</v>
      </c>
    </row>
    <row r="6" spans="1:14" x14ac:dyDescent="0.3">
      <c r="A6" s="6" t="s">
        <v>35</v>
      </c>
      <c r="B6" s="5">
        <v>108400</v>
      </c>
      <c r="C6" s="5">
        <v>94271</v>
      </c>
      <c r="D6" s="5">
        <v>158998</v>
      </c>
      <c r="E6" s="5">
        <v>90988</v>
      </c>
      <c r="F6" s="5">
        <v>155191</v>
      </c>
      <c r="G6" s="5">
        <v>150893</v>
      </c>
      <c r="H6" s="5">
        <v>90387</v>
      </c>
      <c r="I6" s="5">
        <v>156265</v>
      </c>
      <c r="M6" s="20">
        <f>IF(ROWS(M$4:M6)&gt;K$4,"",LARGE($B$4:$I$17,ROWS(M$4:M6)))</f>
        <v>159043</v>
      </c>
      <c r="N6">
        <v>159043</v>
      </c>
    </row>
    <row r="7" spans="1:14" x14ac:dyDescent="0.3">
      <c r="A7" s="6" t="s">
        <v>36</v>
      </c>
      <c r="B7" s="5">
        <v>118815</v>
      </c>
      <c r="C7" s="5">
        <v>91538</v>
      </c>
      <c r="D7" s="5">
        <v>146520</v>
      </c>
      <c r="E7" s="5">
        <v>80756</v>
      </c>
      <c r="F7" s="5">
        <v>148281</v>
      </c>
      <c r="G7" s="5">
        <v>81459</v>
      </c>
      <c r="H7" s="5">
        <v>122481</v>
      </c>
      <c r="I7" s="5">
        <v>148958</v>
      </c>
      <c r="M7" s="20">
        <f>IF(ROWS(M$4:M7)&gt;K$4,"",LARGE($B$4:$I$17,ROWS(M$4:M7)))</f>
        <v>158998</v>
      </c>
      <c r="N7">
        <v>158998</v>
      </c>
    </row>
    <row r="8" spans="1:14" x14ac:dyDescent="0.3">
      <c r="A8" s="6" t="s">
        <v>37</v>
      </c>
      <c r="B8" s="5">
        <v>85537</v>
      </c>
      <c r="C8" s="5">
        <v>144842</v>
      </c>
      <c r="D8" s="5">
        <v>155701</v>
      </c>
      <c r="E8" s="5">
        <v>127578</v>
      </c>
      <c r="F8" s="5">
        <v>141733</v>
      </c>
      <c r="G8" s="5">
        <v>159043</v>
      </c>
      <c r="H8" s="5">
        <v>147788</v>
      </c>
      <c r="I8" s="5">
        <v>111986</v>
      </c>
      <c r="M8" s="20">
        <f>IF(ROWS(M$4:M8)&gt;K$4,"",LARGE($B$4:$I$17,ROWS(M$4:M8)))</f>
        <v>158323</v>
      </c>
      <c r="N8">
        <v>158323</v>
      </c>
    </row>
    <row r="9" spans="1:14" x14ac:dyDescent="0.3">
      <c r="A9" s="6" t="s">
        <v>38</v>
      </c>
      <c r="B9" s="5">
        <v>80333</v>
      </c>
      <c r="C9" s="5">
        <v>119081</v>
      </c>
      <c r="D9" s="5">
        <v>130797</v>
      </c>
      <c r="E9" s="5">
        <v>120655</v>
      </c>
      <c r="F9" s="5">
        <v>131298</v>
      </c>
      <c r="G9" s="5">
        <v>127321</v>
      </c>
      <c r="H9" s="5">
        <v>142540</v>
      </c>
      <c r="I9" s="5">
        <v>156891</v>
      </c>
      <c r="M9" s="20" t="str">
        <f>IF(ROWS(M$4:M9)&gt;K$4,"",LARGE($B$4:$I$17,ROWS(M$4:M9)))</f>
        <v/>
      </c>
    </row>
    <row r="10" spans="1:14" x14ac:dyDescent="0.3">
      <c r="A10" s="6" t="s">
        <v>39</v>
      </c>
      <c r="B10" s="5">
        <v>100767</v>
      </c>
      <c r="C10" s="5">
        <v>147611</v>
      </c>
      <c r="D10" s="5">
        <v>103388</v>
      </c>
      <c r="E10" s="5">
        <v>108541</v>
      </c>
      <c r="F10" s="5">
        <v>104562</v>
      </c>
      <c r="G10" s="5">
        <v>143196</v>
      </c>
      <c r="H10" s="5">
        <v>146959</v>
      </c>
      <c r="I10" s="5">
        <v>89273</v>
      </c>
      <c r="M10" s="20" t="str">
        <f>IF(ROWS(M$4:M10)&gt;K$4,"",LARGE($B$4:$I$17,ROWS(M$4:M10)))</f>
        <v/>
      </c>
    </row>
    <row r="11" spans="1:14" x14ac:dyDescent="0.3">
      <c r="A11" s="6" t="s">
        <v>40</v>
      </c>
      <c r="B11" s="5">
        <v>136596</v>
      </c>
      <c r="C11" s="5">
        <v>93202</v>
      </c>
      <c r="D11" s="5">
        <v>129286</v>
      </c>
      <c r="E11" s="5">
        <v>97946</v>
      </c>
      <c r="F11" s="5">
        <v>139244</v>
      </c>
      <c r="G11" s="5">
        <v>125708</v>
      </c>
      <c r="H11" s="5">
        <v>121492</v>
      </c>
      <c r="I11" s="5">
        <v>98550</v>
      </c>
      <c r="M11" s="20" t="str">
        <f>IF(ROWS(M$4:M11)&gt;K$4,"",LARGE($B$4:$I$17,ROWS(M$4:M11)))</f>
        <v/>
      </c>
    </row>
    <row r="12" spans="1:14" x14ac:dyDescent="0.3">
      <c r="A12" s="6" t="s">
        <v>41</v>
      </c>
      <c r="B12" s="5">
        <v>100584</v>
      </c>
      <c r="C12" s="5">
        <v>119456</v>
      </c>
      <c r="D12" s="5">
        <v>159582</v>
      </c>
      <c r="E12" s="5">
        <v>141626</v>
      </c>
      <c r="F12" s="5">
        <v>155847</v>
      </c>
      <c r="G12" s="5">
        <v>89087</v>
      </c>
      <c r="H12" s="5">
        <v>93680</v>
      </c>
      <c r="I12" s="5">
        <v>136835</v>
      </c>
      <c r="M12" s="20" t="str">
        <f>IF(ROWS(M$4:M12)&gt;K$4,"",LARGE($B$4:$I$17,ROWS(M$4:M12)))</f>
        <v/>
      </c>
    </row>
    <row r="13" spans="1:14" x14ac:dyDescent="0.3">
      <c r="A13" s="6" t="s">
        <v>42</v>
      </c>
      <c r="B13" s="5">
        <v>84500</v>
      </c>
      <c r="C13" s="5">
        <v>95228</v>
      </c>
      <c r="D13" s="5">
        <v>153251</v>
      </c>
      <c r="E13" s="5">
        <v>124015</v>
      </c>
      <c r="F13" s="5">
        <v>84391</v>
      </c>
      <c r="G13" s="5">
        <v>159122</v>
      </c>
      <c r="H13" s="5">
        <v>154183</v>
      </c>
      <c r="I13" s="5">
        <v>98852</v>
      </c>
      <c r="M13" s="20" t="str">
        <f>IF(ROWS(M$4:M13)&gt;K$4,"",LARGE($B$4:$I$17,ROWS(M$4:M13)))</f>
        <v/>
      </c>
    </row>
    <row r="14" spans="1:14" x14ac:dyDescent="0.3">
      <c r="A14" s="6" t="s">
        <v>43</v>
      </c>
      <c r="B14" s="5">
        <v>152229</v>
      </c>
      <c r="C14" s="5">
        <v>116764</v>
      </c>
      <c r="D14" s="5">
        <v>155102</v>
      </c>
      <c r="E14" s="5">
        <v>147374</v>
      </c>
      <c r="F14" s="5">
        <v>127889</v>
      </c>
      <c r="G14" s="5">
        <v>123911</v>
      </c>
      <c r="H14" s="5">
        <v>118891</v>
      </c>
      <c r="I14" s="5">
        <v>148613</v>
      </c>
      <c r="M14" s="20" t="str">
        <f>IF(ROWS(M$4:M14)&gt;K$4,"",LARGE($B$4:$I$17,ROWS(M$4:M14)))</f>
        <v/>
      </c>
    </row>
    <row r="15" spans="1:14" x14ac:dyDescent="0.3">
      <c r="A15" s="6" t="s">
        <v>44</v>
      </c>
      <c r="B15" s="5">
        <v>158323</v>
      </c>
      <c r="C15" s="5">
        <v>132992</v>
      </c>
      <c r="D15" s="5">
        <v>108734</v>
      </c>
      <c r="E15" s="5">
        <v>86834</v>
      </c>
      <c r="F15" s="5">
        <v>128842</v>
      </c>
      <c r="G15" s="5">
        <v>85926</v>
      </c>
      <c r="H15" s="5">
        <v>128578</v>
      </c>
      <c r="I15" s="5">
        <v>80408</v>
      </c>
      <c r="M15" s="20" t="str">
        <f>IF(ROWS(M$4:M15)&gt;K$4,"",LARGE($B$4:$I$17,ROWS(M$4:M15)))</f>
        <v/>
      </c>
    </row>
    <row r="16" spans="1:14" x14ac:dyDescent="0.3">
      <c r="A16" s="6" t="s">
        <v>45</v>
      </c>
      <c r="B16" s="5">
        <v>97946</v>
      </c>
      <c r="C16" s="5">
        <v>94548</v>
      </c>
      <c r="D16" s="5">
        <v>134937</v>
      </c>
      <c r="E16" s="5">
        <v>137324</v>
      </c>
      <c r="F16" s="5">
        <v>87869</v>
      </c>
      <c r="G16" s="5">
        <v>124531</v>
      </c>
      <c r="H16" s="5">
        <v>143985</v>
      </c>
      <c r="I16" s="5">
        <v>84303</v>
      </c>
    </row>
    <row r="17" spans="1:20" x14ac:dyDescent="0.3">
      <c r="A17" s="6" t="s">
        <v>46</v>
      </c>
      <c r="B17" s="5">
        <v>85431</v>
      </c>
      <c r="C17" s="5">
        <v>91944</v>
      </c>
      <c r="D17" s="5">
        <v>86687</v>
      </c>
      <c r="E17" s="5">
        <v>81169</v>
      </c>
      <c r="F17" s="5">
        <v>125446</v>
      </c>
      <c r="G17" s="5">
        <v>154327</v>
      </c>
      <c r="H17" s="5">
        <v>152973</v>
      </c>
      <c r="I17" s="5">
        <v>109150</v>
      </c>
    </row>
    <row r="19" spans="1:20" x14ac:dyDescent="0.3">
      <c r="B19">
        <v>148546</v>
      </c>
      <c r="C19">
        <v>145260</v>
      </c>
      <c r="D19">
        <v>126372</v>
      </c>
      <c r="E19">
        <v>135607</v>
      </c>
      <c r="F19">
        <v>129679</v>
      </c>
      <c r="G19">
        <v>111892</v>
      </c>
      <c r="H19">
        <v>100470</v>
      </c>
      <c r="I19">
        <v>111901</v>
      </c>
      <c r="M19">
        <v>148546</v>
      </c>
      <c r="N19">
        <v>145260</v>
      </c>
      <c r="O19">
        <v>126372</v>
      </c>
      <c r="P19">
        <v>135607</v>
      </c>
      <c r="Q19">
        <v>129679</v>
      </c>
      <c r="R19">
        <v>111892</v>
      </c>
      <c r="S19">
        <v>100470</v>
      </c>
      <c r="T19">
        <v>111901</v>
      </c>
    </row>
    <row r="20" spans="1:20" x14ac:dyDescent="0.3">
      <c r="B20">
        <v>135646</v>
      </c>
      <c r="C20">
        <v>96682</v>
      </c>
      <c r="D20">
        <v>150431</v>
      </c>
      <c r="E20">
        <v>141223</v>
      </c>
      <c r="F20">
        <v>142200</v>
      </c>
      <c r="G20">
        <v>124103</v>
      </c>
      <c r="H20">
        <v>80135</v>
      </c>
      <c r="I20">
        <v>151251</v>
      </c>
      <c r="M20">
        <v>135646</v>
      </c>
      <c r="N20">
        <v>96682</v>
      </c>
      <c r="O20">
        <v>150431</v>
      </c>
      <c r="P20">
        <v>141223</v>
      </c>
      <c r="Q20">
        <v>142200</v>
      </c>
      <c r="R20">
        <v>124103</v>
      </c>
      <c r="S20">
        <v>80135</v>
      </c>
      <c r="T20">
        <v>151251</v>
      </c>
    </row>
    <row r="21" spans="1:20" x14ac:dyDescent="0.3">
      <c r="B21">
        <v>108400</v>
      </c>
      <c r="C21">
        <v>94271</v>
      </c>
      <c r="D21">
        <v>158998</v>
      </c>
      <c r="E21">
        <v>90988</v>
      </c>
      <c r="F21">
        <v>155191</v>
      </c>
      <c r="G21">
        <v>150893</v>
      </c>
      <c r="H21">
        <v>90387</v>
      </c>
      <c r="I21">
        <v>156265</v>
      </c>
      <c r="M21">
        <v>108400</v>
      </c>
      <c r="N21">
        <v>94271</v>
      </c>
      <c r="O21">
        <v>158998</v>
      </c>
      <c r="P21">
        <v>90988</v>
      </c>
      <c r="Q21">
        <v>155191</v>
      </c>
      <c r="R21">
        <v>150893</v>
      </c>
      <c r="S21">
        <v>90387</v>
      </c>
      <c r="T21">
        <v>156265</v>
      </c>
    </row>
    <row r="22" spans="1:20" x14ac:dyDescent="0.3">
      <c r="B22">
        <v>118815</v>
      </c>
      <c r="C22">
        <v>91538</v>
      </c>
      <c r="D22">
        <v>146520</v>
      </c>
      <c r="E22">
        <v>80756</v>
      </c>
      <c r="F22">
        <v>148281</v>
      </c>
      <c r="G22">
        <v>81459</v>
      </c>
      <c r="H22">
        <v>122481</v>
      </c>
      <c r="I22">
        <v>78</v>
      </c>
      <c r="M22">
        <v>118815</v>
      </c>
      <c r="N22">
        <v>91538</v>
      </c>
      <c r="O22">
        <v>146520</v>
      </c>
      <c r="P22">
        <v>80756</v>
      </c>
      <c r="Q22">
        <v>148281</v>
      </c>
      <c r="R22">
        <v>81459</v>
      </c>
      <c r="S22">
        <v>122481</v>
      </c>
      <c r="T22">
        <v>78</v>
      </c>
    </row>
    <row r="23" spans="1:20" x14ac:dyDescent="0.3">
      <c r="B23">
        <v>85537</v>
      </c>
      <c r="C23">
        <v>144842</v>
      </c>
      <c r="D23">
        <v>155701</v>
      </c>
      <c r="E23">
        <v>127578</v>
      </c>
      <c r="F23">
        <v>141733</v>
      </c>
      <c r="G23">
        <v>159043</v>
      </c>
      <c r="H23">
        <v>147788</v>
      </c>
      <c r="I23">
        <v>111986</v>
      </c>
      <c r="M23">
        <v>85537</v>
      </c>
      <c r="N23">
        <v>144842</v>
      </c>
      <c r="O23">
        <v>155701</v>
      </c>
      <c r="P23">
        <v>127578</v>
      </c>
      <c r="Q23">
        <v>141733</v>
      </c>
      <c r="R23">
        <v>159043</v>
      </c>
      <c r="S23">
        <v>147788</v>
      </c>
      <c r="T23">
        <v>111986</v>
      </c>
    </row>
    <row r="24" spans="1:20" x14ac:dyDescent="0.3">
      <c r="B24">
        <v>80333</v>
      </c>
      <c r="C24">
        <v>119081</v>
      </c>
      <c r="D24">
        <v>130797</v>
      </c>
      <c r="E24">
        <v>120655</v>
      </c>
      <c r="F24">
        <v>131298</v>
      </c>
      <c r="G24">
        <v>127321</v>
      </c>
      <c r="H24">
        <v>142540</v>
      </c>
      <c r="I24">
        <v>156891</v>
      </c>
      <c r="M24">
        <v>80333</v>
      </c>
      <c r="N24">
        <v>119081</v>
      </c>
      <c r="O24">
        <v>130797</v>
      </c>
      <c r="P24">
        <v>120655</v>
      </c>
      <c r="Q24">
        <v>131298</v>
      </c>
      <c r="R24">
        <v>127321</v>
      </c>
      <c r="S24">
        <v>142540</v>
      </c>
      <c r="T24">
        <v>156891</v>
      </c>
    </row>
    <row r="25" spans="1:20" x14ac:dyDescent="0.3">
      <c r="B25">
        <v>100767</v>
      </c>
      <c r="C25">
        <v>147611</v>
      </c>
      <c r="D25">
        <v>103388</v>
      </c>
      <c r="E25">
        <v>108541</v>
      </c>
      <c r="F25">
        <v>104562</v>
      </c>
      <c r="G25">
        <v>143196</v>
      </c>
      <c r="H25">
        <v>146959</v>
      </c>
      <c r="I25">
        <v>89273</v>
      </c>
      <c r="M25">
        <v>100767</v>
      </c>
      <c r="N25">
        <v>147611</v>
      </c>
      <c r="O25">
        <v>103388</v>
      </c>
      <c r="P25">
        <v>108541</v>
      </c>
      <c r="Q25">
        <v>104562</v>
      </c>
      <c r="R25">
        <v>143196</v>
      </c>
      <c r="S25">
        <v>146959</v>
      </c>
      <c r="T25">
        <v>89273</v>
      </c>
    </row>
    <row r="26" spans="1:20" x14ac:dyDescent="0.3">
      <c r="B26">
        <v>136596</v>
      </c>
      <c r="C26">
        <v>93202</v>
      </c>
      <c r="D26">
        <v>129286</v>
      </c>
      <c r="E26">
        <v>97946</v>
      </c>
      <c r="F26">
        <v>139244</v>
      </c>
      <c r="G26">
        <v>125708</v>
      </c>
      <c r="H26">
        <v>121492</v>
      </c>
      <c r="I26">
        <v>98550</v>
      </c>
      <c r="M26">
        <v>136596</v>
      </c>
      <c r="N26">
        <v>93202</v>
      </c>
      <c r="O26">
        <v>129286</v>
      </c>
      <c r="P26">
        <v>97946</v>
      </c>
      <c r="Q26">
        <v>139244</v>
      </c>
      <c r="R26">
        <v>125708</v>
      </c>
      <c r="S26">
        <v>121492</v>
      </c>
      <c r="T26">
        <v>98550</v>
      </c>
    </row>
    <row r="27" spans="1:20" x14ac:dyDescent="0.3">
      <c r="B27">
        <v>100584</v>
      </c>
      <c r="C27">
        <v>119456</v>
      </c>
      <c r="D27">
        <v>159582</v>
      </c>
      <c r="E27">
        <v>141626</v>
      </c>
      <c r="F27">
        <v>155847</v>
      </c>
      <c r="G27">
        <v>89087</v>
      </c>
      <c r="H27">
        <v>93680</v>
      </c>
      <c r="I27">
        <v>136835</v>
      </c>
      <c r="M27">
        <v>100584</v>
      </c>
      <c r="N27">
        <v>119456</v>
      </c>
      <c r="O27">
        <v>159582</v>
      </c>
      <c r="P27">
        <v>141626</v>
      </c>
      <c r="Q27">
        <v>155847</v>
      </c>
      <c r="R27">
        <v>89087</v>
      </c>
      <c r="S27">
        <v>93680</v>
      </c>
      <c r="T27">
        <v>136835</v>
      </c>
    </row>
    <row r="28" spans="1:20" x14ac:dyDescent="0.3">
      <c r="B28">
        <v>84500</v>
      </c>
      <c r="C28">
        <v>95228</v>
      </c>
      <c r="D28">
        <v>153251</v>
      </c>
      <c r="E28">
        <v>124015</v>
      </c>
      <c r="F28">
        <v>84391</v>
      </c>
      <c r="G28">
        <v>159122</v>
      </c>
      <c r="H28">
        <v>154183</v>
      </c>
      <c r="I28">
        <v>98852</v>
      </c>
      <c r="M28">
        <v>84500</v>
      </c>
      <c r="N28">
        <v>95228</v>
      </c>
      <c r="O28">
        <v>153251</v>
      </c>
      <c r="P28">
        <v>124015</v>
      </c>
      <c r="Q28">
        <v>84391</v>
      </c>
      <c r="R28">
        <v>159122</v>
      </c>
      <c r="S28">
        <v>154183</v>
      </c>
      <c r="T28">
        <v>98852</v>
      </c>
    </row>
    <row r="29" spans="1:20" x14ac:dyDescent="0.3">
      <c r="B29">
        <v>152229</v>
      </c>
      <c r="C29">
        <v>116764</v>
      </c>
      <c r="D29">
        <v>155102</v>
      </c>
      <c r="E29">
        <v>147374</v>
      </c>
      <c r="F29">
        <v>127889</v>
      </c>
      <c r="G29">
        <v>123911</v>
      </c>
      <c r="H29">
        <v>118891</v>
      </c>
      <c r="I29">
        <v>148613</v>
      </c>
      <c r="M29">
        <v>152229</v>
      </c>
      <c r="N29">
        <v>116764</v>
      </c>
      <c r="O29">
        <v>155102</v>
      </c>
      <c r="P29">
        <v>147374</v>
      </c>
      <c r="Q29">
        <v>127889</v>
      </c>
      <c r="R29">
        <v>123911</v>
      </c>
      <c r="S29">
        <v>118891</v>
      </c>
      <c r="T29">
        <v>148613</v>
      </c>
    </row>
    <row r="30" spans="1:20" x14ac:dyDescent="0.3">
      <c r="B30">
        <v>158323</v>
      </c>
      <c r="C30">
        <v>132992</v>
      </c>
      <c r="D30">
        <v>108734</v>
      </c>
      <c r="E30">
        <v>86834</v>
      </c>
      <c r="F30">
        <v>128842</v>
      </c>
      <c r="G30">
        <v>85926</v>
      </c>
      <c r="H30">
        <v>128578</v>
      </c>
      <c r="I30">
        <v>80408</v>
      </c>
      <c r="M30">
        <v>158323</v>
      </c>
      <c r="N30">
        <v>132992</v>
      </c>
      <c r="O30">
        <v>108734</v>
      </c>
      <c r="P30">
        <v>86834</v>
      </c>
      <c r="Q30">
        <v>128842</v>
      </c>
      <c r="R30">
        <v>85926</v>
      </c>
      <c r="S30">
        <v>128578</v>
      </c>
      <c r="T30">
        <v>80408</v>
      </c>
    </row>
    <row r="31" spans="1:20" x14ac:dyDescent="0.3">
      <c r="B31">
        <v>97946</v>
      </c>
      <c r="C31">
        <v>94548</v>
      </c>
      <c r="D31">
        <v>134937</v>
      </c>
      <c r="E31">
        <v>137324</v>
      </c>
      <c r="F31">
        <v>87869</v>
      </c>
      <c r="G31">
        <v>124531</v>
      </c>
      <c r="H31">
        <v>143985</v>
      </c>
      <c r="I31">
        <v>84303</v>
      </c>
      <c r="M31">
        <v>97946</v>
      </c>
      <c r="N31">
        <v>94548</v>
      </c>
      <c r="O31">
        <v>134937</v>
      </c>
      <c r="P31">
        <v>137324</v>
      </c>
      <c r="Q31">
        <v>87869</v>
      </c>
      <c r="R31">
        <v>124531</v>
      </c>
      <c r="S31">
        <v>143985</v>
      </c>
      <c r="T31">
        <v>84303</v>
      </c>
    </row>
    <row r="32" spans="1:20" x14ac:dyDescent="0.3">
      <c r="B32">
        <v>85431</v>
      </c>
      <c r="C32">
        <v>91944</v>
      </c>
      <c r="D32">
        <v>86687</v>
      </c>
      <c r="E32">
        <v>81169</v>
      </c>
      <c r="F32">
        <v>125446</v>
      </c>
      <c r="G32">
        <v>154327</v>
      </c>
      <c r="H32">
        <v>152973</v>
      </c>
      <c r="I32">
        <v>109150</v>
      </c>
      <c r="M32">
        <v>85431</v>
      </c>
      <c r="N32">
        <v>91944</v>
      </c>
      <c r="O32">
        <v>86687</v>
      </c>
      <c r="P32">
        <v>81169</v>
      </c>
      <c r="Q32">
        <v>125446</v>
      </c>
      <c r="R32">
        <v>154327</v>
      </c>
      <c r="S32">
        <v>152973</v>
      </c>
      <c r="T32">
        <v>109150</v>
      </c>
    </row>
  </sheetData>
  <conditionalFormatting sqref="B4:I17">
    <cfRule type="expression" dxfId="6" priority="6">
      <formula>LARGE($B$4:$I$17,$K$4)&lt;=B4</formula>
    </cfRule>
  </conditionalFormatting>
  <conditionalFormatting sqref="B19:I32">
    <cfRule type="expression" dxfId="5" priority="3">
      <formula>OR(B19=$M$4:$M$8)</formula>
    </cfRule>
  </conditionalFormatting>
  <conditionalFormatting sqref="M19:T32">
    <cfRule type="expression" dxfId="4" priority="1">
      <formula>OR(M19=$M$4:$M$8)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960B-7401-4BDA-89C0-34ABE33D67E3}">
  <sheetPr>
    <tabColor rgb="FF002060"/>
  </sheetPr>
  <dimension ref="A1:H14"/>
  <sheetViews>
    <sheetView topLeftCell="A2" zoomScale="130" zoomScaleNormal="130" workbookViewId="0">
      <selection activeCell="F12" sqref="F12"/>
    </sheetView>
  </sheetViews>
  <sheetFormatPr defaultRowHeight="14.4" x14ac:dyDescent="0.3"/>
  <cols>
    <col min="1" max="1" width="14.6640625" bestFit="1" customWidth="1"/>
    <col min="2" max="2" width="12.88671875" customWidth="1"/>
    <col min="3" max="6" width="11" bestFit="1" customWidth="1"/>
    <col min="7" max="7" width="18.44140625" bestFit="1" customWidth="1"/>
    <col min="8" max="12" width="11" bestFit="1" customWidth="1"/>
  </cols>
  <sheetData>
    <row r="1" spans="1:8" ht="28.8" x14ac:dyDescent="0.3">
      <c r="A1" s="13" t="str">
        <f>"In cell D12, "&amp;A12</f>
        <v>In cell D12, Count sales that occurred in jan, 2010 (Be sure to have your formula linked to the criteria in cells D13 and D14.</v>
      </c>
      <c r="B1" s="14"/>
      <c r="C1" s="14"/>
      <c r="D1" s="14"/>
      <c r="E1" s="14"/>
      <c r="F1" s="14"/>
      <c r="G1" s="14"/>
      <c r="H1" s="15"/>
    </row>
    <row r="3" spans="1:8" x14ac:dyDescent="0.3">
      <c r="A3" s="10" t="s">
        <v>21</v>
      </c>
      <c r="B3" s="10" t="s">
        <v>22</v>
      </c>
      <c r="C3" s="10" t="s">
        <v>23</v>
      </c>
      <c r="D3" s="21"/>
    </row>
    <row r="4" spans="1:8" x14ac:dyDescent="0.3">
      <c r="A4" s="11">
        <v>40595</v>
      </c>
      <c r="B4" s="5" t="s">
        <v>47</v>
      </c>
      <c r="C4" s="12">
        <v>21500</v>
      </c>
      <c r="D4" s="22"/>
    </row>
    <row r="5" spans="1:8" x14ac:dyDescent="0.3">
      <c r="A5" s="11">
        <v>40595</v>
      </c>
      <c r="B5" s="5" t="s">
        <v>48</v>
      </c>
      <c r="C5" s="12">
        <v>21500</v>
      </c>
      <c r="D5" s="22"/>
    </row>
    <row r="6" spans="1:8" x14ac:dyDescent="0.3">
      <c r="A6" s="11">
        <v>40595</v>
      </c>
      <c r="B6" s="5" t="s">
        <v>49</v>
      </c>
      <c r="C6" s="12">
        <v>15000</v>
      </c>
      <c r="D6" s="22"/>
    </row>
    <row r="7" spans="1:8" x14ac:dyDescent="0.3">
      <c r="A7" s="11">
        <v>40233</v>
      </c>
      <c r="B7" s="5" t="s">
        <v>47</v>
      </c>
      <c r="C7" s="12">
        <v>15000</v>
      </c>
      <c r="D7" s="22"/>
    </row>
    <row r="8" spans="1:8" x14ac:dyDescent="0.3">
      <c r="A8" s="11">
        <v>40233</v>
      </c>
      <c r="B8" s="5" t="s">
        <v>48</v>
      </c>
      <c r="C8" s="12">
        <v>31458</v>
      </c>
      <c r="D8" s="22"/>
    </row>
    <row r="9" spans="1:8" x14ac:dyDescent="0.3">
      <c r="A9" s="11">
        <v>40202</v>
      </c>
      <c r="B9" s="5" t="s">
        <v>50</v>
      </c>
      <c r="C9" s="12">
        <v>14400</v>
      </c>
      <c r="D9" s="22"/>
    </row>
    <row r="10" spans="1:8" x14ac:dyDescent="0.3">
      <c r="A10" s="11">
        <v>40202</v>
      </c>
      <c r="B10" s="5" t="s">
        <v>51</v>
      </c>
      <c r="C10" s="12">
        <v>29532</v>
      </c>
      <c r="D10" s="22"/>
    </row>
    <row r="12" spans="1:8" ht="43.2" x14ac:dyDescent="0.3">
      <c r="A12" s="13" t="str">
        <f>"Count sales that occurred in "&amp;D13&amp;", "&amp;D14&amp;" (Be sure to have your formula linked to the criteria in cells D13 and D14."</f>
        <v>Count sales that occurred in jan, 2010 (Be sure to have your formula linked to the criteria in cells D13 and D14.</v>
      </c>
      <c r="B12" s="14"/>
      <c r="C12" s="15"/>
      <c r="D12" s="16">
        <f>SUMPRODUCT(--(TEXT(A4:A10,"mmmyyy")=D13&amp;D14))</f>
        <v>2</v>
      </c>
      <c r="F12">
        <f>COUNTIFS(A4:A10, "&gt;="&amp;EOMONTH(D13&amp;D14,-1)+1, A4:A10,"&lt;=" &amp;EOMONTH("1-"&amp;D13&amp;"-"&amp;D14,0))</f>
        <v>2</v>
      </c>
    </row>
    <row r="13" spans="1:8" x14ac:dyDescent="0.3">
      <c r="C13" s="5" t="s">
        <v>24</v>
      </c>
      <c r="D13" s="5" t="s">
        <v>125</v>
      </c>
      <c r="F13">
        <f>COUNTIFS(A4:A10,"&gt;="&amp;EOMONTH(D13&amp;D14,-1)+1,A4:A10,"&lt;="&amp;EOMONTH(D13&amp;D14,0))</f>
        <v>2</v>
      </c>
    </row>
    <row r="14" spans="1:8" x14ac:dyDescent="0.3">
      <c r="C14" s="5" t="s">
        <v>25</v>
      </c>
      <c r="D14" s="5">
        <v>2010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B55A-3D10-4F81-B4C0-62B4445AFA26}">
  <sheetPr>
    <tabColor rgb="FFFF0000"/>
  </sheetPr>
  <dimension ref="A1:L93"/>
  <sheetViews>
    <sheetView zoomScale="85" zoomScaleNormal="85" workbookViewId="0">
      <selection activeCell="F5" sqref="F5"/>
    </sheetView>
  </sheetViews>
  <sheetFormatPr defaultRowHeight="14.4" x14ac:dyDescent="0.3"/>
  <cols>
    <col min="1" max="1" width="14.6640625" bestFit="1" customWidth="1"/>
    <col min="2" max="2" width="12.88671875" customWidth="1"/>
    <col min="3" max="6" width="11" bestFit="1" customWidth="1"/>
    <col min="7" max="7" width="9.109375" customWidth="1"/>
    <col min="8" max="12" width="11" bestFit="1" customWidth="1"/>
  </cols>
  <sheetData>
    <row r="1" spans="1:12" ht="28.8" x14ac:dyDescent="0.3">
      <c r="A1" s="23" t="s">
        <v>6</v>
      </c>
      <c r="B1" s="23"/>
      <c r="C1" s="23"/>
      <c r="D1" s="23"/>
      <c r="E1" s="23"/>
      <c r="F1" s="23"/>
      <c r="G1" s="23"/>
      <c r="H1" s="23"/>
    </row>
    <row r="3" spans="1:12" x14ac:dyDescent="0.3">
      <c r="A3" s="4" t="s">
        <v>7</v>
      </c>
      <c r="B3" s="5" t="s">
        <v>20</v>
      </c>
    </row>
    <row r="4" spans="1:12" x14ac:dyDescent="0.3">
      <c r="A4" s="4" t="s">
        <v>9</v>
      </c>
      <c r="B4" s="20">
        <f>SUM(INDEX(A7:L93,,MATCH(B3,A6:L6,0)))</f>
        <v>698837</v>
      </c>
      <c r="C4">
        <f ca="1">SUM(INDIRECT(B3))</f>
        <v>698837</v>
      </c>
      <c r="D4">
        <f ca="1">SUM(OFFSET(A5,2,MATCH(B3,A6:L6,0)-1,COUNTA(Dec)))</f>
        <v>698837</v>
      </c>
      <c r="F4">
        <f ca="1">SUM(OFFSET(A6,1,MATCH(B3,$A$6:$L$6,0)-1,COUNT(L7:L1048576)))</f>
        <v>698837</v>
      </c>
    </row>
    <row r="6" spans="1:12" x14ac:dyDescent="0.3">
      <c r="A6" s="6" t="s">
        <v>10</v>
      </c>
      <c r="B6" s="6" t="s">
        <v>11</v>
      </c>
      <c r="C6" s="6" t="s">
        <v>12</v>
      </c>
      <c r="D6" s="6" t="s">
        <v>13</v>
      </c>
      <c r="E6" s="6" t="s">
        <v>8</v>
      </c>
      <c r="F6" s="6" t="s">
        <v>14</v>
      </c>
      <c r="G6" s="6" t="s">
        <v>15</v>
      </c>
      <c r="H6" s="6" t="s">
        <v>16</v>
      </c>
      <c r="I6" s="6" t="s">
        <v>17</v>
      </c>
      <c r="J6" s="6" t="s">
        <v>18</v>
      </c>
      <c r="K6" s="6" t="s">
        <v>19</v>
      </c>
      <c r="L6" s="6" t="s">
        <v>20</v>
      </c>
    </row>
    <row r="7" spans="1:12" x14ac:dyDescent="0.3">
      <c r="A7" s="5">
        <v>6236</v>
      </c>
      <c r="B7" s="5">
        <v>7325</v>
      </c>
      <c r="C7" s="5">
        <v>9421</v>
      </c>
      <c r="D7" s="5">
        <v>6520</v>
      </c>
      <c r="E7" s="5">
        <v>10403</v>
      </c>
      <c r="F7" s="5">
        <v>10746</v>
      </c>
      <c r="G7" s="5">
        <v>9700</v>
      </c>
      <c r="H7" s="5">
        <v>8536</v>
      </c>
      <c r="I7" s="5">
        <v>5199</v>
      </c>
      <c r="J7" s="5">
        <v>10997</v>
      </c>
      <c r="K7" s="5">
        <v>7730</v>
      </c>
      <c r="L7" s="5">
        <v>10232</v>
      </c>
    </row>
    <row r="8" spans="1:12" x14ac:dyDescent="0.3">
      <c r="A8" s="5">
        <v>9620</v>
      </c>
      <c r="B8" s="5">
        <v>8201</v>
      </c>
      <c r="C8" s="5">
        <v>10415</v>
      </c>
      <c r="D8" s="5">
        <v>10754</v>
      </c>
      <c r="E8" s="5">
        <v>5134</v>
      </c>
      <c r="F8" s="5">
        <v>9262</v>
      </c>
      <c r="G8" s="5">
        <v>5648</v>
      </c>
      <c r="H8" s="5">
        <v>6731</v>
      </c>
      <c r="I8" s="5">
        <v>8529</v>
      </c>
      <c r="J8" s="5">
        <v>8518</v>
      </c>
      <c r="K8" s="5">
        <v>7593</v>
      </c>
      <c r="L8" s="5">
        <v>8192</v>
      </c>
    </row>
    <row r="9" spans="1:12" x14ac:dyDescent="0.3">
      <c r="A9" s="5">
        <v>6422</v>
      </c>
      <c r="B9" s="5">
        <v>8750</v>
      </c>
      <c r="C9" s="5">
        <v>6679</v>
      </c>
      <c r="D9" s="5">
        <v>6913</v>
      </c>
      <c r="E9" s="5">
        <v>9010</v>
      </c>
      <c r="F9" s="5">
        <v>9361</v>
      </c>
      <c r="G9" s="5">
        <v>6262</v>
      </c>
      <c r="H9" s="5">
        <v>6368</v>
      </c>
      <c r="I9" s="5">
        <v>8294</v>
      </c>
      <c r="J9" s="5">
        <v>6223</v>
      </c>
      <c r="K9" s="5">
        <v>7005</v>
      </c>
      <c r="L9" s="5">
        <v>10495</v>
      </c>
    </row>
    <row r="10" spans="1:12" x14ac:dyDescent="0.3">
      <c r="A10" s="5">
        <v>9808</v>
      </c>
      <c r="B10" s="5">
        <v>5900</v>
      </c>
      <c r="C10" s="5">
        <v>6554</v>
      </c>
      <c r="D10" s="5">
        <v>8031</v>
      </c>
      <c r="E10" s="5">
        <v>8231</v>
      </c>
      <c r="F10" s="5">
        <v>9168</v>
      </c>
      <c r="G10" s="5">
        <v>8678</v>
      </c>
      <c r="H10" s="5">
        <v>8897</v>
      </c>
      <c r="I10" s="5">
        <v>10017</v>
      </c>
      <c r="J10" s="5">
        <v>6377</v>
      </c>
      <c r="K10" s="5">
        <v>10319</v>
      </c>
      <c r="L10" s="5">
        <v>9520</v>
      </c>
    </row>
    <row r="11" spans="1:12" x14ac:dyDescent="0.3">
      <c r="A11" s="5">
        <v>8884</v>
      </c>
      <c r="B11" s="5">
        <v>8988</v>
      </c>
      <c r="C11" s="5">
        <v>5520</v>
      </c>
      <c r="D11" s="5">
        <v>8825</v>
      </c>
      <c r="E11" s="5">
        <v>5522</v>
      </c>
      <c r="F11" s="5">
        <v>5812</v>
      </c>
      <c r="G11" s="5">
        <v>9472</v>
      </c>
      <c r="H11" s="5">
        <v>8465</v>
      </c>
      <c r="I11" s="5">
        <v>8909</v>
      </c>
      <c r="J11" s="5">
        <v>7298</v>
      </c>
      <c r="K11" s="5">
        <v>7283</v>
      </c>
      <c r="L11" s="5">
        <v>7809</v>
      </c>
    </row>
    <row r="12" spans="1:12" x14ac:dyDescent="0.3">
      <c r="A12" s="5">
        <v>6147</v>
      </c>
      <c r="B12" s="5">
        <v>6025</v>
      </c>
      <c r="C12" s="5">
        <v>8787</v>
      </c>
      <c r="D12" s="5">
        <v>6796</v>
      </c>
      <c r="E12" s="5">
        <v>5286</v>
      </c>
      <c r="F12" s="5">
        <v>9269</v>
      </c>
      <c r="G12" s="5">
        <v>10571</v>
      </c>
      <c r="H12" s="5">
        <v>6999</v>
      </c>
      <c r="I12" s="5">
        <v>10085</v>
      </c>
      <c r="J12" s="5">
        <v>6163</v>
      </c>
      <c r="K12" s="5">
        <v>9024</v>
      </c>
      <c r="L12" s="5">
        <v>6980</v>
      </c>
    </row>
    <row r="13" spans="1:12" x14ac:dyDescent="0.3">
      <c r="A13" s="5">
        <v>5000</v>
      </c>
      <c r="B13" s="5">
        <v>9513</v>
      </c>
      <c r="C13" s="5">
        <v>9272</v>
      </c>
      <c r="D13" s="5">
        <v>5242</v>
      </c>
      <c r="E13" s="5">
        <v>7492</v>
      </c>
      <c r="F13" s="5">
        <v>6309</v>
      </c>
      <c r="G13" s="5">
        <v>8721</v>
      </c>
      <c r="H13" s="5">
        <v>8409</v>
      </c>
      <c r="I13" s="5">
        <v>7660</v>
      </c>
      <c r="J13" s="5">
        <v>9832</v>
      </c>
      <c r="K13" s="5">
        <v>9017</v>
      </c>
      <c r="L13" s="5">
        <v>5525</v>
      </c>
    </row>
    <row r="14" spans="1:12" x14ac:dyDescent="0.3">
      <c r="A14" s="5">
        <v>6970</v>
      </c>
      <c r="B14" s="5">
        <v>9239</v>
      </c>
      <c r="C14" s="5">
        <v>5181</v>
      </c>
      <c r="D14" s="5">
        <v>10581</v>
      </c>
      <c r="E14" s="5">
        <v>9348</v>
      </c>
      <c r="F14" s="5">
        <v>10450</v>
      </c>
      <c r="G14" s="5">
        <v>8428</v>
      </c>
      <c r="H14" s="5">
        <v>5009</v>
      </c>
      <c r="I14" s="5">
        <v>6717</v>
      </c>
      <c r="J14" s="5">
        <v>10855</v>
      </c>
      <c r="K14" s="5">
        <v>10702</v>
      </c>
      <c r="L14" s="5">
        <v>5606</v>
      </c>
    </row>
    <row r="15" spans="1:12" x14ac:dyDescent="0.3">
      <c r="A15" s="5">
        <v>6273</v>
      </c>
      <c r="B15" s="5">
        <v>5430</v>
      </c>
      <c r="C15" s="5">
        <v>8289</v>
      </c>
      <c r="D15" s="5">
        <v>10612</v>
      </c>
      <c r="E15" s="5">
        <v>8322</v>
      </c>
      <c r="F15" s="5">
        <v>7308</v>
      </c>
      <c r="G15" s="5">
        <v>7147</v>
      </c>
      <c r="H15" s="5">
        <v>8587</v>
      </c>
      <c r="I15" s="5">
        <v>8432</v>
      </c>
      <c r="J15" s="5">
        <v>8694</v>
      </c>
      <c r="K15" s="5">
        <v>10120</v>
      </c>
      <c r="L15" s="5">
        <v>10544</v>
      </c>
    </row>
    <row r="16" spans="1:12" x14ac:dyDescent="0.3">
      <c r="A16" s="5">
        <v>7001</v>
      </c>
      <c r="B16" s="5">
        <v>9938</v>
      </c>
      <c r="C16" s="5">
        <v>5568</v>
      </c>
      <c r="D16" s="5">
        <v>5034</v>
      </c>
      <c r="E16" s="5">
        <v>8396</v>
      </c>
      <c r="F16" s="5">
        <v>10063</v>
      </c>
      <c r="G16" s="5">
        <v>10443</v>
      </c>
      <c r="H16" s="5">
        <v>8114</v>
      </c>
      <c r="I16" s="5">
        <v>8211</v>
      </c>
      <c r="J16" s="5">
        <v>10696</v>
      </c>
      <c r="K16" s="5">
        <v>9500</v>
      </c>
      <c r="L16" s="5">
        <v>8350</v>
      </c>
    </row>
    <row r="17" spans="1:12" x14ac:dyDescent="0.3">
      <c r="A17" s="5">
        <v>6653</v>
      </c>
      <c r="B17" s="5">
        <v>6483</v>
      </c>
      <c r="C17" s="5">
        <v>6388</v>
      </c>
      <c r="D17" s="5">
        <v>6938</v>
      </c>
      <c r="E17" s="5">
        <v>9610</v>
      </c>
      <c r="F17" s="5">
        <v>9826</v>
      </c>
      <c r="G17" s="5">
        <v>8223</v>
      </c>
      <c r="H17" s="5">
        <v>5232</v>
      </c>
      <c r="I17" s="5">
        <v>10847</v>
      </c>
      <c r="J17" s="5">
        <v>5015</v>
      </c>
      <c r="K17" s="5">
        <v>6125</v>
      </c>
      <c r="L17" s="5">
        <v>6869</v>
      </c>
    </row>
    <row r="18" spans="1:12" x14ac:dyDescent="0.3">
      <c r="A18" s="5">
        <v>6600</v>
      </c>
      <c r="B18" s="5">
        <v>5280</v>
      </c>
      <c r="C18" s="5">
        <v>10331</v>
      </c>
      <c r="D18" s="5">
        <v>9594</v>
      </c>
      <c r="E18" s="5">
        <v>8125</v>
      </c>
      <c r="F18" s="5">
        <v>7577</v>
      </c>
      <c r="G18" s="5">
        <v>10658</v>
      </c>
      <c r="H18" s="5">
        <v>8030</v>
      </c>
      <c r="I18" s="5">
        <v>8402</v>
      </c>
      <c r="J18" s="5">
        <v>6372</v>
      </c>
      <c r="K18" s="5">
        <v>10345</v>
      </c>
      <c r="L18" s="5">
        <v>5480</v>
      </c>
    </row>
    <row r="19" spans="1:12" x14ac:dyDescent="0.3">
      <c r="A19" s="5">
        <v>10889</v>
      </c>
      <c r="B19" s="5">
        <v>10349</v>
      </c>
      <c r="C19" s="5">
        <v>9273</v>
      </c>
      <c r="D19" s="5">
        <v>8365</v>
      </c>
      <c r="E19" s="5">
        <v>8120</v>
      </c>
      <c r="F19" s="5">
        <v>5817</v>
      </c>
      <c r="G19" s="5">
        <v>7853</v>
      </c>
      <c r="H19" s="5">
        <v>6668</v>
      </c>
      <c r="I19" s="5">
        <v>8918</v>
      </c>
      <c r="J19" s="5">
        <v>7982</v>
      </c>
      <c r="K19" s="5">
        <v>8951</v>
      </c>
      <c r="L19" s="5">
        <v>10102</v>
      </c>
    </row>
    <row r="20" spans="1:12" x14ac:dyDescent="0.3">
      <c r="A20" s="5">
        <v>9564</v>
      </c>
      <c r="B20" s="5">
        <v>6001</v>
      </c>
      <c r="C20" s="5">
        <v>9006</v>
      </c>
      <c r="D20" s="5">
        <v>9989</v>
      </c>
      <c r="E20" s="5">
        <v>10201</v>
      </c>
      <c r="F20" s="5">
        <v>9303</v>
      </c>
      <c r="G20" s="5">
        <v>6515</v>
      </c>
      <c r="H20" s="5">
        <v>6460</v>
      </c>
      <c r="I20" s="5">
        <v>6466</v>
      </c>
      <c r="J20" s="5">
        <v>5129</v>
      </c>
      <c r="K20" s="5">
        <v>7976</v>
      </c>
      <c r="L20" s="5">
        <v>8941</v>
      </c>
    </row>
    <row r="21" spans="1:12" x14ac:dyDescent="0.3">
      <c r="A21" s="5">
        <v>8082</v>
      </c>
      <c r="B21" s="5">
        <v>8562</v>
      </c>
      <c r="C21" s="5">
        <v>5421</v>
      </c>
      <c r="D21" s="5">
        <v>6095</v>
      </c>
      <c r="E21" s="5">
        <v>10853</v>
      </c>
      <c r="F21" s="5">
        <v>10556</v>
      </c>
      <c r="G21" s="5">
        <v>10823</v>
      </c>
      <c r="H21" s="5">
        <v>7653</v>
      </c>
      <c r="I21" s="5">
        <v>10535</v>
      </c>
      <c r="J21" s="5">
        <v>10693</v>
      </c>
      <c r="K21" s="5">
        <v>9098</v>
      </c>
      <c r="L21" s="5">
        <v>7647</v>
      </c>
    </row>
    <row r="22" spans="1:12" x14ac:dyDescent="0.3">
      <c r="A22" s="5">
        <v>5831</v>
      </c>
      <c r="B22" s="5">
        <v>9564</v>
      </c>
      <c r="C22" s="5">
        <v>6204</v>
      </c>
      <c r="D22" s="5">
        <v>9750</v>
      </c>
      <c r="E22" s="5">
        <v>6835</v>
      </c>
      <c r="F22" s="5">
        <v>6814</v>
      </c>
      <c r="G22" s="5">
        <v>8862</v>
      </c>
      <c r="H22" s="5">
        <v>5928</v>
      </c>
      <c r="I22" s="5">
        <v>8710</v>
      </c>
      <c r="J22" s="5">
        <v>5087</v>
      </c>
      <c r="K22" s="5">
        <v>8656</v>
      </c>
      <c r="L22" s="5">
        <v>7148</v>
      </c>
    </row>
    <row r="23" spans="1:12" x14ac:dyDescent="0.3">
      <c r="A23" s="5">
        <v>5677</v>
      </c>
      <c r="B23" s="5">
        <v>10487</v>
      </c>
      <c r="C23" s="5">
        <v>6848</v>
      </c>
      <c r="D23" s="5">
        <v>10646</v>
      </c>
      <c r="E23" s="5">
        <v>7557</v>
      </c>
      <c r="F23" s="5">
        <v>6390</v>
      </c>
      <c r="G23" s="5">
        <v>10581</v>
      </c>
      <c r="H23" s="5">
        <v>8137</v>
      </c>
      <c r="I23" s="5">
        <v>8313</v>
      </c>
      <c r="J23" s="5">
        <v>7896</v>
      </c>
      <c r="K23" s="5">
        <v>9983</v>
      </c>
      <c r="L23" s="5">
        <v>6373</v>
      </c>
    </row>
    <row r="24" spans="1:12" x14ac:dyDescent="0.3">
      <c r="A24" s="5">
        <v>9478</v>
      </c>
      <c r="B24" s="5">
        <v>8797</v>
      </c>
      <c r="C24" s="5">
        <v>5542</v>
      </c>
      <c r="D24" s="5">
        <v>8969</v>
      </c>
      <c r="E24" s="5">
        <v>5056</v>
      </c>
      <c r="F24" s="5">
        <v>8407</v>
      </c>
      <c r="G24" s="5">
        <v>8940</v>
      </c>
      <c r="H24" s="5">
        <v>8411</v>
      </c>
      <c r="I24" s="5">
        <v>10406</v>
      </c>
      <c r="J24" s="5">
        <v>9858</v>
      </c>
      <c r="K24" s="5">
        <v>6926</v>
      </c>
      <c r="L24" s="5">
        <v>9089</v>
      </c>
    </row>
    <row r="25" spans="1:12" x14ac:dyDescent="0.3">
      <c r="A25" s="5">
        <v>6859</v>
      </c>
      <c r="B25" s="5">
        <v>9917</v>
      </c>
      <c r="C25" s="5">
        <v>7619</v>
      </c>
      <c r="D25" s="5">
        <v>7734</v>
      </c>
      <c r="E25" s="5">
        <v>6525</v>
      </c>
      <c r="F25" s="5">
        <v>9793</v>
      </c>
      <c r="G25" s="5">
        <v>7033</v>
      </c>
      <c r="H25" s="5">
        <v>6777</v>
      </c>
      <c r="I25" s="5">
        <v>10766</v>
      </c>
      <c r="J25" s="5">
        <v>10046</v>
      </c>
      <c r="K25" s="5">
        <v>9938</v>
      </c>
      <c r="L25" s="5">
        <v>8298</v>
      </c>
    </row>
    <row r="26" spans="1:12" x14ac:dyDescent="0.3">
      <c r="A26" s="5">
        <v>8288</v>
      </c>
      <c r="B26" s="5">
        <v>5945</v>
      </c>
      <c r="C26" s="5">
        <v>7375</v>
      </c>
      <c r="D26" s="5">
        <v>10576</v>
      </c>
      <c r="E26" s="5">
        <v>5915</v>
      </c>
      <c r="F26" s="5">
        <v>9080</v>
      </c>
      <c r="G26" s="5">
        <v>9214</v>
      </c>
      <c r="H26" s="5">
        <v>8065</v>
      </c>
      <c r="I26" s="5">
        <v>7026</v>
      </c>
      <c r="J26" s="5">
        <v>6991</v>
      </c>
      <c r="K26" s="5">
        <v>5121</v>
      </c>
      <c r="L26" s="5">
        <v>7195</v>
      </c>
    </row>
    <row r="27" spans="1:12" x14ac:dyDescent="0.3">
      <c r="A27" s="5">
        <v>9669</v>
      </c>
      <c r="B27" s="5">
        <v>7469</v>
      </c>
      <c r="C27" s="5">
        <v>9715</v>
      </c>
      <c r="D27" s="5">
        <v>10633</v>
      </c>
      <c r="E27" s="5">
        <v>5135</v>
      </c>
      <c r="F27" s="5">
        <v>7888</v>
      </c>
      <c r="G27" s="5">
        <v>8621</v>
      </c>
      <c r="H27" s="5">
        <v>6117</v>
      </c>
      <c r="I27" s="5">
        <v>7201</v>
      </c>
      <c r="J27" s="5">
        <v>10343</v>
      </c>
      <c r="K27" s="5">
        <v>6098</v>
      </c>
      <c r="L27" s="5">
        <v>6133</v>
      </c>
    </row>
    <row r="28" spans="1:12" x14ac:dyDescent="0.3">
      <c r="A28" s="5">
        <v>10725</v>
      </c>
      <c r="B28" s="5">
        <v>8769</v>
      </c>
      <c r="C28" s="5">
        <v>8528</v>
      </c>
      <c r="D28" s="5">
        <v>10395</v>
      </c>
      <c r="E28" s="5">
        <v>10712</v>
      </c>
      <c r="F28" s="5">
        <v>10709</v>
      </c>
      <c r="G28" s="5">
        <v>5323</v>
      </c>
      <c r="H28" s="5">
        <v>6036</v>
      </c>
      <c r="I28" s="5">
        <v>8737</v>
      </c>
      <c r="J28" s="5">
        <v>10579</v>
      </c>
      <c r="K28" s="5">
        <v>8188</v>
      </c>
      <c r="L28" s="5">
        <v>9057</v>
      </c>
    </row>
    <row r="29" spans="1:12" x14ac:dyDescent="0.3">
      <c r="A29" s="5">
        <v>7803</v>
      </c>
      <c r="B29" s="5">
        <v>8620</v>
      </c>
      <c r="C29" s="5">
        <v>5792</v>
      </c>
      <c r="D29" s="5">
        <v>7557</v>
      </c>
      <c r="E29" s="5">
        <v>8041</v>
      </c>
      <c r="F29" s="5">
        <v>8900</v>
      </c>
      <c r="G29" s="5">
        <v>5315</v>
      </c>
      <c r="H29" s="5">
        <v>5582</v>
      </c>
      <c r="I29" s="5">
        <v>8763</v>
      </c>
      <c r="J29" s="5">
        <v>10205</v>
      </c>
      <c r="K29" s="5">
        <v>5407</v>
      </c>
      <c r="L29" s="5">
        <v>8462</v>
      </c>
    </row>
    <row r="30" spans="1:12" x14ac:dyDescent="0.3">
      <c r="A30" s="5">
        <v>5955</v>
      </c>
      <c r="B30" s="5">
        <v>9963</v>
      </c>
      <c r="C30" s="5">
        <v>10361</v>
      </c>
      <c r="D30" s="5">
        <v>8478</v>
      </c>
      <c r="E30" s="5">
        <v>10925</v>
      </c>
      <c r="F30" s="5">
        <v>8152</v>
      </c>
      <c r="G30" s="5">
        <v>8468</v>
      </c>
      <c r="H30" s="5">
        <v>10058</v>
      </c>
      <c r="I30" s="5">
        <v>9755</v>
      </c>
      <c r="J30" s="5">
        <v>9742</v>
      </c>
      <c r="K30" s="5">
        <v>6815</v>
      </c>
      <c r="L30" s="5">
        <v>5824</v>
      </c>
    </row>
    <row r="31" spans="1:12" x14ac:dyDescent="0.3">
      <c r="A31" s="5">
        <v>9067</v>
      </c>
      <c r="B31" s="5">
        <v>9963</v>
      </c>
      <c r="C31" s="5">
        <v>9323</v>
      </c>
      <c r="D31" s="5">
        <v>10270</v>
      </c>
      <c r="E31" s="5">
        <v>7507</v>
      </c>
      <c r="F31" s="5">
        <v>9542</v>
      </c>
      <c r="G31" s="5">
        <v>10199</v>
      </c>
      <c r="H31" s="5">
        <v>5233</v>
      </c>
      <c r="I31" s="5">
        <v>8017</v>
      </c>
      <c r="J31" s="5">
        <v>6163</v>
      </c>
      <c r="K31" s="5">
        <v>9665</v>
      </c>
      <c r="L31" s="5">
        <v>7921</v>
      </c>
    </row>
    <row r="32" spans="1:12" x14ac:dyDescent="0.3">
      <c r="A32" s="5">
        <v>10099</v>
      </c>
      <c r="B32" s="5">
        <v>5820</v>
      </c>
      <c r="C32" s="5">
        <v>7802</v>
      </c>
      <c r="D32" s="5">
        <v>10962</v>
      </c>
      <c r="E32" s="5">
        <v>9983</v>
      </c>
      <c r="F32" s="5">
        <v>5911</v>
      </c>
      <c r="G32" s="5">
        <v>10803</v>
      </c>
      <c r="H32" s="5">
        <v>8710</v>
      </c>
      <c r="I32" s="5">
        <v>6103</v>
      </c>
      <c r="J32" s="5">
        <v>9535</v>
      </c>
      <c r="K32" s="5">
        <v>6056</v>
      </c>
      <c r="L32" s="5">
        <v>8117</v>
      </c>
    </row>
    <row r="33" spans="1:12" x14ac:dyDescent="0.3">
      <c r="A33" s="5">
        <v>6723</v>
      </c>
      <c r="B33" s="5">
        <v>8518</v>
      </c>
      <c r="C33" s="5">
        <v>5653</v>
      </c>
      <c r="D33" s="5">
        <v>8361</v>
      </c>
      <c r="E33" s="5">
        <v>7281</v>
      </c>
      <c r="F33" s="5">
        <v>6605</v>
      </c>
      <c r="G33" s="5">
        <v>6285</v>
      </c>
      <c r="H33" s="5">
        <v>9135</v>
      </c>
      <c r="I33" s="5">
        <v>5703</v>
      </c>
      <c r="J33" s="5">
        <v>5288</v>
      </c>
      <c r="K33" s="5">
        <v>10974</v>
      </c>
      <c r="L33" s="5">
        <v>5193</v>
      </c>
    </row>
    <row r="34" spans="1:12" x14ac:dyDescent="0.3">
      <c r="A34" s="5">
        <v>7207</v>
      </c>
      <c r="B34" s="5">
        <v>5930</v>
      </c>
      <c r="C34" s="5">
        <v>8186</v>
      </c>
      <c r="D34" s="5">
        <v>7540</v>
      </c>
      <c r="E34" s="5">
        <v>7646</v>
      </c>
      <c r="F34" s="5">
        <v>10343</v>
      </c>
      <c r="G34" s="5">
        <v>7318</v>
      </c>
      <c r="H34" s="5">
        <v>10269</v>
      </c>
      <c r="I34" s="5">
        <v>8261</v>
      </c>
      <c r="J34" s="5">
        <v>9231</v>
      </c>
      <c r="K34" s="5">
        <v>6262</v>
      </c>
      <c r="L34" s="5">
        <v>8783</v>
      </c>
    </row>
    <row r="35" spans="1:12" x14ac:dyDescent="0.3">
      <c r="A35" s="5">
        <v>10694</v>
      </c>
      <c r="B35" s="5">
        <v>6816</v>
      </c>
      <c r="C35" s="5">
        <v>7906</v>
      </c>
      <c r="D35" s="5">
        <v>6746</v>
      </c>
      <c r="E35" s="5">
        <v>8555</v>
      </c>
      <c r="F35" s="5">
        <v>9635</v>
      </c>
      <c r="G35" s="5">
        <v>5324</v>
      </c>
      <c r="H35" s="5">
        <v>10640</v>
      </c>
      <c r="I35" s="5">
        <v>8480</v>
      </c>
      <c r="J35" s="5">
        <v>9433</v>
      </c>
      <c r="K35" s="5">
        <v>5078</v>
      </c>
      <c r="L35" s="5">
        <v>6709</v>
      </c>
    </row>
    <row r="36" spans="1:12" x14ac:dyDescent="0.3">
      <c r="A36" s="5">
        <v>9856</v>
      </c>
      <c r="B36" s="5">
        <v>6677</v>
      </c>
      <c r="C36" s="5">
        <v>6320</v>
      </c>
      <c r="D36" s="5">
        <v>10218</v>
      </c>
      <c r="E36" s="5">
        <v>10143</v>
      </c>
      <c r="F36" s="5">
        <v>10677</v>
      </c>
      <c r="G36" s="5">
        <v>10932</v>
      </c>
      <c r="H36" s="5">
        <v>7506</v>
      </c>
      <c r="I36" s="5">
        <v>5781</v>
      </c>
      <c r="J36" s="5">
        <v>8607</v>
      </c>
      <c r="K36" s="5">
        <v>5302</v>
      </c>
      <c r="L36" s="5">
        <v>6566</v>
      </c>
    </row>
    <row r="37" spans="1:12" x14ac:dyDescent="0.3">
      <c r="A37" s="5">
        <v>5839</v>
      </c>
      <c r="B37" s="5">
        <v>9320</v>
      </c>
      <c r="C37" s="5">
        <v>7714</v>
      </c>
      <c r="D37" s="5">
        <v>10772</v>
      </c>
      <c r="E37" s="5">
        <v>9676</v>
      </c>
      <c r="F37" s="5">
        <v>7711</v>
      </c>
      <c r="G37" s="5">
        <v>10201</v>
      </c>
      <c r="H37" s="5">
        <v>7722</v>
      </c>
      <c r="I37" s="5">
        <v>10587</v>
      </c>
      <c r="J37" s="5">
        <v>10056</v>
      </c>
      <c r="K37" s="5">
        <v>6142</v>
      </c>
      <c r="L37" s="5">
        <v>5635</v>
      </c>
    </row>
    <row r="38" spans="1:12" x14ac:dyDescent="0.3">
      <c r="A38" s="5">
        <v>8767</v>
      </c>
      <c r="B38" s="5">
        <v>5606</v>
      </c>
      <c r="C38" s="5">
        <v>8493</v>
      </c>
      <c r="D38" s="5">
        <v>6999</v>
      </c>
      <c r="E38" s="5">
        <v>10751</v>
      </c>
      <c r="F38" s="5">
        <v>5093</v>
      </c>
      <c r="G38" s="5">
        <v>5923</v>
      </c>
      <c r="H38" s="5">
        <v>7325</v>
      </c>
      <c r="I38" s="5">
        <v>7753</v>
      </c>
      <c r="J38" s="5">
        <v>5402</v>
      </c>
      <c r="K38" s="5">
        <v>6531</v>
      </c>
      <c r="L38" s="5">
        <v>6653</v>
      </c>
    </row>
    <row r="39" spans="1:12" x14ac:dyDescent="0.3">
      <c r="A39" s="5">
        <v>5527</v>
      </c>
      <c r="B39" s="5">
        <v>6553</v>
      </c>
      <c r="C39" s="5">
        <v>5506</v>
      </c>
      <c r="D39" s="5">
        <v>5356</v>
      </c>
      <c r="E39" s="5">
        <v>7604</v>
      </c>
      <c r="F39" s="5">
        <v>8403</v>
      </c>
      <c r="G39" s="5">
        <v>7412</v>
      </c>
      <c r="H39" s="5">
        <v>10653</v>
      </c>
      <c r="I39" s="5">
        <v>10499</v>
      </c>
      <c r="J39" s="5">
        <v>9016</v>
      </c>
      <c r="K39" s="5">
        <v>6178</v>
      </c>
      <c r="L39" s="5">
        <v>9519</v>
      </c>
    </row>
    <row r="40" spans="1:12" x14ac:dyDescent="0.3">
      <c r="A40" s="5">
        <v>10380</v>
      </c>
      <c r="B40" s="5">
        <v>10553</v>
      </c>
      <c r="C40" s="5">
        <v>9508</v>
      </c>
      <c r="D40" s="5">
        <v>5176</v>
      </c>
      <c r="E40" s="5">
        <v>5568</v>
      </c>
      <c r="F40" s="5">
        <v>7057</v>
      </c>
      <c r="G40" s="5">
        <v>6104</v>
      </c>
      <c r="H40" s="5">
        <v>8382</v>
      </c>
      <c r="I40" s="5">
        <v>6503</v>
      </c>
      <c r="J40" s="5">
        <v>5257</v>
      </c>
      <c r="K40" s="5">
        <v>9170</v>
      </c>
      <c r="L40" s="5">
        <v>10531</v>
      </c>
    </row>
    <row r="41" spans="1:12" x14ac:dyDescent="0.3">
      <c r="A41" s="5">
        <v>8687</v>
      </c>
      <c r="B41" s="5">
        <v>5385</v>
      </c>
      <c r="C41" s="5">
        <v>5803</v>
      </c>
      <c r="D41" s="5">
        <v>8389</v>
      </c>
      <c r="E41" s="5">
        <v>5721</v>
      </c>
      <c r="F41" s="5">
        <v>10325</v>
      </c>
      <c r="G41" s="5">
        <v>9424</v>
      </c>
      <c r="H41" s="5">
        <v>8919</v>
      </c>
      <c r="I41" s="5">
        <v>5596</v>
      </c>
      <c r="J41" s="5">
        <v>10318</v>
      </c>
      <c r="K41" s="5">
        <v>5455</v>
      </c>
      <c r="L41" s="5">
        <v>9570</v>
      </c>
    </row>
    <row r="42" spans="1:12" x14ac:dyDescent="0.3">
      <c r="A42" s="5">
        <v>7862</v>
      </c>
      <c r="B42" s="5">
        <v>10443</v>
      </c>
      <c r="C42" s="5">
        <v>9210</v>
      </c>
      <c r="D42" s="5">
        <v>5633</v>
      </c>
      <c r="E42" s="5">
        <v>10208</v>
      </c>
      <c r="F42" s="5">
        <v>8908</v>
      </c>
      <c r="G42" s="5">
        <v>8957</v>
      </c>
      <c r="H42" s="5">
        <v>5358</v>
      </c>
      <c r="I42" s="5">
        <v>5199</v>
      </c>
      <c r="J42" s="5">
        <v>8822</v>
      </c>
      <c r="K42" s="5">
        <v>5698</v>
      </c>
      <c r="L42" s="5">
        <v>5152</v>
      </c>
    </row>
    <row r="43" spans="1:12" x14ac:dyDescent="0.3">
      <c r="A43" s="5">
        <v>5622</v>
      </c>
      <c r="B43" s="5">
        <v>10077</v>
      </c>
      <c r="C43" s="5">
        <v>10398</v>
      </c>
      <c r="D43" s="5">
        <v>8886</v>
      </c>
      <c r="E43" s="5">
        <v>7422</v>
      </c>
      <c r="F43" s="5">
        <v>6182</v>
      </c>
      <c r="G43" s="5">
        <v>10160</v>
      </c>
      <c r="H43" s="5">
        <v>10709</v>
      </c>
      <c r="I43" s="5">
        <v>10829</v>
      </c>
      <c r="J43" s="5">
        <v>9018</v>
      </c>
      <c r="K43" s="5">
        <v>10974</v>
      </c>
      <c r="L43" s="5">
        <v>5576</v>
      </c>
    </row>
    <row r="44" spans="1:12" x14ac:dyDescent="0.3">
      <c r="A44" s="5">
        <v>8316</v>
      </c>
      <c r="B44" s="5">
        <v>9216</v>
      </c>
      <c r="C44" s="5">
        <v>7441</v>
      </c>
      <c r="D44" s="5">
        <v>6054</v>
      </c>
      <c r="E44" s="5">
        <v>9222</v>
      </c>
      <c r="F44" s="5">
        <v>6135</v>
      </c>
      <c r="G44" s="5">
        <v>6539</v>
      </c>
      <c r="H44" s="5">
        <v>6065</v>
      </c>
      <c r="I44" s="5">
        <v>5267</v>
      </c>
      <c r="J44" s="5">
        <v>5043</v>
      </c>
      <c r="K44" s="5">
        <v>8933</v>
      </c>
      <c r="L44" s="5">
        <v>7704</v>
      </c>
    </row>
    <row r="45" spans="1:12" x14ac:dyDescent="0.3">
      <c r="A45" s="5">
        <v>6577</v>
      </c>
      <c r="B45" s="5">
        <v>10584</v>
      </c>
      <c r="C45" s="5">
        <v>9889</v>
      </c>
      <c r="D45" s="5">
        <v>9061</v>
      </c>
      <c r="E45" s="5">
        <v>5038</v>
      </c>
      <c r="F45" s="5">
        <v>8350</v>
      </c>
      <c r="G45" s="5">
        <v>10187</v>
      </c>
      <c r="H45" s="5">
        <v>10585</v>
      </c>
      <c r="I45" s="5">
        <v>5242</v>
      </c>
      <c r="J45" s="5">
        <v>7416</v>
      </c>
      <c r="K45" s="5">
        <v>8290</v>
      </c>
      <c r="L45" s="5">
        <v>8367</v>
      </c>
    </row>
    <row r="46" spans="1:12" x14ac:dyDescent="0.3">
      <c r="A46" s="5">
        <v>5783</v>
      </c>
      <c r="B46" s="5">
        <v>5431</v>
      </c>
      <c r="C46" s="5">
        <v>8667</v>
      </c>
      <c r="D46" s="5">
        <v>10798</v>
      </c>
      <c r="E46" s="5">
        <v>9103</v>
      </c>
      <c r="F46" s="5">
        <v>6088</v>
      </c>
      <c r="G46" s="5">
        <v>7433</v>
      </c>
      <c r="H46" s="5">
        <v>7934</v>
      </c>
      <c r="I46" s="5">
        <v>9899</v>
      </c>
      <c r="J46" s="5">
        <v>10737</v>
      </c>
      <c r="K46" s="5">
        <v>8537</v>
      </c>
      <c r="L46" s="5">
        <v>6871</v>
      </c>
    </row>
    <row r="47" spans="1:12" x14ac:dyDescent="0.3">
      <c r="A47" s="5">
        <v>6085</v>
      </c>
      <c r="B47" s="5">
        <v>5407</v>
      </c>
      <c r="C47" s="5">
        <v>5046</v>
      </c>
      <c r="D47" s="5">
        <v>5715</v>
      </c>
      <c r="E47" s="5">
        <v>5745</v>
      </c>
      <c r="F47" s="5">
        <v>6213</v>
      </c>
      <c r="G47" s="5">
        <v>7689</v>
      </c>
      <c r="H47" s="5">
        <v>9691</v>
      </c>
      <c r="I47" s="5">
        <v>7095</v>
      </c>
      <c r="J47" s="5">
        <v>9151</v>
      </c>
      <c r="K47" s="5">
        <v>7501</v>
      </c>
      <c r="L47" s="5">
        <v>10396</v>
      </c>
    </row>
    <row r="48" spans="1:12" x14ac:dyDescent="0.3">
      <c r="A48" s="5">
        <v>10573</v>
      </c>
      <c r="B48" s="5">
        <v>6705</v>
      </c>
      <c r="C48" s="5">
        <v>7038</v>
      </c>
      <c r="D48" s="5">
        <v>9209</v>
      </c>
      <c r="E48" s="5">
        <v>6971</v>
      </c>
      <c r="F48" s="5">
        <v>6833</v>
      </c>
      <c r="G48" s="5">
        <v>8174</v>
      </c>
      <c r="H48" s="5">
        <v>5169</v>
      </c>
      <c r="I48" s="5">
        <v>9714</v>
      </c>
      <c r="J48" s="5">
        <v>6930</v>
      </c>
      <c r="K48" s="5">
        <v>6941</v>
      </c>
      <c r="L48" s="5">
        <v>6595</v>
      </c>
    </row>
    <row r="49" spans="1:12" x14ac:dyDescent="0.3">
      <c r="A49" s="5">
        <v>10475</v>
      </c>
      <c r="B49" s="5">
        <v>5938</v>
      </c>
      <c r="C49" s="5">
        <v>8564</v>
      </c>
      <c r="D49" s="5">
        <v>6740</v>
      </c>
      <c r="E49" s="5">
        <v>6894</v>
      </c>
      <c r="F49" s="5">
        <v>6488</v>
      </c>
      <c r="G49" s="5">
        <v>10489</v>
      </c>
      <c r="H49" s="5">
        <v>8067</v>
      </c>
      <c r="I49" s="5">
        <v>7002</v>
      </c>
      <c r="J49" s="5">
        <v>10261</v>
      </c>
      <c r="K49" s="5">
        <v>5881</v>
      </c>
      <c r="L49" s="5">
        <v>7296</v>
      </c>
    </row>
    <row r="50" spans="1:12" x14ac:dyDescent="0.3">
      <c r="A50" s="5">
        <v>5893</v>
      </c>
      <c r="B50" s="5">
        <v>7072</v>
      </c>
      <c r="C50" s="5">
        <v>10097</v>
      </c>
      <c r="D50" s="5">
        <v>8190</v>
      </c>
      <c r="E50" s="5">
        <v>6348</v>
      </c>
      <c r="F50" s="5">
        <v>10381</v>
      </c>
      <c r="G50" s="5">
        <v>8656</v>
      </c>
      <c r="H50" s="5">
        <v>10974</v>
      </c>
      <c r="I50" s="5">
        <v>7685</v>
      </c>
      <c r="J50" s="5">
        <v>8039</v>
      </c>
      <c r="K50" s="5">
        <v>5945</v>
      </c>
      <c r="L50" s="5">
        <v>6147</v>
      </c>
    </row>
    <row r="51" spans="1:12" x14ac:dyDescent="0.3">
      <c r="A51" s="5">
        <v>6201</v>
      </c>
      <c r="B51" s="5">
        <v>8515</v>
      </c>
      <c r="C51" s="5">
        <v>8224</v>
      </c>
      <c r="D51" s="5">
        <v>5499</v>
      </c>
      <c r="E51" s="5">
        <v>8892</v>
      </c>
      <c r="F51" s="5">
        <v>6661</v>
      </c>
      <c r="G51" s="5">
        <v>5364</v>
      </c>
      <c r="H51" s="5">
        <v>7057</v>
      </c>
      <c r="I51" s="5">
        <v>9208</v>
      </c>
      <c r="J51" s="5">
        <v>8075</v>
      </c>
      <c r="K51" s="5">
        <v>5149</v>
      </c>
      <c r="L51" s="5">
        <v>5221</v>
      </c>
    </row>
    <row r="52" spans="1:12" x14ac:dyDescent="0.3">
      <c r="A52" s="5">
        <v>5543</v>
      </c>
      <c r="B52" s="5">
        <v>7428</v>
      </c>
      <c r="C52" s="5">
        <v>7400</v>
      </c>
      <c r="D52" s="5">
        <v>6944</v>
      </c>
      <c r="E52" s="5">
        <v>6634</v>
      </c>
      <c r="F52" s="5">
        <v>7560</v>
      </c>
      <c r="G52" s="5">
        <v>9809</v>
      </c>
      <c r="H52" s="5">
        <v>6869</v>
      </c>
      <c r="I52" s="5">
        <v>9620</v>
      </c>
      <c r="J52" s="5">
        <v>8122</v>
      </c>
      <c r="K52" s="5">
        <v>7036</v>
      </c>
      <c r="L52" s="5">
        <v>5462</v>
      </c>
    </row>
    <row r="53" spans="1:12" x14ac:dyDescent="0.3">
      <c r="A53" s="5">
        <v>7199</v>
      </c>
      <c r="B53" s="5">
        <v>10718</v>
      </c>
      <c r="C53" s="5">
        <v>8306</v>
      </c>
      <c r="D53" s="5">
        <v>10986</v>
      </c>
      <c r="E53" s="5">
        <v>7630</v>
      </c>
      <c r="F53" s="5">
        <v>6939</v>
      </c>
      <c r="G53" s="5">
        <v>6492</v>
      </c>
      <c r="H53" s="5">
        <v>6450</v>
      </c>
      <c r="I53" s="5">
        <v>6206</v>
      </c>
      <c r="J53" s="5">
        <v>8209</v>
      </c>
      <c r="K53" s="5">
        <v>9126</v>
      </c>
      <c r="L53" s="5">
        <v>8768</v>
      </c>
    </row>
    <row r="54" spans="1:12" x14ac:dyDescent="0.3">
      <c r="A54" s="5">
        <v>5714</v>
      </c>
      <c r="B54" s="5">
        <v>7847</v>
      </c>
      <c r="C54" s="5">
        <v>10759</v>
      </c>
      <c r="D54" s="5">
        <v>10310</v>
      </c>
      <c r="E54" s="5">
        <v>6089</v>
      </c>
      <c r="F54" s="5">
        <v>8883</v>
      </c>
      <c r="G54" s="5">
        <v>8957</v>
      </c>
      <c r="H54" s="5">
        <v>7882</v>
      </c>
      <c r="I54" s="5">
        <v>7393</v>
      </c>
      <c r="J54" s="5">
        <v>7414</v>
      </c>
      <c r="K54" s="5">
        <v>8610</v>
      </c>
      <c r="L54" s="5">
        <v>6987</v>
      </c>
    </row>
    <row r="55" spans="1:12" x14ac:dyDescent="0.3">
      <c r="A55" s="5">
        <v>5041</v>
      </c>
      <c r="B55" s="5">
        <v>6151</v>
      </c>
      <c r="C55" s="5">
        <v>9561</v>
      </c>
      <c r="D55" s="5">
        <v>10389</v>
      </c>
      <c r="E55" s="5">
        <v>6116</v>
      </c>
      <c r="F55" s="5">
        <v>5689</v>
      </c>
      <c r="G55" s="5">
        <v>7578</v>
      </c>
      <c r="H55" s="5">
        <v>10632</v>
      </c>
      <c r="I55" s="5">
        <v>7232</v>
      </c>
      <c r="J55" s="5">
        <v>5412</v>
      </c>
      <c r="K55" s="5">
        <v>8541</v>
      </c>
      <c r="L55" s="5">
        <v>9035</v>
      </c>
    </row>
    <row r="56" spans="1:12" x14ac:dyDescent="0.3">
      <c r="A56" s="5">
        <v>10940</v>
      </c>
      <c r="B56" s="5">
        <v>10930</v>
      </c>
      <c r="C56" s="5">
        <v>10705</v>
      </c>
      <c r="D56" s="5">
        <v>9756</v>
      </c>
      <c r="E56" s="5">
        <v>9032</v>
      </c>
      <c r="F56" s="5">
        <v>10534</v>
      </c>
      <c r="G56" s="5">
        <v>8613</v>
      </c>
      <c r="H56" s="5">
        <v>5959</v>
      </c>
      <c r="I56" s="5">
        <v>7703</v>
      </c>
      <c r="J56" s="5">
        <v>8422</v>
      </c>
      <c r="K56" s="5">
        <v>5125</v>
      </c>
      <c r="L56" s="5">
        <v>6586</v>
      </c>
    </row>
    <row r="57" spans="1:12" x14ac:dyDescent="0.3">
      <c r="A57" s="5">
        <v>8610</v>
      </c>
      <c r="B57" s="5">
        <v>7654</v>
      </c>
      <c r="C57" s="5">
        <v>9423</v>
      </c>
      <c r="D57" s="5">
        <v>6143</v>
      </c>
      <c r="E57" s="5">
        <v>8633</v>
      </c>
      <c r="F57" s="5">
        <v>9066</v>
      </c>
      <c r="G57" s="5">
        <v>9974</v>
      </c>
      <c r="H57" s="5">
        <v>5364</v>
      </c>
      <c r="I57" s="5">
        <v>10523</v>
      </c>
      <c r="J57" s="5">
        <v>9424</v>
      </c>
      <c r="K57" s="5">
        <v>9902</v>
      </c>
      <c r="L57" s="5">
        <v>5021</v>
      </c>
    </row>
    <row r="58" spans="1:12" x14ac:dyDescent="0.3">
      <c r="A58" s="5">
        <v>6799</v>
      </c>
      <c r="B58" s="5">
        <v>8994</v>
      </c>
      <c r="C58" s="5">
        <v>10979</v>
      </c>
      <c r="D58" s="5">
        <v>7621</v>
      </c>
      <c r="E58" s="5">
        <v>8199</v>
      </c>
      <c r="F58" s="5">
        <v>5484</v>
      </c>
      <c r="G58" s="5">
        <v>10970</v>
      </c>
      <c r="H58" s="5">
        <v>5748</v>
      </c>
      <c r="I58" s="5">
        <v>10551</v>
      </c>
      <c r="J58" s="5">
        <v>8249</v>
      </c>
      <c r="K58" s="5">
        <v>6679</v>
      </c>
      <c r="L58" s="5">
        <v>10395</v>
      </c>
    </row>
    <row r="59" spans="1:12" x14ac:dyDescent="0.3">
      <c r="A59" s="5">
        <v>6108</v>
      </c>
      <c r="B59" s="5">
        <v>9274</v>
      </c>
      <c r="C59" s="5">
        <v>9192</v>
      </c>
      <c r="D59" s="5">
        <v>8314</v>
      </c>
      <c r="E59" s="5">
        <v>8205</v>
      </c>
      <c r="F59" s="5">
        <v>6760</v>
      </c>
      <c r="G59" s="5">
        <v>9780</v>
      </c>
      <c r="H59" s="5">
        <v>9122</v>
      </c>
      <c r="I59" s="5">
        <v>8893</v>
      </c>
      <c r="J59" s="5">
        <v>9733</v>
      </c>
      <c r="K59" s="5">
        <v>7655</v>
      </c>
      <c r="L59" s="5">
        <v>9477</v>
      </c>
    </row>
    <row r="60" spans="1:12" x14ac:dyDescent="0.3">
      <c r="A60" s="5">
        <v>9141</v>
      </c>
      <c r="B60" s="5">
        <v>9583</v>
      </c>
      <c r="C60" s="5">
        <v>6746</v>
      </c>
      <c r="D60" s="5">
        <v>9708</v>
      </c>
      <c r="E60" s="5">
        <v>8224</v>
      </c>
      <c r="F60" s="5">
        <v>10122</v>
      </c>
      <c r="G60" s="5">
        <v>7471</v>
      </c>
      <c r="H60" s="5">
        <v>6017</v>
      </c>
      <c r="I60" s="5">
        <v>9524</v>
      </c>
      <c r="J60" s="5">
        <v>9577</v>
      </c>
      <c r="K60" s="5">
        <v>9359</v>
      </c>
      <c r="L60" s="5">
        <v>6654</v>
      </c>
    </row>
    <row r="61" spans="1:12" x14ac:dyDescent="0.3">
      <c r="A61" s="5">
        <v>7429</v>
      </c>
      <c r="B61" s="5">
        <v>5336</v>
      </c>
      <c r="C61" s="5">
        <v>7822</v>
      </c>
      <c r="D61" s="5">
        <v>10218</v>
      </c>
      <c r="E61" s="5">
        <v>6126</v>
      </c>
      <c r="F61" s="5">
        <v>5391</v>
      </c>
      <c r="G61" s="5">
        <v>5976</v>
      </c>
      <c r="H61" s="5">
        <v>6860</v>
      </c>
      <c r="I61" s="5">
        <v>9387</v>
      </c>
      <c r="J61" s="5">
        <v>5702</v>
      </c>
      <c r="K61" s="5">
        <v>10424</v>
      </c>
      <c r="L61" s="5">
        <v>9813</v>
      </c>
    </row>
    <row r="62" spans="1:12" x14ac:dyDescent="0.3">
      <c r="A62" s="5">
        <v>6112</v>
      </c>
      <c r="B62" s="5">
        <v>10210</v>
      </c>
      <c r="C62" s="5">
        <v>9782</v>
      </c>
      <c r="D62" s="5">
        <v>5657</v>
      </c>
      <c r="E62" s="5">
        <v>5177</v>
      </c>
      <c r="F62" s="5">
        <v>7614</v>
      </c>
      <c r="G62" s="5">
        <v>6191</v>
      </c>
      <c r="H62" s="5">
        <v>9633</v>
      </c>
      <c r="I62" s="5">
        <v>5761</v>
      </c>
      <c r="J62" s="5">
        <v>8541</v>
      </c>
      <c r="K62" s="5">
        <v>10509</v>
      </c>
      <c r="L62" s="5">
        <v>9978</v>
      </c>
    </row>
    <row r="63" spans="1:12" x14ac:dyDescent="0.3">
      <c r="A63" s="5">
        <v>5754</v>
      </c>
      <c r="B63" s="5">
        <v>5040</v>
      </c>
      <c r="C63" s="5">
        <v>6313</v>
      </c>
      <c r="D63" s="5">
        <v>8787</v>
      </c>
      <c r="E63" s="5">
        <v>9227</v>
      </c>
      <c r="F63" s="5">
        <v>5588</v>
      </c>
      <c r="G63" s="5">
        <v>9154</v>
      </c>
      <c r="H63" s="5">
        <v>10466</v>
      </c>
      <c r="I63" s="5">
        <v>9784</v>
      </c>
      <c r="J63" s="5">
        <v>7477</v>
      </c>
      <c r="K63" s="5">
        <v>10121</v>
      </c>
      <c r="L63" s="5">
        <v>10823</v>
      </c>
    </row>
    <row r="64" spans="1:12" x14ac:dyDescent="0.3">
      <c r="A64" s="5">
        <v>10569</v>
      </c>
      <c r="B64" s="5">
        <v>9007</v>
      </c>
      <c r="C64" s="5">
        <v>10103</v>
      </c>
      <c r="D64" s="5">
        <v>7714</v>
      </c>
      <c r="E64" s="5">
        <v>7292</v>
      </c>
      <c r="F64" s="5">
        <v>7159</v>
      </c>
      <c r="G64" s="5">
        <v>10620</v>
      </c>
      <c r="H64" s="5">
        <v>10813</v>
      </c>
      <c r="I64" s="5">
        <v>6973</v>
      </c>
      <c r="J64" s="5">
        <v>7580</v>
      </c>
      <c r="K64" s="5">
        <v>5545</v>
      </c>
      <c r="L64" s="5">
        <v>8207</v>
      </c>
    </row>
    <row r="65" spans="1:12" x14ac:dyDescent="0.3">
      <c r="A65" s="5">
        <v>7080</v>
      </c>
      <c r="B65" s="5">
        <v>6470</v>
      </c>
      <c r="C65" s="5">
        <v>9881</v>
      </c>
      <c r="D65" s="5">
        <v>8594</v>
      </c>
      <c r="E65" s="5">
        <v>9732</v>
      </c>
      <c r="F65" s="5">
        <v>7823</v>
      </c>
      <c r="G65" s="5">
        <v>5981</v>
      </c>
      <c r="H65" s="5">
        <v>8934</v>
      </c>
      <c r="I65" s="5">
        <v>10831</v>
      </c>
      <c r="J65" s="5">
        <v>5724</v>
      </c>
      <c r="K65" s="5">
        <v>9097</v>
      </c>
      <c r="L65" s="5">
        <v>8696</v>
      </c>
    </row>
    <row r="66" spans="1:12" x14ac:dyDescent="0.3">
      <c r="A66" s="5">
        <v>8856</v>
      </c>
      <c r="B66" s="5">
        <v>5447</v>
      </c>
      <c r="C66" s="5">
        <v>7827</v>
      </c>
      <c r="D66" s="5">
        <v>9986</v>
      </c>
      <c r="E66" s="5">
        <v>10496</v>
      </c>
      <c r="F66" s="5">
        <v>10696</v>
      </c>
      <c r="G66" s="5">
        <v>7580</v>
      </c>
      <c r="H66" s="5">
        <v>9407</v>
      </c>
      <c r="I66" s="5">
        <v>7278</v>
      </c>
      <c r="J66" s="5">
        <v>8109</v>
      </c>
      <c r="K66" s="5">
        <v>6336</v>
      </c>
      <c r="L66" s="5">
        <v>8425</v>
      </c>
    </row>
    <row r="67" spans="1:12" x14ac:dyDescent="0.3">
      <c r="A67" s="5">
        <v>6376</v>
      </c>
      <c r="B67" s="5">
        <v>7309</v>
      </c>
      <c r="C67" s="5">
        <v>9808</v>
      </c>
      <c r="D67" s="5">
        <v>6437</v>
      </c>
      <c r="E67" s="5">
        <v>5896</v>
      </c>
      <c r="F67" s="5">
        <v>10135</v>
      </c>
      <c r="G67" s="5">
        <v>9752</v>
      </c>
      <c r="H67" s="5">
        <v>10295</v>
      </c>
      <c r="I67" s="5">
        <v>7642</v>
      </c>
      <c r="J67" s="5">
        <v>7856</v>
      </c>
      <c r="K67" s="5">
        <v>9723</v>
      </c>
      <c r="L67" s="5">
        <v>8865</v>
      </c>
    </row>
    <row r="68" spans="1:12" x14ac:dyDescent="0.3">
      <c r="A68" s="5">
        <v>10973</v>
      </c>
      <c r="B68" s="5">
        <v>6174</v>
      </c>
      <c r="C68" s="5">
        <v>6574</v>
      </c>
      <c r="D68" s="5">
        <v>6126</v>
      </c>
      <c r="E68" s="5">
        <v>9661</v>
      </c>
      <c r="F68" s="5">
        <v>5387</v>
      </c>
      <c r="G68" s="5">
        <v>7163</v>
      </c>
      <c r="H68" s="5">
        <v>8763</v>
      </c>
      <c r="I68" s="5">
        <v>8096</v>
      </c>
      <c r="J68" s="5">
        <v>8942</v>
      </c>
      <c r="K68" s="5">
        <v>8643</v>
      </c>
      <c r="L68" s="5">
        <v>9210</v>
      </c>
    </row>
    <row r="69" spans="1:12" x14ac:dyDescent="0.3">
      <c r="A69" s="5">
        <v>6136</v>
      </c>
      <c r="B69" s="5">
        <v>9777</v>
      </c>
      <c r="C69" s="5">
        <v>10664</v>
      </c>
      <c r="D69" s="5">
        <v>10663</v>
      </c>
      <c r="E69" s="5">
        <v>8552</v>
      </c>
      <c r="F69" s="5">
        <v>10339</v>
      </c>
      <c r="G69" s="5">
        <v>8769</v>
      </c>
      <c r="H69" s="5">
        <v>7051</v>
      </c>
      <c r="I69" s="5">
        <v>10373</v>
      </c>
      <c r="J69" s="5">
        <v>9736</v>
      </c>
      <c r="K69" s="5">
        <v>5523</v>
      </c>
      <c r="L69" s="5">
        <v>8970</v>
      </c>
    </row>
    <row r="70" spans="1:12" x14ac:dyDescent="0.3">
      <c r="A70" s="5">
        <v>9992</v>
      </c>
      <c r="B70" s="5">
        <v>9994</v>
      </c>
      <c r="C70" s="5">
        <v>7573</v>
      </c>
      <c r="D70" s="5">
        <v>6083</v>
      </c>
      <c r="E70" s="5">
        <v>9628</v>
      </c>
      <c r="F70" s="5">
        <v>6713</v>
      </c>
      <c r="G70" s="5">
        <v>7882</v>
      </c>
      <c r="H70" s="5">
        <v>6217</v>
      </c>
      <c r="I70" s="5">
        <v>10926</v>
      </c>
      <c r="J70" s="5">
        <v>9669</v>
      </c>
      <c r="K70" s="5">
        <v>8310</v>
      </c>
      <c r="L70" s="5">
        <v>7930</v>
      </c>
    </row>
    <row r="71" spans="1:12" x14ac:dyDescent="0.3">
      <c r="A71" s="5">
        <v>6851</v>
      </c>
      <c r="B71" s="5">
        <v>7123</v>
      </c>
      <c r="C71" s="5">
        <v>7944</v>
      </c>
      <c r="D71" s="5">
        <v>8882</v>
      </c>
      <c r="E71" s="5">
        <v>6235</v>
      </c>
      <c r="F71" s="5">
        <v>5999</v>
      </c>
      <c r="G71" s="5">
        <v>6743</v>
      </c>
      <c r="H71" s="5">
        <v>8199</v>
      </c>
      <c r="I71" s="5">
        <v>8830</v>
      </c>
      <c r="J71" s="5">
        <v>10375</v>
      </c>
      <c r="K71" s="5">
        <v>9131</v>
      </c>
      <c r="L71" s="5">
        <v>7042</v>
      </c>
    </row>
    <row r="72" spans="1:12" x14ac:dyDescent="0.3">
      <c r="A72" s="5">
        <v>6813</v>
      </c>
      <c r="B72" s="5">
        <v>10583</v>
      </c>
      <c r="C72" s="5">
        <v>5784</v>
      </c>
      <c r="D72" s="5">
        <v>8908</v>
      </c>
      <c r="E72" s="5">
        <v>7771</v>
      </c>
      <c r="F72" s="5">
        <v>5690</v>
      </c>
      <c r="G72" s="5">
        <v>7205</v>
      </c>
      <c r="H72" s="5">
        <v>9404</v>
      </c>
      <c r="I72" s="5">
        <v>9851</v>
      </c>
      <c r="J72" s="5">
        <v>10462</v>
      </c>
      <c r="K72" s="5">
        <v>8025</v>
      </c>
      <c r="L72" s="5">
        <v>8553</v>
      </c>
    </row>
    <row r="73" spans="1:12" x14ac:dyDescent="0.3">
      <c r="A73" s="5">
        <v>9743</v>
      </c>
      <c r="B73" s="5">
        <v>8962</v>
      </c>
      <c r="C73" s="5">
        <v>6553</v>
      </c>
      <c r="D73" s="5">
        <v>9053</v>
      </c>
      <c r="E73" s="5">
        <v>8147</v>
      </c>
      <c r="F73" s="5">
        <v>10191</v>
      </c>
      <c r="G73" s="5">
        <v>9062</v>
      </c>
      <c r="H73" s="5">
        <v>8416</v>
      </c>
      <c r="I73" s="5">
        <v>10735</v>
      </c>
      <c r="J73" s="5">
        <v>9307</v>
      </c>
      <c r="K73" s="5">
        <v>5447</v>
      </c>
      <c r="L73" s="5">
        <v>7266</v>
      </c>
    </row>
    <row r="74" spans="1:12" x14ac:dyDescent="0.3">
      <c r="A74" s="5">
        <v>8483</v>
      </c>
      <c r="B74" s="5">
        <v>10760</v>
      </c>
      <c r="C74" s="5">
        <v>8233</v>
      </c>
      <c r="D74" s="5">
        <v>9798</v>
      </c>
      <c r="E74" s="5">
        <v>9090</v>
      </c>
      <c r="F74" s="5">
        <v>7706</v>
      </c>
      <c r="G74" s="5">
        <v>8442</v>
      </c>
      <c r="H74" s="5">
        <v>7968</v>
      </c>
      <c r="I74" s="5">
        <v>5179</v>
      </c>
      <c r="J74" s="5">
        <v>5384</v>
      </c>
      <c r="K74" s="5">
        <v>5923</v>
      </c>
      <c r="L74" s="5">
        <v>6882</v>
      </c>
    </row>
    <row r="75" spans="1:12" x14ac:dyDescent="0.3">
      <c r="A75" s="5">
        <v>6899</v>
      </c>
      <c r="B75" s="5">
        <v>5679</v>
      </c>
      <c r="C75" s="5">
        <v>10017</v>
      </c>
      <c r="D75" s="5">
        <v>8439</v>
      </c>
      <c r="E75" s="5">
        <v>9433</v>
      </c>
      <c r="F75" s="5">
        <v>7254</v>
      </c>
      <c r="G75" s="5">
        <v>7284</v>
      </c>
      <c r="H75" s="5">
        <v>6339</v>
      </c>
      <c r="I75" s="5">
        <v>10863</v>
      </c>
      <c r="J75" s="5">
        <v>8176</v>
      </c>
      <c r="K75" s="5">
        <v>10687</v>
      </c>
      <c r="L75" s="5">
        <v>9063</v>
      </c>
    </row>
    <row r="76" spans="1:12" x14ac:dyDescent="0.3">
      <c r="A76" s="5">
        <v>8106</v>
      </c>
      <c r="B76" s="5">
        <v>10650</v>
      </c>
      <c r="C76" s="5">
        <v>8178</v>
      </c>
      <c r="D76" s="5">
        <v>7876</v>
      </c>
      <c r="E76" s="5">
        <v>9829</v>
      </c>
      <c r="F76" s="5">
        <v>6548</v>
      </c>
      <c r="G76" s="5">
        <v>6575</v>
      </c>
      <c r="H76" s="5">
        <v>8053</v>
      </c>
      <c r="I76" s="5">
        <v>9427</v>
      </c>
      <c r="J76" s="5">
        <v>8111</v>
      </c>
      <c r="K76" s="5">
        <v>8342</v>
      </c>
      <c r="L76" s="5">
        <v>10532</v>
      </c>
    </row>
    <row r="77" spans="1:12" x14ac:dyDescent="0.3">
      <c r="A77" s="5">
        <v>8146</v>
      </c>
      <c r="B77" s="5">
        <v>7744</v>
      </c>
      <c r="C77" s="5">
        <v>8731</v>
      </c>
      <c r="D77" s="5">
        <v>7498</v>
      </c>
      <c r="E77" s="5">
        <v>9243</v>
      </c>
      <c r="F77" s="5">
        <v>8319</v>
      </c>
      <c r="G77" s="5">
        <v>7574</v>
      </c>
      <c r="H77" s="5">
        <v>5218</v>
      </c>
      <c r="I77" s="5">
        <v>5189</v>
      </c>
      <c r="J77" s="5">
        <v>10405</v>
      </c>
      <c r="K77" s="5">
        <v>10305</v>
      </c>
      <c r="L77" s="5">
        <v>8265</v>
      </c>
    </row>
    <row r="78" spans="1:12" x14ac:dyDescent="0.3">
      <c r="A78" s="5">
        <v>5518</v>
      </c>
      <c r="B78" s="5">
        <v>9323</v>
      </c>
      <c r="C78" s="5">
        <v>5653</v>
      </c>
      <c r="D78" s="5">
        <v>8862</v>
      </c>
      <c r="E78" s="5">
        <v>7571</v>
      </c>
      <c r="F78" s="5">
        <v>7112</v>
      </c>
      <c r="G78" s="5">
        <v>7339</v>
      </c>
      <c r="H78" s="5">
        <v>7289</v>
      </c>
      <c r="I78" s="5">
        <v>6825</v>
      </c>
      <c r="J78" s="5">
        <v>5180</v>
      </c>
      <c r="K78" s="5">
        <v>6886</v>
      </c>
      <c r="L78" s="5">
        <v>10461</v>
      </c>
    </row>
    <row r="79" spans="1:12" x14ac:dyDescent="0.3">
      <c r="A79" s="5">
        <v>10253</v>
      </c>
      <c r="B79" s="5">
        <v>8111</v>
      </c>
      <c r="C79" s="5">
        <v>9810</v>
      </c>
      <c r="D79" s="5">
        <v>7848</v>
      </c>
      <c r="E79" s="5">
        <v>6282</v>
      </c>
      <c r="F79" s="5">
        <v>5947</v>
      </c>
      <c r="G79" s="5">
        <v>5000</v>
      </c>
      <c r="H79" s="5">
        <v>10066</v>
      </c>
      <c r="I79" s="5">
        <v>7665</v>
      </c>
      <c r="J79" s="5">
        <v>9510</v>
      </c>
      <c r="K79" s="5">
        <v>9590</v>
      </c>
      <c r="L79" s="5">
        <v>10301</v>
      </c>
    </row>
    <row r="80" spans="1:12" x14ac:dyDescent="0.3">
      <c r="A80" s="5">
        <v>9637</v>
      </c>
      <c r="B80" s="5">
        <v>8864</v>
      </c>
      <c r="C80" s="5">
        <v>10424</v>
      </c>
      <c r="D80" s="5">
        <v>10403</v>
      </c>
      <c r="E80" s="5">
        <v>7919</v>
      </c>
      <c r="F80" s="5">
        <v>10148</v>
      </c>
      <c r="G80" s="5">
        <v>8062</v>
      </c>
      <c r="H80" s="5">
        <v>9030</v>
      </c>
      <c r="I80" s="5">
        <v>10532</v>
      </c>
      <c r="J80" s="5">
        <v>8626</v>
      </c>
      <c r="K80" s="5">
        <v>5194</v>
      </c>
      <c r="L80" s="5">
        <v>6461</v>
      </c>
    </row>
    <row r="81" spans="1:12" x14ac:dyDescent="0.3">
      <c r="A81" s="5">
        <v>6267</v>
      </c>
      <c r="B81" s="5">
        <v>5823</v>
      </c>
      <c r="C81" s="5">
        <v>9020</v>
      </c>
      <c r="D81" s="5">
        <v>9163</v>
      </c>
      <c r="E81" s="5">
        <v>6344</v>
      </c>
      <c r="F81" s="5">
        <v>10287</v>
      </c>
      <c r="G81" s="5">
        <v>7060</v>
      </c>
      <c r="H81" s="5">
        <v>8040</v>
      </c>
      <c r="I81" s="5">
        <v>6949</v>
      </c>
      <c r="J81" s="5">
        <v>6830</v>
      </c>
      <c r="K81" s="5">
        <v>7887</v>
      </c>
      <c r="L81" s="5">
        <v>9961</v>
      </c>
    </row>
    <row r="82" spans="1:12" x14ac:dyDescent="0.3">
      <c r="A82" s="5">
        <v>8630</v>
      </c>
      <c r="B82" s="5">
        <v>6570</v>
      </c>
      <c r="C82" s="5">
        <v>5495</v>
      </c>
      <c r="D82" s="5">
        <v>10687</v>
      </c>
      <c r="E82" s="5">
        <v>10295</v>
      </c>
      <c r="F82" s="5">
        <v>8115</v>
      </c>
      <c r="G82" s="5">
        <v>7353</v>
      </c>
      <c r="H82" s="5">
        <v>5100</v>
      </c>
      <c r="I82" s="5">
        <v>8095</v>
      </c>
      <c r="J82" s="5">
        <v>10700</v>
      </c>
      <c r="K82" s="5">
        <v>9868</v>
      </c>
      <c r="L82" s="5">
        <v>9221</v>
      </c>
    </row>
    <row r="83" spans="1:12" x14ac:dyDescent="0.3">
      <c r="A83" s="5">
        <v>8397</v>
      </c>
      <c r="B83" s="5">
        <v>10051</v>
      </c>
      <c r="C83" s="5">
        <v>5834</v>
      </c>
      <c r="D83" s="5">
        <v>7947</v>
      </c>
      <c r="E83" s="5">
        <v>10564</v>
      </c>
      <c r="F83" s="5">
        <v>8093</v>
      </c>
      <c r="G83" s="5">
        <v>8634</v>
      </c>
      <c r="H83" s="5">
        <v>9843</v>
      </c>
      <c r="I83" s="5">
        <v>9625</v>
      </c>
      <c r="J83" s="5">
        <v>9210</v>
      </c>
      <c r="K83" s="5">
        <v>10045</v>
      </c>
      <c r="L83" s="5">
        <v>7591</v>
      </c>
    </row>
    <row r="84" spans="1:12" x14ac:dyDescent="0.3">
      <c r="A84" s="5">
        <v>9600</v>
      </c>
      <c r="B84" s="5">
        <v>10578</v>
      </c>
      <c r="C84" s="5">
        <v>9519</v>
      </c>
      <c r="D84" s="5">
        <v>7399</v>
      </c>
      <c r="E84" s="5">
        <v>5081</v>
      </c>
      <c r="F84" s="5">
        <v>5807</v>
      </c>
      <c r="G84" s="5">
        <v>7287</v>
      </c>
      <c r="H84" s="5">
        <v>9268</v>
      </c>
      <c r="I84" s="5">
        <v>5999</v>
      </c>
      <c r="J84" s="5">
        <v>9895</v>
      </c>
      <c r="K84" s="5">
        <v>5311</v>
      </c>
      <c r="L84" s="5">
        <v>8741</v>
      </c>
    </row>
    <row r="85" spans="1:12" x14ac:dyDescent="0.3">
      <c r="A85" s="5">
        <v>8378</v>
      </c>
      <c r="B85" s="5">
        <v>5199</v>
      </c>
      <c r="C85" s="5">
        <v>7359</v>
      </c>
      <c r="D85" s="5">
        <v>10834</v>
      </c>
      <c r="E85" s="5">
        <v>5026</v>
      </c>
      <c r="F85" s="5">
        <v>6688</v>
      </c>
      <c r="G85" s="5">
        <v>10761</v>
      </c>
      <c r="H85" s="5">
        <v>10501</v>
      </c>
      <c r="I85" s="5">
        <v>8772</v>
      </c>
      <c r="J85" s="5">
        <v>9265</v>
      </c>
      <c r="K85" s="5">
        <v>9447</v>
      </c>
      <c r="L85" s="5">
        <v>9940</v>
      </c>
    </row>
    <row r="86" spans="1:12" x14ac:dyDescent="0.3">
      <c r="A86" s="5">
        <v>8691</v>
      </c>
      <c r="B86" s="5">
        <v>7229</v>
      </c>
      <c r="C86" s="5">
        <v>10668</v>
      </c>
      <c r="D86" s="5">
        <v>8616</v>
      </c>
      <c r="E86" s="5">
        <v>5666</v>
      </c>
      <c r="F86" s="5">
        <v>5447</v>
      </c>
      <c r="G86" s="5">
        <v>8357</v>
      </c>
      <c r="H86" s="5">
        <v>8922</v>
      </c>
      <c r="I86" s="5">
        <v>8512</v>
      </c>
      <c r="J86" s="5">
        <v>6040</v>
      </c>
      <c r="K86" s="5">
        <v>7259</v>
      </c>
      <c r="L86" s="5">
        <v>8085</v>
      </c>
    </row>
    <row r="87" spans="1:12" x14ac:dyDescent="0.3">
      <c r="A87" s="5">
        <v>10197</v>
      </c>
      <c r="B87" s="5">
        <v>8030</v>
      </c>
      <c r="C87" s="5">
        <v>6882</v>
      </c>
      <c r="D87" s="5">
        <v>9062</v>
      </c>
      <c r="E87" s="5">
        <v>6523</v>
      </c>
      <c r="F87" s="5">
        <v>5968</v>
      </c>
      <c r="G87" s="5">
        <v>10205</v>
      </c>
      <c r="H87" s="5">
        <v>6758</v>
      </c>
      <c r="I87" s="5">
        <v>9867</v>
      </c>
      <c r="J87" s="5">
        <v>6595</v>
      </c>
      <c r="K87" s="5">
        <v>8181</v>
      </c>
      <c r="L87" s="5">
        <v>5567</v>
      </c>
    </row>
    <row r="88" spans="1:12" x14ac:dyDescent="0.3">
      <c r="A88" s="5">
        <v>9510</v>
      </c>
      <c r="B88" s="5">
        <v>5977</v>
      </c>
      <c r="C88" s="5">
        <v>8299</v>
      </c>
      <c r="D88" s="5">
        <v>9160</v>
      </c>
      <c r="E88" s="5">
        <v>10221</v>
      </c>
      <c r="F88" s="5">
        <v>10660</v>
      </c>
      <c r="G88" s="5">
        <v>6597</v>
      </c>
      <c r="H88" s="5">
        <v>5041</v>
      </c>
      <c r="I88" s="5">
        <v>8684</v>
      </c>
      <c r="J88" s="5">
        <v>10142</v>
      </c>
      <c r="K88" s="5">
        <v>8562</v>
      </c>
      <c r="L88" s="5">
        <v>5680</v>
      </c>
    </row>
    <row r="89" spans="1:12" x14ac:dyDescent="0.3">
      <c r="A89" s="5">
        <v>10451</v>
      </c>
      <c r="B89" s="5">
        <v>8614</v>
      </c>
      <c r="C89" s="5">
        <v>7491</v>
      </c>
      <c r="D89" s="5">
        <v>10297</v>
      </c>
      <c r="E89" s="5">
        <v>10742</v>
      </c>
      <c r="F89" s="5">
        <v>9807</v>
      </c>
      <c r="G89" s="5">
        <v>8809</v>
      </c>
      <c r="H89" s="5">
        <v>7113</v>
      </c>
      <c r="I89" s="5">
        <v>6656</v>
      </c>
      <c r="J89" s="5">
        <v>5548</v>
      </c>
      <c r="K89" s="5">
        <v>5455</v>
      </c>
      <c r="L89" s="5">
        <v>7283</v>
      </c>
    </row>
    <row r="90" spans="1:12" x14ac:dyDescent="0.3">
      <c r="A90" s="5">
        <v>8091</v>
      </c>
      <c r="B90" s="5">
        <v>10399</v>
      </c>
      <c r="C90" s="5">
        <v>6479</v>
      </c>
      <c r="D90" s="5">
        <v>5125</v>
      </c>
      <c r="E90" s="5">
        <v>5082</v>
      </c>
      <c r="F90" s="5">
        <v>8935</v>
      </c>
      <c r="G90" s="5">
        <v>7320</v>
      </c>
      <c r="H90" s="5">
        <v>5207</v>
      </c>
      <c r="I90" s="5">
        <v>6756</v>
      </c>
      <c r="J90" s="5">
        <v>10471</v>
      </c>
      <c r="K90" s="5">
        <v>8719</v>
      </c>
      <c r="L90" s="5">
        <v>9300</v>
      </c>
    </row>
    <row r="91" spans="1:12" x14ac:dyDescent="0.3">
      <c r="A91" s="5">
        <v>5581</v>
      </c>
      <c r="B91" s="5">
        <v>9638</v>
      </c>
      <c r="C91" s="5">
        <v>6755</v>
      </c>
      <c r="D91" s="5">
        <v>6132</v>
      </c>
      <c r="E91" s="5">
        <v>10926</v>
      </c>
      <c r="F91" s="5">
        <v>5755</v>
      </c>
      <c r="G91" s="5">
        <v>5168</v>
      </c>
      <c r="H91" s="5">
        <v>5588</v>
      </c>
      <c r="I91" s="5">
        <v>10821</v>
      </c>
      <c r="J91" s="5">
        <v>8076</v>
      </c>
      <c r="K91" s="5">
        <v>10119</v>
      </c>
      <c r="L91" s="5">
        <v>9636</v>
      </c>
    </row>
    <row r="92" spans="1:12" x14ac:dyDescent="0.3">
      <c r="A92" s="5">
        <v>6094</v>
      </c>
      <c r="B92" s="5">
        <v>9679</v>
      </c>
      <c r="C92" s="5">
        <v>8169</v>
      </c>
      <c r="D92" s="5">
        <v>9225</v>
      </c>
      <c r="E92" s="5">
        <v>7124</v>
      </c>
      <c r="F92" s="5">
        <v>9908</v>
      </c>
      <c r="G92" s="5">
        <v>9047</v>
      </c>
      <c r="H92" s="5">
        <v>6069</v>
      </c>
      <c r="I92" s="5">
        <v>6994</v>
      </c>
      <c r="J92" s="5">
        <v>10209</v>
      </c>
      <c r="K92" s="5">
        <v>6806</v>
      </c>
      <c r="L92" s="5">
        <v>10216</v>
      </c>
    </row>
    <row r="93" spans="1:12" x14ac:dyDescent="0.3">
      <c r="A93" s="5">
        <v>10378</v>
      </c>
      <c r="B93" s="5">
        <v>7378</v>
      </c>
      <c r="C93" s="5">
        <v>7850</v>
      </c>
      <c r="D93" s="5">
        <v>7193</v>
      </c>
      <c r="E93" s="5">
        <v>9162</v>
      </c>
      <c r="F93" s="5">
        <v>8156</v>
      </c>
      <c r="G93" s="5">
        <v>8714</v>
      </c>
      <c r="H93" s="5">
        <v>6988</v>
      </c>
      <c r="I93" s="5">
        <v>10249</v>
      </c>
      <c r="J93" s="5">
        <v>5320</v>
      </c>
      <c r="K93" s="5">
        <v>9584</v>
      </c>
      <c r="L93" s="5">
        <v>9095</v>
      </c>
    </row>
  </sheetData>
  <dataValidations count="1">
    <dataValidation type="list" allowBlank="1" showInputMessage="1" showErrorMessage="1" sqref="B3" xr:uid="{F3B6EAB5-BCC0-441E-941B-5CA0ADBE52E5}">
      <formula1>$A$6:$L$6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9161-1B8E-4755-A450-03C0F616B3F0}">
  <sheetPr>
    <tabColor rgb="FF002060"/>
  </sheetPr>
  <dimension ref="A1:K208"/>
  <sheetViews>
    <sheetView tabSelected="1" topLeftCell="A2" workbookViewId="0">
      <selection activeCell="E17" sqref="E17"/>
    </sheetView>
  </sheetViews>
  <sheetFormatPr defaultRowHeight="14.4" x14ac:dyDescent="0.3"/>
  <cols>
    <col min="1" max="1" width="9.6640625" bestFit="1" customWidth="1"/>
    <col min="2" max="2" width="25.5546875" bestFit="1" customWidth="1"/>
    <col min="5" max="5" width="12.5546875" bestFit="1" customWidth="1"/>
    <col min="6" max="6" width="11.6640625" bestFit="1" customWidth="1"/>
    <col min="7" max="7" width="12.6640625" bestFit="1" customWidth="1"/>
    <col min="8" max="8" width="10.44140625" bestFit="1" customWidth="1"/>
    <col min="9" max="9" width="12.5546875" bestFit="1" customWidth="1"/>
    <col min="10" max="10" width="11.6640625" bestFit="1" customWidth="1"/>
    <col min="11" max="11" width="12.6640625" bestFit="1" customWidth="1"/>
  </cols>
  <sheetData>
    <row r="1" spans="1:11" x14ac:dyDescent="0.3">
      <c r="A1" s="13" t="s">
        <v>26</v>
      </c>
      <c r="B1" s="14"/>
      <c r="C1" s="14"/>
      <c r="D1" s="14"/>
      <c r="E1" s="14"/>
      <c r="F1" s="14"/>
      <c r="G1" s="14"/>
      <c r="H1" s="15"/>
    </row>
    <row r="3" spans="1:11" x14ac:dyDescent="0.3">
      <c r="A3" s="27" t="s">
        <v>21</v>
      </c>
      <c r="B3" s="28" t="s">
        <v>27</v>
      </c>
      <c r="C3" s="29" t="s">
        <v>23</v>
      </c>
      <c r="E3" s="24" t="s">
        <v>21</v>
      </c>
      <c r="F3" t="s">
        <v>28</v>
      </c>
      <c r="G3" t="s">
        <v>123</v>
      </c>
      <c r="I3" s="24" t="s">
        <v>124</v>
      </c>
      <c r="J3" t="s">
        <v>28</v>
      </c>
      <c r="K3" t="s">
        <v>123</v>
      </c>
    </row>
    <row r="4" spans="1:11" x14ac:dyDescent="0.3">
      <c r="A4" s="25">
        <v>40255</v>
      </c>
      <c r="B4" s="5" t="s">
        <v>52</v>
      </c>
      <c r="C4" s="26">
        <v>73</v>
      </c>
      <c r="E4" s="17" t="s">
        <v>12</v>
      </c>
      <c r="F4">
        <v>1522</v>
      </c>
      <c r="G4">
        <v>1522</v>
      </c>
      <c r="I4" s="33" t="s">
        <v>12</v>
      </c>
      <c r="J4">
        <v>1522</v>
      </c>
      <c r="K4">
        <v>1522</v>
      </c>
    </row>
    <row r="5" spans="1:11" x14ac:dyDescent="0.3">
      <c r="A5" s="25">
        <v>40256</v>
      </c>
      <c r="B5" s="5" t="s">
        <v>53</v>
      </c>
      <c r="C5" s="26">
        <v>121</v>
      </c>
      <c r="E5" s="17" t="s">
        <v>13</v>
      </c>
      <c r="F5">
        <v>3003</v>
      </c>
      <c r="G5">
        <v>4525</v>
      </c>
      <c r="I5" s="33" t="s">
        <v>13</v>
      </c>
      <c r="J5">
        <v>3003</v>
      </c>
      <c r="K5">
        <v>4525</v>
      </c>
    </row>
    <row r="6" spans="1:11" x14ac:dyDescent="0.3">
      <c r="A6" s="25">
        <v>40257</v>
      </c>
      <c r="B6" s="5" t="s">
        <v>54</v>
      </c>
      <c r="C6" s="26">
        <v>167</v>
      </c>
      <c r="E6" s="17" t="s">
        <v>8</v>
      </c>
      <c r="F6">
        <v>3365</v>
      </c>
      <c r="G6">
        <v>7890</v>
      </c>
      <c r="I6" s="33" t="s">
        <v>8</v>
      </c>
      <c r="J6">
        <v>3365</v>
      </c>
      <c r="K6">
        <v>7890</v>
      </c>
    </row>
    <row r="7" spans="1:11" x14ac:dyDescent="0.3">
      <c r="A7" s="25">
        <v>40258</v>
      </c>
      <c r="B7" s="5" t="s">
        <v>55</v>
      </c>
      <c r="C7" s="26">
        <v>167</v>
      </c>
      <c r="E7" s="17" t="s">
        <v>14</v>
      </c>
      <c r="F7">
        <v>3664</v>
      </c>
      <c r="G7">
        <v>11554</v>
      </c>
      <c r="I7" s="33" t="s">
        <v>14</v>
      </c>
      <c r="J7">
        <v>3664</v>
      </c>
      <c r="K7">
        <v>11554</v>
      </c>
    </row>
    <row r="8" spans="1:11" x14ac:dyDescent="0.3">
      <c r="A8" s="25">
        <v>40259</v>
      </c>
      <c r="B8" s="5" t="s">
        <v>56</v>
      </c>
      <c r="C8" s="26">
        <v>75</v>
      </c>
      <c r="E8" s="17" t="s">
        <v>15</v>
      </c>
      <c r="F8">
        <v>3515</v>
      </c>
      <c r="G8">
        <v>15069</v>
      </c>
      <c r="I8" s="33" t="s">
        <v>15</v>
      </c>
      <c r="J8">
        <v>3515</v>
      </c>
      <c r="K8">
        <v>15069</v>
      </c>
    </row>
    <row r="9" spans="1:11" x14ac:dyDescent="0.3">
      <c r="A9" s="25">
        <v>40260</v>
      </c>
      <c r="B9" s="5" t="s">
        <v>57</v>
      </c>
      <c r="C9" s="26">
        <v>157</v>
      </c>
      <c r="E9" s="17" t="s">
        <v>16</v>
      </c>
      <c r="F9">
        <v>3468</v>
      </c>
      <c r="G9">
        <v>18537</v>
      </c>
      <c r="I9" s="33" t="s">
        <v>16</v>
      </c>
      <c r="J9">
        <v>3468</v>
      </c>
      <c r="K9">
        <v>18537</v>
      </c>
    </row>
    <row r="10" spans="1:11" x14ac:dyDescent="0.3">
      <c r="A10" s="25">
        <v>40261</v>
      </c>
      <c r="B10" s="5" t="s">
        <v>58</v>
      </c>
      <c r="C10" s="26">
        <v>61</v>
      </c>
      <c r="E10" s="17" t="s">
        <v>17</v>
      </c>
      <c r="F10">
        <v>3240</v>
      </c>
      <c r="G10">
        <v>21777</v>
      </c>
      <c r="I10" s="33" t="s">
        <v>17</v>
      </c>
      <c r="J10">
        <v>3240</v>
      </c>
      <c r="K10">
        <v>21777</v>
      </c>
    </row>
    <row r="11" spans="1:11" x14ac:dyDescent="0.3">
      <c r="A11" s="25">
        <v>40262</v>
      </c>
      <c r="B11" s="5" t="s">
        <v>59</v>
      </c>
      <c r="C11" s="26">
        <v>108</v>
      </c>
      <c r="E11" s="17" t="s">
        <v>18</v>
      </c>
      <c r="F11">
        <v>968</v>
      </c>
      <c r="G11">
        <v>22745</v>
      </c>
      <c r="I11" s="33" t="s">
        <v>18</v>
      </c>
      <c r="J11">
        <v>968</v>
      </c>
      <c r="K11">
        <v>22745</v>
      </c>
    </row>
    <row r="12" spans="1:11" x14ac:dyDescent="0.3">
      <c r="A12" s="25">
        <v>40263</v>
      </c>
      <c r="B12" s="5" t="s">
        <v>39</v>
      </c>
      <c r="C12" s="26">
        <v>139</v>
      </c>
      <c r="E12" s="17" t="s">
        <v>29</v>
      </c>
      <c r="F12">
        <v>22745</v>
      </c>
      <c r="G12" s="18"/>
      <c r="I12" s="33" t="s">
        <v>29</v>
      </c>
      <c r="J12">
        <v>22745</v>
      </c>
    </row>
    <row r="13" spans="1:11" x14ac:dyDescent="0.3">
      <c r="A13" s="25">
        <v>40264</v>
      </c>
      <c r="B13" s="5" t="s">
        <v>60</v>
      </c>
      <c r="C13" s="26">
        <v>130</v>
      </c>
    </row>
    <row r="14" spans="1:11" x14ac:dyDescent="0.3">
      <c r="A14" s="25">
        <v>40265</v>
      </c>
      <c r="B14" s="5" t="s">
        <v>61</v>
      </c>
      <c r="C14" s="26">
        <v>66</v>
      </c>
    </row>
    <row r="15" spans="1:11" x14ac:dyDescent="0.3">
      <c r="A15" s="25">
        <v>40266</v>
      </c>
      <c r="B15" s="5" t="s">
        <v>62</v>
      </c>
      <c r="C15" s="26">
        <v>86</v>
      </c>
    </row>
    <row r="16" spans="1:11" x14ac:dyDescent="0.3">
      <c r="A16" s="25">
        <v>40267</v>
      </c>
      <c r="B16" s="5" t="s">
        <v>63</v>
      </c>
      <c r="C16" s="26">
        <v>122</v>
      </c>
    </row>
    <row r="17" spans="1:7" x14ac:dyDescent="0.3">
      <c r="A17" s="25">
        <v>40268</v>
      </c>
      <c r="B17" s="5" t="s">
        <v>64</v>
      </c>
      <c r="C17" s="26">
        <v>50</v>
      </c>
      <c r="E17" s="24" t="s">
        <v>124</v>
      </c>
      <c r="F17" t="s">
        <v>28</v>
      </c>
      <c r="G17" t="s">
        <v>126</v>
      </c>
    </row>
    <row r="18" spans="1:7" x14ac:dyDescent="0.3">
      <c r="A18" s="25">
        <v>40269</v>
      </c>
      <c r="B18" s="5" t="s">
        <v>65</v>
      </c>
      <c r="C18" s="26">
        <v>77</v>
      </c>
      <c r="E18" s="33" t="s">
        <v>12</v>
      </c>
      <c r="F18" s="34">
        <v>1522</v>
      </c>
      <c r="G18" s="34">
        <v>1522</v>
      </c>
    </row>
    <row r="19" spans="1:7" x14ac:dyDescent="0.3">
      <c r="A19" s="25">
        <v>40270</v>
      </c>
      <c r="B19" s="5" t="s">
        <v>66</v>
      </c>
      <c r="C19" s="26">
        <v>140</v>
      </c>
      <c r="E19" s="33" t="s">
        <v>13</v>
      </c>
      <c r="F19" s="34">
        <v>3003</v>
      </c>
      <c r="G19" s="34">
        <v>4525</v>
      </c>
    </row>
    <row r="20" spans="1:7" x14ac:dyDescent="0.3">
      <c r="A20" s="25">
        <v>40271</v>
      </c>
      <c r="B20" s="5" t="s">
        <v>67</v>
      </c>
      <c r="C20" s="26">
        <v>107</v>
      </c>
      <c r="E20" s="33" t="s">
        <v>8</v>
      </c>
      <c r="F20" s="34">
        <v>3365</v>
      </c>
      <c r="G20" s="34">
        <v>7890</v>
      </c>
    </row>
    <row r="21" spans="1:7" x14ac:dyDescent="0.3">
      <c r="A21" s="25">
        <v>40272</v>
      </c>
      <c r="B21" s="5" t="s">
        <v>68</v>
      </c>
      <c r="C21" s="26">
        <v>109</v>
      </c>
      <c r="E21" s="33" t="s">
        <v>14</v>
      </c>
      <c r="F21" s="34">
        <v>3664</v>
      </c>
      <c r="G21" s="34">
        <v>11554</v>
      </c>
    </row>
    <row r="22" spans="1:7" x14ac:dyDescent="0.3">
      <c r="A22" s="25">
        <v>40273</v>
      </c>
      <c r="B22" s="5" t="s">
        <v>69</v>
      </c>
      <c r="C22" s="26">
        <v>121</v>
      </c>
      <c r="E22" s="33" t="s">
        <v>15</v>
      </c>
      <c r="F22" s="34">
        <v>3515</v>
      </c>
      <c r="G22" s="34">
        <v>15069</v>
      </c>
    </row>
    <row r="23" spans="1:7" x14ac:dyDescent="0.3">
      <c r="A23" s="25">
        <v>40274</v>
      </c>
      <c r="B23" s="5" t="s">
        <v>70</v>
      </c>
      <c r="C23" s="26">
        <v>78</v>
      </c>
      <c r="E23" s="33" t="s">
        <v>16</v>
      </c>
      <c r="F23" s="34">
        <v>3468</v>
      </c>
      <c r="G23" s="34">
        <v>18537</v>
      </c>
    </row>
    <row r="24" spans="1:7" x14ac:dyDescent="0.3">
      <c r="A24" s="25">
        <v>40275</v>
      </c>
      <c r="B24" s="5" t="s">
        <v>71</v>
      </c>
      <c r="C24" s="26">
        <v>168</v>
      </c>
      <c r="E24" s="33" t="s">
        <v>17</v>
      </c>
      <c r="F24" s="34">
        <v>3240</v>
      </c>
      <c r="G24" s="34">
        <v>21777</v>
      </c>
    </row>
    <row r="25" spans="1:7" x14ac:dyDescent="0.3">
      <c r="A25" s="25">
        <v>40276</v>
      </c>
      <c r="B25" s="5" t="s">
        <v>72</v>
      </c>
      <c r="C25" s="26">
        <v>88</v>
      </c>
      <c r="E25" s="33" t="s">
        <v>18</v>
      </c>
      <c r="F25" s="34">
        <v>968</v>
      </c>
      <c r="G25" s="34">
        <v>22745</v>
      </c>
    </row>
    <row r="26" spans="1:7" x14ac:dyDescent="0.3">
      <c r="A26" s="25">
        <v>40277</v>
      </c>
      <c r="B26" s="5" t="s">
        <v>46</v>
      </c>
      <c r="C26" s="26">
        <v>110</v>
      </c>
      <c r="E26" s="33" t="s">
        <v>29</v>
      </c>
      <c r="F26" s="34">
        <v>22745</v>
      </c>
      <c r="G26" s="34"/>
    </row>
    <row r="27" spans="1:7" x14ac:dyDescent="0.3">
      <c r="A27" s="25">
        <v>40278</v>
      </c>
      <c r="B27" s="5" t="s">
        <v>37</v>
      </c>
      <c r="C27" s="26">
        <v>132</v>
      </c>
    </row>
    <row r="28" spans="1:7" x14ac:dyDescent="0.3">
      <c r="A28" s="25">
        <v>40279</v>
      </c>
      <c r="B28" s="5" t="s">
        <v>73</v>
      </c>
      <c r="C28" s="26">
        <v>54</v>
      </c>
    </row>
    <row r="29" spans="1:7" x14ac:dyDescent="0.3">
      <c r="A29" s="25">
        <v>40280</v>
      </c>
      <c r="B29" s="5" t="s">
        <v>74</v>
      </c>
      <c r="C29" s="26">
        <v>58</v>
      </c>
    </row>
    <row r="30" spans="1:7" x14ac:dyDescent="0.3">
      <c r="A30" s="25">
        <v>40281</v>
      </c>
      <c r="B30" s="5" t="s">
        <v>75</v>
      </c>
      <c r="C30" s="26">
        <v>71</v>
      </c>
    </row>
    <row r="31" spans="1:7" x14ac:dyDescent="0.3">
      <c r="A31" s="25">
        <v>40282</v>
      </c>
      <c r="B31" s="5" t="s">
        <v>76</v>
      </c>
      <c r="C31" s="26">
        <v>50</v>
      </c>
    </row>
    <row r="32" spans="1:7" x14ac:dyDescent="0.3">
      <c r="A32" s="25">
        <v>40283</v>
      </c>
      <c r="B32" s="5" t="s">
        <v>77</v>
      </c>
      <c r="C32" s="26">
        <v>109</v>
      </c>
    </row>
    <row r="33" spans="1:3" x14ac:dyDescent="0.3">
      <c r="A33" s="25">
        <v>40284</v>
      </c>
      <c r="B33" s="5" t="s">
        <v>78</v>
      </c>
      <c r="C33" s="26">
        <v>138</v>
      </c>
    </row>
    <row r="34" spans="1:3" x14ac:dyDescent="0.3">
      <c r="A34" s="25">
        <v>40285</v>
      </c>
      <c r="B34" s="5" t="s">
        <v>79</v>
      </c>
      <c r="C34" s="26">
        <v>74</v>
      </c>
    </row>
    <row r="35" spans="1:3" x14ac:dyDescent="0.3">
      <c r="A35" s="25">
        <v>40286</v>
      </c>
      <c r="B35" s="5" t="s">
        <v>80</v>
      </c>
      <c r="C35" s="26">
        <v>50</v>
      </c>
    </row>
    <row r="36" spans="1:3" x14ac:dyDescent="0.3">
      <c r="A36" s="25">
        <v>40287</v>
      </c>
      <c r="B36" s="5" t="s">
        <v>81</v>
      </c>
      <c r="C36" s="26">
        <v>103</v>
      </c>
    </row>
    <row r="37" spans="1:3" x14ac:dyDescent="0.3">
      <c r="A37" s="25">
        <v>40288</v>
      </c>
      <c r="B37" s="5" t="s">
        <v>82</v>
      </c>
      <c r="C37" s="26">
        <v>134</v>
      </c>
    </row>
    <row r="38" spans="1:3" x14ac:dyDescent="0.3">
      <c r="A38" s="25">
        <v>40289</v>
      </c>
      <c r="B38" s="5" t="s">
        <v>83</v>
      </c>
      <c r="C38" s="26">
        <v>151</v>
      </c>
    </row>
    <row r="39" spans="1:3" x14ac:dyDescent="0.3">
      <c r="A39" s="25">
        <v>40290</v>
      </c>
      <c r="B39" s="5" t="s">
        <v>84</v>
      </c>
      <c r="C39" s="26">
        <v>135</v>
      </c>
    </row>
    <row r="40" spans="1:3" x14ac:dyDescent="0.3">
      <c r="A40" s="25">
        <v>40291</v>
      </c>
      <c r="B40" s="5" t="s">
        <v>85</v>
      </c>
      <c r="C40" s="26">
        <v>54</v>
      </c>
    </row>
    <row r="41" spans="1:3" x14ac:dyDescent="0.3">
      <c r="A41" s="25">
        <v>40292</v>
      </c>
      <c r="B41" s="5" t="s">
        <v>86</v>
      </c>
      <c r="C41" s="26">
        <v>66</v>
      </c>
    </row>
    <row r="42" spans="1:3" x14ac:dyDescent="0.3">
      <c r="A42" s="25">
        <v>40293</v>
      </c>
      <c r="B42" s="5" t="s">
        <v>87</v>
      </c>
      <c r="C42" s="26">
        <v>81</v>
      </c>
    </row>
    <row r="43" spans="1:3" x14ac:dyDescent="0.3">
      <c r="A43" s="25">
        <v>40294</v>
      </c>
      <c r="B43" s="5" t="s">
        <v>88</v>
      </c>
      <c r="C43" s="26">
        <v>94</v>
      </c>
    </row>
    <row r="44" spans="1:3" x14ac:dyDescent="0.3">
      <c r="A44" s="25">
        <v>40295</v>
      </c>
      <c r="B44" s="5" t="s">
        <v>89</v>
      </c>
      <c r="C44" s="26">
        <v>142</v>
      </c>
    </row>
    <row r="45" spans="1:3" x14ac:dyDescent="0.3">
      <c r="A45" s="25">
        <v>40296</v>
      </c>
      <c r="B45" s="5" t="s">
        <v>90</v>
      </c>
      <c r="C45" s="26">
        <v>75</v>
      </c>
    </row>
    <row r="46" spans="1:3" x14ac:dyDescent="0.3">
      <c r="A46" s="25">
        <v>40297</v>
      </c>
      <c r="B46" s="5" t="s">
        <v>91</v>
      </c>
      <c r="C46" s="26">
        <v>114</v>
      </c>
    </row>
    <row r="47" spans="1:3" x14ac:dyDescent="0.3">
      <c r="A47" s="25">
        <v>40298</v>
      </c>
      <c r="B47" s="5" t="s">
        <v>35</v>
      </c>
      <c r="C47" s="26">
        <v>120</v>
      </c>
    </row>
    <row r="48" spans="1:3" x14ac:dyDescent="0.3">
      <c r="A48" s="25">
        <v>40299</v>
      </c>
      <c r="B48" s="5" t="s">
        <v>92</v>
      </c>
      <c r="C48" s="26">
        <v>146</v>
      </c>
    </row>
    <row r="49" spans="1:3" x14ac:dyDescent="0.3">
      <c r="A49" s="25">
        <v>40300</v>
      </c>
      <c r="B49" s="5" t="s">
        <v>93</v>
      </c>
      <c r="C49" s="26">
        <v>96</v>
      </c>
    </row>
    <row r="50" spans="1:3" x14ac:dyDescent="0.3">
      <c r="A50" s="25">
        <v>40301</v>
      </c>
      <c r="B50" s="5" t="s">
        <v>94</v>
      </c>
      <c r="C50" s="26">
        <v>69</v>
      </c>
    </row>
    <row r="51" spans="1:3" x14ac:dyDescent="0.3">
      <c r="A51" s="25">
        <v>40302</v>
      </c>
      <c r="B51" s="5" t="s">
        <v>95</v>
      </c>
      <c r="C51" s="26">
        <v>130</v>
      </c>
    </row>
    <row r="52" spans="1:3" x14ac:dyDescent="0.3">
      <c r="A52" s="25">
        <v>40303</v>
      </c>
      <c r="B52" s="5" t="s">
        <v>96</v>
      </c>
      <c r="C52" s="26">
        <v>150</v>
      </c>
    </row>
    <row r="53" spans="1:3" x14ac:dyDescent="0.3">
      <c r="A53" s="25">
        <v>40304</v>
      </c>
      <c r="B53" s="5" t="s">
        <v>97</v>
      </c>
      <c r="C53" s="26">
        <v>62</v>
      </c>
    </row>
    <row r="54" spans="1:3" x14ac:dyDescent="0.3">
      <c r="A54" s="25">
        <v>40305</v>
      </c>
      <c r="B54" s="5" t="s">
        <v>98</v>
      </c>
      <c r="C54" s="26">
        <v>166</v>
      </c>
    </row>
    <row r="55" spans="1:3" x14ac:dyDescent="0.3">
      <c r="A55" s="25">
        <v>40306</v>
      </c>
      <c r="B55" s="5" t="s">
        <v>99</v>
      </c>
      <c r="C55" s="26">
        <v>152</v>
      </c>
    </row>
    <row r="56" spans="1:3" x14ac:dyDescent="0.3">
      <c r="A56" s="25">
        <v>40307</v>
      </c>
      <c r="B56" s="5" t="s">
        <v>100</v>
      </c>
      <c r="C56" s="26">
        <v>143</v>
      </c>
    </row>
    <row r="57" spans="1:3" x14ac:dyDescent="0.3">
      <c r="A57" s="25">
        <v>40308</v>
      </c>
      <c r="B57" s="5" t="s">
        <v>101</v>
      </c>
      <c r="C57" s="26">
        <v>139</v>
      </c>
    </row>
    <row r="58" spans="1:3" x14ac:dyDescent="0.3">
      <c r="A58" s="25">
        <v>40309</v>
      </c>
      <c r="B58" s="5" t="s">
        <v>41</v>
      </c>
      <c r="C58" s="26">
        <v>111</v>
      </c>
    </row>
    <row r="59" spans="1:3" x14ac:dyDescent="0.3">
      <c r="A59" s="25">
        <v>40310</v>
      </c>
      <c r="B59" s="5" t="s">
        <v>102</v>
      </c>
      <c r="C59" s="26">
        <v>70</v>
      </c>
    </row>
    <row r="60" spans="1:3" x14ac:dyDescent="0.3">
      <c r="A60" s="25">
        <v>40311</v>
      </c>
      <c r="B60" s="5" t="s">
        <v>103</v>
      </c>
      <c r="C60" s="26">
        <v>104</v>
      </c>
    </row>
    <row r="61" spans="1:3" x14ac:dyDescent="0.3">
      <c r="A61" s="25">
        <v>40312</v>
      </c>
      <c r="B61" s="5" t="s">
        <v>104</v>
      </c>
      <c r="C61" s="26">
        <v>64</v>
      </c>
    </row>
    <row r="62" spans="1:3" x14ac:dyDescent="0.3">
      <c r="A62" s="25">
        <v>40313</v>
      </c>
      <c r="B62" s="5" t="s">
        <v>105</v>
      </c>
      <c r="C62" s="26">
        <v>56</v>
      </c>
    </row>
    <row r="63" spans="1:3" x14ac:dyDescent="0.3">
      <c r="A63" s="25">
        <v>40314</v>
      </c>
      <c r="B63" s="5" t="s">
        <v>106</v>
      </c>
      <c r="C63" s="26">
        <v>76</v>
      </c>
    </row>
    <row r="64" spans="1:3" x14ac:dyDescent="0.3">
      <c r="A64" s="25">
        <v>40315</v>
      </c>
      <c r="B64" s="5" t="s">
        <v>107</v>
      </c>
      <c r="C64" s="26">
        <v>96</v>
      </c>
    </row>
    <row r="65" spans="1:3" x14ac:dyDescent="0.3">
      <c r="A65" s="25">
        <v>40316</v>
      </c>
      <c r="B65" s="5" t="s">
        <v>108</v>
      </c>
      <c r="C65" s="26">
        <v>163</v>
      </c>
    </row>
    <row r="66" spans="1:3" x14ac:dyDescent="0.3">
      <c r="A66" s="25">
        <v>40317</v>
      </c>
      <c r="B66" s="5" t="s">
        <v>109</v>
      </c>
      <c r="C66" s="26">
        <v>108</v>
      </c>
    </row>
    <row r="67" spans="1:3" x14ac:dyDescent="0.3">
      <c r="A67" s="25">
        <v>40318</v>
      </c>
      <c r="B67" s="5" t="s">
        <v>110</v>
      </c>
      <c r="C67" s="26">
        <v>63</v>
      </c>
    </row>
    <row r="68" spans="1:3" x14ac:dyDescent="0.3">
      <c r="A68" s="25">
        <v>40319</v>
      </c>
      <c r="B68" s="5" t="s">
        <v>111</v>
      </c>
      <c r="C68" s="26">
        <v>99</v>
      </c>
    </row>
    <row r="69" spans="1:3" x14ac:dyDescent="0.3">
      <c r="A69" s="25">
        <v>40320</v>
      </c>
      <c r="B69" s="5" t="s">
        <v>112</v>
      </c>
      <c r="C69" s="26">
        <v>115</v>
      </c>
    </row>
    <row r="70" spans="1:3" x14ac:dyDescent="0.3">
      <c r="A70" s="25">
        <v>40321</v>
      </c>
      <c r="B70" s="5" t="s">
        <v>113</v>
      </c>
      <c r="C70" s="26">
        <v>125</v>
      </c>
    </row>
    <row r="71" spans="1:3" x14ac:dyDescent="0.3">
      <c r="A71" s="25">
        <v>40322</v>
      </c>
      <c r="B71" s="5" t="s">
        <v>114</v>
      </c>
      <c r="C71" s="26">
        <v>130</v>
      </c>
    </row>
    <row r="72" spans="1:3" x14ac:dyDescent="0.3">
      <c r="A72" s="25">
        <v>40323</v>
      </c>
      <c r="B72" s="5" t="s">
        <v>115</v>
      </c>
      <c r="C72" s="26">
        <v>133</v>
      </c>
    </row>
    <row r="73" spans="1:3" x14ac:dyDescent="0.3">
      <c r="A73" s="25">
        <v>40324</v>
      </c>
      <c r="B73" s="5" t="s">
        <v>116</v>
      </c>
      <c r="C73" s="26">
        <v>148</v>
      </c>
    </row>
    <row r="74" spans="1:3" x14ac:dyDescent="0.3">
      <c r="A74" s="25">
        <v>40325</v>
      </c>
      <c r="B74" s="5" t="s">
        <v>117</v>
      </c>
      <c r="C74" s="26">
        <v>148</v>
      </c>
    </row>
    <row r="75" spans="1:3" x14ac:dyDescent="0.3">
      <c r="A75" s="25">
        <v>40326</v>
      </c>
      <c r="B75" s="5" t="s">
        <v>118</v>
      </c>
      <c r="C75" s="26">
        <v>56</v>
      </c>
    </row>
    <row r="76" spans="1:3" x14ac:dyDescent="0.3">
      <c r="A76" s="25">
        <v>40327</v>
      </c>
      <c r="B76" s="5" t="s">
        <v>119</v>
      </c>
      <c r="C76" s="26">
        <v>134</v>
      </c>
    </row>
    <row r="77" spans="1:3" x14ac:dyDescent="0.3">
      <c r="A77" s="25">
        <v>40328</v>
      </c>
      <c r="B77" s="5" t="s">
        <v>120</v>
      </c>
      <c r="C77" s="26">
        <v>54</v>
      </c>
    </row>
    <row r="78" spans="1:3" x14ac:dyDescent="0.3">
      <c r="A78" s="25">
        <v>40329</v>
      </c>
      <c r="B78" s="5" t="s">
        <v>121</v>
      </c>
      <c r="C78" s="26">
        <v>59</v>
      </c>
    </row>
    <row r="79" spans="1:3" x14ac:dyDescent="0.3">
      <c r="A79" s="25">
        <v>40330</v>
      </c>
      <c r="B79" s="5" t="s">
        <v>52</v>
      </c>
      <c r="C79" s="26">
        <v>99</v>
      </c>
    </row>
    <row r="80" spans="1:3" x14ac:dyDescent="0.3">
      <c r="A80" s="25">
        <v>40331</v>
      </c>
      <c r="B80" s="5" t="s">
        <v>53</v>
      </c>
      <c r="C80" s="26">
        <v>135</v>
      </c>
    </row>
    <row r="81" spans="1:3" x14ac:dyDescent="0.3">
      <c r="A81" s="25">
        <v>40332</v>
      </c>
      <c r="B81" s="5" t="s">
        <v>54</v>
      </c>
      <c r="C81" s="26">
        <v>135</v>
      </c>
    </row>
    <row r="82" spans="1:3" x14ac:dyDescent="0.3">
      <c r="A82" s="25">
        <v>40333</v>
      </c>
      <c r="B82" s="5" t="s">
        <v>55</v>
      </c>
      <c r="C82" s="26">
        <v>75</v>
      </c>
    </row>
    <row r="83" spans="1:3" x14ac:dyDescent="0.3">
      <c r="A83" s="25">
        <v>40334</v>
      </c>
      <c r="B83" s="5" t="s">
        <v>56</v>
      </c>
      <c r="C83" s="26">
        <v>167</v>
      </c>
    </row>
    <row r="84" spans="1:3" x14ac:dyDescent="0.3">
      <c r="A84" s="25">
        <v>40335</v>
      </c>
      <c r="B84" s="5" t="s">
        <v>57</v>
      </c>
      <c r="C84" s="26">
        <v>152</v>
      </c>
    </row>
    <row r="85" spans="1:3" x14ac:dyDescent="0.3">
      <c r="A85" s="25">
        <v>40336</v>
      </c>
      <c r="B85" s="5" t="s">
        <v>58</v>
      </c>
      <c r="C85" s="26">
        <v>129</v>
      </c>
    </row>
    <row r="86" spans="1:3" x14ac:dyDescent="0.3">
      <c r="A86" s="25">
        <v>40337</v>
      </c>
      <c r="B86" s="5" t="s">
        <v>59</v>
      </c>
      <c r="C86" s="26">
        <v>167</v>
      </c>
    </row>
    <row r="87" spans="1:3" x14ac:dyDescent="0.3">
      <c r="A87" s="25">
        <v>40338</v>
      </c>
      <c r="B87" s="5" t="s">
        <v>39</v>
      </c>
      <c r="C87" s="26">
        <v>74</v>
      </c>
    </row>
    <row r="88" spans="1:3" x14ac:dyDescent="0.3">
      <c r="A88" s="25">
        <v>40339</v>
      </c>
      <c r="B88" s="5" t="s">
        <v>60</v>
      </c>
      <c r="C88" s="26">
        <v>69</v>
      </c>
    </row>
    <row r="89" spans="1:3" x14ac:dyDescent="0.3">
      <c r="A89" s="25">
        <v>40340</v>
      </c>
      <c r="B89" s="5" t="s">
        <v>61</v>
      </c>
      <c r="C89" s="26">
        <v>109</v>
      </c>
    </row>
    <row r="90" spans="1:3" x14ac:dyDescent="0.3">
      <c r="A90" s="25">
        <v>40341</v>
      </c>
      <c r="B90" s="5" t="s">
        <v>62</v>
      </c>
      <c r="C90" s="26">
        <v>119</v>
      </c>
    </row>
    <row r="91" spans="1:3" x14ac:dyDescent="0.3">
      <c r="A91" s="25">
        <v>40342</v>
      </c>
      <c r="B91" s="5" t="s">
        <v>63</v>
      </c>
      <c r="C91" s="26">
        <v>76</v>
      </c>
    </row>
    <row r="92" spans="1:3" x14ac:dyDescent="0.3">
      <c r="A92" s="25">
        <v>40343</v>
      </c>
      <c r="B92" s="5" t="s">
        <v>64</v>
      </c>
      <c r="C92" s="26">
        <v>108</v>
      </c>
    </row>
    <row r="93" spans="1:3" x14ac:dyDescent="0.3">
      <c r="A93" s="25">
        <v>40344</v>
      </c>
      <c r="B93" s="5" t="s">
        <v>65</v>
      </c>
      <c r="C93" s="26">
        <v>109</v>
      </c>
    </row>
    <row r="94" spans="1:3" x14ac:dyDescent="0.3">
      <c r="A94" s="25">
        <v>40345</v>
      </c>
      <c r="B94" s="5" t="s">
        <v>66</v>
      </c>
      <c r="C94" s="26">
        <v>138</v>
      </c>
    </row>
    <row r="95" spans="1:3" x14ac:dyDescent="0.3">
      <c r="A95" s="25">
        <v>40346</v>
      </c>
      <c r="B95" s="5" t="s">
        <v>67</v>
      </c>
      <c r="C95" s="26">
        <v>130</v>
      </c>
    </row>
    <row r="96" spans="1:3" x14ac:dyDescent="0.3">
      <c r="A96" s="25">
        <v>40347</v>
      </c>
      <c r="B96" s="5" t="s">
        <v>68</v>
      </c>
      <c r="C96" s="26">
        <v>137</v>
      </c>
    </row>
    <row r="97" spans="1:3" x14ac:dyDescent="0.3">
      <c r="A97" s="25">
        <v>40348</v>
      </c>
      <c r="B97" s="5" t="s">
        <v>69</v>
      </c>
      <c r="C97" s="26">
        <v>152</v>
      </c>
    </row>
    <row r="98" spans="1:3" x14ac:dyDescent="0.3">
      <c r="A98" s="25">
        <v>40349</v>
      </c>
      <c r="B98" s="5" t="s">
        <v>70</v>
      </c>
      <c r="C98" s="26">
        <v>100</v>
      </c>
    </row>
    <row r="99" spans="1:3" x14ac:dyDescent="0.3">
      <c r="A99" s="25">
        <v>40350</v>
      </c>
      <c r="B99" s="5" t="s">
        <v>52</v>
      </c>
      <c r="C99" s="26">
        <v>123</v>
      </c>
    </row>
    <row r="100" spans="1:3" x14ac:dyDescent="0.3">
      <c r="A100" s="25">
        <v>40351</v>
      </c>
      <c r="B100" s="5" t="s">
        <v>53</v>
      </c>
      <c r="C100" s="26">
        <v>110</v>
      </c>
    </row>
    <row r="101" spans="1:3" x14ac:dyDescent="0.3">
      <c r="A101" s="25">
        <v>40352</v>
      </c>
      <c r="B101" s="5" t="s">
        <v>54</v>
      </c>
      <c r="C101" s="26">
        <v>146</v>
      </c>
    </row>
    <row r="102" spans="1:3" x14ac:dyDescent="0.3">
      <c r="A102" s="25">
        <v>40353</v>
      </c>
      <c r="B102" s="5" t="s">
        <v>55</v>
      </c>
      <c r="C102" s="26">
        <v>71</v>
      </c>
    </row>
    <row r="103" spans="1:3" x14ac:dyDescent="0.3">
      <c r="A103" s="25">
        <v>40354</v>
      </c>
      <c r="B103" s="5" t="s">
        <v>56</v>
      </c>
      <c r="C103" s="26">
        <v>141</v>
      </c>
    </row>
    <row r="104" spans="1:3" x14ac:dyDescent="0.3">
      <c r="A104" s="25">
        <v>40355</v>
      </c>
      <c r="B104" s="5" t="s">
        <v>57</v>
      </c>
      <c r="C104" s="26">
        <v>126</v>
      </c>
    </row>
    <row r="105" spans="1:3" x14ac:dyDescent="0.3">
      <c r="A105" s="25">
        <v>40356</v>
      </c>
      <c r="B105" s="5" t="s">
        <v>58</v>
      </c>
      <c r="C105" s="26">
        <v>126</v>
      </c>
    </row>
    <row r="106" spans="1:3" x14ac:dyDescent="0.3">
      <c r="A106" s="25">
        <v>40357</v>
      </c>
      <c r="B106" s="5" t="s">
        <v>59</v>
      </c>
      <c r="C106" s="26">
        <v>123</v>
      </c>
    </row>
    <row r="107" spans="1:3" x14ac:dyDescent="0.3">
      <c r="A107" s="25">
        <v>40358</v>
      </c>
      <c r="B107" s="5" t="s">
        <v>39</v>
      </c>
      <c r="C107" s="26">
        <v>165</v>
      </c>
    </row>
    <row r="108" spans="1:3" x14ac:dyDescent="0.3">
      <c r="A108" s="25">
        <v>40359</v>
      </c>
      <c r="B108" s="5" t="s">
        <v>60</v>
      </c>
      <c r="C108" s="26">
        <v>153</v>
      </c>
    </row>
    <row r="109" spans="1:3" x14ac:dyDescent="0.3">
      <c r="A109" s="25">
        <v>40360</v>
      </c>
      <c r="B109" s="5" t="s">
        <v>61</v>
      </c>
      <c r="C109" s="26">
        <v>103</v>
      </c>
    </row>
    <row r="110" spans="1:3" x14ac:dyDescent="0.3">
      <c r="A110" s="25">
        <v>40361</v>
      </c>
      <c r="B110" s="5" t="s">
        <v>62</v>
      </c>
      <c r="C110" s="26">
        <v>156</v>
      </c>
    </row>
    <row r="111" spans="1:3" x14ac:dyDescent="0.3">
      <c r="A111" s="25">
        <v>40362</v>
      </c>
      <c r="B111" s="5" t="s">
        <v>63</v>
      </c>
      <c r="C111" s="26">
        <v>141</v>
      </c>
    </row>
    <row r="112" spans="1:3" x14ac:dyDescent="0.3">
      <c r="A112" s="25">
        <v>40363</v>
      </c>
      <c r="B112" s="5" t="s">
        <v>64</v>
      </c>
      <c r="C112" s="26">
        <v>79</v>
      </c>
    </row>
    <row r="113" spans="1:3" x14ac:dyDescent="0.3">
      <c r="A113" s="25">
        <v>40364</v>
      </c>
      <c r="B113" s="5" t="s">
        <v>65</v>
      </c>
      <c r="C113" s="26">
        <v>78</v>
      </c>
    </row>
    <row r="114" spans="1:3" x14ac:dyDescent="0.3">
      <c r="A114" s="25">
        <v>40365</v>
      </c>
      <c r="B114" s="5" t="s">
        <v>66</v>
      </c>
      <c r="C114" s="26">
        <v>120</v>
      </c>
    </row>
    <row r="115" spans="1:3" x14ac:dyDescent="0.3">
      <c r="A115" s="25">
        <v>40366</v>
      </c>
      <c r="B115" s="5" t="s">
        <v>67</v>
      </c>
      <c r="C115" s="26">
        <v>157</v>
      </c>
    </row>
    <row r="116" spans="1:3" x14ac:dyDescent="0.3">
      <c r="A116" s="25">
        <v>40367</v>
      </c>
      <c r="B116" s="5" t="s">
        <v>68</v>
      </c>
      <c r="C116" s="26">
        <v>67</v>
      </c>
    </row>
    <row r="117" spans="1:3" x14ac:dyDescent="0.3">
      <c r="A117" s="25">
        <v>40368</v>
      </c>
      <c r="B117" s="5" t="s">
        <v>69</v>
      </c>
      <c r="C117" s="26">
        <v>170</v>
      </c>
    </row>
    <row r="118" spans="1:3" x14ac:dyDescent="0.3">
      <c r="A118" s="25">
        <v>40369</v>
      </c>
      <c r="B118" s="5" t="s">
        <v>70</v>
      </c>
      <c r="C118" s="26">
        <v>92</v>
      </c>
    </row>
    <row r="119" spans="1:3" x14ac:dyDescent="0.3">
      <c r="A119" s="25">
        <v>40370</v>
      </c>
      <c r="B119" s="5" t="s">
        <v>71</v>
      </c>
      <c r="C119" s="26">
        <v>104</v>
      </c>
    </row>
    <row r="120" spans="1:3" x14ac:dyDescent="0.3">
      <c r="A120" s="25">
        <v>40371</v>
      </c>
      <c r="B120" s="5" t="s">
        <v>72</v>
      </c>
      <c r="C120" s="26">
        <v>141</v>
      </c>
    </row>
    <row r="121" spans="1:3" x14ac:dyDescent="0.3">
      <c r="A121" s="25">
        <v>40372</v>
      </c>
      <c r="B121" s="5" t="s">
        <v>46</v>
      </c>
      <c r="C121" s="26">
        <v>153</v>
      </c>
    </row>
    <row r="122" spans="1:3" x14ac:dyDescent="0.3">
      <c r="A122" s="25">
        <v>40373</v>
      </c>
      <c r="B122" s="5" t="s">
        <v>37</v>
      </c>
      <c r="C122" s="26">
        <v>100</v>
      </c>
    </row>
    <row r="123" spans="1:3" x14ac:dyDescent="0.3">
      <c r="A123" s="25">
        <v>40374</v>
      </c>
      <c r="B123" s="5" t="s">
        <v>73</v>
      </c>
      <c r="C123" s="26">
        <v>56</v>
      </c>
    </row>
    <row r="124" spans="1:3" x14ac:dyDescent="0.3">
      <c r="A124" s="25">
        <v>40375</v>
      </c>
      <c r="B124" s="5" t="s">
        <v>74</v>
      </c>
      <c r="C124" s="26">
        <v>76</v>
      </c>
    </row>
    <row r="125" spans="1:3" x14ac:dyDescent="0.3">
      <c r="A125" s="25">
        <v>40376</v>
      </c>
      <c r="B125" s="5" t="s">
        <v>75</v>
      </c>
      <c r="C125" s="26">
        <v>113</v>
      </c>
    </row>
    <row r="126" spans="1:3" x14ac:dyDescent="0.3">
      <c r="A126" s="25">
        <v>40377</v>
      </c>
      <c r="B126" s="5" t="s">
        <v>76</v>
      </c>
      <c r="C126" s="26">
        <v>117</v>
      </c>
    </row>
    <row r="127" spans="1:3" x14ac:dyDescent="0.3">
      <c r="A127" s="25">
        <v>40378</v>
      </c>
      <c r="B127" s="5" t="s">
        <v>77</v>
      </c>
      <c r="C127" s="26">
        <v>78</v>
      </c>
    </row>
    <row r="128" spans="1:3" x14ac:dyDescent="0.3">
      <c r="A128" s="25">
        <v>40379</v>
      </c>
      <c r="B128" s="5" t="s">
        <v>78</v>
      </c>
      <c r="C128" s="26">
        <v>88</v>
      </c>
    </row>
    <row r="129" spans="1:3" x14ac:dyDescent="0.3">
      <c r="A129" s="25">
        <v>40380</v>
      </c>
      <c r="B129" s="5" t="s">
        <v>79</v>
      </c>
      <c r="C129" s="26">
        <v>168</v>
      </c>
    </row>
    <row r="130" spans="1:3" x14ac:dyDescent="0.3">
      <c r="A130" s="25">
        <v>40381</v>
      </c>
      <c r="B130" s="5" t="s">
        <v>80</v>
      </c>
      <c r="C130" s="26">
        <v>159</v>
      </c>
    </row>
    <row r="131" spans="1:3" x14ac:dyDescent="0.3">
      <c r="A131" s="25">
        <v>40382</v>
      </c>
      <c r="B131" s="5" t="s">
        <v>81</v>
      </c>
      <c r="C131" s="26">
        <v>98</v>
      </c>
    </row>
    <row r="132" spans="1:3" x14ac:dyDescent="0.3">
      <c r="A132" s="25">
        <v>40383</v>
      </c>
      <c r="B132" s="5" t="s">
        <v>82</v>
      </c>
      <c r="C132" s="26">
        <v>130</v>
      </c>
    </row>
    <row r="133" spans="1:3" x14ac:dyDescent="0.3">
      <c r="A133" s="25">
        <v>40384</v>
      </c>
      <c r="B133" s="5" t="s">
        <v>83</v>
      </c>
      <c r="C133" s="26">
        <v>136</v>
      </c>
    </row>
    <row r="134" spans="1:3" x14ac:dyDescent="0.3">
      <c r="A134" s="25">
        <v>40385</v>
      </c>
      <c r="B134" s="5" t="s">
        <v>84</v>
      </c>
      <c r="C134" s="26">
        <v>56</v>
      </c>
    </row>
    <row r="135" spans="1:3" x14ac:dyDescent="0.3">
      <c r="A135" s="25">
        <v>40386</v>
      </c>
      <c r="B135" s="5" t="s">
        <v>85</v>
      </c>
      <c r="C135" s="26">
        <v>130</v>
      </c>
    </row>
    <row r="136" spans="1:3" x14ac:dyDescent="0.3">
      <c r="A136" s="25">
        <v>40387</v>
      </c>
      <c r="B136" s="5" t="s">
        <v>86</v>
      </c>
      <c r="C136" s="26">
        <v>53</v>
      </c>
    </row>
    <row r="137" spans="1:3" x14ac:dyDescent="0.3">
      <c r="A137" s="25">
        <v>40388</v>
      </c>
      <c r="B137" s="5" t="s">
        <v>87</v>
      </c>
      <c r="C137" s="26">
        <v>160</v>
      </c>
    </row>
    <row r="138" spans="1:3" x14ac:dyDescent="0.3">
      <c r="A138" s="25">
        <v>40389</v>
      </c>
      <c r="B138" s="5" t="s">
        <v>88</v>
      </c>
      <c r="C138" s="26">
        <v>113</v>
      </c>
    </row>
    <row r="139" spans="1:3" x14ac:dyDescent="0.3">
      <c r="A139" s="25">
        <v>40390</v>
      </c>
      <c r="B139" s="5" t="s">
        <v>89</v>
      </c>
      <c r="C139" s="26">
        <v>123</v>
      </c>
    </row>
    <row r="140" spans="1:3" x14ac:dyDescent="0.3">
      <c r="A140" s="25">
        <v>40391</v>
      </c>
      <c r="B140" s="5" t="s">
        <v>90</v>
      </c>
      <c r="C140" s="26">
        <v>60</v>
      </c>
    </row>
    <row r="141" spans="1:3" x14ac:dyDescent="0.3">
      <c r="A141" s="25">
        <v>40392</v>
      </c>
      <c r="B141" s="5" t="s">
        <v>91</v>
      </c>
      <c r="C141" s="26">
        <v>73</v>
      </c>
    </row>
    <row r="142" spans="1:3" x14ac:dyDescent="0.3">
      <c r="A142" s="25">
        <v>40393</v>
      </c>
      <c r="B142" s="5" t="s">
        <v>35</v>
      </c>
      <c r="C142" s="26">
        <v>167</v>
      </c>
    </row>
    <row r="143" spans="1:3" x14ac:dyDescent="0.3">
      <c r="A143" s="25">
        <v>40394</v>
      </c>
      <c r="B143" s="5" t="s">
        <v>92</v>
      </c>
      <c r="C143" s="26">
        <v>114</v>
      </c>
    </row>
    <row r="144" spans="1:3" x14ac:dyDescent="0.3">
      <c r="A144" s="25">
        <v>40395</v>
      </c>
      <c r="B144" s="5" t="s">
        <v>93</v>
      </c>
      <c r="C144" s="26">
        <v>148</v>
      </c>
    </row>
    <row r="145" spans="1:3" x14ac:dyDescent="0.3">
      <c r="A145" s="25">
        <v>40396</v>
      </c>
      <c r="B145" s="5" t="s">
        <v>94</v>
      </c>
      <c r="C145" s="26">
        <v>81</v>
      </c>
    </row>
    <row r="146" spans="1:3" x14ac:dyDescent="0.3">
      <c r="A146" s="25">
        <v>40397</v>
      </c>
      <c r="B146" s="5" t="s">
        <v>95</v>
      </c>
      <c r="C146" s="26">
        <v>79</v>
      </c>
    </row>
    <row r="147" spans="1:3" x14ac:dyDescent="0.3">
      <c r="A147" s="25">
        <v>40398</v>
      </c>
      <c r="B147" s="5" t="s">
        <v>96</v>
      </c>
      <c r="C147" s="26">
        <v>76</v>
      </c>
    </row>
    <row r="148" spans="1:3" x14ac:dyDescent="0.3">
      <c r="A148" s="25">
        <v>40399</v>
      </c>
      <c r="B148" s="5" t="s">
        <v>97</v>
      </c>
      <c r="C148" s="26">
        <v>166</v>
      </c>
    </row>
    <row r="149" spans="1:3" x14ac:dyDescent="0.3">
      <c r="A149" s="25">
        <v>40400</v>
      </c>
      <c r="B149" s="5" t="s">
        <v>98</v>
      </c>
      <c r="C149" s="26">
        <v>106</v>
      </c>
    </row>
    <row r="150" spans="1:3" x14ac:dyDescent="0.3">
      <c r="A150" s="25">
        <v>40401</v>
      </c>
      <c r="B150" s="5" t="s">
        <v>99</v>
      </c>
      <c r="C150" s="26">
        <v>74</v>
      </c>
    </row>
    <row r="151" spans="1:3" x14ac:dyDescent="0.3">
      <c r="A151" s="25">
        <v>40402</v>
      </c>
      <c r="B151" s="5" t="s">
        <v>100</v>
      </c>
      <c r="C151" s="26">
        <v>95</v>
      </c>
    </row>
    <row r="152" spans="1:3" x14ac:dyDescent="0.3">
      <c r="A152" s="25">
        <v>40403</v>
      </c>
      <c r="B152" s="5" t="s">
        <v>101</v>
      </c>
      <c r="C152" s="26">
        <v>151</v>
      </c>
    </row>
    <row r="153" spans="1:3" x14ac:dyDescent="0.3">
      <c r="A153" s="25">
        <v>40404</v>
      </c>
      <c r="B153" s="5" t="s">
        <v>41</v>
      </c>
      <c r="C153" s="26">
        <v>117</v>
      </c>
    </row>
    <row r="154" spans="1:3" x14ac:dyDescent="0.3">
      <c r="A154" s="25">
        <v>40405</v>
      </c>
      <c r="B154" s="5" t="s">
        <v>102</v>
      </c>
      <c r="C154" s="26">
        <v>143</v>
      </c>
    </row>
    <row r="155" spans="1:3" x14ac:dyDescent="0.3">
      <c r="A155" s="25">
        <v>40406</v>
      </c>
      <c r="B155" s="5" t="s">
        <v>103</v>
      </c>
      <c r="C155" s="26">
        <v>122</v>
      </c>
    </row>
    <row r="156" spans="1:3" x14ac:dyDescent="0.3">
      <c r="A156" s="25">
        <v>40407</v>
      </c>
      <c r="B156" s="5" t="s">
        <v>104</v>
      </c>
      <c r="C156" s="26">
        <v>76</v>
      </c>
    </row>
    <row r="157" spans="1:3" x14ac:dyDescent="0.3">
      <c r="A157" s="25">
        <v>40408</v>
      </c>
      <c r="B157" s="5" t="s">
        <v>105</v>
      </c>
      <c r="C157" s="26">
        <v>145</v>
      </c>
    </row>
    <row r="158" spans="1:3" x14ac:dyDescent="0.3">
      <c r="A158" s="25">
        <v>40409</v>
      </c>
      <c r="B158" s="5" t="s">
        <v>106</v>
      </c>
      <c r="C158" s="26">
        <v>123</v>
      </c>
    </row>
    <row r="159" spans="1:3" x14ac:dyDescent="0.3">
      <c r="A159" s="25">
        <v>40410</v>
      </c>
      <c r="B159" s="5" t="s">
        <v>107</v>
      </c>
      <c r="C159" s="26">
        <v>116</v>
      </c>
    </row>
    <row r="160" spans="1:3" x14ac:dyDescent="0.3">
      <c r="A160" s="25">
        <v>40411</v>
      </c>
      <c r="B160" s="5" t="s">
        <v>108</v>
      </c>
      <c r="C160" s="26">
        <v>91</v>
      </c>
    </row>
    <row r="161" spans="1:3" x14ac:dyDescent="0.3">
      <c r="A161" s="25">
        <v>40412</v>
      </c>
      <c r="B161" s="5" t="s">
        <v>109</v>
      </c>
      <c r="C161" s="26">
        <v>117</v>
      </c>
    </row>
    <row r="162" spans="1:3" x14ac:dyDescent="0.3">
      <c r="A162" s="25">
        <v>40413</v>
      </c>
      <c r="B162" s="5" t="s">
        <v>110</v>
      </c>
      <c r="C162" s="26">
        <v>170</v>
      </c>
    </row>
    <row r="163" spans="1:3" x14ac:dyDescent="0.3">
      <c r="A163" s="25">
        <v>40414</v>
      </c>
      <c r="B163" s="5" t="s">
        <v>111</v>
      </c>
      <c r="C163" s="26">
        <v>141</v>
      </c>
    </row>
    <row r="164" spans="1:3" x14ac:dyDescent="0.3">
      <c r="A164" s="25">
        <v>40415</v>
      </c>
      <c r="B164" s="5" t="s">
        <v>112</v>
      </c>
      <c r="C164" s="26">
        <v>54</v>
      </c>
    </row>
    <row r="165" spans="1:3" x14ac:dyDescent="0.3">
      <c r="A165" s="25">
        <v>40416</v>
      </c>
      <c r="B165" s="5" t="s">
        <v>113</v>
      </c>
      <c r="C165" s="26">
        <v>95</v>
      </c>
    </row>
    <row r="166" spans="1:3" x14ac:dyDescent="0.3">
      <c r="A166" s="25">
        <v>40417</v>
      </c>
      <c r="B166" s="5" t="s">
        <v>114</v>
      </c>
      <c r="C166" s="26">
        <v>57</v>
      </c>
    </row>
    <row r="167" spans="1:3" x14ac:dyDescent="0.3">
      <c r="A167" s="25">
        <v>40418</v>
      </c>
      <c r="B167" s="5" t="s">
        <v>115</v>
      </c>
      <c r="C167" s="26">
        <v>133</v>
      </c>
    </row>
    <row r="168" spans="1:3" x14ac:dyDescent="0.3">
      <c r="A168" s="25">
        <v>40419</v>
      </c>
      <c r="B168" s="5" t="s">
        <v>116</v>
      </c>
      <c r="C168" s="26">
        <v>147</v>
      </c>
    </row>
    <row r="169" spans="1:3" x14ac:dyDescent="0.3">
      <c r="A169" s="25">
        <v>40420</v>
      </c>
      <c r="B169" s="5" t="s">
        <v>117</v>
      </c>
      <c r="C169" s="26">
        <v>84</v>
      </c>
    </row>
    <row r="170" spans="1:3" x14ac:dyDescent="0.3">
      <c r="A170" s="25">
        <v>40421</v>
      </c>
      <c r="B170" s="5" t="s">
        <v>118</v>
      </c>
      <c r="C170" s="26">
        <v>147</v>
      </c>
    </row>
    <row r="171" spans="1:3" x14ac:dyDescent="0.3">
      <c r="A171" s="25">
        <v>40422</v>
      </c>
      <c r="B171" s="5" t="s">
        <v>119</v>
      </c>
      <c r="C171" s="26">
        <v>86</v>
      </c>
    </row>
    <row r="172" spans="1:3" x14ac:dyDescent="0.3">
      <c r="A172" s="25">
        <v>40423</v>
      </c>
      <c r="B172" s="5" t="s">
        <v>120</v>
      </c>
      <c r="C172" s="26">
        <v>87</v>
      </c>
    </row>
    <row r="173" spans="1:3" x14ac:dyDescent="0.3">
      <c r="A173" s="25">
        <v>40424</v>
      </c>
      <c r="B173" s="5" t="s">
        <v>121</v>
      </c>
      <c r="C173" s="26">
        <v>150</v>
      </c>
    </row>
    <row r="174" spans="1:3" x14ac:dyDescent="0.3">
      <c r="A174" s="25">
        <v>40425</v>
      </c>
      <c r="B174" s="5" t="s">
        <v>52</v>
      </c>
      <c r="C174" s="26">
        <v>97</v>
      </c>
    </row>
    <row r="175" spans="1:3" x14ac:dyDescent="0.3">
      <c r="A175" s="25">
        <v>40426</v>
      </c>
      <c r="B175" s="5" t="s">
        <v>53</v>
      </c>
      <c r="C175" s="26">
        <v>151</v>
      </c>
    </row>
    <row r="176" spans="1:3" x14ac:dyDescent="0.3">
      <c r="A176" s="25">
        <v>40427</v>
      </c>
      <c r="B176" s="5" t="s">
        <v>54</v>
      </c>
      <c r="C176" s="26">
        <v>62</v>
      </c>
    </row>
    <row r="177" spans="1:3" x14ac:dyDescent="0.3">
      <c r="A177" s="25">
        <v>40428</v>
      </c>
      <c r="B177" s="5" t="s">
        <v>55</v>
      </c>
      <c r="C177" s="26">
        <v>125</v>
      </c>
    </row>
    <row r="178" spans="1:3" x14ac:dyDescent="0.3">
      <c r="A178" s="25">
        <v>40429</v>
      </c>
      <c r="B178" s="5" t="s">
        <v>56</v>
      </c>
      <c r="C178" s="26">
        <v>69</v>
      </c>
    </row>
    <row r="179" spans="1:3" x14ac:dyDescent="0.3">
      <c r="A179" s="25">
        <v>40430</v>
      </c>
      <c r="B179" s="5" t="s">
        <v>57</v>
      </c>
      <c r="C179" s="26">
        <v>160</v>
      </c>
    </row>
    <row r="180" spans="1:3" x14ac:dyDescent="0.3">
      <c r="A180" s="25">
        <v>40431</v>
      </c>
      <c r="B180" s="5" t="s">
        <v>58</v>
      </c>
      <c r="C180" s="26">
        <v>88</v>
      </c>
    </row>
    <row r="181" spans="1:3" x14ac:dyDescent="0.3">
      <c r="A181" s="25">
        <v>40432</v>
      </c>
      <c r="B181" s="5" t="s">
        <v>59</v>
      </c>
      <c r="C181" s="26">
        <v>107</v>
      </c>
    </row>
    <row r="182" spans="1:3" x14ac:dyDescent="0.3">
      <c r="A182" s="25">
        <v>40433</v>
      </c>
      <c r="B182" s="5" t="s">
        <v>39</v>
      </c>
      <c r="C182" s="26">
        <v>148</v>
      </c>
    </row>
    <row r="183" spans="1:3" x14ac:dyDescent="0.3">
      <c r="A183" s="25">
        <v>40434</v>
      </c>
      <c r="B183" s="5" t="s">
        <v>60</v>
      </c>
      <c r="C183" s="26">
        <v>75</v>
      </c>
    </row>
    <row r="184" spans="1:3" x14ac:dyDescent="0.3">
      <c r="A184" s="25">
        <v>40435</v>
      </c>
      <c r="B184" s="5" t="s">
        <v>61</v>
      </c>
      <c r="C184" s="26">
        <v>68</v>
      </c>
    </row>
    <row r="185" spans="1:3" x14ac:dyDescent="0.3">
      <c r="A185" s="25">
        <v>40436</v>
      </c>
      <c r="B185" s="5" t="s">
        <v>62</v>
      </c>
      <c r="C185" s="26">
        <v>98</v>
      </c>
    </row>
    <row r="186" spans="1:3" x14ac:dyDescent="0.3">
      <c r="A186" s="25">
        <v>40437</v>
      </c>
      <c r="B186" s="5" t="s">
        <v>63</v>
      </c>
      <c r="C186" s="26">
        <v>134</v>
      </c>
    </row>
    <row r="187" spans="1:3" x14ac:dyDescent="0.3">
      <c r="A187" s="25">
        <v>40438</v>
      </c>
      <c r="B187" s="5" t="s">
        <v>64</v>
      </c>
      <c r="C187" s="26">
        <v>84</v>
      </c>
    </row>
    <row r="188" spans="1:3" x14ac:dyDescent="0.3">
      <c r="A188" s="25">
        <v>40439</v>
      </c>
      <c r="B188" s="5" t="s">
        <v>65</v>
      </c>
      <c r="C188" s="26">
        <v>155</v>
      </c>
    </row>
    <row r="189" spans="1:3" x14ac:dyDescent="0.3">
      <c r="A189" s="25">
        <v>40440</v>
      </c>
      <c r="B189" s="5" t="s">
        <v>66</v>
      </c>
      <c r="C189" s="26">
        <v>146</v>
      </c>
    </row>
    <row r="190" spans="1:3" x14ac:dyDescent="0.3">
      <c r="A190" s="25">
        <v>40441</v>
      </c>
      <c r="B190" s="5" t="s">
        <v>67</v>
      </c>
      <c r="C190" s="26">
        <v>110</v>
      </c>
    </row>
    <row r="191" spans="1:3" x14ac:dyDescent="0.3">
      <c r="A191" s="25">
        <v>40442</v>
      </c>
      <c r="B191" s="5" t="s">
        <v>68</v>
      </c>
      <c r="C191" s="26">
        <v>139</v>
      </c>
    </row>
    <row r="192" spans="1:3" x14ac:dyDescent="0.3">
      <c r="A192" s="25">
        <v>40443</v>
      </c>
      <c r="B192" s="5" t="s">
        <v>69</v>
      </c>
      <c r="C192" s="26">
        <v>68</v>
      </c>
    </row>
    <row r="193" spans="1:3" x14ac:dyDescent="0.3">
      <c r="A193" s="25">
        <v>40444</v>
      </c>
      <c r="B193" s="5" t="s">
        <v>70</v>
      </c>
      <c r="C193" s="26">
        <v>131</v>
      </c>
    </row>
    <row r="194" spans="1:3" x14ac:dyDescent="0.3">
      <c r="A194" s="25">
        <v>40445</v>
      </c>
      <c r="B194" s="5" t="s">
        <v>56</v>
      </c>
      <c r="C194" s="26">
        <v>141</v>
      </c>
    </row>
    <row r="195" spans="1:3" x14ac:dyDescent="0.3">
      <c r="A195" s="25">
        <v>40446</v>
      </c>
      <c r="B195" s="5" t="s">
        <v>57</v>
      </c>
      <c r="C195" s="26">
        <v>50</v>
      </c>
    </row>
    <row r="196" spans="1:3" x14ac:dyDescent="0.3">
      <c r="A196" s="25">
        <v>40447</v>
      </c>
      <c r="B196" s="5" t="s">
        <v>58</v>
      </c>
      <c r="C196" s="26">
        <v>65</v>
      </c>
    </row>
    <row r="197" spans="1:3" x14ac:dyDescent="0.3">
      <c r="A197" s="25">
        <v>40448</v>
      </c>
      <c r="B197" s="5" t="s">
        <v>59</v>
      </c>
      <c r="C197" s="26">
        <v>126</v>
      </c>
    </row>
    <row r="198" spans="1:3" x14ac:dyDescent="0.3">
      <c r="A198" s="25">
        <v>40449</v>
      </c>
      <c r="B198" s="5" t="s">
        <v>39</v>
      </c>
      <c r="C198" s="26">
        <v>117</v>
      </c>
    </row>
    <row r="199" spans="1:3" x14ac:dyDescent="0.3">
      <c r="A199" s="25">
        <v>40450</v>
      </c>
      <c r="B199" s="5" t="s">
        <v>60</v>
      </c>
      <c r="C199" s="26">
        <v>57</v>
      </c>
    </row>
    <row r="200" spans="1:3" x14ac:dyDescent="0.3">
      <c r="A200" s="25">
        <v>40451</v>
      </c>
      <c r="B200" s="5" t="s">
        <v>61</v>
      </c>
      <c r="C200" s="26">
        <v>146</v>
      </c>
    </row>
    <row r="201" spans="1:3" x14ac:dyDescent="0.3">
      <c r="A201" s="25">
        <v>40452</v>
      </c>
      <c r="B201" s="5" t="s">
        <v>62</v>
      </c>
      <c r="C201" s="26">
        <v>159</v>
      </c>
    </row>
    <row r="202" spans="1:3" x14ac:dyDescent="0.3">
      <c r="A202" s="25">
        <v>40453</v>
      </c>
      <c r="B202" s="5" t="s">
        <v>63</v>
      </c>
      <c r="C202" s="26">
        <v>80</v>
      </c>
    </row>
    <row r="203" spans="1:3" x14ac:dyDescent="0.3">
      <c r="A203" s="25">
        <v>40454</v>
      </c>
      <c r="B203" s="5" t="s">
        <v>64</v>
      </c>
      <c r="C203" s="26">
        <v>132</v>
      </c>
    </row>
    <row r="204" spans="1:3" x14ac:dyDescent="0.3">
      <c r="A204" s="25">
        <v>40455</v>
      </c>
      <c r="B204" s="5" t="s">
        <v>65</v>
      </c>
      <c r="C204" s="26">
        <v>60</v>
      </c>
    </row>
    <row r="205" spans="1:3" x14ac:dyDescent="0.3">
      <c r="A205" s="25">
        <v>40456</v>
      </c>
      <c r="B205" s="5" t="s">
        <v>66</v>
      </c>
      <c r="C205" s="26">
        <v>116</v>
      </c>
    </row>
    <row r="206" spans="1:3" x14ac:dyDescent="0.3">
      <c r="A206" s="25">
        <v>40457</v>
      </c>
      <c r="B206" s="5" t="s">
        <v>67</v>
      </c>
      <c r="C206" s="26">
        <v>132</v>
      </c>
    </row>
    <row r="207" spans="1:3" x14ac:dyDescent="0.3">
      <c r="A207" s="25">
        <v>40458</v>
      </c>
      <c r="B207" s="5" t="s">
        <v>68</v>
      </c>
      <c r="C207" s="26">
        <v>143</v>
      </c>
    </row>
    <row r="208" spans="1:3" x14ac:dyDescent="0.3">
      <c r="A208" s="30">
        <v>40459</v>
      </c>
      <c r="B208" s="31" t="s">
        <v>69</v>
      </c>
      <c r="C208" s="32">
        <v>146</v>
      </c>
    </row>
  </sheetData>
  <pageMargins left="0.7" right="0.7" top="0.75" bottom="0.75" header="0.3" footer="0.3"/>
  <pageSetup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Q1</vt:lpstr>
      <vt:lpstr>Q2</vt:lpstr>
      <vt:lpstr>Q3</vt:lpstr>
      <vt:lpstr>Q4</vt:lpstr>
      <vt:lpstr>Q5</vt:lpstr>
      <vt:lpstr>Apr</vt:lpstr>
      <vt:lpstr>Aug</vt:lpstr>
      <vt:lpstr>Dec</vt:lpstr>
      <vt:lpstr>Feb</vt:lpstr>
      <vt:lpstr>Jan</vt:lpstr>
      <vt:lpstr>Jul</vt:lpstr>
      <vt:lpstr>Jun</vt:lpstr>
      <vt:lpstr>Mar</vt:lpstr>
      <vt:lpstr>May</vt:lpstr>
      <vt:lpstr>Nov</vt:lpstr>
      <vt:lpstr>Oct</vt:lpstr>
      <vt:lpstr>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2011-10-27T00:35:32Z</dcterms:created>
  <dcterms:modified xsi:type="dcterms:W3CDTF">2026-01-27T12:16:03Z</dcterms:modified>
</cp:coreProperties>
</file>