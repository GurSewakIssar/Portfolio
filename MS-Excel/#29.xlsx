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90769603-9B6C-4CFE-83BC-81E099805D9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6" r:id="rId1"/>
    <sheet name="Q2" sheetId="15" r:id="rId2"/>
    <sheet name="Q3" sheetId="18" r:id="rId3"/>
    <sheet name="Q4" sheetId="14" r:id="rId4"/>
    <sheet name="Q5" sheetId="17" r:id="rId5"/>
  </sheets>
  <externalReferences>
    <externalReference r:id="rId6"/>
    <externalReference r:id="rId7"/>
    <externalReference r:id="rId8"/>
  </externalReferences>
  <definedNames>
    <definedName name="CARS">{"Chevy",20000;"Ford",25000;"GMC",27500}</definedName>
    <definedName name="date">'[1]Sum PRo'!$D$1:$I$1</definedName>
    <definedName name="file">'[1]Sum PRo'!$C$26:$C$30</definedName>
    <definedName name="jj">#REF!</definedName>
    <definedName name="jos">[2]countifs!$N$5:$N$10</definedName>
    <definedName name="KK">'[1]Look Ups'!$A$1:$O$21</definedName>
    <definedName name="KL">'[1]Look Ups'!$A$1:$O$1</definedName>
    <definedName name="list1">[2]Data!$C$3:$C$9</definedName>
    <definedName name="max">[2]countifs!$M$5:$M$9</definedName>
    <definedName name="orange">[1]Sheet4!$I$22:$I$25</definedName>
    <definedName name="pk">[3]SUMPRO!$C$26:$C$30</definedName>
    <definedName name="ProTable">{"KDH424",7;"GRE794",9;"INU296",11;"ZXN634",9;"DBC179",15;"ELV363",11;"OHT863",19;"DNE706",13;"VNI263",23;"REU721",25;"GAI164",27;"TFV997",17;"WCB364",31;"QRT892",33;"GBA996",35;"YAB910",37;"XZN929",39;"AYJ578",41;"DEA685",43;"STC672",25;"QRK701",47}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4" l="1"/>
  <c r="E5" i="14"/>
  <c r="E6" i="14"/>
  <c r="E7" i="14"/>
  <c r="E3" i="14"/>
  <c r="N3" i="18" a="1"/>
  <c r="N3" i="18"/>
  <c r="N4" i="18" a="1"/>
  <c r="N4" i="18"/>
  <c r="N5" i="18" a="1"/>
  <c r="N5" i="18"/>
  <c r="N6" i="18" a="1"/>
  <c r="N6" i="18"/>
  <c r="N7" i="18" a="1"/>
  <c r="N7" i="18"/>
  <c r="N8" i="18" a="1"/>
  <c r="N8" i="18"/>
  <c r="N9" i="18" a="1"/>
  <c r="N9" i="18"/>
  <c r="N10" i="18" a="1"/>
  <c r="N10" i="18"/>
  <c r="N11" i="18" a="1"/>
  <c r="N11" i="18"/>
  <c r="N12" i="18" a="1"/>
  <c r="N12" i="18"/>
  <c r="N13" i="18" a="1"/>
  <c r="N13" i="18"/>
  <c r="N14" i="18" a="1"/>
  <c r="N14" i="18"/>
  <c r="N15" i="18" a="1"/>
  <c r="N15" i="18"/>
  <c r="N16" i="18" a="1"/>
  <c r="N16" i="18"/>
  <c r="N17" i="18" a="1"/>
  <c r="N17" i="18"/>
  <c r="N18" i="18" a="1"/>
  <c r="N18" i="18"/>
  <c r="N19" i="18" a="1"/>
  <c r="N19" i="18"/>
  <c r="N20" i="18" a="1"/>
  <c r="N20" i="18"/>
  <c r="N21" i="18" a="1"/>
  <c r="N21" i="18"/>
  <c r="N22" i="18" a="1"/>
  <c r="N22" i="18"/>
  <c r="N23" i="18" a="1"/>
  <c r="N23" i="18"/>
  <c r="N24" i="18" a="1"/>
  <c r="N24" i="18"/>
  <c r="N25" i="18" a="1"/>
  <c r="N25" i="18"/>
  <c r="N26" i="18" a="1"/>
  <c r="N26" i="18"/>
  <c r="N27" i="18" a="1"/>
  <c r="N27" i="18"/>
  <c r="N28" i="18" a="1"/>
  <c r="N28" i="18"/>
  <c r="N29" i="18" a="1"/>
  <c r="N29" i="18"/>
  <c r="N30" i="18" a="1"/>
  <c r="N30" i="18"/>
  <c r="N31" i="18" a="1"/>
  <c r="N31" i="18"/>
  <c r="N32" i="18" a="1"/>
  <c r="N32" i="18"/>
  <c r="N33" i="18" a="1"/>
  <c r="N33" i="18"/>
  <c r="N34" i="18" a="1"/>
  <c r="N34" i="18"/>
  <c r="N35" i="18" a="1"/>
  <c r="N35" i="18"/>
  <c r="N36" i="18" a="1"/>
  <c r="N36" i="18"/>
  <c r="N37" i="18" a="1"/>
  <c r="N37" i="18"/>
  <c r="N2" i="18" a="1"/>
  <c r="N2" i="18" s="1"/>
  <c r="E12" i="15" a="1"/>
  <c r="E12" i="15" s="1"/>
  <c r="H3" i="16"/>
  <c r="H4" i="16"/>
  <c r="H5" i="16"/>
  <c r="H6" i="16"/>
  <c r="H7" i="16"/>
  <c r="H8" i="16"/>
  <c r="H9" i="16"/>
  <c r="H10" i="16"/>
  <c r="H2" i="16"/>
  <c r="G3" i="16" a="1"/>
  <c r="G3" i="16"/>
  <c r="G4" i="16" a="1"/>
  <c r="G4" i="16"/>
  <c r="G5" i="16" a="1"/>
  <c r="G5" i="16"/>
  <c r="G6" i="16" a="1"/>
  <c r="G6" i="16"/>
  <c r="G7" i="16" a="1"/>
  <c r="G7" i="16"/>
  <c r="G8" i="16" a="1"/>
  <c r="G8" i="16"/>
  <c r="G9" i="16" a="1"/>
  <c r="G9" i="16"/>
  <c r="G10" i="16" a="1"/>
  <c r="G10" i="16"/>
  <c r="G2" i="16" a="1"/>
  <c r="G2" i="16" s="1"/>
  <c r="B4" i="14"/>
  <c r="C4" i="14"/>
  <c r="C5" i="14"/>
  <c r="C6" i="14"/>
  <c r="C7" i="14"/>
  <c r="C3" i="14"/>
  <c r="J3" i="18" a="1"/>
  <c r="J3" i="18"/>
  <c r="J4" i="18" a="1"/>
  <c r="J4" i="18"/>
  <c r="J5" i="18" a="1"/>
  <c r="J5" i="18"/>
  <c r="J6" i="18" a="1"/>
  <c r="J6" i="18"/>
  <c r="J7" i="18" a="1"/>
  <c r="J7" i="18"/>
  <c r="J8" i="18" a="1"/>
  <c r="J8" i="18"/>
  <c r="J9" i="18" a="1"/>
  <c r="J9" i="18"/>
  <c r="J10" i="18" a="1"/>
  <c r="J10" i="18"/>
  <c r="J11" i="18" a="1"/>
  <c r="J11" i="18"/>
  <c r="J12" i="18" a="1"/>
  <c r="J12" i="18"/>
  <c r="J13" i="18" a="1"/>
  <c r="J13" i="18"/>
  <c r="J14" i="18" a="1"/>
  <c r="J14" i="18"/>
  <c r="J15" i="18" a="1"/>
  <c r="J15" i="18"/>
  <c r="J16" i="18" a="1"/>
  <c r="J16" i="18"/>
  <c r="J17" i="18" a="1"/>
  <c r="J17" i="18"/>
  <c r="J18" i="18" a="1"/>
  <c r="J18" i="18"/>
  <c r="J19" i="18" a="1"/>
  <c r="J19" i="18"/>
  <c r="J20" i="18" a="1"/>
  <c r="J20" i="18"/>
  <c r="J21" i="18" a="1"/>
  <c r="J21" i="18"/>
  <c r="J22" i="18" a="1"/>
  <c r="J22" i="18"/>
  <c r="J23" i="18" a="1"/>
  <c r="J23" i="18"/>
  <c r="J24" i="18" a="1"/>
  <c r="J24" i="18"/>
  <c r="J25" i="18" a="1"/>
  <c r="J25" i="18"/>
  <c r="J26" i="18" a="1"/>
  <c r="J26" i="18"/>
  <c r="J27" i="18" a="1"/>
  <c r="J27" i="18"/>
  <c r="J28" i="18" a="1"/>
  <c r="J28" i="18"/>
  <c r="J29" i="18" a="1"/>
  <c r="J29" i="18"/>
  <c r="J30" i="18" a="1"/>
  <c r="J30" i="18"/>
  <c r="J31" i="18" a="1"/>
  <c r="J31" i="18"/>
  <c r="J32" i="18" a="1"/>
  <c r="J32" i="18"/>
  <c r="J33" i="18" a="1"/>
  <c r="J33" i="18"/>
  <c r="J34" i="18" a="1"/>
  <c r="J34" i="18"/>
  <c r="J35" i="18" a="1"/>
  <c r="J35" i="18"/>
  <c r="J36" i="18" a="1"/>
  <c r="J36" i="18"/>
  <c r="J37" i="18" a="1"/>
  <c r="J37" i="18"/>
  <c r="J2" i="18" a="1"/>
  <c r="J2" i="18"/>
  <c r="D15" i="15" a="1"/>
  <c r="D15" i="15" s="1"/>
  <c r="D14" i="15"/>
  <c r="B2" i="16"/>
  <c r="B4" i="16"/>
  <c r="B3" i="16"/>
  <c r="B10" i="16"/>
  <c r="E2" i="16"/>
  <c r="D3" i="16" a="1"/>
  <c r="D3" i="16"/>
  <c r="D4" i="16" a="1"/>
  <c r="D4" i="16"/>
  <c r="D5" i="16" a="1"/>
  <c r="D5" i="16"/>
  <c r="D6" i="16" a="1"/>
  <c r="D6" i="16"/>
  <c r="D7" i="16" a="1"/>
  <c r="D7" i="16"/>
  <c r="D8" i="16" a="1"/>
  <c r="D8" i="16"/>
  <c r="D9" i="16" a="1"/>
  <c r="D9" i="16"/>
  <c r="D10" i="16" a="1"/>
  <c r="D10" i="16" s="1"/>
  <c r="C3" i="16" a="1"/>
  <c r="C3" i="16"/>
  <c r="C4" i="16" a="1"/>
  <c r="C4" i="16"/>
  <c r="C5" i="16" a="1"/>
  <c r="C5" i="16"/>
  <c r="C6" i="16" a="1"/>
  <c r="C6" i="16"/>
  <c r="C7" i="16" a="1"/>
  <c r="C7" i="16"/>
  <c r="C8" i="16" a="1"/>
  <c r="C8" i="16"/>
  <c r="C9" i="16" a="1"/>
  <c r="C9" i="16"/>
  <c r="C10" i="16" a="1"/>
  <c r="C10" i="16" s="1"/>
  <c r="D2" i="16" a="1"/>
  <c r="D2" i="16" s="1"/>
  <c r="C2" i="16" a="1"/>
  <c r="C2" i="16" s="1"/>
  <c r="B3" i="14"/>
  <c r="B5" i="14"/>
  <c r="B6" i="14"/>
  <c r="B7" i="14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2" i="18"/>
  <c r="B5" i="16"/>
  <c r="B6" i="16"/>
  <c r="B7" i="16"/>
  <c r="B8" i="16"/>
  <c r="B9" i="16"/>
  <c r="D11" i="15" a="1"/>
  <c r="D11" i="15" s="1"/>
  <c r="D12" i="15" s="1"/>
  <c r="E5" i="15"/>
  <c r="E9" i="15" s="1"/>
  <c r="E6" i="15"/>
  <c r="E7" i="15"/>
  <c r="E8" i="15"/>
  <c r="E4" i="15"/>
  <c r="C12" i="1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<sst xmlns="http://schemas.openxmlformats.org/spreadsheetml/2006/main" count="86" uniqueCount="80">
  <si>
    <t>Result</t>
  </si>
  <si>
    <t>Original date</t>
  </si>
  <si>
    <t>Name</t>
  </si>
  <si>
    <t>Change</t>
  </si>
  <si>
    <t>Max Improvement</t>
  </si>
  <si>
    <t>Data</t>
  </si>
  <si>
    <t>Anupriya Karan Dixit</t>
  </si>
  <si>
    <t>Anamika Vats Ambar</t>
  </si>
  <si>
    <t>Aakansha Deepak Singh</t>
  </si>
  <si>
    <t>Suhani Suman Sinha</t>
  </si>
  <si>
    <t>Vibhuti Gaurav Goel</t>
  </si>
  <si>
    <t>Rohit Sarika Majumdar</t>
  </si>
  <si>
    <t>Rohanpree Reema Sharma</t>
  </si>
  <si>
    <t>Sarthak Sunaina Jain</t>
  </si>
  <si>
    <t>Extract Middle Name(Without using MID Function)</t>
  </si>
  <si>
    <t>Tanya Tarun Garg</t>
  </si>
  <si>
    <t>Sales 2019</t>
  </si>
  <si>
    <t>Sales 2020</t>
  </si>
  <si>
    <t>Gaurav Bhatia</t>
  </si>
  <si>
    <t>Sunil Kumar</t>
  </si>
  <si>
    <t>Surajit Sardar</t>
  </si>
  <si>
    <t>Puran Singh</t>
  </si>
  <si>
    <t>Rajesh Singh</t>
  </si>
  <si>
    <t>marketing</t>
  </si>
  <si>
    <t>Cost A/C</t>
  </si>
  <si>
    <t>Eco</t>
  </si>
  <si>
    <t>B.Law</t>
  </si>
  <si>
    <t>Com.App</t>
  </si>
  <si>
    <t>Todal</t>
  </si>
  <si>
    <t>Percentage</t>
  </si>
  <si>
    <t>Deeksha Agrawal</t>
  </si>
  <si>
    <t>Heman Gusain</t>
  </si>
  <si>
    <t>Vikram Kumar</t>
  </si>
  <si>
    <t>Ekanshika Kalra</t>
  </si>
  <si>
    <t>Rav Kumar</t>
  </si>
  <si>
    <t>Manpreet Kaur</t>
  </si>
  <si>
    <t>Sandeep Aswal</t>
  </si>
  <si>
    <t>Ayushi Patel</t>
  </si>
  <si>
    <t>Nadeem Ahmed</t>
  </si>
  <si>
    <t>Archana Kumari</t>
  </si>
  <si>
    <t>Rakesh Singh</t>
  </si>
  <si>
    <t>Asihwarya Ambasta</t>
  </si>
  <si>
    <t>Meenav Shah</t>
  </si>
  <si>
    <t>Karan Kapoor</t>
  </si>
  <si>
    <t>Shivam Daksh</t>
  </si>
  <si>
    <t>Banda Satyanarayana</t>
  </si>
  <si>
    <t>Harish Tote</t>
  </si>
  <si>
    <t>Ajay Singh</t>
  </si>
  <si>
    <t>Ajinkya Shinde</t>
  </si>
  <si>
    <t>Kishor Panara</t>
  </si>
  <si>
    <t>Prashant Pnajabi</t>
  </si>
  <si>
    <t>Vandan Dave</t>
  </si>
  <si>
    <t>Rakesh Ky</t>
  </si>
  <si>
    <t>Aftab Alam</t>
  </si>
  <si>
    <t>Sanjay Chaurasia</t>
  </si>
  <si>
    <t>Ubaidillah Muhammad</t>
  </si>
  <si>
    <t>Pavan Kumar</t>
  </si>
  <si>
    <t>Narayan Lohar</t>
  </si>
  <si>
    <t>Anil Hoge</t>
  </si>
  <si>
    <t>Rajnikant Kamble</t>
  </si>
  <si>
    <t>Raj Kumar</t>
  </si>
  <si>
    <t>Vicky Singh</t>
  </si>
  <si>
    <t>Aakanksha Srivastava</t>
  </si>
  <si>
    <t>Mahboob Hossain</t>
  </si>
  <si>
    <t>TEST</t>
  </si>
  <si>
    <t>status</t>
  </si>
  <si>
    <t>PASS</t>
  </si>
  <si>
    <t>Marks equal or above 30 in all subjects</t>
  </si>
  <si>
    <t>If Marks equal or less than 30 in 2 subjects</t>
  </si>
  <si>
    <t>ER</t>
  </si>
  <si>
    <t>FAIL</t>
  </si>
  <si>
    <t>If Marks less than 30 in more than 2 subjects</t>
  </si>
  <si>
    <t>AMIT</t>
  </si>
  <si>
    <t>Show  the biggest improvement using standard and array function method</t>
  </si>
  <si>
    <t>Replacing part of a date(i.e. instead of Month -Nov)</t>
  </si>
  <si>
    <t>All caps (Upper)</t>
  </si>
  <si>
    <t>Restrict user to Allow TEXT Entry  (Upper Case only)</t>
  </si>
  <si>
    <t>OK</t>
  </si>
  <si>
    <t>FEM</t>
  </si>
  <si>
    <t>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</si>
</sst>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AEAEA"/>
        <bgColor indexed="64"/>
      </patternFill>
    </fill>
  </fills>
  <borders count="18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/>
      <top/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5" fontId="0" fillId="0" borderId="3" xfId="0" applyNumberFormat="1" applyBorder="1"/>
    <xf numFmtId="165" fontId="0" fillId="0" borderId="1" xfId="0" applyNumberFormat="1" applyBorder="1"/>
    <xf numFmtId="165" fontId="0" fillId="0" borderId="4" xfId="0" applyNumberFormat="1" applyBorder="1"/>
    <xf numFmtId="0" fontId="7" fillId="4" borderId="6" xfId="0" applyFont="1" applyFill="1" applyBorder="1"/>
    <xf numFmtId="0" fontId="7" fillId="4" borderId="8" xfId="0" applyFont="1" applyFill="1" applyBorder="1"/>
    <xf numFmtId="0" fontId="0" fillId="0" borderId="6" xfId="0" applyBorder="1"/>
    <xf numFmtId="164" fontId="6" fillId="0" borderId="7" xfId="5" applyFont="1" applyBorder="1"/>
    <xf numFmtId="0" fontId="6" fillId="0" borderId="6" xfId="5" applyNumberFormat="1" applyFont="1" applyBorder="1"/>
    <xf numFmtId="0" fontId="6" fillId="5" borderId="6" xfId="5" applyNumberFormat="1" applyFont="1" applyFill="1" applyBorder="1"/>
    <xf numFmtId="0" fontId="0" fillId="6" borderId="6" xfId="0" applyFill="1" applyBorder="1" applyAlignment="1">
      <alignment horizontal="center" vertical="center"/>
    </xf>
    <xf numFmtId="0" fontId="2" fillId="7" borderId="9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2" fontId="0" fillId="0" borderId="6" xfId="0" applyNumberFormat="1" applyBorder="1" applyProtection="1">
      <protection locked="0"/>
    </xf>
    <xf numFmtId="0" fontId="0" fillId="0" borderId="14" xfId="0" applyBorder="1"/>
    <xf numFmtId="0" fontId="0" fillId="0" borderId="0" xfId="0" quotePrefix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2" fontId="0" fillId="0" borderId="17" xfId="0" applyNumberFormat="1" applyBorder="1" applyProtection="1"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6" xfId="0" applyFont="1" applyBorder="1" applyProtection="1">
      <protection locked="0"/>
    </xf>
    <xf numFmtId="0" fontId="0" fillId="0" borderId="6" xfId="0" applyBorder="1" applyProtection="1">
      <protection locked="0"/>
    </xf>
    <xf numFmtId="0" fontId="0" fillId="3" borderId="0" xfId="0" applyFill="1"/>
    <xf numFmtId="0" fontId="0" fillId="3" borderId="0" xfId="0" applyFill="1" applyAlignment="1">
      <alignment horizontal="centerContinuous" wrapText="1"/>
    </xf>
    <xf numFmtId="0" fontId="2" fillId="3" borderId="0" xfId="0" applyFont="1" applyFill="1" applyAlignment="1">
      <alignment horizontal="centerContinuous" wrapText="1"/>
    </xf>
    <xf numFmtId="164" fontId="0" fillId="5" borderId="6" xfId="0" applyNumberFormat="1" applyFill="1" applyBorder="1"/>
    <xf numFmtId="0" fontId="2" fillId="0" borderId="0" xfId="0" applyFont="1"/>
    <xf numFmtId="0" fontId="2" fillId="0" borderId="5" xfId="0" applyFont="1" applyBorder="1" applyAlignment="1">
      <alignment horizontal="center"/>
    </xf>
  </cellXfs>
  <cellStyles count="6">
    <cellStyle name="Currency" xfId="5" builtinId="4"/>
    <cellStyle name="Hyperlink 2" xfId="1" xr:uid="{00000000-0005-0000-0000-000001000000}"/>
    <cellStyle name="Hyperlink 3" xfId="3" xr:uid="{162AE36B-EE4C-4F6D-88AC-7E38A4D3D2C3}"/>
    <cellStyle name="Normal" xfId="0" builtinId="0"/>
    <cellStyle name="Normal 3" xfId="2" xr:uid="{E2A9C0FA-F058-4AB1-93A6-64B74BC71FC5}"/>
    <cellStyle name="Normal 3 2" xfId="4" xr:uid="{62F57113-21E1-4F38-BD3F-3AA9E77EA9DA}"/>
  </cellStyles>
  <dxfs count="0"/>
  <tableStyles count="0" defaultTableStyle="TableStyleLight1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24</xdr:row>
      <xdr:rowOff>9525</xdr:rowOff>
    </xdr:from>
    <xdr:to>
      <xdr:col>2</xdr:col>
      <xdr:colOff>514350</xdr:colOff>
      <xdr:row>25</xdr:row>
      <xdr:rowOff>123825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56A6B88D-6EA8-46D1-9620-8E955CA53E0B}"/>
            </a:ext>
          </a:extLst>
        </xdr:cNvPr>
        <xdr:cNvSpPr/>
      </xdr:nvSpPr>
      <xdr:spPr>
        <a:xfrm>
          <a:off x="2000250" y="4581525"/>
          <a:ext cx="1143000" cy="304800"/>
        </a:xfrm>
        <a:prstGeom prst="rightArrow">
          <a:avLst/>
        </a:prstGeom>
        <a:ln>
          <a:solidFill>
            <a:schemeClr val="accent5">
              <a:lumMod val="75000"/>
            </a:schemeClr>
          </a:solidFill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MIS%20INTERVIEW%20PREPARATION\INTERVIEW%20Q\SOLVED%20MORE%20Q\BestExcelPracti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FS/GCS%20Monitoring/MAX/Max%20Class/Copy%20of%2011th%20Au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IP_TMs/IP_TMs/Krishanraj%20sahani/Data%20Collection%20With%20Excel%20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's short keys"/>
      <sheetName val="extra shorts"/>
      <sheetName val="Ctl's Short keys"/>
      <sheetName val="Find Day"/>
      <sheetName val="Time Calculation"/>
      <sheetName val="Blank to value"/>
      <sheetName val="Mail id extract 1"/>
      <sheetName val="Freezing Rules"/>
      <sheetName val="Mail id extract 2"/>
      <sheetName val="EXCEPTIONS"/>
      <sheetName val="Adding function"/>
      <sheetName val="Shrink to Fit"/>
      <sheetName val="Text Direction"/>
      <sheetName val="Attendence sheet"/>
      <sheetName val="freezing method"/>
      <sheetName val="vlook exmpl"/>
      <sheetName val="replace"/>
      <sheetName val="transpose array"/>
      <sheetName val="micro Practice"/>
      <sheetName val="facts and sumif"/>
      <sheetName val="concatenate 1"/>
      <sheetName val="concatenate 2"/>
      <sheetName val="concatenate 3"/>
      <sheetName val="Sheet4 (2)"/>
      <sheetName val="Look Ups"/>
      <sheetName val="Normal Lookup"/>
      <sheetName val="Sheet1"/>
      <sheetName val="Salary"/>
      <sheetName val="Sum PRo"/>
      <sheetName val="Types of Vlookup"/>
      <sheetName val="Marketing"/>
      <sheetName val="Count if"/>
      <sheetName val="Pivot Table"/>
      <sheetName val="Duplicate Find Out"/>
      <sheetName val="Facts"/>
      <sheetName val="sumpro 2"/>
      <sheetName val="time maintenance"/>
      <sheetName val="Skip Blank"/>
      <sheetName val="LookUp"/>
      <sheetName val="Duplicate By Data validation"/>
      <sheetName val="Proper Data Validation"/>
      <sheetName val="Upper Data validation"/>
      <sheetName val="Data Validatation Work Shop"/>
      <sheetName val="Duplicate by Conditional Format"/>
      <sheetName val="Advance Filter"/>
      <sheetName val="Sumif,sumifs,averageif &amp; Ifs"/>
      <sheetName val="Adavance left right rules"/>
      <sheetName val="Lookup queries"/>
      <sheetName val="Chart1"/>
      <sheetName val="Conditional fmt. + if condition"/>
      <sheetName val="Wild card char"/>
      <sheetName val="Find"/>
      <sheetName val="Test &amp; match result"/>
      <sheetName val="If conditions"/>
      <sheetName val="Pie Graph-Chart"/>
      <sheetName val="IF,concatenate,if&amp;cond."/>
      <sheetName val="IF,concatenate,if&amp;cond. (2)"/>
      <sheetName val="Holiday-workking days count"/>
      <sheetName val="Index + Match"/>
      <sheetName val="Sheet3"/>
      <sheetName val="PF Count"/>
      <sheetName val="Extract Numeric"/>
      <sheetName val="Ruff Work"/>
      <sheetName val="Ruff work2"/>
      <sheetName val="test"/>
      <sheetName val="Sheet2"/>
      <sheetName val="Sheet1 (2)"/>
      <sheetName val="Sheet4"/>
      <sheetName val="Sheet5"/>
      <sheetName val="Sheet6"/>
      <sheetName val="Sheet7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Enrollment no.</v>
          </cell>
          <cell r="B1" t="str">
            <v>Student name</v>
          </cell>
          <cell r="C1" t="str">
            <v>Marks into</v>
          </cell>
          <cell r="D1" t="str">
            <v>Communication skill</v>
          </cell>
          <cell r="E1" t="str">
            <v>Business strategy</v>
          </cell>
          <cell r="F1" t="str">
            <v>Business behaviour</v>
          </cell>
          <cell r="G1" t="str">
            <v>Marketing management</v>
          </cell>
          <cell r="H1" t="str">
            <v>Marketing research</v>
          </cell>
          <cell r="I1" t="str">
            <v>Total marks</v>
          </cell>
          <cell r="J1" t="str">
            <v>Average</v>
          </cell>
          <cell r="K1" t="str">
            <v>Percentage</v>
          </cell>
          <cell r="L1" t="str">
            <v>Rank</v>
          </cell>
          <cell r="M1" t="str">
            <v>Grade</v>
          </cell>
          <cell r="N1" t="str">
            <v>Maximum marks</v>
          </cell>
          <cell r="O1" t="str">
            <v>Minimum marks</v>
          </cell>
        </row>
        <row r="2">
          <cell r="A2">
            <v>521135245</v>
          </cell>
          <cell r="B2" t="str">
            <v>Rajesh kumar</v>
          </cell>
          <cell r="C2">
            <v>200</v>
          </cell>
          <cell r="D2">
            <v>135</v>
          </cell>
          <cell r="E2">
            <v>123</v>
          </cell>
          <cell r="F2">
            <v>164</v>
          </cell>
          <cell r="G2">
            <v>165</v>
          </cell>
          <cell r="H2">
            <v>98</v>
          </cell>
          <cell r="I2">
            <v>685</v>
          </cell>
          <cell r="J2">
            <v>137</v>
          </cell>
          <cell r="K2">
            <v>68.5</v>
          </cell>
          <cell r="L2">
            <v>15</v>
          </cell>
          <cell r="M2" t="str">
            <v>C</v>
          </cell>
          <cell r="N2">
            <v>165</v>
          </cell>
          <cell r="O2">
            <v>98</v>
          </cell>
        </row>
        <row r="3">
          <cell r="A3">
            <v>521135246</v>
          </cell>
          <cell r="B3" t="str">
            <v>Rajender singh</v>
          </cell>
          <cell r="C3">
            <v>200</v>
          </cell>
          <cell r="D3">
            <v>125</v>
          </cell>
          <cell r="E3">
            <v>156</v>
          </cell>
          <cell r="F3">
            <v>147</v>
          </cell>
          <cell r="G3">
            <v>168</v>
          </cell>
          <cell r="H3">
            <v>165</v>
          </cell>
          <cell r="I3">
            <v>761</v>
          </cell>
          <cell r="J3">
            <v>152.19999999999999</v>
          </cell>
          <cell r="K3">
            <v>76.099999999999994</v>
          </cell>
          <cell r="L3">
            <v>4</v>
          </cell>
          <cell r="M3" t="str">
            <v>B</v>
          </cell>
          <cell r="N3">
            <v>168</v>
          </cell>
          <cell r="O3">
            <v>125</v>
          </cell>
        </row>
        <row r="4">
          <cell r="A4">
            <v>521135247</v>
          </cell>
          <cell r="B4" t="str">
            <v>Ravi gupta</v>
          </cell>
          <cell r="C4">
            <v>200</v>
          </cell>
          <cell r="D4">
            <v>154</v>
          </cell>
          <cell r="E4">
            <v>168</v>
          </cell>
          <cell r="F4">
            <v>123</v>
          </cell>
          <cell r="G4">
            <v>154</v>
          </cell>
          <cell r="H4">
            <v>165</v>
          </cell>
          <cell r="I4">
            <v>764</v>
          </cell>
          <cell r="J4">
            <v>152.80000000000001</v>
          </cell>
          <cell r="K4">
            <v>76.400000000000006</v>
          </cell>
          <cell r="L4">
            <v>3</v>
          </cell>
          <cell r="M4" t="str">
            <v>B</v>
          </cell>
          <cell r="N4">
            <v>168</v>
          </cell>
          <cell r="O4">
            <v>123</v>
          </cell>
        </row>
        <row r="5">
          <cell r="A5">
            <v>521135248</v>
          </cell>
          <cell r="B5" t="str">
            <v>Deepak chauhan</v>
          </cell>
          <cell r="C5">
            <v>200</v>
          </cell>
          <cell r="D5">
            <v>123</v>
          </cell>
          <cell r="E5">
            <v>145</v>
          </cell>
          <cell r="F5">
            <v>142</v>
          </cell>
          <cell r="G5">
            <v>135</v>
          </cell>
          <cell r="H5">
            <v>135</v>
          </cell>
          <cell r="I5">
            <v>680</v>
          </cell>
          <cell r="J5">
            <v>136</v>
          </cell>
          <cell r="K5">
            <v>68</v>
          </cell>
          <cell r="L5">
            <v>16</v>
          </cell>
          <cell r="M5" t="str">
            <v>C</v>
          </cell>
          <cell r="N5">
            <v>145</v>
          </cell>
          <cell r="O5">
            <v>123</v>
          </cell>
        </row>
        <row r="6">
          <cell r="A6">
            <v>521135249</v>
          </cell>
          <cell r="B6" t="str">
            <v>Mahinder verma</v>
          </cell>
          <cell r="C6">
            <v>200</v>
          </cell>
          <cell r="D6">
            <v>135</v>
          </cell>
          <cell r="E6">
            <v>89</v>
          </cell>
          <cell r="F6">
            <v>123</v>
          </cell>
          <cell r="G6">
            <v>124</v>
          </cell>
          <cell r="H6">
            <v>125</v>
          </cell>
          <cell r="I6">
            <v>596</v>
          </cell>
          <cell r="J6">
            <v>119.2</v>
          </cell>
          <cell r="K6">
            <v>59.6</v>
          </cell>
          <cell r="L6">
            <v>20</v>
          </cell>
          <cell r="M6" t="str">
            <v>D</v>
          </cell>
          <cell r="N6">
            <v>135</v>
          </cell>
          <cell r="O6">
            <v>89</v>
          </cell>
        </row>
        <row r="7">
          <cell r="A7">
            <v>521135250</v>
          </cell>
          <cell r="B7" t="str">
            <v>Sanjay singhaniya</v>
          </cell>
          <cell r="C7">
            <v>200</v>
          </cell>
          <cell r="D7">
            <v>165</v>
          </cell>
          <cell r="E7">
            <v>154</v>
          </cell>
          <cell r="F7">
            <v>154</v>
          </cell>
          <cell r="G7">
            <v>124</v>
          </cell>
          <cell r="H7">
            <v>98</v>
          </cell>
          <cell r="I7">
            <v>695</v>
          </cell>
          <cell r="J7">
            <v>139</v>
          </cell>
          <cell r="K7">
            <v>69.5</v>
          </cell>
          <cell r="L7">
            <v>14</v>
          </cell>
          <cell r="M7" t="str">
            <v>C</v>
          </cell>
          <cell r="N7">
            <v>165</v>
          </cell>
          <cell r="O7">
            <v>98</v>
          </cell>
        </row>
        <row r="8">
          <cell r="A8">
            <v>521135251</v>
          </cell>
          <cell r="B8" t="str">
            <v>Veer sing</v>
          </cell>
          <cell r="C8">
            <v>200</v>
          </cell>
          <cell r="D8">
            <v>158</v>
          </cell>
          <cell r="E8">
            <v>156</v>
          </cell>
          <cell r="F8">
            <v>152</v>
          </cell>
          <cell r="G8">
            <v>135</v>
          </cell>
          <cell r="H8">
            <v>68</v>
          </cell>
          <cell r="I8">
            <v>669</v>
          </cell>
          <cell r="J8">
            <v>133.80000000000001</v>
          </cell>
          <cell r="K8">
            <v>66.900000000000006</v>
          </cell>
          <cell r="L8">
            <v>17</v>
          </cell>
          <cell r="M8" t="str">
            <v>C</v>
          </cell>
          <cell r="N8">
            <v>158</v>
          </cell>
          <cell r="O8">
            <v>68</v>
          </cell>
        </row>
        <row r="9">
          <cell r="A9">
            <v>521135252</v>
          </cell>
          <cell r="B9" t="str">
            <v>Arjun singh</v>
          </cell>
          <cell r="C9">
            <v>200</v>
          </cell>
          <cell r="D9">
            <v>165</v>
          </cell>
          <cell r="E9">
            <v>165</v>
          </cell>
          <cell r="F9">
            <v>123</v>
          </cell>
          <cell r="G9">
            <v>132</v>
          </cell>
          <cell r="H9">
            <v>168</v>
          </cell>
          <cell r="I9">
            <v>753</v>
          </cell>
          <cell r="J9">
            <v>150.6</v>
          </cell>
          <cell r="K9">
            <v>75.3</v>
          </cell>
          <cell r="L9">
            <v>6</v>
          </cell>
          <cell r="M9" t="str">
            <v>B</v>
          </cell>
          <cell r="N9">
            <v>168</v>
          </cell>
          <cell r="O9">
            <v>123</v>
          </cell>
        </row>
        <row r="10">
          <cell r="A10">
            <v>521135253</v>
          </cell>
          <cell r="B10" t="str">
            <v>Karan kumar</v>
          </cell>
          <cell r="C10">
            <v>200</v>
          </cell>
          <cell r="D10">
            <v>168</v>
          </cell>
          <cell r="E10">
            <v>189</v>
          </cell>
          <cell r="F10">
            <v>125</v>
          </cell>
          <cell r="G10">
            <v>165</v>
          </cell>
          <cell r="H10">
            <v>165</v>
          </cell>
          <cell r="I10">
            <v>812</v>
          </cell>
          <cell r="J10">
            <v>162.4</v>
          </cell>
          <cell r="K10">
            <v>81.2</v>
          </cell>
          <cell r="L10">
            <v>1</v>
          </cell>
          <cell r="M10" t="str">
            <v>A</v>
          </cell>
          <cell r="N10">
            <v>189</v>
          </cell>
          <cell r="O10">
            <v>125</v>
          </cell>
        </row>
        <row r="11">
          <cell r="A11">
            <v>521135254</v>
          </cell>
          <cell r="B11" t="str">
            <v>Krishanraj</v>
          </cell>
          <cell r="C11">
            <v>200</v>
          </cell>
          <cell r="D11">
            <v>184</v>
          </cell>
          <cell r="E11">
            <v>174</v>
          </cell>
          <cell r="F11">
            <v>111</v>
          </cell>
          <cell r="G11">
            <v>154</v>
          </cell>
          <cell r="H11">
            <v>168</v>
          </cell>
          <cell r="I11">
            <v>791</v>
          </cell>
          <cell r="J11">
            <v>158.19999999999999</v>
          </cell>
          <cell r="K11">
            <v>79.099999999999994</v>
          </cell>
          <cell r="L11">
            <v>2</v>
          </cell>
          <cell r="M11" t="str">
            <v>B</v>
          </cell>
          <cell r="N11">
            <v>184</v>
          </cell>
          <cell r="O11">
            <v>111</v>
          </cell>
        </row>
        <row r="12">
          <cell r="A12">
            <v>521135255</v>
          </cell>
          <cell r="B12" t="str">
            <v>Varun sharma</v>
          </cell>
          <cell r="C12">
            <v>200</v>
          </cell>
          <cell r="D12">
            <v>198</v>
          </cell>
          <cell r="E12">
            <v>145</v>
          </cell>
          <cell r="F12">
            <v>100</v>
          </cell>
          <cell r="G12">
            <v>145</v>
          </cell>
          <cell r="H12">
            <v>168</v>
          </cell>
          <cell r="I12">
            <v>756</v>
          </cell>
          <cell r="J12">
            <v>151.19999999999999</v>
          </cell>
          <cell r="K12">
            <v>75.599999999999994</v>
          </cell>
          <cell r="L12">
            <v>5</v>
          </cell>
          <cell r="M12" t="str">
            <v>B</v>
          </cell>
          <cell r="N12">
            <v>198</v>
          </cell>
          <cell r="O12">
            <v>100</v>
          </cell>
        </row>
        <row r="13">
          <cell r="A13">
            <v>521135256</v>
          </cell>
          <cell r="B13" t="str">
            <v>Vidya malhotra</v>
          </cell>
          <cell r="C13">
            <v>200</v>
          </cell>
          <cell r="D13">
            <v>165</v>
          </cell>
          <cell r="E13">
            <v>165</v>
          </cell>
          <cell r="F13">
            <v>135</v>
          </cell>
          <cell r="G13">
            <v>124</v>
          </cell>
          <cell r="H13">
            <v>145</v>
          </cell>
          <cell r="I13">
            <v>734</v>
          </cell>
          <cell r="J13">
            <v>146.80000000000001</v>
          </cell>
          <cell r="K13">
            <v>73.400000000000006</v>
          </cell>
          <cell r="L13">
            <v>8</v>
          </cell>
          <cell r="M13" t="str">
            <v>B</v>
          </cell>
          <cell r="N13">
            <v>165</v>
          </cell>
          <cell r="O13">
            <v>124</v>
          </cell>
        </row>
        <row r="14">
          <cell r="A14">
            <v>521135257</v>
          </cell>
          <cell r="B14" t="str">
            <v>Deep singh</v>
          </cell>
          <cell r="C14">
            <v>200</v>
          </cell>
          <cell r="D14">
            <v>158</v>
          </cell>
          <cell r="E14">
            <v>175</v>
          </cell>
          <cell r="F14">
            <v>99</v>
          </cell>
          <cell r="G14">
            <v>134</v>
          </cell>
          <cell r="H14">
            <v>135</v>
          </cell>
          <cell r="I14">
            <v>701</v>
          </cell>
          <cell r="J14">
            <v>140.19999999999999</v>
          </cell>
          <cell r="K14">
            <v>70.099999999999994</v>
          </cell>
          <cell r="L14">
            <v>11</v>
          </cell>
          <cell r="M14" t="str">
            <v>B</v>
          </cell>
          <cell r="N14">
            <v>175</v>
          </cell>
          <cell r="O14">
            <v>99</v>
          </cell>
        </row>
        <row r="15">
          <cell r="A15">
            <v>521135258</v>
          </cell>
          <cell r="B15" t="str">
            <v>Sourav choudary</v>
          </cell>
          <cell r="C15">
            <v>200</v>
          </cell>
          <cell r="D15">
            <v>148</v>
          </cell>
          <cell r="E15">
            <v>168</v>
          </cell>
          <cell r="F15">
            <v>165</v>
          </cell>
          <cell r="G15">
            <v>125</v>
          </cell>
          <cell r="H15">
            <v>135</v>
          </cell>
          <cell r="I15">
            <v>741</v>
          </cell>
          <cell r="J15">
            <v>148.19999999999999</v>
          </cell>
          <cell r="K15">
            <v>74.099999999999994</v>
          </cell>
          <cell r="L15">
            <v>7</v>
          </cell>
          <cell r="M15" t="str">
            <v>B</v>
          </cell>
          <cell r="N15">
            <v>168</v>
          </cell>
          <cell r="O15">
            <v>125</v>
          </cell>
        </row>
        <row r="16">
          <cell r="A16">
            <v>521135259</v>
          </cell>
          <cell r="B16" t="str">
            <v>Dipender kaur</v>
          </cell>
          <cell r="C16">
            <v>200</v>
          </cell>
          <cell r="D16">
            <v>132</v>
          </cell>
          <cell r="E16">
            <v>168</v>
          </cell>
          <cell r="F16">
            <v>132</v>
          </cell>
          <cell r="G16">
            <v>123</v>
          </cell>
          <cell r="H16">
            <v>111</v>
          </cell>
          <cell r="I16">
            <v>666</v>
          </cell>
          <cell r="J16">
            <v>133.19999999999999</v>
          </cell>
          <cell r="K16">
            <v>66.599999999999994</v>
          </cell>
          <cell r="L16">
            <v>18</v>
          </cell>
          <cell r="M16" t="str">
            <v>C</v>
          </cell>
          <cell r="N16">
            <v>168</v>
          </cell>
          <cell r="O16">
            <v>111</v>
          </cell>
        </row>
        <row r="17">
          <cell r="A17">
            <v>521135260</v>
          </cell>
          <cell r="B17" t="str">
            <v>Jeet singh</v>
          </cell>
          <cell r="C17">
            <v>200</v>
          </cell>
          <cell r="D17">
            <v>142</v>
          </cell>
          <cell r="E17">
            <v>198</v>
          </cell>
          <cell r="F17">
            <v>125</v>
          </cell>
          <cell r="G17">
            <v>135</v>
          </cell>
          <cell r="H17">
            <v>121</v>
          </cell>
          <cell r="I17">
            <v>721</v>
          </cell>
          <cell r="J17">
            <v>144.19999999999999</v>
          </cell>
          <cell r="K17">
            <v>72.099999999999994</v>
          </cell>
          <cell r="L17">
            <v>9</v>
          </cell>
          <cell r="M17" t="str">
            <v>B</v>
          </cell>
          <cell r="N17">
            <v>198</v>
          </cell>
          <cell r="O17">
            <v>121</v>
          </cell>
        </row>
        <row r="18">
          <cell r="A18">
            <v>521135261</v>
          </cell>
          <cell r="B18" t="str">
            <v>Kulvinder singh</v>
          </cell>
          <cell r="C18">
            <v>200</v>
          </cell>
          <cell r="D18">
            <v>126</v>
          </cell>
          <cell r="E18">
            <v>156</v>
          </cell>
          <cell r="F18">
            <v>125</v>
          </cell>
          <cell r="G18">
            <v>125</v>
          </cell>
          <cell r="H18">
            <v>112</v>
          </cell>
          <cell r="I18">
            <v>644</v>
          </cell>
          <cell r="J18">
            <v>128.80000000000001</v>
          </cell>
          <cell r="K18">
            <v>64.400000000000006</v>
          </cell>
          <cell r="L18">
            <v>19</v>
          </cell>
          <cell r="M18" t="str">
            <v>C</v>
          </cell>
          <cell r="N18">
            <v>156</v>
          </cell>
          <cell r="O18">
            <v>112</v>
          </cell>
        </row>
        <row r="19">
          <cell r="A19">
            <v>521135262</v>
          </cell>
          <cell r="B19" t="str">
            <v>Maan singh</v>
          </cell>
          <cell r="C19">
            <v>200</v>
          </cell>
          <cell r="D19">
            <v>125</v>
          </cell>
          <cell r="E19">
            <v>154</v>
          </cell>
          <cell r="F19">
            <v>132</v>
          </cell>
          <cell r="G19">
            <v>198</v>
          </cell>
          <cell r="H19">
            <v>100</v>
          </cell>
          <cell r="I19">
            <v>709</v>
          </cell>
          <cell r="J19">
            <v>141.80000000000001</v>
          </cell>
          <cell r="K19">
            <v>70.900000000000006</v>
          </cell>
          <cell r="L19">
            <v>10</v>
          </cell>
          <cell r="M19" t="str">
            <v>B</v>
          </cell>
          <cell r="N19">
            <v>198</v>
          </cell>
          <cell r="O19">
            <v>100</v>
          </cell>
        </row>
        <row r="20">
          <cell r="A20">
            <v>521135263</v>
          </cell>
          <cell r="B20" t="str">
            <v>Kareena kapoor</v>
          </cell>
          <cell r="C20">
            <v>200</v>
          </cell>
          <cell r="D20">
            <v>98</v>
          </cell>
          <cell r="E20">
            <v>165</v>
          </cell>
          <cell r="F20">
            <v>158</v>
          </cell>
          <cell r="G20">
            <v>165</v>
          </cell>
          <cell r="H20">
            <v>111</v>
          </cell>
          <cell r="I20">
            <v>697</v>
          </cell>
          <cell r="J20">
            <v>139.4</v>
          </cell>
          <cell r="K20">
            <v>69.7</v>
          </cell>
          <cell r="L20">
            <v>13</v>
          </cell>
          <cell r="M20" t="str">
            <v>C</v>
          </cell>
          <cell r="N20">
            <v>165</v>
          </cell>
          <cell r="O20">
            <v>98</v>
          </cell>
        </row>
        <row r="21">
          <cell r="A21">
            <v>521135264</v>
          </cell>
          <cell r="B21" t="str">
            <v>Sanjeev kumar</v>
          </cell>
          <cell r="C21">
            <v>200</v>
          </cell>
          <cell r="D21">
            <v>88</v>
          </cell>
          <cell r="E21">
            <v>168</v>
          </cell>
          <cell r="F21">
            <v>165</v>
          </cell>
          <cell r="G21">
            <v>68</v>
          </cell>
          <cell r="H21">
            <v>211</v>
          </cell>
          <cell r="I21">
            <v>700</v>
          </cell>
          <cell r="J21">
            <v>140</v>
          </cell>
          <cell r="K21">
            <v>70</v>
          </cell>
          <cell r="L21">
            <v>12</v>
          </cell>
          <cell r="M21" t="str">
            <v>B</v>
          </cell>
          <cell r="N21">
            <v>211</v>
          </cell>
          <cell r="O21">
            <v>68</v>
          </cell>
        </row>
      </sheetData>
      <sheetData sheetId="25"/>
      <sheetData sheetId="26"/>
      <sheetData sheetId="27"/>
      <sheetData sheetId="28">
        <row r="1">
          <cell r="D1">
            <v>41294</v>
          </cell>
          <cell r="E1">
            <v>41302</v>
          </cell>
          <cell r="F1">
            <v>41315</v>
          </cell>
          <cell r="G1">
            <v>41325</v>
          </cell>
          <cell r="H1">
            <v>41333</v>
          </cell>
          <cell r="I1">
            <v>41338</v>
          </cell>
        </row>
        <row r="26">
          <cell r="C26" t="str">
            <v>Computer</v>
          </cell>
        </row>
        <row r="27">
          <cell r="C27" t="str">
            <v>Cooler</v>
          </cell>
        </row>
        <row r="28">
          <cell r="C28" t="str">
            <v>Fridge</v>
          </cell>
        </row>
        <row r="29">
          <cell r="C29" t="str">
            <v>Mobile</v>
          </cell>
        </row>
        <row r="30">
          <cell r="C30" t="str">
            <v>Laptop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ditinal formating"/>
      <sheetName val="Data"/>
      <sheetName val="Sapmle Attendance Sheet"/>
      <sheetName val="countifs"/>
      <sheetName val="References"/>
      <sheetName val="Wild card char"/>
      <sheetName val="Sheet9"/>
    </sheetNames>
    <sheetDataSet>
      <sheetData sheetId="0" refreshError="1"/>
      <sheetData sheetId="1" refreshError="1"/>
      <sheetData sheetId="2">
        <row r="3">
          <cell r="C3" t="str">
            <v>P</v>
          </cell>
        </row>
        <row r="4">
          <cell r="C4" t="str">
            <v>HD</v>
          </cell>
        </row>
        <row r="5">
          <cell r="C5" t="str">
            <v>PL</v>
          </cell>
        </row>
        <row r="6">
          <cell r="C6" t="str">
            <v>H</v>
          </cell>
        </row>
        <row r="7">
          <cell r="C7" t="str">
            <v>WO</v>
          </cell>
        </row>
        <row r="8">
          <cell r="C8" t="str">
            <v>Resigned</v>
          </cell>
        </row>
        <row r="9">
          <cell r="C9" t="str">
            <v>UPL</v>
          </cell>
        </row>
      </sheetData>
      <sheetData sheetId="3" refreshError="1"/>
      <sheetData sheetId="4">
        <row r="5">
          <cell r="M5" t="str">
            <v>Brakes</v>
          </cell>
          <cell r="N5">
            <v>35796</v>
          </cell>
        </row>
        <row r="6">
          <cell r="M6" t="str">
            <v>Tyres</v>
          </cell>
          <cell r="N6">
            <v>35855</v>
          </cell>
        </row>
        <row r="7">
          <cell r="M7" t="str">
            <v>Service</v>
          </cell>
          <cell r="N7">
            <v>35800</v>
          </cell>
        </row>
        <row r="8">
          <cell r="M8" t="str">
            <v>Window</v>
          </cell>
          <cell r="N8">
            <v>35947</v>
          </cell>
        </row>
        <row r="9">
          <cell r="M9" t="str">
            <v>Clutch</v>
          </cell>
          <cell r="N9">
            <v>35886</v>
          </cell>
        </row>
        <row r="10">
          <cell r="N10">
            <v>35916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with vlookup"/>
      <sheetName val="Marketing"/>
      <sheetName val="Scenario Summary"/>
      <sheetName val="Scenario"/>
      <sheetName val="Freezing method"/>
      <sheetName val="Advance Filter Method"/>
      <sheetName val="Conditional Formatting"/>
      <sheetName val="Product name wise"/>
      <sheetName val="attendence sheet"/>
      <sheetName val="pending"/>
      <sheetName val="pending 2"/>
      <sheetName val="New countif"/>
      <sheetName val="all method in one"/>
      <sheetName val="Offset with sum"/>
      <sheetName val="Sheet5"/>
      <sheetName val="All types of fomulas"/>
      <sheetName val="Sheet7"/>
      <sheetName val="Sheet8"/>
      <sheetName val="Sheet1"/>
      <sheetName val="DATA TABLE"/>
      <sheetName val="LOOKUP VALUE"/>
      <sheetName val="SUMPRO"/>
      <sheetName val="Extra1"/>
      <sheetName val="Sheet3"/>
      <sheetName val="Sheet2"/>
      <sheetName val="Sheet4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D1" t="str">
            <v>Salary</v>
          </cell>
        </row>
      </sheetData>
      <sheetData sheetId="20">
        <row r="10">
          <cell r="E10" t="str">
            <v>Post</v>
          </cell>
        </row>
      </sheetData>
      <sheetData sheetId="21">
        <row r="26">
          <cell r="C26" t="str">
            <v>Computer</v>
          </cell>
        </row>
        <row r="27">
          <cell r="C27" t="str">
            <v>Cooler</v>
          </cell>
        </row>
        <row r="28">
          <cell r="C28" t="str">
            <v>Fridge</v>
          </cell>
        </row>
        <row r="29">
          <cell r="C29" t="str">
            <v>Mobile</v>
          </cell>
        </row>
        <row r="30">
          <cell r="C30" t="str">
            <v>Laptop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B554-8E42-4BFD-861C-C08B70B0F7E9}">
  <sheetPr>
    <tabColor rgb="FF00B0F0"/>
  </sheetPr>
  <dimension ref="A1:H10"/>
  <sheetViews>
    <sheetView workbookViewId="0">
      <selection activeCell="J8" sqref="J8"/>
    </sheetView>
  </sheetViews>
  <sheetFormatPr defaultRowHeight="14.4" x14ac:dyDescent="0.3"/>
  <cols>
    <col min="1" max="1" width="29.44140625" customWidth="1"/>
    <col min="2" max="2" width="47.109375" bestFit="1" customWidth="1"/>
  </cols>
  <sheetData>
    <row r="1" spans="1:8" x14ac:dyDescent="0.3">
      <c r="A1" s="6" t="s">
        <v>5</v>
      </c>
      <c r="B1" s="6" t="s">
        <v>14</v>
      </c>
    </row>
    <row r="2" spans="1:8" x14ac:dyDescent="0.3">
      <c r="A2" s="8" t="s">
        <v>6</v>
      </c>
      <c r="B2" s="8" t="str">
        <f>REPLACE(REPLACE(A2,FIND(" ",A2,FIND(" ",A2)+1),20,""),1,FIND(" ",A2),"")</f>
        <v>Karan</v>
      </c>
      <c r="C2" t="str" cm="1">
        <f t="array" ref="C2">_xlfn.CHOOSECOLS(_xlfn.TEXTSPLIT(TRIM(A2)," "),2)</f>
        <v>Karan</v>
      </c>
      <c r="D2" t="str" cm="1">
        <f t="array" ref="D2">_xlfn.CHOOSECOLS(_xlfn.TEXTSPLIT(TRIM(A2), " "), COUNTA(_xlfn.TEXTSPLIT(TRIM(A2), " "))-1)</f>
        <v>Karan</v>
      </c>
      <c r="E2">
        <f>FIND(" ",A2,FIND(" ", A2)+1)</f>
        <v>15</v>
      </c>
      <c r="G2" t="str" cm="1">
        <f t="array" ref="G2">_xlfn.CHOOSECOLS(_xlfn.TEXTSPLIT(A2," "),2)</f>
        <v>Karan</v>
      </c>
      <c r="H2" t="str">
        <f>_xlfn.LET(_xlpm.b,_xlfn.LET(_xlpm.a,FIND(" ",A2),REPLACE(A2,1,_xlpm.a,"")),LEFT(_xlpm.b,FIND(" ",_xlpm.b)-1))</f>
        <v>Karan</v>
      </c>
    </row>
    <row r="3" spans="1:8" x14ac:dyDescent="0.3">
      <c r="A3" s="8" t="s">
        <v>7</v>
      </c>
      <c r="B3" s="8" t="str">
        <f>REPLACE(REPLACE(A3,FIND(" ",A3,FIND(" ",A3)+1),20,""),1,FIND(" ",A3),"")</f>
        <v>Vats</v>
      </c>
      <c r="C3" t="str" cm="1">
        <f t="array" ref="C3">_xlfn.CHOOSECOLS(_xlfn.TEXTSPLIT(TRIM(A3)," "),2)</f>
        <v>Vats</v>
      </c>
      <c r="D3" t="str" cm="1">
        <f t="array" ref="D3">_xlfn.CHOOSECOLS(_xlfn.TEXTSPLIT(TRIM(A3), " "), COUNTA(_xlfn.TEXTSPLIT(TRIM(A3), " "))-1)</f>
        <v>Vats</v>
      </c>
      <c r="G3" t="str" cm="1">
        <f t="array" ref="G3">_xlfn.CHOOSECOLS(_xlfn.TEXTSPLIT(A3," "),2)</f>
        <v>Vats</v>
      </c>
      <c r="H3" t="str">
        <f t="shared" ref="H3:H10" si="0">_xlfn.LET(_xlpm.b,_xlfn.LET(_xlpm.a,FIND(" ",A3),REPLACE(A3,1,_xlpm.a,"")),LEFT(_xlpm.b,FIND(" ",_xlpm.b)-1))</f>
        <v>Vats</v>
      </c>
    </row>
    <row r="4" spans="1:8" x14ac:dyDescent="0.3">
      <c r="A4" s="8" t="s">
        <v>8</v>
      </c>
      <c r="B4" s="8" t="str">
        <f>REPLACE(REPLACE(A4,FIND(" ",A4,FIND(" ",A4)+1),20,""),1,FIND(" ",A4),"")</f>
        <v>Deepak</v>
      </c>
      <c r="C4" t="str" cm="1">
        <f t="array" ref="C4">_xlfn.CHOOSECOLS(_xlfn.TEXTSPLIT(TRIM(A4)," "),2)</f>
        <v>Deepak</v>
      </c>
      <c r="D4" t="str" cm="1">
        <f t="array" ref="D4">_xlfn.CHOOSECOLS(_xlfn.TEXTSPLIT(TRIM(A4), " "), COUNTA(_xlfn.TEXTSPLIT(TRIM(A4), " "))-1)</f>
        <v>Deepak</v>
      </c>
      <c r="G4" t="str" cm="1">
        <f t="array" ref="G4">_xlfn.CHOOSECOLS(_xlfn.TEXTSPLIT(A4," "),2)</f>
        <v>Deepak</v>
      </c>
      <c r="H4" t="str">
        <f t="shared" si="0"/>
        <v>Deepak</v>
      </c>
    </row>
    <row r="5" spans="1:8" x14ac:dyDescent="0.3">
      <c r="A5" s="8" t="s">
        <v>9</v>
      </c>
      <c r="B5" s="8" t="str">
        <f t="shared" ref="B5:B9" si="1">REPLACE(REPLACE(A5,FIND(" ",A5,FIND(" ",A5)+1),20,""),1,FIND(" ",A5),"")</f>
        <v>Suman</v>
      </c>
      <c r="C5" t="str" cm="1">
        <f t="array" ref="C5">_xlfn.CHOOSECOLS(_xlfn.TEXTSPLIT(TRIM(A5)," "),2)</f>
        <v>Suman</v>
      </c>
      <c r="D5" t="str" cm="1">
        <f t="array" ref="D5">_xlfn.CHOOSECOLS(_xlfn.TEXTSPLIT(TRIM(A5), " "), COUNTA(_xlfn.TEXTSPLIT(TRIM(A5), " "))-1)</f>
        <v>Suman</v>
      </c>
      <c r="G5" t="str" cm="1">
        <f t="array" ref="G5">_xlfn.CHOOSECOLS(_xlfn.TEXTSPLIT(A5," "),2)</f>
        <v>Suman</v>
      </c>
      <c r="H5" t="str">
        <f t="shared" si="0"/>
        <v>Suman</v>
      </c>
    </row>
    <row r="6" spans="1:8" x14ac:dyDescent="0.3">
      <c r="A6" s="8" t="s">
        <v>15</v>
      </c>
      <c r="B6" s="8" t="str">
        <f t="shared" si="1"/>
        <v>Tarun</v>
      </c>
      <c r="C6" t="str" cm="1">
        <f t="array" ref="C6">_xlfn.CHOOSECOLS(_xlfn.TEXTSPLIT(TRIM(A6)," "),2)</f>
        <v>Tarun</v>
      </c>
      <c r="D6" t="str" cm="1">
        <f t="array" ref="D6">_xlfn.CHOOSECOLS(_xlfn.TEXTSPLIT(TRIM(A6), " "), COUNTA(_xlfn.TEXTSPLIT(TRIM(A6), " "))-1)</f>
        <v>Tarun</v>
      </c>
      <c r="G6" t="str" cm="1">
        <f t="array" ref="G6">_xlfn.CHOOSECOLS(_xlfn.TEXTSPLIT(A6," "),2)</f>
        <v>Tarun</v>
      </c>
      <c r="H6" t="str">
        <f t="shared" si="0"/>
        <v>Tarun</v>
      </c>
    </row>
    <row r="7" spans="1:8" x14ac:dyDescent="0.3">
      <c r="A7" s="8" t="s">
        <v>10</v>
      </c>
      <c r="B7" s="8" t="str">
        <f t="shared" si="1"/>
        <v>Gaurav</v>
      </c>
      <c r="C7" t="str" cm="1">
        <f t="array" ref="C7">_xlfn.CHOOSECOLS(_xlfn.TEXTSPLIT(TRIM(A7)," "),2)</f>
        <v>Gaurav</v>
      </c>
      <c r="D7" t="str" cm="1">
        <f t="array" ref="D7">_xlfn.CHOOSECOLS(_xlfn.TEXTSPLIT(TRIM(A7), " "), COUNTA(_xlfn.TEXTSPLIT(TRIM(A7), " "))-1)</f>
        <v>Gaurav</v>
      </c>
      <c r="G7" t="str" cm="1">
        <f t="array" ref="G7">_xlfn.CHOOSECOLS(_xlfn.TEXTSPLIT(A7," "),2)</f>
        <v>Gaurav</v>
      </c>
      <c r="H7" t="str">
        <f t="shared" si="0"/>
        <v>Gaurav</v>
      </c>
    </row>
    <row r="8" spans="1:8" x14ac:dyDescent="0.3">
      <c r="A8" s="8" t="s">
        <v>11</v>
      </c>
      <c r="B8" s="8" t="str">
        <f t="shared" si="1"/>
        <v>Sarika</v>
      </c>
      <c r="C8" t="str" cm="1">
        <f t="array" ref="C8">_xlfn.CHOOSECOLS(_xlfn.TEXTSPLIT(TRIM(A8)," "),2)</f>
        <v>Sarika</v>
      </c>
      <c r="D8" t="str" cm="1">
        <f t="array" ref="D8">_xlfn.CHOOSECOLS(_xlfn.TEXTSPLIT(TRIM(A8), " "), COUNTA(_xlfn.TEXTSPLIT(TRIM(A8), " "))-1)</f>
        <v>Sarika</v>
      </c>
      <c r="G8" t="str" cm="1">
        <f t="array" ref="G8">_xlfn.CHOOSECOLS(_xlfn.TEXTSPLIT(A8," "),2)</f>
        <v>Sarika</v>
      </c>
      <c r="H8" t="str">
        <f t="shared" si="0"/>
        <v>Sarika</v>
      </c>
    </row>
    <row r="9" spans="1:8" x14ac:dyDescent="0.3">
      <c r="A9" s="8" t="s">
        <v>12</v>
      </c>
      <c r="B9" s="8" t="str">
        <f t="shared" si="1"/>
        <v>Reema</v>
      </c>
      <c r="C9" t="str" cm="1">
        <f t="array" ref="C9">_xlfn.CHOOSECOLS(_xlfn.TEXTSPLIT(TRIM(A9)," "),2)</f>
        <v>Reema</v>
      </c>
      <c r="D9" t="str" cm="1">
        <f t="array" ref="D9">_xlfn.CHOOSECOLS(_xlfn.TEXTSPLIT(TRIM(A9), " "), COUNTA(_xlfn.TEXTSPLIT(TRIM(A9), " "))-1)</f>
        <v>Reema</v>
      </c>
      <c r="G9" t="str" cm="1">
        <f t="array" ref="G9">_xlfn.CHOOSECOLS(_xlfn.TEXTSPLIT(A9," "),2)</f>
        <v>Reema</v>
      </c>
      <c r="H9" t="str">
        <f t="shared" si="0"/>
        <v>Reema</v>
      </c>
    </row>
    <row r="10" spans="1:8" x14ac:dyDescent="0.3">
      <c r="A10" s="8" t="s">
        <v>13</v>
      </c>
      <c r="B10" s="8" t="str">
        <f>REPLACE(REPLACE(A10,FIND(" ",A10,FIND(" ",A10)+1),20,""),1,FIND(" ",A10),"")</f>
        <v>Sunaina</v>
      </c>
      <c r="C10" t="str" cm="1">
        <f t="array" ref="C10">_xlfn.CHOOSECOLS(_xlfn.TEXTSPLIT(TRIM(A10)," "),2)</f>
        <v>Sunaina</v>
      </c>
      <c r="D10" t="str" cm="1">
        <f t="array" ref="D10">_xlfn.CHOOSECOLS(_xlfn.TEXTSPLIT(TRIM(A10), " "), COUNTA(_xlfn.TEXTSPLIT(TRIM(A10), " "))-1)</f>
        <v>Sunaina</v>
      </c>
      <c r="G10" t="str" cm="1">
        <f t="array" ref="G10">_xlfn.CHOOSECOLS(_xlfn.TEXTSPLIT(A10," "),2)</f>
        <v>Sunaina</v>
      </c>
      <c r="H10" t="str">
        <f t="shared" si="0"/>
        <v>Sunaina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FB5B-BCFD-48F4-BF74-B41F14732F29}">
  <sheetPr>
    <tabColor rgb="FF00B0F0"/>
  </sheetPr>
  <dimension ref="A1:I15"/>
  <sheetViews>
    <sheetView zoomScale="145" zoomScaleNormal="145" workbookViewId="0">
      <selection activeCell="E13" sqref="E13"/>
    </sheetView>
  </sheetViews>
  <sheetFormatPr defaultRowHeight="14.4" x14ac:dyDescent="0.3"/>
  <cols>
    <col min="2" max="2" width="13.33203125" bestFit="1" customWidth="1"/>
    <col min="3" max="3" width="17.5546875" bestFit="1" customWidth="1"/>
    <col min="4" max="4" width="14.44140625" customWidth="1"/>
    <col min="5" max="5" width="14.6640625" customWidth="1"/>
    <col min="258" max="258" width="6.33203125" bestFit="1" customWidth="1"/>
    <col min="259" max="259" width="17.6640625" bestFit="1" customWidth="1"/>
    <col min="260" max="260" width="12.88671875" bestFit="1" customWidth="1"/>
    <col min="261" max="261" width="14.6640625" customWidth="1"/>
    <col min="514" max="514" width="6.33203125" bestFit="1" customWidth="1"/>
    <col min="515" max="515" width="17.6640625" bestFit="1" customWidth="1"/>
    <col min="516" max="516" width="12.88671875" bestFit="1" customWidth="1"/>
    <col min="517" max="517" width="14.6640625" customWidth="1"/>
    <col min="770" max="770" width="6.33203125" bestFit="1" customWidth="1"/>
    <col min="771" max="771" width="17.6640625" bestFit="1" customWidth="1"/>
    <col min="772" max="772" width="12.88671875" bestFit="1" customWidth="1"/>
    <col min="773" max="773" width="14.6640625" customWidth="1"/>
    <col min="1026" max="1026" width="6.33203125" bestFit="1" customWidth="1"/>
    <col min="1027" max="1027" width="17.6640625" bestFit="1" customWidth="1"/>
    <col min="1028" max="1028" width="12.88671875" bestFit="1" customWidth="1"/>
    <col min="1029" max="1029" width="14.6640625" customWidth="1"/>
    <col min="1282" max="1282" width="6.33203125" bestFit="1" customWidth="1"/>
    <col min="1283" max="1283" width="17.6640625" bestFit="1" customWidth="1"/>
    <col min="1284" max="1284" width="12.88671875" bestFit="1" customWidth="1"/>
    <col min="1285" max="1285" width="14.6640625" customWidth="1"/>
    <col min="1538" max="1538" width="6.33203125" bestFit="1" customWidth="1"/>
    <col min="1539" max="1539" width="17.6640625" bestFit="1" customWidth="1"/>
    <col min="1540" max="1540" width="12.88671875" bestFit="1" customWidth="1"/>
    <col min="1541" max="1541" width="14.6640625" customWidth="1"/>
    <col min="1794" max="1794" width="6.33203125" bestFit="1" customWidth="1"/>
    <col min="1795" max="1795" width="17.6640625" bestFit="1" customWidth="1"/>
    <col min="1796" max="1796" width="12.88671875" bestFit="1" customWidth="1"/>
    <col min="1797" max="1797" width="14.6640625" customWidth="1"/>
    <col min="2050" max="2050" width="6.33203125" bestFit="1" customWidth="1"/>
    <col min="2051" max="2051" width="17.6640625" bestFit="1" customWidth="1"/>
    <col min="2052" max="2052" width="12.88671875" bestFit="1" customWidth="1"/>
    <col min="2053" max="2053" width="14.6640625" customWidth="1"/>
    <col min="2306" max="2306" width="6.33203125" bestFit="1" customWidth="1"/>
    <col min="2307" max="2307" width="17.6640625" bestFit="1" customWidth="1"/>
    <col min="2308" max="2308" width="12.88671875" bestFit="1" customWidth="1"/>
    <col min="2309" max="2309" width="14.6640625" customWidth="1"/>
    <col min="2562" max="2562" width="6.33203125" bestFit="1" customWidth="1"/>
    <col min="2563" max="2563" width="17.6640625" bestFit="1" customWidth="1"/>
    <col min="2564" max="2564" width="12.88671875" bestFit="1" customWidth="1"/>
    <col min="2565" max="2565" width="14.6640625" customWidth="1"/>
    <col min="2818" max="2818" width="6.33203125" bestFit="1" customWidth="1"/>
    <col min="2819" max="2819" width="17.6640625" bestFit="1" customWidth="1"/>
    <col min="2820" max="2820" width="12.88671875" bestFit="1" customWidth="1"/>
    <col min="2821" max="2821" width="14.6640625" customWidth="1"/>
    <col min="3074" max="3074" width="6.33203125" bestFit="1" customWidth="1"/>
    <col min="3075" max="3075" width="17.6640625" bestFit="1" customWidth="1"/>
    <col min="3076" max="3076" width="12.88671875" bestFit="1" customWidth="1"/>
    <col min="3077" max="3077" width="14.6640625" customWidth="1"/>
    <col min="3330" max="3330" width="6.33203125" bestFit="1" customWidth="1"/>
    <col min="3331" max="3331" width="17.6640625" bestFit="1" customWidth="1"/>
    <col min="3332" max="3332" width="12.88671875" bestFit="1" customWidth="1"/>
    <col min="3333" max="3333" width="14.6640625" customWidth="1"/>
    <col min="3586" max="3586" width="6.33203125" bestFit="1" customWidth="1"/>
    <col min="3587" max="3587" width="17.6640625" bestFit="1" customWidth="1"/>
    <col min="3588" max="3588" width="12.88671875" bestFit="1" customWidth="1"/>
    <col min="3589" max="3589" width="14.6640625" customWidth="1"/>
    <col min="3842" max="3842" width="6.33203125" bestFit="1" customWidth="1"/>
    <col min="3843" max="3843" width="17.6640625" bestFit="1" customWidth="1"/>
    <col min="3844" max="3844" width="12.88671875" bestFit="1" customWidth="1"/>
    <col min="3845" max="3845" width="14.6640625" customWidth="1"/>
    <col min="4098" max="4098" width="6.33203125" bestFit="1" customWidth="1"/>
    <col min="4099" max="4099" width="17.6640625" bestFit="1" customWidth="1"/>
    <col min="4100" max="4100" width="12.88671875" bestFit="1" customWidth="1"/>
    <col min="4101" max="4101" width="14.6640625" customWidth="1"/>
    <col min="4354" max="4354" width="6.33203125" bestFit="1" customWidth="1"/>
    <col min="4355" max="4355" width="17.6640625" bestFit="1" customWidth="1"/>
    <col min="4356" max="4356" width="12.88671875" bestFit="1" customWidth="1"/>
    <col min="4357" max="4357" width="14.6640625" customWidth="1"/>
    <col min="4610" max="4610" width="6.33203125" bestFit="1" customWidth="1"/>
    <col min="4611" max="4611" width="17.6640625" bestFit="1" customWidth="1"/>
    <col min="4612" max="4612" width="12.88671875" bestFit="1" customWidth="1"/>
    <col min="4613" max="4613" width="14.6640625" customWidth="1"/>
    <col min="4866" max="4866" width="6.33203125" bestFit="1" customWidth="1"/>
    <col min="4867" max="4867" width="17.6640625" bestFit="1" customWidth="1"/>
    <col min="4868" max="4868" width="12.88671875" bestFit="1" customWidth="1"/>
    <col min="4869" max="4869" width="14.6640625" customWidth="1"/>
    <col min="5122" max="5122" width="6.33203125" bestFit="1" customWidth="1"/>
    <col min="5123" max="5123" width="17.6640625" bestFit="1" customWidth="1"/>
    <col min="5124" max="5124" width="12.88671875" bestFit="1" customWidth="1"/>
    <col min="5125" max="5125" width="14.6640625" customWidth="1"/>
    <col min="5378" max="5378" width="6.33203125" bestFit="1" customWidth="1"/>
    <col min="5379" max="5379" width="17.6640625" bestFit="1" customWidth="1"/>
    <col min="5380" max="5380" width="12.88671875" bestFit="1" customWidth="1"/>
    <col min="5381" max="5381" width="14.6640625" customWidth="1"/>
    <col min="5634" max="5634" width="6.33203125" bestFit="1" customWidth="1"/>
    <col min="5635" max="5635" width="17.6640625" bestFit="1" customWidth="1"/>
    <col min="5636" max="5636" width="12.88671875" bestFit="1" customWidth="1"/>
    <col min="5637" max="5637" width="14.6640625" customWidth="1"/>
    <col min="5890" max="5890" width="6.33203125" bestFit="1" customWidth="1"/>
    <col min="5891" max="5891" width="17.6640625" bestFit="1" customWidth="1"/>
    <col min="5892" max="5892" width="12.88671875" bestFit="1" customWidth="1"/>
    <col min="5893" max="5893" width="14.6640625" customWidth="1"/>
    <col min="6146" max="6146" width="6.33203125" bestFit="1" customWidth="1"/>
    <col min="6147" max="6147" width="17.6640625" bestFit="1" customWidth="1"/>
    <col min="6148" max="6148" width="12.88671875" bestFit="1" customWidth="1"/>
    <col min="6149" max="6149" width="14.6640625" customWidth="1"/>
    <col min="6402" max="6402" width="6.33203125" bestFit="1" customWidth="1"/>
    <col min="6403" max="6403" width="17.6640625" bestFit="1" customWidth="1"/>
    <col min="6404" max="6404" width="12.88671875" bestFit="1" customWidth="1"/>
    <col min="6405" max="6405" width="14.6640625" customWidth="1"/>
    <col min="6658" max="6658" width="6.33203125" bestFit="1" customWidth="1"/>
    <col min="6659" max="6659" width="17.6640625" bestFit="1" customWidth="1"/>
    <col min="6660" max="6660" width="12.88671875" bestFit="1" customWidth="1"/>
    <col min="6661" max="6661" width="14.6640625" customWidth="1"/>
    <col min="6914" max="6914" width="6.33203125" bestFit="1" customWidth="1"/>
    <col min="6915" max="6915" width="17.6640625" bestFit="1" customWidth="1"/>
    <col min="6916" max="6916" width="12.88671875" bestFit="1" customWidth="1"/>
    <col min="6917" max="6917" width="14.6640625" customWidth="1"/>
    <col min="7170" max="7170" width="6.33203125" bestFit="1" customWidth="1"/>
    <col min="7171" max="7171" width="17.6640625" bestFit="1" customWidth="1"/>
    <col min="7172" max="7172" width="12.88671875" bestFit="1" customWidth="1"/>
    <col min="7173" max="7173" width="14.6640625" customWidth="1"/>
    <col min="7426" max="7426" width="6.33203125" bestFit="1" customWidth="1"/>
    <col min="7427" max="7427" width="17.6640625" bestFit="1" customWidth="1"/>
    <col min="7428" max="7428" width="12.88671875" bestFit="1" customWidth="1"/>
    <col min="7429" max="7429" width="14.6640625" customWidth="1"/>
    <col min="7682" max="7682" width="6.33203125" bestFit="1" customWidth="1"/>
    <col min="7683" max="7683" width="17.6640625" bestFit="1" customWidth="1"/>
    <col min="7684" max="7684" width="12.88671875" bestFit="1" customWidth="1"/>
    <col min="7685" max="7685" width="14.6640625" customWidth="1"/>
    <col min="7938" max="7938" width="6.33203125" bestFit="1" customWidth="1"/>
    <col min="7939" max="7939" width="17.6640625" bestFit="1" customWidth="1"/>
    <col min="7940" max="7940" width="12.88671875" bestFit="1" customWidth="1"/>
    <col min="7941" max="7941" width="14.6640625" customWidth="1"/>
    <col min="8194" max="8194" width="6.33203125" bestFit="1" customWidth="1"/>
    <col min="8195" max="8195" width="17.6640625" bestFit="1" customWidth="1"/>
    <col min="8196" max="8196" width="12.88671875" bestFit="1" customWidth="1"/>
    <col min="8197" max="8197" width="14.6640625" customWidth="1"/>
    <col min="8450" max="8450" width="6.33203125" bestFit="1" customWidth="1"/>
    <col min="8451" max="8451" width="17.6640625" bestFit="1" customWidth="1"/>
    <col min="8452" max="8452" width="12.88671875" bestFit="1" customWidth="1"/>
    <col min="8453" max="8453" width="14.6640625" customWidth="1"/>
    <col min="8706" max="8706" width="6.33203125" bestFit="1" customWidth="1"/>
    <col min="8707" max="8707" width="17.6640625" bestFit="1" customWidth="1"/>
    <col min="8708" max="8708" width="12.88671875" bestFit="1" customWidth="1"/>
    <col min="8709" max="8709" width="14.6640625" customWidth="1"/>
    <col min="8962" max="8962" width="6.33203125" bestFit="1" customWidth="1"/>
    <col min="8963" max="8963" width="17.6640625" bestFit="1" customWidth="1"/>
    <col min="8964" max="8964" width="12.88671875" bestFit="1" customWidth="1"/>
    <col min="8965" max="8965" width="14.6640625" customWidth="1"/>
    <col min="9218" max="9218" width="6.33203125" bestFit="1" customWidth="1"/>
    <col min="9219" max="9219" width="17.6640625" bestFit="1" customWidth="1"/>
    <col min="9220" max="9220" width="12.88671875" bestFit="1" customWidth="1"/>
    <col min="9221" max="9221" width="14.6640625" customWidth="1"/>
    <col min="9474" max="9474" width="6.33203125" bestFit="1" customWidth="1"/>
    <col min="9475" max="9475" width="17.6640625" bestFit="1" customWidth="1"/>
    <col min="9476" max="9476" width="12.88671875" bestFit="1" customWidth="1"/>
    <col min="9477" max="9477" width="14.6640625" customWidth="1"/>
    <col min="9730" max="9730" width="6.33203125" bestFit="1" customWidth="1"/>
    <col min="9731" max="9731" width="17.6640625" bestFit="1" customWidth="1"/>
    <col min="9732" max="9732" width="12.88671875" bestFit="1" customWidth="1"/>
    <col min="9733" max="9733" width="14.6640625" customWidth="1"/>
    <col min="9986" max="9986" width="6.33203125" bestFit="1" customWidth="1"/>
    <col min="9987" max="9987" width="17.6640625" bestFit="1" customWidth="1"/>
    <col min="9988" max="9988" width="12.88671875" bestFit="1" customWidth="1"/>
    <col min="9989" max="9989" width="14.6640625" customWidth="1"/>
    <col min="10242" max="10242" width="6.33203125" bestFit="1" customWidth="1"/>
    <col min="10243" max="10243" width="17.6640625" bestFit="1" customWidth="1"/>
    <col min="10244" max="10244" width="12.88671875" bestFit="1" customWidth="1"/>
    <col min="10245" max="10245" width="14.6640625" customWidth="1"/>
    <col min="10498" max="10498" width="6.33203125" bestFit="1" customWidth="1"/>
    <col min="10499" max="10499" width="17.6640625" bestFit="1" customWidth="1"/>
    <col min="10500" max="10500" width="12.88671875" bestFit="1" customWidth="1"/>
    <col min="10501" max="10501" width="14.6640625" customWidth="1"/>
    <col min="10754" max="10754" width="6.33203125" bestFit="1" customWidth="1"/>
    <col min="10755" max="10755" width="17.6640625" bestFit="1" customWidth="1"/>
    <col min="10756" max="10756" width="12.88671875" bestFit="1" customWidth="1"/>
    <col min="10757" max="10757" width="14.6640625" customWidth="1"/>
    <col min="11010" max="11010" width="6.33203125" bestFit="1" customWidth="1"/>
    <col min="11011" max="11011" width="17.6640625" bestFit="1" customWidth="1"/>
    <col min="11012" max="11012" width="12.88671875" bestFit="1" customWidth="1"/>
    <col min="11013" max="11013" width="14.6640625" customWidth="1"/>
    <col min="11266" max="11266" width="6.33203125" bestFit="1" customWidth="1"/>
    <col min="11267" max="11267" width="17.6640625" bestFit="1" customWidth="1"/>
    <col min="11268" max="11268" width="12.88671875" bestFit="1" customWidth="1"/>
    <col min="11269" max="11269" width="14.6640625" customWidth="1"/>
    <col min="11522" max="11522" width="6.33203125" bestFit="1" customWidth="1"/>
    <col min="11523" max="11523" width="17.6640625" bestFit="1" customWidth="1"/>
    <col min="11524" max="11524" width="12.88671875" bestFit="1" customWidth="1"/>
    <col min="11525" max="11525" width="14.6640625" customWidth="1"/>
    <col min="11778" max="11778" width="6.33203125" bestFit="1" customWidth="1"/>
    <col min="11779" max="11779" width="17.6640625" bestFit="1" customWidth="1"/>
    <col min="11780" max="11780" width="12.88671875" bestFit="1" customWidth="1"/>
    <col min="11781" max="11781" width="14.6640625" customWidth="1"/>
    <col min="12034" max="12034" width="6.33203125" bestFit="1" customWidth="1"/>
    <col min="12035" max="12035" width="17.6640625" bestFit="1" customWidth="1"/>
    <col min="12036" max="12036" width="12.88671875" bestFit="1" customWidth="1"/>
    <col min="12037" max="12037" width="14.6640625" customWidth="1"/>
    <col min="12290" max="12290" width="6.33203125" bestFit="1" customWidth="1"/>
    <col min="12291" max="12291" width="17.6640625" bestFit="1" customWidth="1"/>
    <col min="12292" max="12292" width="12.88671875" bestFit="1" customWidth="1"/>
    <col min="12293" max="12293" width="14.6640625" customWidth="1"/>
    <col min="12546" max="12546" width="6.33203125" bestFit="1" customWidth="1"/>
    <col min="12547" max="12547" width="17.6640625" bestFit="1" customWidth="1"/>
    <col min="12548" max="12548" width="12.88671875" bestFit="1" customWidth="1"/>
    <col min="12549" max="12549" width="14.6640625" customWidth="1"/>
    <col min="12802" max="12802" width="6.33203125" bestFit="1" customWidth="1"/>
    <col min="12803" max="12803" width="17.6640625" bestFit="1" customWidth="1"/>
    <col min="12804" max="12804" width="12.88671875" bestFit="1" customWidth="1"/>
    <col min="12805" max="12805" width="14.6640625" customWidth="1"/>
    <col min="13058" max="13058" width="6.33203125" bestFit="1" customWidth="1"/>
    <col min="13059" max="13059" width="17.6640625" bestFit="1" customWidth="1"/>
    <col min="13060" max="13060" width="12.88671875" bestFit="1" customWidth="1"/>
    <col min="13061" max="13061" width="14.6640625" customWidth="1"/>
    <col min="13314" max="13314" width="6.33203125" bestFit="1" customWidth="1"/>
    <col min="13315" max="13315" width="17.6640625" bestFit="1" customWidth="1"/>
    <col min="13316" max="13316" width="12.88671875" bestFit="1" customWidth="1"/>
    <col min="13317" max="13317" width="14.6640625" customWidth="1"/>
    <col min="13570" max="13570" width="6.33203125" bestFit="1" customWidth="1"/>
    <col min="13571" max="13571" width="17.6640625" bestFit="1" customWidth="1"/>
    <col min="13572" max="13572" width="12.88671875" bestFit="1" customWidth="1"/>
    <col min="13573" max="13573" width="14.6640625" customWidth="1"/>
    <col min="13826" max="13826" width="6.33203125" bestFit="1" customWidth="1"/>
    <col min="13827" max="13827" width="17.6640625" bestFit="1" customWidth="1"/>
    <col min="13828" max="13828" width="12.88671875" bestFit="1" customWidth="1"/>
    <col min="13829" max="13829" width="14.6640625" customWidth="1"/>
    <col min="14082" max="14082" width="6.33203125" bestFit="1" customWidth="1"/>
    <col min="14083" max="14083" width="17.6640625" bestFit="1" customWidth="1"/>
    <col min="14084" max="14084" width="12.88671875" bestFit="1" customWidth="1"/>
    <col min="14085" max="14085" width="14.6640625" customWidth="1"/>
    <col min="14338" max="14338" width="6.33203125" bestFit="1" customWidth="1"/>
    <col min="14339" max="14339" width="17.6640625" bestFit="1" customWidth="1"/>
    <col min="14340" max="14340" width="12.88671875" bestFit="1" customWidth="1"/>
    <col min="14341" max="14341" width="14.6640625" customWidth="1"/>
    <col min="14594" max="14594" width="6.33203125" bestFit="1" customWidth="1"/>
    <col min="14595" max="14595" width="17.6640625" bestFit="1" customWidth="1"/>
    <col min="14596" max="14596" width="12.88671875" bestFit="1" customWidth="1"/>
    <col min="14597" max="14597" width="14.6640625" customWidth="1"/>
    <col min="14850" max="14850" width="6.33203125" bestFit="1" customWidth="1"/>
    <col min="14851" max="14851" width="17.6640625" bestFit="1" customWidth="1"/>
    <col min="14852" max="14852" width="12.88671875" bestFit="1" customWidth="1"/>
    <col min="14853" max="14853" width="14.6640625" customWidth="1"/>
    <col min="15106" max="15106" width="6.33203125" bestFit="1" customWidth="1"/>
    <col min="15107" max="15107" width="17.6640625" bestFit="1" customWidth="1"/>
    <col min="15108" max="15108" width="12.88671875" bestFit="1" customWidth="1"/>
    <col min="15109" max="15109" width="14.6640625" customWidth="1"/>
    <col min="15362" max="15362" width="6.33203125" bestFit="1" customWidth="1"/>
    <col min="15363" max="15363" width="17.6640625" bestFit="1" customWidth="1"/>
    <col min="15364" max="15364" width="12.88671875" bestFit="1" customWidth="1"/>
    <col min="15365" max="15365" width="14.6640625" customWidth="1"/>
    <col min="15618" max="15618" width="6.33203125" bestFit="1" customWidth="1"/>
    <col min="15619" max="15619" width="17.6640625" bestFit="1" customWidth="1"/>
    <col min="15620" max="15620" width="12.88671875" bestFit="1" customWidth="1"/>
    <col min="15621" max="15621" width="14.6640625" customWidth="1"/>
    <col min="15874" max="15874" width="6.33203125" bestFit="1" customWidth="1"/>
    <col min="15875" max="15875" width="17.6640625" bestFit="1" customWidth="1"/>
    <col min="15876" max="15876" width="12.88671875" bestFit="1" customWidth="1"/>
    <col min="15877" max="15877" width="14.6640625" customWidth="1"/>
    <col min="16130" max="16130" width="6.33203125" bestFit="1" customWidth="1"/>
    <col min="16131" max="16131" width="17.6640625" bestFit="1" customWidth="1"/>
    <col min="16132" max="16132" width="12.88671875" bestFit="1" customWidth="1"/>
    <col min="16133" max="16133" width="14.6640625" customWidth="1"/>
  </cols>
  <sheetData>
    <row r="1" spans="1:9" x14ac:dyDescent="0.3">
      <c r="A1" s="29"/>
      <c r="B1" s="31" t="s">
        <v>73</v>
      </c>
      <c r="C1" s="30"/>
      <c r="D1" s="30"/>
      <c r="E1" s="30"/>
      <c r="F1" s="30"/>
      <c r="G1" s="30"/>
      <c r="H1" s="30"/>
      <c r="I1" s="30"/>
    </row>
    <row r="3" spans="1:9" x14ac:dyDescent="0.3">
      <c r="B3" s="6" t="s">
        <v>2</v>
      </c>
      <c r="C3" s="6" t="s">
        <v>16</v>
      </c>
      <c r="D3" s="6" t="s">
        <v>17</v>
      </c>
      <c r="E3" s="7" t="s">
        <v>3</v>
      </c>
    </row>
    <row r="4" spans="1:9" x14ac:dyDescent="0.3">
      <c r="B4" s="8" t="s">
        <v>18</v>
      </c>
      <c r="C4" s="10">
        <v>69979</v>
      </c>
      <c r="D4" s="9">
        <v>100000</v>
      </c>
      <c r="E4" s="32">
        <f>D4-C4</f>
        <v>30021</v>
      </c>
    </row>
    <row r="5" spans="1:9" x14ac:dyDescent="0.3">
      <c r="B5" s="8" t="s">
        <v>19</v>
      </c>
      <c r="C5" s="10">
        <v>92964</v>
      </c>
      <c r="D5" s="9">
        <v>101998</v>
      </c>
      <c r="E5" s="32">
        <f t="shared" ref="E5:E8" si="0">D5-C5</f>
        <v>9034</v>
      </c>
    </row>
    <row r="6" spans="1:9" x14ac:dyDescent="0.3">
      <c r="B6" s="8" t="s">
        <v>20</v>
      </c>
      <c r="C6" s="10">
        <v>79522</v>
      </c>
      <c r="D6" s="9">
        <v>85916</v>
      </c>
      <c r="E6" s="32">
        <f t="shared" si="0"/>
        <v>6394</v>
      </c>
    </row>
    <row r="7" spans="1:9" x14ac:dyDescent="0.3">
      <c r="B7" s="8" t="s">
        <v>21</v>
      </c>
      <c r="C7" s="10">
        <v>80956</v>
      </c>
      <c r="D7" s="9">
        <v>81000</v>
      </c>
      <c r="E7" s="32">
        <f t="shared" si="0"/>
        <v>44</v>
      </c>
    </row>
    <row r="8" spans="1:9" x14ac:dyDescent="0.3">
      <c r="B8" s="8" t="s">
        <v>22</v>
      </c>
      <c r="C8" s="10">
        <v>90906</v>
      </c>
      <c r="D8" s="9">
        <v>99368</v>
      </c>
      <c r="E8" s="32">
        <f t="shared" si="0"/>
        <v>8462</v>
      </c>
    </row>
    <row r="9" spans="1:9" x14ac:dyDescent="0.3">
      <c r="E9" s="32">
        <f>MAX(E4:E8)</f>
        <v>30021</v>
      </c>
    </row>
    <row r="11" spans="1:9" x14ac:dyDescent="0.3">
      <c r="C11" s="6" t="s">
        <v>4</v>
      </c>
      <c r="D11" s="11">
        <f t="array" ref="D11">MAX(D4:D8-C4:C8)</f>
        <v>30021</v>
      </c>
    </row>
    <row r="12" spans="1:9" x14ac:dyDescent="0.3">
      <c r="C12" s="6" t="str">
        <f>B3</f>
        <v>Name</v>
      </c>
      <c r="D12" s="8" t="str">
        <f>IF(D11="","",INDEX(B4:B8,MATCH(D11,E4:E8,0)))</f>
        <v>Gaurav Bhatia</v>
      </c>
      <c r="E12" t="str" cm="1">
        <f t="array" ref="E12">INDEX(B4:B8,MATCH(LARGE(D4:D8-C4:C8,1),D4:D8-C4:C8,0))</f>
        <v>Gaurav Bhatia</v>
      </c>
    </row>
    <row r="14" spans="1:9" x14ac:dyDescent="0.3">
      <c r="D14" t="str">
        <f>INDEX(B4:B8,MATCH(MAX(E4:E8),E4:E8,0))</f>
        <v>Gaurav Bhatia</v>
      </c>
    </row>
    <row r="15" spans="1:9" x14ac:dyDescent="0.3">
      <c r="D15" t="str" cm="1">
        <f t="array" ref="D15">INDEX(B4:B8, MATCH(TRUE,E4:E8=MAX(E4:E8),0))</f>
        <v>Gaurav Bhatia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A4C5-8C41-49CD-A1EC-2C7EE432F625}">
  <sheetPr>
    <tabColor rgb="FF00B0F0"/>
  </sheetPr>
  <dimension ref="A1:N37"/>
  <sheetViews>
    <sheetView showGridLines="0" workbookViewId="0">
      <selection activeCell="N19" sqref="B19:N20"/>
    </sheetView>
  </sheetViews>
  <sheetFormatPr defaultColWidth="9.109375" defaultRowHeight="14.4" x14ac:dyDescent="0.3"/>
  <cols>
    <col min="1" max="1" width="20.33203125" style="14" bestFit="1" customWidth="1"/>
    <col min="2" max="2" width="10" style="14" bestFit="1" customWidth="1"/>
    <col min="3" max="3" width="8.5546875" style="14" bestFit="1" customWidth="1"/>
    <col min="4" max="4" width="4" style="14" customWidth="1"/>
    <col min="5" max="5" width="6.109375" style="14" customWidth="1"/>
    <col min="6" max="6" width="9.109375" style="14" customWidth="1"/>
    <col min="7" max="7" width="5.88671875" style="14" bestFit="1" customWidth="1"/>
    <col min="8" max="8" width="11" style="14" bestFit="1" customWidth="1"/>
    <col min="9" max="9" width="10" style="14" customWidth="1"/>
    <col min="10" max="10" width="9.109375" style="14"/>
    <col min="11" max="11" width="40.5546875" style="14" bestFit="1" customWidth="1"/>
    <col min="12" max="16384" width="9.109375" style="14"/>
  </cols>
  <sheetData>
    <row r="1" spans="1:14" x14ac:dyDescent="0.3">
      <c r="A1" s="13" t="s">
        <v>2</v>
      </c>
      <c r="B1" s="23" t="s">
        <v>23</v>
      </c>
      <c r="C1" s="24" t="s">
        <v>24</v>
      </c>
      <c r="D1" s="24" t="s">
        <v>25</v>
      </c>
      <c r="E1" s="24" t="s">
        <v>26</v>
      </c>
      <c r="F1" s="24" t="s">
        <v>27</v>
      </c>
      <c r="G1" s="24" t="s">
        <v>28</v>
      </c>
      <c r="H1" s="25" t="s">
        <v>29</v>
      </c>
      <c r="I1" s="26" t="s">
        <v>0</v>
      </c>
    </row>
    <row r="2" spans="1:14" x14ac:dyDescent="0.3">
      <c r="A2" s="15" t="s">
        <v>30</v>
      </c>
      <c r="B2" s="15">
        <v>78</v>
      </c>
      <c r="C2" s="15">
        <v>43</v>
      </c>
      <c r="D2" s="15">
        <v>35</v>
      </c>
      <c r="E2" s="15">
        <v>34</v>
      </c>
      <c r="F2" s="15">
        <v>35</v>
      </c>
      <c r="G2" s="16">
        <v>254</v>
      </c>
      <c r="H2" s="17">
        <v>50.8</v>
      </c>
      <c r="I2" s="18" t="str">
        <f>IF(COUNTIF(B2:F2,"&gt;=30")=5,"Pass",IF(COUNTIF(B2:F2,"&lt;=30")&lt;=2,"ER","FAIL"))</f>
        <v>Pass</v>
      </c>
      <c r="J2" s="14" t="str" cm="1">
        <f t="array" ref="J2">_xlfn.SWITCH(TRUE,COUNTIF(B2:F2,"&gt;30")=5,"PASS",COUNTIF(B2:F2,"&lt;=30")=2,"ER", COUNTIF(B2:F2,"&lt;30")&gt;2,"Fail","Unknown")</f>
        <v>PASS</v>
      </c>
      <c r="K2" s="19"/>
      <c r="N2" s="14" t="str" cm="1">
        <f t="array" ref="N2">IF(SUM(IF(B2:F2&lt;29,1,0))&gt;2, "FAIL",IF(SUM(IF(B2:F2&lt;=30,1,0))=2, "ER",IF(SUM(IF(B2:F2&gt;=30,1,0))=5,"PASS","")))</f>
        <v>PASS</v>
      </c>
    </row>
    <row r="3" spans="1:14" x14ac:dyDescent="0.3">
      <c r="A3" s="15" t="s">
        <v>31</v>
      </c>
      <c r="B3" s="15">
        <v>45</v>
      </c>
      <c r="C3" s="15">
        <v>45</v>
      </c>
      <c r="D3" s="15">
        <v>15</v>
      </c>
      <c r="E3" s="15">
        <v>15</v>
      </c>
      <c r="F3" s="15">
        <v>75</v>
      </c>
      <c r="G3" s="16">
        <v>179</v>
      </c>
      <c r="H3" s="17">
        <v>35.799999999999997</v>
      </c>
      <c r="I3" s="18" t="str">
        <f t="shared" ref="I3:I37" si="0">IF(COUNTIF(B3:F3,"&gt;=30")=5,"Pass",IF(COUNTIF(B3:F3,"&lt;=30")&lt;=2,"ER","FAIL"))</f>
        <v>ER</v>
      </c>
      <c r="J3" s="14" t="str" cm="1">
        <f t="array" ref="J3">_xlfn.SWITCH(TRUE,COUNTIF(B3:F3,"&gt;30")=5,"PASS",COUNTIF(B3:F3,"&lt;=30")=2,"ER", COUNTIF(B3:F3,"&lt;30")&gt;2,"Fail","Unknown")</f>
        <v>ER</v>
      </c>
      <c r="K3" s="27" t="s">
        <v>64</v>
      </c>
      <c r="L3" s="27" t="s">
        <v>65</v>
      </c>
      <c r="N3" s="14" t="str" cm="1">
        <f t="array" ref="N3">IF(SUM(IF(B3:F3&lt;29,1,0))&gt;2, "FAIL",IF(SUM(IF(B3:F3&lt;=30,1,0))=2, "ER",IF(SUM(IF(B3:F3&gt;=30,1,0))=5,"PASS","")))</f>
        <v>ER</v>
      </c>
    </row>
    <row r="4" spans="1:14" x14ac:dyDescent="0.3">
      <c r="A4" s="15" t="s">
        <v>32</v>
      </c>
      <c r="B4" s="15">
        <v>26</v>
      </c>
      <c r="C4" s="15">
        <v>46</v>
      </c>
      <c r="D4" s="15">
        <v>75</v>
      </c>
      <c r="E4" s="15">
        <v>37</v>
      </c>
      <c r="F4" s="15">
        <v>67</v>
      </c>
      <c r="G4" s="16">
        <v>251</v>
      </c>
      <c r="H4" s="17">
        <v>50.2</v>
      </c>
      <c r="I4" s="18" t="str">
        <f t="shared" si="0"/>
        <v>ER</v>
      </c>
      <c r="J4" s="14" t="str" cm="1">
        <f t="array" ref="J4">_xlfn.SWITCH(TRUE,COUNTIF(B4:F4,"&gt;30")=5,"PASS",COUNTIF(B4:F4,"&lt;=30")=2,"ER", COUNTIF(B4:F4,"&lt;30")&gt;2,"Fail","Unknown")</f>
        <v>Unknown</v>
      </c>
      <c r="K4" s="28" t="s">
        <v>67</v>
      </c>
      <c r="L4" s="28" t="s">
        <v>66</v>
      </c>
      <c r="N4" s="14" t="str" cm="1">
        <f t="array" ref="N4">IF(SUM(IF(B4:F4&lt;29,1,0))&gt;2, "FAIL",IF(SUM(IF(B4:F4&lt;=30,1,0))=2, "ER",IF(SUM(IF(B4:F4&gt;=30,1,0))=5,"PASS","")))</f>
        <v/>
      </c>
    </row>
    <row r="5" spans="1:14" x14ac:dyDescent="0.3">
      <c r="A5" s="15" t="s">
        <v>33</v>
      </c>
      <c r="B5" s="15">
        <v>78</v>
      </c>
      <c r="C5" s="15">
        <v>18</v>
      </c>
      <c r="D5" s="15">
        <v>46</v>
      </c>
      <c r="E5" s="15">
        <v>28</v>
      </c>
      <c r="F5" s="15">
        <v>33</v>
      </c>
      <c r="G5" s="16">
        <v>198</v>
      </c>
      <c r="H5" s="17">
        <v>39.6</v>
      </c>
      <c r="I5" s="18" t="str">
        <f t="shared" si="0"/>
        <v>ER</v>
      </c>
      <c r="J5" s="14" t="str" cm="1">
        <f t="array" ref="J5">_xlfn.SWITCH(TRUE,COUNTIF(B5:F5,"&gt;30")=5,"PASS",COUNTIF(B5:F5,"&lt;=30")=2,"ER", COUNTIF(B5:F5,"&lt;30")&gt;2,"Fail","Unknown")</f>
        <v>ER</v>
      </c>
      <c r="K5" s="28" t="s">
        <v>68</v>
      </c>
      <c r="L5" s="28" t="s">
        <v>69</v>
      </c>
      <c r="N5" s="14" t="str" cm="1">
        <f t="array" ref="N5">IF(SUM(IF(B5:F5&lt;29,1,0))&gt;2, "FAIL",IF(SUM(IF(B5:F5&lt;=30,1,0))=2, "ER",IF(SUM(IF(B5:F5&gt;=30,1,0))=5,"PASS","")))</f>
        <v>ER</v>
      </c>
    </row>
    <row r="6" spans="1:14" x14ac:dyDescent="0.3">
      <c r="A6" s="15" t="s">
        <v>34</v>
      </c>
      <c r="B6" s="15">
        <v>36</v>
      </c>
      <c r="C6" s="15">
        <v>99</v>
      </c>
      <c r="D6" s="15">
        <v>18</v>
      </c>
      <c r="E6" s="15">
        <v>46</v>
      </c>
      <c r="F6" s="15">
        <v>46</v>
      </c>
      <c r="G6" s="16">
        <v>245</v>
      </c>
      <c r="H6" s="17">
        <v>49</v>
      </c>
      <c r="I6" s="18" t="str">
        <f t="shared" si="0"/>
        <v>ER</v>
      </c>
      <c r="J6" s="14" t="str" cm="1">
        <f t="array" ref="J6">_xlfn.SWITCH(TRUE,COUNTIF(B6:F6,"&gt;30")=5,"PASS",COUNTIF(B6:F6,"&lt;=30")=2,"ER", COUNTIF(B6:F6,"&lt;30")&gt;2,"Fail","Unknown")</f>
        <v>Unknown</v>
      </c>
      <c r="K6" s="28" t="s">
        <v>71</v>
      </c>
      <c r="L6" s="28" t="s">
        <v>70</v>
      </c>
      <c r="N6" s="14" t="str" cm="1">
        <f t="array" ref="N6">IF(SUM(IF(B6:F6&lt;29,1,0))&gt;2, "FAIL",IF(SUM(IF(B6:F6&lt;=30,1,0))=2, "ER",IF(SUM(IF(B6:F6&gt;=30,1,0))=5,"PASS","")))</f>
        <v/>
      </c>
    </row>
    <row r="7" spans="1:14" x14ac:dyDescent="0.3">
      <c r="A7" s="15" t="s">
        <v>35</v>
      </c>
      <c r="B7" s="15">
        <v>98</v>
      </c>
      <c r="C7" s="15">
        <v>33</v>
      </c>
      <c r="D7" s="15">
        <v>45</v>
      </c>
      <c r="E7" s="15">
        <v>48</v>
      </c>
      <c r="F7" s="15">
        <v>46</v>
      </c>
      <c r="G7" s="16">
        <v>270</v>
      </c>
      <c r="H7" s="17">
        <v>54</v>
      </c>
      <c r="I7" s="18" t="str">
        <f t="shared" si="0"/>
        <v>Pass</v>
      </c>
      <c r="J7" s="14" t="str" cm="1">
        <f t="array" ref="J7">_xlfn.SWITCH(TRUE,COUNTIF(B7:F7,"&gt;30")=5,"PASS",COUNTIF(B7:F7,"&lt;=30")=2,"ER", COUNTIF(B7:F7,"&lt;30")&gt;2,"Fail","Unknown")</f>
        <v>PASS</v>
      </c>
      <c r="N7" s="14" t="str" cm="1">
        <f t="array" ref="N7">IF(SUM(IF(B7:F7&lt;29,1,0))&gt;2, "FAIL",IF(SUM(IF(B7:F7&lt;=30,1,0))=2, "ER",IF(SUM(IF(B7:F7&gt;=30,1,0))=5,"PASS","")))</f>
        <v>PASS</v>
      </c>
    </row>
    <row r="8" spans="1:14" x14ac:dyDescent="0.3">
      <c r="A8" s="15" t="s">
        <v>36</v>
      </c>
      <c r="B8" s="15">
        <v>100</v>
      </c>
      <c r="C8" s="15">
        <v>100</v>
      </c>
      <c r="D8" s="15">
        <v>100</v>
      </c>
      <c r="E8" s="15">
        <v>100</v>
      </c>
      <c r="F8" s="15">
        <v>100</v>
      </c>
      <c r="G8" s="16">
        <v>500</v>
      </c>
      <c r="H8" s="17">
        <v>100</v>
      </c>
      <c r="I8" s="18" t="str">
        <f t="shared" si="0"/>
        <v>Pass</v>
      </c>
      <c r="J8" s="14" t="str" cm="1">
        <f t="array" ref="J8">_xlfn.SWITCH(TRUE,COUNTIF(B8:F8,"&gt;30")=5,"PASS",COUNTIF(B8:F8,"&lt;=30")=2,"ER", COUNTIF(B8:F8,"&lt;30")&gt;2,"Fail","Unknown")</f>
        <v>PASS</v>
      </c>
      <c r="N8" s="14" t="str" cm="1">
        <f t="array" ref="N8">IF(SUM(IF(B8:F8&lt;29,1,0))&gt;2, "FAIL",IF(SUM(IF(B8:F8&lt;=30,1,0))=2, "ER",IF(SUM(IF(B8:F8&gt;=30,1,0))=5,"PASS","")))</f>
        <v>PASS</v>
      </c>
    </row>
    <row r="9" spans="1:14" x14ac:dyDescent="0.3">
      <c r="A9" s="15" t="s">
        <v>37</v>
      </c>
      <c r="B9" s="15">
        <v>65</v>
      </c>
      <c r="C9" s="15">
        <v>58</v>
      </c>
      <c r="D9" s="15">
        <v>88</v>
      </c>
      <c r="E9" s="15">
        <v>78</v>
      </c>
      <c r="F9" s="15">
        <v>99</v>
      </c>
      <c r="G9" s="16">
        <v>388</v>
      </c>
      <c r="H9" s="17">
        <v>77.599999999999994</v>
      </c>
      <c r="I9" s="18" t="str">
        <f t="shared" si="0"/>
        <v>Pass</v>
      </c>
      <c r="J9" s="14" t="str" cm="1">
        <f t="array" ref="J9">_xlfn.SWITCH(TRUE,COUNTIF(B9:F9,"&gt;30")=5,"PASS",COUNTIF(B9:F9,"&lt;=30")=2,"ER", COUNTIF(B9:F9,"&lt;30")&gt;2,"Fail","Unknown")</f>
        <v>PASS</v>
      </c>
      <c r="N9" s="14" t="str" cm="1">
        <f t="array" ref="N9">IF(SUM(IF(B9:F9&lt;29,1,0))&gt;2, "FAIL",IF(SUM(IF(B9:F9&lt;=30,1,0))=2, "ER",IF(SUM(IF(B9:F9&gt;=30,1,0))=5,"PASS","")))</f>
        <v>PASS</v>
      </c>
    </row>
    <row r="10" spans="1:14" x14ac:dyDescent="0.3">
      <c r="A10" s="15" t="s">
        <v>38</v>
      </c>
      <c r="B10" s="15">
        <v>75</v>
      </c>
      <c r="C10" s="15">
        <v>90</v>
      </c>
      <c r="D10" s="15">
        <v>58</v>
      </c>
      <c r="E10" s="15">
        <v>88</v>
      </c>
      <c r="F10" s="15">
        <v>78</v>
      </c>
      <c r="G10" s="16">
        <v>389</v>
      </c>
      <c r="H10" s="17">
        <v>77.8</v>
      </c>
      <c r="I10" s="18" t="str">
        <f t="shared" si="0"/>
        <v>Pass</v>
      </c>
      <c r="J10" s="14" t="str" cm="1">
        <f t="array" ref="J10">_xlfn.SWITCH(TRUE,COUNTIF(B10:F10,"&gt;30")=5,"PASS",COUNTIF(B10:F10,"&lt;=30")=2,"ER", COUNTIF(B10:F10,"&lt;30")&gt;2,"Fail","Unknown")</f>
        <v>PASS</v>
      </c>
      <c r="N10" s="14" t="str" cm="1">
        <f t="array" ref="N10">IF(SUM(IF(B10:F10&lt;29,1,0))&gt;2, "FAIL",IF(SUM(IF(B10:F10&lt;=30,1,0))=2, "ER",IF(SUM(IF(B10:F10&gt;=30,1,0))=5,"PASS","")))</f>
        <v>PASS</v>
      </c>
    </row>
    <row r="11" spans="1:14" x14ac:dyDescent="0.3">
      <c r="A11" s="15" t="s">
        <v>39</v>
      </c>
      <c r="B11" s="15">
        <v>15</v>
      </c>
      <c r="C11" s="15">
        <v>80</v>
      </c>
      <c r="D11" s="15">
        <v>90</v>
      </c>
      <c r="E11" s="15">
        <v>58</v>
      </c>
      <c r="F11" s="15">
        <v>88</v>
      </c>
      <c r="G11" s="16">
        <v>331</v>
      </c>
      <c r="H11" s="17">
        <v>66.2</v>
      </c>
      <c r="I11" s="18" t="str">
        <f t="shared" si="0"/>
        <v>ER</v>
      </c>
      <c r="J11" s="14" t="str" cm="1">
        <f t="array" ref="J11">_xlfn.SWITCH(TRUE,COUNTIF(B11:F11,"&gt;30")=5,"PASS",COUNTIF(B11:F11,"&lt;=30")=2,"ER", COUNTIF(B11:F11,"&lt;30")&gt;2,"Fail","Unknown")</f>
        <v>Unknown</v>
      </c>
      <c r="N11" s="14" t="str" cm="1">
        <f t="array" ref="N11">IF(SUM(IF(B11:F11&lt;29,1,0))&gt;2, "FAIL",IF(SUM(IF(B11:F11&lt;=30,1,0))=2, "ER",IF(SUM(IF(B11:F11&gt;=30,1,0))=5,"PASS","")))</f>
        <v/>
      </c>
    </row>
    <row r="12" spans="1:14" x14ac:dyDescent="0.3">
      <c r="A12" s="15" t="s">
        <v>40</v>
      </c>
      <c r="B12" s="15">
        <v>75</v>
      </c>
      <c r="C12" s="15">
        <v>70</v>
      </c>
      <c r="D12" s="15">
        <v>80</v>
      </c>
      <c r="E12" s="15">
        <v>90</v>
      </c>
      <c r="F12" s="15">
        <v>58</v>
      </c>
      <c r="G12" s="16">
        <v>373</v>
      </c>
      <c r="H12" s="17">
        <v>74.599999999999994</v>
      </c>
      <c r="I12" s="18" t="str">
        <f t="shared" si="0"/>
        <v>Pass</v>
      </c>
      <c r="J12" s="14" t="str" cm="1">
        <f t="array" ref="J12">_xlfn.SWITCH(TRUE,COUNTIF(B12:F12,"&gt;30")=5,"PASS",COUNTIF(B12:F12,"&lt;=30")=2,"ER", COUNTIF(B12:F12,"&lt;30")&gt;2,"Fail","Unknown")</f>
        <v>PASS</v>
      </c>
      <c r="N12" s="14" t="str" cm="1">
        <f t="array" ref="N12">IF(SUM(IF(B12:F12&lt;29,1,0))&gt;2, "FAIL",IF(SUM(IF(B12:F12&lt;=30,1,0))=2, "ER",IF(SUM(IF(B12:F12&gt;=30,1,0))=5,"PASS","")))</f>
        <v>PASS</v>
      </c>
    </row>
    <row r="13" spans="1:14" x14ac:dyDescent="0.3">
      <c r="A13" s="15" t="s">
        <v>41</v>
      </c>
      <c r="B13" s="15">
        <v>15</v>
      </c>
      <c r="C13" s="15">
        <v>50</v>
      </c>
      <c r="D13" s="15">
        <v>70</v>
      </c>
      <c r="E13" s="15">
        <v>80</v>
      </c>
      <c r="F13" s="15">
        <v>90</v>
      </c>
      <c r="G13" s="16">
        <v>305</v>
      </c>
      <c r="H13" s="17">
        <v>61</v>
      </c>
      <c r="I13" s="18" t="str">
        <f t="shared" si="0"/>
        <v>ER</v>
      </c>
      <c r="J13" s="14" t="str" cm="1">
        <f t="array" ref="J13">_xlfn.SWITCH(TRUE,COUNTIF(B13:F13,"&gt;30")=5,"PASS",COUNTIF(B13:F13,"&lt;=30")=2,"ER", COUNTIF(B13:F13,"&lt;30")&gt;2,"Fail","Unknown")</f>
        <v>Unknown</v>
      </c>
      <c r="N13" s="14" t="str" cm="1">
        <f t="array" ref="N13">IF(SUM(IF(B13:F13&lt;29,1,0))&gt;2, "FAIL",IF(SUM(IF(B13:F13&lt;=30,1,0))=2, "ER",IF(SUM(IF(B13:F13&gt;=30,1,0))=5,"PASS","")))</f>
        <v/>
      </c>
    </row>
    <row r="14" spans="1:14" x14ac:dyDescent="0.3">
      <c r="A14" s="15" t="s">
        <v>42</v>
      </c>
      <c r="B14" s="15">
        <v>37</v>
      </c>
      <c r="C14" s="15">
        <v>60</v>
      </c>
      <c r="D14" s="15">
        <v>50</v>
      </c>
      <c r="E14" s="15">
        <v>70</v>
      </c>
      <c r="F14" s="15">
        <v>80</v>
      </c>
      <c r="G14" s="16">
        <v>297</v>
      </c>
      <c r="H14" s="17">
        <v>59.4</v>
      </c>
      <c r="I14" s="18" t="str">
        <f t="shared" si="0"/>
        <v>Pass</v>
      </c>
      <c r="J14" s="14" t="str" cm="1">
        <f t="array" ref="J14">_xlfn.SWITCH(TRUE,COUNTIF(B14:F14,"&gt;30")=5,"PASS",COUNTIF(B14:F14,"&lt;=30")=2,"ER", COUNTIF(B14:F14,"&lt;30")&gt;2,"Fail","Unknown")</f>
        <v>PASS</v>
      </c>
      <c r="N14" s="14" t="str" cm="1">
        <f t="array" ref="N14">IF(SUM(IF(B14:F14&lt;29,1,0))&gt;2, "FAIL",IF(SUM(IF(B14:F14&lt;=30,1,0))=2, "ER",IF(SUM(IF(B14:F14&gt;=30,1,0))=5,"PASS","")))</f>
        <v>PASS</v>
      </c>
    </row>
    <row r="15" spans="1:14" x14ac:dyDescent="0.3">
      <c r="A15" s="15" t="s">
        <v>43</v>
      </c>
      <c r="B15" s="15">
        <v>28</v>
      </c>
      <c r="C15" s="15">
        <v>40</v>
      </c>
      <c r="D15" s="15">
        <v>60</v>
      </c>
      <c r="E15" s="15">
        <v>50</v>
      </c>
      <c r="F15" s="15">
        <v>70</v>
      </c>
      <c r="G15" s="16">
        <v>248</v>
      </c>
      <c r="H15" s="17">
        <v>49.6</v>
      </c>
      <c r="I15" s="18" t="str">
        <f t="shared" si="0"/>
        <v>ER</v>
      </c>
      <c r="J15" s="14" t="str" cm="1">
        <f t="array" ref="J15">_xlfn.SWITCH(TRUE,COUNTIF(B15:F15,"&gt;30")=5,"PASS",COUNTIF(B15:F15,"&lt;=30")=2,"ER", COUNTIF(B15:F15,"&lt;30")&gt;2,"Fail","Unknown")</f>
        <v>Unknown</v>
      </c>
      <c r="N15" s="14" t="str" cm="1">
        <f t="array" ref="N15">IF(SUM(IF(B15:F15&lt;29,1,0))&gt;2, "FAIL",IF(SUM(IF(B15:F15&lt;=30,1,0))=2, "ER",IF(SUM(IF(B15:F15&gt;=30,1,0))=5,"PASS","")))</f>
        <v/>
      </c>
    </row>
    <row r="16" spans="1:14" x14ac:dyDescent="0.3">
      <c r="A16" s="15" t="s">
        <v>19</v>
      </c>
      <c r="B16" s="15">
        <v>98</v>
      </c>
      <c r="C16" s="15">
        <v>50</v>
      </c>
      <c r="D16" s="15">
        <v>40</v>
      </c>
      <c r="E16" s="15">
        <v>60</v>
      </c>
      <c r="F16" s="15">
        <v>50</v>
      </c>
      <c r="G16" s="16">
        <v>298</v>
      </c>
      <c r="H16" s="17">
        <v>59.6</v>
      </c>
      <c r="I16" s="18" t="str">
        <f t="shared" si="0"/>
        <v>Pass</v>
      </c>
      <c r="J16" s="14" t="str" cm="1">
        <f t="array" ref="J16">_xlfn.SWITCH(TRUE,COUNTIF(B16:F16,"&gt;30")=5,"PASS",COUNTIF(B16:F16,"&lt;=30")=2,"ER", COUNTIF(B16:F16,"&lt;30")&gt;2,"Fail","Unknown")</f>
        <v>PASS</v>
      </c>
      <c r="N16" s="14" t="str" cm="1">
        <f t="array" ref="N16">IF(SUM(IF(B16:F16&lt;29,1,0))&gt;2, "FAIL",IF(SUM(IF(B16:F16&lt;=30,1,0))=2, "ER",IF(SUM(IF(B16:F16&gt;=30,1,0))=5,"PASS","")))</f>
        <v>PASS</v>
      </c>
    </row>
    <row r="17" spans="1:14" x14ac:dyDescent="0.3">
      <c r="A17" s="15" t="s">
        <v>44</v>
      </c>
      <c r="B17" s="15">
        <v>85</v>
      </c>
      <c r="C17" s="15">
        <v>76</v>
      </c>
      <c r="D17" s="15">
        <v>50</v>
      </c>
      <c r="E17" s="15">
        <v>40</v>
      </c>
      <c r="F17" s="15">
        <v>60</v>
      </c>
      <c r="G17" s="16">
        <v>311</v>
      </c>
      <c r="H17" s="17">
        <v>62.2</v>
      </c>
      <c r="I17" s="18" t="str">
        <f t="shared" si="0"/>
        <v>Pass</v>
      </c>
      <c r="J17" s="14" t="str" cm="1">
        <f t="array" ref="J17">_xlfn.SWITCH(TRUE,COUNTIF(B17:F17,"&gt;30")=5,"PASS",COUNTIF(B17:F17,"&lt;=30")=2,"ER", COUNTIF(B17:F17,"&lt;30")&gt;2,"Fail","Unknown")</f>
        <v>PASS</v>
      </c>
      <c r="N17" s="14" t="str" cm="1">
        <f t="array" ref="N17">IF(SUM(IF(B17:F17&lt;29,1,0))&gt;2, "FAIL",IF(SUM(IF(B17:F17&lt;=30,1,0))=2, "ER",IF(SUM(IF(B17:F17&gt;=30,1,0))=5,"PASS","")))</f>
        <v>PASS</v>
      </c>
    </row>
    <row r="18" spans="1:14" x14ac:dyDescent="0.3">
      <c r="A18" s="15" t="s">
        <v>45</v>
      </c>
      <c r="B18" s="15">
        <v>75</v>
      </c>
      <c r="C18" s="15">
        <v>67</v>
      </c>
      <c r="D18" s="15">
        <v>76</v>
      </c>
      <c r="E18" s="15">
        <v>50</v>
      </c>
      <c r="F18" s="15">
        <v>40</v>
      </c>
      <c r="G18" s="16">
        <v>308</v>
      </c>
      <c r="H18" s="17">
        <v>61.6</v>
      </c>
      <c r="I18" s="18" t="str">
        <f t="shared" si="0"/>
        <v>Pass</v>
      </c>
      <c r="J18" s="14" t="str" cm="1">
        <f t="array" ref="J18">_xlfn.SWITCH(TRUE,COUNTIF(B18:F18,"&gt;30")=5,"PASS",COUNTIF(B18:F18,"&lt;=30")=2,"ER", COUNTIF(B18:F18,"&lt;30")&gt;2,"Fail","Unknown")</f>
        <v>PASS</v>
      </c>
      <c r="N18" s="14" t="str" cm="1">
        <f t="array" ref="N18">IF(SUM(IF(B18:F18&lt;29,1,0))&gt;2, "FAIL",IF(SUM(IF(B18:F18&lt;=30,1,0))=2, "ER",IF(SUM(IF(B18:F18&gt;=30,1,0))=5,"PASS","")))</f>
        <v>PASS</v>
      </c>
    </row>
    <row r="19" spans="1:14" x14ac:dyDescent="0.3">
      <c r="A19" s="15" t="s">
        <v>46</v>
      </c>
      <c r="B19" s="15">
        <v>65</v>
      </c>
      <c r="C19" s="15">
        <v>28</v>
      </c>
      <c r="D19" s="15">
        <v>67</v>
      </c>
      <c r="E19" s="15">
        <v>76</v>
      </c>
      <c r="F19" s="15">
        <v>50</v>
      </c>
      <c r="G19" s="16">
        <v>286</v>
      </c>
      <c r="H19" s="17">
        <v>57.2</v>
      </c>
      <c r="I19" s="18" t="str">
        <f t="shared" si="0"/>
        <v>ER</v>
      </c>
      <c r="J19" s="14" t="str" cm="1">
        <f t="array" ref="J19">_xlfn.SWITCH(TRUE,COUNTIF(B19:F19,"&gt;30")=5,"PASS",COUNTIF(B19:F19,"&lt;=30")=2,"ER", COUNTIF(B19:F19,"&lt;30")&gt;2,"Fail","Unknown")</f>
        <v>Unknown</v>
      </c>
      <c r="N19" s="14" t="str" cm="1">
        <f t="array" ref="N19">IF(SUM(IF(B19:F19&lt;29,1,0))&gt;2, "FAIL",IF(SUM(IF(B19:F19&lt;=30,1,0))=2, "ER",IF(SUM(IF(B19:F19&gt;=30,1,0))=5,"PASS","")))</f>
        <v/>
      </c>
    </row>
    <row r="20" spans="1:14" x14ac:dyDescent="0.3">
      <c r="A20" s="15" t="s">
        <v>47</v>
      </c>
      <c r="B20" s="15">
        <v>68</v>
      </c>
      <c r="C20" s="15">
        <v>46</v>
      </c>
      <c r="D20" s="15">
        <v>28</v>
      </c>
      <c r="E20" s="15">
        <v>67</v>
      </c>
      <c r="F20" s="15">
        <v>76</v>
      </c>
      <c r="G20" s="16">
        <v>285</v>
      </c>
      <c r="H20" s="17">
        <v>57</v>
      </c>
      <c r="I20" s="18" t="str">
        <f t="shared" si="0"/>
        <v>ER</v>
      </c>
      <c r="J20" s="14" t="str" cm="1">
        <f t="array" ref="J20">_xlfn.SWITCH(TRUE,COUNTIF(B20:F20,"&gt;30")=5,"PASS",COUNTIF(B20:F20,"&lt;=30")=2,"ER", COUNTIF(B20:F20,"&lt;30")&gt;2,"Fail","Unknown")</f>
        <v>Unknown</v>
      </c>
      <c r="N20" s="14" t="str" cm="1">
        <f t="array" ref="N20">IF(SUM(IF(B20:F20&lt;29,1,0))&gt;2, "FAIL",IF(SUM(IF(B20:F20&lt;=30,1,0))=2, "ER",IF(SUM(IF(B20:F20&gt;=30,1,0))=5,"PASS","")))</f>
        <v/>
      </c>
    </row>
    <row r="21" spans="1:14" x14ac:dyDescent="0.3">
      <c r="A21" s="15" t="s">
        <v>48</v>
      </c>
      <c r="B21" s="15">
        <v>67</v>
      </c>
      <c r="C21" s="15">
        <v>18</v>
      </c>
      <c r="D21" s="15">
        <v>46</v>
      </c>
      <c r="E21" s="15">
        <v>28</v>
      </c>
      <c r="F21" s="15">
        <v>67</v>
      </c>
      <c r="G21" s="16">
        <v>226</v>
      </c>
      <c r="H21" s="17">
        <v>45.2</v>
      </c>
      <c r="I21" s="18" t="str">
        <f t="shared" si="0"/>
        <v>ER</v>
      </c>
      <c r="J21" s="14" t="str" cm="1">
        <f t="array" ref="J21">_xlfn.SWITCH(TRUE,COUNTIF(B21:F21,"&gt;30")=5,"PASS",COUNTIF(B21:F21,"&lt;=30")=2,"ER", COUNTIF(B21:F21,"&lt;30")&gt;2,"Fail","Unknown")</f>
        <v>ER</v>
      </c>
      <c r="N21" s="14" t="str" cm="1">
        <f t="array" ref="N21">IF(SUM(IF(B21:F21&lt;29,1,0))&gt;2, "FAIL",IF(SUM(IF(B21:F21&lt;=30,1,0))=2, "ER",IF(SUM(IF(B21:F21&gt;=30,1,0))=5,"PASS","")))</f>
        <v>ER</v>
      </c>
    </row>
    <row r="22" spans="1:14" x14ac:dyDescent="0.3">
      <c r="A22" s="15" t="s">
        <v>49</v>
      </c>
      <c r="B22" s="15">
        <v>28</v>
      </c>
      <c r="C22" s="15">
        <v>99</v>
      </c>
      <c r="D22" s="15">
        <v>18</v>
      </c>
      <c r="E22" s="15">
        <v>46</v>
      </c>
      <c r="F22" s="15">
        <v>28</v>
      </c>
      <c r="G22" s="16">
        <v>219</v>
      </c>
      <c r="H22" s="17">
        <v>43.8</v>
      </c>
      <c r="I22" s="18" t="str">
        <f t="shared" si="0"/>
        <v>FAIL</v>
      </c>
      <c r="J22" s="14" t="str" cm="1">
        <f t="array" ref="J22">_xlfn.SWITCH(TRUE,COUNTIF(B22:F22,"&gt;30")=5,"PASS",COUNTIF(B22:F22,"&lt;=30")=2,"ER", COUNTIF(B22:F22,"&lt;30")&gt;2,"Fail","Unknown")</f>
        <v>Fail</v>
      </c>
      <c r="N22" s="14" t="str" cm="1">
        <f t="array" ref="N22">IF(SUM(IF(B22:F22&lt;29,1,0))&gt;2, "FAIL",IF(SUM(IF(B22:F22&lt;=30,1,0))=2, "ER",IF(SUM(IF(B22:F22&gt;=30,1,0))=5,"PASS","")))</f>
        <v>FAIL</v>
      </c>
    </row>
    <row r="23" spans="1:14" x14ac:dyDescent="0.3">
      <c r="A23" s="15" t="s">
        <v>21</v>
      </c>
      <c r="B23" s="15">
        <v>46</v>
      </c>
      <c r="C23" s="15">
        <v>78</v>
      </c>
      <c r="D23" s="15">
        <v>99</v>
      </c>
      <c r="E23" s="15">
        <v>18</v>
      </c>
      <c r="F23" s="15">
        <v>46</v>
      </c>
      <c r="G23" s="16">
        <v>287</v>
      </c>
      <c r="H23" s="17">
        <v>57.4</v>
      </c>
      <c r="I23" s="18" t="str">
        <f t="shared" si="0"/>
        <v>ER</v>
      </c>
      <c r="J23" s="14" t="str" cm="1">
        <f t="array" ref="J23">_xlfn.SWITCH(TRUE,COUNTIF(B23:F23,"&gt;30")=5,"PASS",COUNTIF(B23:F23,"&lt;=30")=2,"ER", COUNTIF(B23:F23,"&lt;30")&gt;2,"Fail","Unknown")</f>
        <v>Unknown</v>
      </c>
      <c r="N23" s="14" t="str" cm="1">
        <f t="array" ref="N23">IF(SUM(IF(B23:F23&lt;29,1,0))&gt;2, "FAIL",IF(SUM(IF(B23:F23&lt;=30,1,0))=2, "ER",IF(SUM(IF(B23:F23&gt;=30,1,0))=5,"PASS","")))</f>
        <v/>
      </c>
    </row>
    <row r="24" spans="1:14" x14ac:dyDescent="0.3">
      <c r="A24" s="15" t="s">
        <v>50</v>
      </c>
      <c r="B24" s="15">
        <v>18</v>
      </c>
      <c r="C24" s="15">
        <v>88</v>
      </c>
      <c r="D24" s="15">
        <v>78</v>
      </c>
      <c r="E24" s="15">
        <v>99</v>
      </c>
      <c r="F24" s="15">
        <v>18</v>
      </c>
      <c r="G24" s="16">
        <v>301</v>
      </c>
      <c r="H24" s="17">
        <v>60.2</v>
      </c>
      <c r="I24" s="18" t="str">
        <f t="shared" si="0"/>
        <v>ER</v>
      </c>
      <c r="J24" s="14" t="str" cm="1">
        <f t="array" ref="J24">_xlfn.SWITCH(TRUE,COUNTIF(B24:F24,"&gt;30")=5,"PASS",COUNTIF(B24:F24,"&lt;=30")=2,"ER", COUNTIF(B24:F24,"&lt;30")&gt;2,"Fail","Unknown")</f>
        <v>ER</v>
      </c>
      <c r="N24" s="14" t="str" cm="1">
        <f t="array" ref="N24">IF(SUM(IF(B24:F24&lt;29,1,0))&gt;2, "FAIL",IF(SUM(IF(B24:F24&lt;=30,1,0))=2, "ER",IF(SUM(IF(B24:F24&gt;=30,1,0))=5,"PASS","")))</f>
        <v>ER</v>
      </c>
    </row>
    <row r="25" spans="1:14" x14ac:dyDescent="0.3">
      <c r="A25" s="15" t="s">
        <v>51</v>
      </c>
      <c r="B25" s="15">
        <v>99</v>
      </c>
      <c r="C25" s="15">
        <v>58</v>
      </c>
      <c r="D25" s="15">
        <v>88</v>
      </c>
      <c r="E25" s="15">
        <v>78</v>
      </c>
      <c r="F25" s="15">
        <v>99</v>
      </c>
      <c r="G25" s="16">
        <v>422</v>
      </c>
      <c r="H25" s="17">
        <v>84.4</v>
      </c>
      <c r="I25" s="18" t="str">
        <f t="shared" si="0"/>
        <v>Pass</v>
      </c>
      <c r="J25" s="14" t="str" cm="1">
        <f t="array" ref="J25">_xlfn.SWITCH(TRUE,COUNTIF(B25:F25,"&gt;30")=5,"PASS",COUNTIF(B25:F25,"&lt;=30")=2,"ER", COUNTIF(B25:F25,"&lt;30")&gt;2,"Fail","Unknown")</f>
        <v>PASS</v>
      </c>
      <c r="N25" s="14" t="str" cm="1">
        <f t="array" ref="N25">IF(SUM(IF(B25:F25&lt;29,1,0))&gt;2, "FAIL",IF(SUM(IF(B25:F25&lt;=30,1,0))=2, "ER",IF(SUM(IF(B25:F25&gt;=30,1,0))=5,"PASS","")))</f>
        <v>PASS</v>
      </c>
    </row>
    <row r="26" spans="1:14" x14ac:dyDescent="0.3">
      <c r="A26" s="15" t="s">
        <v>52</v>
      </c>
      <c r="B26" s="15">
        <v>78</v>
      </c>
      <c r="C26" s="15">
        <v>90</v>
      </c>
      <c r="D26" s="15">
        <v>58</v>
      </c>
      <c r="E26" s="15">
        <v>88</v>
      </c>
      <c r="F26" s="15">
        <v>78</v>
      </c>
      <c r="G26" s="16">
        <v>392</v>
      </c>
      <c r="H26" s="17">
        <v>78.400000000000006</v>
      </c>
      <c r="I26" s="18" t="str">
        <f t="shared" si="0"/>
        <v>Pass</v>
      </c>
      <c r="J26" s="14" t="str" cm="1">
        <f t="array" ref="J26">_xlfn.SWITCH(TRUE,COUNTIF(B26:F26,"&gt;30")=5,"PASS",COUNTIF(B26:F26,"&lt;=30")=2,"ER", COUNTIF(B26:F26,"&lt;30")&gt;2,"Fail","Unknown")</f>
        <v>PASS</v>
      </c>
      <c r="N26" s="14" t="str" cm="1">
        <f t="array" ref="N26">IF(SUM(IF(B26:F26&lt;29,1,0))&gt;2, "FAIL",IF(SUM(IF(B26:F26&lt;=30,1,0))=2, "ER",IF(SUM(IF(B26:F26&gt;=30,1,0))=5,"PASS","")))</f>
        <v>PASS</v>
      </c>
    </row>
    <row r="27" spans="1:14" x14ac:dyDescent="0.3">
      <c r="A27" s="15" t="s">
        <v>53</v>
      </c>
      <c r="B27" s="15">
        <v>88</v>
      </c>
      <c r="C27" s="15">
        <v>80</v>
      </c>
      <c r="D27" s="15">
        <v>90</v>
      </c>
      <c r="E27" s="15">
        <v>58</v>
      </c>
      <c r="F27" s="15">
        <v>88</v>
      </c>
      <c r="G27" s="16">
        <v>404</v>
      </c>
      <c r="H27" s="17">
        <v>80.8</v>
      </c>
      <c r="I27" s="18" t="str">
        <f t="shared" si="0"/>
        <v>Pass</v>
      </c>
      <c r="J27" s="14" t="str" cm="1">
        <f t="array" ref="J27">_xlfn.SWITCH(TRUE,COUNTIF(B27:F27,"&gt;30")=5,"PASS",COUNTIF(B27:F27,"&lt;=30")=2,"ER", COUNTIF(B27:F27,"&lt;30")&gt;2,"Fail","Unknown")</f>
        <v>PASS</v>
      </c>
      <c r="N27" s="14" t="str" cm="1">
        <f t="array" ref="N27">IF(SUM(IF(B27:F27&lt;29,1,0))&gt;2, "FAIL",IF(SUM(IF(B27:F27&lt;=30,1,0))=2, "ER",IF(SUM(IF(B27:F27&gt;=30,1,0))=5,"PASS","")))</f>
        <v>PASS</v>
      </c>
    </row>
    <row r="28" spans="1:14" x14ac:dyDescent="0.3">
      <c r="A28" s="15" t="s">
        <v>54</v>
      </c>
      <c r="B28" s="15">
        <v>58</v>
      </c>
      <c r="C28" s="15">
        <v>70</v>
      </c>
      <c r="D28" s="15">
        <v>80</v>
      </c>
      <c r="E28" s="15">
        <v>90</v>
      </c>
      <c r="F28" s="15">
        <v>58</v>
      </c>
      <c r="G28" s="16">
        <v>356</v>
      </c>
      <c r="H28" s="17">
        <v>71.2</v>
      </c>
      <c r="I28" s="18" t="str">
        <f t="shared" si="0"/>
        <v>Pass</v>
      </c>
      <c r="J28" s="14" t="str" cm="1">
        <f t="array" ref="J28">_xlfn.SWITCH(TRUE,COUNTIF(B28:F28,"&gt;30")=5,"PASS",COUNTIF(B28:F28,"&lt;=30")=2,"ER", COUNTIF(B28:F28,"&lt;30")&gt;2,"Fail","Unknown")</f>
        <v>PASS</v>
      </c>
      <c r="N28" s="14" t="str" cm="1">
        <f t="array" ref="N28">IF(SUM(IF(B28:F28&lt;29,1,0))&gt;2, "FAIL",IF(SUM(IF(B28:F28&lt;=30,1,0))=2, "ER",IF(SUM(IF(B28:F28&gt;=30,1,0))=5,"PASS","")))</f>
        <v>PASS</v>
      </c>
    </row>
    <row r="29" spans="1:14" x14ac:dyDescent="0.3">
      <c r="A29" s="15" t="s">
        <v>55</v>
      </c>
      <c r="B29" s="15">
        <v>90</v>
      </c>
      <c r="C29" s="15">
        <v>50</v>
      </c>
      <c r="D29" s="15">
        <v>70</v>
      </c>
      <c r="E29" s="15">
        <v>80</v>
      </c>
      <c r="F29" s="15">
        <v>90</v>
      </c>
      <c r="G29" s="16">
        <v>380</v>
      </c>
      <c r="H29" s="17">
        <v>76</v>
      </c>
      <c r="I29" s="18" t="str">
        <f t="shared" si="0"/>
        <v>Pass</v>
      </c>
      <c r="J29" s="14" t="str" cm="1">
        <f t="array" ref="J29">_xlfn.SWITCH(TRUE,COUNTIF(B29:F29,"&gt;30")=5,"PASS",COUNTIF(B29:F29,"&lt;=30")=2,"ER", COUNTIF(B29:F29,"&lt;30")&gt;2,"Fail","Unknown")</f>
        <v>PASS</v>
      </c>
      <c r="N29" s="14" t="str" cm="1">
        <f t="array" ref="N29">IF(SUM(IF(B29:F29&lt;29,1,0))&gt;2, "FAIL",IF(SUM(IF(B29:F29&lt;=30,1,0))=2, "ER",IF(SUM(IF(B29:F29&gt;=30,1,0))=5,"PASS","")))</f>
        <v>PASS</v>
      </c>
    </row>
    <row r="30" spans="1:14" x14ac:dyDescent="0.3">
      <c r="A30" s="15" t="s">
        <v>56</v>
      </c>
      <c r="B30" s="15">
        <v>80</v>
      </c>
      <c r="C30" s="15">
        <v>60</v>
      </c>
      <c r="D30" s="15">
        <v>50</v>
      </c>
      <c r="E30" s="15">
        <v>70</v>
      </c>
      <c r="F30" s="15">
        <v>80</v>
      </c>
      <c r="G30" s="16">
        <v>340</v>
      </c>
      <c r="H30" s="17">
        <v>68</v>
      </c>
      <c r="I30" s="18" t="str">
        <f t="shared" si="0"/>
        <v>Pass</v>
      </c>
      <c r="J30" s="14" t="str" cm="1">
        <f t="array" ref="J30">_xlfn.SWITCH(TRUE,COUNTIF(B30:F30,"&gt;30")=5,"PASS",COUNTIF(B30:F30,"&lt;=30")=2,"ER", COUNTIF(B30:F30,"&lt;30")&gt;2,"Fail","Unknown")</f>
        <v>PASS</v>
      </c>
      <c r="N30" s="14" t="str" cm="1">
        <f t="array" ref="N30">IF(SUM(IF(B30:F30&lt;29,1,0))&gt;2, "FAIL",IF(SUM(IF(B30:F30&lt;=30,1,0))=2, "ER",IF(SUM(IF(B30:F30&gt;=30,1,0))=5,"PASS","")))</f>
        <v>PASS</v>
      </c>
    </row>
    <row r="31" spans="1:14" x14ac:dyDescent="0.3">
      <c r="A31" s="15" t="s">
        <v>57</v>
      </c>
      <c r="B31" s="15">
        <v>70</v>
      </c>
      <c r="C31" s="15">
        <v>40</v>
      </c>
      <c r="D31" s="15">
        <v>60</v>
      </c>
      <c r="E31" s="15">
        <v>50</v>
      </c>
      <c r="F31" s="15">
        <v>70</v>
      </c>
      <c r="G31" s="16">
        <v>290</v>
      </c>
      <c r="H31" s="17">
        <v>58</v>
      </c>
      <c r="I31" s="18" t="str">
        <f t="shared" si="0"/>
        <v>Pass</v>
      </c>
      <c r="J31" s="14" t="str" cm="1">
        <f t="array" ref="J31">_xlfn.SWITCH(TRUE,COUNTIF(B31:F31,"&gt;30")=5,"PASS",COUNTIF(B31:F31,"&lt;=30")=2,"ER", COUNTIF(B31:F31,"&lt;30")&gt;2,"Fail","Unknown")</f>
        <v>PASS</v>
      </c>
      <c r="N31" s="14" t="str" cm="1">
        <f t="array" ref="N31">IF(SUM(IF(B31:F31&lt;29,1,0))&gt;2, "FAIL",IF(SUM(IF(B31:F31&lt;=30,1,0))=2, "ER",IF(SUM(IF(B31:F31&gt;=30,1,0))=5,"PASS","")))</f>
        <v>PASS</v>
      </c>
    </row>
    <row r="32" spans="1:14" x14ac:dyDescent="0.3">
      <c r="A32" s="15" t="s">
        <v>58</v>
      </c>
      <c r="B32" s="15">
        <v>50</v>
      </c>
      <c r="C32" s="15">
        <v>50</v>
      </c>
      <c r="D32" s="15">
        <v>40</v>
      </c>
      <c r="E32" s="15">
        <v>60</v>
      </c>
      <c r="F32" s="15">
        <v>50</v>
      </c>
      <c r="G32" s="16">
        <v>250</v>
      </c>
      <c r="H32" s="17">
        <v>50</v>
      </c>
      <c r="I32" s="18" t="str">
        <f t="shared" si="0"/>
        <v>Pass</v>
      </c>
      <c r="J32" s="14" t="str" cm="1">
        <f t="array" ref="J32">_xlfn.SWITCH(TRUE,COUNTIF(B32:F32,"&gt;30")=5,"PASS",COUNTIF(B32:F32,"&lt;=30")=2,"ER", COUNTIF(B32:F32,"&lt;30")&gt;2,"Fail","Unknown")</f>
        <v>PASS</v>
      </c>
      <c r="N32" s="14" t="str" cm="1">
        <f t="array" ref="N32">IF(SUM(IF(B32:F32&lt;29,1,0))&gt;2, "FAIL",IF(SUM(IF(B32:F32&lt;=30,1,0))=2, "ER",IF(SUM(IF(B32:F32&gt;=30,1,0))=5,"PASS","")))</f>
        <v>PASS</v>
      </c>
    </row>
    <row r="33" spans="1:14" x14ac:dyDescent="0.3">
      <c r="A33" s="15" t="s">
        <v>59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6">
        <v>0</v>
      </c>
      <c r="H33" s="17">
        <v>0</v>
      </c>
      <c r="I33" s="18" t="str">
        <f t="shared" si="0"/>
        <v>FAIL</v>
      </c>
      <c r="J33" s="14" t="str" cm="1">
        <f t="array" ref="J33">_xlfn.SWITCH(TRUE,COUNTIF(B33:F33,"&gt;30")=5,"PASS",COUNTIF(B33:F33,"&lt;=30")=2,"ER", COUNTIF(B33:F33,"&lt;30")&gt;2,"Fail","Unknown")</f>
        <v>Fail</v>
      </c>
      <c r="N33" s="14" t="str" cm="1">
        <f t="array" ref="N33">IF(SUM(IF(B33:F33&lt;29,1,0))&gt;2, "FAIL",IF(SUM(IF(B33:F33&lt;=30,1,0))=2, "ER",IF(SUM(IF(B33:F33&gt;=30,1,0))=5,"PASS","")))</f>
        <v>FAIL</v>
      </c>
    </row>
    <row r="34" spans="1:14" x14ac:dyDescent="0.3">
      <c r="A34" s="15" t="s">
        <v>60</v>
      </c>
      <c r="B34" s="15">
        <v>40</v>
      </c>
      <c r="C34" s="15">
        <v>75</v>
      </c>
      <c r="D34" s="15">
        <v>76</v>
      </c>
      <c r="E34" s="15">
        <v>50</v>
      </c>
      <c r="F34" s="15">
        <v>40</v>
      </c>
      <c r="G34" s="16">
        <v>281</v>
      </c>
      <c r="H34" s="17">
        <v>56.2</v>
      </c>
      <c r="I34" s="18" t="str">
        <f t="shared" si="0"/>
        <v>Pass</v>
      </c>
      <c r="J34" s="14" t="str" cm="1">
        <f t="array" ref="J34">_xlfn.SWITCH(TRUE,COUNTIF(B34:F34,"&gt;30")=5,"PASS",COUNTIF(B34:F34,"&lt;=30")=2,"ER", COUNTIF(B34:F34,"&lt;30")&gt;2,"Fail","Unknown")</f>
        <v>PASS</v>
      </c>
      <c r="N34" s="14" t="str" cm="1">
        <f t="array" ref="N34">IF(SUM(IF(B34:F34&lt;29,1,0))&gt;2, "FAIL",IF(SUM(IF(B34:F34&lt;=30,1,0))=2, "ER",IF(SUM(IF(B34:F34&gt;=30,1,0))=5,"PASS","")))</f>
        <v>PASS</v>
      </c>
    </row>
    <row r="35" spans="1:14" x14ac:dyDescent="0.3">
      <c r="A35" s="15" t="s">
        <v>61</v>
      </c>
      <c r="B35" s="15">
        <v>50</v>
      </c>
      <c r="C35" s="15">
        <v>15</v>
      </c>
      <c r="D35" s="15">
        <v>75</v>
      </c>
      <c r="E35" s="15">
        <v>76</v>
      </c>
      <c r="F35" s="15">
        <v>50</v>
      </c>
      <c r="G35" s="16">
        <v>266</v>
      </c>
      <c r="H35" s="17">
        <v>53.2</v>
      </c>
      <c r="I35" s="18" t="str">
        <f t="shared" si="0"/>
        <v>ER</v>
      </c>
      <c r="J35" s="14" t="str" cm="1">
        <f t="array" ref="J35">_xlfn.SWITCH(TRUE,COUNTIF(B35:F35,"&gt;30")=5,"PASS",COUNTIF(B35:F35,"&lt;=30")=2,"ER", COUNTIF(B35:F35,"&lt;30")&gt;2,"Fail","Unknown")</f>
        <v>Unknown</v>
      </c>
      <c r="N35" s="14" t="str" cm="1">
        <f t="array" ref="N35">IF(SUM(IF(B35:F35&lt;29,1,0))&gt;2, "FAIL",IF(SUM(IF(B35:F35&lt;=30,1,0))=2, "ER",IF(SUM(IF(B35:F35&gt;=30,1,0))=5,"PASS","")))</f>
        <v/>
      </c>
    </row>
    <row r="36" spans="1:14" x14ac:dyDescent="0.3">
      <c r="A36" s="15" t="s">
        <v>62</v>
      </c>
      <c r="B36" s="15">
        <v>76</v>
      </c>
      <c r="C36" s="15">
        <v>75</v>
      </c>
      <c r="D36" s="15">
        <v>15</v>
      </c>
      <c r="E36" s="15">
        <v>75</v>
      </c>
      <c r="F36" s="15">
        <v>76</v>
      </c>
      <c r="G36" s="16">
        <v>317</v>
      </c>
      <c r="H36" s="17">
        <v>63.4</v>
      </c>
      <c r="I36" s="18" t="str">
        <f t="shared" si="0"/>
        <v>ER</v>
      </c>
      <c r="J36" s="14" t="str" cm="1">
        <f t="array" ref="J36">_xlfn.SWITCH(TRUE,COUNTIF(B36:F36,"&gt;30")=5,"PASS",COUNTIF(B36:F36,"&lt;=30")=2,"ER", COUNTIF(B36:F36,"&lt;30")&gt;2,"Fail","Unknown")</f>
        <v>Unknown</v>
      </c>
      <c r="N36" s="14" t="str" cm="1">
        <f t="array" ref="N36">IF(SUM(IF(B36:F36&lt;29,1,0))&gt;2, "FAIL",IF(SUM(IF(B36:F36&lt;=30,1,0))=2, "ER",IF(SUM(IF(B36:F36&gt;=30,1,0))=5,"PASS","")))</f>
        <v/>
      </c>
    </row>
    <row r="37" spans="1:14" ht="15" thickBot="1" x14ac:dyDescent="0.35">
      <c r="A37" s="15" t="s">
        <v>63</v>
      </c>
      <c r="B37" s="20">
        <v>45</v>
      </c>
      <c r="C37" s="20">
        <v>54</v>
      </c>
      <c r="D37" s="20">
        <v>75</v>
      </c>
      <c r="E37" s="20">
        <v>33</v>
      </c>
      <c r="F37" s="20">
        <v>75</v>
      </c>
      <c r="G37" s="21">
        <v>225</v>
      </c>
      <c r="H37" s="22">
        <v>45</v>
      </c>
      <c r="I37" s="18" t="str">
        <f t="shared" si="0"/>
        <v>Pass</v>
      </c>
      <c r="J37" s="14" t="str" cm="1">
        <f t="array" ref="J37">_xlfn.SWITCH(TRUE,COUNTIF(B37:F37,"&gt;30")=5,"PASS",COUNTIF(B37:F37,"&lt;=30")=2,"ER", COUNTIF(B37:F37,"&lt;30")&gt;2,"Fail","Unknown")</f>
        <v>PASS</v>
      </c>
      <c r="N37" s="14" t="str" cm="1">
        <f t="array" ref="N37">IF(SUM(IF(B37:F37&lt;29,1,0))&gt;2, "FAIL",IF(SUM(IF(B37:F37&lt;=30,1,0))=2, "ER",IF(SUM(IF(B37:F37&gt;=30,1,0))=5,"PASS","")))</f>
        <v>PASS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E7"/>
  <sheetViews>
    <sheetView workbookViewId="0">
      <selection activeCell="E3" sqref="E3:E7"/>
    </sheetView>
  </sheetViews>
  <sheetFormatPr defaultRowHeight="14.4" x14ac:dyDescent="0.3"/>
  <cols>
    <col min="1" max="1" width="14.88671875" customWidth="1"/>
    <col min="2" max="2" width="36.44140625" customWidth="1"/>
    <col min="3" max="3" width="10" bestFit="1" customWidth="1"/>
    <col min="5" max="5" width="12" customWidth="1"/>
  </cols>
  <sheetData>
    <row r="1" spans="1:5" x14ac:dyDescent="0.3">
      <c r="A1" s="34" t="s">
        <v>74</v>
      </c>
      <c r="B1" s="34"/>
    </row>
    <row r="2" spans="1:5" x14ac:dyDescent="0.3">
      <c r="A2" s="1" t="s">
        <v>1</v>
      </c>
      <c r="B2" s="2" t="s">
        <v>0</v>
      </c>
    </row>
    <row r="3" spans="1:5" x14ac:dyDescent="0.3">
      <c r="A3" s="4">
        <v>41913</v>
      </c>
      <c r="B3" s="5">
        <f>DATEVALUE(REPLACE(TEXT(A3,"dd-mmm-yy"),4,3,"Nov"))</f>
        <v>41944</v>
      </c>
      <c r="C3" t="str">
        <f>REPLACE(TEXT(A3,"d-mmm-yy"),FIND("-",TEXT(A3,"d-mmm-yy")),4,"-Nov")</f>
        <v>1-Nov-14</v>
      </c>
      <c r="E3" t="str">
        <f>DAY(A3) &amp; "-Nov-"&amp;MOD(YEAR(A3),100)</f>
        <v>1-Nov-14</v>
      </c>
    </row>
    <row r="4" spans="1:5" x14ac:dyDescent="0.3">
      <c r="A4" s="4">
        <v>41945</v>
      </c>
      <c r="B4" s="5">
        <f>DATEVALUE(REPLACE(TEXT(A4,"dd-mmm-yy"),4,3,"Nov"))</f>
        <v>41945</v>
      </c>
      <c r="C4" t="str">
        <f t="shared" ref="C4:C7" si="0">REPLACE(TEXT(A4,"d-mmm-yy"),FIND("-",TEXT(A4,"d-mmm-yy")),4,"-Nov")</f>
        <v>2-Nov-14</v>
      </c>
      <c r="E4" t="str">
        <f t="shared" ref="E4:E7" si="1">DAY(A4) &amp; "-Nov-"&amp;MOD(YEAR(A4),100)</f>
        <v>2-Nov-14</v>
      </c>
    </row>
    <row r="5" spans="1:5" x14ac:dyDescent="0.3">
      <c r="A5" s="4">
        <v>41673</v>
      </c>
      <c r="B5" s="5">
        <f t="shared" ref="B5:B7" si="2">DATEVALUE(REPLACE(TEXT(A5,"dd-mmm-yy"),4,3,"Nov"))</f>
        <v>41946</v>
      </c>
      <c r="C5" t="str">
        <f t="shared" si="0"/>
        <v>3-Nov-14</v>
      </c>
      <c r="E5" t="str">
        <f t="shared" si="1"/>
        <v>3-Nov-14</v>
      </c>
    </row>
    <row r="6" spans="1:5" x14ac:dyDescent="0.3">
      <c r="A6" s="4">
        <v>41643</v>
      </c>
      <c r="B6" s="5">
        <f t="shared" si="2"/>
        <v>41947</v>
      </c>
      <c r="C6" t="str">
        <f t="shared" si="0"/>
        <v>4-Nov-14</v>
      </c>
      <c r="E6" t="str">
        <f t="shared" si="1"/>
        <v>4-Nov-14</v>
      </c>
    </row>
    <row r="7" spans="1:5" x14ac:dyDescent="0.3">
      <c r="A7" s="3">
        <v>41934</v>
      </c>
      <c r="B7" s="5">
        <f t="shared" si="2"/>
        <v>41965</v>
      </c>
      <c r="C7" t="str">
        <f t="shared" si="0"/>
        <v>22-Nov-14</v>
      </c>
      <c r="E7" t="str">
        <f t="shared" si="1"/>
        <v>22-Nov-14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A8E4-A4D1-4126-ADC6-A0812F35C857}">
  <sheetPr>
    <tabColor rgb="FF00B0F0"/>
  </sheetPr>
  <dimension ref="B1:E22"/>
  <sheetViews>
    <sheetView showGridLines="0" tabSelected="1" workbookViewId="0">
      <selection activeCell="E4" sqref="E4"/>
    </sheetView>
  </sheetViews>
  <sheetFormatPr defaultRowHeight="14.4" x14ac:dyDescent="0.3"/>
  <cols>
    <col min="2" max="2" width="30.33203125" bestFit="1" customWidth="1"/>
  </cols>
  <sheetData>
    <row r="1" spans="2:5" x14ac:dyDescent="0.3">
      <c r="B1" s="33" t="s">
        <v>76</v>
      </c>
    </row>
    <row r="3" spans="2:5" x14ac:dyDescent="0.3">
      <c r="B3" s="12" t="s">
        <v>75</v>
      </c>
    </row>
    <row r="4" spans="2:5" x14ac:dyDescent="0.3">
      <c r="B4" s="8" t="s">
        <v>72</v>
      </c>
      <c r="C4" t="s">
        <v>77</v>
      </c>
      <c r="E4" t="s">
        <v>77</v>
      </c>
    </row>
    <row r="5" spans="2:5" x14ac:dyDescent="0.3">
      <c r="B5" s="8"/>
      <c r="C5" t="s">
        <v>78</v>
      </c>
      <c r="E5" t="s">
        <v>77</v>
      </c>
    </row>
    <row r="6" spans="2:5" x14ac:dyDescent="0.3">
      <c r="B6" s="8"/>
    </row>
    <row r="7" spans="2:5" x14ac:dyDescent="0.3">
      <c r="B7" s="8"/>
    </row>
    <row r="8" spans="2:5" x14ac:dyDescent="0.3">
      <c r="B8" s="8"/>
    </row>
    <row r="9" spans="2:5" x14ac:dyDescent="0.3">
      <c r="B9" s="8"/>
    </row>
    <row r="10" spans="2:5" x14ac:dyDescent="0.3">
      <c r="B10" s="8"/>
    </row>
    <row r="11" spans="2:5" x14ac:dyDescent="0.3">
      <c r="B11" s="8"/>
    </row>
    <row r="12" spans="2:5" x14ac:dyDescent="0.3">
      <c r="B12" s="8"/>
    </row>
    <row r="13" spans="2:5" x14ac:dyDescent="0.3">
      <c r="B13" s="8"/>
    </row>
    <row r="14" spans="2:5" x14ac:dyDescent="0.3">
      <c r="B14" s="8"/>
    </row>
    <row r="15" spans="2:5" x14ac:dyDescent="0.3">
      <c r="B15" s="8"/>
    </row>
    <row r="16" spans="2:5" x14ac:dyDescent="0.3">
      <c r="B16" s="8"/>
    </row>
    <row r="17" spans="2:3" x14ac:dyDescent="0.3">
      <c r="B17" s="8"/>
    </row>
    <row r="18" spans="2:3" x14ac:dyDescent="0.3">
      <c r="B18" s="8"/>
    </row>
    <row r="19" spans="2:3" x14ac:dyDescent="0.3">
      <c r="B19" s="8"/>
    </row>
    <row r="20" spans="2:3" x14ac:dyDescent="0.3">
      <c r="B20" s="8"/>
    </row>
    <row r="21" spans="2:3" x14ac:dyDescent="0.3">
      <c r="B21" s="8"/>
    </row>
    <row r="22" spans="2:3" x14ac:dyDescent="0.3">
      <c r="B22" s="8"/>
      <c r="C22" t="s">
        <v>79</v>
      </c>
    </row>
  </sheetData>
  <dataValidations count="3">
    <dataValidation type="custom" allowBlank="1" showInputMessage="1" showErrorMessage="1" sqref="P13" xr:uid="{B7800304-2D6D-49DF-BB57-663D260E094E}">
      <formula1>EXACT(P13,PROPER(P13))</formula1>
    </dataValidation>
    <dataValidation type="custom" allowBlank="1" showInputMessage="1" showErrorMessage="1" sqref="B4:B19 C4:C22" xr:uid="{D3A2FCB3-7733-4027-8FD5-3A199848C539}">
      <formula1>EXACT(B4,UPPER(B4))</formula1>
    </dataValidation>
    <dataValidation type="custom" allowBlank="1" showInputMessage="1" showErrorMessage="1" sqref="E4:E22" xr:uid="{99D95884-D5D9-432B-9F73-B92329C78C30}">
      <formula1>EXACT(E4:E22,UPPER(E4:E22))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REPLACE and SUBSTITUTE Functions - Sample Workbook</dc:title>
  <dc:creator>Innozant</dc:creator>
  <cp:lastModifiedBy>Gursewak Singh</cp:lastModifiedBy>
  <dcterms:created xsi:type="dcterms:W3CDTF">2015-09-18T12:53:04Z</dcterms:created>
  <dcterms:modified xsi:type="dcterms:W3CDTF">2026-01-27T11:53:36Z</dcterms:modified>
</cp:coreProperties>
</file>