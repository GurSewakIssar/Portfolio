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5878E166-BC82-4BB1-BDF2-B6B7ABAED574}" xr6:coauthVersionLast="47" xr6:coauthVersionMax="47" xr10:uidLastSave="{00000000-0000-0000-0000-000000000000}"/>
  <bookViews>
    <workbookView xWindow="-108" yWindow="-108" windowWidth="23256" windowHeight="12456" activeTab="4" xr2:uid="{3EF8F370-C491-48DC-B038-2588C25EDBF1}"/>
  </bookViews>
  <sheets>
    <sheet name="Q-1(Logic Test)" sheetId="3" r:id="rId1"/>
    <sheet name="Q-2 Incentive Calculation" sheetId="1" r:id="rId2"/>
    <sheet name="Q-3(SumCount)" sheetId="2" r:id="rId3"/>
    <sheet name="Q-4(V-Lookup)" sheetId="5" r:id="rId4"/>
    <sheet name="Q-5(Index match)" sheetId="4" r:id="rId5"/>
  </sheets>
  <definedNames>
    <definedName name="Emp._Name">'Q-5(Index match)'!$C$4:$C$881</definedName>
    <definedName name="ESIC_NO">'Q-5(Index match)'!$D$4:$D$881</definedName>
    <definedName name="ESIC_SALARY">'Q-5(Index match)'!$F$4:$F$881</definedName>
    <definedName name="PAID_DAY">'Q-5(Index match)'!$E$4:$E$881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4" l="1" a="1"/>
  <c r="U4" i="4"/>
  <c r="U5" i="4" a="1"/>
  <c r="U5" i="4"/>
  <c r="U6" i="4" a="1"/>
  <c r="U6" i="4"/>
  <c r="U7" i="4" a="1"/>
  <c r="U7" i="4"/>
  <c r="U8" i="4" a="1"/>
  <c r="U8" i="4"/>
  <c r="U9" i="4" a="1"/>
  <c r="U9" i="4"/>
  <c r="U10" i="4" a="1"/>
  <c r="U10" i="4"/>
  <c r="U11" i="4" a="1"/>
  <c r="U11" i="4"/>
  <c r="U12" i="4" a="1"/>
  <c r="U12" i="4"/>
  <c r="U13" i="4" a="1"/>
  <c r="U13" i="4"/>
  <c r="U14" i="4" a="1"/>
  <c r="U14" i="4"/>
  <c r="U15" i="4" a="1"/>
  <c r="U15" i="4"/>
  <c r="U16" i="4" a="1"/>
  <c r="U16" i="4"/>
  <c r="U17" i="4" a="1"/>
  <c r="U17" i="4"/>
  <c r="U18" i="4" a="1"/>
  <c r="U18" i="4"/>
  <c r="T5" i="4" a="1"/>
  <c r="T5" i="4" s="1"/>
  <c r="T6" i="4" a="1"/>
  <c r="T6" i="4" s="1"/>
  <c r="T7" i="4" a="1"/>
  <c r="T7" i="4" s="1"/>
  <c r="T8" i="4" a="1"/>
  <c r="T8" i="4" s="1"/>
  <c r="T9" i="4" a="1"/>
  <c r="T9" i="4" s="1"/>
  <c r="T10" i="4" a="1"/>
  <c r="T10" i="4" s="1"/>
  <c r="T11" i="4" a="1"/>
  <c r="T11" i="4" s="1"/>
  <c r="T12" i="4" a="1"/>
  <c r="T12" i="4" s="1"/>
  <c r="T13" i="4" a="1"/>
  <c r="T13" i="4" s="1"/>
  <c r="T14" i="4" a="1"/>
  <c r="T14" i="4"/>
  <c r="T15" i="4" a="1"/>
  <c r="T15" i="4"/>
  <c r="T16" i="4" a="1"/>
  <c r="T16" i="4"/>
  <c r="T17" i="4" a="1"/>
  <c r="T17" i="4"/>
  <c r="T18" i="4" a="1"/>
  <c r="T18" i="4"/>
  <c r="T4" i="4" a="1"/>
  <c r="T4" i="4"/>
  <c r="I8" i="5" a="1"/>
  <c r="I8" i="5"/>
  <c r="J8" i="5" a="1"/>
  <c r="J8" i="5"/>
  <c r="I9" i="5" a="1"/>
  <c r="I9" i="5"/>
  <c r="J9" i="5" a="1"/>
  <c r="J9" i="5"/>
  <c r="I10" i="5" a="1"/>
  <c r="I10" i="5"/>
  <c r="J10" i="5" a="1"/>
  <c r="J10" i="5" s="1"/>
  <c r="I11" i="5" a="1"/>
  <c r="I11" i="5"/>
  <c r="J11" i="5" a="1"/>
  <c r="J11" i="5"/>
  <c r="I12" i="5" a="1"/>
  <c r="I12" i="5"/>
  <c r="J12" i="5" a="1"/>
  <c r="J12" i="5"/>
  <c r="I13" i="5" a="1"/>
  <c r="I13" i="5"/>
  <c r="J13" i="5" a="1"/>
  <c r="J13" i="5"/>
  <c r="H9" i="5" a="1"/>
  <c r="H9" i="5"/>
  <c r="H10" i="5" a="1"/>
  <c r="H10" i="5"/>
  <c r="H11" i="5" a="1"/>
  <c r="H11" i="5"/>
  <c r="H12" i="5" a="1"/>
  <c r="H12" i="5"/>
  <c r="H13" i="5" a="1"/>
  <c r="H13" i="5"/>
  <c r="H8" i="5" a="1"/>
  <c r="H8" i="5"/>
  <c r="I17" i="2" a="1"/>
  <c r="I17" i="2"/>
  <c r="J17" i="2" a="1"/>
  <c r="J17" i="2"/>
  <c r="H17" i="2" a="1"/>
  <c r="H17" i="2" s="1"/>
  <c r="K16" i="2" a="1"/>
  <c r="K16" i="2" s="1"/>
  <c r="I16" i="2" a="1"/>
  <c r="I16" i="2" s="1"/>
  <c r="J16" i="2" a="1"/>
  <c r="J16" i="2" s="1"/>
  <c r="H16" i="2" a="1"/>
  <c r="H16" i="2" s="1"/>
  <c r="M11" i="1"/>
  <c r="M12" i="1"/>
  <c r="M13" i="1"/>
  <c r="M14" i="1"/>
  <c r="M15" i="1"/>
  <c r="M16" i="1"/>
  <c r="M17" i="1"/>
  <c r="M10" i="1"/>
  <c r="G20" i="3"/>
  <c r="G21" i="3"/>
  <c r="G22" i="3"/>
  <c r="G23" i="3"/>
  <c r="G24" i="3"/>
  <c r="G25" i="3"/>
  <c r="G26" i="3"/>
  <c r="G19" i="3"/>
  <c r="I3" i="3" a="1"/>
  <c r="I3" i="3" s="1"/>
  <c r="H22" i="5" a="1"/>
  <c r="H22" i="5" s="1"/>
  <c r="H23" i="5" a="1"/>
  <c r="H23" i="5" s="1"/>
  <c r="H24" i="5" a="1"/>
  <c r="H24" i="5" s="1"/>
  <c r="H25" i="5" a="1"/>
  <c r="H25" i="5" s="1"/>
  <c r="H26" i="5" a="1"/>
  <c r="H26" i="5" s="1"/>
  <c r="H27" i="5" a="1"/>
  <c r="H27" i="5" s="1"/>
  <c r="H28" i="5" a="1"/>
  <c r="H28" i="5" s="1"/>
  <c r="H29" i="5" a="1"/>
  <c r="H29" i="5" s="1"/>
  <c r="H30" i="5" a="1"/>
  <c r="H30" i="5" s="1"/>
  <c r="H31" i="5" a="1"/>
  <c r="H31" i="5" s="1"/>
  <c r="H32" i="5" a="1"/>
  <c r="H32" i="5" s="1"/>
  <c r="H33" i="5" a="1"/>
  <c r="H33" i="5" s="1"/>
  <c r="H34" i="5" a="1"/>
  <c r="H34" i="5" s="1"/>
  <c r="G23" i="5" a="1"/>
  <c r="G23" i="5" s="1"/>
  <c r="G24" i="5" a="1"/>
  <c r="G24" i="5" s="1"/>
  <c r="G25" i="5" a="1"/>
  <c r="G25" i="5" s="1"/>
  <c r="G26" i="5" a="1"/>
  <c r="G26" i="5" s="1"/>
  <c r="G27" i="5" a="1"/>
  <c r="G27" i="5" s="1"/>
  <c r="G28" i="5" a="1"/>
  <c r="G28" i="5" s="1"/>
  <c r="G29" i="5" a="1"/>
  <c r="G29" i="5" s="1"/>
  <c r="G30" i="5" a="1"/>
  <c r="G30" i="5" s="1"/>
  <c r="G31" i="5" a="1"/>
  <c r="G31" i="5" s="1"/>
  <c r="G32" i="5" a="1"/>
  <c r="G32" i="5" s="1"/>
  <c r="G33" i="5" a="1"/>
  <c r="G33" i="5" s="1"/>
  <c r="G34" i="5" a="1"/>
  <c r="G34" i="5" s="1"/>
  <c r="G22" i="5" a="1"/>
  <c r="G22" i="5" s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4" i="4"/>
  <c r="R22" i="5" a="1"/>
  <c r="R22" i="5" s="1"/>
  <c r="S22" i="5" a="1"/>
  <c r="S22" i="5"/>
  <c r="R23" i="5" a="1"/>
  <c r="R23" i="5" s="1"/>
  <c r="S23" i="5" a="1"/>
  <c r="S23" i="5" s="1"/>
  <c r="R24" i="5" a="1"/>
  <c r="R24" i="5" s="1"/>
  <c r="S24" i="5" a="1"/>
  <c r="S24" i="5" s="1"/>
  <c r="R25" i="5" a="1"/>
  <c r="R25" i="5" s="1"/>
  <c r="S25" i="5" a="1"/>
  <c r="S25" i="5" s="1"/>
  <c r="R26" i="5" a="1"/>
  <c r="R26" i="5" s="1"/>
  <c r="S26" i="5" a="1"/>
  <c r="S26" i="5" s="1"/>
  <c r="R27" i="5" a="1"/>
  <c r="R27" i="5" s="1"/>
  <c r="S27" i="5" a="1"/>
  <c r="S27" i="5" s="1"/>
  <c r="R28" i="5" a="1"/>
  <c r="R28" i="5"/>
  <c r="S28" i="5" a="1"/>
  <c r="S28" i="5"/>
  <c r="R29" i="5" a="1"/>
  <c r="R29" i="5" s="1"/>
  <c r="S29" i="5" a="1"/>
  <c r="S29" i="5" s="1"/>
  <c r="R30" i="5" a="1"/>
  <c r="R30" i="5" s="1"/>
  <c r="S30" i="5" a="1"/>
  <c r="S30" i="5" s="1"/>
  <c r="R31" i="5" a="1"/>
  <c r="R31" i="5" s="1"/>
  <c r="S31" i="5" a="1"/>
  <c r="S31" i="5" s="1"/>
  <c r="R32" i="5" a="1"/>
  <c r="R32" i="5" s="1"/>
  <c r="S32" i="5" a="1"/>
  <c r="S32" i="5" s="1"/>
  <c r="R33" i="5" a="1"/>
  <c r="R33" i="5" s="1"/>
  <c r="S33" i="5" a="1"/>
  <c r="S33" i="5" s="1"/>
  <c r="R34" i="5" a="1"/>
  <c r="R34" i="5" s="1"/>
  <c r="S34" i="5" a="1"/>
  <c r="S34" i="5"/>
  <c r="Q23" i="5" a="1"/>
  <c r="Q23" i="5" s="1"/>
  <c r="Q24" i="5" a="1"/>
  <c r="Q24" i="5" s="1"/>
  <c r="Q25" i="5" a="1"/>
  <c r="Q25" i="5" s="1"/>
  <c r="Q26" i="5" a="1"/>
  <c r="Q26" i="5" s="1"/>
  <c r="Q27" i="5" a="1"/>
  <c r="Q27" i="5" s="1"/>
  <c r="Q28" i="5" a="1"/>
  <c r="Q28" i="5" s="1"/>
  <c r="Q29" i="5" a="1"/>
  <c r="Q29" i="5" s="1"/>
  <c r="Q30" i="5" a="1"/>
  <c r="Q30" i="5" s="1"/>
  <c r="Q31" i="5" a="1"/>
  <c r="Q31" i="5" s="1"/>
  <c r="Q32" i="5" a="1"/>
  <c r="Q32" i="5" s="1"/>
  <c r="Q33" i="5" a="1"/>
  <c r="Q33" i="5" s="1"/>
  <c r="Q34" i="5" a="1"/>
  <c r="Q34" i="5" s="1"/>
  <c r="Q22" i="5" a="1"/>
  <c r="Q22" i="5" s="1"/>
  <c r="D17" i="2" a="1"/>
  <c r="D17" i="2" s="1"/>
  <c r="E17" i="2" a="1"/>
  <c r="E17" i="2" s="1"/>
  <c r="C17" i="2" a="1"/>
  <c r="C17" i="2" s="1"/>
  <c r="K11" i="1"/>
  <c r="K12" i="1"/>
  <c r="K13" i="1"/>
  <c r="K14" i="1"/>
  <c r="K15" i="1"/>
  <c r="K16" i="1"/>
  <c r="K17" i="1"/>
  <c r="K10" i="1"/>
  <c r="I10" i="3"/>
  <c r="I11" i="3"/>
  <c r="I12" i="3"/>
  <c r="I13" i="3"/>
  <c r="I14" i="3"/>
  <c r="I15" i="3"/>
  <c r="I9" i="3"/>
  <c r="G3" i="3" a="1"/>
  <c r="G3" i="3" s="1"/>
  <c r="N22" i="5" a="1"/>
  <c r="N22" i="5" s="1"/>
  <c r="N23" i="5" a="1"/>
  <c r="N23" i="5" s="1"/>
  <c r="N24" i="5" a="1"/>
  <c r="N24" i="5"/>
  <c r="N25" i="5" a="1"/>
  <c r="N25" i="5"/>
  <c r="N26" i="5" a="1"/>
  <c r="N26" i="5"/>
  <c r="N27" i="5" a="1"/>
  <c r="N27" i="5"/>
  <c r="N28" i="5" a="1"/>
  <c r="N28" i="5"/>
  <c r="N29" i="5" a="1"/>
  <c r="N29" i="5"/>
  <c r="N30" i="5" a="1"/>
  <c r="N30" i="5"/>
  <c r="N31" i="5" a="1"/>
  <c r="N31" i="5"/>
  <c r="N32" i="5" a="1"/>
  <c r="N32" i="5"/>
  <c r="N33" i="5" a="1"/>
  <c r="N33" i="5"/>
  <c r="N34" i="5" a="1"/>
  <c r="N34" i="5"/>
  <c r="C14" i="2" a="1"/>
  <c r="C14" i="2" s="1"/>
  <c r="C13" i="2"/>
  <c r="D14" i="2" a="1"/>
  <c r="D14" i="2" s="1"/>
  <c r="E14" i="2" a="1"/>
  <c r="E14" i="2" s="1"/>
  <c r="I11" i="1" a="1"/>
  <c r="I11" i="1"/>
  <c r="I12" i="1" a="1"/>
  <c r="I12" i="1"/>
  <c r="I13" i="1" a="1"/>
  <c r="I13" i="1" s="1"/>
  <c r="I14" i="1" a="1"/>
  <c r="I14" i="1"/>
  <c r="I15" i="1" a="1"/>
  <c r="I15" i="1" s="1"/>
  <c r="I16" i="1" a="1"/>
  <c r="I16" i="1" s="1"/>
  <c r="I17" i="1" a="1"/>
  <c r="I17" i="1" s="1"/>
  <c r="I10" i="1" a="1"/>
  <c r="I10" i="1" s="1"/>
  <c r="G10" i="3"/>
  <c r="G11" i="3"/>
  <c r="G12" i="3"/>
  <c r="G13" i="3"/>
  <c r="G14" i="3"/>
  <c r="G15" i="3"/>
  <c r="G9" i="3"/>
  <c r="E3" i="3"/>
  <c r="L34" i="5" a="1"/>
  <c r="L34" i="5" s="1"/>
  <c r="J34" i="5" a="1"/>
  <c r="J34" i="5" s="1"/>
  <c r="L33" i="5"/>
  <c r="L33" i="5" a="1"/>
  <c r="J33" i="5" a="1"/>
  <c r="J33" i="5" s="1"/>
  <c r="L32" i="5"/>
  <c r="L32" i="5" a="1"/>
  <c r="J32" i="5" a="1"/>
  <c r="J32" i="5" s="1"/>
  <c r="L31" i="5"/>
  <c r="L31" i="5" a="1"/>
  <c r="J31" i="5"/>
  <c r="J31" i="5" a="1"/>
  <c r="L30" i="5" a="1"/>
  <c r="L30" i="5" s="1"/>
  <c r="J30" i="5" a="1"/>
  <c r="J30" i="5" s="1"/>
  <c r="L29" i="5"/>
  <c r="L29" i="5" a="1"/>
  <c r="J29" i="5"/>
  <c r="J29" i="5" a="1"/>
  <c r="L28" i="5" a="1"/>
  <c r="L28" i="5" s="1"/>
  <c r="J28" i="5" a="1"/>
  <c r="J28" i="5" s="1"/>
  <c r="L27" i="5"/>
  <c r="L27" i="5" a="1"/>
  <c r="J27" i="5"/>
  <c r="J27" i="5" a="1"/>
  <c r="L26" i="5" a="1"/>
  <c r="L26" i="5" s="1"/>
  <c r="J26" i="5" a="1"/>
  <c r="J26" i="5" s="1"/>
  <c r="L25" i="5"/>
  <c r="L25" i="5" a="1"/>
  <c r="J25" i="5"/>
  <c r="J25" i="5" a="1"/>
  <c r="L24" i="5" a="1"/>
  <c r="L24" i="5" s="1"/>
  <c r="J24" i="5" a="1"/>
  <c r="J24" i="5" s="1"/>
  <c r="L23" i="5" a="1"/>
  <c r="L23" i="5" s="1"/>
  <c r="J23" i="5" a="1"/>
  <c r="J23" i="5" s="1"/>
  <c r="L22" i="5" a="1"/>
  <c r="L22" i="5" s="1"/>
  <c r="J22" i="5"/>
  <c r="B6" i="5"/>
  <c r="B7" i="5" s="1"/>
  <c r="B8" i="5" s="1"/>
  <c r="B9" i="5" s="1"/>
  <c r="B10" i="5" s="1"/>
  <c r="B11" i="5" s="1"/>
  <c r="B12" i="5" s="1"/>
  <c r="B13" i="5" s="1"/>
  <c r="B5" i="5"/>
  <c r="K22" i="5" s="1" a="1"/>
  <c r="K22" i="5" s="1"/>
  <c r="C3" i="3"/>
  <c r="K18" i="4" a="1"/>
  <c r="K18" i="4" s="1"/>
  <c r="J18" i="4" a="1"/>
  <c r="J18" i="4" s="1"/>
  <c r="K17" i="4" a="1"/>
  <c r="K17" i="4" s="1"/>
  <c r="J17" i="4" a="1"/>
  <c r="J17" i="4" s="1"/>
  <c r="K16" i="4" a="1"/>
  <c r="K16" i="4" s="1"/>
  <c r="J16" i="4" a="1"/>
  <c r="J16" i="4" s="1"/>
  <c r="K15" i="4" a="1"/>
  <c r="K15" i="4" s="1"/>
  <c r="J15" i="4" a="1"/>
  <c r="J15" i="4" s="1"/>
  <c r="K14" i="4" a="1"/>
  <c r="K14" i="4" s="1"/>
  <c r="J14" i="4" a="1"/>
  <c r="J14" i="4" s="1"/>
  <c r="K13" i="4" a="1"/>
  <c r="K13" i="4" s="1"/>
  <c r="J13" i="4" a="1"/>
  <c r="J13" i="4" s="1"/>
  <c r="K12" i="4" a="1"/>
  <c r="K12" i="4" s="1"/>
  <c r="J12" i="4" a="1"/>
  <c r="J12" i="4" s="1"/>
  <c r="K11" i="4" a="1"/>
  <c r="K11" i="4" s="1"/>
  <c r="J11" i="4" a="1"/>
  <c r="J11" i="4" s="1"/>
  <c r="K10" i="4" a="1"/>
  <c r="K10" i="4" s="1"/>
  <c r="J10" i="4" a="1"/>
  <c r="J10" i="4" s="1"/>
  <c r="K9" i="4" a="1"/>
  <c r="K9" i="4" s="1"/>
  <c r="J9" i="4" a="1"/>
  <c r="J9" i="4" s="1"/>
  <c r="K8" i="4" a="1"/>
  <c r="K8" i="4" s="1"/>
  <c r="J8" i="4" a="1"/>
  <c r="J8" i="4" s="1"/>
  <c r="K7" i="4" a="1"/>
  <c r="K7" i="4" s="1"/>
  <c r="J7" i="4" a="1"/>
  <c r="J7" i="4" s="1"/>
  <c r="K6" i="4" a="1"/>
  <c r="K6" i="4" s="1"/>
  <c r="J6" i="4" a="1"/>
  <c r="J6" i="4" s="1"/>
  <c r="K5" i="4" a="1"/>
  <c r="K5" i="4" s="1"/>
  <c r="J5" i="4" a="1"/>
  <c r="J5" i="4" s="1"/>
  <c r="B5" i="4"/>
  <c r="K4" i="4" a="1"/>
  <c r="K4" i="4" s="1"/>
  <c r="J4" i="4"/>
  <c r="E15" i="3"/>
  <c r="E14" i="3"/>
  <c r="E13" i="3"/>
  <c r="E12" i="3"/>
  <c r="E11" i="3"/>
  <c r="E10" i="3"/>
  <c r="E9" i="3"/>
  <c r="E13" i="2"/>
  <c r="D13" i="2"/>
  <c r="B13" i="2"/>
  <c r="D16" i="2" s="1" a="1"/>
  <c r="D16" i="2" s="1"/>
  <c r="E2" i="2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D2" i="2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G10" i="1"/>
  <c r="H10" i="1" s="1"/>
  <c r="N14" i="4" a="1"/>
  <c r="M8" i="4" a="1"/>
  <c r="N18" i="4" a="1"/>
  <c r="M4" i="4" a="1"/>
  <c r="N7" i="4" a="1"/>
  <c r="M13" i="4" a="1"/>
  <c r="M16" i="4" a="1"/>
  <c r="M6" i="4" a="1"/>
  <c r="N8" i="4" a="1"/>
  <c r="M17" i="4" a="1"/>
  <c r="M12" i="4" a="1"/>
  <c r="N13" i="4" a="1"/>
  <c r="N15" i="4" a="1"/>
  <c r="M9" i="4" a="1"/>
  <c r="N11" i="4" a="1"/>
  <c r="M5" i="4" a="1"/>
  <c r="N4" i="4" a="1"/>
  <c r="N16" i="4" a="1"/>
  <c r="N6" i="4" a="1"/>
  <c r="M15" i="4" a="1"/>
  <c r="N12" i="4" a="1"/>
  <c r="M10" i="4" a="1"/>
  <c r="N5" i="4" a="1"/>
  <c r="N9" i="4" a="1"/>
  <c r="M11" i="4" a="1"/>
  <c r="M14" i="4" a="1"/>
  <c r="M18" i="4" a="1"/>
  <c r="N10" i="4" a="1"/>
  <c r="M7" i="4" a="1"/>
  <c r="N17" i="4" a="1"/>
  <c r="O13" i="2" l="1" a="1"/>
  <c r="O13" i="2" s="1"/>
  <c r="C16" i="2" a="1"/>
  <c r="C16" i="2" s="1"/>
  <c r="E16" i="2" a="1"/>
  <c r="E16" i="2" s="1"/>
  <c r="N11" i="4"/>
  <c r="N18" i="4"/>
  <c r="N10" i="4"/>
  <c r="N17" i="4"/>
  <c r="N9" i="4"/>
  <c r="N16" i="4"/>
  <c r="N8" i="4"/>
  <c r="N15" i="4"/>
  <c r="N7" i="4"/>
  <c r="N14" i="4"/>
  <c r="N6" i="4"/>
  <c r="N13" i="4"/>
  <c r="N5" i="4"/>
  <c r="N12" i="4"/>
  <c r="N4" i="4"/>
  <c r="M12" i="4"/>
  <c r="M11" i="4"/>
  <c r="M18" i="4"/>
  <c r="M10" i="4"/>
  <c r="M17" i="4"/>
  <c r="M9" i="4"/>
  <c r="M16" i="4"/>
  <c r="M8" i="4"/>
  <c r="M15" i="4"/>
  <c r="M7" i="4"/>
  <c r="M14" i="4"/>
  <c r="M6" i="4"/>
  <c r="M13" i="4"/>
  <c r="M5" i="4"/>
  <c r="M4" i="4"/>
  <c r="F14" i="2"/>
  <c r="F13" i="2"/>
  <c r="B14" i="5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K33" i="5" a="1"/>
  <c r="K33" i="5" s="1"/>
  <c r="K31" i="5" a="1"/>
  <c r="K31" i="5" s="1"/>
  <c r="K29" i="5" a="1"/>
  <c r="K29" i="5" s="1"/>
  <c r="K27" i="5" a="1"/>
  <c r="K27" i="5" s="1"/>
  <c r="K25" i="5" a="1"/>
  <c r="K25" i="5" s="1"/>
  <c r="K23" i="5" a="1"/>
  <c r="K23" i="5" s="1"/>
  <c r="B6" i="4"/>
  <c r="B7" i="4" s="1"/>
  <c r="B8" i="4" s="1"/>
  <c r="B9" i="4" s="1"/>
  <c r="B10" i="4" s="1"/>
  <c r="B11" i="4" s="1"/>
  <c r="B12" i="4" s="1"/>
  <c r="B13" i="4" s="1"/>
  <c r="K24" i="5" l="1" a="1"/>
  <c r="K24" i="5" s="1"/>
  <c r="K28" i="5" a="1"/>
  <c r="K28" i="5" s="1"/>
  <c r="K32" i="5" a="1"/>
  <c r="K32" i="5" s="1"/>
  <c r="K26" i="5" a="1"/>
  <c r="K26" i="5" s="1"/>
  <c r="K30" i="5" a="1"/>
  <c r="K30" i="5" s="1"/>
  <c r="K34" i="5" a="1"/>
  <c r="K34" i="5" s="1"/>
  <c r="B14" i="4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<sst xmlns="http://schemas.openxmlformats.org/spreadsheetml/2006/main" count="3827" uniqueCount="1749">
  <si>
    <t>Incentive Calculation base</t>
  </si>
  <si>
    <t>Sl no</t>
  </si>
  <si>
    <t xml:space="preserve">% Attendance </t>
  </si>
  <si>
    <t>Special payout (%)</t>
  </si>
  <si>
    <t>More than 90%</t>
  </si>
  <si>
    <t>100% i.e Rs 3500/-</t>
  </si>
  <si>
    <t>Between 80%-90%</t>
  </si>
  <si>
    <t>75% i.e Rs 2625/-</t>
  </si>
  <si>
    <t>Less than 80%</t>
  </si>
  <si>
    <t>SL. NO.</t>
  </si>
  <si>
    <t>EMP. CODE</t>
  </si>
  <si>
    <t>EMPLOYEE'S NAME</t>
  </si>
  <si>
    <t>PAID DAYS</t>
  </si>
  <si>
    <t>MONTH DAYS</t>
  </si>
  <si>
    <t xml:space="preserve">Incentive Amount </t>
  </si>
  <si>
    <t>11312</t>
  </si>
  <si>
    <t>Surender Singh</t>
  </si>
  <si>
    <t>11313</t>
  </si>
  <si>
    <t>Devanand</t>
  </si>
  <si>
    <t>11315</t>
  </si>
  <si>
    <t>Rakesh Malik</t>
  </si>
  <si>
    <t>11316</t>
  </si>
  <si>
    <t>Jagat Singh</t>
  </si>
  <si>
    <t>11317</t>
  </si>
  <si>
    <t>Dharam Pal</t>
  </si>
  <si>
    <t>11318</t>
  </si>
  <si>
    <t>Shri Bhagwan</t>
  </si>
  <si>
    <t>11320</t>
  </si>
  <si>
    <t>Shiv Kumar</t>
  </si>
  <si>
    <t>11321</t>
  </si>
  <si>
    <t xml:space="preserve">Narender </t>
  </si>
  <si>
    <t>Input Table</t>
  </si>
  <si>
    <t>Emp. Code</t>
  </si>
  <si>
    <t>Name of workman</t>
  </si>
  <si>
    <t>16281</t>
  </si>
  <si>
    <t>Amaresh Kumar</t>
  </si>
  <si>
    <t>P</t>
  </si>
  <si>
    <t>A</t>
  </si>
  <si>
    <t>W</t>
  </si>
  <si>
    <t>18343</t>
  </si>
  <si>
    <t>Gaurav Kumar Jha</t>
  </si>
  <si>
    <t>14596</t>
  </si>
  <si>
    <t>Nooruddin</t>
  </si>
  <si>
    <t>16136</t>
  </si>
  <si>
    <t>Sanjeev Kumar Benera</t>
  </si>
  <si>
    <t>16138</t>
  </si>
  <si>
    <t>Satpal Singh</t>
  </si>
  <si>
    <t>14597</t>
  </si>
  <si>
    <t>Mahender Singh</t>
  </si>
  <si>
    <t>14598</t>
  </si>
  <si>
    <t>Pratap Singh</t>
  </si>
  <si>
    <t>Output Table without Helping Column</t>
  </si>
  <si>
    <t>Count</t>
  </si>
  <si>
    <t>Total</t>
  </si>
  <si>
    <t xml:space="preserve"> </t>
  </si>
  <si>
    <t>How Many "s" in this line</t>
  </si>
  <si>
    <t>PassingMarks&gt;35</t>
  </si>
  <si>
    <t>PassingMarks&gt;40</t>
  </si>
  <si>
    <t>NAME</t>
  </si>
  <si>
    <t>SCORE 1</t>
  </si>
  <si>
    <t>SCORE 2</t>
  </si>
  <si>
    <t>PASS/FAIL</t>
  </si>
  <si>
    <t>RAJ BAHADUR</t>
  </si>
  <si>
    <t>SURAJ KUMAR</t>
  </si>
  <si>
    <t>SARVAJEET KUMAR YADAV</t>
  </si>
  <si>
    <t>HEMANT B PANCHAL</t>
  </si>
  <si>
    <t>SUDHIR SHAW</t>
  </si>
  <si>
    <t>ASHU VERMA</t>
  </si>
  <si>
    <t>AKSHAY H. GORE</t>
  </si>
  <si>
    <t>Answer</t>
  </si>
  <si>
    <t>(1) Test Question</t>
  </si>
  <si>
    <t>Index match</t>
  </si>
  <si>
    <t>Sl No</t>
  </si>
  <si>
    <t>Emp. Name</t>
  </si>
  <si>
    <t>ESIC NO</t>
  </si>
  <si>
    <t>PAID DAY</t>
  </si>
  <si>
    <t>ESIC SALARY</t>
  </si>
  <si>
    <t>VIPIN KUMAR</t>
  </si>
  <si>
    <t>1113662765</t>
  </si>
  <si>
    <t>RAJESH KUMAR VARMA</t>
  </si>
  <si>
    <t>1113743433</t>
  </si>
  <si>
    <t>MOHD. NASEER UDDIN</t>
  </si>
  <si>
    <t>1113757595</t>
  </si>
  <si>
    <t>1113922692</t>
  </si>
  <si>
    <t>K. SOMESHWER RAO</t>
  </si>
  <si>
    <t>1113782190</t>
  </si>
  <si>
    <t>PAVAN KUMAR</t>
  </si>
  <si>
    <t>1113838824</t>
  </si>
  <si>
    <t>1113838956</t>
  </si>
  <si>
    <t>1113838972</t>
  </si>
  <si>
    <t>1113685523</t>
  </si>
  <si>
    <t>1113743071</t>
  </si>
  <si>
    <t>1113662351</t>
  </si>
  <si>
    <t>1113887010</t>
  </si>
  <si>
    <t>1113887025</t>
  </si>
  <si>
    <t>R. RAM KUMAR</t>
  </si>
  <si>
    <t>1113901045</t>
  </si>
  <si>
    <t>DASHRATH KUMAR</t>
  </si>
  <si>
    <t>1113921622</t>
  </si>
  <si>
    <t>DHARAM SINGH RAWAT</t>
  </si>
  <si>
    <t>1113921637</t>
  </si>
  <si>
    <t>CHRISTOPHER JOHN</t>
  </si>
  <si>
    <t>1113921610</t>
  </si>
  <si>
    <t>SACHIN KUMAR</t>
  </si>
  <si>
    <t>1113904135</t>
  </si>
  <si>
    <t>vlookup</t>
  </si>
  <si>
    <t>KAPIL VERMA</t>
  </si>
  <si>
    <t>1112572293</t>
  </si>
  <si>
    <t>S.N.</t>
  </si>
  <si>
    <t>NEHA KAPOOR</t>
  </si>
  <si>
    <t>1112572326</t>
  </si>
  <si>
    <t>HARISH PAL</t>
  </si>
  <si>
    <t>1112572277</t>
  </si>
  <si>
    <t>BEENA KUMARI</t>
  </si>
  <si>
    <t>1113690859</t>
  </si>
  <si>
    <t>CHITTARANJAN PAL</t>
  </si>
  <si>
    <t>1112572268</t>
  </si>
  <si>
    <t>KAMAL KUMAR</t>
  </si>
  <si>
    <t>1112572292</t>
  </si>
  <si>
    <t>MEENA CHHETRI</t>
  </si>
  <si>
    <t>1112572309</t>
  </si>
  <si>
    <t>MUNINDRA SINGH</t>
  </si>
  <si>
    <t>1112572310</t>
  </si>
  <si>
    <t>HRIDAY RAM PAL</t>
  </si>
  <si>
    <t>1112572275</t>
  </si>
  <si>
    <t>SNEHA SHARMA</t>
  </si>
  <si>
    <t>1112591996</t>
  </si>
  <si>
    <t>AJAY PRATAP</t>
  </si>
  <si>
    <t>1112801257</t>
  </si>
  <si>
    <t>POOJA KALRA</t>
  </si>
  <si>
    <t>1112572330</t>
  </si>
  <si>
    <t>RICHI GUPTA</t>
  </si>
  <si>
    <t>1113084712</t>
  </si>
  <si>
    <t>PANKAJ KUMAR</t>
  </si>
  <si>
    <t>1113518656</t>
  </si>
  <si>
    <t>UJAGAR SINGH PANWAR</t>
  </si>
  <si>
    <t>1112572349</t>
  </si>
  <si>
    <t>MOHAN PRASAD KANTI</t>
  </si>
  <si>
    <t>1113724288</t>
  </si>
  <si>
    <t>SYED HAYAT ALI</t>
  </si>
  <si>
    <t>1113867738</t>
  </si>
  <si>
    <t>NARENDRA PRATAP VERMA</t>
  </si>
  <si>
    <t>1113908276</t>
  </si>
  <si>
    <t>VIJAY KUMAR GOSWAMI</t>
  </si>
  <si>
    <t>1112572353</t>
  </si>
  <si>
    <t>PREM SINGH RAWAT</t>
  </si>
  <si>
    <t>1112572334</t>
  </si>
  <si>
    <t>DEEPAK KUMAR</t>
  </si>
  <si>
    <t>1112572269</t>
  </si>
  <si>
    <t>JOGINDER SINGH RAWAT</t>
  </si>
  <si>
    <t>1112572289</t>
  </si>
  <si>
    <t>JITENDER KUMAR</t>
  </si>
  <si>
    <t>1112572285</t>
  </si>
  <si>
    <t>INDERJEET</t>
  </si>
  <si>
    <t>1112572283</t>
  </si>
  <si>
    <t>NAINA SHAH</t>
  </si>
  <si>
    <t>1113914095</t>
  </si>
  <si>
    <t>PRABHAT KUMAR MISHRA</t>
  </si>
  <si>
    <t>1112801293</t>
  </si>
  <si>
    <t>JITENDER KUMAR SINGH</t>
  </si>
  <si>
    <t>1112801287</t>
  </si>
  <si>
    <t>PARVEEN KUMAR</t>
  </si>
  <si>
    <t>1113607878</t>
  </si>
  <si>
    <t>RAJENDER KUMAR</t>
  </si>
  <si>
    <t>1113800074</t>
  </si>
  <si>
    <t>PRADEEP KUMAR</t>
  </si>
  <si>
    <t>1113800086</t>
  </si>
  <si>
    <t>SANDEEP KUMAR</t>
  </si>
  <si>
    <t>1112834714</t>
  </si>
  <si>
    <t>SANJEET DAS</t>
  </si>
  <si>
    <t>1112834717</t>
  </si>
  <si>
    <t>KAMLESH PANDIT</t>
  </si>
  <si>
    <t>1113660299</t>
  </si>
  <si>
    <t>BUNNI LAL YADAV</t>
  </si>
  <si>
    <t>1113549516</t>
  </si>
  <si>
    <t>PRAKASH CHANDER</t>
  </si>
  <si>
    <t>1112834691</t>
  </si>
  <si>
    <t>SHAMBHU YADAV</t>
  </si>
  <si>
    <t>1113549462</t>
  </si>
  <si>
    <t>RAM YODHA</t>
  </si>
  <si>
    <t>1113706034</t>
  </si>
  <si>
    <t>SHAMIM KHAN</t>
  </si>
  <si>
    <t>1113706004</t>
  </si>
  <si>
    <t>SUNIL EKKA</t>
  </si>
  <si>
    <t>1113706074</t>
  </si>
  <si>
    <t>SANTOSH</t>
  </si>
  <si>
    <t>1113750983</t>
  </si>
  <si>
    <t>DURGESH KUMAR</t>
  </si>
  <si>
    <t>1113750995</t>
  </si>
  <si>
    <t>MUNNA LAL</t>
  </si>
  <si>
    <t>1113782209</t>
  </si>
  <si>
    <t>ABHINANDAN KUMAR</t>
  </si>
  <si>
    <t>1113782199</t>
  </si>
  <si>
    <t>ASHOK KUMAR</t>
  </si>
  <si>
    <t>1113854505</t>
  </si>
  <si>
    <t>ASHOK YADAV</t>
  </si>
  <si>
    <t>1113854531</t>
  </si>
  <si>
    <t>BHUTKUN KUMAR</t>
  </si>
  <si>
    <t>1113854522</t>
  </si>
  <si>
    <t>MANOJ KUMAR</t>
  </si>
  <si>
    <t>1113854526</t>
  </si>
  <si>
    <t>AWDHESH KUMAR</t>
  </si>
  <si>
    <t>1113854515</t>
  </si>
  <si>
    <t>ANSAR UL HAQ</t>
  </si>
  <si>
    <t>1113854490</t>
  </si>
  <si>
    <t>YOGESH KUMAR</t>
  </si>
  <si>
    <t>1112834720</t>
  </si>
  <si>
    <t>RANVIJAT THAKUR</t>
  </si>
  <si>
    <t>1113782217</t>
  </si>
  <si>
    <t>ACHCHE LAL YADAV</t>
  </si>
  <si>
    <t>1113549429</t>
  </si>
  <si>
    <t>MURARI YADAV</t>
  </si>
  <si>
    <t>1113549545</t>
  </si>
  <si>
    <t>OM PRAKASH RAI</t>
  </si>
  <si>
    <t>1113544489</t>
  </si>
  <si>
    <t>SANJEEV KUMAR BENERA</t>
  </si>
  <si>
    <t>1113548982</t>
  </si>
  <si>
    <t>1113667204</t>
  </si>
  <si>
    <t>MOHD YAQUB</t>
  </si>
  <si>
    <t>1113782067</t>
  </si>
  <si>
    <t>KRISHAN BURA</t>
  </si>
  <si>
    <t>1113544465</t>
  </si>
  <si>
    <t>SANTANU KUMAR SENAPATI</t>
  </si>
  <si>
    <t>1113689127</t>
  </si>
  <si>
    <t>T.G.MOHANA RAJU</t>
  </si>
  <si>
    <t>1113750833</t>
  </si>
  <si>
    <t>K.V.BASKAR</t>
  </si>
  <si>
    <t>1113750810</t>
  </si>
  <si>
    <t>A.VIVEK</t>
  </si>
  <si>
    <t>1113750807</t>
  </si>
  <si>
    <t>S.SYED ALIMULLA</t>
  </si>
  <si>
    <t>1113750821</t>
  </si>
  <si>
    <t>THANIGAIVEL.G</t>
  </si>
  <si>
    <t>1113750879</t>
  </si>
  <si>
    <t>DEEPAK SAINI</t>
  </si>
  <si>
    <t>1113750904</t>
  </si>
  <si>
    <t>LAXMAN MANNEPALLI</t>
  </si>
  <si>
    <t>1113750887</t>
  </si>
  <si>
    <t>S.SATHIS</t>
  </si>
  <si>
    <t>1113750899</t>
  </si>
  <si>
    <t>MD.DILSHAD</t>
  </si>
  <si>
    <t>1113750547</t>
  </si>
  <si>
    <t>DHARMENDRA SHARMA</t>
  </si>
  <si>
    <t>1113841690</t>
  </si>
  <si>
    <t>AVINASH KUMAR RAY</t>
  </si>
  <si>
    <t>1113841686</t>
  </si>
  <si>
    <t>ASHUTOSH SINGH</t>
  </si>
  <si>
    <t>1113841757</t>
  </si>
  <si>
    <t>KUMUD KUMAR JHA</t>
  </si>
  <si>
    <t>1113841665</t>
  </si>
  <si>
    <t>GAJENDRA PRASAD</t>
  </si>
  <si>
    <t>1113841658</t>
  </si>
  <si>
    <t>SATISH KUMAR</t>
  </si>
  <si>
    <t>1113841620</t>
  </si>
  <si>
    <t>RAJEEV KUMAR</t>
  </si>
  <si>
    <t>1113841615</t>
  </si>
  <si>
    <t>OM PARKASH</t>
  </si>
  <si>
    <t>1113841719</t>
  </si>
  <si>
    <t>UMESH KUMAR</t>
  </si>
  <si>
    <t>1113841626</t>
  </si>
  <si>
    <t>KARUNA SHANKER MISHRA</t>
  </si>
  <si>
    <t>1113841652</t>
  </si>
  <si>
    <t>KAMLESH JAISWAL</t>
  </si>
  <si>
    <t>1113841642</t>
  </si>
  <si>
    <t>VIJENDER KUMAR</t>
  </si>
  <si>
    <t>1113841631</t>
  </si>
  <si>
    <t>ASHOK KUMAR YADAV</t>
  </si>
  <si>
    <t>1113841741</t>
  </si>
  <si>
    <t>NIRBHAY KUMAR RAI</t>
  </si>
  <si>
    <t>1113841730</t>
  </si>
  <si>
    <t>MUKESH KUMAR GUPTA</t>
  </si>
  <si>
    <t>1113841609</t>
  </si>
  <si>
    <t>RAJKUMAR SHARMA</t>
  </si>
  <si>
    <t>1113867711</t>
  </si>
  <si>
    <t>PANKAJ KUMAR YADAV</t>
  </si>
  <si>
    <t>1113867716</t>
  </si>
  <si>
    <t>MANOJ KUMAR GUPTA</t>
  </si>
  <si>
    <t>1113867718</t>
  </si>
  <si>
    <t>KAMAL DEV</t>
  </si>
  <si>
    <t>1113901113</t>
  </si>
  <si>
    <t>RAM PAL</t>
  </si>
  <si>
    <t>1112834703</t>
  </si>
  <si>
    <t>ASHEESH KUMAR</t>
  </si>
  <si>
    <t>1113663208</t>
  </si>
  <si>
    <t>NILENDRA SHARMA</t>
  </si>
  <si>
    <t>1113660214</t>
  </si>
  <si>
    <t>DURGA PRASAD</t>
  </si>
  <si>
    <t>1113757671</t>
  </si>
  <si>
    <t>GUDDU KUMAR</t>
  </si>
  <si>
    <t>1113784411</t>
  </si>
  <si>
    <t>RISHIDEV MISHRA</t>
  </si>
  <si>
    <t>1113784351</t>
  </si>
  <si>
    <t>ASASHWAR YADAV</t>
  </si>
  <si>
    <t>1113842104</t>
  </si>
  <si>
    <t>BHUWAN YADAV</t>
  </si>
  <si>
    <t>1113842103</t>
  </si>
  <si>
    <t>VIJAY SINGH</t>
  </si>
  <si>
    <t>1113890632</t>
  </si>
  <si>
    <t>LAXMAN GIRI</t>
  </si>
  <si>
    <t>1112834684</t>
  </si>
  <si>
    <t>SHANTANU KUMAR SHARMA</t>
  </si>
  <si>
    <t>1113704996</t>
  </si>
  <si>
    <t>NEERAJ PARASHAR</t>
  </si>
  <si>
    <t>1113826580</t>
  </si>
  <si>
    <t>VED PRAKASH BANSAL</t>
  </si>
  <si>
    <t>1113724245</t>
  </si>
  <si>
    <t>JAI PRAKASH SHUKLA</t>
  </si>
  <si>
    <t>1113705001</t>
  </si>
  <si>
    <t>AHSAN FIRDAUS</t>
  </si>
  <si>
    <t>1113800861</t>
  </si>
  <si>
    <t>JAWED HUSSAIN</t>
  </si>
  <si>
    <t>1113801643</t>
  </si>
  <si>
    <t>RAMESHWAR TRIPATHI</t>
  </si>
  <si>
    <t>1113867705</t>
  </si>
  <si>
    <t>MUKARRAM ALI</t>
  </si>
  <si>
    <t>1113867707</t>
  </si>
  <si>
    <t>MANOJ BHANDARI</t>
  </si>
  <si>
    <t>1112969502</t>
  </si>
  <si>
    <t>VARUN KUMAR</t>
  </si>
  <si>
    <t>1113704980</t>
  </si>
  <si>
    <t>MOHD. ARSHAD</t>
  </si>
  <si>
    <t>1112884242</t>
  </si>
  <si>
    <t>BISHNU</t>
  </si>
  <si>
    <t>1112834674</t>
  </si>
  <si>
    <t>SAMSUL ARAFIN</t>
  </si>
  <si>
    <t>1112834713</t>
  </si>
  <si>
    <t>PRAKASH SINGH GARIA</t>
  </si>
  <si>
    <t>1112834694</t>
  </si>
  <si>
    <t>PAWAN CHAUDHARY</t>
  </si>
  <si>
    <t>1112834679</t>
  </si>
  <si>
    <t>SUROJIT CHOWDHURY</t>
  </si>
  <si>
    <t>1113705005</t>
  </si>
  <si>
    <t>KAILASH</t>
  </si>
  <si>
    <t>1113819879</t>
  </si>
  <si>
    <t>RIZWAN KHAN</t>
  </si>
  <si>
    <t>1113743021</t>
  </si>
  <si>
    <t>SAVERSA KUMAR</t>
  </si>
  <si>
    <t>1112834718</t>
  </si>
  <si>
    <t>SATPAL SINGH</t>
  </si>
  <si>
    <t>1113787229</t>
  </si>
  <si>
    <t>FAIZ UDDIN</t>
  </si>
  <si>
    <t>1113843454</t>
  </si>
  <si>
    <t>PAWAN TRIPATHI</t>
  </si>
  <si>
    <t>1113907418</t>
  </si>
  <si>
    <t>GAJPAL SINGH</t>
  </si>
  <si>
    <t>1112884227</t>
  </si>
  <si>
    <t>MOHD. SALUDDIN</t>
  </si>
  <si>
    <t>1112884243</t>
  </si>
  <si>
    <t>RAMJEE LAL</t>
  </si>
  <si>
    <t>1113280541</t>
  </si>
  <si>
    <t>MOHD. ARIF</t>
  </si>
  <si>
    <t>1113622802</t>
  </si>
  <si>
    <t>ANUP KUMAR SAH</t>
  </si>
  <si>
    <t>1113694096</t>
  </si>
  <si>
    <t>SANTOSH KUMAR MISHRA</t>
  </si>
  <si>
    <t>1113750910</t>
  </si>
  <si>
    <t>PAWAN KUMAR</t>
  </si>
  <si>
    <t>1113750915</t>
  </si>
  <si>
    <t>JAY PRAKASH</t>
  </si>
  <si>
    <t>1113660141</t>
  </si>
  <si>
    <t>CHANDAN SINGH</t>
  </si>
  <si>
    <t>1113407540</t>
  </si>
  <si>
    <t>ANIL KUMAR</t>
  </si>
  <si>
    <t>1113750797</t>
  </si>
  <si>
    <t>RAM HARI BARUA</t>
  </si>
  <si>
    <t>1113858485</t>
  </si>
  <si>
    <t>DINESH RAWAT</t>
  </si>
  <si>
    <t>1113890104</t>
  </si>
  <si>
    <t>DWARIKA NATH MISHRA</t>
  </si>
  <si>
    <t>1113890629</t>
  </si>
  <si>
    <t>MANJEET KUMAR</t>
  </si>
  <si>
    <t>1113901081</t>
  </si>
  <si>
    <t>GOPAL BAIDYA</t>
  </si>
  <si>
    <t>1112884228</t>
  </si>
  <si>
    <t>RANESH ADHYA</t>
  </si>
  <si>
    <t>1112884250</t>
  </si>
  <si>
    <t>MOHD. LIYAKAT ALI KHAN</t>
  </si>
  <si>
    <t>1112884239</t>
  </si>
  <si>
    <t>SANJAY KUMAR</t>
  </si>
  <si>
    <t>1112834716</t>
  </si>
  <si>
    <t>VIRENDRA SINGH RAWAT</t>
  </si>
  <si>
    <t>1113782105</t>
  </si>
  <si>
    <t>ANOOP KOTHARI</t>
  </si>
  <si>
    <t>1113890098</t>
  </si>
  <si>
    <t>RAJAN PAL</t>
  </si>
  <si>
    <t>1112834700</t>
  </si>
  <si>
    <t>DHARMENDRA KUMAR</t>
  </si>
  <si>
    <t>1113667259</t>
  </si>
  <si>
    <t>RAJU</t>
  </si>
  <si>
    <t>1113816520</t>
  </si>
  <si>
    <t>PRINCY FRANCIS</t>
  </si>
  <si>
    <t>1113819875</t>
  </si>
  <si>
    <t>SACHIN SRIVASTAVA</t>
  </si>
  <si>
    <t>1113852872</t>
  </si>
  <si>
    <t>VIPUL ARORA</t>
  </si>
  <si>
    <t>1113904282</t>
  </si>
  <si>
    <t>ISHTEYAQUE AHMED</t>
  </si>
  <si>
    <t>1113803729</t>
  </si>
  <si>
    <t>DILIP SINGH</t>
  </si>
  <si>
    <t>1113841725</t>
  </si>
  <si>
    <t>RAJESH KUMAR MEENA</t>
  </si>
  <si>
    <t>1113819021</t>
  </si>
  <si>
    <t>N. RAMANUJAM</t>
  </si>
  <si>
    <t>1113904280</t>
  </si>
  <si>
    <t>RAJENDRA R. MISHRA</t>
  </si>
  <si>
    <t>1113280538</t>
  </si>
  <si>
    <t>D. VENKTESHWARULU</t>
  </si>
  <si>
    <t>1113832996</t>
  </si>
  <si>
    <t>G. SHIVAKUMAR</t>
  </si>
  <si>
    <t>1113832981</t>
  </si>
  <si>
    <t>YANGALA JEEVARATHNAM</t>
  </si>
  <si>
    <t>1113854482</t>
  </si>
  <si>
    <t>R.VIJAY KUMAR</t>
  </si>
  <si>
    <t>1113876807</t>
  </si>
  <si>
    <t>MD. ASHFAQ ALI</t>
  </si>
  <si>
    <t>1113876794</t>
  </si>
  <si>
    <t>SHAIK JAHANGEER</t>
  </si>
  <si>
    <t>1113751003</t>
  </si>
  <si>
    <t>NARENDRA PAL SINGH</t>
  </si>
  <si>
    <t>1113907279</t>
  </si>
  <si>
    <t>HARSHAD PANDURANG BANSODE</t>
  </si>
  <si>
    <t>1113084697</t>
  </si>
  <si>
    <t>RAJIV SHARMA</t>
  </si>
  <si>
    <t>1113084709</t>
  </si>
  <si>
    <t>ASHOK OJHA</t>
  </si>
  <si>
    <t>1113782036</t>
  </si>
  <si>
    <t>ACHAL MATHUR</t>
  </si>
  <si>
    <t>1113495941</t>
  </si>
  <si>
    <t>SEEMA MISHRA</t>
  </si>
  <si>
    <t>1113495934</t>
  </si>
  <si>
    <t>ANUPA BAJAJ</t>
  </si>
  <si>
    <t>1113495711</t>
  </si>
  <si>
    <t>AANCHAL SUKHIJA</t>
  </si>
  <si>
    <t>1113495701</t>
  </si>
  <si>
    <t>JYOTI JOSHI</t>
  </si>
  <si>
    <t>1113538293</t>
  </si>
  <si>
    <t>ABHA GUPTA</t>
  </si>
  <si>
    <t>1113538244</t>
  </si>
  <si>
    <t>YOGENDRA KUMAR CHATURVEDI</t>
  </si>
  <si>
    <t>1113870395</t>
  </si>
  <si>
    <t>M. VELAPPAN</t>
  </si>
  <si>
    <t>1113914174</t>
  </si>
  <si>
    <t>MAMTA</t>
  </si>
  <si>
    <t>1113600179</t>
  </si>
  <si>
    <t>KAVITA SHARMA</t>
  </si>
  <si>
    <t>1113601158</t>
  </si>
  <si>
    <t>BIRENDRA KUMAR SINGH</t>
  </si>
  <si>
    <t>1113645296</t>
  </si>
  <si>
    <t>VIKRAM SINGH</t>
  </si>
  <si>
    <t>1113691161</t>
  </si>
  <si>
    <t>PUNEET BHARDWAJ</t>
  </si>
  <si>
    <t>1113704915</t>
  </si>
  <si>
    <t>KULBHOOSHAN</t>
  </si>
  <si>
    <t>1113683735</t>
  </si>
  <si>
    <t>1113886981</t>
  </si>
  <si>
    <t>ARUN KUMAR SINGH</t>
  </si>
  <si>
    <t>1113046142</t>
  </si>
  <si>
    <t>CHAMPA ARYA</t>
  </si>
  <si>
    <t>1112920876</t>
  </si>
  <si>
    <t>VARSHA</t>
  </si>
  <si>
    <t>1113834105</t>
  </si>
  <si>
    <t>SARITA</t>
  </si>
  <si>
    <t>1113834113</t>
  </si>
  <si>
    <t>SONIKA DHAWAN</t>
  </si>
  <si>
    <t>1113836723</t>
  </si>
  <si>
    <t>KULWINDER KAUR</t>
  </si>
  <si>
    <t>1113832659</t>
  </si>
  <si>
    <t>RUPA LUNIAL</t>
  </si>
  <si>
    <t>1113834190</t>
  </si>
  <si>
    <t>SUNIL KUMAR</t>
  </si>
  <si>
    <t>1113834094</t>
  </si>
  <si>
    <t>JYOTI LAL</t>
  </si>
  <si>
    <t>1112920885</t>
  </si>
  <si>
    <t>KAMAL</t>
  </si>
  <si>
    <t>1113832666</t>
  </si>
  <si>
    <t>AAKASH</t>
  </si>
  <si>
    <t>111382669</t>
  </si>
  <si>
    <t>MANISH KUMAR CHOPRA</t>
  </si>
  <si>
    <t>1113834688</t>
  </si>
  <si>
    <t>HARI MOHAN BISHT</t>
  </si>
  <si>
    <t>1113280531</t>
  </si>
  <si>
    <t>TULSA RANI</t>
  </si>
  <si>
    <t>1113904106</t>
  </si>
  <si>
    <t>JUNAID USMANI</t>
  </si>
  <si>
    <t>1113904093</t>
  </si>
  <si>
    <t>NAVEEN KUMAR NAGAR</t>
  </si>
  <si>
    <t>1113922351</t>
  </si>
  <si>
    <t>KARTAR SINGH</t>
  </si>
  <si>
    <t>1113600770</t>
  </si>
  <si>
    <t>SUSHIL KUMAR</t>
  </si>
  <si>
    <t>1113707548</t>
  </si>
  <si>
    <t>VARSHA KOHLI</t>
  </si>
  <si>
    <t>1113707525</t>
  </si>
  <si>
    <t>PUSHPA KUMARI</t>
  </si>
  <si>
    <t>1113710211</t>
  </si>
  <si>
    <t>MAYA BALHARA</t>
  </si>
  <si>
    <t>1113759634</t>
  </si>
  <si>
    <t>MANOJ SINGH MEHRA</t>
  </si>
  <si>
    <t>1113804334</t>
  </si>
  <si>
    <t>SANDEEP</t>
  </si>
  <si>
    <t>1113804362</t>
  </si>
  <si>
    <t>SHAHJAHAN</t>
  </si>
  <si>
    <t>1113804381</t>
  </si>
  <si>
    <t>PAPPU KUMAR</t>
  </si>
  <si>
    <t>1113782765</t>
  </si>
  <si>
    <t>POONAM RAWAT</t>
  </si>
  <si>
    <t>1113818141</t>
  </si>
  <si>
    <t>JYOTI</t>
  </si>
  <si>
    <t>1113818137</t>
  </si>
  <si>
    <t>MANJEET SINGH</t>
  </si>
  <si>
    <t>1113819857</t>
  </si>
  <si>
    <t>PAYAL MITTAL</t>
  </si>
  <si>
    <t>1113858794</t>
  </si>
  <si>
    <t>SHANTA</t>
  </si>
  <si>
    <t>1113867727</t>
  </si>
  <si>
    <t>PINKI RAWAT</t>
  </si>
  <si>
    <t>1113867742</t>
  </si>
  <si>
    <t>1113816392</t>
  </si>
  <si>
    <t>K. K. VARGHESE</t>
  </si>
  <si>
    <t>1113518664</t>
  </si>
  <si>
    <t>SHIVANI SEHGAL</t>
  </si>
  <si>
    <t>1113645259</t>
  </si>
  <si>
    <t>SUDIP KUMAR  GHOSH</t>
  </si>
  <si>
    <t>1113659334</t>
  </si>
  <si>
    <t>VIRENDER KUMAR SHARMA</t>
  </si>
  <si>
    <t>1113710213</t>
  </si>
  <si>
    <t>RAVI KUMAR</t>
  </si>
  <si>
    <t>1113755881</t>
  </si>
  <si>
    <t>TANVEER VERMA</t>
  </si>
  <si>
    <t>1113801607</t>
  </si>
  <si>
    <t>VINEET KUMAR</t>
  </si>
  <si>
    <t>1113819845</t>
  </si>
  <si>
    <t>ARUN KUMAR</t>
  </si>
  <si>
    <t>1113886984</t>
  </si>
  <si>
    <t>ANAND SHARMA</t>
  </si>
  <si>
    <t>1113891685</t>
  </si>
  <si>
    <t>GAUTAM VERMA</t>
  </si>
  <si>
    <t>1113860812</t>
  </si>
  <si>
    <t>SUNIL KUMAR SHARMA</t>
  </si>
  <si>
    <t>1113860817</t>
  </si>
  <si>
    <t>PINTU</t>
  </si>
  <si>
    <t>1113860829</t>
  </si>
  <si>
    <t>NAVITA KUMARI</t>
  </si>
  <si>
    <t>2012284922</t>
  </si>
  <si>
    <t>MITHUN JANA</t>
  </si>
  <si>
    <t>1113722486</t>
  </si>
  <si>
    <t>UTTAM VERMA</t>
  </si>
  <si>
    <t>1113860836</t>
  </si>
  <si>
    <t>AFZAL ALI</t>
  </si>
  <si>
    <t>1113860015</t>
  </si>
  <si>
    <t>PAWAN GUPTA</t>
  </si>
  <si>
    <t>1113860022</t>
  </si>
  <si>
    <t>TIPU</t>
  </si>
  <si>
    <t>1113860031</t>
  </si>
  <si>
    <t>AMBIKA</t>
  </si>
  <si>
    <t>1113860033</t>
  </si>
  <si>
    <t>CHAND</t>
  </si>
  <si>
    <t>6921635024</t>
  </si>
  <si>
    <t>DEVA NAND</t>
  </si>
  <si>
    <t>1113860039</t>
  </si>
  <si>
    <t>1113860041</t>
  </si>
  <si>
    <t>GANESH GUPTA</t>
  </si>
  <si>
    <t>6921600780</t>
  </si>
  <si>
    <t>JAGGU DASS</t>
  </si>
  <si>
    <t>1113860044</t>
  </si>
  <si>
    <t>NUSRAT ALI</t>
  </si>
  <si>
    <t>1113860048</t>
  </si>
  <si>
    <t>RIAZ KHAN</t>
  </si>
  <si>
    <t>1113860050</t>
  </si>
  <si>
    <t>SUBODH PATEL</t>
  </si>
  <si>
    <t>1113860052</t>
  </si>
  <si>
    <t>SUDARSHAN ROUT</t>
  </si>
  <si>
    <t>1113860053</t>
  </si>
  <si>
    <t>SURJEET PARIDA</t>
  </si>
  <si>
    <t>6921635620</t>
  </si>
  <si>
    <t>AZEEM ALAM</t>
  </si>
  <si>
    <t>6921497689</t>
  </si>
  <si>
    <t>DINESH</t>
  </si>
  <si>
    <t>1113860163</t>
  </si>
  <si>
    <t>JANARDHAN</t>
  </si>
  <si>
    <t>6921484528</t>
  </si>
  <si>
    <t>NASIR</t>
  </si>
  <si>
    <t>6921279602</t>
  </si>
  <si>
    <t>RADHEY SHYAM</t>
  </si>
  <si>
    <t>6921253021</t>
  </si>
  <si>
    <t>SHIV KUMAR YADAV</t>
  </si>
  <si>
    <t>6921502189</t>
  </si>
  <si>
    <t>SUGAN</t>
  </si>
  <si>
    <t>1113860205</t>
  </si>
  <si>
    <t>SHYAM VEER SINGH</t>
  </si>
  <si>
    <t>6921598237</t>
  </si>
  <si>
    <t>VIKAS</t>
  </si>
  <si>
    <t>1113860216</t>
  </si>
  <si>
    <t>AASH MOHD.</t>
  </si>
  <si>
    <t>6921252763</t>
  </si>
  <si>
    <t>PRASHUMAN KUMAR PANDEY</t>
  </si>
  <si>
    <t>1113860227</t>
  </si>
  <si>
    <t>SHANKAR</t>
  </si>
  <si>
    <t>1113860235</t>
  </si>
  <si>
    <t>VINOD KUMAR</t>
  </si>
  <si>
    <t>1113860249</t>
  </si>
  <si>
    <t>AMZAD ALI KHAN</t>
  </si>
  <si>
    <t>1113860254</t>
  </si>
  <si>
    <t>MD.ARJU</t>
  </si>
  <si>
    <t>6921252847</t>
  </si>
  <si>
    <t>AJAZ KHAN</t>
  </si>
  <si>
    <t>1113860259</t>
  </si>
  <si>
    <t>NAKUL</t>
  </si>
  <si>
    <t>6921635232</t>
  </si>
  <si>
    <t>SESH NATH</t>
  </si>
  <si>
    <t>1113860265</t>
  </si>
  <si>
    <t>BHUSHAN</t>
  </si>
  <si>
    <t>1113860273</t>
  </si>
  <si>
    <t>RAHIS KHAN</t>
  </si>
  <si>
    <t>1113860274</t>
  </si>
  <si>
    <t>RAM HANS</t>
  </si>
  <si>
    <t>1113860280</t>
  </si>
  <si>
    <t>ABDUL</t>
  </si>
  <si>
    <t>6921253036</t>
  </si>
  <si>
    <t>MUNNA</t>
  </si>
  <si>
    <t>1113860282</t>
  </si>
  <si>
    <t>WASIM RIZVI</t>
  </si>
  <si>
    <t>1113860293</t>
  </si>
  <si>
    <t>SAJAN</t>
  </si>
  <si>
    <t>6921635453</t>
  </si>
  <si>
    <t>RAJESH SINGH</t>
  </si>
  <si>
    <t>6921603053</t>
  </si>
  <si>
    <t>RAJU KHAN</t>
  </si>
  <si>
    <t>6921253064</t>
  </si>
  <si>
    <t>LAXMAN PARJAPATI</t>
  </si>
  <si>
    <t>6921635124</t>
  </si>
  <si>
    <t>QURESH ALI</t>
  </si>
  <si>
    <t>1113860297</t>
  </si>
  <si>
    <t>RAMESH GUPTA</t>
  </si>
  <si>
    <t>1113860317</t>
  </si>
  <si>
    <t>SUNNY</t>
  </si>
  <si>
    <t>6921243190</t>
  </si>
  <si>
    <t>PAPPU JAISAWAL</t>
  </si>
  <si>
    <t>1113860370</t>
  </si>
  <si>
    <t>SAJAAD ALI</t>
  </si>
  <si>
    <t>6921635478</t>
  </si>
  <si>
    <t>AMIT</t>
  </si>
  <si>
    <t>1113860375</t>
  </si>
  <si>
    <t>ASHISH SWAIN</t>
  </si>
  <si>
    <t>1113860384</t>
  </si>
  <si>
    <t>BABLU LINKA</t>
  </si>
  <si>
    <t>1113860411</t>
  </si>
  <si>
    <t>JYOTI RANJAN PATRA</t>
  </si>
  <si>
    <t>1113860413</t>
  </si>
  <si>
    <t>NIHAR RANJAN ROUT</t>
  </si>
  <si>
    <t>6921238255</t>
  </si>
  <si>
    <t>PRAKASH</t>
  </si>
  <si>
    <t>6921238326</t>
  </si>
  <si>
    <t>PARMOD</t>
  </si>
  <si>
    <t>1113860419</t>
  </si>
  <si>
    <t>SALAMGIR KHAN</t>
  </si>
  <si>
    <t>1113860428</t>
  </si>
  <si>
    <t>SUKANT KUMAR MOHANT</t>
  </si>
  <si>
    <t>6921552350</t>
  </si>
  <si>
    <t>VIJENDRA SINGH</t>
  </si>
  <si>
    <t>6921598401</t>
  </si>
  <si>
    <t>AMULIYA SWAIN</t>
  </si>
  <si>
    <t>6921497740</t>
  </si>
  <si>
    <t>BASANT MAHUNT</t>
  </si>
  <si>
    <t>6921252901</t>
  </si>
  <si>
    <t>6921238224</t>
  </si>
  <si>
    <t>SHASHI PATRA</t>
  </si>
  <si>
    <t>6921238305</t>
  </si>
  <si>
    <t>6921252883</t>
  </si>
  <si>
    <t>6921497705</t>
  </si>
  <si>
    <t>SARAD ROUT</t>
  </si>
  <si>
    <t>1113860437</t>
  </si>
  <si>
    <t>VINOD KUMAR JHA</t>
  </si>
  <si>
    <t>6921349649</t>
  </si>
  <si>
    <t>NOOR HASAN</t>
  </si>
  <si>
    <t>1113861430</t>
  </si>
  <si>
    <t>ROHIT KUMAR</t>
  </si>
  <si>
    <t>1113862284</t>
  </si>
  <si>
    <t>1113867795</t>
  </si>
  <si>
    <t>PRASHANT</t>
  </si>
  <si>
    <t>1113867800</t>
  </si>
  <si>
    <t>PRAHLAD</t>
  </si>
  <si>
    <t>1113867791</t>
  </si>
  <si>
    <t>RAMBHU</t>
  </si>
  <si>
    <t>1113868863</t>
  </si>
  <si>
    <t>SANJAY CHAURSIYA</t>
  </si>
  <si>
    <t>6921335707</t>
  </si>
  <si>
    <t>SANTOSH SETH</t>
  </si>
  <si>
    <t>1113860826</t>
  </si>
  <si>
    <t>SUDHIR KUMAR VERMA</t>
  </si>
  <si>
    <t>1113860828</t>
  </si>
  <si>
    <t>UNNAKAR</t>
  </si>
  <si>
    <t>1113869023</t>
  </si>
  <si>
    <t>NEERAJ GUPTA</t>
  </si>
  <si>
    <t>1113869021</t>
  </si>
  <si>
    <t>MUSHTKIM ALI</t>
  </si>
  <si>
    <t>1113868894</t>
  </si>
  <si>
    <t>JAWOHAR SAHNI</t>
  </si>
  <si>
    <t>1113868860</t>
  </si>
  <si>
    <t>KULWANT SINGH</t>
  </si>
  <si>
    <t>1113861491</t>
  </si>
  <si>
    <t>MANISH KUMAR</t>
  </si>
  <si>
    <t>1113868823</t>
  </si>
  <si>
    <t>UDAY KUMAR</t>
  </si>
  <si>
    <t>1113868811</t>
  </si>
  <si>
    <t>MOHAN</t>
  </si>
  <si>
    <t>1113868706</t>
  </si>
  <si>
    <t>SATISH</t>
  </si>
  <si>
    <t>1113868696</t>
  </si>
  <si>
    <t>RANVIR</t>
  </si>
  <si>
    <t>1113868681</t>
  </si>
  <si>
    <t>1113867811</t>
  </si>
  <si>
    <t>6921817939</t>
  </si>
  <si>
    <t>RANJEET SINGH</t>
  </si>
  <si>
    <t>6921496992</t>
  </si>
  <si>
    <t>JITENDER</t>
  </si>
  <si>
    <t>6921857346</t>
  </si>
  <si>
    <t>MIRAJ</t>
  </si>
  <si>
    <t>1113861610</t>
  </si>
  <si>
    <t>HARUN</t>
  </si>
  <si>
    <t>1113861627</t>
  </si>
  <si>
    <t>ANKIT KUMAR</t>
  </si>
  <si>
    <t>1113861487</t>
  </si>
  <si>
    <t>ASHOK SINGH</t>
  </si>
  <si>
    <t>1113861636</t>
  </si>
  <si>
    <t>ASGAR ANSARI</t>
  </si>
  <si>
    <t>1113861647</t>
  </si>
  <si>
    <t>SANJAY YADAV</t>
  </si>
  <si>
    <t>1113867806</t>
  </si>
  <si>
    <t>CHAND BABU</t>
  </si>
  <si>
    <t>1113869057</t>
  </si>
  <si>
    <t>GOVIND</t>
  </si>
  <si>
    <t>1113861676</t>
  </si>
  <si>
    <t>NAEM AKHTAR</t>
  </si>
  <si>
    <t>1113861713</t>
  </si>
  <si>
    <t>1113861703</t>
  </si>
  <si>
    <t>1113869043</t>
  </si>
  <si>
    <t>MD.JEYAUDDIN</t>
  </si>
  <si>
    <t>6921857337</t>
  </si>
  <si>
    <t>SHASHI KUMAR RAY</t>
  </si>
  <si>
    <t>1113869030</t>
  </si>
  <si>
    <t>PANKAJ TIWARI</t>
  </si>
  <si>
    <t>1113870319</t>
  </si>
  <si>
    <t>ISLAM ANSHARI</t>
  </si>
  <si>
    <t>6921273489</t>
  </si>
  <si>
    <t>RAJU CHAUHAN</t>
  </si>
  <si>
    <t>1113873090</t>
  </si>
  <si>
    <t>MANGESH GAUR</t>
  </si>
  <si>
    <t>1113871169</t>
  </si>
  <si>
    <t>PRASHANT GOSWAMI</t>
  </si>
  <si>
    <t>1113873138</t>
  </si>
  <si>
    <t>PRADEEP KUSWAHA</t>
  </si>
  <si>
    <t>6921451184</t>
  </si>
  <si>
    <t>ISRAIL</t>
  </si>
  <si>
    <t>1113871176</t>
  </si>
  <si>
    <t>IMRAN</t>
  </si>
  <si>
    <t>1113869053</t>
  </si>
  <si>
    <t>INAM MULLA ANSARI</t>
  </si>
  <si>
    <t>1113871189</t>
  </si>
  <si>
    <t>1113868839</t>
  </si>
  <si>
    <t>BABLU SHARMA</t>
  </si>
  <si>
    <t>6921342226</t>
  </si>
  <si>
    <t>VINDESHWAR KUMAR</t>
  </si>
  <si>
    <t>1113878203</t>
  </si>
  <si>
    <t>RAVIKANT</t>
  </si>
  <si>
    <t>1113878202</t>
  </si>
  <si>
    <t>RAM MELAN</t>
  </si>
  <si>
    <t>6921273560</t>
  </si>
  <si>
    <t>BHASKAR RAI</t>
  </si>
  <si>
    <t>1113861792</t>
  </si>
  <si>
    <t>1113878201</t>
  </si>
  <si>
    <t>SAMSUL ZOHA</t>
  </si>
  <si>
    <t>1113861439</t>
  </si>
  <si>
    <t>NARENDER KUMAR</t>
  </si>
  <si>
    <t>1113878200</t>
  </si>
  <si>
    <t>RAM KIRPAL</t>
  </si>
  <si>
    <t>1113869183</t>
  </si>
  <si>
    <t>PAPPU SINGH</t>
  </si>
  <si>
    <t>1113869186</t>
  </si>
  <si>
    <t>DEVENDER KUMAR</t>
  </si>
  <si>
    <t>1113878197</t>
  </si>
  <si>
    <t>SAVI NATH</t>
  </si>
  <si>
    <t>1113870351</t>
  </si>
  <si>
    <t>SHASHI KUMAR</t>
  </si>
  <si>
    <t>1113878196</t>
  </si>
  <si>
    <t>DHARMENDER</t>
  </si>
  <si>
    <t>1113878191</t>
  </si>
  <si>
    <t>1113873123</t>
  </si>
  <si>
    <t>SOMVEER SINGH</t>
  </si>
  <si>
    <t>1113879892</t>
  </si>
  <si>
    <t>ABDUL QUIS</t>
  </si>
  <si>
    <t>1113880064</t>
  </si>
  <si>
    <t>ALAM KHAN</t>
  </si>
  <si>
    <t>1113880044</t>
  </si>
  <si>
    <t>HOSIYAR ANSARI</t>
  </si>
  <si>
    <t>1113880041</t>
  </si>
  <si>
    <t>TOHID ALAM</t>
  </si>
  <si>
    <t>1113883071</t>
  </si>
  <si>
    <t>RADHE SHYAM</t>
  </si>
  <si>
    <t>1113870344</t>
  </si>
  <si>
    <t>NIYAZ</t>
  </si>
  <si>
    <t>1113883051</t>
  </si>
  <si>
    <t>ASHISH KUMAR</t>
  </si>
  <si>
    <t>1113883073</t>
  </si>
  <si>
    <t>JAHANGIR ALAM</t>
  </si>
  <si>
    <t>1113869682</t>
  </si>
  <si>
    <t>RAJESH SHUKLA</t>
  </si>
  <si>
    <t>1113883093</t>
  </si>
  <si>
    <t>SALIM ALAM</t>
  </si>
  <si>
    <t>1113883100</t>
  </si>
  <si>
    <t>AJAY KUMAR</t>
  </si>
  <si>
    <t>1113883106</t>
  </si>
  <si>
    <t>RITESH</t>
  </si>
  <si>
    <t>1113888454</t>
  </si>
  <si>
    <t>SHIV NATH RAM</t>
  </si>
  <si>
    <t>1113883130</t>
  </si>
  <si>
    <t>RAM NIVAS</t>
  </si>
  <si>
    <t>1113887604</t>
  </si>
  <si>
    <t>BABU HUSAIN</t>
  </si>
  <si>
    <t>1113883160</t>
  </si>
  <si>
    <t>SHYAM KUMAR</t>
  </si>
  <si>
    <t>1113883172</t>
  </si>
  <si>
    <t>1113887495</t>
  </si>
  <si>
    <t>RAM RATTAN</t>
  </si>
  <si>
    <t>1113887610</t>
  </si>
  <si>
    <t>RAVI VERMA</t>
  </si>
  <si>
    <t>1113887490</t>
  </si>
  <si>
    <t>DINESH CHAND YADAV</t>
  </si>
  <si>
    <t>1113887525</t>
  </si>
  <si>
    <t>BRIJESH</t>
  </si>
  <si>
    <t>1113887613</t>
  </si>
  <si>
    <t>BRIJRAJ</t>
  </si>
  <si>
    <t>1113887522</t>
  </si>
  <si>
    <t>NURUL HASAN</t>
  </si>
  <si>
    <t>1113887618</t>
  </si>
  <si>
    <t>MAHBOOB ALI</t>
  </si>
  <si>
    <t>1113887520</t>
  </si>
  <si>
    <t>SADDAM HUSAIN</t>
  </si>
  <si>
    <t>1113887514</t>
  </si>
  <si>
    <t>SONU ALI</t>
  </si>
  <si>
    <t>1113887508</t>
  </si>
  <si>
    <t>BIJENDER</t>
  </si>
  <si>
    <t>6921343466</t>
  </si>
  <si>
    <t>RAKESH</t>
  </si>
  <si>
    <t>1113904994</t>
  </si>
  <si>
    <t>ISRAK</t>
  </si>
  <si>
    <t>1113889825</t>
  </si>
  <si>
    <t>CHANDRIKA</t>
  </si>
  <si>
    <t>1113889822</t>
  </si>
  <si>
    <t>LALU GUPTA</t>
  </si>
  <si>
    <t>11113904311</t>
  </si>
  <si>
    <t>RAM CHANDRA KUSHWAH</t>
  </si>
  <si>
    <t>1113904312</t>
  </si>
  <si>
    <t>RAM JI</t>
  </si>
  <si>
    <t>1113904315</t>
  </si>
  <si>
    <t>AVIRAM</t>
  </si>
  <si>
    <t>1113906112</t>
  </si>
  <si>
    <t>RANJEET KUMAR</t>
  </si>
  <si>
    <t>1113906121</t>
  </si>
  <si>
    <t>VIJAY SANKAR PRAJAPATI</t>
  </si>
  <si>
    <t>1113906140</t>
  </si>
  <si>
    <t>DHEERAJ GUPTA</t>
  </si>
  <si>
    <t>1113906150</t>
  </si>
  <si>
    <t>1113906156</t>
  </si>
  <si>
    <t>MANJEET PRAJAPATI</t>
  </si>
  <si>
    <t>1113906101</t>
  </si>
  <si>
    <t>DIPAK</t>
  </si>
  <si>
    <t>1113869040</t>
  </si>
  <si>
    <t>SHIV JI GUPTA</t>
  </si>
  <si>
    <t>1113916473</t>
  </si>
  <si>
    <t>ASLAM</t>
  </si>
  <si>
    <t>1113909190</t>
  </si>
  <si>
    <t>KAMOD RAWAT</t>
  </si>
  <si>
    <t>1113909194</t>
  </si>
  <si>
    <t>-</t>
  </si>
  <si>
    <t>SUNDER CHAUHAN</t>
  </si>
  <si>
    <t>1113759707</t>
  </si>
  <si>
    <t>AMIT KUMAR</t>
  </si>
  <si>
    <t>1113759697</t>
  </si>
  <si>
    <t>SANJEEV KUMAR SHARMA</t>
  </si>
  <si>
    <t>1113759671</t>
  </si>
  <si>
    <t>BHUPAL SINGH RAWAT</t>
  </si>
  <si>
    <t>1504965734</t>
  </si>
  <si>
    <t>DEEPAK SINGH RAWAT</t>
  </si>
  <si>
    <t>1112846343</t>
  </si>
  <si>
    <t>MEENAKSHI DHINGRA</t>
  </si>
  <si>
    <t>2013445663</t>
  </si>
  <si>
    <t>RAJESH KUMAR PRAJAPATI</t>
  </si>
  <si>
    <t>1113759654</t>
  </si>
  <si>
    <t>RATAN SINGH BHANDARI</t>
  </si>
  <si>
    <t>1113759650</t>
  </si>
  <si>
    <t>DILIP KUMAR</t>
  </si>
  <si>
    <t>1113759646</t>
  </si>
  <si>
    <t>KARTIK GUPTA</t>
  </si>
  <si>
    <t>1113832684</t>
  </si>
  <si>
    <t>SANJEEV SHARMA</t>
  </si>
  <si>
    <t>1113832681</t>
  </si>
  <si>
    <t>SATWIK JAIN</t>
  </si>
  <si>
    <t>1113832677</t>
  </si>
  <si>
    <t>ASHISH SINGH</t>
  </si>
  <si>
    <t>1113832691</t>
  </si>
  <si>
    <t>GUDDU</t>
  </si>
  <si>
    <t>1105978391</t>
  </si>
  <si>
    <t>1113442946</t>
  </si>
  <si>
    <t>PRAMOD KUMAR SAINI</t>
  </si>
  <si>
    <t>1113837583</t>
  </si>
  <si>
    <t>GANGA PRASAD</t>
  </si>
  <si>
    <t>1113908011</t>
  </si>
  <si>
    <t>RAKESH KUMAR</t>
  </si>
  <si>
    <t>1113907987</t>
  </si>
  <si>
    <t>1113908004</t>
  </si>
  <si>
    <t>DIWAKAR PRASAD</t>
  </si>
  <si>
    <t>6921278590</t>
  </si>
  <si>
    <t>SANJAY SINGH</t>
  </si>
  <si>
    <t>6921598297</t>
  </si>
  <si>
    <t>DEEPAK PATEL</t>
  </si>
  <si>
    <t>1113860847</t>
  </si>
  <si>
    <t>BRIJ KISHORE</t>
  </si>
  <si>
    <t>1113860821</t>
  </si>
  <si>
    <t>SUSHANT NAYAK</t>
  </si>
  <si>
    <t>1113860824</t>
  </si>
  <si>
    <t>SALMAN SAIKH</t>
  </si>
  <si>
    <t>1113889835</t>
  </si>
  <si>
    <t>ASHISH KUMAR SRIVASTAVA</t>
  </si>
  <si>
    <t>1113820731</t>
  </si>
  <si>
    <t>SWETANK SAROHA</t>
  </si>
  <si>
    <t>1113822218</t>
  </si>
  <si>
    <t>MD. ARIZ WASEEM</t>
  </si>
  <si>
    <t>1113827238</t>
  </si>
  <si>
    <t>ISMAIL HUSSAIN</t>
  </si>
  <si>
    <t>1113827267</t>
  </si>
  <si>
    <t>ARJUN KUMAR</t>
  </si>
  <si>
    <t>1113822223</t>
  </si>
  <si>
    <t>HARI OM YADAV</t>
  </si>
  <si>
    <t>1113666422</t>
  </si>
  <si>
    <t>NEERAJ SINGH</t>
  </si>
  <si>
    <t>1113842235</t>
  </si>
  <si>
    <t>BHUPINDER KAUR</t>
  </si>
  <si>
    <t>1113853254</t>
  </si>
  <si>
    <t>GURNEEL KAUR</t>
  </si>
  <si>
    <t>1113858504</t>
  </si>
  <si>
    <t>CHANDERMANI</t>
  </si>
  <si>
    <t>1113867748</t>
  </si>
  <si>
    <t>HARPREET KAUR</t>
  </si>
  <si>
    <t>1113877673</t>
  </si>
  <si>
    <t>BHARTI GOLA</t>
  </si>
  <si>
    <t>1113900916</t>
  </si>
  <si>
    <t>MANISH KUMAR TIWARI</t>
  </si>
  <si>
    <t>1113904097</t>
  </si>
  <si>
    <t>S. SHARMILA</t>
  </si>
  <si>
    <t>1113666429</t>
  </si>
  <si>
    <t>MAKKHAN  SHARMA</t>
  </si>
  <si>
    <t>1113666432</t>
  </si>
  <si>
    <t>HIMNASHU RAJNIKANT TRIVEDI</t>
  </si>
  <si>
    <t>1113666148</t>
  </si>
  <si>
    <t>MAHENDRA GANPATBHAI BAROT</t>
  </si>
  <si>
    <t>1113666171</t>
  </si>
  <si>
    <t>BHIMRAO MOHAN GAYKWAD</t>
  </si>
  <si>
    <t>1113666206</t>
  </si>
  <si>
    <t>RAVISH KUMAR</t>
  </si>
  <si>
    <t>1113666224</t>
  </si>
  <si>
    <t>PANKAJ H. TRIVEDI</t>
  </si>
  <si>
    <t>1113666238</t>
  </si>
  <si>
    <t>DEEPAK BALIRAM GHAG</t>
  </si>
  <si>
    <t>1113665842</t>
  </si>
  <si>
    <t>PARMAL SINGH</t>
  </si>
  <si>
    <t>1113665934</t>
  </si>
  <si>
    <t>N. SUDEEP</t>
  </si>
  <si>
    <t>1113664166</t>
  </si>
  <si>
    <t>RAVI SHANKAR MISHRA</t>
  </si>
  <si>
    <t>1113923776</t>
  </si>
  <si>
    <t>S. IMMALDA RANI SURYA</t>
  </si>
  <si>
    <t>1113664137</t>
  </si>
  <si>
    <t>K. NARASIMHAMURTHY</t>
  </si>
  <si>
    <t>1113664124</t>
  </si>
  <si>
    <t>M. JAYA KUMAR</t>
  </si>
  <si>
    <t>1113666279</t>
  </si>
  <si>
    <t>GADAPA LALITHA</t>
  </si>
  <si>
    <t>1113666262</t>
  </si>
  <si>
    <t>M.A. SANDHYA RANI</t>
  </si>
  <si>
    <t>1113666342</t>
  </si>
  <si>
    <t>E. PARAMESHWARAN</t>
  </si>
  <si>
    <t>1113666314</t>
  </si>
  <si>
    <t>AMIT KUMAR SRIVASTAVA</t>
  </si>
  <si>
    <t>1113666362</t>
  </si>
  <si>
    <t>HEMANT KUMAR</t>
  </si>
  <si>
    <t>1113666396</t>
  </si>
  <si>
    <t>M.MUTHU LAKSHMI</t>
  </si>
  <si>
    <t>1113687196</t>
  </si>
  <si>
    <t>PAWAR NITESH RAMCHANDRA</t>
  </si>
  <si>
    <t>1113724268</t>
  </si>
  <si>
    <t>ANURAAG CHAUHAN</t>
  </si>
  <si>
    <t>1113761946</t>
  </si>
  <si>
    <t>DINESH KUMAR</t>
  </si>
  <si>
    <t>1139134844</t>
  </si>
  <si>
    <t>KEERTHANA. V</t>
  </si>
  <si>
    <t>1113783963</t>
  </si>
  <si>
    <t>TUSHAR RAMANBHAI MORALIYA</t>
  </si>
  <si>
    <t>1113801668</t>
  </si>
  <si>
    <t>KISHLAY KUMAR JHA</t>
  </si>
  <si>
    <t>1113804402</t>
  </si>
  <si>
    <t>DHANANJAY KUMAR</t>
  </si>
  <si>
    <t>1113821747</t>
  </si>
  <si>
    <t>EKNATH HARI DHURI</t>
  </si>
  <si>
    <t>1113821736</t>
  </si>
  <si>
    <t>RAMESH ROHIDAS MANDVE</t>
  </si>
  <si>
    <t>1113858443</t>
  </si>
  <si>
    <t>CHETAN VARMA</t>
  </si>
  <si>
    <t>1113858460</t>
  </si>
  <si>
    <t>SUSHANT BHARDWAJ</t>
  </si>
  <si>
    <t>1113858468</t>
  </si>
  <si>
    <t>VYAS MEHULBHAI</t>
  </si>
  <si>
    <t>1113858412</t>
  </si>
  <si>
    <t>MONTU KIRITBHAI BHAVSAR</t>
  </si>
  <si>
    <t>1113872075</t>
  </si>
  <si>
    <t>VINOD PRAKSH TOMAR</t>
  </si>
  <si>
    <t>1113872065</t>
  </si>
  <si>
    <t>POONAM DHAWAN</t>
  </si>
  <si>
    <t>1113694048</t>
  </si>
  <si>
    <t>RAJESH KAKARIA</t>
  </si>
  <si>
    <t>1113894109</t>
  </si>
  <si>
    <t>SEEMA KUMARI</t>
  </si>
  <si>
    <t>1113904134</t>
  </si>
  <si>
    <t>BAMGUDE SHIVAJI ASHOK</t>
  </si>
  <si>
    <t>1113904128</t>
  </si>
  <si>
    <t>DINESH K. JAISWAL</t>
  </si>
  <si>
    <t>1113905925</t>
  </si>
  <si>
    <t>JATINDER BEHAL</t>
  </si>
  <si>
    <t>1113906059</t>
  </si>
  <si>
    <t>T. PRABAKARAN</t>
  </si>
  <si>
    <t>1113905934</t>
  </si>
  <si>
    <t>ANIL JAGOTA</t>
  </si>
  <si>
    <t>1113906075</t>
  </si>
  <si>
    <t>SARAGADA SOMESWARI</t>
  </si>
  <si>
    <t>1113905909</t>
  </si>
  <si>
    <t>HEMANT KUMAR RAJPUT</t>
  </si>
  <si>
    <t>1113886998</t>
  </si>
  <si>
    <t>ANJALI SINGH</t>
  </si>
  <si>
    <t>1113900930</t>
  </si>
  <si>
    <t>AMIT DEWAN</t>
  </si>
  <si>
    <t>1113900957</t>
  </si>
  <si>
    <t>RANI THAKUR</t>
  </si>
  <si>
    <t>1113901300</t>
  </si>
  <si>
    <t>RAJESH KUMAR SINGH</t>
  </si>
  <si>
    <t>1112735502</t>
  </si>
  <si>
    <t>VIJAY KUMAR UPADHAYAY</t>
  </si>
  <si>
    <t>1112735566</t>
  </si>
  <si>
    <t>ARUN KUMAR TIWARI</t>
  </si>
  <si>
    <t>1112733820</t>
  </si>
  <si>
    <t>JITENDER PATHAK</t>
  </si>
  <si>
    <t>1112734441</t>
  </si>
  <si>
    <t>RAJ KUMAR PATEL</t>
  </si>
  <si>
    <t>1112735503</t>
  </si>
  <si>
    <t>ARUN PRAJAPATI</t>
  </si>
  <si>
    <t>1112733432</t>
  </si>
  <si>
    <t>NARESH MANCHANDA</t>
  </si>
  <si>
    <t>1112734637</t>
  </si>
  <si>
    <t>GAURI SHANKAR PASWAN</t>
  </si>
  <si>
    <t>1112734411</t>
  </si>
  <si>
    <t>KUMARESH MONDAL</t>
  </si>
  <si>
    <t>1112734473</t>
  </si>
  <si>
    <t>MAHARAJ TIWARI</t>
  </si>
  <si>
    <t>1112733922</t>
  </si>
  <si>
    <t>VED RAM</t>
  </si>
  <si>
    <t>1112735560</t>
  </si>
  <si>
    <t>SUDHAKAR TIWARI</t>
  </si>
  <si>
    <t>1112735514</t>
  </si>
  <si>
    <t>SANJAY KUMAR SHYMAL</t>
  </si>
  <si>
    <t>1112735508</t>
  </si>
  <si>
    <t>RAMANAND CHAURASIA</t>
  </si>
  <si>
    <t>1112735505</t>
  </si>
  <si>
    <t>VEER SINGH</t>
  </si>
  <si>
    <t>1112734267</t>
  </si>
  <si>
    <t>BANKELAL TIWARI</t>
  </si>
  <si>
    <t>1112733866</t>
  </si>
  <si>
    <t>PANDOHI LAL</t>
  </si>
  <si>
    <t>1112735065</t>
  </si>
  <si>
    <t>SATPAL</t>
  </si>
  <si>
    <t>1112735509</t>
  </si>
  <si>
    <t>DHEERAJ SINGH</t>
  </si>
  <si>
    <t>1111964171</t>
  </si>
  <si>
    <t>PREM LAL</t>
  </si>
  <si>
    <t>1112735498</t>
  </si>
  <si>
    <t>RAJ BAHADUR MISHRA</t>
  </si>
  <si>
    <t>1112735499</t>
  </si>
  <si>
    <t>SURAJ KUMAR GIRI</t>
  </si>
  <si>
    <t>1112735515</t>
  </si>
  <si>
    <t>OM PRAKASH</t>
  </si>
  <si>
    <t>1112735053</t>
  </si>
  <si>
    <t>SURJIT BARUA</t>
  </si>
  <si>
    <t>1112735519</t>
  </si>
  <si>
    <t>YUGAL PRATAP SINGH</t>
  </si>
  <si>
    <t>1112735570</t>
  </si>
  <si>
    <t>VIDESH SINGH</t>
  </si>
  <si>
    <t>1112735563</t>
  </si>
  <si>
    <t>TAPAN KUMAR MISHRA</t>
  </si>
  <si>
    <t>1113495945</t>
  </si>
  <si>
    <t>HARI BHUWAN SINGH</t>
  </si>
  <si>
    <t>1113495724</t>
  </si>
  <si>
    <t>1112759067</t>
  </si>
  <si>
    <t>KUSUM PAL</t>
  </si>
  <si>
    <t>1112759060</t>
  </si>
  <si>
    <t>JAI PRAKASH NARAIN</t>
  </si>
  <si>
    <t>1112759055</t>
  </si>
  <si>
    <t>AJAY SRIVASTAVA</t>
  </si>
  <si>
    <t>1112759030</t>
  </si>
  <si>
    <t>GANESH THAKUR</t>
  </si>
  <si>
    <t>1112759052</t>
  </si>
  <si>
    <t>RAM NIVAS MEENA</t>
  </si>
  <si>
    <t>1112884247</t>
  </si>
  <si>
    <t>KAILASH CHANDER BASANI</t>
  </si>
  <si>
    <t>1112920893</t>
  </si>
  <si>
    <t>SURENDAR SINGH BISHT</t>
  </si>
  <si>
    <t>1113046147</t>
  </si>
  <si>
    <t>KAMAL KISHORE BASANI</t>
  </si>
  <si>
    <t>1113046143</t>
  </si>
  <si>
    <t>SANTOSH SINGH CHAUHAN</t>
  </si>
  <si>
    <t>1113046146</t>
  </si>
  <si>
    <t>JYOTI KAPOOR</t>
  </si>
  <si>
    <t>1113159851</t>
  </si>
  <si>
    <t>SUBHA KANTA SENAPATI</t>
  </si>
  <si>
    <t>1113159850</t>
  </si>
  <si>
    <t>ANURAG SINGH</t>
  </si>
  <si>
    <t>1113304560</t>
  </si>
  <si>
    <t>AJAY PRATAP KATIYAR</t>
  </si>
  <si>
    <t>1113304563</t>
  </si>
  <si>
    <t>MUKESH CHAUDHARY</t>
  </si>
  <si>
    <t>1113328471</t>
  </si>
  <si>
    <t>LALIT KUMAR SAINTLIWAL</t>
  </si>
  <si>
    <t>1113403127</t>
  </si>
  <si>
    <t>BALBIR SINGH</t>
  </si>
  <si>
    <t>1113502319</t>
  </si>
  <si>
    <t>GOPAL DUBEY</t>
  </si>
  <si>
    <t>1113600892</t>
  </si>
  <si>
    <t>DAVINDER KUMAR AHUJA</t>
  </si>
  <si>
    <t>1113659167</t>
  </si>
  <si>
    <t>SATISH KUMAR SHUKLA</t>
  </si>
  <si>
    <t>1113689233</t>
  </si>
  <si>
    <t>SANJAY SINGH BISHT</t>
  </si>
  <si>
    <t>1113755898</t>
  </si>
  <si>
    <t>GANESH KUMAR</t>
  </si>
  <si>
    <t>1113878090</t>
  </si>
  <si>
    <t>SANTOSH KUMAR</t>
  </si>
  <si>
    <t>1113885606</t>
  </si>
  <si>
    <t>PRASANNA KUMAR PARIDA</t>
  </si>
  <si>
    <t>1113885590</t>
  </si>
  <si>
    <t>LAXMAN SINGH</t>
  </si>
  <si>
    <t>1113885578</t>
  </si>
  <si>
    <t>AMIT KUMAR PANDEY</t>
  </si>
  <si>
    <t>1113885613</t>
  </si>
  <si>
    <t>1113885609</t>
  </si>
  <si>
    <t>KULDEEP KUMAR</t>
  </si>
  <si>
    <t>1113887547</t>
  </si>
  <si>
    <t>BHOJ RAJ</t>
  </si>
  <si>
    <t>1113885583</t>
  </si>
  <si>
    <t>RAVIKANT S NISHCHAL</t>
  </si>
  <si>
    <t>1113885596</t>
  </si>
  <si>
    <t>SHELENDRA SINGH</t>
  </si>
  <si>
    <t>1113887531</t>
  </si>
  <si>
    <t>1113887543</t>
  </si>
  <si>
    <t>1113895152</t>
  </si>
  <si>
    <t>VIKAS SHARMA</t>
  </si>
  <si>
    <t>1113909059</t>
  </si>
  <si>
    <t>SANGRAM SINGH</t>
  </si>
  <si>
    <t>1113814805</t>
  </si>
  <si>
    <t>SURESH KUMAR MAURYA</t>
  </si>
  <si>
    <t>1113814821</t>
  </si>
  <si>
    <t>SARVESH KUMAR TRIPATHI</t>
  </si>
  <si>
    <t>1113814823</t>
  </si>
  <si>
    <t>SANDEEP KUMAR YADAV</t>
  </si>
  <si>
    <t>1113814832</t>
  </si>
  <si>
    <t>BAL MUKUND GUPTA</t>
  </si>
  <si>
    <t>1113814801</t>
  </si>
  <si>
    <t>1113814815</t>
  </si>
  <si>
    <t>1113403125</t>
  </si>
  <si>
    <t>1113724313</t>
  </si>
  <si>
    <t>NOOR ALAM</t>
  </si>
  <si>
    <t>6921346904</t>
  </si>
  <si>
    <t>ABHISHEK PATHAK</t>
  </si>
  <si>
    <t>1113862687</t>
  </si>
  <si>
    <t>PRADEEP</t>
  </si>
  <si>
    <t>1113871404</t>
  </si>
  <si>
    <t>NOSAD ANSARI</t>
  </si>
  <si>
    <t>6921502369</t>
  </si>
  <si>
    <t>ISRAR</t>
  </si>
  <si>
    <t>6921343498</t>
  </si>
  <si>
    <t>SONU</t>
  </si>
  <si>
    <t>1113862700</t>
  </si>
  <si>
    <t>1113859025</t>
  </si>
  <si>
    <t>ANIL SHARMA</t>
  </si>
  <si>
    <t>6921459620</t>
  </si>
  <si>
    <t>HARINDER YADAV</t>
  </si>
  <si>
    <t>6921343495</t>
  </si>
  <si>
    <t>MUSTAK</t>
  </si>
  <si>
    <t>6921344593</t>
  </si>
  <si>
    <t>AMARDEEP</t>
  </si>
  <si>
    <t>1113871408</t>
  </si>
  <si>
    <t>1113861434</t>
  </si>
  <si>
    <t>RAM JIWAN</t>
  </si>
  <si>
    <t>6921347052</t>
  </si>
  <si>
    <t>PARMENDER</t>
  </si>
  <si>
    <t>1113883196</t>
  </si>
  <si>
    <t>SANJEEV</t>
  </si>
  <si>
    <t>1113883201</t>
  </si>
  <si>
    <t>SAHEB ALAM</t>
  </si>
  <si>
    <t>6921460049</t>
  </si>
  <si>
    <t>VIJAY SHANKER</t>
  </si>
  <si>
    <t>1113883213</t>
  </si>
  <si>
    <t>1113883217</t>
  </si>
  <si>
    <t>RAM PRAKASH</t>
  </si>
  <si>
    <t>6921347074</t>
  </si>
  <si>
    <t>AFROOJ ALAM</t>
  </si>
  <si>
    <t>1113888515</t>
  </si>
  <si>
    <t>TANVEER</t>
  </si>
  <si>
    <t>1113888519</t>
  </si>
  <si>
    <t>SAHEB</t>
  </si>
  <si>
    <t>1113888522</t>
  </si>
  <si>
    <t>TABRAJ ALAM</t>
  </si>
  <si>
    <t>1113888526</t>
  </si>
  <si>
    <t>TAUFIQUE</t>
  </si>
  <si>
    <t>1113888538</t>
  </si>
  <si>
    <t>JALALUDIN</t>
  </si>
  <si>
    <t>1113888546</t>
  </si>
  <si>
    <t>ZAFRAN</t>
  </si>
  <si>
    <t>1113888555</t>
  </si>
  <si>
    <t>MD. SAMIM</t>
  </si>
  <si>
    <t>1113889832</t>
  </si>
  <si>
    <t>MINTU KUMAR</t>
  </si>
  <si>
    <t>6921581068</t>
  </si>
  <si>
    <t>PARAVEJ ALAM</t>
  </si>
  <si>
    <t>1113889829</t>
  </si>
  <si>
    <t>PANKAJ SINGH</t>
  </si>
  <si>
    <t>1113860690</t>
  </si>
  <si>
    <t>UPENDER</t>
  </si>
  <si>
    <t>6921348013</t>
  </si>
  <si>
    <t>AJAY PATEL</t>
  </si>
  <si>
    <t>6921278803</t>
  </si>
  <si>
    <t>AMIT KUMAR SAHA</t>
  </si>
  <si>
    <t>1113860740</t>
  </si>
  <si>
    <t>NANHE ANSARI</t>
  </si>
  <si>
    <t>1113916452</t>
  </si>
  <si>
    <t>INDRAJIT YADAV</t>
  </si>
  <si>
    <t>1113860757</t>
  </si>
  <si>
    <t>SUKANT</t>
  </si>
  <si>
    <t>1113860760</t>
  </si>
  <si>
    <t>AKBAR ANSHARI</t>
  </si>
  <si>
    <t>6921580942</t>
  </si>
  <si>
    <t>ASHISH KUMAR MALLICK</t>
  </si>
  <si>
    <t>1113920042</t>
  </si>
  <si>
    <t>VIKASH JAISHWAL</t>
  </si>
  <si>
    <t>6921279776</t>
  </si>
  <si>
    <t>MADAN SAHA</t>
  </si>
  <si>
    <t>1113861405</t>
  </si>
  <si>
    <t>SHISHUPAL PATEL</t>
  </si>
  <si>
    <t>6921279477</t>
  </si>
  <si>
    <t>LUTAN SAHA</t>
  </si>
  <si>
    <t>6921340441</t>
  </si>
  <si>
    <t>BAPI BEHRA</t>
  </si>
  <si>
    <t>6921581385</t>
  </si>
  <si>
    <t>PARSANNA NAYAK</t>
  </si>
  <si>
    <t>1113860766</t>
  </si>
  <si>
    <t>MD. MAZHAR</t>
  </si>
  <si>
    <t>6921580902</t>
  </si>
  <si>
    <t>SURESH GIRI</t>
  </si>
  <si>
    <t>6921266349</t>
  </si>
  <si>
    <t>RAM IQBAL TIWARI</t>
  </si>
  <si>
    <t>1113871416</t>
  </si>
  <si>
    <t>RASHMI KANT MAHAKUL</t>
  </si>
  <si>
    <t>1113860775</t>
  </si>
  <si>
    <t>MUNCHUN KUMAR GUPTA</t>
  </si>
  <si>
    <t>1113860783</t>
  </si>
  <si>
    <t>SUBRAT KABI</t>
  </si>
  <si>
    <t>6921278632</t>
  </si>
  <si>
    <t>JAI GOVIND</t>
  </si>
  <si>
    <t>6921581208</t>
  </si>
  <si>
    <t>SUSHANT DAS</t>
  </si>
  <si>
    <t>6921582674</t>
  </si>
  <si>
    <t>RAM CHANDER</t>
  </si>
  <si>
    <t>6921278809</t>
  </si>
  <si>
    <t>1113860792</t>
  </si>
  <si>
    <t>SANJEEV KUMAR</t>
  </si>
  <si>
    <t>6921279439</t>
  </si>
  <si>
    <t>JITENDER KUMAR SHARMA</t>
  </si>
  <si>
    <t>6921278654</t>
  </si>
  <si>
    <t>SUSHIL PAREKH</t>
  </si>
  <si>
    <t>6921460008</t>
  </si>
  <si>
    <t>GURU CHARAN RANA</t>
  </si>
  <si>
    <t>1113860798</t>
  </si>
  <si>
    <t>6921279464</t>
  </si>
  <si>
    <t>VIJAY KUMAR</t>
  </si>
  <si>
    <t>6921279466</t>
  </si>
  <si>
    <t>SESHADEV BEHERA</t>
  </si>
  <si>
    <t>1113860800</t>
  </si>
  <si>
    <t>SANTOSH JENA</t>
  </si>
  <si>
    <t>1113860810</t>
  </si>
  <si>
    <t>MIRTUNJAY SAHOO</t>
  </si>
  <si>
    <t>1113860813</t>
  </si>
  <si>
    <t>AKSHAY MAHALIK</t>
  </si>
  <si>
    <t>6921278621</t>
  </si>
  <si>
    <t>CHANDRA SHEKHAR</t>
  </si>
  <si>
    <t>1113862667</t>
  </si>
  <si>
    <t>SATYA PRAKASH</t>
  </si>
  <si>
    <t>6921457817</t>
  </si>
  <si>
    <t>PARMATH SAHA</t>
  </si>
  <si>
    <t>1113860840</t>
  </si>
  <si>
    <t>1113860849</t>
  </si>
  <si>
    <t>SATENDER PASWAN</t>
  </si>
  <si>
    <t>1113860852</t>
  </si>
  <si>
    <t>SUNNY PASWAN</t>
  </si>
  <si>
    <t>6921279475</t>
  </si>
  <si>
    <t>ARVIND KUMAR</t>
  </si>
  <si>
    <t>1113861366</t>
  </si>
  <si>
    <t>GIRDHARI RANA</t>
  </si>
  <si>
    <t>1113873152</t>
  </si>
  <si>
    <t>PAWAN</t>
  </si>
  <si>
    <t>1113869729</t>
  </si>
  <si>
    <t>SRI KANT NANDI</t>
  </si>
  <si>
    <t>1113873173</t>
  </si>
  <si>
    <t>DIWAKAR MAHALIK</t>
  </si>
  <si>
    <t>1113873178</t>
  </si>
  <si>
    <t>1113869745</t>
  </si>
  <si>
    <t>JAIGOPAL</t>
  </si>
  <si>
    <t>6921343503</t>
  </si>
  <si>
    <t>NAUSHAD KHAN</t>
  </si>
  <si>
    <t>1113873180</t>
  </si>
  <si>
    <t>NARESH PAL</t>
  </si>
  <si>
    <t>1113869759</t>
  </si>
  <si>
    <t>BALBIR KUMAR SHARMA</t>
  </si>
  <si>
    <t>6921482558</t>
  </si>
  <si>
    <t>VIJENDER RAI</t>
  </si>
  <si>
    <t>1113883186</t>
  </si>
  <si>
    <t>SAZID ANSARI</t>
  </si>
  <si>
    <t>1113887577</t>
  </si>
  <si>
    <t>AKSHAY PASWAN</t>
  </si>
  <si>
    <t>1113887584</t>
  </si>
  <si>
    <t>SURESH PASWAN</t>
  </si>
  <si>
    <t>1113887590</t>
  </si>
  <si>
    <t>AKLESH KUMAR</t>
  </si>
  <si>
    <t>1113887595</t>
  </si>
  <si>
    <t>MD. MURAD</t>
  </si>
  <si>
    <t>1113887597</t>
  </si>
  <si>
    <t>BABULI PARDHAN</t>
  </si>
  <si>
    <t>1113887600</t>
  </si>
  <si>
    <t>PRAVEEN KUMAR</t>
  </si>
  <si>
    <t>1113889846</t>
  </si>
  <si>
    <t>BHAJAN SINGH</t>
  </si>
  <si>
    <t>1113889845</t>
  </si>
  <si>
    <t>SATYANARIAN</t>
  </si>
  <si>
    <t>1113889844</t>
  </si>
  <si>
    <t>RAJAN BEHRA</t>
  </si>
  <si>
    <t>1113889841</t>
  </si>
  <si>
    <t>PREETAM SINGH</t>
  </si>
  <si>
    <t>1113889839</t>
  </si>
  <si>
    <t>NAVEEN KUMAR</t>
  </si>
  <si>
    <t>1113889834</t>
  </si>
  <si>
    <t>1113894725</t>
  </si>
  <si>
    <t>BHIM SINGH</t>
  </si>
  <si>
    <t>1113894731</t>
  </si>
  <si>
    <t>GURCHARAN SINGH</t>
  </si>
  <si>
    <t>1113894733</t>
  </si>
  <si>
    <t>1113904983</t>
  </si>
  <si>
    <t>MAHENDRA PRADHAN</t>
  </si>
  <si>
    <t>1113905866</t>
  </si>
  <si>
    <t>SIKENDER</t>
  </si>
  <si>
    <t>1113860695</t>
  </si>
  <si>
    <t>LALA RAM</t>
  </si>
  <si>
    <t>1113908018</t>
  </si>
  <si>
    <t>KIROD NAYAK</t>
  </si>
  <si>
    <t>1113908021</t>
  </si>
  <si>
    <t>HAMID ALI</t>
  </si>
  <si>
    <t>1113908901</t>
  </si>
  <si>
    <t>SAILESH KUMAR RAI</t>
  </si>
  <si>
    <t>1113913170</t>
  </si>
  <si>
    <t>SHYAM SUNDER RAVI</t>
  </si>
  <si>
    <t>1113690431</t>
  </si>
  <si>
    <t>SRI RAM PARSAD</t>
  </si>
  <si>
    <t>6921278698</t>
  </si>
  <si>
    <t>KALIM ANSHARI</t>
  </si>
  <si>
    <t>1113860789</t>
  </si>
  <si>
    <t>AMAR KUMAR</t>
  </si>
  <si>
    <t>1113869228</t>
  </si>
  <si>
    <t>6921342016</t>
  </si>
  <si>
    <t>BIRENDER CHAND</t>
  </si>
  <si>
    <t>1113859050</t>
  </si>
  <si>
    <t>DEVKANT MOHANTY</t>
  </si>
  <si>
    <t>6921342527</t>
  </si>
  <si>
    <t>GAURAV KUMAR</t>
  </si>
  <si>
    <t>6921342563</t>
  </si>
  <si>
    <t>DHARMENDRA PRASAD</t>
  </si>
  <si>
    <t>6921342551</t>
  </si>
  <si>
    <t>6921849778</t>
  </si>
  <si>
    <t>SANTU PRASAD</t>
  </si>
  <si>
    <t>6921343095</t>
  </si>
  <si>
    <t>6921534127</t>
  </si>
  <si>
    <t>NANDA JENA</t>
  </si>
  <si>
    <t>1113859053</t>
  </si>
  <si>
    <t>CHANDA GAUTAM</t>
  </si>
  <si>
    <t>1113859059</t>
  </si>
  <si>
    <t>RAJESH MOHANTY</t>
  </si>
  <si>
    <t>1113871398</t>
  </si>
  <si>
    <t>SHVI RATAN GAUTAM</t>
  </si>
  <si>
    <t>6921343117</t>
  </si>
  <si>
    <t>AJAY YADAV</t>
  </si>
  <si>
    <t>1113869220</t>
  </si>
  <si>
    <t>TUTU KUMAR</t>
  </si>
  <si>
    <t>1113869248</t>
  </si>
  <si>
    <t>SONU KUMAR</t>
  </si>
  <si>
    <t>1113887555</t>
  </si>
  <si>
    <t>RAMAKANT KUMAR</t>
  </si>
  <si>
    <t>1113887566</t>
  </si>
  <si>
    <t>ASIK</t>
  </si>
  <si>
    <t>1113889811</t>
  </si>
  <si>
    <t>SURAJ</t>
  </si>
  <si>
    <t>1113904703</t>
  </si>
  <si>
    <t>SURENDRA KUMAR</t>
  </si>
  <si>
    <t>6921343136</t>
  </si>
  <si>
    <t>ALI AKHIYAT</t>
  </si>
  <si>
    <t>6921211931</t>
  </si>
  <si>
    <t>NIRANJAN PATRA</t>
  </si>
  <si>
    <t>6912342912</t>
  </si>
  <si>
    <t>6921343375</t>
  </si>
  <si>
    <t>KISHORE KUMAR</t>
  </si>
  <si>
    <t>1112572300</t>
  </si>
  <si>
    <t>1112670389</t>
  </si>
  <si>
    <t>GANGESH PANWAR</t>
  </si>
  <si>
    <t>1113858481</t>
  </si>
  <si>
    <t>RAJENDER SINGH NEGI</t>
  </si>
  <si>
    <t>1113502019</t>
  </si>
  <si>
    <t>BHOPAL SINGH RAWAT</t>
  </si>
  <si>
    <t>1113189157</t>
  </si>
  <si>
    <t>KANIKA HATWAL</t>
  </si>
  <si>
    <t>1113897745</t>
  </si>
  <si>
    <t>RAJESH KUMAR</t>
  </si>
  <si>
    <t>1113403132</t>
  </si>
  <si>
    <t>ANJU NAGPAL</t>
  </si>
  <si>
    <t>1111700346</t>
  </si>
  <si>
    <t>RAJ KUMAR SINGH</t>
  </si>
  <si>
    <t>1112067300</t>
  </si>
  <si>
    <t>PANKAJ GUPTA</t>
  </si>
  <si>
    <t>1113518358</t>
  </si>
  <si>
    <t>DEEPA MANDAL</t>
  </si>
  <si>
    <t>1113601139</t>
  </si>
  <si>
    <t>MOHD. IBRAHIM</t>
  </si>
  <si>
    <t>1113687776</t>
  </si>
  <si>
    <t>ANAND JHA</t>
  </si>
  <si>
    <t>1113725205</t>
  </si>
  <si>
    <t>SHAHZAD KHAN</t>
  </si>
  <si>
    <t>1113925043</t>
  </si>
  <si>
    <t>BISHWAJIT PAL</t>
  </si>
  <si>
    <t>1113662416</t>
  </si>
  <si>
    <t>RAHUL BHUJEL</t>
  </si>
  <si>
    <t>1113662042</t>
  </si>
  <si>
    <t>PANKAJ  KATARIA</t>
  </si>
  <si>
    <t>1113751014</t>
  </si>
  <si>
    <t>BABLU SANGRAM</t>
  </si>
  <si>
    <t>2012227053</t>
  </si>
  <si>
    <t>PRABHASH</t>
  </si>
  <si>
    <t>6914716687</t>
  </si>
  <si>
    <t>RAHUL MISHRA</t>
  </si>
  <si>
    <t>1113889925</t>
  </si>
  <si>
    <t>GAY DEV BHAKTA</t>
  </si>
  <si>
    <t>1113662496</t>
  </si>
  <si>
    <t>RAM VARAN</t>
  </si>
  <si>
    <t>1113751151</t>
  </si>
  <si>
    <t>MUKESH KUMAR</t>
  </si>
  <si>
    <t>1113662468</t>
  </si>
  <si>
    <t>1113889921</t>
  </si>
  <si>
    <t>RAHUL KUMAR</t>
  </si>
  <si>
    <t>1113889952</t>
  </si>
  <si>
    <t>SANOJ</t>
  </si>
  <si>
    <t>1113925311</t>
  </si>
  <si>
    <t>SOUMEN KHATUA</t>
  </si>
  <si>
    <t>1113922337</t>
  </si>
  <si>
    <t>MD. SABIR ALI</t>
  </si>
  <si>
    <t>1113407682</t>
  </si>
  <si>
    <t>HEMRAJ</t>
  </si>
  <si>
    <t>1113421386</t>
  </si>
  <si>
    <t>MAHESH KUMAR</t>
  </si>
  <si>
    <t>1113407671</t>
  </si>
  <si>
    <t>IMTIYAZ ALI</t>
  </si>
  <si>
    <t>1113407642</t>
  </si>
  <si>
    <t>1113407601</t>
  </si>
  <si>
    <t>KUMAR PAL</t>
  </si>
  <si>
    <t>1113407622</t>
  </si>
  <si>
    <t>1113407634</t>
  </si>
  <si>
    <t>MAJID</t>
  </si>
  <si>
    <t>1113407638</t>
  </si>
  <si>
    <t>HARI KRISHAN SINGH</t>
  </si>
  <si>
    <t>1113407644</t>
  </si>
  <si>
    <t>VEER PAL</t>
  </si>
  <si>
    <t>1113407650</t>
  </si>
  <si>
    <t>ZIYA UL HAQ</t>
  </si>
  <si>
    <t>1113407652</t>
  </si>
  <si>
    <t>SANDEEP PAL</t>
  </si>
  <si>
    <t>1113407655</t>
  </si>
  <si>
    <t>RAMJEET SINGH</t>
  </si>
  <si>
    <t>1113407656</t>
  </si>
  <si>
    <t>1113407669</t>
  </si>
  <si>
    <t>TILAK RAM</t>
  </si>
  <si>
    <t>1113407677</t>
  </si>
  <si>
    <t>RANJEET</t>
  </si>
  <si>
    <t>1113407679</t>
  </si>
  <si>
    <t>SHASHI KANT</t>
  </si>
  <si>
    <t>1113407678</t>
  </si>
  <si>
    <t>RAJ KUMAR</t>
  </si>
  <si>
    <t>1113407680</t>
  </si>
  <si>
    <t>1113407681</t>
  </si>
  <si>
    <t>KAMAL SINGH</t>
  </si>
  <si>
    <t>1113407683</t>
  </si>
  <si>
    <t>PRAMOD</t>
  </si>
  <si>
    <t>1113407685</t>
  </si>
  <si>
    <t>1113407688</t>
  </si>
  <si>
    <t>SHIV DUTT</t>
  </si>
  <si>
    <t>1113407693</t>
  </si>
  <si>
    <t>RAJENDER</t>
  </si>
  <si>
    <t>1113407696</t>
  </si>
  <si>
    <t>DHARAMBEER</t>
  </si>
  <si>
    <t>1113407707</t>
  </si>
  <si>
    <t>1113407709</t>
  </si>
  <si>
    <t>MUNESH KUMAR</t>
  </si>
  <si>
    <t>1113407712</t>
  </si>
  <si>
    <t>BHAGWAT SWAROOP</t>
  </si>
  <si>
    <t>1113407715</t>
  </si>
  <si>
    <t>VISHNU KUMAR</t>
  </si>
  <si>
    <t>1113407717</t>
  </si>
  <si>
    <t>SURESH</t>
  </si>
  <si>
    <t>1113407720</t>
  </si>
  <si>
    <t>1113407722</t>
  </si>
  <si>
    <t>NADEEM</t>
  </si>
  <si>
    <t>1113407726</t>
  </si>
  <si>
    <t>NARESH KUMAR</t>
  </si>
  <si>
    <t>1113407729</t>
  </si>
  <si>
    <t>1113407733</t>
  </si>
  <si>
    <t>NAWED KHAN</t>
  </si>
  <si>
    <t>1113407734</t>
  </si>
  <si>
    <t>RAM PRASAD</t>
  </si>
  <si>
    <t>1113421388</t>
  </si>
  <si>
    <t>AMAN SINGH</t>
  </si>
  <si>
    <t>1113495705</t>
  </si>
  <si>
    <t>VIJENDER</t>
  </si>
  <si>
    <t>1113549349</t>
  </si>
  <si>
    <t>DINESH KUMAR PAL</t>
  </si>
  <si>
    <t>1113549259</t>
  </si>
  <si>
    <t>1113549192</t>
  </si>
  <si>
    <t>RAKESH KUMAR VIJ</t>
  </si>
  <si>
    <t>1113581370</t>
  </si>
  <si>
    <t>1113601183</t>
  </si>
  <si>
    <t>NIRMAL KUMAR</t>
  </si>
  <si>
    <t>1113633806</t>
  </si>
  <si>
    <t>BATTI LAL GURJAR</t>
  </si>
  <si>
    <t>1113629737</t>
  </si>
  <si>
    <t>VIKAL KUMAR</t>
  </si>
  <si>
    <t>1113664376</t>
  </si>
  <si>
    <t>VIKASH SHARMA</t>
  </si>
  <si>
    <t>1113715417</t>
  </si>
  <si>
    <t>RAM GOPAL</t>
  </si>
  <si>
    <t>1113751961</t>
  </si>
  <si>
    <t>1113751870</t>
  </si>
  <si>
    <t>NEERAJ</t>
  </si>
  <si>
    <t>1113751935</t>
  </si>
  <si>
    <t>1113841769</t>
  </si>
  <si>
    <t>RAHUL KASHYAP</t>
  </si>
  <si>
    <t>DEEPAK SINGH</t>
  </si>
  <si>
    <t>1113743024</t>
  </si>
  <si>
    <t>ABHISHEK SHUKLA</t>
  </si>
  <si>
    <t>1113600931</t>
  </si>
  <si>
    <t>SUBODH KUMAR</t>
  </si>
  <si>
    <t>1113572261</t>
  </si>
  <si>
    <t>JITENDER SINGH</t>
  </si>
  <si>
    <t>1113689758</t>
  </si>
  <si>
    <t>RAMA SHANKAR</t>
  </si>
  <si>
    <t>1113870398</t>
  </si>
  <si>
    <t>NARENDRA SINGH</t>
  </si>
  <si>
    <t>1113819030</t>
  </si>
  <si>
    <t>1113777782</t>
  </si>
  <si>
    <t>SANTOSH VITTALRAO WAGHMARE</t>
  </si>
  <si>
    <t>1113084714</t>
  </si>
  <si>
    <t>SATYA RAY</t>
  </si>
  <si>
    <t>MAHENDRA KUMAR</t>
  </si>
  <si>
    <t>1113792489</t>
  </si>
  <si>
    <t>SHOAIB KHAN</t>
  </si>
  <si>
    <t>1113792495</t>
  </si>
  <si>
    <t>1113792507</t>
  </si>
  <si>
    <t>SATENDER RAY</t>
  </si>
  <si>
    <t>1113792513</t>
  </si>
  <si>
    <t>VIRENDER KUMAR</t>
  </si>
  <si>
    <t>1113804726</t>
  </si>
  <si>
    <t>SATEEH KUMAR</t>
  </si>
  <si>
    <t>1113804738</t>
  </si>
  <si>
    <t>SAURABH SISODIYA</t>
  </si>
  <si>
    <t>1113822211</t>
  </si>
  <si>
    <t>MANISH MANI GAUTAM</t>
  </si>
  <si>
    <t>1113878097</t>
  </si>
  <si>
    <t>NAWAZ SHARIF</t>
  </si>
  <si>
    <t>1113918776</t>
  </si>
  <si>
    <t>SUNIL KUMAR THAKUR</t>
  </si>
  <si>
    <t>1113922363</t>
  </si>
  <si>
    <t>MUKESH DUTT</t>
  </si>
  <si>
    <t>1113159825</t>
  </si>
  <si>
    <t>1113159836</t>
  </si>
  <si>
    <t>SURESH KUMAR</t>
  </si>
  <si>
    <t>1113159827</t>
  </si>
  <si>
    <t>AJEET KUMAR</t>
  </si>
  <si>
    <t>1113159821</t>
  </si>
  <si>
    <t>1113159842</t>
  </si>
  <si>
    <t>KANHAIYA PRASAD</t>
  </si>
  <si>
    <t>1113159811</t>
  </si>
  <si>
    <t>KISHAN KUMAR</t>
  </si>
  <si>
    <t>1113159807</t>
  </si>
  <si>
    <t>1113159823</t>
  </si>
  <si>
    <t>1113159837</t>
  </si>
  <si>
    <t>SHAYAM SINGH YADAV</t>
  </si>
  <si>
    <t>1113159817</t>
  </si>
  <si>
    <t>RANJIT KUMAR JHA</t>
  </si>
  <si>
    <t>1113159828</t>
  </si>
  <si>
    <t>1113159839</t>
  </si>
  <si>
    <t>AJAY KUMAR SHARMA</t>
  </si>
  <si>
    <t>1113159832</t>
  </si>
  <si>
    <t>DHARMENDER KUMAR</t>
  </si>
  <si>
    <t>1113159833</t>
  </si>
  <si>
    <t>VIJAY KUMAR SINGH</t>
  </si>
  <si>
    <t>1113189167</t>
  </si>
  <si>
    <t>1113159834</t>
  </si>
  <si>
    <t>1113538177</t>
  </si>
  <si>
    <t>1113691136</t>
  </si>
  <si>
    <t>LALIT KUMAR</t>
  </si>
  <si>
    <t>1113786301</t>
  </si>
  <si>
    <t>MUNESHWAR ATTRI</t>
  </si>
  <si>
    <t>1113801595</t>
  </si>
  <si>
    <t>KRISHAN KUMAR</t>
  </si>
  <si>
    <t>1113904089</t>
  </si>
  <si>
    <t>MD. NOSHAD</t>
  </si>
  <si>
    <t>NARESH CHAND TYAGI</t>
  </si>
  <si>
    <t>1113187694</t>
  </si>
  <si>
    <t>NAVEEN MAAN</t>
  </si>
  <si>
    <t>1113689639</t>
  </si>
  <si>
    <t>GANESH JHA</t>
  </si>
  <si>
    <t>1113689650</t>
  </si>
  <si>
    <t>SAURABH</t>
  </si>
  <si>
    <t>1113689658</t>
  </si>
  <si>
    <t>2013682821</t>
  </si>
  <si>
    <t>PARDEEP KUMAR</t>
  </si>
  <si>
    <t>1113690409</t>
  </si>
  <si>
    <t>AMARJEET SINGH</t>
  </si>
  <si>
    <t>1113690416</t>
  </si>
  <si>
    <t>RANJAN GUPTA</t>
  </si>
  <si>
    <t>1113690427</t>
  </si>
  <si>
    <t>PRAVIN KUMAR RAJORIA</t>
  </si>
  <si>
    <t>1113742343</t>
  </si>
  <si>
    <t>MEHARAJ ALI</t>
  </si>
  <si>
    <t>1113742478</t>
  </si>
  <si>
    <t>1113742407</t>
  </si>
  <si>
    <t>1113095939</t>
  </si>
  <si>
    <t>1113742385</t>
  </si>
  <si>
    <t>LAXMAN SINGH YADAV</t>
  </si>
  <si>
    <t>1113888602</t>
  </si>
  <si>
    <t>1112672510</t>
  </si>
  <si>
    <t>1113742362</t>
  </si>
  <si>
    <t>ASHISH</t>
  </si>
  <si>
    <t>1113742366</t>
  </si>
  <si>
    <t>1113741996</t>
  </si>
  <si>
    <t>SANDEEP KUMAR JOSHIA</t>
  </si>
  <si>
    <t>1113742414</t>
  </si>
  <si>
    <t>AKHLESH KUMAR</t>
  </si>
  <si>
    <t>1113742057</t>
  </si>
  <si>
    <t>SHYAM SUNDER</t>
  </si>
  <si>
    <t>1113742007</t>
  </si>
  <si>
    <t>1113741984</t>
  </si>
  <si>
    <t>SHIV KUMAR</t>
  </si>
  <si>
    <t>1113742045</t>
  </si>
  <si>
    <t>KUMUD KUMAR</t>
  </si>
  <si>
    <t>1112672515</t>
  </si>
  <si>
    <t>VIKAS KUMAR</t>
  </si>
  <si>
    <t>1113742068</t>
  </si>
  <si>
    <t>1007352321</t>
  </si>
  <si>
    <t>RAJESH KHANNA</t>
  </si>
  <si>
    <t>1113742354</t>
  </si>
  <si>
    <t>AKHILESH KUMAR GUPTA</t>
  </si>
  <si>
    <t>1113742392</t>
  </si>
  <si>
    <t>BHARAT BILOCHI</t>
  </si>
  <si>
    <t>1113777693</t>
  </si>
  <si>
    <t>MUNNA KHAN</t>
  </si>
  <si>
    <t>2012000833</t>
  </si>
  <si>
    <t>1113742341</t>
  </si>
  <si>
    <t>SUSHIL KUMAR SHARMA</t>
  </si>
  <si>
    <t>1113742402</t>
  </si>
  <si>
    <t>KISHOR KUMAR</t>
  </si>
  <si>
    <t>1113742374</t>
  </si>
  <si>
    <t>ANIL KUMAR SHARMA</t>
  </si>
  <si>
    <t>1113742028</t>
  </si>
  <si>
    <t>MAN SINGH NIRALA</t>
  </si>
  <si>
    <t>1113801604</t>
  </si>
  <si>
    <t>NEERAJ SHARMA</t>
  </si>
  <si>
    <t>1113801585</t>
  </si>
  <si>
    <t>SUNDER LAL LODHI</t>
  </si>
  <si>
    <t>1112884257</t>
  </si>
  <si>
    <t>PRITHVI RAJ CHAUHAN</t>
  </si>
  <si>
    <t>1113339989</t>
  </si>
  <si>
    <t>NAVIN SRIVASTAVA</t>
  </si>
  <si>
    <t>2013111672</t>
  </si>
  <si>
    <t>VIKASH KUMAR</t>
  </si>
  <si>
    <t>1113808987</t>
  </si>
  <si>
    <t>1113851288</t>
  </si>
  <si>
    <t>BALBIR</t>
  </si>
  <si>
    <t>1113923835</t>
  </si>
  <si>
    <t>1113876845</t>
  </si>
  <si>
    <t>NAVNEET KUMAR</t>
  </si>
  <si>
    <t>1113867698</t>
  </si>
  <si>
    <t>RANJANI MAURYA</t>
  </si>
  <si>
    <t>1113895468</t>
  </si>
  <si>
    <t>SUMIT SHARMA</t>
  </si>
  <si>
    <t>1113914194</t>
  </si>
  <si>
    <t>ANITA</t>
  </si>
  <si>
    <t>1113914188</t>
  </si>
  <si>
    <t>SUMEET KUMAR SINGH</t>
  </si>
  <si>
    <t>ROHIT</t>
  </si>
  <si>
    <t>1113407684</t>
  </si>
  <si>
    <t>UPENDER KUMAR</t>
  </si>
  <si>
    <t>1113860699</t>
  </si>
  <si>
    <t>BIJENDER KUMAR</t>
  </si>
  <si>
    <t>2213577287</t>
  </si>
  <si>
    <t>ASHWANI KUMAR SHARMA</t>
  </si>
  <si>
    <t>1113924161</t>
  </si>
  <si>
    <t>1113883045</t>
  </si>
  <si>
    <t>RAMESH CHANDRA MANDAL</t>
  </si>
  <si>
    <t>1113403135</t>
  </si>
  <si>
    <t>LATIKA UPRETI</t>
  </si>
  <si>
    <t>1113518483</t>
  </si>
  <si>
    <t>1113622785</t>
  </si>
  <si>
    <t>AKHIL KUMAR</t>
  </si>
  <si>
    <t>1113629707</t>
  </si>
  <si>
    <t>VINAY</t>
  </si>
  <si>
    <t>1113645247</t>
  </si>
  <si>
    <t>MAHESH</t>
  </si>
  <si>
    <t>1113742460</t>
  </si>
  <si>
    <t>RAHUL</t>
  </si>
  <si>
    <t>1113792301</t>
  </si>
  <si>
    <t>1113792322</t>
  </si>
  <si>
    <t>DEVENDER SINGH RAMOLA</t>
  </si>
  <si>
    <t>1113852882</t>
  </si>
  <si>
    <t>MANVENDER SINGH</t>
  </si>
  <si>
    <t>1113870393</t>
  </si>
  <si>
    <t>AMIT KUMAR SHARMA</t>
  </si>
  <si>
    <t>1113870389</t>
  </si>
  <si>
    <t>1113875268</t>
  </si>
  <si>
    <t>Kaysee Symphonic Solutions Pvt Ltd.</t>
  </si>
  <si>
    <t>(2) Test Question</t>
  </si>
  <si>
    <t>S No</t>
  </si>
  <si>
    <t>for case 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</si>
</sst>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name val="Arial"/>
      <family val="2"/>
    </font>
    <font>
      <sz val="10"/>
      <color indexed="20"/>
      <name val="Arial"/>
      <family val="2"/>
    </font>
    <font>
      <sz val="15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10" fillId="6" borderId="0" applyNumberFormat="0" applyFont="0" applyBorder="0" applyAlignment="0" applyProtection="0"/>
    <xf numFmtId="0" fontId="10" fillId="7" borderId="0" applyNumberFormat="0" applyFont="0" applyBorder="0" applyAlignment="0" applyProtection="0"/>
  </cellStyleXfs>
  <cellXfs count="80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9" fontId="5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horizontal="center" vertical="center" wrapText="1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/>
    <xf numFmtId="0" fontId="0" fillId="0" borderId="4" xfId="0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 shrinkToFit="1"/>
      <protection locked="0"/>
    </xf>
    <xf numFmtId="9" fontId="1" fillId="0" borderId="4" xfId="1" applyFont="1" applyFill="1" applyBorder="1" applyAlignment="1" applyProtection="1">
      <alignment horizontal="center" vertical="center"/>
      <protection locked="0"/>
    </xf>
    <xf numFmtId="0" fontId="3" fillId="5" borderId="4" xfId="1" applyNumberFormat="1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/>
    <xf numFmtId="0" fontId="0" fillId="5" borderId="14" xfId="0" applyFill="1" applyBorder="1" applyProtection="1">
      <protection locked="0"/>
    </xf>
    <xf numFmtId="0" fontId="3" fillId="0" borderId="15" xfId="0" applyFont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0" borderId="19" xfId="0" applyBorder="1" applyProtection="1">
      <protection locked="0"/>
    </xf>
    <xf numFmtId="0" fontId="0" fillId="0" borderId="0" xfId="0" quotePrefix="1"/>
    <xf numFmtId="0" fontId="0" fillId="0" borderId="3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49" fontId="0" fillId="0" borderId="0" xfId="0" applyNumberFormat="1"/>
    <xf numFmtId="0" fontId="12" fillId="0" borderId="4" xfId="0" applyFont="1" applyBorder="1"/>
    <xf numFmtId="0" fontId="0" fillId="0" borderId="4" xfId="0" applyBorder="1"/>
    <xf numFmtId="49" fontId="0" fillId="5" borderId="0" xfId="0" quotePrefix="1" applyNumberFormat="1" applyFill="1"/>
    <xf numFmtId="0" fontId="2" fillId="2" borderId="4" xfId="2" applyFont="1" applyBorder="1" applyProtection="1"/>
    <xf numFmtId="49" fontId="2" fillId="2" borderId="4" xfId="2" applyNumberFormat="1" applyFont="1" applyBorder="1" applyProtection="1"/>
    <xf numFmtId="49" fontId="2" fillId="3" borderId="4" xfId="3" applyNumberFormat="1" applyFont="1" applyBorder="1" applyProtection="1"/>
    <xf numFmtId="0" fontId="2" fillId="3" borderId="4" xfId="3" applyNumberFormat="1" applyFont="1" applyBorder="1" applyProtection="1"/>
    <xf numFmtId="49" fontId="0" fillId="0" borderId="4" xfId="0" applyNumberFormat="1" applyBorder="1"/>
    <xf numFmtId="49" fontId="0" fillId="0" borderId="4" xfId="0" quotePrefix="1" applyNumberFormat="1" applyBorder="1" applyAlignment="1">
      <alignment horizontal="left"/>
    </xf>
    <xf numFmtId="1" fontId="0" fillId="0" borderId="4" xfId="0" applyNumberFormat="1" applyBorder="1" applyProtection="1">
      <protection locked="0"/>
    </xf>
    <xf numFmtId="0" fontId="0" fillId="0" borderId="4" xfId="0" quotePrefix="1" applyBorder="1" applyAlignment="1">
      <alignment horizontal="left"/>
    </xf>
    <xf numFmtId="0" fontId="0" fillId="0" borderId="4" xfId="0" applyBorder="1" applyAlignment="1">
      <alignment horizontal="left"/>
    </xf>
    <xf numFmtId="2" fontId="0" fillId="0" borderId="4" xfId="0" applyNumberFormat="1" applyBorder="1" applyProtection="1">
      <protection locked="0"/>
    </xf>
    <xf numFmtId="2" fontId="0" fillId="8" borderId="4" xfId="0" applyNumberFormat="1" applyFill="1" applyBorder="1" applyProtection="1">
      <protection locked="0"/>
    </xf>
    <xf numFmtId="49" fontId="0" fillId="0" borderId="4" xfId="0" applyNumberFormat="1" applyBorder="1" applyAlignment="1">
      <alignment horizontal="left"/>
    </xf>
    <xf numFmtId="0" fontId="0" fillId="0" borderId="0" xfId="0" applyAlignment="1">
      <alignment horizontal="left"/>
    </xf>
    <xf numFmtId="0" fontId="10" fillId="0" borderId="0" xfId="4" applyNumberFormat="1" applyFont="1" applyFill="1" applyBorder="1" applyAlignment="1">
      <alignment horizontal="right"/>
    </xf>
    <xf numFmtId="0" fontId="11" fillId="0" borderId="0" xfId="5" applyNumberFormat="1" applyFont="1" applyFill="1" applyBorder="1"/>
    <xf numFmtId="0" fontId="9" fillId="0" borderId="4" xfId="0" applyFont="1" applyBorder="1" applyAlignment="1">
      <alignment horizontal="center" vertical="center"/>
    </xf>
    <xf numFmtId="49" fontId="0" fillId="0" borderId="0" xfId="0" quotePrefix="1" applyNumberFormat="1"/>
    <xf numFmtId="49" fontId="2" fillId="0" borderId="0" xfId="3" applyNumberFormat="1" applyFont="1" applyFill="1" applyBorder="1" applyProtection="1"/>
    <xf numFmtId="0" fontId="2" fillId="0" borderId="0" xfId="3" applyNumberFormat="1" applyFont="1" applyFill="1" applyBorder="1" applyProtection="1"/>
    <xf numFmtId="2" fontId="0" fillId="0" borderId="0" xfId="0" applyNumberFormat="1" applyProtection="1">
      <protection locked="0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  <xf numFmtId="1" fontId="0" fillId="0" borderId="0" xfId="0" applyNumberFormat="1" applyProtection="1">
      <protection locked="0"/>
    </xf>
    <xf numFmtId="0" fontId="0" fillId="0" borderId="0" xfId="0" quotePrefix="1" applyAlignment="1">
      <alignment horizontal="left"/>
    </xf>
    <xf numFmtId="0" fontId="0" fillId="0" borderId="0" xfId="1" applyNumberFormat="1" applyFont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6">
    <cellStyle name="Accent1" xfId="2" builtinId="29"/>
    <cellStyle name="Accent2" xfId="3" builtinId="33"/>
    <cellStyle name="GreyOrWhite" xfId="4" xr:uid="{E196D33D-C965-44A0-9718-A41059682B6B}"/>
    <cellStyle name="Normal" xfId="0" builtinId="0"/>
    <cellStyle name="Percent" xfId="1" builtinId="5"/>
    <cellStyle name="Yellow" xfId="5" xr:uid="{C6AEF40B-10F9-4F07-A1C0-2E0E31165C3C}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10</xdr:col>
      <xdr:colOff>9525</xdr:colOff>
      <xdr:row>3</xdr:row>
      <xdr:rowOff>9525</xdr:rowOff>
    </xdr:to>
    <xdr:pic>
      <xdr:nvPicPr>
        <xdr:cNvPr id="2" name="Picture 2" descr="https://mail.google.com/mail/u/0/images/cleardot.gif">
          <a:extLst>
            <a:ext uri="{FF2B5EF4-FFF2-40B4-BE49-F238E27FC236}">
              <a16:creationId xmlns:a16="http://schemas.microsoft.com/office/drawing/2014/main" id="{0D236667-2539-445D-B95D-5440BA9B1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1762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6533-3308-42C3-AB9D-2F85B02DA23E}">
  <sheetPr>
    <tabColor theme="4"/>
  </sheetPr>
  <dimension ref="B1:K26"/>
  <sheetViews>
    <sheetView showGridLines="0" workbookViewId="0">
      <pane xSplit="11" ySplit="1" topLeftCell="L4" activePane="bottomRight" state="frozen"/>
      <selection pane="topRight" activeCell="L1" sqref="L1"/>
      <selection pane="bottomLeft" activeCell="A2" sqref="A2"/>
      <selection pane="bottomRight" activeCell="G19" sqref="G19:G26"/>
    </sheetView>
  </sheetViews>
  <sheetFormatPr defaultRowHeight="14.4" x14ac:dyDescent="0.3"/>
  <cols>
    <col min="2" max="2" width="31" customWidth="1"/>
    <col min="3" max="3" width="16.109375" bestFit="1" customWidth="1"/>
    <col min="4" max="4" width="23.44140625" bestFit="1" customWidth="1"/>
    <col min="5" max="5" width="10" bestFit="1" customWidth="1"/>
    <col min="8" max="8" width="6.6640625" bestFit="1" customWidth="1"/>
    <col min="9" max="9" width="29.109375" bestFit="1" customWidth="1"/>
    <col min="10" max="10" width="8.5546875" bestFit="1" customWidth="1"/>
    <col min="11" max="11" width="12.44140625" bestFit="1" customWidth="1"/>
  </cols>
  <sheetData>
    <row r="1" spans="2:11" x14ac:dyDescent="0.3">
      <c r="H1" s="64"/>
    </row>
    <row r="2" spans="2:11" ht="15" thickBot="1" x14ac:dyDescent="0.35">
      <c r="I2" s="65" t="s">
        <v>1748</v>
      </c>
      <c r="J2" s="66"/>
    </row>
    <row r="3" spans="2:11" ht="15" thickBot="1" x14ac:dyDescent="0.35">
      <c r="B3" s="31" t="s">
        <v>1745</v>
      </c>
      <c r="C3" s="32">
        <f>LEN(B3)-LEN(SUBSTITUTE(B3,"s",""))+LEN(B3)-LEN(SUBSTITUTE(B3,"S",""))</f>
        <v>4</v>
      </c>
      <c r="D3" t="s">
        <v>55</v>
      </c>
      <c r="E3">
        <f>LEN(B3) - LEN(SUBSTITUTE(SUBSTITUTE(B3,"s",""), "S",""))</f>
        <v>4</v>
      </c>
      <c r="G3" s="77" cm="1">
        <f t="array" ref="G3">SUM(LEN(B3)-LEN(SUBSTITUTE(B3,{"s";"S"},"")))</f>
        <v>4</v>
      </c>
      <c r="I3" s="65" cm="1">
        <f t="array" ref="I3">SUM(--EXACT(MID(B3,_xlfn.SEQUENCE(LEN(B3)),1),"s"))</f>
        <v>2</v>
      </c>
      <c r="J3" s="66"/>
    </row>
    <row r="4" spans="2:11" x14ac:dyDescent="0.3">
      <c r="I4" s="65"/>
      <c r="J4" s="66"/>
    </row>
    <row r="6" spans="2:11" ht="15" thickBot="1" x14ac:dyDescent="0.35"/>
    <row r="7" spans="2:11" ht="15" thickBot="1" x14ac:dyDescent="0.35">
      <c r="C7" s="33" t="s">
        <v>56</v>
      </c>
      <c r="D7" s="33" t="s">
        <v>57</v>
      </c>
    </row>
    <row r="8" spans="2:11" ht="15" thickBot="1" x14ac:dyDescent="0.35">
      <c r="B8" s="27" t="s">
        <v>58</v>
      </c>
      <c r="C8" s="34" t="s">
        <v>59</v>
      </c>
      <c r="D8" s="35" t="s">
        <v>60</v>
      </c>
      <c r="E8" s="36" t="s">
        <v>61</v>
      </c>
    </row>
    <row r="9" spans="2:11" x14ac:dyDescent="0.3">
      <c r="B9" s="37" t="s">
        <v>62</v>
      </c>
      <c r="C9" s="38">
        <v>41</v>
      </c>
      <c r="D9" s="39">
        <v>20</v>
      </c>
      <c r="E9" s="40" t="str">
        <f>IF(AND(C9&gt;=35,D9&gt;=40),"PASS","FAIL")</f>
        <v>FAIL</v>
      </c>
      <c r="G9" t="str">
        <f>IF(AND(C9&gt;35,D9&gt;40),"PASS", "FAIL")</f>
        <v>FAIL</v>
      </c>
      <c r="I9" s="77" t="str">
        <f>IF(AND(C9&gt;35,D9&gt;40),"Pass","Fail")</f>
        <v>Fail</v>
      </c>
      <c r="K9" s="41"/>
    </row>
    <row r="10" spans="2:11" x14ac:dyDescent="0.3">
      <c r="B10" s="42" t="s">
        <v>63</v>
      </c>
      <c r="C10" s="43">
        <v>37</v>
      </c>
      <c r="D10" s="44">
        <v>41</v>
      </c>
      <c r="E10" s="40" t="str">
        <f t="shared" ref="E10:E15" si="0">IF(AND(C10&gt;=35,D10&gt;=40),"PASS","FAIL")</f>
        <v>PASS</v>
      </c>
      <c r="G10" t="str">
        <f t="shared" ref="G10:G15" si="1">IF(AND(C10&gt;35,D10&gt;40),"PASS", "FAIL")</f>
        <v>PASS</v>
      </c>
      <c r="I10" s="77" t="str">
        <f t="shared" ref="I10:I15" si="2">IF(AND(C10&gt;35,D10&gt;40),"Pass","Fail")</f>
        <v>Pass</v>
      </c>
      <c r="K10" s="41"/>
    </row>
    <row r="11" spans="2:11" x14ac:dyDescent="0.3">
      <c r="B11" s="42" t="s">
        <v>64</v>
      </c>
      <c r="C11" s="43">
        <v>47</v>
      </c>
      <c r="D11" s="44">
        <v>36</v>
      </c>
      <c r="E11" s="40" t="str">
        <f t="shared" si="0"/>
        <v>FAIL</v>
      </c>
      <c r="G11" t="str">
        <f t="shared" si="1"/>
        <v>FAIL</v>
      </c>
      <c r="I11" s="77" t="str">
        <f t="shared" si="2"/>
        <v>Fail</v>
      </c>
      <c r="K11" s="41"/>
    </row>
    <row r="12" spans="2:11" x14ac:dyDescent="0.3">
      <c r="B12" s="42" t="s">
        <v>65</v>
      </c>
      <c r="C12" s="43">
        <v>38</v>
      </c>
      <c r="D12" s="44">
        <v>43</v>
      </c>
      <c r="E12" s="40" t="str">
        <f t="shared" si="0"/>
        <v>PASS</v>
      </c>
      <c r="G12" t="str">
        <f t="shared" si="1"/>
        <v>PASS</v>
      </c>
      <c r="I12" s="77" t="str">
        <f t="shared" si="2"/>
        <v>Pass</v>
      </c>
    </row>
    <row r="13" spans="2:11" x14ac:dyDescent="0.3">
      <c r="B13" s="42" t="s">
        <v>66</v>
      </c>
      <c r="C13" s="43">
        <v>31</v>
      </c>
      <c r="D13" s="44">
        <v>50</v>
      </c>
      <c r="E13" s="40" t="str">
        <f t="shared" si="0"/>
        <v>FAIL</v>
      </c>
      <c r="G13" t="str">
        <f t="shared" si="1"/>
        <v>FAIL</v>
      </c>
      <c r="I13" s="77" t="str">
        <f t="shared" si="2"/>
        <v>Fail</v>
      </c>
    </row>
    <row r="14" spans="2:11" x14ac:dyDescent="0.3">
      <c r="B14" s="42" t="s">
        <v>67</v>
      </c>
      <c r="C14" s="43">
        <v>43</v>
      </c>
      <c r="D14" s="44">
        <v>33</v>
      </c>
      <c r="E14" s="40" t="str">
        <f t="shared" si="0"/>
        <v>FAIL</v>
      </c>
      <c r="G14" t="str">
        <f t="shared" si="1"/>
        <v>FAIL</v>
      </c>
      <c r="I14" s="77" t="str">
        <f t="shared" si="2"/>
        <v>Fail</v>
      </c>
    </row>
    <row r="15" spans="2:11" ht="15" thickBot="1" x14ac:dyDescent="0.35">
      <c r="B15" s="45" t="s">
        <v>68</v>
      </c>
      <c r="C15" s="46">
        <v>32</v>
      </c>
      <c r="D15" s="47">
        <v>30</v>
      </c>
      <c r="E15" s="40" t="str">
        <f t="shared" si="0"/>
        <v>FAIL</v>
      </c>
      <c r="G15" t="str">
        <f t="shared" si="1"/>
        <v>FAIL</v>
      </c>
      <c r="I15" s="77" t="str">
        <f t="shared" si="2"/>
        <v>Fail</v>
      </c>
    </row>
    <row r="19" spans="7:7" x14ac:dyDescent="0.3">
      <c r="G19" t="str">
        <f>IF(((C9&gt;35)*(D9&gt;40))=1,"PASS","FAIL")</f>
        <v>FAIL</v>
      </c>
    </row>
    <row r="20" spans="7:7" x14ac:dyDescent="0.3">
      <c r="G20" t="str">
        <f t="shared" ref="G20:G26" si="3">IF(((C10&gt;35)*(D10&gt;40))=1,"PASS","FAIL")</f>
        <v>PASS</v>
      </c>
    </row>
    <row r="21" spans="7:7" x14ac:dyDescent="0.3">
      <c r="G21" t="str">
        <f t="shared" si="3"/>
        <v>FAIL</v>
      </c>
    </row>
    <row r="22" spans="7:7" x14ac:dyDescent="0.3">
      <c r="G22" t="str">
        <f t="shared" si="3"/>
        <v>PASS</v>
      </c>
    </row>
    <row r="23" spans="7:7" x14ac:dyDescent="0.3">
      <c r="G23" t="str">
        <f t="shared" si="3"/>
        <v>FAIL</v>
      </c>
    </row>
    <row r="24" spans="7:7" x14ac:dyDescent="0.3">
      <c r="G24" t="str">
        <f t="shared" si="3"/>
        <v>FAIL</v>
      </c>
    </row>
    <row r="25" spans="7:7" x14ac:dyDescent="0.3">
      <c r="G25" t="str">
        <f t="shared" si="3"/>
        <v>FAIL</v>
      </c>
    </row>
    <row r="26" spans="7:7" x14ac:dyDescent="0.3">
      <c r="G26" t="str">
        <f t="shared" si="3"/>
        <v>FAIL</v>
      </c>
    </row>
  </sheetData>
  <conditionalFormatting sqref="A8 B3:E3 A9:B9">
    <cfRule type="duplicateValues" dxfId="3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8D30-9155-4330-8236-6213E2796906}">
  <dimension ref="B1:M17"/>
  <sheetViews>
    <sheetView workbookViewId="0">
      <selection activeCell="M10" sqref="M10:M17"/>
    </sheetView>
  </sheetViews>
  <sheetFormatPr defaultRowHeight="14.4" x14ac:dyDescent="0.3"/>
  <cols>
    <col min="3" max="4" width="19.33203125" customWidth="1"/>
    <col min="7" max="7" width="11.33203125" customWidth="1"/>
    <col min="8" max="8" width="15.33203125" customWidth="1"/>
    <col min="9" max="9" width="14.44140625" customWidth="1"/>
  </cols>
  <sheetData>
    <row r="1" spans="2:13" ht="15" thickBot="1" x14ac:dyDescent="0.35">
      <c r="B1" t="s">
        <v>0</v>
      </c>
    </row>
    <row r="2" spans="2:13" x14ac:dyDescent="0.3">
      <c r="B2" s="1" t="s">
        <v>1</v>
      </c>
      <c r="C2" s="2" t="s">
        <v>2</v>
      </c>
      <c r="D2" s="3" t="s">
        <v>3</v>
      </c>
    </row>
    <row r="3" spans="2:13" x14ac:dyDescent="0.3">
      <c r="B3" s="4">
        <v>1</v>
      </c>
      <c r="C3" s="5" t="s">
        <v>4</v>
      </c>
      <c r="D3" s="6" t="s">
        <v>5</v>
      </c>
    </row>
    <row r="4" spans="2:13" x14ac:dyDescent="0.3">
      <c r="B4" s="4">
        <v>2</v>
      </c>
      <c r="C4" s="5" t="s">
        <v>6</v>
      </c>
      <c r="D4" s="6" t="s">
        <v>7</v>
      </c>
    </row>
    <row r="5" spans="2:13" ht="15" thickBot="1" x14ac:dyDescent="0.35">
      <c r="B5" s="7">
        <v>3</v>
      </c>
      <c r="C5" s="8" t="s">
        <v>8</v>
      </c>
      <c r="D5" s="9">
        <v>0</v>
      </c>
    </row>
    <row r="6" spans="2:13" x14ac:dyDescent="0.3">
      <c r="B6" s="10"/>
      <c r="C6" s="11"/>
      <c r="D6" s="12"/>
    </row>
    <row r="7" spans="2:13" x14ac:dyDescent="0.3">
      <c r="B7" s="10"/>
      <c r="C7" s="11"/>
      <c r="D7" s="12"/>
    </row>
    <row r="9" spans="2:13" ht="28.8" x14ac:dyDescent="0.3">
      <c r="B9" s="13" t="s">
        <v>9</v>
      </c>
      <c r="C9" s="14" t="s">
        <v>10</v>
      </c>
      <c r="D9" s="14" t="s">
        <v>11</v>
      </c>
      <c r="E9" s="14" t="s">
        <v>12</v>
      </c>
      <c r="F9" s="14" t="s">
        <v>13</v>
      </c>
      <c r="G9" s="14" t="s">
        <v>2</v>
      </c>
      <c r="H9" s="14" t="s">
        <v>14</v>
      </c>
    </row>
    <row r="10" spans="2:13" x14ac:dyDescent="0.3">
      <c r="B10" s="15">
        <v>1</v>
      </c>
      <c r="C10" s="16" t="s">
        <v>15</v>
      </c>
      <c r="D10" s="17" t="s">
        <v>16</v>
      </c>
      <c r="E10" s="16">
        <v>30</v>
      </c>
      <c r="F10" s="16">
        <v>30</v>
      </c>
      <c r="G10" s="18">
        <f>E10/ F10*100%</f>
        <v>1</v>
      </c>
      <c r="H10" s="19">
        <f>IF(G10&lt;0.8,0,IF(AND(G10&gt;0.8,G10&lt;0.9),2625,3500))</f>
        <v>3500</v>
      </c>
      <c r="I10" s="76" cm="1">
        <f t="array" ref="I10">_xlfn.SWITCH(TRUE,G10&gt;0.9,3500,G10&gt;=0.8,2625,0)</f>
        <v>3500</v>
      </c>
      <c r="K10" s="77">
        <f>IF(G10&lt;0.8,0,IF(G10&lt;=0.9,2625,3500))</f>
        <v>3500</v>
      </c>
      <c r="M10">
        <f>IF(G10&lt;0.8,0,IF(G10&lt;=0.9,2625,3500))</f>
        <v>3500</v>
      </c>
    </row>
    <row r="11" spans="2:13" x14ac:dyDescent="0.3">
      <c r="B11" s="15">
        <v>2</v>
      </c>
      <c r="C11" s="16" t="s">
        <v>17</v>
      </c>
      <c r="D11" s="17" t="s">
        <v>18</v>
      </c>
      <c r="E11" s="16">
        <v>20</v>
      </c>
      <c r="F11" s="16">
        <v>30</v>
      </c>
      <c r="G11" s="18">
        <f t="shared" ref="G11:G17" si="0">E11/ F11*100%</f>
        <v>0.66666666666666663</v>
      </c>
      <c r="H11" s="19">
        <f t="shared" ref="H11:H17" si="1">IF(G11&lt;0.8,0,IF(AND(G11&gt;0.8,G11&lt;0.9),2625,3500))</f>
        <v>0</v>
      </c>
      <c r="I11" s="76" cm="1">
        <f t="array" ref="I11">_xlfn.SWITCH(TRUE,G11&gt;0.9,3500,G11&gt;=0.8,2625,0)</f>
        <v>0</v>
      </c>
      <c r="K11" s="77">
        <f t="shared" ref="K11:K17" si="2">IF(G11&lt;0.8,0,IF(G11&lt;=0.9,2625,3500))</f>
        <v>0</v>
      </c>
      <c r="M11">
        <f t="shared" ref="M11:M17" si="3">IF(G11&lt;0.8,0,IF(G11&lt;=0.9,2625,3500))</f>
        <v>0</v>
      </c>
    </row>
    <row r="12" spans="2:13" x14ac:dyDescent="0.3">
      <c r="B12" s="15">
        <v>3</v>
      </c>
      <c r="C12" s="16" t="s">
        <v>19</v>
      </c>
      <c r="D12" s="17" t="s">
        <v>20</v>
      </c>
      <c r="E12" s="16">
        <v>30</v>
      </c>
      <c r="F12" s="16">
        <v>30</v>
      </c>
      <c r="G12" s="18">
        <f t="shared" si="0"/>
        <v>1</v>
      </c>
      <c r="H12" s="19">
        <f t="shared" si="1"/>
        <v>3500</v>
      </c>
      <c r="I12" s="76" cm="1">
        <f t="array" ref="I12">_xlfn.SWITCH(TRUE,G12&gt;0.9,3500,G12&gt;=0.8,2625,0)</f>
        <v>3500</v>
      </c>
      <c r="K12" s="77">
        <f t="shared" si="2"/>
        <v>3500</v>
      </c>
      <c r="M12">
        <f t="shared" si="3"/>
        <v>3500</v>
      </c>
    </row>
    <row r="13" spans="2:13" x14ac:dyDescent="0.3">
      <c r="B13" s="15">
        <v>4</v>
      </c>
      <c r="C13" s="16" t="s">
        <v>21</v>
      </c>
      <c r="D13" s="17" t="s">
        <v>22</v>
      </c>
      <c r="E13" s="16">
        <v>15</v>
      </c>
      <c r="F13" s="16">
        <v>30</v>
      </c>
      <c r="G13" s="18">
        <f t="shared" si="0"/>
        <v>0.5</v>
      </c>
      <c r="H13" s="19">
        <f t="shared" si="1"/>
        <v>0</v>
      </c>
      <c r="I13" s="76" cm="1">
        <f t="array" ref="I13">_xlfn.SWITCH(TRUE,G13&gt;0.9,3500,G13&gt;=0.8,2625,0)</f>
        <v>0</v>
      </c>
      <c r="K13" s="77">
        <f t="shared" si="2"/>
        <v>0</v>
      </c>
      <c r="M13">
        <f t="shared" si="3"/>
        <v>0</v>
      </c>
    </row>
    <row r="14" spans="2:13" x14ac:dyDescent="0.3">
      <c r="B14" s="15">
        <v>5</v>
      </c>
      <c r="C14" s="16" t="s">
        <v>23</v>
      </c>
      <c r="D14" s="17" t="s">
        <v>24</v>
      </c>
      <c r="E14" s="16">
        <v>30</v>
      </c>
      <c r="F14" s="16">
        <v>30</v>
      </c>
      <c r="G14" s="18">
        <f t="shared" si="0"/>
        <v>1</v>
      </c>
      <c r="H14" s="19">
        <f t="shared" si="1"/>
        <v>3500</v>
      </c>
      <c r="I14" s="76" cm="1">
        <f t="array" ref="I14">_xlfn.SWITCH(TRUE,G14&gt;0.9,3500,G14&gt;=0.8,2625,0)</f>
        <v>3500</v>
      </c>
      <c r="K14" s="77">
        <f t="shared" si="2"/>
        <v>3500</v>
      </c>
      <c r="M14">
        <f t="shared" si="3"/>
        <v>3500</v>
      </c>
    </row>
    <row r="15" spans="2:13" x14ac:dyDescent="0.3">
      <c r="B15" s="15">
        <v>6</v>
      </c>
      <c r="C15" s="16" t="s">
        <v>25</v>
      </c>
      <c r="D15" s="17" t="s">
        <v>26</v>
      </c>
      <c r="E15" s="16">
        <v>25</v>
      </c>
      <c r="F15" s="16">
        <v>30</v>
      </c>
      <c r="G15" s="18">
        <f t="shared" si="0"/>
        <v>0.83333333333333337</v>
      </c>
      <c r="H15" s="19">
        <f t="shared" si="1"/>
        <v>2625</v>
      </c>
      <c r="I15" s="76" cm="1">
        <f t="array" ref="I15">_xlfn.SWITCH(TRUE,G15&gt;0.9,3500,G15&gt;=0.8,2625,0)</f>
        <v>2625</v>
      </c>
      <c r="K15" s="77">
        <f t="shared" si="2"/>
        <v>2625</v>
      </c>
      <c r="M15">
        <f t="shared" si="3"/>
        <v>2625</v>
      </c>
    </row>
    <row r="16" spans="2:13" x14ac:dyDescent="0.3">
      <c r="B16" s="15">
        <v>7</v>
      </c>
      <c r="C16" s="16" t="s">
        <v>27</v>
      </c>
      <c r="D16" s="20" t="s">
        <v>28</v>
      </c>
      <c r="E16" s="16">
        <v>24</v>
      </c>
      <c r="F16" s="16">
        <v>30</v>
      </c>
      <c r="G16" s="18">
        <f t="shared" si="0"/>
        <v>0.8</v>
      </c>
      <c r="H16" s="19">
        <f t="shared" si="1"/>
        <v>3500</v>
      </c>
      <c r="I16" s="76" cm="1">
        <f t="array" ref="I16">_xlfn.SWITCH(TRUE,G16&gt;0.9,3500,G16&gt;=0.8,2625,0)</f>
        <v>2625</v>
      </c>
      <c r="K16" s="77">
        <f t="shared" si="2"/>
        <v>2625</v>
      </c>
      <c r="M16">
        <f t="shared" si="3"/>
        <v>2625</v>
      </c>
    </row>
    <row r="17" spans="2:13" x14ac:dyDescent="0.3">
      <c r="B17" s="15">
        <v>8</v>
      </c>
      <c r="C17" s="16" t="s">
        <v>29</v>
      </c>
      <c r="D17" s="17" t="s">
        <v>30</v>
      </c>
      <c r="E17" s="16">
        <v>19</v>
      </c>
      <c r="F17" s="16">
        <v>30</v>
      </c>
      <c r="G17" s="18">
        <f t="shared" si="0"/>
        <v>0.6333333333333333</v>
      </c>
      <c r="H17" s="19">
        <f t="shared" si="1"/>
        <v>0</v>
      </c>
      <c r="I17" s="76" cm="1">
        <f t="array" ref="I17">_xlfn.SWITCH(TRUE,G17&gt;0.9,3500,G17&gt;=0.8,2625,0)</f>
        <v>0</v>
      </c>
      <c r="K17" s="77">
        <f t="shared" si="2"/>
        <v>0</v>
      </c>
      <c r="M17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C967-0076-47D1-BC30-DDF5BF156399}">
  <sheetPr>
    <tabColor theme="9"/>
  </sheetPr>
  <dimension ref="A1:AF17"/>
  <sheetViews>
    <sheetView showGridLines="0" topLeftCell="A2" zoomScale="115" zoomScaleNormal="115" workbookViewId="0">
      <selection activeCell="H17" sqref="H17:J17"/>
    </sheetView>
  </sheetViews>
  <sheetFormatPr defaultColWidth="8.88671875" defaultRowHeight="14.4" x14ac:dyDescent="0.3"/>
  <cols>
    <col min="1" max="1" width="12.44140625" style="22" customWidth="1"/>
    <col min="2" max="2" width="22.5546875" style="22" bestFit="1" customWidth="1"/>
    <col min="3" max="3" width="16.6640625" style="22" customWidth="1"/>
    <col min="4" max="4" width="6.6640625" style="22" customWidth="1"/>
    <col min="5" max="5" width="6.5546875" style="22" customWidth="1"/>
    <col min="6" max="7" width="5" style="22" customWidth="1"/>
    <col min="8" max="8" width="10.6640625" style="22" customWidth="1"/>
    <col min="9" max="9" width="10" style="22" customWidth="1"/>
    <col min="10" max="33" width="5" style="22" customWidth="1"/>
    <col min="34" max="16384" width="8.88671875" style="22"/>
  </cols>
  <sheetData>
    <row r="1" spans="1:32" ht="15.6" x14ac:dyDescent="0.3">
      <c r="A1" s="21" t="s">
        <v>31</v>
      </c>
    </row>
    <row r="2" spans="1:32" s="24" customFormat="1" x14ac:dyDescent="0.3">
      <c r="A2" s="23" t="s">
        <v>32</v>
      </c>
      <c r="B2" s="23" t="s">
        <v>33</v>
      </c>
      <c r="C2" s="23">
        <v>1</v>
      </c>
      <c r="D2" s="23">
        <f>C2+1</f>
        <v>2</v>
      </c>
      <c r="E2" s="23">
        <f t="shared" ref="E2:AF2" si="0">D2+1</f>
        <v>3</v>
      </c>
      <c r="F2" s="23">
        <f t="shared" si="0"/>
        <v>4</v>
      </c>
      <c r="G2" s="23">
        <f t="shared" si="0"/>
        <v>5</v>
      </c>
      <c r="H2" s="23">
        <f t="shared" si="0"/>
        <v>6</v>
      </c>
      <c r="I2" s="23">
        <f t="shared" si="0"/>
        <v>7</v>
      </c>
      <c r="J2" s="23">
        <f t="shared" si="0"/>
        <v>8</v>
      </c>
      <c r="K2" s="23">
        <f t="shared" si="0"/>
        <v>9</v>
      </c>
      <c r="L2" s="23">
        <f t="shared" si="0"/>
        <v>10</v>
      </c>
      <c r="M2" s="23">
        <f t="shared" si="0"/>
        <v>11</v>
      </c>
      <c r="N2" s="23">
        <f t="shared" si="0"/>
        <v>12</v>
      </c>
      <c r="O2" s="23">
        <f t="shared" si="0"/>
        <v>13</v>
      </c>
      <c r="P2" s="23">
        <f t="shared" si="0"/>
        <v>14</v>
      </c>
      <c r="Q2" s="23">
        <f t="shared" si="0"/>
        <v>15</v>
      </c>
      <c r="R2" s="23">
        <f t="shared" si="0"/>
        <v>16</v>
      </c>
      <c r="S2" s="23">
        <f t="shared" si="0"/>
        <v>17</v>
      </c>
      <c r="T2" s="23">
        <f t="shared" si="0"/>
        <v>18</v>
      </c>
      <c r="U2" s="23">
        <f t="shared" si="0"/>
        <v>19</v>
      </c>
      <c r="V2" s="23">
        <f t="shared" si="0"/>
        <v>20</v>
      </c>
      <c r="W2" s="23">
        <f t="shared" si="0"/>
        <v>21</v>
      </c>
      <c r="X2" s="23">
        <f t="shared" si="0"/>
        <v>22</v>
      </c>
      <c r="Y2" s="23">
        <f t="shared" si="0"/>
        <v>23</v>
      </c>
      <c r="Z2" s="23">
        <f t="shared" si="0"/>
        <v>24</v>
      </c>
      <c r="AA2" s="23">
        <f t="shared" si="0"/>
        <v>25</v>
      </c>
      <c r="AB2" s="23">
        <f t="shared" si="0"/>
        <v>26</v>
      </c>
      <c r="AC2" s="23">
        <f t="shared" si="0"/>
        <v>27</v>
      </c>
      <c r="AD2" s="23">
        <f t="shared" si="0"/>
        <v>28</v>
      </c>
      <c r="AE2" s="23">
        <f t="shared" si="0"/>
        <v>29</v>
      </c>
      <c r="AF2" s="23">
        <f t="shared" si="0"/>
        <v>30</v>
      </c>
    </row>
    <row r="3" spans="1:32" ht="19.95" customHeight="1" x14ac:dyDescent="0.3">
      <c r="A3" s="25" t="s">
        <v>34</v>
      </c>
      <c r="B3" s="25" t="s">
        <v>35</v>
      </c>
      <c r="C3" s="25" t="s">
        <v>36</v>
      </c>
      <c r="D3" s="25" t="s">
        <v>36</v>
      </c>
      <c r="E3" s="25" t="s">
        <v>37</v>
      </c>
      <c r="F3" s="25" t="s">
        <v>38</v>
      </c>
      <c r="G3" s="25" t="s">
        <v>36</v>
      </c>
      <c r="H3" s="25" t="s">
        <v>36</v>
      </c>
      <c r="I3" s="25" t="s">
        <v>36</v>
      </c>
      <c r="J3" s="25" t="s">
        <v>36</v>
      </c>
      <c r="K3" s="25" t="s">
        <v>37</v>
      </c>
      <c r="L3" s="25" t="s">
        <v>36</v>
      </c>
      <c r="M3" s="25" t="s">
        <v>38</v>
      </c>
      <c r="N3" s="25" t="s">
        <v>36</v>
      </c>
      <c r="O3" s="25" t="s">
        <v>36</v>
      </c>
      <c r="P3" s="25" t="s">
        <v>36</v>
      </c>
      <c r="Q3" s="25" t="s">
        <v>36</v>
      </c>
      <c r="R3" s="25" t="s">
        <v>36</v>
      </c>
      <c r="S3" s="25" t="s">
        <v>36</v>
      </c>
      <c r="T3" s="25" t="s">
        <v>38</v>
      </c>
      <c r="U3" s="25" t="s">
        <v>36</v>
      </c>
      <c r="V3" s="25" t="s">
        <v>36</v>
      </c>
      <c r="W3" s="25" t="s">
        <v>36</v>
      </c>
      <c r="X3" s="25" t="s">
        <v>36</v>
      </c>
      <c r="Y3" s="25" t="s">
        <v>36</v>
      </c>
      <c r="Z3" s="25" t="s">
        <v>36</v>
      </c>
      <c r="AA3" s="25" t="s">
        <v>38</v>
      </c>
      <c r="AB3" s="25" t="s">
        <v>36</v>
      </c>
      <c r="AC3" s="25" t="s">
        <v>36</v>
      </c>
      <c r="AD3" s="25" t="s">
        <v>36</v>
      </c>
      <c r="AE3" s="25" t="s">
        <v>36</v>
      </c>
      <c r="AF3" s="25" t="s">
        <v>36</v>
      </c>
    </row>
    <row r="4" spans="1:32" ht="19.95" customHeight="1" x14ac:dyDescent="0.3">
      <c r="A4" s="25" t="s">
        <v>39</v>
      </c>
      <c r="B4" s="25" t="s">
        <v>40</v>
      </c>
      <c r="C4" s="25" t="s">
        <v>36</v>
      </c>
      <c r="D4" s="25" t="s">
        <v>37</v>
      </c>
      <c r="E4" s="25" t="s">
        <v>36</v>
      </c>
      <c r="F4" s="25" t="s">
        <v>38</v>
      </c>
      <c r="G4" s="25" t="s">
        <v>36</v>
      </c>
      <c r="H4" s="25" t="s">
        <v>36</v>
      </c>
      <c r="I4" s="25" t="s">
        <v>36</v>
      </c>
      <c r="J4" s="25" t="s">
        <v>36</v>
      </c>
      <c r="K4" s="25" t="s">
        <v>36</v>
      </c>
      <c r="L4" s="25" t="s">
        <v>36</v>
      </c>
      <c r="M4" s="25" t="s">
        <v>38</v>
      </c>
      <c r="N4" s="25" t="s">
        <v>36</v>
      </c>
      <c r="O4" s="25" t="s">
        <v>36</v>
      </c>
      <c r="P4" s="25" t="s">
        <v>36</v>
      </c>
      <c r="Q4" s="25" t="s">
        <v>37</v>
      </c>
      <c r="R4" s="25" t="s">
        <v>36</v>
      </c>
      <c r="S4" s="25" t="s">
        <v>36</v>
      </c>
      <c r="T4" s="25" t="s">
        <v>38</v>
      </c>
      <c r="U4" s="25" t="s">
        <v>36</v>
      </c>
      <c r="V4" s="25" t="s">
        <v>36</v>
      </c>
      <c r="W4" s="25" t="s">
        <v>36</v>
      </c>
      <c r="X4" s="25" t="s">
        <v>36</v>
      </c>
      <c r="Y4" s="25" t="s">
        <v>36</v>
      </c>
      <c r="Z4" s="25" t="s">
        <v>36</v>
      </c>
      <c r="AA4" s="25" t="s">
        <v>38</v>
      </c>
      <c r="AB4" s="25" t="s">
        <v>36</v>
      </c>
      <c r="AC4" s="25" t="s">
        <v>36</v>
      </c>
      <c r="AD4" s="25" t="s">
        <v>36</v>
      </c>
      <c r="AE4" s="25" t="s">
        <v>36</v>
      </c>
      <c r="AF4" s="25" t="s">
        <v>36</v>
      </c>
    </row>
    <row r="5" spans="1:32" ht="19.95" customHeight="1" x14ac:dyDescent="0.3">
      <c r="A5" s="25" t="s">
        <v>41</v>
      </c>
      <c r="B5" s="25" t="s">
        <v>42</v>
      </c>
      <c r="C5" s="25" t="s">
        <v>36</v>
      </c>
      <c r="D5" s="25" t="s">
        <v>36</v>
      </c>
      <c r="E5" s="25" t="s">
        <v>37</v>
      </c>
      <c r="F5" s="25" t="s">
        <v>38</v>
      </c>
      <c r="G5" s="25" t="s">
        <v>36</v>
      </c>
      <c r="H5" s="25" t="s">
        <v>36</v>
      </c>
      <c r="I5" s="25" t="s">
        <v>36</v>
      </c>
      <c r="J5" s="25" t="s">
        <v>36</v>
      </c>
      <c r="K5" s="25" t="s">
        <v>36</v>
      </c>
      <c r="L5" s="25" t="s">
        <v>36</v>
      </c>
      <c r="M5" s="25" t="s">
        <v>38</v>
      </c>
      <c r="N5" s="25" t="s">
        <v>36</v>
      </c>
      <c r="O5" s="25" t="s">
        <v>36</v>
      </c>
      <c r="P5" s="25" t="s">
        <v>36</v>
      </c>
      <c r="Q5" s="25" t="s">
        <v>36</v>
      </c>
      <c r="R5" s="25" t="s">
        <v>37</v>
      </c>
      <c r="S5" s="25" t="s">
        <v>36</v>
      </c>
      <c r="T5" s="25" t="s">
        <v>38</v>
      </c>
      <c r="U5" s="25" t="s">
        <v>36</v>
      </c>
      <c r="V5" s="25" t="s">
        <v>36</v>
      </c>
      <c r="W5" s="25" t="s">
        <v>36</v>
      </c>
      <c r="X5" s="25" t="s">
        <v>36</v>
      </c>
      <c r="Y5" s="25" t="s">
        <v>36</v>
      </c>
      <c r="Z5" s="25" t="s">
        <v>36</v>
      </c>
      <c r="AA5" s="25" t="s">
        <v>38</v>
      </c>
      <c r="AB5" s="25" t="s">
        <v>36</v>
      </c>
      <c r="AC5" s="25" t="s">
        <v>36</v>
      </c>
      <c r="AD5" s="25" t="s">
        <v>36</v>
      </c>
      <c r="AE5" s="25" t="s">
        <v>36</v>
      </c>
      <c r="AF5" s="25" t="s">
        <v>36</v>
      </c>
    </row>
    <row r="6" spans="1:32" ht="19.95" customHeight="1" x14ac:dyDescent="0.3">
      <c r="A6" s="25" t="s">
        <v>43</v>
      </c>
      <c r="B6" s="25" t="s">
        <v>44</v>
      </c>
      <c r="C6" s="25" t="s">
        <v>36</v>
      </c>
      <c r="D6" s="25" t="s">
        <v>36</v>
      </c>
      <c r="E6" s="25" t="s">
        <v>36</v>
      </c>
      <c r="F6" s="25" t="s">
        <v>38</v>
      </c>
      <c r="G6" s="25" t="s">
        <v>36</v>
      </c>
      <c r="H6" s="25" t="s">
        <v>37</v>
      </c>
      <c r="I6" s="25" t="s">
        <v>36</v>
      </c>
      <c r="J6" s="25" t="s">
        <v>36</v>
      </c>
      <c r="K6" s="25" t="s">
        <v>36</v>
      </c>
      <c r="L6" s="25" t="s">
        <v>36</v>
      </c>
      <c r="M6" s="25" t="s">
        <v>38</v>
      </c>
      <c r="N6" s="25" t="s">
        <v>36</v>
      </c>
      <c r="O6" s="25" t="s">
        <v>37</v>
      </c>
      <c r="P6" s="25" t="s">
        <v>36</v>
      </c>
      <c r="Q6" s="25" t="s">
        <v>36</v>
      </c>
      <c r="R6" s="25" t="s">
        <v>36</v>
      </c>
      <c r="S6" s="25" t="s">
        <v>36</v>
      </c>
      <c r="T6" s="25" t="s">
        <v>38</v>
      </c>
      <c r="U6" s="25" t="s">
        <v>36</v>
      </c>
      <c r="V6" s="25" t="s">
        <v>36</v>
      </c>
      <c r="W6" s="25" t="s">
        <v>36</v>
      </c>
      <c r="X6" s="25" t="s">
        <v>36</v>
      </c>
      <c r="Y6" s="25" t="s">
        <v>36</v>
      </c>
      <c r="Z6" s="25" t="s">
        <v>36</v>
      </c>
      <c r="AA6" s="25" t="s">
        <v>38</v>
      </c>
      <c r="AB6" s="25" t="s">
        <v>36</v>
      </c>
      <c r="AC6" s="25" t="s">
        <v>36</v>
      </c>
      <c r="AD6" s="25" t="s">
        <v>36</v>
      </c>
      <c r="AE6" s="25" t="s">
        <v>36</v>
      </c>
      <c r="AF6" s="25" t="s">
        <v>36</v>
      </c>
    </row>
    <row r="7" spans="1:32" ht="19.95" customHeight="1" x14ac:dyDescent="0.3">
      <c r="A7" s="25" t="s">
        <v>45</v>
      </c>
      <c r="B7" s="25" t="s">
        <v>46</v>
      </c>
      <c r="C7" s="25" t="s">
        <v>36</v>
      </c>
      <c r="D7" s="25" t="s">
        <v>37</v>
      </c>
      <c r="E7" s="25" t="s">
        <v>36</v>
      </c>
      <c r="F7" s="25" t="s">
        <v>38</v>
      </c>
      <c r="G7" s="25" t="s">
        <v>36</v>
      </c>
      <c r="H7" s="25" t="s">
        <v>36</v>
      </c>
      <c r="I7" s="25" t="s">
        <v>36</v>
      </c>
      <c r="J7" s="25" t="s">
        <v>36</v>
      </c>
      <c r="K7" s="25" t="s">
        <v>36</v>
      </c>
      <c r="L7" s="25" t="s">
        <v>36</v>
      </c>
      <c r="M7" s="25" t="s">
        <v>38</v>
      </c>
      <c r="N7" s="25" t="s">
        <v>36</v>
      </c>
      <c r="O7" s="25" t="s">
        <v>36</v>
      </c>
      <c r="P7" s="25" t="s">
        <v>36</v>
      </c>
      <c r="Q7" s="25" t="s">
        <v>36</v>
      </c>
      <c r="R7" s="25" t="s">
        <v>36</v>
      </c>
      <c r="S7" s="25" t="s">
        <v>36</v>
      </c>
      <c r="T7" s="25" t="s">
        <v>38</v>
      </c>
      <c r="U7" s="25" t="s">
        <v>36</v>
      </c>
      <c r="V7" s="25" t="s">
        <v>36</v>
      </c>
      <c r="W7" s="25" t="s">
        <v>36</v>
      </c>
      <c r="X7" s="25" t="s">
        <v>36</v>
      </c>
      <c r="Y7" s="25" t="s">
        <v>36</v>
      </c>
      <c r="Z7" s="25" t="s">
        <v>36</v>
      </c>
      <c r="AA7" s="25" t="s">
        <v>38</v>
      </c>
      <c r="AB7" s="25" t="s">
        <v>36</v>
      </c>
      <c r="AC7" s="25" t="s">
        <v>36</v>
      </c>
      <c r="AD7" s="25" t="s">
        <v>36</v>
      </c>
      <c r="AE7" s="25" t="s">
        <v>36</v>
      </c>
      <c r="AF7" s="25" t="s">
        <v>36</v>
      </c>
    </row>
    <row r="8" spans="1:32" ht="19.95" customHeight="1" x14ac:dyDescent="0.3">
      <c r="A8" s="25" t="s">
        <v>47</v>
      </c>
      <c r="B8" s="25" t="s">
        <v>48</v>
      </c>
      <c r="C8" s="25" t="s">
        <v>38</v>
      </c>
      <c r="D8" s="25" t="s">
        <v>36</v>
      </c>
      <c r="E8" s="25" t="s">
        <v>36</v>
      </c>
      <c r="F8" s="25" t="s">
        <v>36</v>
      </c>
      <c r="G8" s="25" t="s">
        <v>36</v>
      </c>
      <c r="H8" s="25" t="s">
        <v>36</v>
      </c>
      <c r="I8" s="25" t="s">
        <v>36</v>
      </c>
      <c r="J8" s="25" t="s">
        <v>38</v>
      </c>
      <c r="K8" s="25" t="s">
        <v>36</v>
      </c>
      <c r="L8" s="25" t="s">
        <v>36</v>
      </c>
      <c r="M8" s="25" t="s">
        <v>36</v>
      </c>
      <c r="N8" s="25" t="s">
        <v>37</v>
      </c>
      <c r="O8" s="25" t="s">
        <v>36</v>
      </c>
      <c r="P8" s="25" t="s">
        <v>36</v>
      </c>
      <c r="Q8" s="25" t="s">
        <v>38</v>
      </c>
      <c r="R8" s="25" t="s">
        <v>36</v>
      </c>
      <c r="S8" s="25" t="s">
        <v>36</v>
      </c>
      <c r="T8" s="25" t="s">
        <v>36</v>
      </c>
      <c r="U8" s="25" t="s">
        <v>36</v>
      </c>
      <c r="V8" s="25" t="s">
        <v>36</v>
      </c>
      <c r="W8" s="25" t="s">
        <v>36</v>
      </c>
      <c r="X8" s="25" t="s">
        <v>38</v>
      </c>
      <c r="Y8" s="25" t="s">
        <v>36</v>
      </c>
      <c r="Z8" s="25" t="s">
        <v>36</v>
      </c>
      <c r="AA8" s="25" t="s">
        <v>36</v>
      </c>
      <c r="AB8" s="25" t="s">
        <v>36</v>
      </c>
      <c r="AC8" s="25" t="s">
        <v>36</v>
      </c>
      <c r="AD8" s="25" t="s">
        <v>36</v>
      </c>
      <c r="AE8" s="25" t="s">
        <v>38</v>
      </c>
      <c r="AF8" s="25" t="s">
        <v>36</v>
      </c>
    </row>
    <row r="9" spans="1:32" ht="19.95" customHeight="1" x14ac:dyDescent="0.3">
      <c r="A9" s="25" t="s">
        <v>49</v>
      </c>
      <c r="B9" s="25" t="s">
        <v>50</v>
      </c>
      <c r="C9" s="25" t="s">
        <v>36</v>
      </c>
      <c r="D9" s="25" t="s">
        <v>36</v>
      </c>
      <c r="E9" s="25" t="s">
        <v>36</v>
      </c>
      <c r="F9" s="25" t="s">
        <v>36</v>
      </c>
      <c r="G9" s="25" t="s">
        <v>36</v>
      </c>
      <c r="H9" s="25" t="s">
        <v>37</v>
      </c>
      <c r="I9" s="25" t="s">
        <v>38</v>
      </c>
      <c r="J9" s="25" t="s">
        <v>36</v>
      </c>
      <c r="K9" s="25" t="s">
        <v>36</v>
      </c>
      <c r="L9" s="25" t="s">
        <v>36</v>
      </c>
      <c r="M9" s="25" t="s">
        <v>36</v>
      </c>
      <c r="N9" s="25" t="s">
        <v>36</v>
      </c>
      <c r="O9" s="25" t="s">
        <v>36</v>
      </c>
      <c r="P9" s="25" t="s">
        <v>38</v>
      </c>
      <c r="Q9" s="25" t="s">
        <v>36</v>
      </c>
      <c r="R9" s="25" t="s">
        <v>36</v>
      </c>
      <c r="S9" s="25" t="s">
        <v>36</v>
      </c>
      <c r="T9" s="25" t="s">
        <v>36</v>
      </c>
      <c r="U9" s="25" t="s">
        <v>36</v>
      </c>
      <c r="V9" s="25" t="s">
        <v>36</v>
      </c>
      <c r="W9" s="25" t="s">
        <v>38</v>
      </c>
      <c r="X9" s="25" t="s">
        <v>36</v>
      </c>
      <c r="Y9" s="25" t="s">
        <v>36</v>
      </c>
      <c r="Z9" s="25" t="s">
        <v>36</v>
      </c>
      <c r="AA9" s="25" t="s">
        <v>36</v>
      </c>
      <c r="AB9" s="25" t="s">
        <v>36</v>
      </c>
      <c r="AC9" s="25" t="s">
        <v>36</v>
      </c>
      <c r="AD9" s="25" t="s">
        <v>38</v>
      </c>
      <c r="AE9" s="25" t="s">
        <v>36</v>
      </c>
      <c r="AF9" s="25" t="s">
        <v>36</v>
      </c>
    </row>
    <row r="11" spans="1:32" ht="15" thickBot="1" x14ac:dyDescent="0.35">
      <c r="A11" s="26" t="s">
        <v>51</v>
      </c>
      <c r="C11" s="79" t="s">
        <v>52</v>
      </c>
      <c r="D11" s="79"/>
      <c r="E11" s="79"/>
      <c r="F11" s="79"/>
    </row>
    <row r="12" spans="1:32" ht="15" thickBot="1" x14ac:dyDescent="0.35">
      <c r="A12" s="27" t="s">
        <v>32</v>
      </c>
      <c r="B12" s="28" t="s">
        <v>33</v>
      </c>
      <c r="C12" s="23" t="s">
        <v>36</v>
      </c>
      <c r="D12" s="23" t="s">
        <v>37</v>
      </c>
      <c r="E12" s="23" t="s">
        <v>38</v>
      </c>
      <c r="F12" s="23" t="s">
        <v>53</v>
      </c>
      <c r="G12" s="24"/>
    </row>
    <row r="13" spans="1:32" ht="19.95" customHeight="1" thickBot="1" x14ac:dyDescent="0.35">
      <c r="A13" s="29" t="s">
        <v>47</v>
      </c>
      <c r="B13" s="30" t="str">
        <f>VLOOKUP(A13,$A$3:$B$9,2,0)</f>
        <v>Mahender Singh</v>
      </c>
      <c r="C13" s="67">
        <f ca="1">COUNTIFS(OFFSET(INDEX($A$3:$A$9,MATCH($A$13,$A$3:$A$9,0)),0,2,1,31),C12)</f>
        <v>24</v>
      </c>
      <c r="D13" s="67">
        <f t="shared" ref="D13:E13" ca="1" si="1">COUNTIFS(OFFSET(INDEX($A$3:$A$9,MATCH($A$13,$A$3:$A$9,0)),0,2,1,31),D12)</f>
        <v>1</v>
      </c>
      <c r="E13" s="67">
        <f t="shared" ca="1" si="1"/>
        <v>5</v>
      </c>
      <c r="F13" s="25">
        <f ca="1">SUM(B13:E13)</f>
        <v>30</v>
      </c>
      <c r="O13" s="22" cm="1">
        <f t="array" ref="O13">SUMPRODUCT(L13:L16*M13:M16)</f>
        <v>0</v>
      </c>
    </row>
    <row r="14" spans="1:32" x14ac:dyDescent="0.3">
      <c r="C14" s="22" cm="1">
        <f t="array" ref="C14">SUMPRODUCT(($A$3:$A$9=$A$13)*($C$3:$AF$9=C12))</f>
        <v>24</v>
      </c>
      <c r="D14" s="22" cm="1">
        <f t="array" ref="D14">SUMPRODUCT(($A$3:$A$9=$A$13)*($C$3:$AF$9=D12))</f>
        <v>1</v>
      </c>
      <c r="E14" s="22" cm="1">
        <f t="array" ref="E14">SUMPRODUCT(($A$3:$A$9=$A$13)*($C$3:$AF$9=E12))</f>
        <v>5</v>
      </c>
      <c r="F14" s="22">
        <f>SUM(C14:E14)</f>
        <v>30</v>
      </c>
    </row>
    <row r="15" spans="1:32" x14ac:dyDescent="0.3">
      <c r="E15" s="22" t="s">
        <v>54</v>
      </c>
    </row>
    <row r="16" spans="1:32" x14ac:dyDescent="0.3">
      <c r="C16" s="78" cm="1">
        <f t="array" ref="C16">SUMPRODUCT(($B$3:$B$9=$B$13)*($C$3:$AF$9=C$12))</f>
        <v>24</v>
      </c>
      <c r="D16" s="78" cm="1">
        <f t="array" ref="D16">SUMPRODUCT(($B$3:$B$9=$B$13)*($C$3:$AF$9=D$12))</f>
        <v>1</v>
      </c>
      <c r="E16" s="78" cm="1">
        <f t="array" ref="E16">SUMPRODUCT(($B$3:$B$9=$B$13)*($C$3:$AF$9=E$12))</f>
        <v>5</v>
      </c>
      <c r="H16" s="22" cm="1">
        <f t="array" aca="1" ref="H16" ca="1">SUM(IF(OFFSET($B$2,MATCH($B$13,$B$3:$B$9,0),1,,COUNT($C$2:$AF$2))=C12,1,0))</f>
        <v>24</v>
      </c>
      <c r="I16" s="22" cm="1">
        <f t="array" aca="1" ref="I16" ca="1">SUM(IF(OFFSET($B$2,MATCH($B$13,$B$3:$B$9,0),1,,COUNT($C$2:$AF$2))=D12,1,0))</f>
        <v>1</v>
      </c>
      <c r="J16" s="22" cm="1">
        <f t="array" aca="1" ref="J16" ca="1">SUM(IF(OFFSET($B$2,MATCH($B$13,$B$3:$B$9,0),1,,COUNT($C$2:$AF$2))=E12,1,0))</f>
        <v>5</v>
      </c>
      <c r="K16" s="22" cm="1">
        <f t="array" aca="1" ref="K16" ca="1">SUM(IF(OFFSET($B$2,MATCH($B$13,$B$3:$B$9,0),1,,COUNT($C$2:$AF$2))=F12,1,0))</f>
        <v>0</v>
      </c>
    </row>
    <row r="17" spans="3:10" x14ac:dyDescent="0.3">
      <c r="C17" s="78" cm="1">
        <f t="array" ref="C17">SUM(IF(($B$3:$B$9=$B$13)*($C$3:$AF$9=C$12),1,0))</f>
        <v>24</v>
      </c>
      <c r="D17" s="78" cm="1">
        <f t="array" ref="D17">SUM(IF(($B$3:$B$9=$B$13)*($C$3:$AF$9=D$12),1,0))</f>
        <v>1</v>
      </c>
      <c r="E17" s="78" cm="1">
        <f t="array" ref="E17">SUM(IF(($B$3:$B$9=$B$13)*($C$3:$AF$9=E$12),1,0))</f>
        <v>5</v>
      </c>
      <c r="H17" s="22" cm="1">
        <f t="array" ref="H17">SUMPRODUCT(($B$3:$B$9=$B$13)*($C$3:$AF$9=C12))</f>
        <v>24</v>
      </c>
      <c r="I17" s="22" cm="1">
        <f t="array" ref="I17">SUMPRODUCT(($B$3:$B$9=$B$13)*($C$3:$AF$9=D12))</f>
        <v>1</v>
      </c>
      <c r="J17" s="22" cm="1">
        <f t="array" ref="J17">SUMPRODUCT(($B$3:$B$9=$B$13)*($C$3:$AF$9=E12))</f>
        <v>5</v>
      </c>
    </row>
  </sheetData>
  <mergeCells count="1">
    <mergeCell ref="C11:F11"/>
  </mergeCells>
  <conditionalFormatting sqref="C3:AF9">
    <cfRule type="containsText" dxfId="2" priority="1" operator="containsText" text="W">
      <formula>NOT(ISERROR(SEARCH("W",C3)))</formula>
    </cfRule>
    <cfRule type="containsText" dxfId="1" priority="2" operator="containsText" text="P">
      <formula>NOT(ISERROR(SEARCH("P",C3)))</formula>
    </cfRule>
    <cfRule type="containsText" dxfId="0" priority="3" operator="containsText" text="A">
      <formula>NOT(ISERROR(SEARCH("A",C3)))</formula>
    </cfRule>
  </conditionalFormatting>
  <dataValidations count="1">
    <dataValidation type="list" allowBlank="1" showInputMessage="1" showErrorMessage="1" sqref="A13" xr:uid="{97A25403-DA5B-4F88-A457-0C79F2ABE862}">
      <formula1>$A$3:$A$9</formula1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2416-9529-41FB-B951-1FDA230F5D1E}">
  <sheetPr>
    <tabColor rgb="FFFF0000"/>
  </sheetPr>
  <dimension ref="B1:S881"/>
  <sheetViews>
    <sheetView showGridLines="0" zoomScaleNormal="100" workbookViewId="0">
      <selection activeCell="H8" sqref="H8:J13"/>
    </sheetView>
  </sheetViews>
  <sheetFormatPr defaultColWidth="8.88671875" defaultRowHeight="14.4" x14ac:dyDescent="0.3"/>
  <cols>
    <col min="2" max="2" width="5.5546875" customWidth="1"/>
    <col min="3" max="3" width="31.6640625" bestFit="1" customWidth="1"/>
    <col min="4" max="4" width="12" bestFit="1" customWidth="1"/>
    <col min="5" max="5" width="9.44140625" bestFit="1" customWidth="1"/>
    <col min="6" max="6" width="11.88671875" bestFit="1" customWidth="1"/>
    <col min="7" max="7" width="25.77734375" customWidth="1"/>
    <col min="8" max="8" width="20.44140625" customWidth="1"/>
    <col min="9" max="9" width="14.5546875" customWidth="1"/>
    <col min="10" max="10" width="18.109375" customWidth="1"/>
    <col min="11" max="11" width="12.33203125" customWidth="1"/>
    <col min="12" max="12" width="12.33203125" bestFit="1" customWidth="1"/>
  </cols>
  <sheetData>
    <row r="1" spans="2:11" x14ac:dyDescent="0.3">
      <c r="I1" s="48"/>
    </row>
    <row r="2" spans="2:11" ht="19.8" x14ac:dyDescent="0.4">
      <c r="B2" s="49" t="s">
        <v>70</v>
      </c>
      <c r="C2" s="50"/>
      <c r="D2" s="50"/>
      <c r="E2" s="50"/>
      <c r="F2" s="50"/>
      <c r="I2" s="48"/>
      <c r="J2" s="68"/>
      <c r="K2" s="68"/>
    </row>
    <row r="3" spans="2:11" x14ac:dyDescent="0.3">
      <c r="B3" s="52" t="s">
        <v>1747</v>
      </c>
      <c r="C3" s="52" t="s">
        <v>73</v>
      </c>
      <c r="D3" s="53" t="s">
        <v>74</v>
      </c>
      <c r="E3" s="52" t="s">
        <v>75</v>
      </c>
      <c r="F3" s="52" t="s">
        <v>76</v>
      </c>
      <c r="I3" s="69"/>
      <c r="J3" s="69"/>
      <c r="K3" s="70"/>
    </row>
    <row r="4" spans="2:11" x14ac:dyDescent="0.3">
      <c r="B4" s="50">
        <v>1</v>
      </c>
      <c r="C4" s="50" t="s">
        <v>77</v>
      </c>
      <c r="D4" s="56" t="s">
        <v>78</v>
      </c>
      <c r="E4" s="50">
        <v>31</v>
      </c>
      <c r="F4" s="50">
        <v>8343</v>
      </c>
      <c r="I4" s="73"/>
      <c r="J4" s="74"/>
      <c r="K4" s="74"/>
    </row>
    <row r="5" spans="2:11" x14ac:dyDescent="0.3">
      <c r="B5" s="50">
        <f>+B4+1</f>
        <v>2</v>
      </c>
      <c r="C5" s="50" t="s">
        <v>79</v>
      </c>
      <c r="D5" s="56" t="s">
        <v>80</v>
      </c>
      <c r="E5" s="50">
        <v>26.5</v>
      </c>
      <c r="F5" s="50">
        <v>5908</v>
      </c>
      <c r="I5" s="73"/>
      <c r="J5" s="74"/>
      <c r="K5" s="74"/>
    </row>
    <row r="6" spans="2:11" x14ac:dyDescent="0.3">
      <c r="B6" s="50">
        <f t="shared" ref="B6:B69" si="0">+B5+1</f>
        <v>3</v>
      </c>
      <c r="C6" s="50" t="s">
        <v>81</v>
      </c>
      <c r="D6" s="56" t="s">
        <v>82</v>
      </c>
      <c r="E6" s="50">
        <v>31</v>
      </c>
      <c r="F6" s="50">
        <v>9047</v>
      </c>
      <c r="I6" s="73"/>
      <c r="J6" s="74"/>
      <c r="K6" s="74"/>
    </row>
    <row r="7" spans="2:11" x14ac:dyDescent="0.3">
      <c r="B7" s="50">
        <f t="shared" si="0"/>
        <v>4</v>
      </c>
      <c r="C7" s="50" t="s">
        <v>84</v>
      </c>
      <c r="D7" s="56" t="s">
        <v>85</v>
      </c>
      <c r="E7" s="50">
        <v>26</v>
      </c>
      <c r="F7" s="50">
        <v>5768</v>
      </c>
      <c r="I7" s="75"/>
      <c r="J7" s="74"/>
      <c r="K7" s="74"/>
    </row>
    <row r="8" spans="2:11" x14ac:dyDescent="0.3">
      <c r="B8" s="50">
        <f t="shared" si="0"/>
        <v>5</v>
      </c>
      <c r="C8" s="50" t="s">
        <v>86</v>
      </c>
      <c r="D8" s="56" t="s">
        <v>87</v>
      </c>
      <c r="E8" s="50">
        <v>31</v>
      </c>
      <c r="F8" s="50">
        <v>6892</v>
      </c>
      <c r="H8" t="str" cm="1">
        <f t="array" ref="H8">VLOOKUP(VALUE($I22),CHOOSE({1,2},VALUE($D$4:$D$881),CHOOSE(COLUMNS($H$6:H6),$C$4:$C$881,$B$4:$B$881,$F$4:$F$881)),2,0)</f>
        <v>HEMANT B PANCHAL</v>
      </c>
      <c r="I8" cm="1">
        <f t="array" ref="I8">VLOOKUP(VALUE($I22),CHOOSE({1,2},VALUE($D$4:$D$881),CHOOSE(COLUMNS($H$6:I6),$C$4:$C$881,$B$4:$B$881,$F$4:$F$881)),2,0)</f>
        <v>9</v>
      </c>
      <c r="J8" cm="1">
        <f t="array" ref="J8">VLOOKUP(VALUE($I22),CHOOSE({1,2},VALUE($D$4:$D$881),CHOOSE(COLUMNS($H$6:J6),$C$4:$C$881,$B$4:$B$881,$F$4:$F$881)),2,0)</f>
        <v>6656</v>
      </c>
      <c r="K8" s="74"/>
    </row>
    <row r="9" spans="2:11" x14ac:dyDescent="0.3">
      <c r="B9" s="50">
        <f t="shared" si="0"/>
        <v>6</v>
      </c>
      <c r="C9" s="50" t="s">
        <v>62</v>
      </c>
      <c r="D9" s="56" t="s">
        <v>88</v>
      </c>
      <c r="E9" s="50">
        <v>14</v>
      </c>
      <c r="F9" s="50">
        <v>3099</v>
      </c>
      <c r="H9" t="str" cm="1">
        <f t="array" ref="H9">VLOOKUP(VALUE($I23),CHOOSE({1,2},VALUE($D$4:$D$881),CHOOSE(COLUMNS($H$6:H7),$C$4:$C$881,$B$4:$B$881,$F$4:$F$881)),2,0)</f>
        <v>DASHRATH KUMAR</v>
      </c>
      <c r="I9" cm="1">
        <f t="array" ref="I9">VLOOKUP(VALUE($I23),CHOOSE({1,2},VALUE($D$4:$D$881),CHOOSE(COLUMNS($H$6:I7),$C$4:$C$881,$B$4:$B$881,$F$4:$F$881)),2,0)</f>
        <v>14</v>
      </c>
      <c r="J9" cm="1">
        <f t="array" ref="J9">VLOOKUP(VALUE($I23),CHOOSE({1,2},VALUE($D$4:$D$881),CHOOSE(COLUMNS($H$6:J7),$C$4:$C$881,$B$4:$B$881,$F$4:$F$881)),2,0)</f>
        <v>6441</v>
      </c>
      <c r="K9" s="74"/>
    </row>
    <row r="10" spans="2:11" x14ac:dyDescent="0.3">
      <c r="B10" s="50">
        <f t="shared" si="0"/>
        <v>7</v>
      </c>
      <c r="C10" s="50" t="s">
        <v>63</v>
      </c>
      <c r="D10" s="56" t="s">
        <v>89</v>
      </c>
      <c r="E10" s="50">
        <v>28.5</v>
      </c>
      <c r="F10" s="50">
        <v>6353</v>
      </c>
      <c r="H10" t="e" cm="1">
        <f t="array" ref="H10">VLOOKUP(VALUE($I24),CHOOSE({1,2},VALUE($D$4:$D$881),CHOOSE(COLUMNS($H$6:H8),$C$4:$C$881,$B$4:$B$881,$F$4:$F$881)),2,0)</f>
        <v>#N/A</v>
      </c>
      <c r="I10" t="e" cm="1">
        <f t="array" ref="I10">VLOOKUP(VALUE($I24),CHOOSE({1,2},VALUE($D$4:$D$881),CHOOSE(COLUMNS($H$6:I8),$C$4:$C$881,$B$4:$B$881,$F$4:$F$881)),2,0)</f>
        <v>#N/A</v>
      </c>
      <c r="J10" t="e" cm="1">
        <f t="array" ref="J10">VLOOKUP(VALUE($I24),CHOOSE({1,2},VALUE($D$4:$D$881),CHOOSE(COLUMNS($H$6:J8),$C$4:$C$881,$B$4:$B$881,$F$4:$F$881)),2,0)</f>
        <v>#N/A</v>
      </c>
      <c r="K10" s="74"/>
    </row>
    <row r="11" spans="2:11" x14ac:dyDescent="0.3">
      <c r="B11" s="50">
        <f t="shared" si="0"/>
        <v>8</v>
      </c>
      <c r="C11" s="50" t="s">
        <v>64</v>
      </c>
      <c r="D11" s="56" t="s">
        <v>90</v>
      </c>
      <c r="E11" s="50">
        <v>31</v>
      </c>
      <c r="F11" s="50">
        <v>9445</v>
      </c>
      <c r="H11" t="str" cm="1">
        <f t="array" ref="H11">VLOOKUP(VALUE($I25),CHOOSE({1,2},VALUE($D$4:$D$881),CHOOSE(COLUMNS($H$6:H9),$C$4:$C$881,$B$4:$B$881,$F$4:$F$881)),2,0)</f>
        <v>RAJ BAHADUR</v>
      </c>
      <c r="I11" cm="1">
        <f t="array" ref="I11">VLOOKUP(VALUE($I25),CHOOSE({1,2},VALUE($D$4:$D$881),CHOOSE(COLUMNS($H$6:I9),$C$4:$C$881,$B$4:$B$881,$F$4:$F$881)),2,0)</f>
        <v>6</v>
      </c>
      <c r="J11" cm="1">
        <f t="array" ref="J11">VLOOKUP(VALUE($I25),CHOOSE({1,2},VALUE($D$4:$D$881),CHOOSE(COLUMNS($H$6:J9),$C$4:$C$881,$B$4:$B$881,$F$4:$F$881)),2,0)</f>
        <v>3099</v>
      </c>
      <c r="K11" s="74"/>
    </row>
    <row r="12" spans="2:11" x14ac:dyDescent="0.3">
      <c r="B12" s="50">
        <f t="shared" si="0"/>
        <v>9</v>
      </c>
      <c r="C12" s="50" t="s">
        <v>65</v>
      </c>
      <c r="D12" s="56" t="s">
        <v>91</v>
      </c>
      <c r="E12" s="50">
        <v>31</v>
      </c>
      <c r="F12" s="50">
        <v>6656</v>
      </c>
      <c r="H12" t="str" cm="1">
        <f t="array" ref="H12">VLOOKUP(VALUE($I26),CHOOSE({1,2},VALUE($D$4:$D$881),CHOOSE(COLUMNS($H$6:H10),$C$4:$C$881,$B$4:$B$881,$F$4:$F$881)),2,0)</f>
        <v>SURAJ KUMAR</v>
      </c>
      <c r="I12" cm="1">
        <f t="array" ref="I12">VLOOKUP(VALUE($I26),CHOOSE({1,2},VALUE($D$4:$D$881),CHOOSE(COLUMNS($H$6:I10),$C$4:$C$881,$B$4:$B$881,$F$4:$F$881)),2,0)</f>
        <v>7</v>
      </c>
      <c r="J12" cm="1">
        <f t="array" ref="J12">VLOOKUP(VALUE($I26),CHOOSE({1,2},VALUE($D$4:$D$881),CHOOSE(COLUMNS($H$6:J10),$C$4:$C$881,$B$4:$B$881,$F$4:$F$881)),2,0)</f>
        <v>6353</v>
      </c>
      <c r="K12" s="74"/>
    </row>
    <row r="13" spans="2:11" x14ac:dyDescent="0.3">
      <c r="B13" s="50">
        <f t="shared" si="0"/>
        <v>10</v>
      </c>
      <c r="C13" s="50" t="s">
        <v>66</v>
      </c>
      <c r="D13" s="56" t="s">
        <v>92</v>
      </c>
      <c r="E13" s="50">
        <v>31</v>
      </c>
      <c r="F13" s="50">
        <v>6656</v>
      </c>
      <c r="H13" t="str" cm="1">
        <f t="array" ref="H13">VLOOKUP(VALUE($I27),CHOOSE({1,2},VALUE($D$4:$D$881),CHOOSE(COLUMNS($H$6:H11),$C$4:$C$881,$B$4:$B$881,$F$4:$F$881)),2,0)</f>
        <v>SARVAJEET KUMAR YADAV</v>
      </c>
      <c r="I13" cm="1">
        <f t="array" ref="I13">VLOOKUP(VALUE($I27),CHOOSE({1,2},VALUE($D$4:$D$881),CHOOSE(COLUMNS($H$6:I11),$C$4:$C$881,$B$4:$B$881,$F$4:$F$881)),2,0)</f>
        <v>8</v>
      </c>
      <c r="J13" cm="1">
        <f t="array" ref="J13">VLOOKUP(VALUE($I27),CHOOSE({1,2},VALUE($D$4:$D$881),CHOOSE(COLUMNS($H$6:J11),$C$4:$C$881,$B$4:$B$881,$F$4:$F$881)),2,0)</f>
        <v>9445</v>
      </c>
      <c r="K13" s="74"/>
    </row>
    <row r="14" spans="2:11" x14ac:dyDescent="0.3">
      <c r="B14" s="50">
        <f t="shared" si="0"/>
        <v>11</v>
      </c>
      <c r="C14" s="50" t="s">
        <v>67</v>
      </c>
      <c r="D14" s="56" t="s">
        <v>93</v>
      </c>
      <c r="E14" s="50">
        <v>28</v>
      </c>
      <c r="F14" s="50">
        <v>6012</v>
      </c>
      <c r="I14" s="73"/>
      <c r="J14" s="74"/>
      <c r="K14" s="74"/>
    </row>
    <row r="15" spans="2:11" x14ac:dyDescent="0.3">
      <c r="B15" s="50">
        <f t="shared" si="0"/>
        <v>12</v>
      </c>
      <c r="C15" s="50" t="s">
        <v>68</v>
      </c>
      <c r="D15" s="56" t="s">
        <v>94</v>
      </c>
      <c r="E15" s="50">
        <v>31</v>
      </c>
      <c r="F15" s="50">
        <v>6656</v>
      </c>
      <c r="I15" s="73"/>
      <c r="J15" s="74"/>
      <c r="K15" s="74"/>
    </row>
    <row r="16" spans="2:11" x14ac:dyDescent="0.3">
      <c r="B16" s="50">
        <f t="shared" si="0"/>
        <v>13</v>
      </c>
      <c r="C16" s="50" t="s">
        <v>95</v>
      </c>
      <c r="D16" s="56" t="s">
        <v>96</v>
      </c>
      <c r="E16" s="50">
        <v>30</v>
      </c>
      <c r="F16" s="50">
        <v>7242</v>
      </c>
      <c r="I16" s="73"/>
      <c r="J16" s="74"/>
      <c r="K16" s="74"/>
    </row>
    <row r="17" spans="2:19" x14ac:dyDescent="0.3">
      <c r="B17" s="50">
        <f t="shared" si="0"/>
        <v>14</v>
      </c>
      <c r="C17" s="50" t="s">
        <v>97</v>
      </c>
      <c r="D17" s="56" t="s">
        <v>98</v>
      </c>
      <c r="E17" s="50">
        <v>30</v>
      </c>
      <c r="F17" s="50">
        <v>6441</v>
      </c>
      <c r="I17" s="73"/>
      <c r="J17" s="74"/>
      <c r="K17" s="74"/>
    </row>
    <row r="18" spans="2:19" x14ac:dyDescent="0.3">
      <c r="B18" s="50">
        <f t="shared" si="0"/>
        <v>15</v>
      </c>
      <c r="C18" s="50" t="s">
        <v>99</v>
      </c>
      <c r="D18" s="56" t="s">
        <v>100</v>
      </c>
      <c r="E18" s="50">
        <v>30</v>
      </c>
      <c r="F18" s="50">
        <v>11711</v>
      </c>
      <c r="I18" s="73"/>
      <c r="J18" s="74"/>
      <c r="K18" s="74"/>
    </row>
    <row r="19" spans="2:19" x14ac:dyDescent="0.3">
      <c r="B19" s="50">
        <f t="shared" si="0"/>
        <v>16</v>
      </c>
      <c r="C19" s="50" t="s">
        <v>101</v>
      </c>
      <c r="D19" s="56" t="s">
        <v>102</v>
      </c>
      <c r="E19" s="50">
        <v>3</v>
      </c>
      <c r="F19" s="50">
        <v>644</v>
      </c>
    </row>
    <row r="20" spans="2:19" x14ac:dyDescent="0.3">
      <c r="B20" s="50">
        <f t="shared" si="0"/>
        <v>17</v>
      </c>
      <c r="C20" s="50" t="s">
        <v>103</v>
      </c>
      <c r="D20" s="56" t="s">
        <v>104</v>
      </c>
      <c r="E20" s="50">
        <v>30</v>
      </c>
      <c r="F20" s="50">
        <v>6570</v>
      </c>
      <c r="I20" s="48" t="s">
        <v>69</v>
      </c>
      <c r="J20" s="51" t="s">
        <v>105</v>
      </c>
      <c r="K20" s="51" t="s">
        <v>105</v>
      </c>
      <c r="L20" s="51" t="s">
        <v>105</v>
      </c>
    </row>
    <row r="21" spans="2:19" x14ac:dyDescent="0.3">
      <c r="B21" s="50">
        <f t="shared" si="0"/>
        <v>18</v>
      </c>
      <c r="C21" s="50" t="s">
        <v>106</v>
      </c>
      <c r="D21" s="56" t="s">
        <v>107</v>
      </c>
      <c r="E21" s="50">
        <v>31</v>
      </c>
      <c r="F21" s="50">
        <v>11444</v>
      </c>
      <c r="I21" s="54" t="s">
        <v>74</v>
      </c>
      <c r="J21" s="54" t="s">
        <v>73</v>
      </c>
      <c r="K21" s="55" t="s">
        <v>108</v>
      </c>
      <c r="L21" s="55" t="s">
        <v>76</v>
      </c>
    </row>
    <row r="22" spans="2:19" x14ac:dyDescent="0.3">
      <c r="B22" s="50">
        <f t="shared" si="0"/>
        <v>19</v>
      </c>
      <c r="C22" s="50" t="s">
        <v>109</v>
      </c>
      <c r="D22" s="56" t="s">
        <v>110</v>
      </c>
      <c r="E22" s="50">
        <v>30</v>
      </c>
      <c r="F22" s="50">
        <v>11074</v>
      </c>
      <c r="G22" s="41" t="str" cm="1">
        <f t="array" ref="G22">VLOOKUP(TRIM($I22), CHOOSE({1,2}, TRIM($D$4:$D$881), CHOOSE(COLUMNS($G$21:G21), TRIM($C$4:$C$881), TRIM($B$4:$B$881)), 2,0),2,0)</f>
        <v>HEMANT B PANCHAL</v>
      </c>
      <c r="H22" s="41" t="str" cm="1">
        <f t="array" ref="H22">VLOOKUP(TRIM($I22), CHOOSE({1,2}, TRIM($D$4:$D$881), CHOOSE(COLUMNS($G$21:H21), TRIM($C$4:$C$881), TRIM($B$4:$B$881)), 2,0),2,0)</f>
        <v>9</v>
      </c>
      <c r="I22" s="60">
        <v>1113743071</v>
      </c>
      <c r="J22" s="61" t="str">
        <f>IFERROR(VLOOKUP(TRIM($I22),CHOOSE({1,2},TRIM($D$4:$D$881),TRIM($C$4:$C$881)),2,0),"Data not found")</f>
        <v>Data not found</v>
      </c>
      <c r="K22" s="61" t="str" cm="1">
        <f t="array" ref="K22">IFERROR(VLOOKUP(TRIM($I22),CHOOSE({1,2},TRIM($D$4:$D$881),TRIM($B$4:$B$881)),2,0),"Data not found")</f>
        <v>9</v>
      </c>
      <c r="L22" s="62" t="str" cm="1">
        <f t="array" ref="L22">IFERROR(VLOOKUP(TRIM($I22),CHOOSE({1,2},TRIM($D$4:$D$881),TRIM($F$4:$F$881)),2,0),"Data not found")</f>
        <v>6656</v>
      </c>
      <c r="N22" t="str" cm="1">
        <f t="array" ref="N22">IFERROR(VLOOKUP(VALUE(I22),CHOOSE({1,2},VALUE($D$4:$D$881),$C$4:$C$881),2,0), "")</f>
        <v>HEMANT B PANCHAL</v>
      </c>
      <c r="Q22" s="77" t="str" cm="1">
        <f t="array" ref="Q22">IFERROR(VLOOKUP(TRIM($I22),CHOOSE({1,2},$D$4:$D$881,CHOOSE(COLUMNS($Q$21:Q21),TRIM($C$4:$C$881),TRIM($B$4:$B$881),TRIM($F$4:$F$881))),2,0),"")</f>
        <v>HEMANT B PANCHAL</v>
      </c>
      <c r="R22" s="77" t="str" cm="1">
        <f t="array" ref="R22">IFERROR(VLOOKUP(TRIM($I22),CHOOSE({1,2},$D$4:$D$881,CHOOSE(COLUMNS($Q$21:R21),TRIM($C$4:$C$881),TRIM($B$4:$B$881),TRIM($F$4:$F$881))),2,0),"")</f>
        <v>9</v>
      </c>
      <c r="S22" s="77" t="str" cm="1">
        <f t="array" ref="S22">IFERROR(VLOOKUP(TRIM($I22),CHOOSE({1,2},$D$4:$D$881,CHOOSE(COLUMNS($Q$21:S21),TRIM($C$4:$C$881),TRIM($B$4:$B$881),TRIM($F$4:$F$881))),2,0),"")</f>
        <v>6656</v>
      </c>
    </row>
    <row r="23" spans="2:19" x14ac:dyDescent="0.3">
      <c r="B23" s="50">
        <f t="shared" si="0"/>
        <v>20</v>
      </c>
      <c r="C23" s="50" t="s">
        <v>111</v>
      </c>
      <c r="D23" s="56" t="s">
        <v>112</v>
      </c>
      <c r="E23" s="50">
        <v>31</v>
      </c>
      <c r="F23" s="50">
        <v>13109</v>
      </c>
      <c r="G23" s="41" t="str" cm="1">
        <f t="array" ref="G23">VLOOKUP(TRIM($I23), CHOOSE({1,2}, TRIM($D$4:$D$881), CHOOSE(COLUMNS($G$21:G22), TRIM($C$4:$C$881), TRIM($B$4:$B$881)), 2,0),2,0)</f>
        <v>DASHRATH KUMAR</v>
      </c>
      <c r="H23" s="41" t="str" cm="1">
        <f t="array" ref="H23">VLOOKUP(TRIM($I23), CHOOSE({1,2}, TRIM($D$4:$D$881), CHOOSE(COLUMNS($G$21:H22), TRIM($C$4:$C$881), TRIM($B$4:$B$881)), 2,0),2,0)</f>
        <v>14</v>
      </c>
      <c r="I23" s="63" t="s">
        <v>98</v>
      </c>
      <c r="J23" s="61" t="str" cm="1">
        <f t="array" ref="J23">IFERROR(VLOOKUP(TRIM($I23),CHOOSE({1,2},TRIM($D$1:$D$881),TRIM($C$13:$C$881)),2,0),"Data not found")</f>
        <v>HRIDAY RAM PAL</v>
      </c>
      <c r="K23" s="61" t="str" cm="1">
        <f t="array" ref="K23">IFERROR(VLOOKUP(TRIM($I23),CHOOSE({1,2},TRIM($D$4:$D$881),TRIM($B$13:$B$881)),2,0),"Data not found")</f>
        <v>23</v>
      </c>
      <c r="L23" s="62" t="str" cm="1">
        <f t="array" ref="L23">IFERROR(VLOOKUP(TRIM($I23),CHOOSE({1,2},TRIM($D$4:$D$881),TRIM($F$4:$F$881)),2,0),"Data not found")</f>
        <v>6441</v>
      </c>
      <c r="N23" t="str" cm="1">
        <f t="array" ref="N23">IFERROR(VLOOKUP(VALUE(I23),CHOOSE({1,2},VALUE($D$4:$D$881),$C$4:$C$881),2,0), "")</f>
        <v>DASHRATH KUMAR</v>
      </c>
      <c r="Q23" s="77" t="str" cm="1">
        <f t="array" ref="Q23">IFERROR(VLOOKUP(TRIM($I23),CHOOSE({1,2},$D$4:$D$881,CHOOSE(COLUMNS($Q$21:Q22),TRIM($C$4:$C$881),TRIM($B$4:$B$881),TRIM($F$4:$F$881))),2,0),"")</f>
        <v>DASHRATH KUMAR</v>
      </c>
      <c r="R23" s="77" t="str" cm="1">
        <f t="array" ref="R23">IFERROR(VLOOKUP(TRIM($I23),CHOOSE({1,2},$D$4:$D$881,CHOOSE(COLUMNS($Q$21:R22),TRIM($C$4:$C$881),TRIM($B$4:$B$881),TRIM($F$4:$F$881))),2,0),"")</f>
        <v>14</v>
      </c>
      <c r="S23" s="77" t="str" cm="1">
        <f t="array" ref="S23">IFERROR(VLOOKUP(TRIM($I23),CHOOSE({1,2},$D$4:$D$881,CHOOSE(COLUMNS($Q$21:S22),TRIM($C$4:$C$881),TRIM($B$4:$B$881),TRIM($F$4:$F$881))),2,0),"")</f>
        <v>6441</v>
      </c>
    </row>
    <row r="24" spans="2:19" x14ac:dyDescent="0.3">
      <c r="B24" s="50">
        <f t="shared" si="0"/>
        <v>21</v>
      </c>
      <c r="C24" s="50" t="s">
        <v>113</v>
      </c>
      <c r="D24" s="56" t="s">
        <v>114</v>
      </c>
      <c r="E24" s="50">
        <v>31</v>
      </c>
      <c r="F24" s="50">
        <v>9961</v>
      </c>
      <c r="G24" s="41" t="e" cm="1">
        <f t="array" ref="G24">VLOOKUP(TRIM($I24), CHOOSE({1,2}, TRIM($D$4:$D$881), CHOOSE(COLUMNS($G$21:G23), TRIM($C$4:$C$881), TRIM($B$4:$B$881)), 2,0),2,0)</f>
        <v>#N/A</v>
      </c>
      <c r="H24" s="41" t="e" cm="1">
        <f t="array" ref="H24">VLOOKUP(TRIM($I24), CHOOSE({1,2}, TRIM($D$4:$D$881), CHOOSE(COLUMNS($G$21:H23), TRIM($C$4:$C$881), TRIM($B$4:$B$881)), 2,0),2,0)</f>
        <v>#N/A</v>
      </c>
      <c r="I24" s="63" t="s">
        <v>83</v>
      </c>
      <c r="J24" s="61" t="str" cm="1">
        <f t="array" ref="J24">IFERROR(VLOOKUP(TRIM($I24),CHOOSE({1,2},TRIM($D$1:$D$881),TRIM($C$13:$C$881)),2,0),"Data not found")</f>
        <v>Data not found</v>
      </c>
      <c r="K24" s="61" t="str" cm="1">
        <f t="array" ref="K24">IFERROR(VLOOKUP(TRIM($I24),CHOOSE({1,2},TRIM($D$4:$D$881),TRIM($B$13:$B$881)),2,0),"Data not found")</f>
        <v>Data not found</v>
      </c>
      <c r="L24" s="62" t="str" cm="1">
        <f t="array" ref="L24">IFERROR(VLOOKUP(TRIM($I24),CHOOSE({1,2},TRIM($D$4:$D$881),TRIM($F$4:$F$881)),2,0),"Data not found")</f>
        <v>Data not found</v>
      </c>
      <c r="N24" t="str" cm="1">
        <f t="array" ref="N24">IFERROR(VLOOKUP(VALUE(I24),CHOOSE({1,2},VALUE($D$4:$D$881),$C$4:$C$881),2,0), "")</f>
        <v/>
      </c>
      <c r="Q24" s="77" t="str" cm="1">
        <f t="array" ref="Q24">IFERROR(VLOOKUP(TRIM($I24),CHOOSE({1,2},$D$4:$D$881,CHOOSE(COLUMNS($Q$21:Q23),TRIM($C$4:$C$881),TRIM($B$4:$B$881),TRIM($F$4:$F$881))),2,0),"")</f>
        <v/>
      </c>
      <c r="R24" s="77" t="str" cm="1">
        <f t="array" ref="R24">IFERROR(VLOOKUP(TRIM($I24),CHOOSE({1,2},$D$4:$D$881,CHOOSE(COLUMNS($Q$21:R23),TRIM($C$4:$C$881),TRIM($B$4:$B$881),TRIM($F$4:$F$881))),2,0),"")</f>
        <v/>
      </c>
      <c r="S24" s="77" t="str" cm="1">
        <f t="array" ref="S24">IFERROR(VLOOKUP(TRIM($I24),CHOOSE({1,2},$D$4:$D$881,CHOOSE(COLUMNS($Q$21:S23),TRIM($C$4:$C$881),TRIM($B$4:$B$881),TRIM($F$4:$F$881))),2,0),"")</f>
        <v/>
      </c>
    </row>
    <row r="25" spans="2:19" x14ac:dyDescent="0.3">
      <c r="B25" s="50">
        <f t="shared" si="0"/>
        <v>22</v>
      </c>
      <c r="C25" s="50" t="s">
        <v>115</v>
      </c>
      <c r="D25" s="56" t="s">
        <v>116</v>
      </c>
      <c r="E25" s="50">
        <v>31</v>
      </c>
      <c r="F25" s="50">
        <v>13966</v>
      </c>
      <c r="G25" s="41" t="str" cm="1">
        <f t="array" ref="G25">VLOOKUP(TRIM($I25), CHOOSE({1,2}, TRIM($D$4:$D$881), CHOOSE(COLUMNS($G$21:G24), TRIM($C$4:$C$881), TRIM($B$4:$B$881)), 2,0),2,0)</f>
        <v>RAJ BAHADUR</v>
      </c>
      <c r="H25" s="41" t="str" cm="1">
        <f t="array" ref="H25">VLOOKUP(TRIM($I25), CHOOSE({1,2}, TRIM($D$4:$D$881), CHOOSE(COLUMNS($G$21:H24), TRIM($C$4:$C$881), TRIM($B$4:$B$881)), 2,0),2,0)</f>
        <v>6</v>
      </c>
      <c r="I25" s="63">
        <v>1113838956</v>
      </c>
      <c r="J25" s="61" t="str" cm="1">
        <f t="array" ref="J25">IFERROR(VLOOKUP(TRIM($I25),CHOOSE({1,2},TRIM($D$1:$D$881),TRIM($C$13:$C$881)),2,0),"Data not found")</f>
        <v>KAPIL VERMA</v>
      </c>
      <c r="K25" s="61" t="str" cm="1">
        <f t="array" ref="K25">IFERROR(VLOOKUP(TRIM($I25),CHOOSE({1,2},TRIM($D$4:$D$881),TRIM($B$13:$B$881)),2,0),"Data not found")</f>
        <v>15</v>
      </c>
      <c r="L25" s="62" t="str" cm="1">
        <f t="array" ref="L25">IFERROR(VLOOKUP(TRIM($I25),CHOOSE({1,2},TRIM($D$4:$D$881),TRIM($F$4:$F$881)),2,0),"Data not found")</f>
        <v>3099</v>
      </c>
      <c r="N25" t="str" cm="1">
        <f t="array" ref="N25">IFERROR(VLOOKUP(VALUE(I25),CHOOSE({1,2},VALUE($D$4:$D$881),$C$4:$C$881),2,0), "")</f>
        <v>RAJ BAHADUR</v>
      </c>
      <c r="Q25" s="77" t="str" cm="1">
        <f t="array" ref="Q25">IFERROR(VLOOKUP(TRIM($I25),CHOOSE({1,2},$D$4:$D$881,CHOOSE(COLUMNS($Q$21:Q24),TRIM($C$4:$C$881),TRIM($B$4:$B$881),TRIM($F$4:$F$881))),2,0),"")</f>
        <v>RAJ BAHADUR</v>
      </c>
      <c r="R25" s="77" t="str" cm="1">
        <f t="array" ref="R25">IFERROR(VLOOKUP(TRIM($I25),CHOOSE({1,2},$D$4:$D$881,CHOOSE(COLUMNS($Q$21:R24),TRIM($C$4:$C$881),TRIM($B$4:$B$881),TRIM($F$4:$F$881))),2,0),"")</f>
        <v>6</v>
      </c>
      <c r="S25" s="77" t="str" cm="1">
        <f t="array" ref="S25">IFERROR(VLOOKUP(TRIM($I25),CHOOSE({1,2},$D$4:$D$881,CHOOSE(COLUMNS($Q$21:S24),TRIM($C$4:$C$881),TRIM($B$4:$B$881),TRIM($F$4:$F$881))),2,0),"")</f>
        <v>3099</v>
      </c>
    </row>
    <row r="26" spans="2:19" x14ac:dyDescent="0.3">
      <c r="B26" s="50">
        <f t="shared" si="0"/>
        <v>23</v>
      </c>
      <c r="C26" s="50" t="s">
        <v>117</v>
      </c>
      <c r="D26" s="56" t="s">
        <v>118</v>
      </c>
      <c r="E26" s="50">
        <v>30</v>
      </c>
      <c r="F26" s="50">
        <v>6915</v>
      </c>
      <c r="G26" s="41" t="str" cm="1">
        <f t="array" ref="G26">VLOOKUP(TRIM($I26), CHOOSE({1,2}, TRIM($D$4:$D$881), CHOOSE(COLUMNS($G$21:G25), TRIM($C$4:$C$881), TRIM($B$4:$B$881)), 2,0),2,0)</f>
        <v>SURAJ KUMAR</v>
      </c>
      <c r="H26" s="41" t="str" cm="1">
        <f t="array" ref="H26">VLOOKUP(TRIM($I26), CHOOSE({1,2}, TRIM($D$4:$D$881), CHOOSE(COLUMNS($G$21:H25), TRIM($C$4:$C$881), TRIM($B$4:$B$881)), 2,0),2,0)</f>
        <v>7</v>
      </c>
      <c r="I26" s="63">
        <v>1113838972</v>
      </c>
      <c r="J26" s="61" t="str" cm="1">
        <f t="array" ref="J26">IFERROR(VLOOKUP(TRIM($I26),CHOOSE({1,2},TRIM($D$1:$D$881),TRIM($C$13:$C$881)),2,0),"Data not found")</f>
        <v>NEHA KAPOOR</v>
      </c>
      <c r="K26" s="61" t="str" cm="1">
        <f t="array" ref="K26">IFERROR(VLOOKUP(TRIM($I26),CHOOSE({1,2},TRIM($D$4:$D$881),TRIM($B$13:$B$881)),2,0),"Data not found")</f>
        <v>16</v>
      </c>
      <c r="L26" s="62" t="str" cm="1">
        <f t="array" ref="L26">IFERROR(VLOOKUP(TRIM($I26),CHOOSE({1,2},TRIM($D$4:$D$881),TRIM($F$4:$F$881)),2,0),"Data not found")</f>
        <v>6353</v>
      </c>
      <c r="N26" t="str" cm="1">
        <f t="array" ref="N26">IFERROR(VLOOKUP(VALUE(I26),CHOOSE({1,2},VALUE($D$4:$D$881),$C$4:$C$881),2,0), "")</f>
        <v>SURAJ KUMAR</v>
      </c>
      <c r="Q26" s="77" t="str" cm="1">
        <f t="array" ref="Q26">IFERROR(VLOOKUP(TRIM($I26),CHOOSE({1,2},$D$4:$D$881,CHOOSE(COLUMNS($Q$21:Q25),TRIM($C$4:$C$881),TRIM($B$4:$B$881),TRIM($F$4:$F$881))),2,0),"")</f>
        <v>SURAJ KUMAR</v>
      </c>
      <c r="R26" s="77" t="str" cm="1">
        <f t="array" ref="R26">IFERROR(VLOOKUP(TRIM($I26),CHOOSE({1,2},$D$4:$D$881,CHOOSE(COLUMNS($Q$21:R25),TRIM($C$4:$C$881),TRIM($B$4:$B$881),TRIM($F$4:$F$881))),2,0),"")</f>
        <v>7</v>
      </c>
      <c r="S26" s="77" t="str" cm="1">
        <f t="array" ref="S26">IFERROR(VLOOKUP(TRIM($I26),CHOOSE({1,2},$D$4:$D$881,CHOOSE(COLUMNS($Q$21:S25),TRIM($C$4:$C$881),TRIM($B$4:$B$881),TRIM($F$4:$F$881))),2,0),"")</f>
        <v>6353</v>
      </c>
    </row>
    <row r="27" spans="2:19" x14ac:dyDescent="0.3">
      <c r="B27" s="50">
        <f t="shared" si="0"/>
        <v>24</v>
      </c>
      <c r="C27" s="50" t="s">
        <v>119</v>
      </c>
      <c r="D27" s="56" t="s">
        <v>120</v>
      </c>
      <c r="E27" s="50">
        <v>31</v>
      </c>
      <c r="F27" s="50">
        <v>15115</v>
      </c>
      <c r="G27" s="41" t="str" cm="1">
        <f t="array" ref="G27">VLOOKUP(TRIM($I27), CHOOSE({1,2}, TRIM($D$4:$D$881), CHOOSE(COLUMNS($G$21:G26), TRIM($C$4:$C$881), TRIM($B$4:$B$881)), 2,0),2,0)</f>
        <v>SARVAJEET KUMAR YADAV</v>
      </c>
      <c r="H27" s="41" t="str" cm="1">
        <f t="array" ref="H27">VLOOKUP(TRIM($I27), CHOOSE({1,2}, TRIM($D$4:$D$881), CHOOSE(COLUMNS($G$21:H26), TRIM($C$4:$C$881), TRIM($B$4:$B$881)), 2,0),2,0)</f>
        <v>8</v>
      </c>
      <c r="I27" s="63">
        <v>1113685523</v>
      </c>
      <c r="J27" s="61" t="str" cm="1">
        <f t="array" ref="J27">IFERROR(VLOOKUP(TRIM($I27),CHOOSE({1,2},TRIM($D$1:$D$881),TRIM($C$13:$C$881)),2,0),"Data not found")</f>
        <v>HARISH PAL</v>
      </c>
      <c r="K27" s="61" t="str" cm="1">
        <f t="array" ref="K27">IFERROR(VLOOKUP(TRIM($I27),CHOOSE({1,2},TRIM($D$4:$D$881),TRIM($B$13:$B$881)),2,0),"Data not found")</f>
        <v>17</v>
      </c>
      <c r="L27" s="62" t="str" cm="1">
        <f t="array" ref="L27">IFERROR(VLOOKUP(TRIM($I27),CHOOSE({1,2},TRIM($D$4:$D$881),TRIM($F$4:$F$881)),2,0),"Data not found")</f>
        <v>9445</v>
      </c>
      <c r="N27" t="str" cm="1">
        <f t="array" ref="N27">IFERROR(VLOOKUP(VALUE(I27),CHOOSE({1,2},VALUE($D$4:$D$881),$C$4:$C$881),2,0), "")</f>
        <v>SARVAJEET KUMAR YADAV</v>
      </c>
      <c r="Q27" s="77" t="str" cm="1">
        <f t="array" ref="Q27">IFERROR(VLOOKUP(TRIM($I27),CHOOSE({1,2},$D$4:$D$881,CHOOSE(COLUMNS($Q$21:Q26),TRIM($C$4:$C$881),TRIM($B$4:$B$881),TRIM($F$4:$F$881))),2,0),"")</f>
        <v>SARVAJEET KUMAR YADAV</v>
      </c>
      <c r="R27" s="77" t="str" cm="1">
        <f t="array" ref="R27">IFERROR(VLOOKUP(TRIM($I27),CHOOSE({1,2},$D$4:$D$881,CHOOSE(COLUMNS($Q$21:R26),TRIM($C$4:$C$881),TRIM($B$4:$B$881),TRIM($F$4:$F$881))),2,0),"")</f>
        <v>8</v>
      </c>
      <c r="S27" s="77" t="str" cm="1">
        <f t="array" ref="S27">IFERROR(VLOOKUP(TRIM($I27),CHOOSE({1,2},$D$4:$D$881,CHOOSE(COLUMNS($Q$21:S26),TRIM($C$4:$C$881),TRIM($B$4:$B$881),TRIM($F$4:$F$881))),2,0),"")</f>
        <v>9445</v>
      </c>
    </row>
    <row r="28" spans="2:19" x14ac:dyDescent="0.3">
      <c r="B28" s="50">
        <f t="shared" si="0"/>
        <v>25</v>
      </c>
      <c r="C28" s="50" t="s">
        <v>121</v>
      </c>
      <c r="D28" s="56" t="s">
        <v>122</v>
      </c>
      <c r="E28" s="50">
        <v>31</v>
      </c>
      <c r="F28" s="50">
        <v>9732</v>
      </c>
      <c r="G28" s="41" t="str" cm="1">
        <f t="array" ref="G28">VLOOKUP(TRIM($I28), CHOOSE({1,2}, TRIM($D$4:$D$881), CHOOSE(COLUMNS($G$21:G27), TRIM($C$4:$C$881), TRIM($B$4:$B$881)), 2,0),2,0)</f>
        <v>ASHU VERMA</v>
      </c>
      <c r="H28" s="41" t="str" cm="1">
        <f t="array" ref="H28">VLOOKUP(TRIM($I28), CHOOSE({1,2}, TRIM($D$4:$D$881), CHOOSE(COLUMNS($G$21:H27), TRIM($C$4:$C$881), TRIM($B$4:$B$881)), 2,0),2,0)</f>
        <v>11</v>
      </c>
      <c r="I28" s="63">
        <v>1113887010</v>
      </c>
      <c r="J28" s="61" t="str" cm="1">
        <f t="array" ref="J28">IFERROR(VLOOKUP(TRIM($I28),CHOOSE({1,2},TRIM($D$1:$D$881),TRIM($C$13:$C$881)),2,0),"Data not found")</f>
        <v>KAMAL KUMAR</v>
      </c>
      <c r="K28" s="61" t="str" cm="1">
        <f t="array" ref="K28">IFERROR(VLOOKUP(TRIM($I28),CHOOSE({1,2},TRIM($D$4:$D$881),TRIM($B$13:$B$881)),2,0),"Data not found")</f>
        <v>20</v>
      </c>
      <c r="L28" s="62" t="str" cm="1">
        <f t="array" ref="L28">IFERROR(VLOOKUP(TRIM($I28),CHOOSE({1,2},TRIM($D$4:$D$881),TRIM($F$4:$F$881)),2,0),"Data not found")</f>
        <v>6012</v>
      </c>
      <c r="N28" t="str" cm="1">
        <f t="array" ref="N28">IFERROR(VLOOKUP(VALUE(I28),CHOOSE({1,2},VALUE($D$4:$D$881),$C$4:$C$881),2,0), "")</f>
        <v>ASHU VERMA</v>
      </c>
      <c r="Q28" s="77" t="str" cm="1">
        <f t="array" ref="Q28">IFERROR(VLOOKUP(TRIM($I28),CHOOSE({1,2},$D$4:$D$881,CHOOSE(COLUMNS($Q$21:Q27),TRIM($C$4:$C$881),TRIM($B$4:$B$881),TRIM($F$4:$F$881))),2,0),"")</f>
        <v>ASHU VERMA</v>
      </c>
      <c r="R28" s="77" t="str" cm="1">
        <f t="array" ref="R28">IFERROR(VLOOKUP(TRIM($I28),CHOOSE({1,2},$D$4:$D$881,CHOOSE(COLUMNS($Q$21:R27),TRIM($C$4:$C$881),TRIM($B$4:$B$881),TRIM($F$4:$F$881))),2,0),"")</f>
        <v>11</v>
      </c>
      <c r="S28" s="77" t="str" cm="1">
        <f t="array" ref="S28">IFERROR(VLOOKUP(TRIM($I28),CHOOSE({1,2},$D$4:$D$881,CHOOSE(COLUMNS($Q$21:S27),TRIM($C$4:$C$881),TRIM($B$4:$B$881),TRIM($F$4:$F$881))),2,0),"")</f>
        <v>6012</v>
      </c>
    </row>
    <row r="29" spans="2:19" x14ac:dyDescent="0.3">
      <c r="B29" s="50">
        <f t="shared" si="0"/>
        <v>26</v>
      </c>
      <c r="C29" s="50" t="s">
        <v>123</v>
      </c>
      <c r="D29" s="56" t="s">
        <v>124</v>
      </c>
      <c r="E29" s="50">
        <v>31</v>
      </c>
      <c r="F29" s="50">
        <v>9252</v>
      </c>
      <c r="G29" s="41" t="str" cm="1">
        <f t="array" ref="G29">VLOOKUP(TRIM($I29), CHOOSE({1,2}, TRIM($D$4:$D$881), CHOOSE(COLUMNS($G$21:G28), TRIM($C$4:$C$881), TRIM($B$4:$B$881)), 2,0),2,0)</f>
        <v>AKSHAY H. GORE</v>
      </c>
      <c r="H29" s="41" t="str" cm="1">
        <f t="array" ref="H29">VLOOKUP(TRIM($I29), CHOOSE({1,2}, TRIM($D$4:$D$881), CHOOSE(COLUMNS($G$21:H28), TRIM($C$4:$C$881), TRIM($B$4:$B$881)), 2,0),2,0)</f>
        <v>12</v>
      </c>
      <c r="I29" s="63">
        <v>1113887025</v>
      </c>
      <c r="J29" s="61" t="str" cm="1">
        <f t="array" ref="J29">IFERROR(VLOOKUP(TRIM($I29),CHOOSE({1,2},TRIM($D$1:$D$881),TRIM($C$13:$C$881)),2,0),"Data not found")</f>
        <v>MEENA CHHETRI</v>
      </c>
      <c r="K29" s="61" t="str" cm="1">
        <f t="array" ref="K29">IFERROR(VLOOKUP(TRIM($I29),CHOOSE({1,2},TRIM($D$4:$D$881),TRIM($B$13:$B$881)),2,0),"Data not found")</f>
        <v>21</v>
      </c>
      <c r="L29" s="62" t="str" cm="1">
        <f t="array" ref="L29">IFERROR(VLOOKUP(TRIM($I29),CHOOSE({1,2},TRIM($D$4:$D$881),TRIM($F$4:$F$881)),2,0),"Data not found")</f>
        <v>6656</v>
      </c>
      <c r="N29" t="str" cm="1">
        <f t="array" ref="N29">IFERROR(VLOOKUP(VALUE(I29),CHOOSE({1,2},VALUE($D$4:$D$881),$C$4:$C$881),2,0), "")</f>
        <v>AKSHAY H. GORE</v>
      </c>
      <c r="Q29" s="77" t="str" cm="1">
        <f t="array" ref="Q29">IFERROR(VLOOKUP(TRIM($I29),CHOOSE({1,2},$D$4:$D$881,CHOOSE(COLUMNS($Q$21:Q28),TRIM($C$4:$C$881),TRIM($B$4:$B$881),TRIM($F$4:$F$881))),2,0),"")</f>
        <v>AKSHAY H. GORE</v>
      </c>
      <c r="R29" s="77" t="str" cm="1">
        <f t="array" ref="R29">IFERROR(VLOOKUP(TRIM($I29),CHOOSE({1,2},$D$4:$D$881,CHOOSE(COLUMNS($Q$21:R28),TRIM($C$4:$C$881),TRIM($B$4:$B$881),TRIM($F$4:$F$881))),2,0),"")</f>
        <v>12</v>
      </c>
      <c r="S29" s="77" t="str" cm="1">
        <f t="array" ref="S29">IFERROR(VLOOKUP(TRIM($I29),CHOOSE({1,2},$D$4:$D$881,CHOOSE(COLUMNS($Q$21:S28),TRIM($C$4:$C$881),TRIM($B$4:$B$881),TRIM($F$4:$F$881))),2,0),"")</f>
        <v>6656</v>
      </c>
    </row>
    <row r="30" spans="2:19" x14ac:dyDescent="0.3">
      <c r="B30" s="50">
        <f t="shared" si="0"/>
        <v>27</v>
      </c>
      <c r="C30" s="50" t="s">
        <v>125</v>
      </c>
      <c r="D30" s="56" t="s">
        <v>126</v>
      </c>
      <c r="E30" s="50">
        <v>31</v>
      </c>
      <c r="F30" s="50">
        <v>15115</v>
      </c>
      <c r="G30" s="41" t="str" cm="1">
        <f t="array" ref="G30">VLOOKUP(TRIM($I30), CHOOSE({1,2}, TRIM($D$4:$D$881), CHOOSE(COLUMNS($G$21:G29), TRIM($C$4:$C$881), TRIM($B$4:$B$881)), 2,0),2,0)</f>
        <v>R. RAM KUMAR</v>
      </c>
      <c r="H30" s="41" t="str" cm="1">
        <f t="array" ref="H30">VLOOKUP(TRIM($I30), CHOOSE({1,2}, TRIM($D$4:$D$881), CHOOSE(COLUMNS($G$21:H29), TRIM($C$4:$C$881), TRIM($B$4:$B$881)), 2,0),2,0)</f>
        <v>13</v>
      </c>
      <c r="I30" s="63">
        <v>1113901045</v>
      </c>
      <c r="J30" s="61" t="str" cm="1">
        <f t="array" ref="J30">IFERROR(VLOOKUP(TRIM($I30),CHOOSE({1,2},TRIM($D$1:$D$881),TRIM($C$13:$C$881)),2,0),"Data not found")</f>
        <v>MUNINDRA SINGH</v>
      </c>
      <c r="K30" s="61" t="str" cm="1">
        <f t="array" ref="K30">IFERROR(VLOOKUP(TRIM($I30),CHOOSE({1,2},TRIM($D$4:$D$881),TRIM($B$13:$B$881)),2,0),"Data not found")</f>
        <v>22</v>
      </c>
      <c r="L30" s="62" t="str" cm="1">
        <f t="array" ref="L30">IFERROR(VLOOKUP(TRIM($I30),CHOOSE({1,2},TRIM($D$4:$D$881),TRIM($F$4:$F$881)),2,0),"Data not found")</f>
        <v>7242</v>
      </c>
      <c r="N30" t="str" cm="1">
        <f t="array" ref="N30">IFERROR(VLOOKUP(VALUE(I30),CHOOSE({1,2},VALUE($D$4:$D$881),$C$4:$C$881),2,0), "")</f>
        <v>R. RAM KUMAR</v>
      </c>
      <c r="Q30" s="77" t="str" cm="1">
        <f t="array" ref="Q30">IFERROR(VLOOKUP(TRIM($I30),CHOOSE({1,2},$D$4:$D$881,CHOOSE(COLUMNS($Q$21:Q29),TRIM($C$4:$C$881),TRIM($B$4:$B$881),TRIM($F$4:$F$881))),2,0),"")</f>
        <v>R. RAM KUMAR</v>
      </c>
      <c r="R30" s="77" t="str" cm="1">
        <f t="array" ref="R30">IFERROR(VLOOKUP(TRIM($I30),CHOOSE({1,2},$D$4:$D$881,CHOOSE(COLUMNS($Q$21:R29),TRIM($C$4:$C$881),TRIM($B$4:$B$881),TRIM($F$4:$F$881))),2,0),"")</f>
        <v>13</v>
      </c>
      <c r="S30" s="77" t="str" cm="1">
        <f t="array" ref="S30">IFERROR(VLOOKUP(TRIM($I30),CHOOSE({1,2},$D$4:$D$881,CHOOSE(COLUMNS($Q$21:S29),TRIM($C$4:$C$881),TRIM($B$4:$B$881),TRIM($F$4:$F$881))),2,0),"")</f>
        <v>7242</v>
      </c>
    </row>
    <row r="31" spans="2:19" x14ac:dyDescent="0.3">
      <c r="B31" s="50">
        <f t="shared" si="0"/>
        <v>28</v>
      </c>
      <c r="C31" s="50" t="s">
        <v>127</v>
      </c>
      <c r="D31" s="56" t="s">
        <v>128</v>
      </c>
      <c r="E31" s="50">
        <v>31</v>
      </c>
      <c r="F31" s="50">
        <v>6656</v>
      </c>
      <c r="G31" s="41" t="str" cm="1">
        <f t="array" ref="G31">VLOOKUP(TRIM($I31), CHOOSE({1,2}, TRIM($D$4:$D$881), CHOOSE(COLUMNS($G$21:G30), TRIM($C$4:$C$881), TRIM($B$4:$B$881)), 2,0),2,0)</f>
        <v>CHRISTOPHER JOHN</v>
      </c>
      <c r="H31" s="41" t="str" cm="1">
        <f t="array" ref="H31">VLOOKUP(TRIM($I31), CHOOSE({1,2}, TRIM($D$4:$D$881), CHOOSE(COLUMNS($G$21:H30), TRIM($C$4:$C$881), TRIM($B$4:$B$881)), 2,0),2,0)</f>
        <v>16</v>
      </c>
      <c r="I31" s="63">
        <v>1113921610</v>
      </c>
      <c r="J31" s="61" t="str" cm="1">
        <f t="array" ref="J31">IFERROR(VLOOKUP(TRIM($I31),CHOOSE({1,2},TRIM($D$1:$D$881),TRIM($C$13:$C$881)),2,0),"Data not found")</f>
        <v>AJAY PRATAP</v>
      </c>
      <c r="K31" s="61" t="str" cm="1">
        <f t="array" ref="K31">IFERROR(VLOOKUP(TRIM($I31),CHOOSE({1,2},TRIM($D$4:$D$881),TRIM($B$13:$B$881)),2,0),"Data not found")</f>
        <v>25</v>
      </c>
      <c r="L31" s="62" t="str" cm="1">
        <f t="array" ref="L31">IFERROR(VLOOKUP(TRIM($I31),CHOOSE({1,2},TRIM($D$4:$D$881),TRIM($F$4:$F$881)),2,0),"Data not found")</f>
        <v>644</v>
      </c>
      <c r="N31" t="str" cm="1">
        <f t="array" ref="N31">IFERROR(VLOOKUP(VALUE(I31),CHOOSE({1,2},VALUE($D$4:$D$881),$C$4:$C$881),2,0), "")</f>
        <v>CHRISTOPHER JOHN</v>
      </c>
      <c r="Q31" s="77" t="str" cm="1">
        <f t="array" ref="Q31">IFERROR(VLOOKUP(TRIM($I31),CHOOSE({1,2},$D$4:$D$881,CHOOSE(COLUMNS($Q$21:Q30),TRIM($C$4:$C$881),TRIM($B$4:$B$881),TRIM($F$4:$F$881))),2,0),"")</f>
        <v>CHRISTOPHER JOHN</v>
      </c>
      <c r="R31" s="77" t="str" cm="1">
        <f t="array" ref="R31">IFERROR(VLOOKUP(TRIM($I31),CHOOSE({1,2},$D$4:$D$881,CHOOSE(COLUMNS($Q$21:R30),TRIM($C$4:$C$881),TRIM($B$4:$B$881),TRIM($F$4:$F$881))),2,0),"")</f>
        <v>16</v>
      </c>
      <c r="S31" s="77" t="str" cm="1">
        <f t="array" ref="S31">IFERROR(VLOOKUP(TRIM($I31),CHOOSE({1,2},$D$4:$D$881,CHOOSE(COLUMNS($Q$21:S30),TRIM($C$4:$C$881),TRIM($B$4:$B$881),TRIM($F$4:$F$881))),2,0),"")</f>
        <v>644</v>
      </c>
    </row>
    <row r="32" spans="2:19" x14ac:dyDescent="0.3">
      <c r="B32" s="50">
        <f t="shared" si="0"/>
        <v>29</v>
      </c>
      <c r="C32" s="50" t="s">
        <v>129</v>
      </c>
      <c r="D32" s="56" t="s">
        <v>130</v>
      </c>
      <c r="E32" s="50">
        <v>31</v>
      </c>
      <c r="F32" s="50">
        <v>12277</v>
      </c>
      <c r="G32" s="41" t="str" cm="1">
        <f t="array" ref="G32">VLOOKUP(TRIM($I32), CHOOSE({1,2}, TRIM($D$4:$D$881), CHOOSE(COLUMNS($G$21:G31), TRIM($C$4:$C$881), TRIM($B$4:$B$881)), 2,0),2,0)</f>
        <v>KAPIL VERMA</v>
      </c>
      <c r="H32" s="41" t="str" cm="1">
        <f t="array" ref="H32">VLOOKUP(TRIM($I32), CHOOSE({1,2}, TRIM($D$4:$D$881), CHOOSE(COLUMNS($G$21:H31), TRIM($C$4:$C$881), TRIM($B$4:$B$881)), 2,0),2,0)</f>
        <v>18</v>
      </c>
      <c r="I32" s="63">
        <v>1112572293</v>
      </c>
      <c r="J32" s="61" t="str" cm="1">
        <f t="array" ref="J32">IFERROR(VLOOKUP(TRIM($I32),CHOOSE({1,2},TRIM($D$1:$D$881),TRIM($C$13:$C$881)),2,0),"Data not found")</f>
        <v>RICHI GUPTA</v>
      </c>
      <c r="K32" s="61" t="str" cm="1">
        <f t="array" ref="K32">IFERROR(VLOOKUP(TRIM($I32),CHOOSE({1,2},TRIM($D$4:$D$881),TRIM($B$13:$B$881)),2,0),"Data not found")</f>
        <v>27</v>
      </c>
      <c r="L32" s="62" t="str" cm="1">
        <f t="array" ref="L32">IFERROR(VLOOKUP(TRIM($I32),CHOOSE({1,2},TRIM($D$4:$D$881),TRIM($F$4:$F$881)),2,0),"Data not found")</f>
        <v>11444</v>
      </c>
      <c r="N32" t="str" cm="1">
        <f t="array" ref="N32">IFERROR(VLOOKUP(VALUE(I32),CHOOSE({1,2},VALUE($D$4:$D$881),$C$4:$C$881),2,0), "")</f>
        <v>KAPIL VERMA</v>
      </c>
      <c r="Q32" s="77" t="str" cm="1">
        <f t="array" ref="Q32">IFERROR(VLOOKUP(TRIM($I32),CHOOSE({1,2},$D$4:$D$881,CHOOSE(COLUMNS($Q$21:Q31),TRIM($C$4:$C$881),TRIM($B$4:$B$881),TRIM($F$4:$F$881))),2,0),"")</f>
        <v>KAPIL VERMA</v>
      </c>
      <c r="R32" s="77" t="str" cm="1">
        <f t="array" ref="R32">IFERROR(VLOOKUP(TRIM($I32),CHOOSE({1,2},$D$4:$D$881,CHOOSE(COLUMNS($Q$21:R31),TRIM($C$4:$C$881),TRIM($B$4:$B$881),TRIM($F$4:$F$881))),2,0),"")</f>
        <v>18</v>
      </c>
      <c r="S32" s="77" t="str" cm="1">
        <f t="array" ref="S32">IFERROR(VLOOKUP(TRIM($I32),CHOOSE({1,2},$D$4:$D$881,CHOOSE(COLUMNS($Q$21:S31),TRIM($C$4:$C$881),TRIM($B$4:$B$881),TRIM($F$4:$F$881))),2,0),"")</f>
        <v>11444</v>
      </c>
    </row>
    <row r="33" spans="2:19" x14ac:dyDescent="0.3">
      <c r="B33" s="50">
        <f t="shared" si="0"/>
        <v>30</v>
      </c>
      <c r="C33" s="50" t="s">
        <v>131</v>
      </c>
      <c r="D33" s="56" t="s">
        <v>132</v>
      </c>
      <c r="E33" s="50">
        <v>31</v>
      </c>
      <c r="F33" s="50">
        <v>10673</v>
      </c>
      <c r="G33" s="41" t="str" cm="1">
        <f t="array" ref="G33">VLOOKUP(TRIM($I33), CHOOSE({1,2}, TRIM($D$4:$D$881), CHOOSE(COLUMNS($G$21:G32), TRIM($C$4:$C$881), TRIM($B$4:$B$881)), 2,0),2,0)</f>
        <v>NEHA KAPOOR</v>
      </c>
      <c r="H33" s="41" t="str" cm="1">
        <f t="array" ref="H33">VLOOKUP(TRIM($I33), CHOOSE({1,2}, TRIM($D$4:$D$881), CHOOSE(COLUMNS($G$21:H32), TRIM($C$4:$C$881), TRIM($B$4:$B$881)), 2,0),2,0)</f>
        <v>19</v>
      </c>
      <c r="I33" s="63">
        <v>1112572326</v>
      </c>
      <c r="J33" s="61" t="str" cm="1">
        <f t="array" ref="J33">IFERROR(VLOOKUP(TRIM($I33),CHOOSE({1,2},TRIM($D$1:$D$881),TRIM($C$13:$C$881)),2,0),"Data not found")</f>
        <v>PANKAJ KUMAR</v>
      </c>
      <c r="K33" s="61" t="str" cm="1">
        <f t="array" ref="K33">IFERROR(VLOOKUP(TRIM($I33),CHOOSE({1,2},TRIM($D$4:$D$881),TRIM($B$13:$B$881)),2,0),"Data not found")</f>
        <v>28</v>
      </c>
      <c r="L33" s="62" t="str" cm="1">
        <f t="array" ref="L33">IFERROR(VLOOKUP(TRIM($I33),CHOOSE({1,2},TRIM($D$4:$D$881),TRIM($F$4:$F$881)),2,0),"Data not found")</f>
        <v>11074</v>
      </c>
      <c r="N33" t="str" cm="1">
        <f t="array" ref="N33">IFERROR(VLOOKUP(VALUE(I33),CHOOSE({1,2},VALUE($D$4:$D$881),$C$4:$C$881),2,0), "")</f>
        <v>NEHA KAPOOR</v>
      </c>
      <c r="Q33" s="77" t="str" cm="1">
        <f t="array" ref="Q33">IFERROR(VLOOKUP(TRIM($I33),CHOOSE({1,2},$D$4:$D$881,CHOOSE(COLUMNS($Q$21:Q32),TRIM($C$4:$C$881),TRIM($B$4:$B$881),TRIM($F$4:$F$881))),2,0),"")</f>
        <v>NEHA KAPOOR</v>
      </c>
      <c r="R33" s="77" t="str" cm="1">
        <f t="array" ref="R33">IFERROR(VLOOKUP(TRIM($I33),CHOOSE({1,2},$D$4:$D$881,CHOOSE(COLUMNS($Q$21:R32),TRIM($C$4:$C$881),TRIM($B$4:$B$881),TRIM($F$4:$F$881))),2,0),"")</f>
        <v>19</v>
      </c>
      <c r="S33" s="77" t="str" cm="1">
        <f t="array" ref="S33">IFERROR(VLOOKUP(TRIM($I33),CHOOSE({1,2},$D$4:$D$881,CHOOSE(COLUMNS($Q$21:S32),TRIM($C$4:$C$881),TRIM($B$4:$B$881),TRIM($F$4:$F$881))),2,0),"")</f>
        <v>11074</v>
      </c>
    </row>
    <row r="34" spans="2:19" x14ac:dyDescent="0.3">
      <c r="B34" s="50">
        <f t="shared" si="0"/>
        <v>31</v>
      </c>
      <c r="C34" s="50" t="s">
        <v>133</v>
      </c>
      <c r="D34" s="56" t="s">
        <v>134</v>
      </c>
      <c r="E34" s="50">
        <v>31</v>
      </c>
      <c r="F34" s="50">
        <v>9961</v>
      </c>
      <c r="G34" s="41" t="str" cm="1">
        <f t="array" ref="G34">VLOOKUP(TRIM($I34), CHOOSE({1,2}, TRIM($D$4:$D$881), CHOOSE(COLUMNS($G$21:G33), TRIM($C$4:$C$881), TRIM($B$4:$B$881)), 2,0),2,0)</f>
        <v>HARISH PAL</v>
      </c>
      <c r="H34" s="41" t="str" cm="1">
        <f t="array" ref="H34">VLOOKUP(TRIM($I34), CHOOSE({1,2}, TRIM($D$4:$D$881), CHOOSE(COLUMNS($G$21:H33), TRIM($C$4:$C$881), TRIM($B$4:$B$881)), 2,0),2,0)</f>
        <v>20</v>
      </c>
      <c r="I34" s="63">
        <v>1112572277</v>
      </c>
      <c r="J34" s="61" t="str" cm="1">
        <f t="array" ref="J34">IFERROR(VLOOKUP(TRIM($I34),CHOOSE({1,2},TRIM($D$1:$D$881),TRIM($C$13:$C$881)),2,0),"Data not found")</f>
        <v>UJAGAR SINGH PANWAR</v>
      </c>
      <c r="K34" s="61" t="str" cm="1">
        <f t="array" ref="K34">IFERROR(VLOOKUP(TRIM($I34),CHOOSE({1,2},TRIM($D$4:$D$881),TRIM($B$13:$B$881)),2,0),"Data not found")</f>
        <v>29</v>
      </c>
      <c r="L34" s="62" t="str" cm="1">
        <f t="array" ref="L34">IFERROR(VLOOKUP(TRIM($I34),CHOOSE({1,2},TRIM($D$4:$D$881),TRIM($F$4:$F$881)),2,0),"Data not found")</f>
        <v>13109</v>
      </c>
      <c r="N34" t="str" cm="1">
        <f t="array" ref="N34">IFERROR(VLOOKUP(VALUE(I34),CHOOSE({1,2},VALUE($D$4:$D$881),$C$4:$C$881),2,0), "")</f>
        <v>HARISH PAL</v>
      </c>
      <c r="Q34" s="77" t="str" cm="1">
        <f t="array" ref="Q34">IFERROR(VLOOKUP(TRIM($I34),CHOOSE({1,2},$D$4:$D$881,CHOOSE(COLUMNS($Q$21:Q33),TRIM($C$4:$C$881),TRIM($B$4:$B$881),TRIM($F$4:$F$881))),2,0),"")</f>
        <v>HARISH PAL</v>
      </c>
      <c r="R34" s="77" t="str" cm="1">
        <f t="array" ref="R34">IFERROR(VLOOKUP(TRIM($I34),CHOOSE({1,2},$D$4:$D$881,CHOOSE(COLUMNS($Q$21:R33),TRIM($C$4:$C$881),TRIM($B$4:$B$881),TRIM($F$4:$F$881))),2,0),"")</f>
        <v>20</v>
      </c>
      <c r="S34" s="77" t="str" cm="1">
        <f t="array" ref="S34">IFERROR(VLOOKUP(TRIM($I34),CHOOSE({1,2},$D$4:$D$881,CHOOSE(COLUMNS($Q$21:S33),TRIM($C$4:$C$881),TRIM($B$4:$B$881),TRIM($F$4:$F$881))),2,0),"")</f>
        <v>13109</v>
      </c>
    </row>
    <row r="35" spans="2:19" x14ac:dyDescent="0.3">
      <c r="B35" s="50">
        <f t="shared" si="0"/>
        <v>32</v>
      </c>
      <c r="C35" s="50" t="s">
        <v>135</v>
      </c>
      <c r="D35" s="56" t="s">
        <v>136</v>
      </c>
      <c r="E35" s="50">
        <v>28</v>
      </c>
      <c r="F35" s="50">
        <v>7167</v>
      </c>
    </row>
    <row r="36" spans="2:19" x14ac:dyDescent="0.3">
      <c r="B36" s="50">
        <f t="shared" si="0"/>
        <v>33</v>
      </c>
      <c r="C36" s="50" t="s">
        <v>137</v>
      </c>
      <c r="D36" s="56" t="s">
        <v>138</v>
      </c>
      <c r="E36" s="50">
        <v>31</v>
      </c>
      <c r="F36" s="50">
        <v>9311</v>
      </c>
    </row>
    <row r="37" spans="2:19" x14ac:dyDescent="0.3">
      <c r="B37" s="50">
        <f t="shared" si="0"/>
        <v>34</v>
      </c>
      <c r="C37" s="50" t="s">
        <v>139</v>
      </c>
      <c r="D37" s="56" t="s">
        <v>140</v>
      </c>
      <c r="E37" s="50">
        <v>31</v>
      </c>
      <c r="F37" s="50">
        <v>12531</v>
      </c>
    </row>
    <row r="38" spans="2:19" x14ac:dyDescent="0.3">
      <c r="B38" s="50">
        <f t="shared" si="0"/>
        <v>35</v>
      </c>
      <c r="C38" s="50" t="s">
        <v>141</v>
      </c>
      <c r="D38" s="56" t="s">
        <v>142</v>
      </c>
      <c r="E38" s="50">
        <v>31</v>
      </c>
      <c r="F38" s="50">
        <v>6656</v>
      </c>
    </row>
    <row r="39" spans="2:19" x14ac:dyDescent="0.3">
      <c r="B39" s="50">
        <f t="shared" si="0"/>
        <v>36</v>
      </c>
      <c r="C39" s="50" t="s">
        <v>143</v>
      </c>
      <c r="D39" s="56" t="s">
        <v>144</v>
      </c>
      <c r="E39" s="50">
        <v>31</v>
      </c>
      <c r="F39" s="50">
        <v>9588</v>
      </c>
    </row>
    <row r="40" spans="2:19" x14ac:dyDescent="0.3">
      <c r="B40" s="50">
        <f t="shared" si="0"/>
        <v>37</v>
      </c>
      <c r="C40" s="50" t="s">
        <v>145</v>
      </c>
      <c r="D40" s="56" t="s">
        <v>146</v>
      </c>
      <c r="E40" s="50">
        <v>31</v>
      </c>
      <c r="F40" s="50">
        <v>6897</v>
      </c>
    </row>
    <row r="41" spans="2:19" x14ac:dyDescent="0.3">
      <c r="B41" s="50">
        <f t="shared" si="0"/>
        <v>38</v>
      </c>
      <c r="C41" s="50" t="s">
        <v>147</v>
      </c>
      <c r="D41" s="56" t="s">
        <v>148</v>
      </c>
      <c r="E41" s="50">
        <v>31</v>
      </c>
      <c r="F41" s="50">
        <v>8385</v>
      </c>
    </row>
    <row r="42" spans="2:19" x14ac:dyDescent="0.3">
      <c r="B42" s="50">
        <f t="shared" si="0"/>
        <v>39</v>
      </c>
      <c r="C42" s="50" t="s">
        <v>149</v>
      </c>
      <c r="D42" s="56" t="s">
        <v>150</v>
      </c>
      <c r="E42" s="50">
        <v>30</v>
      </c>
      <c r="F42" s="50">
        <v>8679</v>
      </c>
    </row>
    <row r="43" spans="2:19" x14ac:dyDescent="0.3">
      <c r="B43" s="50">
        <f t="shared" si="0"/>
        <v>40</v>
      </c>
      <c r="C43" s="50" t="s">
        <v>151</v>
      </c>
      <c r="D43" s="56" t="s">
        <v>152</v>
      </c>
      <c r="E43" s="50">
        <v>31</v>
      </c>
      <c r="F43" s="50">
        <v>8385</v>
      </c>
    </row>
    <row r="44" spans="2:19" x14ac:dyDescent="0.3">
      <c r="B44" s="50">
        <f t="shared" si="0"/>
        <v>41</v>
      </c>
      <c r="C44" s="50" t="s">
        <v>153</v>
      </c>
      <c r="D44" s="56" t="s">
        <v>154</v>
      </c>
      <c r="E44" s="50">
        <v>31</v>
      </c>
      <c r="F44" s="50">
        <v>7842</v>
      </c>
    </row>
    <row r="45" spans="2:19" x14ac:dyDescent="0.3">
      <c r="B45" s="50">
        <f t="shared" si="0"/>
        <v>42</v>
      </c>
      <c r="C45" s="50" t="s">
        <v>155</v>
      </c>
      <c r="D45" s="56" t="s">
        <v>156</v>
      </c>
      <c r="E45" s="50">
        <v>31</v>
      </c>
      <c r="F45" s="50">
        <v>6656</v>
      </c>
    </row>
    <row r="46" spans="2:19" x14ac:dyDescent="0.3">
      <c r="B46" s="50">
        <f t="shared" si="0"/>
        <v>43</v>
      </c>
      <c r="C46" s="50" t="s">
        <v>157</v>
      </c>
      <c r="D46" s="56" t="s">
        <v>158</v>
      </c>
      <c r="E46" s="50">
        <v>31</v>
      </c>
      <c r="F46" s="50">
        <v>10400</v>
      </c>
    </row>
    <row r="47" spans="2:19" x14ac:dyDescent="0.3">
      <c r="B47" s="50">
        <f t="shared" si="0"/>
        <v>44</v>
      </c>
      <c r="C47" s="50" t="s">
        <v>159</v>
      </c>
      <c r="D47" s="56" t="s">
        <v>160</v>
      </c>
      <c r="E47" s="50">
        <v>31</v>
      </c>
      <c r="F47" s="50">
        <v>13550</v>
      </c>
    </row>
    <row r="48" spans="2:19" x14ac:dyDescent="0.3">
      <c r="B48" s="50">
        <f t="shared" si="0"/>
        <v>45</v>
      </c>
      <c r="C48" s="50" t="s">
        <v>161</v>
      </c>
      <c r="D48" s="56" t="s">
        <v>162</v>
      </c>
      <c r="E48" s="50">
        <v>31</v>
      </c>
      <c r="F48" s="50">
        <v>10581</v>
      </c>
    </row>
    <row r="49" spans="2:6" x14ac:dyDescent="0.3">
      <c r="B49" s="50">
        <f t="shared" si="0"/>
        <v>46</v>
      </c>
      <c r="C49" s="50" t="s">
        <v>163</v>
      </c>
      <c r="D49" s="56" t="s">
        <v>164</v>
      </c>
      <c r="E49" s="50">
        <v>31</v>
      </c>
      <c r="F49" s="50">
        <v>8000</v>
      </c>
    </row>
    <row r="50" spans="2:6" x14ac:dyDescent="0.3">
      <c r="B50" s="50">
        <f t="shared" si="0"/>
        <v>47</v>
      </c>
      <c r="C50" s="50" t="s">
        <v>165</v>
      </c>
      <c r="D50" s="56" t="s">
        <v>166</v>
      </c>
      <c r="E50" s="50">
        <v>31</v>
      </c>
      <c r="F50" s="50">
        <v>8000</v>
      </c>
    </row>
    <row r="51" spans="2:6" x14ac:dyDescent="0.3">
      <c r="B51" s="50">
        <f t="shared" si="0"/>
        <v>48</v>
      </c>
      <c r="C51" s="50" t="s">
        <v>167</v>
      </c>
      <c r="D51" s="56" t="s">
        <v>168</v>
      </c>
      <c r="E51" s="50">
        <v>31</v>
      </c>
      <c r="F51" s="50">
        <v>7022</v>
      </c>
    </row>
    <row r="52" spans="2:6" x14ac:dyDescent="0.3">
      <c r="B52" s="50">
        <f t="shared" si="0"/>
        <v>49</v>
      </c>
      <c r="C52" s="50" t="s">
        <v>169</v>
      </c>
      <c r="D52" s="56" t="s">
        <v>170</v>
      </c>
      <c r="E52" s="50">
        <v>23</v>
      </c>
      <c r="F52" s="50">
        <v>4939</v>
      </c>
    </row>
    <row r="53" spans="2:6" x14ac:dyDescent="0.3">
      <c r="B53" s="50">
        <f t="shared" si="0"/>
        <v>50</v>
      </c>
      <c r="C53" s="50" t="s">
        <v>171</v>
      </c>
      <c r="D53" s="56" t="s">
        <v>172</v>
      </c>
      <c r="E53" s="50">
        <v>24</v>
      </c>
      <c r="F53" s="50">
        <v>6133</v>
      </c>
    </row>
    <row r="54" spans="2:6" x14ac:dyDescent="0.3">
      <c r="B54" s="50">
        <f t="shared" si="0"/>
        <v>51</v>
      </c>
      <c r="C54" s="50" t="s">
        <v>173</v>
      </c>
      <c r="D54" s="56" t="s">
        <v>174</v>
      </c>
      <c r="E54" s="50">
        <v>0</v>
      </c>
      <c r="F54" s="50">
        <v>0</v>
      </c>
    </row>
    <row r="55" spans="2:6" x14ac:dyDescent="0.3">
      <c r="B55" s="50">
        <f t="shared" si="0"/>
        <v>52</v>
      </c>
      <c r="C55" s="50" t="s">
        <v>175</v>
      </c>
      <c r="D55" s="56" t="s">
        <v>176</v>
      </c>
      <c r="E55" s="50">
        <v>31</v>
      </c>
      <c r="F55" s="50">
        <v>7650</v>
      </c>
    </row>
    <row r="56" spans="2:6" x14ac:dyDescent="0.3">
      <c r="B56" s="50">
        <f t="shared" si="0"/>
        <v>53</v>
      </c>
      <c r="C56" s="50" t="s">
        <v>177</v>
      </c>
      <c r="D56" s="56" t="s">
        <v>178</v>
      </c>
      <c r="E56" s="50">
        <v>16</v>
      </c>
      <c r="F56" s="50">
        <v>6304</v>
      </c>
    </row>
    <row r="57" spans="2:6" x14ac:dyDescent="0.3">
      <c r="B57" s="50">
        <f t="shared" si="0"/>
        <v>54</v>
      </c>
      <c r="C57" s="50" t="s">
        <v>179</v>
      </c>
      <c r="D57" s="56" t="s">
        <v>180</v>
      </c>
      <c r="E57" s="50">
        <v>16</v>
      </c>
      <c r="F57" s="50">
        <v>3436</v>
      </c>
    </row>
    <row r="58" spans="2:6" x14ac:dyDescent="0.3">
      <c r="B58" s="50">
        <f t="shared" si="0"/>
        <v>55</v>
      </c>
      <c r="C58" s="50" t="s">
        <v>181</v>
      </c>
      <c r="D58" s="56" t="s">
        <v>182</v>
      </c>
      <c r="E58" s="50">
        <v>26</v>
      </c>
      <c r="F58" s="50">
        <v>10243</v>
      </c>
    </row>
    <row r="59" spans="2:6" x14ac:dyDescent="0.3">
      <c r="B59" s="50">
        <f t="shared" si="0"/>
        <v>56</v>
      </c>
      <c r="C59" s="50" t="s">
        <v>183</v>
      </c>
      <c r="D59" s="56" t="s">
        <v>184</v>
      </c>
      <c r="E59" s="50">
        <v>24</v>
      </c>
      <c r="F59" s="50">
        <v>5153</v>
      </c>
    </row>
    <row r="60" spans="2:6" x14ac:dyDescent="0.3">
      <c r="B60" s="50">
        <f t="shared" si="0"/>
        <v>57</v>
      </c>
      <c r="C60" s="50" t="s">
        <v>185</v>
      </c>
      <c r="D60" s="56" t="s">
        <v>186</v>
      </c>
      <c r="E60" s="50">
        <v>22</v>
      </c>
      <c r="F60" s="50">
        <v>5742</v>
      </c>
    </row>
    <row r="61" spans="2:6" x14ac:dyDescent="0.3">
      <c r="B61" s="50">
        <f t="shared" si="0"/>
        <v>58</v>
      </c>
      <c r="C61" s="50" t="s">
        <v>187</v>
      </c>
      <c r="D61" s="56" t="s">
        <v>188</v>
      </c>
      <c r="E61" s="50">
        <v>30</v>
      </c>
      <c r="F61" s="50">
        <v>6441</v>
      </c>
    </row>
    <row r="62" spans="2:6" x14ac:dyDescent="0.3">
      <c r="B62" s="50">
        <f t="shared" si="0"/>
        <v>59</v>
      </c>
      <c r="C62" s="50" t="s">
        <v>189</v>
      </c>
      <c r="D62" s="56" t="s">
        <v>190</v>
      </c>
      <c r="E62" s="50">
        <v>0</v>
      </c>
      <c r="F62" s="50">
        <v>0</v>
      </c>
    </row>
    <row r="63" spans="2:6" x14ac:dyDescent="0.3">
      <c r="B63" s="50">
        <f t="shared" si="0"/>
        <v>60</v>
      </c>
      <c r="C63" s="50" t="s">
        <v>191</v>
      </c>
      <c r="D63" s="56" t="s">
        <v>192</v>
      </c>
      <c r="E63" s="50">
        <v>0</v>
      </c>
      <c r="F63" s="50">
        <v>0</v>
      </c>
    </row>
    <row r="64" spans="2:6" x14ac:dyDescent="0.3">
      <c r="B64" s="50">
        <f t="shared" si="0"/>
        <v>61</v>
      </c>
      <c r="C64" s="50" t="s">
        <v>193</v>
      </c>
      <c r="D64" s="56" t="s">
        <v>194</v>
      </c>
      <c r="E64" s="50">
        <v>0</v>
      </c>
      <c r="F64" s="50">
        <v>0</v>
      </c>
    </row>
    <row r="65" spans="2:6" x14ac:dyDescent="0.3">
      <c r="B65" s="50">
        <f t="shared" si="0"/>
        <v>62</v>
      </c>
      <c r="C65" s="50" t="s">
        <v>195</v>
      </c>
      <c r="D65" s="56" t="s">
        <v>196</v>
      </c>
      <c r="E65" s="50">
        <v>0</v>
      </c>
      <c r="F65" s="50">
        <v>0</v>
      </c>
    </row>
    <row r="66" spans="2:6" x14ac:dyDescent="0.3">
      <c r="B66" s="50">
        <f t="shared" si="0"/>
        <v>63</v>
      </c>
      <c r="C66" s="50" t="s">
        <v>197</v>
      </c>
      <c r="D66" s="56" t="s">
        <v>198</v>
      </c>
      <c r="E66" s="50">
        <v>0</v>
      </c>
      <c r="F66" s="50">
        <v>0</v>
      </c>
    </row>
    <row r="67" spans="2:6" x14ac:dyDescent="0.3">
      <c r="B67" s="50">
        <f t="shared" si="0"/>
        <v>64</v>
      </c>
      <c r="C67" s="50" t="s">
        <v>199</v>
      </c>
      <c r="D67" s="56" t="s">
        <v>200</v>
      </c>
      <c r="E67" s="50">
        <v>22</v>
      </c>
      <c r="F67" s="50">
        <v>5465</v>
      </c>
    </row>
    <row r="68" spans="2:6" x14ac:dyDescent="0.3">
      <c r="B68" s="50">
        <f t="shared" si="0"/>
        <v>65</v>
      </c>
      <c r="C68" s="50" t="s">
        <v>201</v>
      </c>
      <c r="D68" s="56" t="s">
        <v>202</v>
      </c>
      <c r="E68" s="50">
        <v>0</v>
      </c>
      <c r="F68" s="50">
        <v>0</v>
      </c>
    </row>
    <row r="69" spans="2:6" x14ac:dyDescent="0.3">
      <c r="B69" s="50">
        <f t="shared" si="0"/>
        <v>66</v>
      </c>
      <c r="C69" s="50" t="s">
        <v>203</v>
      </c>
      <c r="D69" s="56" t="s">
        <v>204</v>
      </c>
      <c r="E69" s="50">
        <v>0</v>
      </c>
      <c r="F69" s="50">
        <v>0</v>
      </c>
    </row>
    <row r="70" spans="2:6" x14ac:dyDescent="0.3">
      <c r="B70" s="50">
        <f t="shared" ref="B70:B133" si="1">+B69+1</f>
        <v>67</v>
      </c>
      <c r="C70" s="50" t="s">
        <v>205</v>
      </c>
      <c r="D70" s="56" t="s">
        <v>206</v>
      </c>
      <c r="E70" s="50">
        <v>23</v>
      </c>
      <c r="F70" s="50">
        <v>4939</v>
      </c>
    </row>
    <row r="71" spans="2:6" x14ac:dyDescent="0.3">
      <c r="B71" s="50">
        <f t="shared" si="1"/>
        <v>68</v>
      </c>
      <c r="C71" s="50" t="s">
        <v>207</v>
      </c>
      <c r="D71" s="56" t="s">
        <v>208</v>
      </c>
      <c r="E71" s="50">
        <v>0</v>
      </c>
      <c r="F71" s="50">
        <v>0</v>
      </c>
    </row>
    <row r="72" spans="2:6" x14ac:dyDescent="0.3">
      <c r="B72" s="50">
        <f t="shared" si="1"/>
        <v>69</v>
      </c>
      <c r="C72" s="50" t="s">
        <v>209</v>
      </c>
      <c r="D72" s="56" t="s">
        <v>210</v>
      </c>
      <c r="E72" s="50">
        <v>0</v>
      </c>
      <c r="F72" s="50">
        <v>0</v>
      </c>
    </row>
    <row r="73" spans="2:6" x14ac:dyDescent="0.3">
      <c r="B73" s="50">
        <f t="shared" si="1"/>
        <v>70</v>
      </c>
      <c r="C73" s="50" t="s">
        <v>211</v>
      </c>
      <c r="D73" s="56" t="s">
        <v>212</v>
      </c>
      <c r="E73" s="50">
        <v>16</v>
      </c>
      <c r="F73" s="50">
        <v>3436</v>
      </c>
    </row>
    <row r="74" spans="2:6" x14ac:dyDescent="0.3">
      <c r="B74" s="50">
        <f t="shared" si="1"/>
        <v>71</v>
      </c>
      <c r="C74" s="50" t="s">
        <v>213</v>
      </c>
      <c r="D74" s="56" t="s">
        <v>214</v>
      </c>
      <c r="E74" s="50">
        <v>31</v>
      </c>
      <c r="F74" s="50">
        <v>6922</v>
      </c>
    </row>
    <row r="75" spans="2:6" x14ac:dyDescent="0.3">
      <c r="B75" s="50">
        <f t="shared" si="1"/>
        <v>72</v>
      </c>
      <c r="C75" s="50" t="s">
        <v>215</v>
      </c>
      <c r="D75" s="56" t="s">
        <v>216</v>
      </c>
      <c r="E75" s="50">
        <v>30</v>
      </c>
      <c r="F75" s="50">
        <v>6441</v>
      </c>
    </row>
    <row r="76" spans="2:6" x14ac:dyDescent="0.3">
      <c r="B76" s="50">
        <f t="shared" si="1"/>
        <v>73</v>
      </c>
      <c r="C76" s="50" t="s">
        <v>199</v>
      </c>
      <c r="D76" s="56" t="s">
        <v>217</v>
      </c>
      <c r="E76" s="50">
        <v>25</v>
      </c>
      <c r="F76" s="50">
        <v>5368</v>
      </c>
    </row>
    <row r="77" spans="2:6" x14ac:dyDescent="0.3">
      <c r="B77" s="50">
        <f t="shared" si="1"/>
        <v>74</v>
      </c>
      <c r="C77" s="50" t="s">
        <v>218</v>
      </c>
      <c r="D77" s="56" t="s">
        <v>219</v>
      </c>
      <c r="E77" s="50">
        <v>23</v>
      </c>
      <c r="F77" s="50">
        <v>4939</v>
      </c>
    </row>
    <row r="78" spans="2:6" x14ac:dyDescent="0.3">
      <c r="B78" s="50">
        <f t="shared" si="1"/>
        <v>75</v>
      </c>
      <c r="C78" s="50" t="s">
        <v>220</v>
      </c>
      <c r="D78" s="56" t="s">
        <v>221</v>
      </c>
      <c r="E78" s="50">
        <v>31</v>
      </c>
      <c r="F78" s="50">
        <v>9893</v>
      </c>
    </row>
    <row r="79" spans="2:6" x14ac:dyDescent="0.3">
      <c r="B79" s="50">
        <f t="shared" si="1"/>
        <v>76</v>
      </c>
      <c r="C79" s="50" t="s">
        <v>222</v>
      </c>
      <c r="D79" s="56" t="s">
        <v>223</v>
      </c>
      <c r="E79" s="50">
        <v>18</v>
      </c>
      <c r="F79" s="50">
        <v>5911</v>
      </c>
    </row>
    <row r="80" spans="2:6" x14ac:dyDescent="0.3">
      <c r="B80" s="50">
        <f t="shared" si="1"/>
        <v>77</v>
      </c>
      <c r="C80" s="50" t="s">
        <v>224</v>
      </c>
      <c r="D80" s="56" t="s">
        <v>225</v>
      </c>
      <c r="E80" s="50">
        <v>31</v>
      </c>
      <c r="F80" s="50">
        <v>6656</v>
      </c>
    </row>
    <row r="81" spans="2:6" x14ac:dyDescent="0.3">
      <c r="B81" s="50">
        <f t="shared" si="1"/>
        <v>78</v>
      </c>
      <c r="C81" s="50" t="s">
        <v>226</v>
      </c>
      <c r="D81" s="56" t="s">
        <v>227</v>
      </c>
      <c r="E81" s="50">
        <v>31</v>
      </c>
      <c r="F81" s="50">
        <v>6656</v>
      </c>
    </row>
    <row r="82" spans="2:6" x14ac:dyDescent="0.3">
      <c r="B82" s="50">
        <f t="shared" si="1"/>
        <v>79</v>
      </c>
      <c r="C82" s="50" t="s">
        <v>228</v>
      </c>
      <c r="D82" s="56" t="s">
        <v>229</v>
      </c>
      <c r="E82" s="50">
        <v>31</v>
      </c>
      <c r="F82" s="50">
        <v>6656</v>
      </c>
    </row>
    <row r="83" spans="2:6" x14ac:dyDescent="0.3">
      <c r="B83" s="50">
        <f t="shared" si="1"/>
        <v>80</v>
      </c>
      <c r="C83" s="50" t="s">
        <v>230</v>
      </c>
      <c r="D83" s="56" t="s">
        <v>231</v>
      </c>
      <c r="E83" s="50">
        <v>31</v>
      </c>
      <c r="F83" s="50">
        <v>6656</v>
      </c>
    </row>
    <row r="84" spans="2:6" x14ac:dyDescent="0.3">
      <c r="B84" s="50">
        <f t="shared" si="1"/>
        <v>81</v>
      </c>
      <c r="C84" s="50" t="s">
        <v>232</v>
      </c>
      <c r="D84" s="56" t="s">
        <v>233</v>
      </c>
      <c r="E84" s="50">
        <v>31</v>
      </c>
      <c r="F84" s="50">
        <v>11500</v>
      </c>
    </row>
    <row r="85" spans="2:6" x14ac:dyDescent="0.3">
      <c r="B85" s="50">
        <f t="shared" si="1"/>
        <v>82</v>
      </c>
      <c r="C85" s="50" t="s">
        <v>234</v>
      </c>
      <c r="D85" s="56" t="s">
        <v>235</v>
      </c>
      <c r="E85" s="50">
        <v>31</v>
      </c>
      <c r="F85" s="50">
        <v>14000</v>
      </c>
    </row>
    <row r="86" spans="2:6" x14ac:dyDescent="0.3">
      <c r="B86" s="50">
        <f t="shared" si="1"/>
        <v>83</v>
      </c>
      <c r="C86" s="50" t="s">
        <v>236</v>
      </c>
      <c r="D86" s="56" t="s">
        <v>237</v>
      </c>
      <c r="E86" s="50">
        <v>29</v>
      </c>
      <c r="F86" s="50">
        <v>7141</v>
      </c>
    </row>
    <row r="87" spans="2:6" x14ac:dyDescent="0.3">
      <c r="B87" s="50">
        <f t="shared" si="1"/>
        <v>84</v>
      </c>
      <c r="C87" s="50" t="s">
        <v>238</v>
      </c>
      <c r="D87" s="56" t="s">
        <v>239</v>
      </c>
      <c r="E87" s="50">
        <v>31</v>
      </c>
      <c r="F87" s="50">
        <v>7634</v>
      </c>
    </row>
    <row r="88" spans="2:6" x14ac:dyDescent="0.3">
      <c r="B88" s="50">
        <f t="shared" si="1"/>
        <v>85</v>
      </c>
      <c r="C88" s="50" t="s">
        <v>240</v>
      </c>
      <c r="D88" s="56" t="s">
        <v>241</v>
      </c>
      <c r="E88" s="50">
        <v>20</v>
      </c>
      <c r="F88" s="50">
        <v>6774</v>
      </c>
    </row>
    <row r="89" spans="2:6" x14ac:dyDescent="0.3">
      <c r="B89" s="50">
        <f t="shared" si="1"/>
        <v>86</v>
      </c>
      <c r="C89" s="50" t="s">
        <v>242</v>
      </c>
      <c r="D89" s="56" t="s">
        <v>243</v>
      </c>
      <c r="E89" s="50">
        <v>31</v>
      </c>
      <c r="F89" s="50">
        <v>9160</v>
      </c>
    </row>
    <row r="90" spans="2:6" x14ac:dyDescent="0.3">
      <c r="B90" s="50">
        <f t="shared" si="1"/>
        <v>87</v>
      </c>
      <c r="C90" s="50" t="s">
        <v>244</v>
      </c>
      <c r="D90" s="56" t="s">
        <v>245</v>
      </c>
      <c r="E90" s="50">
        <v>31</v>
      </c>
      <c r="F90" s="50">
        <v>6656</v>
      </c>
    </row>
    <row r="91" spans="2:6" x14ac:dyDescent="0.3">
      <c r="B91" s="50">
        <f t="shared" si="1"/>
        <v>88</v>
      </c>
      <c r="C91" s="50" t="s">
        <v>246</v>
      </c>
      <c r="D91" s="56" t="s">
        <v>247</v>
      </c>
      <c r="E91" s="50">
        <v>31</v>
      </c>
      <c r="F91" s="50">
        <v>9160</v>
      </c>
    </row>
    <row r="92" spans="2:6" x14ac:dyDescent="0.3">
      <c r="B92" s="50">
        <f t="shared" si="1"/>
        <v>89</v>
      </c>
      <c r="C92" s="50" t="s">
        <v>248</v>
      </c>
      <c r="D92" s="56" t="s">
        <v>249</v>
      </c>
      <c r="E92" s="50">
        <v>31</v>
      </c>
      <c r="F92" s="50">
        <v>6656</v>
      </c>
    </row>
    <row r="93" spans="2:6" x14ac:dyDescent="0.3">
      <c r="B93" s="50">
        <f t="shared" si="1"/>
        <v>90</v>
      </c>
      <c r="C93" s="50" t="s">
        <v>250</v>
      </c>
      <c r="D93" s="56" t="s">
        <v>251</v>
      </c>
      <c r="E93" s="50">
        <v>31</v>
      </c>
      <c r="F93" s="50">
        <v>12825</v>
      </c>
    </row>
    <row r="94" spans="2:6" x14ac:dyDescent="0.3">
      <c r="B94" s="50">
        <f t="shared" si="1"/>
        <v>91</v>
      </c>
      <c r="C94" s="50" t="s">
        <v>252</v>
      </c>
      <c r="D94" s="56" t="s">
        <v>253</v>
      </c>
      <c r="E94" s="50">
        <v>31</v>
      </c>
      <c r="F94" s="50">
        <v>11200</v>
      </c>
    </row>
    <row r="95" spans="2:6" x14ac:dyDescent="0.3">
      <c r="B95" s="50">
        <f t="shared" si="1"/>
        <v>92</v>
      </c>
      <c r="C95" s="50" t="s">
        <v>254</v>
      </c>
      <c r="D95" s="56" t="s">
        <v>255</v>
      </c>
      <c r="E95" s="50">
        <v>31</v>
      </c>
      <c r="F95" s="50">
        <v>6656</v>
      </c>
    </row>
    <row r="96" spans="2:6" x14ac:dyDescent="0.3">
      <c r="B96" s="50">
        <f t="shared" si="1"/>
        <v>93</v>
      </c>
      <c r="C96" s="50" t="s">
        <v>256</v>
      </c>
      <c r="D96" s="56" t="s">
        <v>257</v>
      </c>
      <c r="E96" s="50">
        <v>31</v>
      </c>
      <c r="F96" s="50">
        <v>6656</v>
      </c>
    </row>
    <row r="97" spans="2:6" x14ac:dyDescent="0.3">
      <c r="B97" s="50">
        <f t="shared" si="1"/>
        <v>94</v>
      </c>
      <c r="C97" s="50" t="s">
        <v>258</v>
      </c>
      <c r="D97" s="56" t="s">
        <v>259</v>
      </c>
      <c r="E97" s="50">
        <v>31</v>
      </c>
      <c r="F97" s="50">
        <v>10700</v>
      </c>
    </row>
    <row r="98" spans="2:6" x14ac:dyDescent="0.3">
      <c r="B98" s="50">
        <f t="shared" si="1"/>
        <v>95</v>
      </c>
      <c r="C98" s="50" t="s">
        <v>260</v>
      </c>
      <c r="D98" s="56" t="s">
        <v>261</v>
      </c>
      <c r="E98" s="50">
        <v>31</v>
      </c>
      <c r="F98" s="50">
        <v>6656</v>
      </c>
    </row>
    <row r="99" spans="2:6" x14ac:dyDescent="0.3">
      <c r="B99" s="50">
        <f t="shared" si="1"/>
        <v>96</v>
      </c>
      <c r="C99" s="50" t="s">
        <v>262</v>
      </c>
      <c r="D99" s="56" t="s">
        <v>263</v>
      </c>
      <c r="E99" s="50">
        <v>31</v>
      </c>
      <c r="F99" s="50">
        <v>10200</v>
      </c>
    </row>
    <row r="100" spans="2:6" x14ac:dyDescent="0.3">
      <c r="B100" s="50">
        <f t="shared" si="1"/>
        <v>97</v>
      </c>
      <c r="C100" s="50" t="s">
        <v>264</v>
      </c>
      <c r="D100" s="56" t="s">
        <v>265</v>
      </c>
      <c r="E100" s="50">
        <v>31</v>
      </c>
      <c r="F100" s="50">
        <v>12090</v>
      </c>
    </row>
    <row r="101" spans="2:6" x14ac:dyDescent="0.3">
      <c r="B101" s="50">
        <f t="shared" si="1"/>
        <v>98</v>
      </c>
      <c r="C101" s="50" t="s">
        <v>266</v>
      </c>
      <c r="D101" s="56" t="s">
        <v>267</v>
      </c>
      <c r="E101" s="50">
        <v>31</v>
      </c>
      <c r="F101" s="50">
        <v>6656</v>
      </c>
    </row>
    <row r="102" spans="2:6" x14ac:dyDescent="0.3">
      <c r="B102" s="50">
        <f t="shared" si="1"/>
        <v>99</v>
      </c>
      <c r="C102" s="50" t="s">
        <v>268</v>
      </c>
      <c r="D102" s="56" t="s">
        <v>269</v>
      </c>
      <c r="E102" s="50">
        <v>31</v>
      </c>
      <c r="F102" s="50">
        <v>8660</v>
      </c>
    </row>
    <row r="103" spans="2:6" x14ac:dyDescent="0.3">
      <c r="B103" s="50">
        <f t="shared" si="1"/>
        <v>100</v>
      </c>
      <c r="C103" s="50" t="s">
        <v>270</v>
      </c>
      <c r="D103" s="56" t="s">
        <v>271</v>
      </c>
      <c r="E103" s="50">
        <v>31</v>
      </c>
      <c r="F103" s="50">
        <v>8660</v>
      </c>
    </row>
    <row r="104" spans="2:6" x14ac:dyDescent="0.3">
      <c r="B104" s="50">
        <f t="shared" si="1"/>
        <v>101</v>
      </c>
      <c r="C104" s="50" t="s">
        <v>272</v>
      </c>
      <c r="D104" s="56" t="s">
        <v>273</v>
      </c>
      <c r="E104" s="50">
        <v>31</v>
      </c>
      <c r="F104" s="50">
        <v>8660</v>
      </c>
    </row>
    <row r="105" spans="2:6" x14ac:dyDescent="0.3">
      <c r="B105" s="50">
        <f t="shared" si="1"/>
        <v>102</v>
      </c>
      <c r="C105" s="50" t="s">
        <v>274</v>
      </c>
      <c r="D105" s="56" t="s">
        <v>275</v>
      </c>
      <c r="E105" s="50">
        <v>31</v>
      </c>
      <c r="F105" s="50">
        <v>7640</v>
      </c>
    </row>
    <row r="106" spans="2:6" x14ac:dyDescent="0.3">
      <c r="B106" s="50">
        <f t="shared" si="1"/>
        <v>103</v>
      </c>
      <c r="C106" s="50" t="s">
        <v>276</v>
      </c>
      <c r="D106" s="56" t="s">
        <v>277</v>
      </c>
      <c r="E106" s="50">
        <v>31</v>
      </c>
      <c r="F106" s="50">
        <v>10200</v>
      </c>
    </row>
    <row r="107" spans="2:6" x14ac:dyDescent="0.3">
      <c r="B107" s="50">
        <f t="shared" si="1"/>
        <v>104</v>
      </c>
      <c r="C107" s="50" t="s">
        <v>278</v>
      </c>
      <c r="D107" s="56" t="s">
        <v>279</v>
      </c>
      <c r="E107" s="50">
        <v>31</v>
      </c>
      <c r="F107" s="50">
        <v>7635</v>
      </c>
    </row>
    <row r="108" spans="2:6" x14ac:dyDescent="0.3">
      <c r="B108" s="50">
        <f t="shared" si="1"/>
        <v>105</v>
      </c>
      <c r="C108" s="50" t="s">
        <v>280</v>
      </c>
      <c r="D108" s="56" t="s">
        <v>281</v>
      </c>
      <c r="E108" s="50">
        <v>31</v>
      </c>
      <c r="F108" s="50">
        <v>7222</v>
      </c>
    </row>
    <row r="109" spans="2:6" x14ac:dyDescent="0.3">
      <c r="B109" s="50">
        <f t="shared" si="1"/>
        <v>106</v>
      </c>
      <c r="C109" s="50" t="s">
        <v>282</v>
      </c>
      <c r="D109" s="56" t="s">
        <v>283</v>
      </c>
      <c r="E109" s="50">
        <v>31</v>
      </c>
      <c r="F109" s="50">
        <v>7122</v>
      </c>
    </row>
    <row r="110" spans="2:6" x14ac:dyDescent="0.3">
      <c r="B110" s="50">
        <f t="shared" si="1"/>
        <v>107</v>
      </c>
      <c r="C110" s="50" t="s">
        <v>284</v>
      </c>
      <c r="D110" s="56" t="s">
        <v>285</v>
      </c>
      <c r="E110" s="50">
        <v>16</v>
      </c>
      <c r="F110" s="50">
        <v>4728</v>
      </c>
    </row>
    <row r="111" spans="2:6" x14ac:dyDescent="0.3">
      <c r="B111" s="50">
        <f t="shared" si="1"/>
        <v>108</v>
      </c>
      <c r="C111" s="50" t="s">
        <v>286</v>
      </c>
      <c r="D111" s="56" t="s">
        <v>287</v>
      </c>
      <c r="E111" s="50">
        <v>31</v>
      </c>
      <c r="F111" s="50">
        <v>7122</v>
      </c>
    </row>
    <row r="112" spans="2:6" x14ac:dyDescent="0.3">
      <c r="B112" s="50">
        <f t="shared" si="1"/>
        <v>109</v>
      </c>
      <c r="C112" s="50" t="s">
        <v>288</v>
      </c>
      <c r="D112" s="56" t="s">
        <v>289</v>
      </c>
      <c r="E112" s="50">
        <v>30</v>
      </c>
      <c r="F112" s="50">
        <v>10356</v>
      </c>
    </row>
    <row r="113" spans="2:6" x14ac:dyDescent="0.3">
      <c r="B113" s="50">
        <f t="shared" si="1"/>
        <v>110</v>
      </c>
      <c r="C113" s="50" t="s">
        <v>290</v>
      </c>
      <c r="D113" s="56" t="s">
        <v>291</v>
      </c>
      <c r="E113" s="50">
        <v>30</v>
      </c>
      <c r="F113" s="50">
        <v>6441</v>
      </c>
    </row>
    <row r="114" spans="2:6" x14ac:dyDescent="0.3">
      <c r="B114" s="50">
        <f t="shared" si="1"/>
        <v>111</v>
      </c>
      <c r="C114" s="50" t="s">
        <v>292</v>
      </c>
      <c r="D114" s="56" t="s">
        <v>293</v>
      </c>
      <c r="E114" s="50">
        <v>0</v>
      </c>
      <c r="F114" s="50">
        <v>0</v>
      </c>
    </row>
    <row r="115" spans="2:6" x14ac:dyDescent="0.3">
      <c r="B115" s="50">
        <f t="shared" si="1"/>
        <v>112</v>
      </c>
      <c r="C115" s="50" t="s">
        <v>294</v>
      </c>
      <c r="D115" s="56" t="s">
        <v>295</v>
      </c>
      <c r="E115" s="50">
        <v>0</v>
      </c>
      <c r="F115" s="50">
        <v>0</v>
      </c>
    </row>
    <row r="116" spans="2:6" x14ac:dyDescent="0.3">
      <c r="B116" s="50">
        <f t="shared" si="1"/>
        <v>113</v>
      </c>
      <c r="C116" s="50" t="s">
        <v>296</v>
      </c>
      <c r="D116" s="56" t="s">
        <v>297</v>
      </c>
      <c r="E116" s="50">
        <v>30</v>
      </c>
      <c r="F116" s="50">
        <v>7887</v>
      </c>
    </row>
    <row r="117" spans="2:6" x14ac:dyDescent="0.3">
      <c r="B117" s="50">
        <f t="shared" si="1"/>
        <v>114</v>
      </c>
      <c r="C117" s="50" t="s">
        <v>298</v>
      </c>
      <c r="D117" s="56" t="s">
        <v>299</v>
      </c>
      <c r="E117" s="50">
        <v>23</v>
      </c>
      <c r="F117" s="50">
        <v>4939</v>
      </c>
    </row>
    <row r="118" spans="2:6" x14ac:dyDescent="0.3">
      <c r="B118" s="50">
        <f t="shared" si="1"/>
        <v>115</v>
      </c>
      <c r="C118" s="50" t="s">
        <v>300</v>
      </c>
      <c r="D118" s="56" t="s">
        <v>301</v>
      </c>
      <c r="E118" s="50">
        <v>31</v>
      </c>
      <c r="F118" s="50">
        <v>9001</v>
      </c>
    </row>
    <row r="119" spans="2:6" x14ac:dyDescent="0.3">
      <c r="B119" s="50">
        <f t="shared" si="1"/>
        <v>116</v>
      </c>
      <c r="C119" s="50" t="s">
        <v>302</v>
      </c>
      <c r="D119" s="56" t="s">
        <v>303</v>
      </c>
      <c r="E119" s="50">
        <v>30</v>
      </c>
      <c r="F119" s="50">
        <v>13791</v>
      </c>
    </row>
    <row r="120" spans="2:6" x14ac:dyDescent="0.3">
      <c r="B120" s="50">
        <f t="shared" si="1"/>
        <v>117</v>
      </c>
      <c r="C120" s="50" t="s">
        <v>304</v>
      </c>
      <c r="D120" s="56" t="s">
        <v>305</v>
      </c>
      <c r="E120" s="50">
        <v>31</v>
      </c>
      <c r="F120" s="50">
        <v>10000</v>
      </c>
    </row>
    <row r="121" spans="2:6" x14ac:dyDescent="0.3">
      <c r="B121" s="50">
        <f t="shared" si="1"/>
        <v>118</v>
      </c>
      <c r="C121" s="50" t="s">
        <v>306</v>
      </c>
      <c r="D121" s="56" t="s">
        <v>307</v>
      </c>
      <c r="E121" s="50">
        <v>26</v>
      </c>
      <c r="F121" s="50">
        <v>7548</v>
      </c>
    </row>
    <row r="122" spans="2:6" x14ac:dyDescent="0.3">
      <c r="B122" s="50">
        <f t="shared" si="1"/>
        <v>119</v>
      </c>
      <c r="C122" s="50" t="s">
        <v>308</v>
      </c>
      <c r="D122" s="56" t="s">
        <v>309</v>
      </c>
      <c r="E122" s="50">
        <v>26</v>
      </c>
      <c r="F122" s="50">
        <v>9645</v>
      </c>
    </row>
    <row r="123" spans="2:6" x14ac:dyDescent="0.3">
      <c r="B123" s="50">
        <f t="shared" si="1"/>
        <v>120</v>
      </c>
      <c r="C123" s="50" t="s">
        <v>310</v>
      </c>
      <c r="D123" s="56" t="s">
        <v>311</v>
      </c>
      <c r="E123" s="50">
        <v>31</v>
      </c>
      <c r="F123" s="50">
        <v>12500</v>
      </c>
    </row>
    <row r="124" spans="2:6" x14ac:dyDescent="0.3">
      <c r="B124" s="50">
        <f t="shared" si="1"/>
        <v>121</v>
      </c>
      <c r="C124" s="50" t="s">
        <v>312</v>
      </c>
      <c r="D124" s="56" t="s">
        <v>313</v>
      </c>
      <c r="E124" s="50">
        <v>26</v>
      </c>
      <c r="F124" s="50">
        <v>6416</v>
      </c>
    </row>
    <row r="125" spans="2:6" x14ac:dyDescent="0.3">
      <c r="B125" s="50">
        <f t="shared" si="1"/>
        <v>122</v>
      </c>
      <c r="C125" s="50" t="s">
        <v>314</v>
      </c>
      <c r="D125" s="56" t="s">
        <v>315</v>
      </c>
      <c r="E125" s="50">
        <v>31</v>
      </c>
      <c r="F125" s="50">
        <v>9200</v>
      </c>
    </row>
    <row r="126" spans="2:6" x14ac:dyDescent="0.3">
      <c r="B126" s="50">
        <f t="shared" si="1"/>
        <v>123</v>
      </c>
      <c r="C126" s="50" t="s">
        <v>316</v>
      </c>
      <c r="D126" s="56" t="s">
        <v>317</v>
      </c>
      <c r="E126" s="50">
        <v>31</v>
      </c>
      <c r="F126" s="50">
        <v>7222</v>
      </c>
    </row>
    <row r="127" spans="2:6" x14ac:dyDescent="0.3">
      <c r="B127" s="50">
        <f t="shared" si="1"/>
        <v>124</v>
      </c>
      <c r="C127" s="50" t="s">
        <v>318</v>
      </c>
      <c r="D127" s="56" t="s">
        <v>319</v>
      </c>
      <c r="E127" s="50">
        <v>31</v>
      </c>
      <c r="F127" s="50">
        <v>9161</v>
      </c>
    </row>
    <row r="128" spans="2:6" x14ac:dyDescent="0.3">
      <c r="B128" s="50">
        <f t="shared" si="1"/>
        <v>125</v>
      </c>
      <c r="C128" s="50" t="s">
        <v>320</v>
      </c>
      <c r="D128" s="56" t="s">
        <v>321</v>
      </c>
      <c r="E128" s="50">
        <v>30</v>
      </c>
      <c r="F128" s="50">
        <v>6441</v>
      </c>
    </row>
    <row r="129" spans="2:6" x14ac:dyDescent="0.3">
      <c r="B129" s="50">
        <f t="shared" si="1"/>
        <v>126</v>
      </c>
      <c r="C129" s="50" t="s">
        <v>322</v>
      </c>
      <c r="D129" s="56" t="s">
        <v>323</v>
      </c>
      <c r="E129" s="50">
        <v>23</v>
      </c>
      <c r="F129" s="50">
        <v>4939</v>
      </c>
    </row>
    <row r="130" spans="2:6" x14ac:dyDescent="0.3">
      <c r="B130" s="50">
        <f t="shared" si="1"/>
        <v>127</v>
      </c>
      <c r="C130" s="50" t="s">
        <v>324</v>
      </c>
      <c r="D130" s="56" t="s">
        <v>325</v>
      </c>
      <c r="E130" s="50">
        <v>31</v>
      </c>
      <c r="F130" s="50">
        <v>6922</v>
      </c>
    </row>
    <row r="131" spans="2:6" x14ac:dyDescent="0.3">
      <c r="B131" s="50">
        <f t="shared" si="1"/>
        <v>128</v>
      </c>
      <c r="C131" s="50" t="s">
        <v>326</v>
      </c>
      <c r="D131" s="56" t="s">
        <v>327</v>
      </c>
      <c r="E131" s="50">
        <v>25</v>
      </c>
      <c r="F131" s="50">
        <v>5368</v>
      </c>
    </row>
    <row r="132" spans="2:6" x14ac:dyDescent="0.3">
      <c r="B132" s="50">
        <f t="shared" si="1"/>
        <v>129</v>
      </c>
      <c r="C132" s="50" t="s">
        <v>328</v>
      </c>
      <c r="D132" s="56" t="s">
        <v>329</v>
      </c>
      <c r="E132" s="50">
        <v>25</v>
      </c>
      <c r="F132" s="50">
        <v>5368</v>
      </c>
    </row>
    <row r="133" spans="2:6" x14ac:dyDescent="0.3">
      <c r="B133" s="50">
        <f t="shared" si="1"/>
        <v>130</v>
      </c>
      <c r="C133" s="50" t="s">
        <v>330</v>
      </c>
      <c r="D133" s="56" t="s">
        <v>331</v>
      </c>
      <c r="E133" s="50">
        <v>31</v>
      </c>
      <c r="F133" s="50">
        <v>7122</v>
      </c>
    </row>
    <row r="134" spans="2:6" x14ac:dyDescent="0.3">
      <c r="B134" s="50">
        <f t="shared" ref="B134:B197" si="2">+B133+1</f>
        <v>131</v>
      </c>
      <c r="C134" s="50" t="s">
        <v>332</v>
      </c>
      <c r="D134" s="56" t="s">
        <v>333</v>
      </c>
      <c r="E134" s="50">
        <v>30</v>
      </c>
      <c r="F134" s="50">
        <v>6441</v>
      </c>
    </row>
    <row r="135" spans="2:6" x14ac:dyDescent="0.3">
      <c r="B135" s="50">
        <f t="shared" si="2"/>
        <v>132</v>
      </c>
      <c r="C135" s="50" t="s">
        <v>334</v>
      </c>
      <c r="D135" s="56" t="s">
        <v>335</v>
      </c>
      <c r="E135" s="50">
        <v>31</v>
      </c>
      <c r="F135" s="50">
        <v>7174</v>
      </c>
    </row>
    <row r="136" spans="2:6" x14ac:dyDescent="0.3">
      <c r="B136" s="50">
        <f t="shared" si="2"/>
        <v>133</v>
      </c>
      <c r="C136" s="50" t="s">
        <v>336</v>
      </c>
      <c r="D136" s="56" t="s">
        <v>337</v>
      </c>
      <c r="E136" s="50">
        <v>31</v>
      </c>
      <c r="F136" s="50">
        <v>8280</v>
      </c>
    </row>
    <row r="137" spans="2:6" x14ac:dyDescent="0.3">
      <c r="B137" s="50">
        <f t="shared" si="2"/>
        <v>134</v>
      </c>
      <c r="C137" s="50" t="s">
        <v>338</v>
      </c>
      <c r="D137" s="56" t="s">
        <v>339</v>
      </c>
      <c r="E137" s="50">
        <v>29</v>
      </c>
      <c r="F137" s="50">
        <v>8096</v>
      </c>
    </row>
    <row r="138" spans="2:6" x14ac:dyDescent="0.3">
      <c r="B138" s="50">
        <f t="shared" si="2"/>
        <v>135</v>
      </c>
      <c r="C138" s="50" t="s">
        <v>340</v>
      </c>
      <c r="D138" s="56" t="s">
        <v>341</v>
      </c>
      <c r="E138" s="50">
        <v>31</v>
      </c>
      <c r="F138" s="50">
        <v>14250</v>
      </c>
    </row>
    <row r="139" spans="2:6" x14ac:dyDescent="0.3">
      <c r="B139" s="50">
        <f t="shared" si="2"/>
        <v>136</v>
      </c>
      <c r="C139" s="50" t="s">
        <v>342</v>
      </c>
      <c r="D139" s="56" t="s">
        <v>343</v>
      </c>
      <c r="E139" s="50">
        <v>31</v>
      </c>
      <c r="F139" s="50">
        <v>8150</v>
      </c>
    </row>
    <row r="140" spans="2:6" x14ac:dyDescent="0.3">
      <c r="B140" s="50">
        <f t="shared" si="2"/>
        <v>137</v>
      </c>
      <c r="C140" s="50" t="s">
        <v>344</v>
      </c>
      <c r="D140" s="56" t="s">
        <v>345</v>
      </c>
      <c r="E140" s="50">
        <v>30</v>
      </c>
      <c r="F140" s="50">
        <v>6441</v>
      </c>
    </row>
    <row r="141" spans="2:6" x14ac:dyDescent="0.3">
      <c r="B141" s="50">
        <f t="shared" si="2"/>
        <v>138</v>
      </c>
      <c r="C141" s="50" t="s">
        <v>346</v>
      </c>
      <c r="D141" s="56" t="s">
        <v>347</v>
      </c>
      <c r="E141" s="50">
        <v>19</v>
      </c>
      <c r="F141" s="50">
        <v>4183</v>
      </c>
    </row>
    <row r="142" spans="2:6" x14ac:dyDescent="0.3">
      <c r="B142" s="50">
        <f t="shared" si="2"/>
        <v>139</v>
      </c>
      <c r="C142" s="50" t="s">
        <v>348</v>
      </c>
      <c r="D142" s="56" t="s">
        <v>349</v>
      </c>
      <c r="E142" s="50">
        <v>31</v>
      </c>
      <c r="F142" s="50">
        <v>10178</v>
      </c>
    </row>
    <row r="143" spans="2:6" x14ac:dyDescent="0.3">
      <c r="B143" s="50">
        <f t="shared" si="2"/>
        <v>140</v>
      </c>
      <c r="C143" s="50" t="s">
        <v>350</v>
      </c>
      <c r="D143" s="56" t="s">
        <v>351</v>
      </c>
      <c r="E143" s="50">
        <v>31</v>
      </c>
      <c r="F143" s="50">
        <v>8144</v>
      </c>
    </row>
    <row r="144" spans="2:6" x14ac:dyDescent="0.3">
      <c r="B144" s="50">
        <f t="shared" si="2"/>
        <v>141</v>
      </c>
      <c r="C144" s="50" t="s">
        <v>352</v>
      </c>
      <c r="D144" s="56" t="s">
        <v>353</v>
      </c>
      <c r="E144" s="50">
        <v>28</v>
      </c>
      <c r="F144" s="50">
        <v>8273</v>
      </c>
    </row>
    <row r="145" spans="2:6" x14ac:dyDescent="0.3">
      <c r="B145" s="50">
        <f t="shared" si="2"/>
        <v>142</v>
      </c>
      <c r="C145" s="50" t="s">
        <v>354</v>
      </c>
      <c r="D145" s="56" t="s">
        <v>355</v>
      </c>
      <c r="E145" s="50">
        <v>31</v>
      </c>
      <c r="F145" s="50">
        <v>10178</v>
      </c>
    </row>
    <row r="146" spans="2:6" x14ac:dyDescent="0.3">
      <c r="B146" s="50">
        <f t="shared" si="2"/>
        <v>143</v>
      </c>
      <c r="C146" s="50" t="s">
        <v>356</v>
      </c>
      <c r="D146" s="56" t="s">
        <v>357</v>
      </c>
      <c r="E146" s="50">
        <v>31</v>
      </c>
      <c r="F146" s="50">
        <v>9160</v>
      </c>
    </row>
    <row r="147" spans="2:6" x14ac:dyDescent="0.3">
      <c r="B147" s="50">
        <f t="shared" si="2"/>
        <v>144</v>
      </c>
      <c r="C147" s="50" t="s">
        <v>358</v>
      </c>
      <c r="D147" s="56" t="s">
        <v>359</v>
      </c>
      <c r="E147" s="50">
        <v>25</v>
      </c>
      <c r="F147" s="50">
        <v>5368</v>
      </c>
    </row>
    <row r="148" spans="2:6" x14ac:dyDescent="0.3">
      <c r="B148" s="50">
        <f t="shared" si="2"/>
        <v>145</v>
      </c>
      <c r="C148" s="50" t="s">
        <v>360</v>
      </c>
      <c r="D148" s="56" t="s">
        <v>361</v>
      </c>
      <c r="E148" s="50">
        <v>31</v>
      </c>
      <c r="F148" s="50">
        <v>8450</v>
      </c>
    </row>
    <row r="149" spans="2:6" x14ac:dyDescent="0.3">
      <c r="B149" s="50">
        <f t="shared" si="2"/>
        <v>146</v>
      </c>
      <c r="C149" s="50" t="s">
        <v>362</v>
      </c>
      <c r="D149" s="56" t="s">
        <v>363</v>
      </c>
      <c r="E149" s="50">
        <v>29</v>
      </c>
      <c r="F149" s="50">
        <v>9522</v>
      </c>
    </row>
    <row r="150" spans="2:6" x14ac:dyDescent="0.3">
      <c r="B150" s="50">
        <f t="shared" si="2"/>
        <v>147</v>
      </c>
      <c r="C150" s="50" t="s">
        <v>364</v>
      </c>
      <c r="D150" s="56" t="s">
        <v>365</v>
      </c>
      <c r="E150" s="50">
        <v>11</v>
      </c>
      <c r="F150" s="50">
        <v>2362</v>
      </c>
    </row>
    <row r="151" spans="2:6" x14ac:dyDescent="0.3">
      <c r="B151" s="50">
        <f t="shared" si="2"/>
        <v>148</v>
      </c>
      <c r="C151" s="50" t="s">
        <v>366</v>
      </c>
      <c r="D151" s="56" t="s">
        <v>367</v>
      </c>
      <c r="E151" s="50">
        <v>30</v>
      </c>
      <c r="F151" s="50">
        <v>10345</v>
      </c>
    </row>
    <row r="152" spans="2:6" x14ac:dyDescent="0.3">
      <c r="B152" s="50">
        <f t="shared" si="2"/>
        <v>149</v>
      </c>
      <c r="C152" s="50" t="s">
        <v>368</v>
      </c>
      <c r="D152" s="56" t="s">
        <v>369</v>
      </c>
      <c r="E152" s="50">
        <v>31</v>
      </c>
      <c r="F152" s="50">
        <v>7200</v>
      </c>
    </row>
    <row r="153" spans="2:6" x14ac:dyDescent="0.3">
      <c r="B153" s="50">
        <f t="shared" si="2"/>
        <v>150</v>
      </c>
      <c r="C153" s="50" t="s">
        <v>370</v>
      </c>
      <c r="D153" s="56" t="s">
        <v>371</v>
      </c>
      <c r="E153" s="50">
        <v>31</v>
      </c>
      <c r="F153" s="50">
        <v>12220</v>
      </c>
    </row>
    <row r="154" spans="2:6" x14ac:dyDescent="0.3">
      <c r="B154" s="50">
        <f t="shared" si="2"/>
        <v>151</v>
      </c>
      <c r="C154" s="50" t="s">
        <v>372</v>
      </c>
      <c r="D154" s="56" t="s">
        <v>373</v>
      </c>
      <c r="E154" s="50">
        <v>31</v>
      </c>
      <c r="F154" s="50">
        <v>7000</v>
      </c>
    </row>
    <row r="155" spans="2:6" x14ac:dyDescent="0.3">
      <c r="B155" s="50">
        <f t="shared" si="2"/>
        <v>152</v>
      </c>
      <c r="C155" s="50" t="s">
        <v>374</v>
      </c>
      <c r="D155" s="56" t="s">
        <v>375</v>
      </c>
      <c r="E155" s="50">
        <v>31</v>
      </c>
      <c r="F155" s="50">
        <v>9000</v>
      </c>
    </row>
    <row r="156" spans="2:6" x14ac:dyDescent="0.3">
      <c r="B156" s="50">
        <f t="shared" si="2"/>
        <v>153</v>
      </c>
      <c r="C156" s="50" t="s">
        <v>376</v>
      </c>
      <c r="D156" s="56" t="s">
        <v>377</v>
      </c>
      <c r="E156" s="50">
        <v>31</v>
      </c>
      <c r="F156" s="50">
        <v>9500</v>
      </c>
    </row>
    <row r="157" spans="2:6" x14ac:dyDescent="0.3">
      <c r="B157" s="50">
        <f t="shared" si="2"/>
        <v>154</v>
      </c>
      <c r="C157" s="50" t="s">
        <v>378</v>
      </c>
      <c r="D157" s="56" t="s">
        <v>379</v>
      </c>
      <c r="E157" s="50">
        <v>26</v>
      </c>
      <c r="F157" s="50">
        <v>5582</v>
      </c>
    </row>
    <row r="158" spans="2:6" x14ac:dyDescent="0.3">
      <c r="B158" s="50">
        <f t="shared" si="2"/>
        <v>155</v>
      </c>
      <c r="C158" s="50" t="s">
        <v>380</v>
      </c>
      <c r="D158" s="56" t="s">
        <v>381</v>
      </c>
      <c r="E158" s="50">
        <v>31</v>
      </c>
      <c r="F158" s="50">
        <v>8651</v>
      </c>
    </row>
    <row r="159" spans="2:6" x14ac:dyDescent="0.3">
      <c r="B159" s="50">
        <f t="shared" si="2"/>
        <v>156</v>
      </c>
      <c r="C159" s="50" t="s">
        <v>382</v>
      </c>
      <c r="D159" s="56" t="s">
        <v>383</v>
      </c>
      <c r="E159" s="50">
        <v>29</v>
      </c>
      <c r="F159" s="50">
        <v>10000</v>
      </c>
    </row>
    <row r="160" spans="2:6" x14ac:dyDescent="0.3">
      <c r="B160" s="50">
        <f t="shared" si="2"/>
        <v>157</v>
      </c>
      <c r="C160" s="50" t="s">
        <v>384</v>
      </c>
      <c r="D160" s="56" t="s">
        <v>385</v>
      </c>
      <c r="E160" s="50">
        <v>12</v>
      </c>
      <c r="F160" s="50">
        <v>2577</v>
      </c>
    </row>
    <row r="161" spans="2:6" x14ac:dyDescent="0.3">
      <c r="B161" s="50">
        <f t="shared" si="2"/>
        <v>158</v>
      </c>
      <c r="C161" s="50" t="s">
        <v>386</v>
      </c>
      <c r="D161" s="56" t="s">
        <v>387</v>
      </c>
      <c r="E161" s="50">
        <v>18</v>
      </c>
      <c r="F161" s="50">
        <v>3865</v>
      </c>
    </row>
    <row r="162" spans="2:6" x14ac:dyDescent="0.3">
      <c r="B162" s="50">
        <f t="shared" si="2"/>
        <v>159</v>
      </c>
      <c r="C162" s="50" t="s">
        <v>388</v>
      </c>
      <c r="D162" s="56" t="s">
        <v>389</v>
      </c>
      <c r="E162" s="50">
        <v>27</v>
      </c>
      <c r="F162" s="50">
        <v>5797</v>
      </c>
    </row>
    <row r="163" spans="2:6" x14ac:dyDescent="0.3">
      <c r="B163" s="50">
        <f t="shared" si="2"/>
        <v>160</v>
      </c>
      <c r="C163" s="50" t="s">
        <v>390</v>
      </c>
      <c r="D163" s="56" t="s">
        <v>391</v>
      </c>
      <c r="E163" s="50">
        <v>31</v>
      </c>
      <c r="F163" s="50">
        <v>10690</v>
      </c>
    </row>
    <row r="164" spans="2:6" x14ac:dyDescent="0.3">
      <c r="B164" s="50">
        <f t="shared" si="2"/>
        <v>161</v>
      </c>
      <c r="C164" s="50" t="s">
        <v>392</v>
      </c>
      <c r="D164" s="56" t="s">
        <v>393</v>
      </c>
      <c r="E164" s="50">
        <v>31</v>
      </c>
      <c r="F164" s="50">
        <v>10500</v>
      </c>
    </row>
    <row r="165" spans="2:6" x14ac:dyDescent="0.3">
      <c r="B165" s="50">
        <f t="shared" si="2"/>
        <v>162</v>
      </c>
      <c r="C165" s="50" t="s">
        <v>394</v>
      </c>
      <c r="D165" s="56" t="s">
        <v>395</v>
      </c>
      <c r="E165" s="50">
        <v>29</v>
      </c>
      <c r="F165" s="50">
        <v>13331</v>
      </c>
    </row>
    <row r="166" spans="2:6" x14ac:dyDescent="0.3">
      <c r="B166" s="50">
        <f t="shared" si="2"/>
        <v>163</v>
      </c>
      <c r="C166" s="50" t="s">
        <v>396</v>
      </c>
      <c r="D166" s="56" t="s">
        <v>397</v>
      </c>
      <c r="E166" s="50">
        <v>31</v>
      </c>
      <c r="F166" s="50">
        <v>11200</v>
      </c>
    </row>
    <row r="167" spans="2:6" x14ac:dyDescent="0.3">
      <c r="B167" s="50">
        <f t="shared" si="2"/>
        <v>164</v>
      </c>
      <c r="C167" s="50" t="s">
        <v>398</v>
      </c>
      <c r="D167" s="56" t="s">
        <v>399</v>
      </c>
      <c r="E167" s="50">
        <v>27</v>
      </c>
      <c r="F167" s="50">
        <v>5797</v>
      </c>
    </row>
    <row r="168" spans="2:6" x14ac:dyDescent="0.3">
      <c r="B168" s="50">
        <f t="shared" si="2"/>
        <v>165</v>
      </c>
      <c r="C168" s="50" t="s">
        <v>400</v>
      </c>
      <c r="D168" s="56" t="s">
        <v>401</v>
      </c>
      <c r="E168" s="50">
        <v>31</v>
      </c>
      <c r="F168" s="50">
        <v>9415</v>
      </c>
    </row>
    <row r="169" spans="2:6" x14ac:dyDescent="0.3">
      <c r="B169" s="50">
        <f t="shared" si="2"/>
        <v>166</v>
      </c>
      <c r="C169" s="50" t="s">
        <v>402</v>
      </c>
      <c r="D169" s="56" t="s">
        <v>403</v>
      </c>
      <c r="E169" s="50">
        <v>25</v>
      </c>
      <c r="F169" s="50">
        <v>6977</v>
      </c>
    </row>
    <row r="170" spans="2:6" x14ac:dyDescent="0.3">
      <c r="B170" s="50">
        <f t="shared" si="2"/>
        <v>167</v>
      </c>
      <c r="C170" s="50" t="s">
        <v>404</v>
      </c>
      <c r="D170" s="56" t="s">
        <v>405</v>
      </c>
      <c r="E170" s="50">
        <v>31</v>
      </c>
      <c r="F170" s="50">
        <v>11458</v>
      </c>
    </row>
    <row r="171" spans="2:6" x14ac:dyDescent="0.3">
      <c r="B171" s="50">
        <f t="shared" si="2"/>
        <v>168</v>
      </c>
      <c r="C171" s="50" t="s">
        <v>406</v>
      </c>
      <c r="D171" s="56" t="s">
        <v>407</v>
      </c>
      <c r="E171" s="50">
        <v>31</v>
      </c>
      <c r="F171" s="50">
        <v>9160</v>
      </c>
    </row>
    <row r="172" spans="2:6" x14ac:dyDescent="0.3">
      <c r="B172" s="50">
        <f t="shared" si="2"/>
        <v>169</v>
      </c>
      <c r="C172" s="50" t="s">
        <v>408</v>
      </c>
      <c r="D172" s="56" t="s">
        <v>409</v>
      </c>
      <c r="E172" s="50">
        <v>31</v>
      </c>
      <c r="F172" s="50">
        <v>9160</v>
      </c>
    </row>
    <row r="173" spans="2:6" x14ac:dyDescent="0.3">
      <c r="B173" s="50">
        <f t="shared" si="2"/>
        <v>170</v>
      </c>
      <c r="C173" s="50" t="s">
        <v>410</v>
      </c>
      <c r="D173" s="56" t="s">
        <v>411</v>
      </c>
      <c r="E173" s="50">
        <v>31</v>
      </c>
      <c r="F173" s="50">
        <v>7650</v>
      </c>
    </row>
    <row r="174" spans="2:6" x14ac:dyDescent="0.3">
      <c r="B174" s="50">
        <f t="shared" si="2"/>
        <v>171</v>
      </c>
      <c r="C174" s="50" t="s">
        <v>412</v>
      </c>
      <c r="D174" s="56" t="s">
        <v>413</v>
      </c>
      <c r="E174" s="50">
        <v>31</v>
      </c>
      <c r="F174" s="50">
        <v>7130</v>
      </c>
    </row>
    <row r="175" spans="2:6" x14ac:dyDescent="0.3">
      <c r="B175" s="50">
        <f t="shared" si="2"/>
        <v>172</v>
      </c>
      <c r="C175" s="50" t="s">
        <v>414</v>
      </c>
      <c r="D175" s="56" t="s">
        <v>415</v>
      </c>
      <c r="E175" s="50">
        <v>31</v>
      </c>
      <c r="F175" s="50">
        <v>6656</v>
      </c>
    </row>
    <row r="176" spans="2:6" x14ac:dyDescent="0.3">
      <c r="B176" s="50">
        <f t="shared" si="2"/>
        <v>173</v>
      </c>
      <c r="C176" s="50" t="s">
        <v>416</v>
      </c>
      <c r="D176" s="56" t="s">
        <v>417</v>
      </c>
      <c r="E176" s="50">
        <v>27</v>
      </c>
      <c r="F176" s="50">
        <v>7534</v>
      </c>
    </row>
    <row r="177" spans="2:6" x14ac:dyDescent="0.3">
      <c r="B177" s="50">
        <f t="shared" si="2"/>
        <v>174</v>
      </c>
      <c r="C177" s="50" t="s">
        <v>418</v>
      </c>
      <c r="D177" s="56" t="s">
        <v>419</v>
      </c>
      <c r="E177" s="50">
        <v>31</v>
      </c>
      <c r="F177" s="50">
        <v>7130</v>
      </c>
    </row>
    <row r="178" spans="2:6" x14ac:dyDescent="0.3">
      <c r="B178" s="50">
        <f t="shared" si="2"/>
        <v>175</v>
      </c>
      <c r="C178" s="50" t="s">
        <v>420</v>
      </c>
      <c r="D178" s="56" t="s">
        <v>421</v>
      </c>
      <c r="E178" s="50">
        <v>31</v>
      </c>
      <c r="F178" s="50">
        <v>8581</v>
      </c>
    </row>
    <row r="179" spans="2:6" x14ac:dyDescent="0.3">
      <c r="B179" s="50">
        <f t="shared" si="2"/>
        <v>176</v>
      </c>
      <c r="C179" s="50" t="s">
        <v>422</v>
      </c>
      <c r="D179" s="56" t="s">
        <v>423</v>
      </c>
      <c r="E179" s="50">
        <v>31</v>
      </c>
      <c r="F179" s="50">
        <v>7356</v>
      </c>
    </row>
    <row r="180" spans="2:6" x14ac:dyDescent="0.3">
      <c r="B180" s="50">
        <f t="shared" si="2"/>
        <v>177</v>
      </c>
      <c r="C180" s="50" t="s">
        <v>424</v>
      </c>
      <c r="D180" s="56" t="s">
        <v>425</v>
      </c>
      <c r="E180" s="50">
        <v>15</v>
      </c>
      <c r="F180" s="50">
        <v>3560</v>
      </c>
    </row>
    <row r="181" spans="2:6" x14ac:dyDescent="0.3">
      <c r="B181" s="50">
        <f t="shared" si="2"/>
        <v>178</v>
      </c>
      <c r="C181" s="50" t="s">
        <v>426</v>
      </c>
      <c r="D181" s="56" t="s">
        <v>427</v>
      </c>
      <c r="E181" s="50">
        <v>31</v>
      </c>
      <c r="F181" s="50">
        <v>11933</v>
      </c>
    </row>
    <row r="182" spans="2:6" x14ac:dyDescent="0.3">
      <c r="B182" s="50">
        <f t="shared" si="2"/>
        <v>179</v>
      </c>
      <c r="C182" s="50" t="s">
        <v>428</v>
      </c>
      <c r="D182" s="56" t="s">
        <v>429</v>
      </c>
      <c r="E182" s="50">
        <v>31</v>
      </c>
      <c r="F182" s="50">
        <v>11933</v>
      </c>
    </row>
    <row r="183" spans="2:6" x14ac:dyDescent="0.3">
      <c r="B183" s="50">
        <f t="shared" si="2"/>
        <v>180</v>
      </c>
      <c r="C183" s="50" t="s">
        <v>430</v>
      </c>
      <c r="D183" s="56" t="s">
        <v>431</v>
      </c>
      <c r="E183" s="50">
        <v>29</v>
      </c>
      <c r="F183" s="50">
        <v>11163</v>
      </c>
    </row>
    <row r="184" spans="2:6" x14ac:dyDescent="0.3">
      <c r="B184" s="50">
        <f t="shared" si="2"/>
        <v>181</v>
      </c>
      <c r="C184" s="50" t="s">
        <v>432</v>
      </c>
      <c r="D184" s="56" t="s">
        <v>433</v>
      </c>
      <c r="E184" s="50">
        <v>27</v>
      </c>
      <c r="F184" s="50">
        <v>10393</v>
      </c>
    </row>
    <row r="185" spans="2:6" x14ac:dyDescent="0.3">
      <c r="B185" s="50">
        <f t="shared" si="2"/>
        <v>182</v>
      </c>
      <c r="C185" s="50" t="s">
        <v>434</v>
      </c>
      <c r="D185" s="56" t="s">
        <v>435</v>
      </c>
      <c r="E185" s="50">
        <v>30.5</v>
      </c>
      <c r="F185" s="50">
        <v>11741</v>
      </c>
    </row>
    <row r="186" spans="2:6" x14ac:dyDescent="0.3">
      <c r="B186" s="50">
        <f t="shared" si="2"/>
        <v>183</v>
      </c>
      <c r="C186" s="50" t="s">
        <v>436</v>
      </c>
      <c r="D186" s="56" t="s">
        <v>437</v>
      </c>
      <c r="E186" s="50">
        <v>31</v>
      </c>
      <c r="F186" s="50">
        <v>11933</v>
      </c>
    </row>
    <row r="187" spans="2:6" x14ac:dyDescent="0.3">
      <c r="B187" s="50">
        <f t="shared" si="2"/>
        <v>184</v>
      </c>
      <c r="C187" s="50" t="s">
        <v>438</v>
      </c>
      <c r="D187" s="56" t="s">
        <v>439</v>
      </c>
      <c r="E187" s="50">
        <v>31</v>
      </c>
      <c r="F187" s="50">
        <v>11933</v>
      </c>
    </row>
    <row r="188" spans="2:6" x14ac:dyDescent="0.3">
      <c r="B188" s="50">
        <f t="shared" si="2"/>
        <v>185</v>
      </c>
      <c r="C188" s="50" t="s">
        <v>440</v>
      </c>
      <c r="D188" s="56" t="s">
        <v>441</v>
      </c>
      <c r="E188" s="50">
        <v>31</v>
      </c>
      <c r="F188" s="50">
        <v>11933</v>
      </c>
    </row>
    <row r="189" spans="2:6" x14ac:dyDescent="0.3">
      <c r="B189" s="50">
        <f t="shared" si="2"/>
        <v>186</v>
      </c>
      <c r="C189" s="50" t="s">
        <v>442</v>
      </c>
      <c r="D189" s="56" t="s">
        <v>443</v>
      </c>
      <c r="E189" s="50">
        <v>28</v>
      </c>
      <c r="F189" s="50">
        <v>10929</v>
      </c>
    </row>
    <row r="190" spans="2:6" x14ac:dyDescent="0.3">
      <c r="B190" s="50">
        <f t="shared" si="2"/>
        <v>187</v>
      </c>
      <c r="C190" s="50" t="s">
        <v>444</v>
      </c>
      <c r="D190" s="56" t="s">
        <v>445</v>
      </c>
      <c r="E190" s="50">
        <v>31</v>
      </c>
      <c r="F190" s="50">
        <v>12760</v>
      </c>
    </row>
    <row r="191" spans="2:6" x14ac:dyDescent="0.3">
      <c r="B191" s="50">
        <f t="shared" si="2"/>
        <v>188</v>
      </c>
      <c r="C191" s="50" t="s">
        <v>446</v>
      </c>
      <c r="D191" s="56" t="s">
        <v>447</v>
      </c>
      <c r="E191" s="50">
        <v>31</v>
      </c>
      <c r="F191" s="50">
        <v>11550</v>
      </c>
    </row>
    <row r="192" spans="2:6" x14ac:dyDescent="0.3">
      <c r="B192" s="50">
        <f t="shared" si="2"/>
        <v>189</v>
      </c>
      <c r="C192" s="50" t="s">
        <v>448</v>
      </c>
      <c r="D192" s="56" t="s">
        <v>449</v>
      </c>
      <c r="E192" s="50">
        <v>31</v>
      </c>
      <c r="F192" s="50">
        <v>12760</v>
      </c>
    </row>
    <row r="193" spans="2:6" x14ac:dyDescent="0.3">
      <c r="B193" s="50">
        <f t="shared" si="2"/>
        <v>190</v>
      </c>
      <c r="C193" s="50" t="s">
        <v>450</v>
      </c>
      <c r="D193" s="56" t="s">
        <v>451</v>
      </c>
      <c r="E193" s="50">
        <v>31</v>
      </c>
      <c r="F193" s="50">
        <v>9200</v>
      </c>
    </row>
    <row r="194" spans="2:6" x14ac:dyDescent="0.3">
      <c r="B194" s="50">
        <f t="shared" si="2"/>
        <v>191</v>
      </c>
      <c r="C194" s="50" t="s">
        <v>452</v>
      </c>
      <c r="D194" s="56" t="s">
        <v>453</v>
      </c>
      <c r="E194" s="50">
        <v>31</v>
      </c>
      <c r="F194" s="50">
        <v>14939</v>
      </c>
    </row>
    <row r="195" spans="2:6" x14ac:dyDescent="0.3">
      <c r="B195" s="50">
        <f t="shared" si="2"/>
        <v>192</v>
      </c>
      <c r="C195" s="50" t="s">
        <v>254</v>
      </c>
      <c r="D195" s="56" t="s">
        <v>454</v>
      </c>
      <c r="E195" s="50">
        <v>31</v>
      </c>
      <c r="F195" s="50">
        <v>10500</v>
      </c>
    </row>
    <row r="196" spans="2:6" x14ac:dyDescent="0.3">
      <c r="B196" s="50">
        <f t="shared" si="2"/>
        <v>193</v>
      </c>
      <c r="C196" s="50" t="s">
        <v>455</v>
      </c>
      <c r="D196" s="56" t="s">
        <v>456</v>
      </c>
      <c r="E196" s="50">
        <v>31</v>
      </c>
      <c r="F196" s="50">
        <v>9170</v>
      </c>
    </row>
    <row r="197" spans="2:6" x14ac:dyDescent="0.3">
      <c r="B197" s="50">
        <f t="shared" si="2"/>
        <v>194</v>
      </c>
      <c r="C197" s="50" t="s">
        <v>457</v>
      </c>
      <c r="D197" s="56" t="s">
        <v>458</v>
      </c>
      <c r="E197" s="50">
        <v>31</v>
      </c>
      <c r="F197" s="50">
        <v>7793</v>
      </c>
    </row>
    <row r="198" spans="2:6" x14ac:dyDescent="0.3">
      <c r="B198" s="50">
        <f t="shared" ref="B198:B261" si="3">+B197+1</f>
        <v>195</v>
      </c>
      <c r="C198" s="50" t="s">
        <v>459</v>
      </c>
      <c r="D198" s="56" t="s">
        <v>460</v>
      </c>
      <c r="E198" s="50">
        <v>31</v>
      </c>
      <c r="F198" s="50">
        <v>8814</v>
      </c>
    </row>
    <row r="199" spans="2:6" x14ac:dyDescent="0.3">
      <c r="B199" s="50">
        <f t="shared" si="3"/>
        <v>196</v>
      </c>
      <c r="C199" s="50" t="s">
        <v>461</v>
      </c>
      <c r="D199" s="56" t="s">
        <v>462</v>
      </c>
      <c r="E199" s="50">
        <v>31</v>
      </c>
      <c r="F199" s="50">
        <v>8814</v>
      </c>
    </row>
    <row r="200" spans="2:6" x14ac:dyDescent="0.3">
      <c r="B200" s="50">
        <f t="shared" si="3"/>
        <v>197</v>
      </c>
      <c r="C200" s="50" t="s">
        <v>463</v>
      </c>
      <c r="D200" s="56" t="s">
        <v>464</v>
      </c>
      <c r="E200" s="50">
        <v>31</v>
      </c>
      <c r="F200" s="50">
        <v>8814</v>
      </c>
    </row>
    <row r="201" spans="2:6" x14ac:dyDescent="0.3">
      <c r="B201" s="50">
        <f t="shared" si="3"/>
        <v>198</v>
      </c>
      <c r="C201" s="50" t="s">
        <v>465</v>
      </c>
      <c r="D201" s="56" t="s">
        <v>466</v>
      </c>
      <c r="E201" s="50">
        <v>31</v>
      </c>
      <c r="F201" s="50">
        <v>8814</v>
      </c>
    </row>
    <row r="202" spans="2:6" x14ac:dyDescent="0.3">
      <c r="B202" s="50">
        <f t="shared" si="3"/>
        <v>199</v>
      </c>
      <c r="C202" s="50" t="s">
        <v>467</v>
      </c>
      <c r="D202" s="56" t="s">
        <v>468</v>
      </c>
      <c r="E202" s="50">
        <v>31</v>
      </c>
      <c r="F202" s="50">
        <v>8814</v>
      </c>
    </row>
    <row r="203" spans="2:6" x14ac:dyDescent="0.3">
      <c r="B203" s="50">
        <f t="shared" si="3"/>
        <v>200</v>
      </c>
      <c r="C203" s="50" t="s">
        <v>469</v>
      </c>
      <c r="D203" s="56" t="s">
        <v>470</v>
      </c>
      <c r="E203" s="50">
        <v>31</v>
      </c>
      <c r="F203" s="50">
        <v>8814</v>
      </c>
    </row>
    <row r="204" spans="2:6" x14ac:dyDescent="0.3">
      <c r="B204" s="50">
        <f t="shared" si="3"/>
        <v>201</v>
      </c>
      <c r="C204" s="50" t="s">
        <v>471</v>
      </c>
      <c r="D204" s="56" t="s">
        <v>472</v>
      </c>
      <c r="E204" s="50">
        <v>24</v>
      </c>
      <c r="F204" s="50">
        <v>6034</v>
      </c>
    </row>
    <row r="205" spans="2:6" x14ac:dyDescent="0.3">
      <c r="B205" s="50">
        <f t="shared" si="3"/>
        <v>202</v>
      </c>
      <c r="C205" s="50" t="s">
        <v>473</v>
      </c>
      <c r="D205" s="56" t="s">
        <v>474</v>
      </c>
      <c r="E205" s="50">
        <v>31</v>
      </c>
      <c r="F205" s="50">
        <v>8814</v>
      </c>
    </row>
    <row r="206" spans="2:6" x14ac:dyDescent="0.3">
      <c r="B206" s="50">
        <f t="shared" si="3"/>
        <v>203</v>
      </c>
      <c r="C206" s="50" t="s">
        <v>475</v>
      </c>
      <c r="D206" s="56" t="s">
        <v>476</v>
      </c>
      <c r="E206" s="50">
        <v>31</v>
      </c>
      <c r="F206" s="50">
        <v>8814</v>
      </c>
    </row>
    <row r="207" spans="2:6" x14ac:dyDescent="0.3">
      <c r="B207" s="50">
        <f t="shared" si="3"/>
        <v>204</v>
      </c>
      <c r="C207" s="50" t="s">
        <v>477</v>
      </c>
      <c r="D207" s="56" t="s">
        <v>478</v>
      </c>
      <c r="E207" s="50">
        <v>31</v>
      </c>
      <c r="F207" s="50">
        <v>8112</v>
      </c>
    </row>
    <row r="208" spans="2:6" x14ac:dyDescent="0.3">
      <c r="B208" s="50">
        <f t="shared" si="3"/>
        <v>205</v>
      </c>
      <c r="C208" s="50" t="s">
        <v>479</v>
      </c>
      <c r="D208" s="56" t="s">
        <v>480</v>
      </c>
      <c r="E208" s="50">
        <v>31</v>
      </c>
      <c r="F208" s="50">
        <v>7793</v>
      </c>
    </row>
    <row r="209" spans="2:6" x14ac:dyDescent="0.3">
      <c r="B209" s="50">
        <f t="shared" si="3"/>
        <v>206</v>
      </c>
      <c r="C209" s="50" t="s">
        <v>481</v>
      </c>
      <c r="D209" s="56" t="s">
        <v>482</v>
      </c>
      <c r="E209" s="50">
        <v>26</v>
      </c>
      <c r="F209" s="50">
        <v>7392</v>
      </c>
    </row>
    <row r="210" spans="2:6" x14ac:dyDescent="0.3">
      <c r="B210" s="50">
        <f t="shared" si="3"/>
        <v>207</v>
      </c>
      <c r="C210" s="50" t="s">
        <v>483</v>
      </c>
      <c r="D210" s="56" t="s">
        <v>484</v>
      </c>
      <c r="E210" s="50">
        <v>31</v>
      </c>
      <c r="F210" s="50">
        <v>8814</v>
      </c>
    </row>
    <row r="211" spans="2:6" x14ac:dyDescent="0.3">
      <c r="B211" s="50">
        <f t="shared" si="3"/>
        <v>208</v>
      </c>
      <c r="C211" s="50" t="s">
        <v>485</v>
      </c>
      <c r="D211" s="56" t="s">
        <v>486</v>
      </c>
      <c r="E211" s="50">
        <v>31</v>
      </c>
      <c r="F211" s="50">
        <v>8112</v>
      </c>
    </row>
    <row r="212" spans="2:6" x14ac:dyDescent="0.3">
      <c r="B212" s="50">
        <f t="shared" si="3"/>
        <v>209</v>
      </c>
      <c r="C212" s="50" t="s">
        <v>487</v>
      </c>
      <c r="D212" s="56" t="s">
        <v>488</v>
      </c>
      <c r="E212" s="50">
        <v>31</v>
      </c>
      <c r="F212" s="50">
        <v>7185</v>
      </c>
    </row>
    <row r="213" spans="2:6" x14ac:dyDescent="0.3">
      <c r="B213" s="50">
        <f t="shared" si="3"/>
        <v>210</v>
      </c>
      <c r="C213" s="50" t="s">
        <v>489</v>
      </c>
      <c r="D213" s="56" t="s">
        <v>490</v>
      </c>
      <c r="E213" s="50">
        <v>31</v>
      </c>
      <c r="F213" s="50">
        <v>7185</v>
      </c>
    </row>
    <row r="214" spans="2:6" x14ac:dyDescent="0.3">
      <c r="B214" s="50">
        <f t="shared" si="3"/>
        <v>211</v>
      </c>
      <c r="C214" s="50" t="s">
        <v>491</v>
      </c>
      <c r="D214" s="56" t="s">
        <v>492</v>
      </c>
      <c r="E214" s="50">
        <v>31</v>
      </c>
      <c r="F214" s="50">
        <v>7185</v>
      </c>
    </row>
    <row r="215" spans="2:6" x14ac:dyDescent="0.3">
      <c r="B215" s="50">
        <f t="shared" si="3"/>
        <v>212</v>
      </c>
      <c r="C215" s="50" t="s">
        <v>493</v>
      </c>
      <c r="D215" s="56" t="s">
        <v>494</v>
      </c>
      <c r="E215" s="50">
        <v>31</v>
      </c>
      <c r="F215" s="50">
        <v>7793</v>
      </c>
    </row>
    <row r="216" spans="2:6" x14ac:dyDescent="0.3">
      <c r="B216" s="50">
        <f t="shared" si="3"/>
        <v>213</v>
      </c>
      <c r="C216" s="50" t="s">
        <v>495</v>
      </c>
      <c r="D216" s="56" t="s">
        <v>496</v>
      </c>
      <c r="E216" s="50">
        <v>31</v>
      </c>
      <c r="F216" s="50">
        <v>7185</v>
      </c>
    </row>
    <row r="217" spans="2:6" x14ac:dyDescent="0.3">
      <c r="B217" s="50">
        <f t="shared" si="3"/>
        <v>214</v>
      </c>
      <c r="C217" s="50" t="s">
        <v>497</v>
      </c>
      <c r="D217" s="56" t="s">
        <v>498</v>
      </c>
      <c r="E217" s="50">
        <v>31</v>
      </c>
      <c r="F217" s="50">
        <v>7185</v>
      </c>
    </row>
    <row r="218" spans="2:6" x14ac:dyDescent="0.3">
      <c r="B218" s="50">
        <f t="shared" si="3"/>
        <v>215</v>
      </c>
      <c r="C218" s="50" t="s">
        <v>499</v>
      </c>
      <c r="D218" s="56" t="s">
        <v>500</v>
      </c>
      <c r="E218" s="50">
        <v>31</v>
      </c>
      <c r="F218" s="50">
        <v>7793</v>
      </c>
    </row>
    <row r="219" spans="2:6" x14ac:dyDescent="0.3">
      <c r="B219" s="50">
        <f t="shared" si="3"/>
        <v>216</v>
      </c>
      <c r="C219" s="50" t="s">
        <v>501</v>
      </c>
      <c r="D219" s="56" t="s">
        <v>502</v>
      </c>
      <c r="E219" s="50">
        <v>31</v>
      </c>
      <c r="F219" s="50">
        <v>7185</v>
      </c>
    </row>
    <row r="220" spans="2:6" x14ac:dyDescent="0.3">
      <c r="B220" s="50">
        <f t="shared" si="3"/>
        <v>217</v>
      </c>
      <c r="C220" s="50" t="s">
        <v>503</v>
      </c>
      <c r="D220" s="56" t="s">
        <v>504</v>
      </c>
      <c r="E220" s="50">
        <v>31</v>
      </c>
      <c r="F220" s="50">
        <v>9050</v>
      </c>
    </row>
    <row r="221" spans="2:6" x14ac:dyDescent="0.3">
      <c r="B221" s="50">
        <f t="shared" si="3"/>
        <v>218</v>
      </c>
      <c r="C221" s="50" t="s">
        <v>505</v>
      </c>
      <c r="D221" s="56" t="s">
        <v>506</v>
      </c>
      <c r="E221" s="50">
        <v>31</v>
      </c>
      <c r="F221" s="50">
        <v>7185</v>
      </c>
    </row>
    <row r="222" spans="2:6" x14ac:dyDescent="0.3">
      <c r="B222" s="50">
        <f t="shared" si="3"/>
        <v>219</v>
      </c>
      <c r="C222" s="50" t="s">
        <v>507</v>
      </c>
      <c r="D222" s="56" t="s">
        <v>508</v>
      </c>
      <c r="E222" s="50">
        <v>31</v>
      </c>
      <c r="F222" s="50">
        <v>7185</v>
      </c>
    </row>
    <row r="223" spans="2:6" x14ac:dyDescent="0.3">
      <c r="B223" s="50">
        <f t="shared" si="3"/>
        <v>220</v>
      </c>
      <c r="C223" s="50" t="s">
        <v>509</v>
      </c>
      <c r="D223" s="56" t="s">
        <v>510</v>
      </c>
      <c r="E223" s="50">
        <v>31</v>
      </c>
      <c r="F223" s="50">
        <v>7185</v>
      </c>
    </row>
    <row r="224" spans="2:6" x14ac:dyDescent="0.3">
      <c r="B224" s="50">
        <f t="shared" si="3"/>
        <v>221</v>
      </c>
      <c r="C224" s="50" t="s">
        <v>511</v>
      </c>
      <c r="D224" s="56" t="s">
        <v>512</v>
      </c>
      <c r="E224" s="50">
        <v>29</v>
      </c>
      <c r="F224" s="50">
        <v>6721</v>
      </c>
    </row>
    <row r="225" spans="2:6" x14ac:dyDescent="0.3">
      <c r="B225" s="50">
        <f t="shared" si="3"/>
        <v>222</v>
      </c>
      <c r="C225" s="50" t="s">
        <v>513</v>
      </c>
      <c r="D225" s="56" t="s">
        <v>514</v>
      </c>
      <c r="E225" s="50">
        <v>31</v>
      </c>
      <c r="F225" s="50">
        <v>7793</v>
      </c>
    </row>
    <row r="226" spans="2:6" x14ac:dyDescent="0.3">
      <c r="B226" s="50">
        <f t="shared" si="3"/>
        <v>223</v>
      </c>
      <c r="C226" s="50" t="s">
        <v>515</v>
      </c>
      <c r="D226" s="56" t="s">
        <v>516</v>
      </c>
      <c r="E226" s="50">
        <v>31</v>
      </c>
      <c r="F226" s="50">
        <v>7185</v>
      </c>
    </row>
    <row r="227" spans="2:6" x14ac:dyDescent="0.3">
      <c r="B227" s="50">
        <f t="shared" si="3"/>
        <v>224</v>
      </c>
      <c r="C227" s="50" t="s">
        <v>167</v>
      </c>
      <c r="D227" s="56" t="s">
        <v>517</v>
      </c>
      <c r="E227" s="50">
        <v>17</v>
      </c>
      <c r="F227" s="50">
        <v>4963</v>
      </c>
    </row>
    <row r="228" spans="2:6" x14ac:dyDescent="0.3">
      <c r="B228" s="50">
        <f t="shared" si="3"/>
        <v>225</v>
      </c>
      <c r="C228" s="50" t="s">
        <v>518</v>
      </c>
      <c r="D228" s="56" t="s">
        <v>519</v>
      </c>
      <c r="E228" s="50">
        <v>31</v>
      </c>
      <c r="F228" s="50">
        <v>14000</v>
      </c>
    </row>
    <row r="229" spans="2:6" x14ac:dyDescent="0.3">
      <c r="B229" s="50">
        <f t="shared" si="3"/>
        <v>226</v>
      </c>
      <c r="C229" s="50" t="s">
        <v>520</v>
      </c>
      <c r="D229" s="56" t="s">
        <v>521</v>
      </c>
      <c r="E229" s="50">
        <v>31</v>
      </c>
      <c r="F229" s="50">
        <v>12500</v>
      </c>
    </row>
    <row r="230" spans="2:6" x14ac:dyDescent="0.3">
      <c r="B230" s="50">
        <f t="shared" si="3"/>
        <v>227</v>
      </c>
      <c r="C230" s="50" t="s">
        <v>522</v>
      </c>
      <c r="D230" s="56" t="s">
        <v>523</v>
      </c>
      <c r="E230" s="50">
        <v>31</v>
      </c>
      <c r="F230" s="50">
        <v>10200</v>
      </c>
    </row>
    <row r="231" spans="2:6" x14ac:dyDescent="0.3">
      <c r="B231" s="50">
        <f t="shared" si="3"/>
        <v>228</v>
      </c>
      <c r="C231" s="50" t="s">
        <v>524</v>
      </c>
      <c r="D231" s="56" t="s">
        <v>525</v>
      </c>
      <c r="E231" s="50">
        <v>31</v>
      </c>
      <c r="F231" s="50">
        <v>10179</v>
      </c>
    </row>
    <row r="232" spans="2:6" x14ac:dyDescent="0.3">
      <c r="B232" s="50">
        <f t="shared" si="3"/>
        <v>229</v>
      </c>
      <c r="C232" s="50" t="s">
        <v>526</v>
      </c>
      <c r="D232" s="56" t="s">
        <v>527</v>
      </c>
      <c r="E232" s="50">
        <v>31</v>
      </c>
      <c r="F232" s="50">
        <v>13500</v>
      </c>
    </row>
    <row r="233" spans="2:6" x14ac:dyDescent="0.3">
      <c r="B233" s="50">
        <f t="shared" si="3"/>
        <v>230</v>
      </c>
      <c r="C233" s="50" t="s">
        <v>528</v>
      </c>
      <c r="D233" s="56" t="s">
        <v>529</v>
      </c>
      <c r="E233" s="50">
        <v>31</v>
      </c>
      <c r="F233" s="50">
        <v>13232</v>
      </c>
    </row>
    <row r="234" spans="2:6" x14ac:dyDescent="0.3">
      <c r="B234" s="50">
        <f t="shared" si="3"/>
        <v>231</v>
      </c>
      <c r="C234" s="50" t="s">
        <v>530</v>
      </c>
      <c r="D234" s="56" t="s">
        <v>531</v>
      </c>
      <c r="E234" s="50">
        <v>31</v>
      </c>
      <c r="F234" s="50">
        <v>12725</v>
      </c>
    </row>
    <row r="235" spans="2:6" x14ac:dyDescent="0.3">
      <c r="B235" s="50">
        <f t="shared" si="3"/>
        <v>232</v>
      </c>
      <c r="C235" s="50" t="s">
        <v>532</v>
      </c>
      <c r="D235" s="56" t="s">
        <v>533</v>
      </c>
      <c r="E235" s="50">
        <v>31</v>
      </c>
      <c r="F235" s="50">
        <v>11000</v>
      </c>
    </row>
    <row r="236" spans="2:6" x14ac:dyDescent="0.3">
      <c r="B236" s="50">
        <f t="shared" si="3"/>
        <v>233</v>
      </c>
      <c r="C236" s="50" t="s">
        <v>534</v>
      </c>
      <c r="D236" s="56" t="s">
        <v>535</v>
      </c>
      <c r="E236" s="50">
        <v>31</v>
      </c>
      <c r="F236" s="50">
        <v>11000</v>
      </c>
    </row>
    <row r="237" spans="2:6" x14ac:dyDescent="0.3">
      <c r="B237" s="50">
        <f t="shared" si="3"/>
        <v>234</v>
      </c>
      <c r="C237" s="50" t="s">
        <v>536</v>
      </c>
      <c r="D237" s="56" t="s">
        <v>537</v>
      </c>
      <c r="E237" s="50">
        <v>25</v>
      </c>
      <c r="F237" s="50">
        <v>7925</v>
      </c>
    </row>
    <row r="238" spans="2:6" x14ac:dyDescent="0.3">
      <c r="B238" s="50">
        <f t="shared" si="3"/>
        <v>235</v>
      </c>
      <c r="C238" s="50" t="s">
        <v>538</v>
      </c>
      <c r="D238" s="56" t="s">
        <v>539</v>
      </c>
      <c r="E238" s="50">
        <v>31</v>
      </c>
      <c r="F238" s="50">
        <v>9486</v>
      </c>
    </row>
    <row r="239" spans="2:6" x14ac:dyDescent="0.3">
      <c r="B239" s="50">
        <f t="shared" si="3"/>
        <v>236</v>
      </c>
      <c r="C239" s="50" t="s">
        <v>540</v>
      </c>
      <c r="D239" s="56" t="s">
        <v>541</v>
      </c>
      <c r="E239" s="50">
        <v>4</v>
      </c>
      <c r="F239" s="50">
        <v>1268</v>
      </c>
    </row>
    <row r="240" spans="2:6" x14ac:dyDescent="0.3">
      <c r="B240" s="50">
        <f t="shared" si="3"/>
        <v>237</v>
      </c>
      <c r="C240" s="50" t="s">
        <v>542</v>
      </c>
      <c r="D240" s="56" t="s">
        <v>543</v>
      </c>
      <c r="E240" s="50">
        <v>29</v>
      </c>
      <c r="F240" s="50">
        <v>10723</v>
      </c>
    </row>
    <row r="241" spans="2:6" x14ac:dyDescent="0.3">
      <c r="B241" s="50">
        <f t="shared" si="3"/>
        <v>238</v>
      </c>
      <c r="C241" s="50" t="s">
        <v>544</v>
      </c>
      <c r="D241" s="56" t="s">
        <v>545</v>
      </c>
      <c r="E241" s="50">
        <v>31</v>
      </c>
      <c r="F241" s="50">
        <v>6450</v>
      </c>
    </row>
    <row r="242" spans="2:6" x14ac:dyDescent="0.3">
      <c r="B242" s="50">
        <f t="shared" si="3"/>
        <v>239</v>
      </c>
      <c r="C242" s="50" t="s">
        <v>546</v>
      </c>
      <c r="D242" s="56" t="s">
        <v>547</v>
      </c>
      <c r="E242" s="50">
        <v>8</v>
      </c>
      <c r="F242" s="50">
        <v>2448</v>
      </c>
    </row>
    <row r="243" spans="2:6" x14ac:dyDescent="0.3">
      <c r="B243" s="50">
        <f t="shared" si="3"/>
        <v>240</v>
      </c>
      <c r="C243" s="50" t="s">
        <v>548</v>
      </c>
      <c r="D243" s="56" t="s">
        <v>549</v>
      </c>
      <c r="E243" s="50">
        <v>31</v>
      </c>
      <c r="F243" s="50">
        <v>6696</v>
      </c>
    </row>
    <row r="244" spans="2:6" x14ac:dyDescent="0.3">
      <c r="B244" s="50">
        <f t="shared" si="3"/>
        <v>241</v>
      </c>
      <c r="C244" s="50" t="s">
        <v>550</v>
      </c>
      <c r="D244" s="56" t="s">
        <v>551</v>
      </c>
      <c r="E244" s="50">
        <v>31</v>
      </c>
      <c r="F244" s="50">
        <v>6696</v>
      </c>
    </row>
    <row r="245" spans="2:6" x14ac:dyDescent="0.3">
      <c r="B245" s="50">
        <f t="shared" si="3"/>
        <v>242</v>
      </c>
      <c r="C245" s="50" t="s">
        <v>552</v>
      </c>
      <c r="D245" s="56" t="s">
        <v>553</v>
      </c>
      <c r="E245" s="50">
        <v>31</v>
      </c>
      <c r="F245" s="50">
        <v>6696</v>
      </c>
    </row>
    <row r="246" spans="2:6" x14ac:dyDescent="0.3">
      <c r="B246" s="50">
        <f t="shared" si="3"/>
        <v>243</v>
      </c>
      <c r="C246" s="50" t="s">
        <v>554</v>
      </c>
      <c r="D246" s="56" t="s">
        <v>555</v>
      </c>
      <c r="E246" s="50">
        <v>31</v>
      </c>
      <c r="F246" s="50">
        <v>6696</v>
      </c>
    </row>
    <row r="247" spans="2:6" x14ac:dyDescent="0.3">
      <c r="B247" s="50">
        <f t="shared" si="3"/>
        <v>244</v>
      </c>
      <c r="C247" s="50" t="s">
        <v>556</v>
      </c>
      <c r="D247" s="56" t="s">
        <v>557</v>
      </c>
      <c r="E247" s="50">
        <v>31</v>
      </c>
      <c r="F247" s="50">
        <v>6696</v>
      </c>
    </row>
    <row r="248" spans="2:6" x14ac:dyDescent="0.3">
      <c r="B248" s="50">
        <f t="shared" si="3"/>
        <v>245</v>
      </c>
      <c r="C248" s="50" t="s">
        <v>558</v>
      </c>
      <c r="D248" s="56" t="s">
        <v>559</v>
      </c>
      <c r="E248" s="50">
        <v>31</v>
      </c>
      <c r="F248" s="50">
        <v>6696</v>
      </c>
    </row>
    <row r="249" spans="2:6" x14ac:dyDescent="0.3">
      <c r="B249" s="50">
        <f t="shared" si="3"/>
        <v>246</v>
      </c>
      <c r="C249" s="50" t="s">
        <v>147</v>
      </c>
      <c r="D249" s="56" t="s">
        <v>560</v>
      </c>
      <c r="E249" s="50">
        <v>31</v>
      </c>
      <c r="F249" s="50">
        <v>6696</v>
      </c>
    </row>
    <row r="250" spans="2:6" x14ac:dyDescent="0.3">
      <c r="B250" s="50">
        <f t="shared" si="3"/>
        <v>247</v>
      </c>
      <c r="C250" s="50" t="s">
        <v>561</v>
      </c>
      <c r="D250" s="56" t="s">
        <v>562</v>
      </c>
      <c r="E250" s="50">
        <v>31</v>
      </c>
      <c r="F250" s="50">
        <v>6696</v>
      </c>
    </row>
    <row r="251" spans="2:6" x14ac:dyDescent="0.3">
      <c r="B251" s="50">
        <f t="shared" si="3"/>
        <v>248</v>
      </c>
      <c r="C251" s="50" t="s">
        <v>563</v>
      </c>
      <c r="D251" s="56" t="s">
        <v>564</v>
      </c>
      <c r="E251" s="50">
        <v>31</v>
      </c>
      <c r="F251" s="50">
        <v>6696</v>
      </c>
    </row>
    <row r="252" spans="2:6" x14ac:dyDescent="0.3">
      <c r="B252" s="50">
        <f t="shared" si="3"/>
        <v>249</v>
      </c>
      <c r="C252" s="50" t="s">
        <v>565</v>
      </c>
      <c r="D252" s="56" t="s">
        <v>566</v>
      </c>
      <c r="E252" s="50">
        <v>31</v>
      </c>
      <c r="F252" s="50">
        <v>6696</v>
      </c>
    </row>
    <row r="253" spans="2:6" x14ac:dyDescent="0.3">
      <c r="B253" s="50">
        <f t="shared" si="3"/>
        <v>250</v>
      </c>
      <c r="C253" s="50" t="s">
        <v>567</v>
      </c>
      <c r="D253" s="56" t="s">
        <v>568</v>
      </c>
      <c r="E253" s="50">
        <v>31</v>
      </c>
      <c r="F253" s="50">
        <v>6696</v>
      </c>
    </row>
    <row r="254" spans="2:6" x14ac:dyDescent="0.3">
      <c r="B254" s="50">
        <f t="shared" si="3"/>
        <v>251</v>
      </c>
      <c r="C254" s="50" t="s">
        <v>569</v>
      </c>
      <c r="D254" s="56" t="s">
        <v>570</v>
      </c>
      <c r="E254" s="50">
        <v>5</v>
      </c>
      <c r="F254" s="50">
        <v>1080</v>
      </c>
    </row>
    <row r="255" spans="2:6" x14ac:dyDescent="0.3">
      <c r="B255" s="50">
        <f t="shared" si="3"/>
        <v>252</v>
      </c>
      <c r="C255" s="50" t="s">
        <v>571</v>
      </c>
      <c r="D255" s="56" t="s">
        <v>572</v>
      </c>
      <c r="E255" s="50">
        <v>31</v>
      </c>
      <c r="F255" s="50">
        <v>6696</v>
      </c>
    </row>
    <row r="256" spans="2:6" x14ac:dyDescent="0.3">
      <c r="B256" s="50">
        <f t="shared" si="3"/>
        <v>253</v>
      </c>
      <c r="C256" s="50" t="s">
        <v>573</v>
      </c>
      <c r="D256" s="56" t="s">
        <v>574</v>
      </c>
      <c r="E256" s="50">
        <v>31</v>
      </c>
      <c r="F256" s="50">
        <v>6696</v>
      </c>
    </row>
    <row r="257" spans="2:6" x14ac:dyDescent="0.3">
      <c r="B257" s="50">
        <f t="shared" si="3"/>
        <v>254</v>
      </c>
      <c r="C257" s="50" t="s">
        <v>575</v>
      </c>
      <c r="D257" s="56" t="s">
        <v>576</v>
      </c>
      <c r="E257" s="50">
        <v>1</v>
      </c>
      <c r="F257" s="50">
        <v>216</v>
      </c>
    </row>
    <row r="258" spans="2:6" x14ac:dyDescent="0.3">
      <c r="B258" s="50">
        <f t="shared" si="3"/>
        <v>255</v>
      </c>
      <c r="C258" s="50" t="s">
        <v>577</v>
      </c>
      <c r="D258" s="56" t="s">
        <v>578</v>
      </c>
      <c r="E258" s="50">
        <v>25</v>
      </c>
      <c r="F258" s="50">
        <v>5400</v>
      </c>
    </row>
    <row r="259" spans="2:6" x14ac:dyDescent="0.3">
      <c r="B259" s="50">
        <f t="shared" si="3"/>
        <v>256</v>
      </c>
      <c r="C259" s="50" t="s">
        <v>579</v>
      </c>
      <c r="D259" s="56" t="s">
        <v>580</v>
      </c>
      <c r="E259" s="50">
        <v>31</v>
      </c>
      <c r="F259" s="50">
        <v>6696</v>
      </c>
    </row>
    <row r="260" spans="2:6" x14ac:dyDescent="0.3">
      <c r="B260" s="50">
        <f t="shared" si="3"/>
        <v>257</v>
      </c>
      <c r="C260" s="50" t="s">
        <v>581</v>
      </c>
      <c r="D260" s="56" t="s">
        <v>582</v>
      </c>
      <c r="E260" s="50">
        <v>15</v>
      </c>
      <c r="F260" s="50">
        <v>3240</v>
      </c>
    </row>
    <row r="261" spans="2:6" x14ac:dyDescent="0.3">
      <c r="B261" s="50">
        <f t="shared" si="3"/>
        <v>258</v>
      </c>
      <c r="C261" s="50" t="s">
        <v>583</v>
      </c>
      <c r="D261" s="56" t="s">
        <v>584</v>
      </c>
      <c r="E261" s="50">
        <v>31</v>
      </c>
      <c r="F261" s="50">
        <v>6696</v>
      </c>
    </row>
    <row r="262" spans="2:6" x14ac:dyDescent="0.3">
      <c r="B262" s="50">
        <f t="shared" ref="B262:B325" si="4">+B261+1</f>
        <v>259</v>
      </c>
      <c r="C262" s="50" t="s">
        <v>585</v>
      </c>
      <c r="D262" s="56" t="s">
        <v>586</v>
      </c>
      <c r="E262" s="50">
        <v>15</v>
      </c>
      <c r="F262" s="50">
        <v>3240</v>
      </c>
    </row>
    <row r="263" spans="2:6" x14ac:dyDescent="0.3">
      <c r="B263" s="50">
        <f t="shared" si="4"/>
        <v>260</v>
      </c>
      <c r="C263" s="50" t="s">
        <v>587</v>
      </c>
      <c r="D263" s="56" t="s">
        <v>588</v>
      </c>
      <c r="E263" s="50">
        <v>31</v>
      </c>
      <c r="F263" s="50">
        <v>6696</v>
      </c>
    </row>
    <row r="264" spans="2:6" x14ac:dyDescent="0.3">
      <c r="B264" s="50">
        <f t="shared" si="4"/>
        <v>261</v>
      </c>
      <c r="C264" s="50" t="s">
        <v>589</v>
      </c>
      <c r="D264" s="56" t="s">
        <v>590</v>
      </c>
      <c r="E264" s="50">
        <v>31</v>
      </c>
      <c r="F264" s="50">
        <v>6696</v>
      </c>
    </row>
    <row r="265" spans="2:6" x14ac:dyDescent="0.3">
      <c r="B265" s="50">
        <f t="shared" si="4"/>
        <v>262</v>
      </c>
      <c r="C265" s="50" t="s">
        <v>591</v>
      </c>
      <c r="D265" s="56" t="s">
        <v>592</v>
      </c>
      <c r="E265" s="50">
        <v>31</v>
      </c>
      <c r="F265" s="50">
        <v>6696</v>
      </c>
    </row>
    <row r="266" spans="2:6" x14ac:dyDescent="0.3">
      <c r="B266" s="50">
        <f t="shared" si="4"/>
        <v>263</v>
      </c>
      <c r="C266" s="50" t="s">
        <v>593</v>
      </c>
      <c r="D266" s="56" t="s">
        <v>594</v>
      </c>
      <c r="E266" s="50">
        <v>31</v>
      </c>
      <c r="F266" s="50">
        <v>6696</v>
      </c>
    </row>
    <row r="267" spans="2:6" x14ac:dyDescent="0.3">
      <c r="B267" s="50">
        <f t="shared" si="4"/>
        <v>264</v>
      </c>
      <c r="C267" s="50" t="s">
        <v>595</v>
      </c>
      <c r="D267" s="56" t="s">
        <v>596</v>
      </c>
      <c r="E267" s="50">
        <v>31</v>
      </c>
      <c r="F267" s="50">
        <v>6696</v>
      </c>
    </row>
    <row r="268" spans="2:6" x14ac:dyDescent="0.3">
      <c r="B268" s="50">
        <f t="shared" si="4"/>
        <v>265</v>
      </c>
      <c r="C268" s="50" t="s">
        <v>597</v>
      </c>
      <c r="D268" s="56" t="s">
        <v>598</v>
      </c>
      <c r="E268" s="50">
        <v>7</v>
      </c>
      <c r="F268" s="50">
        <v>1512</v>
      </c>
    </row>
    <row r="269" spans="2:6" x14ac:dyDescent="0.3">
      <c r="B269" s="50">
        <f t="shared" si="4"/>
        <v>266</v>
      </c>
      <c r="C269" s="50" t="s">
        <v>599</v>
      </c>
      <c r="D269" s="56" t="s">
        <v>600</v>
      </c>
      <c r="E269" s="50">
        <v>31</v>
      </c>
      <c r="F269" s="50">
        <v>6696</v>
      </c>
    </row>
    <row r="270" spans="2:6" x14ac:dyDescent="0.3">
      <c r="B270" s="50">
        <f t="shared" si="4"/>
        <v>267</v>
      </c>
      <c r="C270" s="50" t="s">
        <v>601</v>
      </c>
      <c r="D270" s="56" t="s">
        <v>602</v>
      </c>
      <c r="E270" s="50">
        <v>31</v>
      </c>
      <c r="F270" s="50">
        <v>6696</v>
      </c>
    </row>
    <row r="271" spans="2:6" x14ac:dyDescent="0.3">
      <c r="B271" s="50">
        <f t="shared" si="4"/>
        <v>268</v>
      </c>
      <c r="C271" s="50" t="s">
        <v>603</v>
      </c>
      <c r="D271" s="56" t="s">
        <v>604</v>
      </c>
      <c r="E271" s="50">
        <v>31</v>
      </c>
      <c r="F271" s="50">
        <v>6696</v>
      </c>
    </row>
    <row r="272" spans="2:6" x14ac:dyDescent="0.3">
      <c r="B272" s="50">
        <f t="shared" si="4"/>
        <v>269</v>
      </c>
      <c r="C272" s="50" t="s">
        <v>605</v>
      </c>
      <c r="D272" s="56" t="s">
        <v>606</v>
      </c>
      <c r="E272" s="50">
        <v>31</v>
      </c>
      <c r="F272" s="50">
        <v>6975</v>
      </c>
    </row>
    <row r="273" spans="2:6" x14ac:dyDescent="0.3">
      <c r="B273" s="50">
        <f t="shared" si="4"/>
        <v>270</v>
      </c>
      <c r="C273" s="50" t="s">
        <v>607</v>
      </c>
      <c r="D273" s="56" t="s">
        <v>608</v>
      </c>
      <c r="E273" s="50">
        <v>31</v>
      </c>
      <c r="F273" s="50">
        <v>6975</v>
      </c>
    </row>
    <row r="274" spans="2:6" x14ac:dyDescent="0.3">
      <c r="B274" s="50">
        <f t="shared" si="4"/>
        <v>271</v>
      </c>
      <c r="C274" s="50" t="s">
        <v>609</v>
      </c>
      <c r="D274" s="56" t="s">
        <v>610</v>
      </c>
      <c r="E274" s="50">
        <v>31</v>
      </c>
      <c r="F274" s="50">
        <v>6975</v>
      </c>
    </row>
    <row r="275" spans="2:6" x14ac:dyDescent="0.3">
      <c r="B275" s="50">
        <f t="shared" si="4"/>
        <v>272</v>
      </c>
      <c r="C275" s="50" t="s">
        <v>611</v>
      </c>
      <c r="D275" s="56" t="s">
        <v>612</v>
      </c>
      <c r="E275" s="50">
        <v>31</v>
      </c>
      <c r="F275" s="50">
        <v>7285</v>
      </c>
    </row>
    <row r="276" spans="2:6" x14ac:dyDescent="0.3">
      <c r="B276" s="50">
        <f t="shared" si="4"/>
        <v>273</v>
      </c>
      <c r="C276" s="50" t="s">
        <v>613</v>
      </c>
      <c r="D276" s="56" t="s">
        <v>614</v>
      </c>
      <c r="E276" s="50">
        <v>31</v>
      </c>
      <c r="F276" s="50">
        <v>7285</v>
      </c>
    </row>
    <row r="277" spans="2:6" x14ac:dyDescent="0.3">
      <c r="B277" s="50">
        <f t="shared" si="4"/>
        <v>274</v>
      </c>
      <c r="C277" s="50" t="s">
        <v>615</v>
      </c>
      <c r="D277" s="56" t="s">
        <v>616</v>
      </c>
      <c r="E277" s="50">
        <v>31</v>
      </c>
      <c r="F277" s="50">
        <v>7285</v>
      </c>
    </row>
    <row r="278" spans="2:6" x14ac:dyDescent="0.3">
      <c r="B278" s="50">
        <f t="shared" si="4"/>
        <v>275</v>
      </c>
      <c r="C278" s="50" t="s">
        <v>617</v>
      </c>
      <c r="D278" s="56" t="s">
        <v>618</v>
      </c>
      <c r="E278" s="50">
        <v>31</v>
      </c>
      <c r="F278" s="50">
        <v>7595</v>
      </c>
    </row>
    <row r="279" spans="2:6" x14ac:dyDescent="0.3">
      <c r="B279" s="50">
        <f t="shared" si="4"/>
        <v>276</v>
      </c>
      <c r="C279" s="50" t="s">
        <v>619</v>
      </c>
      <c r="D279" s="56" t="s">
        <v>620</v>
      </c>
      <c r="E279" s="50">
        <v>31</v>
      </c>
      <c r="F279" s="50">
        <v>8246</v>
      </c>
    </row>
    <row r="280" spans="2:6" x14ac:dyDescent="0.3">
      <c r="B280" s="50">
        <f t="shared" si="4"/>
        <v>277</v>
      </c>
      <c r="C280" s="50" t="s">
        <v>621</v>
      </c>
      <c r="D280" s="56" t="s">
        <v>622</v>
      </c>
      <c r="E280" s="50">
        <v>31</v>
      </c>
      <c r="F280" s="50">
        <v>8246</v>
      </c>
    </row>
    <row r="281" spans="2:6" x14ac:dyDescent="0.3">
      <c r="B281" s="50">
        <f t="shared" si="4"/>
        <v>278</v>
      </c>
      <c r="C281" s="50" t="s">
        <v>623</v>
      </c>
      <c r="D281" s="56" t="s">
        <v>624</v>
      </c>
      <c r="E281" s="50">
        <v>31</v>
      </c>
      <c r="F281" s="50">
        <v>8401</v>
      </c>
    </row>
    <row r="282" spans="2:6" x14ac:dyDescent="0.3">
      <c r="B282" s="50">
        <f t="shared" si="4"/>
        <v>279</v>
      </c>
      <c r="C282" s="50" t="s">
        <v>625</v>
      </c>
      <c r="D282" s="56" t="s">
        <v>626</v>
      </c>
      <c r="E282" s="50">
        <v>31</v>
      </c>
      <c r="F282" s="50">
        <v>10137</v>
      </c>
    </row>
    <row r="283" spans="2:6" x14ac:dyDescent="0.3">
      <c r="B283" s="50">
        <f t="shared" si="4"/>
        <v>280</v>
      </c>
      <c r="C283" s="50" t="s">
        <v>627</v>
      </c>
      <c r="D283" s="56" t="s">
        <v>628</v>
      </c>
      <c r="E283" s="50">
        <v>31</v>
      </c>
      <c r="F283" s="50">
        <v>8556</v>
      </c>
    </row>
    <row r="284" spans="2:6" x14ac:dyDescent="0.3">
      <c r="B284" s="50">
        <f t="shared" si="4"/>
        <v>281</v>
      </c>
      <c r="C284" s="50" t="s">
        <v>629</v>
      </c>
      <c r="D284" s="56" t="s">
        <v>630</v>
      </c>
      <c r="E284" s="50">
        <v>31</v>
      </c>
      <c r="F284" s="50">
        <v>9486</v>
      </c>
    </row>
    <row r="285" spans="2:6" x14ac:dyDescent="0.3">
      <c r="B285" s="50">
        <f t="shared" si="4"/>
        <v>282</v>
      </c>
      <c r="C285" s="50" t="s">
        <v>631</v>
      </c>
      <c r="D285" s="56" t="s">
        <v>632</v>
      </c>
      <c r="E285" s="50">
        <v>31</v>
      </c>
      <c r="F285" s="50">
        <v>8866</v>
      </c>
    </row>
    <row r="286" spans="2:6" x14ac:dyDescent="0.3">
      <c r="B286" s="50">
        <f t="shared" si="4"/>
        <v>283</v>
      </c>
      <c r="C286" s="50" t="s">
        <v>633</v>
      </c>
      <c r="D286" s="56" t="s">
        <v>634</v>
      </c>
      <c r="E286" s="50">
        <v>31</v>
      </c>
      <c r="F286" s="50">
        <v>8866</v>
      </c>
    </row>
    <row r="287" spans="2:6" x14ac:dyDescent="0.3">
      <c r="B287" s="50">
        <f t="shared" si="4"/>
        <v>284</v>
      </c>
      <c r="C287" s="50" t="s">
        <v>635</v>
      </c>
      <c r="D287" s="56" t="s">
        <v>636</v>
      </c>
      <c r="E287" s="50">
        <v>31</v>
      </c>
      <c r="F287" s="50">
        <v>8866</v>
      </c>
    </row>
    <row r="288" spans="2:6" x14ac:dyDescent="0.3">
      <c r="B288" s="50">
        <f t="shared" si="4"/>
        <v>285</v>
      </c>
      <c r="C288" s="50" t="s">
        <v>637</v>
      </c>
      <c r="D288" s="56" t="s">
        <v>638</v>
      </c>
      <c r="E288" s="50">
        <v>31</v>
      </c>
      <c r="F288" s="50">
        <v>9176</v>
      </c>
    </row>
    <row r="289" spans="2:6" x14ac:dyDescent="0.3">
      <c r="B289" s="50">
        <f t="shared" si="4"/>
        <v>286</v>
      </c>
      <c r="C289" s="50" t="s">
        <v>639</v>
      </c>
      <c r="D289" s="56" t="s">
        <v>640</v>
      </c>
      <c r="E289" s="50">
        <v>31</v>
      </c>
      <c r="F289" s="50">
        <v>9827</v>
      </c>
    </row>
    <row r="290" spans="2:6" x14ac:dyDescent="0.3">
      <c r="B290" s="50">
        <f t="shared" si="4"/>
        <v>287</v>
      </c>
      <c r="C290" s="50" t="s">
        <v>641</v>
      </c>
      <c r="D290" s="56" t="s">
        <v>642</v>
      </c>
      <c r="E290" s="50">
        <v>31</v>
      </c>
      <c r="F290" s="50">
        <v>9486</v>
      </c>
    </row>
    <row r="291" spans="2:6" x14ac:dyDescent="0.3">
      <c r="B291" s="50">
        <f t="shared" si="4"/>
        <v>288</v>
      </c>
      <c r="C291" s="50" t="s">
        <v>643</v>
      </c>
      <c r="D291" s="56" t="s">
        <v>644</v>
      </c>
      <c r="E291" s="50">
        <v>31</v>
      </c>
      <c r="F291" s="50">
        <v>9486</v>
      </c>
    </row>
    <row r="292" spans="2:6" x14ac:dyDescent="0.3">
      <c r="B292" s="50">
        <f t="shared" si="4"/>
        <v>289</v>
      </c>
      <c r="C292" s="50" t="s">
        <v>645</v>
      </c>
      <c r="D292" s="56" t="s">
        <v>646</v>
      </c>
      <c r="E292" s="50">
        <v>31</v>
      </c>
      <c r="F292" s="50">
        <v>9486</v>
      </c>
    </row>
    <row r="293" spans="2:6" x14ac:dyDescent="0.3">
      <c r="B293" s="50">
        <f t="shared" si="4"/>
        <v>290</v>
      </c>
      <c r="C293" s="50" t="s">
        <v>647</v>
      </c>
      <c r="D293" s="56" t="s">
        <v>648</v>
      </c>
      <c r="E293" s="50">
        <v>31</v>
      </c>
      <c r="F293" s="50">
        <v>9486</v>
      </c>
    </row>
    <row r="294" spans="2:6" x14ac:dyDescent="0.3">
      <c r="B294" s="50">
        <f t="shared" si="4"/>
        <v>291</v>
      </c>
      <c r="C294" s="50" t="s">
        <v>649</v>
      </c>
      <c r="D294" s="56" t="s">
        <v>650</v>
      </c>
      <c r="E294" s="50">
        <v>31</v>
      </c>
      <c r="F294" s="50">
        <v>9486</v>
      </c>
    </row>
    <row r="295" spans="2:6" x14ac:dyDescent="0.3">
      <c r="B295" s="50">
        <f t="shared" si="4"/>
        <v>292</v>
      </c>
      <c r="C295" s="50" t="s">
        <v>651</v>
      </c>
      <c r="D295" s="56" t="s">
        <v>652</v>
      </c>
      <c r="E295" s="50">
        <v>31</v>
      </c>
      <c r="F295" s="50">
        <v>9486</v>
      </c>
    </row>
    <row r="296" spans="2:6" x14ac:dyDescent="0.3">
      <c r="B296" s="50">
        <f t="shared" si="4"/>
        <v>293</v>
      </c>
      <c r="C296" s="50" t="s">
        <v>653</v>
      </c>
      <c r="D296" s="56" t="s">
        <v>654</v>
      </c>
      <c r="E296" s="50">
        <v>31</v>
      </c>
      <c r="F296" s="50">
        <v>10137</v>
      </c>
    </row>
    <row r="297" spans="2:6" x14ac:dyDescent="0.3">
      <c r="B297" s="50">
        <f t="shared" si="4"/>
        <v>294</v>
      </c>
      <c r="C297" s="50" t="s">
        <v>655</v>
      </c>
      <c r="D297" s="56" t="s">
        <v>656</v>
      </c>
      <c r="E297" s="50">
        <v>31</v>
      </c>
      <c r="F297" s="50">
        <v>9486</v>
      </c>
    </row>
    <row r="298" spans="2:6" x14ac:dyDescent="0.3">
      <c r="B298" s="50">
        <f t="shared" si="4"/>
        <v>295</v>
      </c>
      <c r="C298" s="50" t="s">
        <v>657</v>
      </c>
      <c r="D298" s="56" t="s">
        <v>658</v>
      </c>
      <c r="E298" s="50">
        <v>31</v>
      </c>
      <c r="F298" s="50">
        <v>9486</v>
      </c>
    </row>
    <row r="299" spans="2:6" x14ac:dyDescent="0.3">
      <c r="B299" s="50">
        <f t="shared" si="4"/>
        <v>296</v>
      </c>
      <c r="C299" s="50" t="s">
        <v>659</v>
      </c>
      <c r="D299" s="56" t="s">
        <v>660</v>
      </c>
      <c r="E299" s="50">
        <v>31</v>
      </c>
      <c r="F299" s="50">
        <v>9486</v>
      </c>
    </row>
    <row r="300" spans="2:6" x14ac:dyDescent="0.3">
      <c r="B300" s="50">
        <f t="shared" si="4"/>
        <v>297</v>
      </c>
      <c r="C300" s="50" t="s">
        <v>661</v>
      </c>
      <c r="D300" s="56" t="s">
        <v>662</v>
      </c>
      <c r="E300" s="50">
        <v>31</v>
      </c>
      <c r="F300" s="50">
        <v>10137</v>
      </c>
    </row>
    <row r="301" spans="2:6" x14ac:dyDescent="0.3">
      <c r="B301" s="50">
        <f t="shared" si="4"/>
        <v>298</v>
      </c>
      <c r="C301" s="50" t="s">
        <v>663</v>
      </c>
      <c r="D301" s="56" t="s">
        <v>664</v>
      </c>
      <c r="E301" s="50">
        <v>31</v>
      </c>
      <c r="F301" s="50">
        <v>10137</v>
      </c>
    </row>
    <row r="302" spans="2:6" x14ac:dyDescent="0.3">
      <c r="B302" s="50">
        <f t="shared" si="4"/>
        <v>299</v>
      </c>
      <c r="C302" s="50" t="s">
        <v>625</v>
      </c>
      <c r="D302" s="56" t="s">
        <v>665</v>
      </c>
      <c r="E302" s="50">
        <v>31</v>
      </c>
      <c r="F302" s="50">
        <v>8556</v>
      </c>
    </row>
    <row r="303" spans="2:6" x14ac:dyDescent="0.3">
      <c r="B303" s="50">
        <f t="shared" si="4"/>
        <v>300</v>
      </c>
      <c r="C303" s="50" t="s">
        <v>666</v>
      </c>
      <c r="D303" s="56" t="s">
        <v>667</v>
      </c>
      <c r="E303" s="50">
        <v>10</v>
      </c>
      <c r="F303" s="50">
        <v>3270</v>
      </c>
    </row>
    <row r="304" spans="2:6" x14ac:dyDescent="0.3">
      <c r="B304" s="50">
        <f t="shared" si="4"/>
        <v>301</v>
      </c>
      <c r="C304" s="50" t="s">
        <v>378</v>
      </c>
      <c r="D304" s="56" t="s">
        <v>668</v>
      </c>
      <c r="E304" s="50">
        <v>31</v>
      </c>
      <c r="F304" s="50">
        <v>10757</v>
      </c>
    </row>
    <row r="305" spans="2:6" x14ac:dyDescent="0.3">
      <c r="B305" s="50">
        <f t="shared" si="4"/>
        <v>302</v>
      </c>
      <c r="C305" s="50" t="s">
        <v>362</v>
      </c>
      <c r="D305" s="56" t="s">
        <v>669</v>
      </c>
      <c r="E305" s="50">
        <v>31</v>
      </c>
      <c r="F305" s="50">
        <v>11067</v>
      </c>
    </row>
    <row r="306" spans="2:6" x14ac:dyDescent="0.3">
      <c r="B306" s="50">
        <f t="shared" si="4"/>
        <v>303</v>
      </c>
      <c r="C306" s="50" t="s">
        <v>670</v>
      </c>
      <c r="D306" s="56" t="s">
        <v>671</v>
      </c>
      <c r="E306" s="50">
        <v>31</v>
      </c>
      <c r="F306" s="50">
        <v>12028</v>
      </c>
    </row>
    <row r="307" spans="2:6" x14ac:dyDescent="0.3">
      <c r="B307" s="50">
        <f t="shared" si="4"/>
        <v>304</v>
      </c>
      <c r="C307" s="50" t="s">
        <v>672</v>
      </c>
      <c r="D307" s="56" t="s">
        <v>673</v>
      </c>
      <c r="E307" s="50">
        <v>31</v>
      </c>
      <c r="F307" s="50">
        <v>12245</v>
      </c>
    </row>
    <row r="308" spans="2:6" x14ac:dyDescent="0.3">
      <c r="B308" s="50">
        <f t="shared" si="4"/>
        <v>305</v>
      </c>
      <c r="C308" s="50" t="s">
        <v>674</v>
      </c>
      <c r="D308" s="56" t="s">
        <v>675</v>
      </c>
      <c r="E308" s="50">
        <v>31</v>
      </c>
      <c r="F308" s="50">
        <v>8246</v>
      </c>
    </row>
    <row r="309" spans="2:6" x14ac:dyDescent="0.3">
      <c r="B309" s="50">
        <f t="shared" si="4"/>
        <v>306</v>
      </c>
      <c r="C309" s="50" t="s">
        <v>676</v>
      </c>
      <c r="D309" s="56" t="s">
        <v>677</v>
      </c>
      <c r="E309" s="50">
        <v>31</v>
      </c>
      <c r="F309" s="50">
        <v>6696</v>
      </c>
    </row>
    <row r="310" spans="2:6" x14ac:dyDescent="0.3">
      <c r="B310" s="50">
        <f t="shared" si="4"/>
        <v>307</v>
      </c>
      <c r="C310" s="50" t="s">
        <v>193</v>
      </c>
      <c r="D310" s="56" t="s">
        <v>678</v>
      </c>
      <c r="E310" s="50">
        <v>31</v>
      </c>
      <c r="F310" s="50">
        <v>7285</v>
      </c>
    </row>
    <row r="311" spans="2:6" x14ac:dyDescent="0.3">
      <c r="B311" s="50">
        <f t="shared" si="4"/>
        <v>308</v>
      </c>
      <c r="C311" s="50" t="s">
        <v>679</v>
      </c>
      <c r="D311" s="56" t="s">
        <v>680</v>
      </c>
      <c r="E311" s="50">
        <v>31</v>
      </c>
      <c r="F311" s="50">
        <v>9486</v>
      </c>
    </row>
    <row r="312" spans="2:6" x14ac:dyDescent="0.3">
      <c r="B312" s="50">
        <f t="shared" si="4"/>
        <v>309</v>
      </c>
      <c r="C312" s="50" t="s">
        <v>681</v>
      </c>
      <c r="D312" s="56" t="s">
        <v>682</v>
      </c>
      <c r="E312" s="50">
        <v>31</v>
      </c>
      <c r="F312" s="50">
        <v>9827</v>
      </c>
    </row>
    <row r="313" spans="2:6" x14ac:dyDescent="0.3">
      <c r="B313" s="50">
        <f t="shared" si="4"/>
        <v>310</v>
      </c>
      <c r="C313" s="50" t="s">
        <v>683</v>
      </c>
      <c r="D313" s="56" t="s">
        <v>684</v>
      </c>
      <c r="E313" s="50">
        <v>25</v>
      </c>
      <c r="F313" s="50">
        <v>8175</v>
      </c>
    </row>
    <row r="314" spans="2:6" x14ac:dyDescent="0.3">
      <c r="B314" s="50">
        <f t="shared" si="4"/>
        <v>311</v>
      </c>
      <c r="C314" s="50" t="s">
        <v>685</v>
      </c>
      <c r="D314" s="56" t="s">
        <v>686</v>
      </c>
      <c r="E314" s="50">
        <v>31</v>
      </c>
      <c r="F314" s="50">
        <v>7905</v>
      </c>
    </row>
    <row r="315" spans="2:6" x14ac:dyDescent="0.3">
      <c r="B315" s="50">
        <f t="shared" si="4"/>
        <v>312</v>
      </c>
      <c r="C315" s="50" t="s">
        <v>687</v>
      </c>
      <c r="D315" s="56" t="s">
        <v>688</v>
      </c>
      <c r="E315" s="50">
        <v>31</v>
      </c>
      <c r="F315" s="50">
        <v>6696</v>
      </c>
    </row>
    <row r="316" spans="2:6" x14ac:dyDescent="0.3">
      <c r="B316" s="50">
        <f t="shared" si="4"/>
        <v>313</v>
      </c>
      <c r="C316" s="50" t="s">
        <v>689</v>
      </c>
      <c r="D316" s="56" t="s">
        <v>690</v>
      </c>
      <c r="E316" s="50">
        <v>6</v>
      </c>
      <c r="F316" s="50">
        <v>1296</v>
      </c>
    </row>
    <row r="317" spans="2:6" x14ac:dyDescent="0.3">
      <c r="B317" s="50">
        <f t="shared" si="4"/>
        <v>314</v>
      </c>
      <c r="C317" s="50" t="s">
        <v>691</v>
      </c>
      <c r="D317" s="56" t="s">
        <v>692</v>
      </c>
      <c r="E317" s="50">
        <v>31</v>
      </c>
      <c r="F317" s="50">
        <v>6696</v>
      </c>
    </row>
    <row r="318" spans="2:6" x14ac:dyDescent="0.3">
      <c r="B318" s="50">
        <f t="shared" si="4"/>
        <v>315</v>
      </c>
      <c r="C318" s="50" t="s">
        <v>693</v>
      </c>
      <c r="D318" s="56" t="s">
        <v>694</v>
      </c>
      <c r="E318" s="50">
        <v>10</v>
      </c>
      <c r="F318" s="50">
        <v>2160</v>
      </c>
    </row>
    <row r="319" spans="2:6" x14ac:dyDescent="0.3">
      <c r="B319" s="50">
        <f t="shared" si="4"/>
        <v>316</v>
      </c>
      <c r="C319" s="50" t="s">
        <v>695</v>
      </c>
      <c r="D319" s="56" t="s">
        <v>696</v>
      </c>
      <c r="E319" s="50">
        <v>31</v>
      </c>
      <c r="F319" s="50">
        <v>6696</v>
      </c>
    </row>
    <row r="320" spans="2:6" x14ac:dyDescent="0.3">
      <c r="B320" s="50">
        <f t="shared" si="4"/>
        <v>317</v>
      </c>
      <c r="C320" s="50" t="s">
        <v>697</v>
      </c>
      <c r="D320" s="56" t="s">
        <v>698</v>
      </c>
      <c r="E320" s="50">
        <v>31</v>
      </c>
      <c r="F320" s="50">
        <v>9827</v>
      </c>
    </row>
    <row r="321" spans="2:6" x14ac:dyDescent="0.3">
      <c r="B321" s="50">
        <f t="shared" si="4"/>
        <v>318</v>
      </c>
      <c r="C321" s="50" t="s">
        <v>699</v>
      </c>
      <c r="D321" s="56" t="s">
        <v>700</v>
      </c>
      <c r="E321" s="50">
        <v>31</v>
      </c>
      <c r="F321" s="50">
        <v>7936</v>
      </c>
    </row>
    <row r="322" spans="2:6" x14ac:dyDescent="0.3">
      <c r="B322" s="50">
        <f t="shared" si="4"/>
        <v>319</v>
      </c>
      <c r="C322" s="50" t="s">
        <v>701</v>
      </c>
      <c r="D322" s="56" t="s">
        <v>702</v>
      </c>
      <c r="E322" s="50">
        <v>31</v>
      </c>
      <c r="F322" s="50">
        <v>7595</v>
      </c>
    </row>
    <row r="323" spans="2:6" x14ac:dyDescent="0.3">
      <c r="B323" s="50">
        <f t="shared" si="4"/>
        <v>320</v>
      </c>
      <c r="C323" s="50" t="s">
        <v>703</v>
      </c>
      <c r="D323" s="56" t="s">
        <v>704</v>
      </c>
      <c r="E323" s="50">
        <v>21</v>
      </c>
      <c r="F323" s="50">
        <v>6006</v>
      </c>
    </row>
    <row r="324" spans="2:6" x14ac:dyDescent="0.3">
      <c r="B324" s="50">
        <f t="shared" si="4"/>
        <v>321</v>
      </c>
      <c r="C324" s="50" t="s">
        <v>705</v>
      </c>
      <c r="D324" s="56" t="s">
        <v>706</v>
      </c>
      <c r="E324" s="50">
        <v>6</v>
      </c>
      <c r="F324" s="50">
        <v>1296</v>
      </c>
    </row>
    <row r="325" spans="2:6" x14ac:dyDescent="0.3">
      <c r="B325" s="50">
        <f t="shared" si="4"/>
        <v>322</v>
      </c>
      <c r="C325" s="50" t="s">
        <v>707</v>
      </c>
      <c r="D325" s="56" t="s">
        <v>708</v>
      </c>
      <c r="E325" s="50">
        <v>31</v>
      </c>
      <c r="F325" s="50">
        <v>6696</v>
      </c>
    </row>
    <row r="326" spans="2:6" x14ac:dyDescent="0.3">
      <c r="B326" s="50">
        <f t="shared" ref="B326:B389" si="5">+B325+1</f>
        <v>323</v>
      </c>
      <c r="C326" s="50" t="s">
        <v>709</v>
      </c>
      <c r="D326" s="56" t="s">
        <v>710</v>
      </c>
      <c r="E326" s="50">
        <v>10</v>
      </c>
      <c r="F326" s="50">
        <v>2160</v>
      </c>
    </row>
    <row r="327" spans="2:6" x14ac:dyDescent="0.3">
      <c r="B327" s="50">
        <f t="shared" si="5"/>
        <v>324</v>
      </c>
      <c r="C327" s="50" t="s">
        <v>151</v>
      </c>
      <c r="D327" s="56" t="s">
        <v>711</v>
      </c>
      <c r="E327" s="50">
        <v>31</v>
      </c>
      <c r="F327" s="50">
        <v>7595</v>
      </c>
    </row>
    <row r="328" spans="2:6" x14ac:dyDescent="0.3">
      <c r="B328" s="50">
        <f t="shared" si="5"/>
        <v>325</v>
      </c>
      <c r="C328" s="50" t="s">
        <v>356</v>
      </c>
      <c r="D328" s="56" t="s">
        <v>712</v>
      </c>
      <c r="E328" s="50">
        <v>31</v>
      </c>
      <c r="F328" s="50">
        <v>7936</v>
      </c>
    </row>
    <row r="329" spans="2:6" x14ac:dyDescent="0.3">
      <c r="B329" s="50">
        <f t="shared" si="5"/>
        <v>326</v>
      </c>
      <c r="C329" s="50" t="s">
        <v>713</v>
      </c>
      <c r="D329" s="56" t="s">
        <v>714</v>
      </c>
      <c r="E329" s="50">
        <v>31</v>
      </c>
      <c r="F329" s="50">
        <v>7936</v>
      </c>
    </row>
    <row r="330" spans="2:6" x14ac:dyDescent="0.3">
      <c r="B330" s="50">
        <f t="shared" si="5"/>
        <v>327</v>
      </c>
      <c r="C330" s="50" t="s">
        <v>715</v>
      </c>
      <c r="D330" s="56" t="s">
        <v>716</v>
      </c>
      <c r="E330" s="50">
        <v>31</v>
      </c>
      <c r="F330" s="50">
        <v>7936</v>
      </c>
    </row>
    <row r="331" spans="2:6" x14ac:dyDescent="0.3">
      <c r="B331" s="50">
        <f t="shared" si="5"/>
        <v>328</v>
      </c>
      <c r="C331" s="50" t="s">
        <v>717</v>
      </c>
      <c r="D331" s="56" t="s">
        <v>718</v>
      </c>
      <c r="E331" s="50">
        <v>31</v>
      </c>
      <c r="F331" s="50">
        <v>7936</v>
      </c>
    </row>
    <row r="332" spans="2:6" x14ac:dyDescent="0.3">
      <c r="B332" s="50">
        <f t="shared" si="5"/>
        <v>329</v>
      </c>
      <c r="C332" s="50" t="s">
        <v>719</v>
      </c>
      <c r="D332" s="56" t="s">
        <v>720</v>
      </c>
      <c r="E332" s="50">
        <v>31</v>
      </c>
      <c r="F332" s="50">
        <v>7936</v>
      </c>
    </row>
    <row r="333" spans="2:6" x14ac:dyDescent="0.3">
      <c r="B333" s="50">
        <f t="shared" si="5"/>
        <v>330</v>
      </c>
      <c r="C333" s="50" t="s">
        <v>721</v>
      </c>
      <c r="D333" s="56" t="s">
        <v>722</v>
      </c>
      <c r="E333" s="50">
        <v>31</v>
      </c>
      <c r="F333" s="50">
        <v>7936</v>
      </c>
    </row>
    <row r="334" spans="2:6" x14ac:dyDescent="0.3">
      <c r="B334" s="50">
        <f t="shared" si="5"/>
        <v>331</v>
      </c>
      <c r="C334" s="50" t="s">
        <v>723</v>
      </c>
      <c r="D334" s="56" t="s">
        <v>724</v>
      </c>
      <c r="E334" s="50">
        <v>8</v>
      </c>
      <c r="F334" s="50">
        <v>2048</v>
      </c>
    </row>
    <row r="335" spans="2:6" x14ac:dyDescent="0.3">
      <c r="B335" s="50">
        <f t="shared" si="5"/>
        <v>332</v>
      </c>
      <c r="C335" s="50" t="s">
        <v>725</v>
      </c>
      <c r="D335" s="56" t="s">
        <v>726</v>
      </c>
      <c r="E335" s="50">
        <v>31</v>
      </c>
      <c r="F335" s="50">
        <v>7936</v>
      </c>
    </row>
    <row r="336" spans="2:6" x14ac:dyDescent="0.3">
      <c r="B336" s="50">
        <f t="shared" si="5"/>
        <v>333</v>
      </c>
      <c r="C336" s="50" t="s">
        <v>727</v>
      </c>
      <c r="D336" s="56" t="s">
        <v>728</v>
      </c>
      <c r="E336" s="50">
        <v>8</v>
      </c>
      <c r="F336" s="50">
        <v>2616</v>
      </c>
    </row>
    <row r="337" spans="2:6" x14ac:dyDescent="0.3">
      <c r="B337" s="50">
        <f t="shared" si="5"/>
        <v>334</v>
      </c>
      <c r="C337" s="50" t="s">
        <v>729</v>
      </c>
      <c r="D337" s="56" t="s">
        <v>730</v>
      </c>
      <c r="E337" s="50">
        <v>14</v>
      </c>
      <c r="F337" s="50">
        <v>4144</v>
      </c>
    </row>
    <row r="338" spans="2:6" x14ac:dyDescent="0.3">
      <c r="B338" s="50">
        <f t="shared" si="5"/>
        <v>335</v>
      </c>
      <c r="C338" s="50" t="s">
        <v>731</v>
      </c>
      <c r="D338" s="56" t="s">
        <v>732</v>
      </c>
      <c r="E338" s="50">
        <v>31</v>
      </c>
      <c r="F338" s="50">
        <v>9176</v>
      </c>
    </row>
    <row r="339" spans="2:6" x14ac:dyDescent="0.3">
      <c r="B339" s="50">
        <f t="shared" si="5"/>
        <v>336</v>
      </c>
      <c r="C339" s="50" t="s">
        <v>733</v>
      </c>
      <c r="D339" s="56" t="s">
        <v>734</v>
      </c>
      <c r="E339" s="50">
        <v>31</v>
      </c>
      <c r="F339" s="50">
        <v>7936</v>
      </c>
    </row>
    <row r="340" spans="2:6" x14ac:dyDescent="0.3">
      <c r="B340" s="50">
        <f t="shared" si="5"/>
        <v>337</v>
      </c>
      <c r="C340" s="50" t="s">
        <v>62</v>
      </c>
      <c r="D340" s="56" t="s">
        <v>735</v>
      </c>
      <c r="E340" s="50">
        <v>20</v>
      </c>
      <c r="F340" s="50">
        <v>5120</v>
      </c>
    </row>
    <row r="341" spans="2:6" x14ac:dyDescent="0.3">
      <c r="B341" s="50">
        <f t="shared" si="5"/>
        <v>338</v>
      </c>
      <c r="C341" s="50" t="s">
        <v>167</v>
      </c>
      <c r="D341" s="56" t="s">
        <v>736</v>
      </c>
      <c r="E341" s="50">
        <v>31</v>
      </c>
      <c r="F341" s="50">
        <v>8866</v>
      </c>
    </row>
    <row r="342" spans="2:6" x14ac:dyDescent="0.3">
      <c r="B342" s="50">
        <f t="shared" si="5"/>
        <v>339</v>
      </c>
      <c r="C342" s="50" t="s">
        <v>737</v>
      </c>
      <c r="D342" s="56" t="s">
        <v>738</v>
      </c>
      <c r="E342" s="50">
        <v>31</v>
      </c>
      <c r="F342" s="50">
        <v>7936</v>
      </c>
    </row>
    <row r="343" spans="2:6" x14ac:dyDescent="0.3">
      <c r="B343" s="50">
        <f t="shared" si="5"/>
        <v>340</v>
      </c>
      <c r="C343" s="50" t="s">
        <v>739</v>
      </c>
      <c r="D343" s="56" t="s">
        <v>740</v>
      </c>
      <c r="E343" s="50">
        <v>31</v>
      </c>
      <c r="F343" s="50">
        <v>11067</v>
      </c>
    </row>
    <row r="344" spans="2:6" x14ac:dyDescent="0.3">
      <c r="B344" s="50">
        <f t="shared" si="5"/>
        <v>341</v>
      </c>
      <c r="C344" s="50" t="s">
        <v>741</v>
      </c>
      <c r="D344" s="56" t="s">
        <v>742</v>
      </c>
      <c r="E344" s="50">
        <v>31</v>
      </c>
      <c r="F344" s="50">
        <v>8246</v>
      </c>
    </row>
    <row r="345" spans="2:6" x14ac:dyDescent="0.3">
      <c r="B345" s="50">
        <f t="shared" si="5"/>
        <v>342</v>
      </c>
      <c r="C345" s="50" t="s">
        <v>743</v>
      </c>
      <c r="D345" s="56" t="s">
        <v>744</v>
      </c>
      <c r="E345" s="50">
        <v>31</v>
      </c>
      <c r="F345" s="50">
        <v>9021</v>
      </c>
    </row>
    <row r="346" spans="2:6" x14ac:dyDescent="0.3">
      <c r="B346" s="50">
        <f t="shared" si="5"/>
        <v>343</v>
      </c>
      <c r="C346" s="50" t="s">
        <v>745</v>
      </c>
      <c r="D346" s="56" t="s">
        <v>746</v>
      </c>
      <c r="E346" s="50">
        <v>1</v>
      </c>
      <c r="F346" s="50">
        <v>306</v>
      </c>
    </row>
    <row r="347" spans="2:6" x14ac:dyDescent="0.3">
      <c r="B347" s="50">
        <f t="shared" si="5"/>
        <v>344</v>
      </c>
      <c r="C347" s="50" t="s">
        <v>747</v>
      </c>
      <c r="D347" s="56" t="s">
        <v>748</v>
      </c>
      <c r="E347" s="50">
        <v>31</v>
      </c>
      <c r="F347" s="50">
        <v>9021</v>
      </c>
    </row>
    <row r="348" spans="2:6" x14ac:dyDescent="0.3">
      <c r="B348" s="50">
        <f t="shared" si="5"/>
        <v>345</v>
      </c>
      <c r="C348" s="50" t="s">
        <v>749</v>
      </c>
      <c r="D348" s="56" t="s">
        <v>750</v>
      </c>
      <c r="E348" s="50">
        <v>31</v>
      </c>
      <c r="F348" s="50">
        <v>8246</v>
      </c>
    </row>
    <row r="349" spans="2:6" x14ac:dyDescent="0.3">
      <c r="B349" s="50">
        <f t="shared" si="5"/>
        <v>346</v>
      </c>
      <c r="C349" s="50" t="s">
        <v>751</v>
      </c>
      <c r="D349" s="56" t="s">
        <v>752</v>
      </c>
      <c r="E349" s="50">
        <v>31</v>
      </c>
      <c r="F349" s="50">
        <v>9021</v>
      </c>
    </row>
    <row r="350" spans="2:6" x14ac:dyDescent="0.3">
      <c r="B350" s="50">
        <f t="shared" si="5"/>
        <v>347</v>
      </c>
      <c r="C350" s="50" t="s">
        <v>753</v>
      </c>
      <c r="D350" s="56" t="s">
        <v>754</v>
      </c>
      <c r="E350" s="50">
        <v>31</v>
      </c>
      <c r="F350" s="50">
        <v>9176</v>
      </c>
    </row>
    <row r="351" spans="2:6" x14ac:dyDescent="0.3">
      <c r="B351" s="50">
        <f t="shared" si="5"/>
        <v>348</v>
      </c>
      <c r="C351" s="50" t="s">
        <v>755</v>
      </c>
      <c r="D351" s="56" t="s">
        <v>756</v>
      </c>
      <c r="E351" s="50">
        <v>25</v>
      </c>
      <c r="F351" s="50">
        <v>5400</v>
      </c>
    </row>
    <row r="352" spans="2:6" x14ac:dyDescent="0.3">
      <c r="B352" s="50">
        <f t="shared" si="5"/>
        <v>349</v>
      </c>
      <c r="C352" s="50" t="s">
        <v>757</v>
      </c>
      <c r="D352" s="56" t="s">
        <v>758</v>
      </c>
      <c r="E352" s="50">
        <v>31</v>
      </c>
      <c r="F352" s="50">
        <v>9486</v>
      </c>
    </row>
    <row r="353" spans="2:6" x14ac:dyDescent="0.3">
      <c r="B353" s="50">
        <f t="shared" si="5"/>
        <v>350</v>
      </c>
      <c r="C353" s="50" t="s">
        <v>731</v>
      </c>
      <c r="D353" s="56" t="s">
        <v>759</v>
      </c>
      <c r="E353" s="50">
        <v>20</v>
      </c>
      <c r="F353" s="50">
        <v>4320</v>
      </c>
    </row>
    <row r="354" spans="2:6" x14ac:dyDescent="0.3">
      <c r="B354" s="50">
        <f t="shared" si="5"/>
        <v>351</v>
      </c>
      <c r="C354" s="50" t="s">
        <v>760</v>
      </c>
      <c r="D354" s="56" t="s">
        <v>761</v>
      </c>
      <c r="E354" s="50">
        <v>31</v>
      </c>
      <c r="F354" s="50">
        <v>9827</v>
      </c>
    </row>
    <row r="355" spans="2:6" x14ac:dyDescent="0.3">
      <c r="B355" s="50">
        <f t="shared" si="5"/>
        <v>352</v>
      </c>
      <c r="C355" s="50" t="s">
        <v>762</v>
      </c>
      <c r="D355" s="56" t="s">
        <v>763</v>
      </c>
      <c r="E355" s="50">
        <v>31</v>
      </c>
      <c r="F355" s="50">
        <v>6820</v>
      </c>
    </row>
    <row r="356" spans="2:6" x14ac:dyDescent="0.3">
      <c r="B356" s="50">
        <f t="shared" si="5"/>
        <v>353</v>
      </c>
      <c r="C356" s="50" t="s">
        <v>764</v>
      </c>
      <c r="D356" s="56" t="s">
        <v>765</v>
      </c>
      <c r="E356" s="50">
        <v>26</v>
      </c>
      <c r="F356" s="50">
        <v>5616</v>
      </c>
    </row>
    <row r="357" spans="2:6" x14ac:dyDescent="0.3">
      <c r="B357" s="50">
        <f t="shared" si="5"/>
        <v>354</v>
      </c>
      <c r="C357" s="50" t="s">
        <v>766</v>
      </c>
      <c r="D357" s="56" t="s">
        <v>767</v>
      </c>
      <c r="E357" s="50">
        <v>31</v>
      </c>
      <c r="F357" s="50">
        <v>12028</v>
      </c>
    </row>
    <row r="358" spans="2:6" x14ac:dyDescent="0.3">
      <c r="B358" s="50">
        <f t="shared" si="5"/>
        <v>355</v>
      </c>
      <c r="C358" s="50" t="s">
        <v>768</v>
      </c>
      <c r="D358" s="56" t="s">
        <v>769</v>
      </c>
      <c r="E358" s="50">
        <v>31</v>
      </c>
      <c r="F358" s="50">
        <v>14756</v>
      </c>
    </row>
    <row r="359" spans="2:6" x14ac:dyDescent="0.3">
      <c r="B359" s="50">
        <f t="shared" si="5"/>
        <v>356</v>
      </c>
      <c r="C359" s="50" t="s">
        <v>469</v>
      </c>
      <c r="D359" s="56" t="s">
        <v>770</v>
      </c>
      <c r="E359" s="50">
        <v>20</v>
      </c>
      <c r="F359" s="50">
        <v>4320</v>
      </c>
    </row>
    <row r="360" spans="2:6" x14ac:dyDescent="0.3">
      <c r="B360" s="50">
        <f t="shared" si="5"/>
        <v>357</v>
      </c>
      <c r="C360" s="50" t="s">
        <v>771</v>
      </c>
      <c r="D360" s="56" t="s">
        <v>772</v>
      </c>
      <c r="E360" s="50">
        <v>31</v>
      </c>
      <c r="F360" s="50">
        <v>9331</v>
      </c>
    </row>
    <row r="361" spans="2:6" x14ac:dyDescent="0.3">
      <c r="B361" s="50">
        <f t="shared" si="5"/>
        <v>358</v>
      </c>
      <c r="C361" s="50" t="s">
        <v>773</v>
      </c>
      <c r="D361" s="56" t="s">
        <v>774</v>
      </c>
      <c r="E361" s="50">
        <v>31</v>
      </c>
      <c r="F361" s="50">
        <v>6696</v>
      </c>
    </row>
    <row r="362" spans="2:6" x14ac:dyDescent="0.3">
      <c r="B362" s="50">
        <f t="shared" si="5"/>
        <v>359</v>
      </c>
      <c r="C362" s="50" t="s">
        <v>775</v>
      </c>
      <c r="D362" s="56" t="s">
        <v>776</v>
      </c>
      <c r="E362" s="50">
        <v>31</v>
      </c>
      <c r="F362" s="50">
        <v>7936</v>
      </c>
    </row>
    <row r="363" spans="2:6" x14ac:dyDescent="0.3">
      <c r="B363" s="50">
        <f t="shared" si="5"/>
        <v>360</v>
      </c>
      <c r="C363" s="50" t="s">
        <v>777</v>
      </c>
      <c r="D363" s="56" t="s">
        <v>778</v>
      </c>
      <c r="E363" s="50">
        <v>31</v>
      </c>
      <c r="F363" s="50">
        <v>7936</v>
      </c>
    </row>
    <row r="364" spans="2:6" x14ac:dyDescent="0.3">
      <c r="B364" s="50">
        <f t="shared" si="5"/>
        <v>361</v>
      </c>
      <c r="C364" s="50" t="s">
        <v>779</v>
      </c>
      <c r="D364" s="56" t="s">
        <v>780</v>
      </c>
      <c r="E364" s="50">
        <v>31</v>
      </c>
      <c r="F364" s="50">
        <v>6696</v>
      </c>
    </row>
    <row r="365" spans="2:6" x14ac:dyDescent="0.3">
      <c r="B365" s="50">
        <f t="shared" si="5"/>
        <v>362</v>
      </c>
      <c r="C365" s="50" t="s">
        <v>781</v>
      </c>
      <c r="D365" s="56" t="s">
        <v>782</v>
      </c>
      <c r="E365" s="50">
        <v>31</v>
      </c>
      <c r="F365" s="50">
        <v>7936</v>
      </c>
    </row>
    <row r="366" spans="2:6" x14ac:dyDescent="0.3">
      <c r="B366" s="50">
        <f t="shared" si="5"/>
        <v>363</v>
      </c>
      <c r="C366" s="50" t="s">
        <v>783</v>
      </c>
      <c r="D366" s="56" t="s">
        <v>784</v>
      </c>
      <c r="E366" s="50">
        <v>31</v>
      </c>
      <c r="F366" s="50">
        <v>6696</v>
      </c>
    </row>
    <row r="367" spans="2:6" x14ac:dyDescent="0.3">
      <c r="B367" s="50">
        <f t="shared" si="5"/>
        <v>364</v>
      </c>
      <c r="C367" s="50" t="s">
        <v>785</v>
      </c>
      <c r="D367" s="56" t="s">
        <v>786</v>
      </c>
      <c r="E367" s="50">
        <v>31</v>
      </c>
      <c r="F367" s="50">
        <v>6696</v>
      </c>
    </row>
    <row r="368" spans="2:6" x14ac:dyDescent="0.3">
      <c r="B368" s="50">
        <f t="shared" si="5"/>
        <v>365</v>
      </c>
      <c r="C368" s="50" t="s">
        <v>193</v>
      </c>
      <c r="D368" s="56" t="s">
        <v>787</v>
      </c>
      <c r="E368" s="50">
        <v>2</v>
      </c>
      <c r="F368" s="50">
        <v>432</v>
      </c>
    </row>
    <row r="369" spans="2:6" x14ac:dyDescent="0.3">
      <c r="B369" s="50">
        <f t="shared" si="5"/>
        <v>366</v>
      </c>
      <c r="C369" s="50" t="s">
        <v>788</v>
      </c>
      <c r="D369" s="56" t="s">
        <v>789</v>
      </c>
      <c r="E369" s="50">
        <v>31</v>
      </c>
      <c r="F369" s="50">
        <v>9176</v>
      </c>
    </row>
    <row r="370" spans="2:6" x14ac:dyDescent="0.3">
      <c r="B370" s="50">
        <f t="shared" si="5"/>
        <v>367</v>
      </c>
      <c r="C370" s="50" t="s">
        <v>790</v>
      </c>
      <c r="D370" s="56" t="s">
        <v>791</v>
      </c>
      <c r="E370" s="50">
        <v>31</v>
      </c>
      <c r="F370" s="50">
        <v>7595</v>
      </c>
    </row>
    <row r="371" spans="2:6" x14ac:dyDescent="0.3">
      <c r="B371" s="50">
        <f t="shared" si="5"/>
        <v>368</v>
      </c>
      <c r="C371" s="50" t="s">
        <v>792</v>
      </c>
      <c r="D371" s="56" t="s">
        <v>793</v>
      </c>
      <c r="E371" s="50">
        <v>31</v>
      </c>
      <c r="F371" s="50">
        <v>6696</v>
      </c>
    </row>
    <row r="372" spans="2:6" x14ac:dyDescent="0.3">
      <c r="B372" s="50">
        <f t="shared" si="5"/>
        <v>369</v>
      </c>
      <c r="C372" s="50" t="s">
        <v>794</v>
      </c>
      <c r="D372" s="56" t="s">
        <v>795</v>
      </c>
      <c r="E372" s="50">
        <v>20</v>
      </c>
      <c r="F372" s="50">
        <v>4320</v>
      </c>
    </row>
    <row r="373" spans="2:6" x14ac:dyDescent="0.3">
      <c r="B373" s="50">
        <f t="shared" si="5"/>
        <v>370</v>
      </c>
      <c r="C373" s="50" t="s">
        <v>796</v>
      </c>
      <c r="D373" s="56" t="s">
        <v>797</v>
      </c>
      <c r="E373" s="50">
        <v>2</v>
      </c>
      <c r="F373" s="50">
        <v>432</v>
      </c>
    </row>
    <row r="374" spans="2:6" x14ac:dyDescent="0.3">
      <c r="B374" s="50">
        <f t="shared" si="5"/>
        <v>371</v>
      </c>
      <c r="C374" s="50" t="s">
        <v>798</v>
      </c>
      <c r="D374" s="56" t="s">
        <v>799</v>
      </c>
      <c r="E374" s="50">
        <v>7</v>
      </c>
      <c r="F374" s="50">
        <v>1792</v>
      </c>
    </row>
    <row r="375" spans="2:6" x14ac:dyDescent="0.3">
      <c r="B375" s="50">
        <f t="shared" si="5"/>
        <v>372</v>
      </c>
      <c r="C375" s="50" t="s">
        <v>800</v>
      </c>
      <c r="D375" s="56" t="s">
        <v>801</v>
      </c>
      <c r="E375" s="50">
        <v>11</v>
      </c>
      <c r="F375" s="50">
        <v>3036</v>
      </c>
    </row>
    <row r="376" spans="2:6" x14ac:dyDescent="0.3">
      <c r="B376" s="50">
        <f t="shared" si="5"/>
        <v>373</v>
      </c>
      <c r="C376" s="50" t="s">
        <v>802</v>
      </c>
      <c r="D376" s="56" t="s">
        <v>803</v>
      </c>
      <c r="E376" s="50">
        <v>31</v>
      </c>
      <c r="F376" s="50">
        <v>6696</v>
      </c>
    </row>
    <row r="377" spans="2:6" x14ac:dyDescent="0.3">
      <c r="B377" s="50">
        <f t="shared" si="5"/>
        <v>374</v>
      </c>
      <c r="C377" s="50" t="s">
        <v>804</v>
      </c>
      <c r="D377" s="56" t="s">
        <v>805</v>
      </c>
      <c r="E377" s="50">
        <v>31</v>
      </c>
      <c r="F377" s="50">
        <v>9021</v>
      </c>
    </row>
    <row r="378" spans="2:6" x14ac:dyDescent="0.3">
      <c r="B378" s="50">
        <f t="shared" si="5"/>
        <v>375</v>
      </c>
      <c r="C378" s="50" t="s">
        <v>806</v>
      </c>
      <c r="D378" s="56" t="s">
        <v>807</v>
      </c>
      <c r="E378" s="50">
        <v>31</v>
      </c>
      <c r="F378" s="50">
        <v>6696</v>
      </c>
    </row>
    <row r="379" spans="2:6" x14ac:dyDescent="0.3">
      <c r="B379" s="50">
        <f t="shared" si="5"/>
        <v>376</v>
      </c>
      <c r="C379" s="50" t="s">
        <v>808</v>
      </c>
      <c r="D379" s="56" t="s">
        <v>809</v>
      </c>
      <c r="E379" s="50">
        <v>31</v>
      </c>
      <c r="F379" s="50">
        <v>6696</v>
      </c>
    </row>
    <row r="380" spans="2:6" x14ac:dyDescent="0.3">
      <c r="B380" s="50">
        <f t="shared" si="5"/>
        <v>377</v>
      </c>
      <c r="C380" s="50" t="s">
        <v>810</v>
      </c>
      <c r="D380" s="56" t="s">
        <v>811</v>
      </c>
      <c r="E380" s="50">
        <v>31</v>
      </c>
      <c r="F380" s="50">
        <v>6696</v>
      </c>
    </row>
    <row r="381" spans="2:6" x14ac:dyDescent="0.3">
      <c r="B381" s="50">
        <f t="shared" si="5"/>
        <v>378</v>
      </c>
      <c r="C381" s="50" t="s">
        <v>812</v>
      </c>
      <c r="D381" s="56" t="s">
        <v>813</v>
      </c>
      <c r="E381" s="50">
        <v>31</v>
      </c>
      <c r="F381" s="50">
        <v>9331</v>
      </c>
    </row>
    <row r="382" spans="2:6" x14ac:dyDescent="0.3">
      <c r="B382" s="50">
        <f t="shared" si="5"/>
        <v>379</v>
      </c>
      <c r="C382" s="50" t="s">
        <v>814</v>
      </c>
      <c r="D382" s="56" t="s">
        <v>815</v>
      </c>
      <c r="E382" s="50">
        <v>31</v>
      </c>
      <c r="F382" s="50">
        <v>6696</v>
      </c>
    </row>
    <row r="383" spans="2:6" x14ac:dyDescent="0.3">
      <c r="B383" s="50">
        <f t="shared" si="5"/>
        <v>380</v>
      </c>
      <c r="C383" s="50" t="s">
        <v>816</v>
      </c>
      <c r="D383" s="56" t="s">
        <v>817</v>
      </c>
      <c r="E383" s="50">
        <v>31</v>
      </c>
      <c r="F383" s="50">
        <v>7936</v>
      </c>
    </row>
    <row r="384" spans="2:6" x14ac:dyDescent="0.3">
      <c r="B384" s="50">
        <f t="shared" si="5"/>
        <v>381</v>
      </c>
      <c r="C384" s="50" t="s">
        <v>818</v>
      </c>
      <c r="D384" s="56" t="s">
        <v>819</v>
      </c>
      <c r="E384" s="50">
        <v>31</v>
      </c>
      <c r="F384" s="50">
        <v>6696</v>
      </c>
    </row>
    <row r="385" spans="2:6" x14ac:dyDescent="0.3">
      <c r="B385" s="50">
        <f t="shared" si="5"/>
        <v>382</v>
      </c>
      <c r="C385" s="50" t="s">
        <v>820</v>
      </c>
      <c r="D385" s="56" t="s">
        <v>821</v>
      </c>
      <c r="E385" s="50">
        <v>31</v>
      </c>
      <c r="F385" s="50">
        <v>6696</v>
      </c>
    </row>
    <row r="386" spans="2:6" x14ac:dyDescent="0.3">
      <c r="B386" s="50">
        <f t="shared" si="5"/>
        <v>383</v>
      </c>
      <c r="C386" s="50" t="s">
        <v>254</v>
      </c>
      <c r="D386" s="56" t="s">
        <v>822</v>
      </c>
      <c r="E386" s="50">
        <v>31</v>
      </c>
      <c r="F386" s="50">
        <v>6696</v>
      </c>
    </row>
    <row r="387" spans="2:6" x14ac:dyDescent="0.3">
      <c r="B387" s="50">
        <f t="shared" si="5"/>
        <v>384</v>
      </c>
      <c r="C387" s="50" t="s">
        <v>823</v>
      </c>
      <c r="D387" s="56" t="s">
        <v>824</v>
      </c>
      <c r="E387" s="50">
        <v>31</v>
      </c>
      <c r="F387" s="50">
        <v>7936</v>
      </c>
    </row>
    <row r="388" spans="2:6" x14ac:dyDescent="0.3">
      <c r="B388" s="50">
        <f t="shared" si="5"/>
        <v>385</v>
      </c>
      <c r="C388" s="50" t="s">
        <v>825</v>
      </c>
      <c r="D388" s="56" t="s">
        <v>826</v>
      </c>
      <c r="E388" s="50">
        <v>31</v>
      </c>
      <c r="F388" s="50">
        <v>6696</v>
      </c>
    </row>
    <row r="389" spans="2:6" x14ac:dyDescent="0.3">
      <c r="B389" s="50">
        <f t="shared" si="5"/>
        <v>386</v>
      </c>
      <c r="C389" s="50" t="s">
        <v>827</v>
      </c>
      <c r="D389" s="56" t="s">
        <v>828</v>
      </c>
      <c r="E389" s="50">
        <v>22</v>
      </c>
      <c r="F389" s="50">
        <v>5390</v>
      </c>
    </row>
    <row r="390" spans="2:6" x14ac:dyDescent="0.3">
      <c r="B390" s="50">
        <f t="shared" ref="B390:B453" si="6">+B389+1</f>
        <v>387</v>
      </c>
      <c r="C390" s="50" t="s">
        <v>829</v>
      </c>
      <c r="D390" s="56" t="s">
        <v>830</v>
      </c>
      <c r="E390" s="50">
        <v>31</v>
      </c>
      <c r="F390" s="50">
        <v>7936</v>
      </c>
    </row>
    <row r="391" spans="2:6" x14ac:dyDescent="0.3">
      <c r="B391" s="50">
        <f t="shared" si="6"/>
        <v>388</v>
      </c>
      <c r="C391" s="50" t="s">
        <v>831</v>
      </c>
      <c r="D391" s="56" t="s">
        <v>832</v>
      </c>
      <c r="E391" s="50">
        <v>7</v>
      </c>
      <c r="F391" s="50">
        <v>1512</v>
      </c>
    </row>
    <row r="392" spans="2:6" x14ac:dyDescent="0.3">
      <c r="B392" s="50">
        <f t="shared" si="6"/>
        <v>389</v>
      </c>
      <c r="C392" s="50" t="s">
        <v>833</v>
      </c>
      <c r="D392" s="56" t="s">
        <v>834</v>
      </c>
      <c r="E392" s="50">
        <v>31</v>
      </c>
      <c r="F392" s="50">
        <v>9021</v>
      </c>
    </row>
    <row r="393" spans="2:6" x14ac:dyDescent="0.3">
      <c r="B393" s="50">
        <f t="shared" si="6"/>
        <v>390</v>
      </c>
      <c r="C393" s="50" t="s">
        <v>835</v>
      </c>
      <c r="D393" s="56" t="s">
        <v>836</v>
      </c>
      <c r="E393" s="50">
        <v>25</v>
      </c>
      <c r="F393" s="50">
        <v>5400</v>
      </c>
    </row>
    <row r="394" spans="2:6" x14ac:dyDescent="0.3">
      <c r="B394" s="50">
        <f t="shared" si="6"/>
        <v>391</v>
      </c>
      <c r="C394" s="50" t="s">
        <v>837</v>
      </c>
      <c r="D394" s="56" t="s">
        <v>838</v>
      </c>
      <c r="E394" s="50">
        <v>20</v>
      </c>
      <c r="F394" s="50">
        <v>4900</v>
      </c>
    </row>
    <row r="395" spans="2:6" x14ac:dyDescent="0.3">
      <c r="B395" s="50">
        <f t="shared" si="6"/>
        <v>392</v>
      </c>
      <c r="C395" s="50" t="s">
        <v>839</v>
      </c>
      <c r="D395" s="56" t="s">
        <v>840</v>
      </c>
      <c r="E395" s="50">
        <v>31</v>
      </c>
      <c r="F395" s="50">
        <v>6696</v>
      </c>
    </row>
    <row r="396" spans="2:6" x14ac:dyDescent="0.3">
      <c r="B396" s="50">
        <f t="shared" si="6"/>
        <v>393</v>
      </c>
      <c r="C396" s="50" t="s">
        <v>841</v>
      </c>
      <c r="D396" s="56" t="s">
        <v>842</v>
      </c>
      <c r="E396" s="50">
        <v>15</v>
      </c>
      <c r="F396" s="50">
        <v>3840</v>
      </c>
    </row>
    <row r="397" spans="2:6" x14ac:dyDescent="0.3">
      <c r="B397" s="50">
        <f t="shared" si="6"/>
        <v>394</v>
      </c>
      <c r="C397" s="50" t="s">
        <v>843</v>
      </c>
      <c r="D397" s="56" t="s">
        <v>844</v>
      </c>
      <c r="E397" s="50">
        <v>31</v>
      </c>
      <c r="F397" s="50">
        <v>7936</v>
      </c>
    </row>
    <row r="398" spans="2:6" x14ac:dyDescent="0.3">
      <c r="B398" s="50">
        <f t="shared" si="6"/>
        <v>395</v>
      </c>
      <c r="C398" s="50" t="s">
        <v>845</v>
      </c>
      <c r="D398" s="56" t="s">
        <v>846</v>
      </c>
      <c r="E398" s="50">
        <v>31</v>
      </c>
      <c r="F398" s="50">
        <v>6696</v>
      </c>
    </row>
    <row r="399" spans="2:6" x14ac:dyDescent="0.3">
      <c r="B399" s="50">
        <f t="shared" si="6"/>
        <v>396</v>
      </c>
      <c r="C399" s="50" t="s">
        <v>847</v>
      </c>
      <c r="D399" s="56" t="s">
        <v>848</v>
      </c>
      <c r="E399" s="50">
        <v>31</v>
      </c>
      <c r="F399" s="50">
        <v>9827</v>
      </c>
    </row>
    <row r="400" spans="2:6" x14ac:dyDescent="0.3">
      <c r="B400" s="50">
        <f t="shared" si="6"/>
        <v>397</v>
      </c>
      <c r="C400" s="50" t="s">
        <v>849</v>
      </c>
      <c r="D400" s="56" t="s">
        <v>850</v>
      </c>
      <c r="E400" s="50">
        <v>31</v>
      </c>
      <c r="F400" s="50">
        <v>6696</v>
      </c>
    </row>
    <row r="401" spans="2:6" x14ac:dyDescent="0.3">
      <c r="B401" s="50">
        <f t="shared" si="6"/>
        <v>398</v>
      </c>
      <c r="C401" s="50" t="s">
        <v>851</v>
      </c>
      <c r="D401" s="56" t="s">
        <v>852</v>
      </c>
      <c r="E401" s="50">
        <v>31</v>
      </c>
      <c r="F401" s="50">
        <v>6696</v>
      </c>
    </row>
    <row r="402" spans="2:6" x14ac:dyDescent="0.3">
      <c r="B402" s="50">
        <f t="shared" si="6"/>
        <v>399</v>
      </c>
      <c r="C402" s="50" t="s">
        <v>853</v>
      </c>
      <c r="D402" s="56" t="s">
        <v>854</v>
      </c>
      <c r="E402" s="50">
        <v>31</v>
      </c>
      <c r="F402" s="50">
        <v>6696</v>
      </c>
    </row>
    <row r="403" spans="2:6" x14ac:dyDescent="0.3">
      <c r="B403" s="50">
        <f t="shared" si="6"/>
        <v>400</v>
      </c>
      <c r="C403" s="50" t="s">
        <v>855</v>
      </c>
      <c r="D403" s="56" t="s">
        <v>856</v>
      </c>
      <c r="E403" s="50">
        <v>31</v>
      </c>
      <c r="F403" s="50">
        <v>10757</v>
      </c>
    </row>
    <row r="404" spans="2:6" x14ac:dyDescent="0.3">
      <c r="B404" s="50">
        <f t="shared" si="6"/>
        <v>401</v>
      </c>
      <c r="C404" s="50" t="s">
        <v>857</v>
      </c>
      <c r="D404" s="56" t="s">
        <v>858</v>
      </c>
      <c r="E404" s="50">
        <v>31</v>
      </c>
      <c r="F404" s="50">
        <v>10137</v>
      </c>
    </row>
    <row r="405" spans="2:6" x14ac:dyDescent="0.3">
      <c r="B405" s="50">
        <f t="shared" si="6"/>
        <v>402</v>
      </c>
      <c r="C405" s="50" t="s">
        <v>859</v>
      </c>
      <c r="D405" s="56" t="s">
        <v>860</v>
      </c>
      <c r="E405" s="50">
        <v>31</v>
      </c>
      <c r="F405" s="50">
        <v>6696</v>
      </c>
    </row>
    <row r="406" spans="2:6" x14ac:dyDescent="0.3">
      <c r="B406" s="50">
        <f t="shared" si="6"/>
        <v>403</v>
      </c>
      <c r="C406" s="50" t="s">
        <v>861</v>
      </c>
      <c r="D406" s="56" t="s">
        <v>862</v>
      </c>
      <c r="E406" s="50">
        <v>31</v>
      </c>
      <c r="F406" s="50">
        <v>6696</v>
      </c>
    </row>
    <row r="407" spans="2:6" x14ac:dyDescent="0.3">
      <c r="B407" s="50">
        <f t="shared" si="6"/>
        <v>404</v>
      </c>
      <c r="C407" s="50" t="s">
        <v>133</v>
      </c>
      <c r="D407" s="56" t="s">
        <v>863</v>
      </c>
      <c r="E407" s="50">
        <v>31</v>
      </c>
      <c r="F407" s="50">
        <v>6696</v>
      </c>
    </row>
    <row r="408" spans="2:6" x14ac:dyDescent="0.3">
      <c r="B408" s="50">
        <f t="shared" si="6"/>
        <v>405</v>
      </c>
      <c r="C408" s="50" t="s">
        <v>864</v>
      </c>
      <c r="D408" s="56" t="s">
        <v>865</v>
      </c>
      <c r="E408" s="50">
        <v>31</v>
      </c>
      <c r="F408" s="50">
        <v>9176</v>
      </c>
    </row>
    <row r="409" spans="2:6" x14ac:dyDescent="0.3">
      <c r="B409" s="50">
        <f t="shared" si="6"/>
        <v>406</v>
      </c>
      <c r="C409" s="50" t="s">
        <v>866</v>
      </c>
      <c r="D409" s="56" t="s">
        <v>867</v>
      </c>
      <c r="E409" s="50">
        <v>31</v>
      </c>
      <c r="F409" s="50">
        <v>7905</v>
      </c>
    </row>
    <row r="410" spans="2:6" x14ac:dyDescent="0.3">
      <c r="B410" s="50">
        <f t="shared" si="6"/>
        <v>407</v>
      </c>
      <c r="C410" s="50" t="s">
        <v>868</v>
      </c>
      <c r="D410" s="56" t="s">
        <v>869</v>
      </c>
      <c r="E410" s="50">
        <v>31</v>
      </c>
      <c r="F410" s="50">
        <v>6696</v>
      </c>
    </row>
    <row r="411" spans="2:6" x14ac:dyDescent="0.3">
      <c r="B411" s="50">
        <f t="shared" si="6"/>
        <v>408</v>
      </c>
      <c r="C411" s="50" t="s">
        <v>870</v>
      </c>
      <c r="D411" s="56" t="s">
        <v>871</v>
      </c>
      <c r="E411" s="50">
        <v>31</v>
      </c>
      <c r="F411" s="50">
        <v>6696</v>
      </c>
    </row>
    <row r="412" spans="2:6" x14ac:dyDescent="0.3">
      <c r="B412" s="50">
        <f t="shared" si="6"/>
        <v>409</v>
      </c>
      <c r="C412" s="50" t="s">
        <v>872</v>
      </c>
      <c r="D412" s="56" t="s">
        <v>873</v>
      </c>
      <c r="E412" s="50">
        <v>31</v>
      </c>
      <c r="F412" s="50">
        <v>10757</v>
      </c>
    </row>
    <row r="413" spans="2:6" x14ac:dyDescent="0.3">
      <c r="B413" s="50">
        <f t="shared" si="6"/>
        <v>410</v>
      </c>
      <c r="C413" s="50" t="s">
        <v>469</v>
      </c>
      <c r="D413" s="56" t="s">
        <v>874</v>
      </c>
      <c r="E413" s="50">
        <v>5</v>
      </c>
      <c r="F413" s="50">
        <v>1450</v>
      </c>
    </row>
    <row r="414" spans="2:6" x14ac:dyDescent="0.3">
      <c r="B414" s="50">
        <f t="shared" si="6"/>
        <v>411</v>
      </c>
      <c r="C414" s="50" t="s">
        <v>875</v>
      </c>
      <c r="D414" s="56" t="s">
        <v>876</v>
      </c>
      <c r="E414" s="50">
        <v>31</v>
      </c>
      <c r="F414" s="50">
        <v>6656</v>
      </c>
    </row>
    <row r="415" spans="2:6" x14ac:dyDescent="0.3">
      <c r="B415" s="50">
        <f t="shared" si="6"/>
        <v>412</v>
      </c>
      <c r="C415" s="50" t="s">
        <v>877</v>
      </c>
      <c r="D415" s="56" t="s">
        <v>878</v>
      </c>
      <c r="E415" s="50">
        <v>31</v>
      </c>
      <c r="F415" s="50">
        <v>6656</v>
      </c>
    </row>
    <row r="416" spans="2:6" x14ac:dyDescent="0.3">
      <c r="B416" s="50">
        <f t="shared" si="6"/>
        <v>413</v>
      </c>
      <c r="C416" s="50" t="s">
        <v>879</v>
      </c>
      <c r="D416" s="56" t="s">
        <v>880</v>
      </c>
      <c r="E416" s="50">
        <v>31</v>
      </c>
      <c r="F416" s="50">
        <v>6656</v>
      </c>
    </row>
    <row r="417" spans="2:6" x14ac:dyDescent="0.3">
      <c r="B417" s="50">
        <f t="shared" si="6"/>
        <v>414</v>
      </c>
      <c r="C417" s="50" t="s">
        <v>881</v>
      </c>
      <c r="D417" s="56" t="s">
        <v>882</v>
      </c>
      <c r="E417" s="50">
        <v>31</v>
      </c>
      <c r="F417" s="50">
        <v>6987</v>
      </c>
    </row>
    <row r="418" spans="2:6" x14ac:dyDescent="0.3">
      <c r="B418" s="50">
        <f t="shared" si="6"/>
        <v>415</v>
      </c>
      <c r="C418" s="50" t="s">
        <v>883</v>
      </c>
      <c r="D418" s="56" t="s">
        <v>884</v>
      </c>
      <c r="E418" s="50">
        <v>31</v>
      </c>
      <c r="F418" s="50">
        <v>10743</v>
      </c>
    </row>
    <row r="419" spans="2:6" x14ac:dyDescent="0.3">
      <c r="B419" s="50">
        <f t="shared" si="6"/>
        <v>416</v>
      </c>
      <c r="C419" s="50" t="s">
        <v>885</v>
      </c>
      <c r="D419" s="56" t="s">
        <v>886</v>
      </c>
      <c r="E419" s="50">
        <v>31</v>
      </c>
      <c r="F419" s="50">
        <v>9961</v>
      </c>
    </row>
    <row r="420" spans="2:6" x14ac:dyDescent="0.3">
      <c r="B420" s="50">
        <f t="shared" si="6"/>
        <v>417</v>
      </c>
      <c r="C420" s="50" t="s">
        <v>887</v>
      </c>
      <c r="D420" s="56" t="s">
        <v>888</v>
      </c>
      <c r="E420" s="50">
        <v>31</v>
      </c>
      <c r="F420" s="50">
        <v>6656</v>
      </c>
    </row>
    <row r="421" spans="2:6" x14ac:dyDescent="0.3">
      <c r="B421" s="50">
        <f t="shared" si="6"/>
        <v>418</v>
      </c>
      <c r="C421" s="50" t="s">
        <v>889</v>
      </c>
      <c r="D421" s="56" t="s">
        <v>890</v>
      </c>
      <c r="E421" s="50">
        <v>31</v>
      </c>
      <c r="F421" s="50">
        <v>6656</v>
      </c>
    </row>
    <row r="422" spans="2:6" x14ac:dyDescent="0.3">
      <c r="B422" s="50">
        <f t="shared" si="6"/>
        <v>419</v>
      </c>
      <c r="C422" s="50" t="s">
        <v>891</v>
      </c>
      <c r="D422" s="56" t="s">
        <v>892</v>
      </c>
      <c r="E422" s="50">
        <v>3</v>
      </c>
      <c r="F422" s="50">
        <v>692</v>
      </c>
    </row>
    <row r="423" spans="2:6" x14ac:dyDescent="0.3">
      <c r="B423" s="50">
        <f t="shared" si="6"/>
        <v>420</v>
      </c>
      <c r="C423" s="50" t="s">
        <v>893</v>
      </c>
      <c r="D423" s="56" t="s">
        <v>894</v>
      </c>
      <c r="E423" s="50">
        <v>30</v>
      </c>
      <c r="F423" s="50">
        <v>13343</v>
      </c>
    </row>
    <row r="424" spans="2:6" x14ac:dyDescent="0.3">
      <c r="B424" s="50">
        <f t="shared" si="6"/>
        <v>421</v>
      </c>
      <c r="C424" s="50" t="s">
        <v>895</v>
      </c>
      <c r="D424" s="56" t="s">
        <v>896</v>
      </c>
      <c r="E424" s="50">
        <v>31</v>
      </c>
      <c r="F424" s="50">
        <v>10770</v>
      </c>
    </row>
    <row r="425" spans="2:6" x14ac:dyDescent="0.3">
      <c r="B425" s="50">
        <f t="shared" si="6"/>
        <v>422</v>
      </c>
      <c r="C425" s="50" t="s">
        <v>897</v>
      </c>
      <c r="D425" s="56" t="s">
        <v>898</v>
      </c>
      <c r="E425" s="50">
        <v>31</v>
      </c>
      <c r="F425" s="50">
        <v>14888</v>
      </c>
    </row>
    <row r="426" spans="2:6" x14ac:dyDescent="0.3">
      <c r="B426" s="50">
        <f t="shared" si="6"/>
        <v>423</v>
      </c>
      <c r="C426" s="50" t="s">
        <v>899</v>
      </c>
      <c r="D426" s="56" t="s">
        <v>900</v>
      </c>
      <c r="E426" s="50">
        <v>31</v>
      </c>
      <c r="F426" s="50">
        <v>14888</v>
      </c>
    </row>
    <row r="427" spans="2:6" x14ac:dyDescent="0.3">
      <c r="B427" s="50">
        <f t="shared" si="6"/>
        <v>424</v>
      </c>
      <c r="C427" s="50" t="s">
        <v>901</v>
      </c>
      <c r="D427" s="56" t="s">
        <v>902</v>
      </c>
      <c r="E427" s="50">
        <v>31</v>
      </c>
      <c r="F427" s="50">
        <v>7146</v>
      </c>
    </row>
    <row r="428" spans="2:6" x14ac:dyDescent="0.3">
      <c r="B428" s="50">
        <f t="shared" si="6"/>
        <v>425</v>
      </c>
      <c r="C428" s="50" t="s">
        <v>193</v>
      </c>
      <c r="D428" s="56" t="s">
        <v>903</v>
      </c>
      <c r="E428" s="50">
        <v>31</v>
      </c>
      <c r="F428" s="50">
        <v>14545</v>
      </c>
    </row>
    <row r="429" spans="2:6" x14ac:dyDescent="0.3">
      <c r="B429" s="50">
        <f t="shared" si="6"/>
        <v>426</v>
      </c>
      <c r="C429" s="50" t="s">
        <v>904</v>
      </c>
      <c r="D429" s="56" t="s">
        <v>905</v>
      </c>
      <c r="E429" s="50">
        <v>27</v>
      </c>
      <c r="F429" s="50">
        <v>5980</v>
      </c>
    </row>
    <row r="430" spans="2:6" x14ac:dyDescent="0.3">
      <c r="B430" s="50">
        <f t="shared" si="6"/>
        <v>427</v>
      </c>
      <c r="C430" s="50" t="s">
        <v>906</v>
      </c>
      <c r="D430" s="56" t="s">
        <v>907</v>
      </c>
      <c r="E430" s="50">
        <v>31</v>
      </c>
      <c r="F430" s="50">
        <v>9832</v>
      </c>
    </row>
    <row r="431" spans="2:6" x14ac:dyDescent="0.3">
      <c r="B431" s="50">
        <f t="shared" si="6"/>
        <v>428</v>
      </c>
      <c r="C431" s="50" t="s">
        <v>908</v>
      </c>
      <c r="D431" s="56" t="s">
        <v>909</v>
      </c>
      <c r="E431" s="50">
        <v>31</v>
      </c>
      <c r="F431" s="50">
        <v>9832</v>
      </c>
    </row>
    <row r="432" spans="2:6" x14ac:dyDescent="0.3">
      <c r="B432" s="50">
        <f t="shared" si="6"/>
        <v>429</v>
      </c>
      <c r="C432" s="50" t="s">
        <v>378</v>
      </c>
      <c r="D432" s="56" t="s">
        <v>910</v>
      </c>
      <c r="E432" s="50">
        <v>31</v>
      </c>
      <c r="F432" s="50">
        <v>9832</v>
      </c>
    </row>
    <row r="433" spans="2:6" x14ac:dyDescent="0.3">
      <c r="B433" s="50">
        <f t="shared" si="6"/>
        <v>430</v>
      </c>
      <c r="C433" s="50" t="s">
        <v>911</v>
      </c>
      <c r="D433" s="56" t="s">
        <v>912</v>
      </c>
      <c r="E433" s="50">
        <v>3</v>
      </c>
      <c r="F433" s="50">
        <v>648</v>
      </c>
    </row>
    <row r="434" spans="2:6" x14ac:dyDescent="0.3">
      <c r="B434" s="50">
        <f t="shared" si="6"/>
        <v>431</v>
      </c>
      <c r="C434" s="50" t="s">
        <v>913</v>
      </c>
      <c r="D434" s="56" t="s">
        <v>914</v>
      </c>
      <c r="E434" s="50">
        <v>20</v>
      </c>
      <c r="F434" s="50">
        <v>5720</v>
      </c>
    </row>
    <row r="435" spans="2:6" x14ac:dyDescent="0.3">
      <c r="B435" s="50">
        <f t="shared" si="6"/>
        <v>432</v>
      </c>
      <c r="C435" s="50" t="s">
        <v>915</v>
      </c>
      <c r="D435" s="56" t="s">
        <v>916</v>
      </c>
      <c r="E435" s="50">
        <v>31</v>
      </c>
      <c r="F435" s="50">
        <v>6696</v>
      </c>
    </row>
    <row r="436" spans="2:6" x14ac:dyDescent="0.3">
      <c r="B436" s="50">
        <f t="shared" si="6"/>
        <v>433</v>
      </c>
      <c r="C436" s="50" t="s">
        <v>917</v>
      </c>
      <c r="D436" s="56" t="s">
        <v>918</v>
      </c>
      <c r="E436" s="50">
        <v>31</v>
      </c>
      <c r="F436" s="50">
        <v>8525</v>
      </c>
    </row>
    <row r="437" spans="2:6" x14ac:dyDescent="0.3">
      <c r="B437" s="50">
        <f t="shared" si="6"/>
        <v>434</v>
      </c>
      <c r="C437" s="50" t="s">
        <v>919</v>
      </c>
      <c r="D437" s="56" t="s">
        <v>920</v>
      </c>
      <c r="E437" s="50">
        <v>31</v>
      </c>
      <c r="F437" s="50">
        <v>7905</v>
      </c>
    </row>
    <row r="438" spans="2:6" x14ac:dyDescent="0.3">
      <c r="B438" s="50">
        <f t="shared" si="6"/>
        <v>435</v>
      </c>
      <c r="C438" s="50" t="s">
        <v>921</v>
      </c>
      <c r="D438" s="56" t="s">
        <v>922</v>
      </c>
      <c r="E438" s="50">
        <v>31</v>
      </c>
      <c r="F438" s="50">
        <v>8401</v>
      </c>
    </row>
    <row r="439" spans="2:6" x14ac:dyDescent="0.3">
      <c r="B439" s="50">
        <f t="shared" si="6"/>
        <v>436</v>
      </c>
      <c r="C439" s="50" t="s">
        <v>923</v>
      </c>
      <c r="D439" s="56" t="s">
        <v>924</v>
      </c>
      <c r="E439" s="50">
        <v>31</v>
      </c>
      <c r="F439" s="50">
        <v>15000</v>
      </c>
    </row>
    <row r="440" spans="2:6" x14ac:dyDescent="0.3">
      <c r="B440" s="50">
        <f t="shared" si="6"/>
        <v>437</v>
      </c>
      <c r="C440" s="50" t="s">
        <v>925</v>
      </c>
      <c r="D440" s="56" t="s">
        <v>926</v>
      </c>
      <c r="E440" s="50">
        <v>31</v>
      </c>
      <c r="F440" s="50">
        <v>15000</v>
      </c>
    </row>
    <row r="441" spans="2:6" x14ac:dyDescent="0.3">
      <c r="B441" s="50">
        <f t="shared" si="6"/>
        <v>438</v>
      </c>
      <c r="C441" s="50" t="s">
        <v>927</v>
      </c>
      <c r="D441" s="56" t="s">
        <v>928</v>
      </c>
      <c r="E441" s="50">
        <v>31</v>
      </c>
      <c r="F441" s="50">
        <v>15000</v>
      </c>
    </row>
    <row r="442" spans="2:6" x14ac:dyDescent="0.3">
      <c r="B442" s="50">
        <f t="shared" si="6"/>
        <v>439</v>
      </c>
      <c r="C442" s="50" t="s">
        <v>929</v>
      </c>
      <c r="D442" s="56" t="s">
        <v>930</v>
      </c>
      <c r="E442" s="50">
        <v>31</v>
      </c>
      <c r="F442" s="50">
        <v>15000</v>
      </c>
    </row>
    <row r="443" spans="2:6" x14ac:dyDescent="0.3">
      <c r="B443" s="50">
        <f t="shared" si="6"/>
        <v>440</v>
      </c>
      <c r="C443" s="50" t="s">
        <v>931</v>
      </c>
      <c r="D443" s="56" t="s">
        <v>932</v>
      </c>
      <c r="E443" s="50">
        <v>31</v>
      </c>
      <c r="F443" s="50">
        <v>10202</v>
      </c>
    </row>
    <row r="444" spans="2:6" x14ac:dyDescent="0.3">
      <c r="B444" s="50">
        <f t="shared" si="6"/>
        <v>441</v>
      </c>
      <c r="C444" s="50" t="s">
        <v>933</v>
      </c>
      <c r="D444" s="56" t="s">
        <v>934</v>
      </c>
      <c r="E444" s="50">
        <v>31</v>
      </c>
      <c r="F444" s="50">
        <v>7779</v>
      </c>
    </row>
    <row r="445" spans="2:6" x14ac:dyDescent="0.3">
      <c r="B445" s="50">
        <f t="shared" si="6"/>
        <v>442</v>
      </c>
      <c r="C445" s="50" t="s">
        <v>935</v>
      </c>
      <c r="D445" s="56" t="s">
        <v>936</v>
      </c>
      <c r="E445" s="50">
        <v>31</v>
      </c>
      <c r="F445" s="50">
        <v>15000</v>
      </c>
    </row>
    <row r="446" spans="2:6" x14ac:dyDescent="0.3">
      <c r="B446" s="50">
        <f t="shared" si="6"/>
        <v>443</v>
      </c>
      <c r="C446" s="50" t="s">
        <v>937</v>
      </c>
      <c r="D446" s="56" t="s">
        <v>938</v>
      </c>
      <c r="E446" s="50">
        <v>31</v>
      </c>
      <c r="F446" s="50">
        <v>8814</v>
      </c>
    </row>
    <row r="447" spans="2:6" x14ac:dyDescent="0.3">
      <c r="B447" s="50">
        <f t="shared" si="6"/>
        <v>444</v>
      </c>
      <c r="C447" s="50" t="s">
        <v>939</v>
      </c>
      <c r="D447" s="56" t="s">
        <v>940</v>
      </c>
      <c r="E447" s="50">
        <v>31</v>
      </c>
      <c r="F447" s="50">
        <v>15000</v>
      </c>
    </row>
    <row r="448" spans="2:6" x14ac:dyDescent="0.3">
      <c r="B448" s="50">
        <f t="shared" si="6"/>
        <v>445</v>
      </c>
      <c r="C448" s="50" t="s">
        <v>941</v>
      </c>
      <c r="D448" s="56" t="s">
        <v>942</v>
      </c>
      <c r="E448" s="50">
        <v>31</v>
      </c>
      <c r="F448" s="50">
        <v>8814</v>
      </c>
    </row>
    <row r="449" spans="2:6" x14ac:dyDescent="0.3">
      <c r="B449" s="50">
        <f t="shared" si="6"/>
        <v>446</v>
      </c>
      <c r="C449" s="50" t="s">
        <v>943</v>
      </c>
      <c r="D449" s="56" t="s">
        <v>944</v>
      </c>
      <c r="E449" s="50">
        <v>31</v>
      </c>
      <c r="F449" s="50">
        <v>8814</v>
      </c>
    </row>
    <row r="450" spans="2:6" x14ac:dyDescent="0.3">
      <c r="B450" s="50">
        <f t="shared" si="6"/>
        <v>447</v>
      </c>
      <c r="C450" s="50" t="s">
        <v>945</v>
      </c>
      <c r="D450" s="56" t="s">
        <v>946</v>
      </c>
      <c r="E450" s="50">
        <v>31</v>
      </c>
      <c r="F450" s="50">
        <v>8814</v>
      </c>
    </row>
    <row r="451" spans="2:6" x14ac:dyDescent="0.3">
      <c r="B451" s="50">
        <f t="shared" si="6"/>
        <v>448</v>
      </c>
      <c r="C451" s="50" t="s">
        <v>947</v>
      </c>
      <c r="D451" s="56" t="s">
        <v>948</v>
      </c>
      <c r="E451" s="50">
        <v>31</v>
      </c>
      <c r="F451" s="50">
        <v>8814</v>
      </c>
    </row>
    <row r="452" spans="2:6" x14ac:dyDescent="0.3">
      <c r="B452" s="50">
        <f t="shared" si="6"/>
        <v>449</v>
      </c>
      <c r="C452" s="50" t="s">
        <v>949</v>
      </c>
      <c r="D452" s="56" t="s">
        <v>950</v>
      </c>
      <c r="E452" s="50">
        <v>31</v>
      </c>
      <c r="F452" s="50">
        <v>8334</v>
      </c>
    </row>
    <row r="453" spans="2:6" x14ac:dyDescent="0.3">
      <c r="B453" s="50">
        <f t="shared" si="6"/>
        <v>450</v>
      </c>
      <c r="C453" s="50" t="s">
        <v>951</v>
      </c>
      <c r="D453" s="56" t="s">
        <v>952</v>
      </c>
      <c r="E453" s="50">
        <v>31</v>
      </c>
      <c r="F453" s="50">
        <v>13537</v>
      </c>
    </row>
    <row r="454" spans="2:6" x14ac:dyDescent="0.3">
      <c r="B454" s="50">
        <f t="shared" ref="B454:B517" si="7">+B453+1</f>
        <v>451</v>
      </c>
      <c r="C454" s="50" t="s">
        <v>953</v>
      </c>
      <c r="D454" s="56" t="s">
        <v>954</v>
      </c>
      <c r="E454" s="50">
        <v>31</v>
      </c>
      <c r="F454" s="50">
        <v>12688</v>
      </c>
    </row>
    <row r="455" spans="2:6" x14ac:dyDescent="0.3">
      <c r="B455" s="50">
        <f t="shared" si="7"/>
        <v>452</v>
      </c>
      <c r="C455" s="50" t="s">
        <v>955</v>
      </c>
      <c r="D455" s="56" t="s">
        <v>956</v>
      </c>
      <c r="E455" s="50">
        <v>31</v>
      </c>
      <c r="F455" s="50">
        <v>10661</v>
      </c>
    </row>
    <row r="456" spans="2:6" x14ac:dyDescent="0.3">
      <c r="B456" s="50">
        <f t="shared" si="7"/>
        <v>453</v>
      </c>
      <c r="C456" s="50" t="s">
        <v>957</v>
      </c>
      <c r="D456" s="56" t="s">
        <v>958</v>
      </c>
      <c r="E456" s="50">
        <v>31</v>
      </c>
      <c r="F456" s="50">
        <v>14250</v>
      </c>
    </row>
    <row r="457" spans="2:6" x14ac:dyDescent="0.3">
      <c r="B457" s="50">
        <f t="shared" si="7"/>
        <v>454</v>
      </c>
      <c r="C457" s="50" t="s">
        <v>959</v>
      </c>
      <c r="D457" s="56" t="s">
        <v>960</v>
      </c>
      <c r="E457" s="50">
        <v>31</v>
      </c>
      <c r="F457" s="50">
        <v>9661</v>
      </c>
    </row>
    <row r="458" spans="2:6" x14ac:dyDescent="0.3">
      <c r="B458" s="50">
        <f t="shared" si="7"/>
        <v>455</v>
      </c>
      <c r="C458" s="50" t="s">
        <v>961</v>
      </c>
      <c r="D458" s="56" t="s">
        <v>962</v>
      </c>
      <c r="E458" s="50">
        <v>28</v>
      </c>
      <c r="F458" s="50">
        <v>6037</v>
      </c>
    </row>
    <row r="459" spans="2:6" x14ac:dyDescent="0.3">
      <c r="B459" s="50">
        <f t="shared" si="7"/>
        <v>456</v>
      </c>
      <c r="C459" s="50" t="s">
        <v>963</v>
      </c>
      <c r="D459" s="56" t="s">
        <v>964</v>
      </c>
      <c r="E459" s="50">
        <v>23</v>
      </c>
      <c r="F459" s="50">
        <v>4938</v>
      </c>
    </row>
    <row r="460" spans="2:6" x14ac:dyDescent="0.3">
      <c r="B460" s="50">
        <f t="shared" si="7"/>
        <v>457</v>
      </c>
      <c r="C460" s="50" t="s">
        <v>965</v>
      </c>
      <c r="D460" s="56" t="s">
        <v>966</v>
      </c>
      <c r="E460" s="50">
        <v>25</v>
      </c>
      <c r="F460" s="50">
        <v>5368</v>
      </c>
    </row>
    <row r="461" spans="2:6" x14ac:dyDescent="0.3">
      <c r="B461" s="50">
        <f t="shared" si="7"/>
        <v>458</v>
      </c>
      <c r="C461" s="50" t="s">
        <v>967</v>
      </c>
      <c r="D461" s="56" t="s">
        <v>968</v>
      </c>
      <c r="E461" s="50">
        <v>31</v>
      </c>
      <c r="F461" s="50">
        <v>9143</v>
      </c>
    </row>
    <row r="462" spans="2:6" x14ac:dyDescent="0.3">
      <c r="B462" s="50">
        <f t="shared" si="7"/>
        <v>459</v>
      </c>
      <c r="C462" s="50" t="s">
        <v>969</v>
      </c>
      <c r="D462" s="56" t="s">
        <v>970</v>
      </c>
      <c r="E462" s="50">
        <v>30</v>
      </c>
      <c r="F462" s="50">
        <v>11328</v>
      </c>
    </row>
    <row r="463" spans="2:6" x14ac:dyDescent="0.3">
      <c r="B463" s="50">
        <f t="shared" si="7"/>
        <v>460</v>
      </c>
      <c r="C463" s="50" t="s">
        <v>971</v>
      </c>
      <c r="D463" s="56" t="s">
        <v>972</v>
      </c>
      <c r="E463" s="50">
        <v>31</v>
      </c>
      <c r="F463" s="50">
        <v>8630</v>
      </c>
    </row>
    <row r="464" spans="2:6" x14ac:dyDescent="0.3">
      <c r="B464" s="50">
        <f t="shared" si="7"/>
        <v>461</v>
      </c>
      <c r="C464" s="50" t="s">
        <v>973</v>
      </c>
      <c r="D464" s="56" t="s">
        <v>974</v>
      </c>
      <c r="E464" s="50">
        <v>26</v>
      </c>
      <c r="F464" s="50">
        <v>5582</v>
      </c>
    </row>
    <row r="465" spans="2:6" x14ac:dyDescent="0.3">
      <c r="B465" s="50">
        <f t="shared" si="7"/>
        <v>462</v>
      </c>
      <c r="C465" s="50" t="s">
        <v>975</v>
      </c>
      <c r="D465" s="56" t="s">
        <v>976</v>
      </c>
      <c r="E465" s="50">
        <v>31</v>
      </c>
      <c r="F465" s="50">
        <v>11196</v>
      </c>
    </row>
    <row r="466" spans="2:6" x14ac:dyDescent="0.3">
      <c r="B466" s="50">
        <f t="shared" si="7"/>
        <v>463</v>
      </c>
      <c r="C466" s="50" t="s">
        <v>977</v>
      </c>
      <c r="D466" s="56" t="s">
        <v>978</v>
      </c>
      <c r="E466" s="50">
        <v>18</v>
      </c>
      <c r="F466" s="50">
        <v>3865</v>
      </c>
    </row>
    <row r="467" spans="2:6" x14ac:dyDescent="0.3">
      <c r="B467" s="50">
        <f t="shared" si="7"/>
        <v>464</v>
      </c>
      <c r="C467" s="50" t="s">
        <v>979</v>
      </c>
      <c r="D467" s="56" t="s">
        <v>980</v>
      </c>
      <c r="E467" s="50">
        <v>31</v>
      </c>
      <c r="F467" s="50">
        <v>13740</v>
      </c>
    </row>
    <row r="468" spans="2:6" x14ac:dyDescent="0.3">
      <c r="B468" s="50">
        <f t="shared" si="7"/>
        <v>465</v>
      </c>
      <c r="C468" s="50" t="s">
        <v>981</v>
      </c>
      <c r="D468" s="56" t="s">
        <v>982</v>
      </c>
      <c r="E468" s="50">
        <v>31</v>
      </c>
      <c r="F468" s="50">
        <v>7170</v>
      </c>
    </row>
    <row r="469" spans="2:6" x14ac:dyDescent="0.3">
      <c r="B469" s="50">
        <f t="shared" si="7"/>
        <v>466</v>
      </c>
      <c r="C469" s="50" t="s">
        <v>983</v>
      </c>
      <c r="D469" s="56" t="s">
        <v>984</v>
      </c>
      <c r="E469" s="50">
        <v>31</v>
      </c>
      <c r="F469" s="50">
        <v>10179</v>
      </c>
    </row>
    <row r="470" spans="2:6" x14ac:dyDescent="0.3">
      <c r="B470" s="50">
        <f t="shared" si="7"/>
        <v>467</v>
      </c>
      <c r="C470" s="50" t="s">
        <v>985</v>
      </c>
      <c r="D470" s="56" t="s">
        <v>986</v>
      </c>
      <c r="E470" s="50">
        <v>31</v>
      </c>
      <c r="F470" s="50">
        <v>13214</v>
      </c>
    </row>
    <row r="471" spans="2:6" x14ac:dyDescent="0.3">
      <c r="B471" s="50">
        <f t="shared" si="7"/>
        <v>468</v>
      </c>
      <c r="C471" s="50" t="s">
        <v>987</v>
      </c>
      <c r="D471" s="56" t="s">
        <v>988</v>
      </c>
      <c r="E471" s="50">
        <v>30</v>
      </c>
      <c r="F471" s="50">
        <v>7209</v>
      </c>
    </row>
    <row r="472" spans="2:6" x14ac:dyDescent="0.3">
      <c r="B472" s="50">
        <f t="shared" si="7"/>
        <v>469</v>
      </c>
      <c r="C472" s="50" t="s">
        <v>989</v>
      </c>
      <c r="D472" s="56" t="s">
        <v>990</v>
      </c>
      <c r="E472" s="50">
        <v>31</v>
      </c>
      <c r="F472" s="50">
        <v>12214</v>
      </c>
    </row>
    <row r="473" spans="2:6" x14ac:dyDescent="0.3">
      <c r="B473" s="50">
        <f t="shared" si="7"/>
        <v>470</v>
      </c>
      <c r="C473" s="50" t="s">
        <v>991</v>
      </c>
      <c r="D473" s="56" t="s">
        <v>992</v>
      </c>
      <c r="E473" s="50">
        <v>31</v>
      </c>
      <c r="F473" s="50">
        <v>9670</v>
      </c>
    </row>
    <row r="474" spans="2:6" x14ac:dyDescent="0.3">
      <c r="B474" s="50">
        <f t="shared" si="7"/>
        <v>471</v>
      </c>
      <c r="C474" s="50" t="s">
        <v>993</v>
      </c>
      <c r="D474" s="56" t="s">
        <v>994</v>
      </c>
      <c r="E474" s="50">
        <v>21</v>
      </c>
      <c r="F474" s="50">
        <v>8274</v>
      </c>
    </row>
    <row r="475" spans="2:6" x14ac:dyDescent="0.3">
      <c r="B475" s="50">
        <f t="shared" si="7"/>
        <v>472</v>
      </c>
      <c r="C475" s="50" t="s">
        <v>995</v>
      </c>
      <c r="D475" s="56" t="s">
        <v>996</v>
      </c>
      <c r="E475" s="50">
        <v>31</v>
      </c>
      <c r="F475" s="50">
        <v>7402</v>
      </c>
    </row>
    <row r="476" spans="2:6" x14ac:dyDescent="0.3">
      <c r="B476" s="50">
        <f t="shared" si="7"/>
        <v>473</v>
      </c>
      <c r="C476" s="50" t="s">
        <v>997</v>
      </c>
      <c r="D476" s="56" t="s">
        <v>998</v>
      </c>
      <c r="E476" s="50">
        <v>31</v>
      </c>
      <c r="F476" s="50">
        <v>11705</v>
      </c>
    </row>
    <row r="477" spans="2:6" x14ac:dyDescent="0.3">
      <c r="B477" s="50">
        <f t="shared" si="7"/>
        <v>474</v>
      </c>
      <c r="C477" s="50" t="s">
        <v>999</v>
      </c>
      <c r="D477" s="56" t="s">
        <v>1000</v>
      </c>
      <c r="E477" s="50">
        <v>31</v>
      </c>
      <c r="F477" s="50">
        <v>11196</v>
      </c>
    </row>
    <row r="478" spans="2:6" x14ac:dyDescent="0.3">
      <c r="B478" s="50">
        <f t="shared" si="7"/>
        <v>475</v>
      </c>
      <c r="C478" s="50" t="s">
        <v>1001</v>
      </c>
      <c r="D478" s="56" t="s">
        <v>1002</v>
      </c>
      <c r="E478" s="50">
        <v>31</v>
      </c>
      <c r="F478" s="50">
        <v>11196</v>
      </c>
    </row>
    <row r="479" spans="2:6" x14ac:dyDescent="0.3">
      <c r="B479" s="50">
        <f t="shared" si="7"/>
        <v>476</v>
      </c>
      <c r="C479" s="50" t="s">
        <v>1003</v>
      </c>
      <c r="D479" s="56" t="s">
        <v>1004</v>
      </c>
      <c r="E479" s="50">
        <v>29</v>
      </c>
      <c r="F479" s="50">
        <v>11426</v>
      </c>
    </row>
    <row r="480" spans="2:6" x14ac:dyDescent="0.3">
      <c r="B480" s="50">
        <f t="shared" si="7"/>
        <v>477</v>
      </c>
      <c r="C480" s="50" t="s">
        <v>1005</v>
      </c>
      <c r="D480" s="56" t="s">
        <v>1006</v>
      </c>
      <c r="E480" s="50">
        <v>28</v>
      </c>
      <c r="F480" s="50">
        <v>11031</v>
      </c>
    </row>
    <row r="481" spans="2:6" x14ac:dyDescent="0.3">
      <c r="B481" s="50">
        <f t="shared" si="7"/>
        <v>478</v>
      </c>
      <c r="C481" s="50" t="s">
        <v>1007</v>
      </c>
      <c r="D481" s="56" t="s">
        <v>1008</v>
      </c>
      <c r="E481" s="50">
        <v>31</v>
      </c>
      <c r="F481" s="50">
        <v>8310</v>
      </c>
    </row>
    <row r="482" spans="2:6" x14ac:dyDescent="0.3">
      <c r="B482" s="50">
        <f t="shared" si="7"/>
        <v>479</v>
      </c>
      <c r="C482" s="50" t="s">
        <v>1009</v>
      </c>
      <c r="D482" s="56" t="s">
        <v>1010</v>
      </c>
      <c r="E482" s="50">
        <v>30</v>
      </c>
      <c r="F482" s="50">
        <v>14516</v>
      </c>
    </row>
    <row r="483" spans="2:6" x14ac:dyDescent="0.3">
      <c r="B483" s="50">
        <f t="shared" si="7"/>
        <v>480</v>
      </c>
      <c r="C483" s="50" t="s">
        <v>1011</v>
      </c>
      <c r="D483" s="56" t="s">
        <v>1012</v>
      </c>
      <c r="E483" s="50">
        <v>31</v>
      </c>
      <c r="F483" s="50">
        <v>11400</v>
      </c>
    </row>
    <row r="484" spans="2:6" x14ac:dyDescent="0.3">
      <c r="B484" s="50">
        <f t="shared" si="7"/>
        <v>481</v>
      </c>
      <c r="C484" s="50" t="s">
        <v>1013</v>
      </c>
      <c r="D484" s="56" t="s">
        <v>1014</v>
      </c>
      <c r="E484" s="50">
        <v>31</v>
      </c>
      <c r="F484" s="50">
        <v>12214</v>
      </c>
    </row>
    <row r="485" spans="2:6" x14ac:dyDescent="0.3">
      <c r="B485" s="50">
        <f t="shared" si="7"/>
        <v>482</v>
      </c>
      <c r="C485" s="50" t="s">
        <v>1015</v>
      </c>
      <c r="D485" s="56" t="s">
        <v>1016</v>
      </c>
      <c r="E485" s="50">
        <v>31</v>
      </c>
      <c r="F485" s="50">
        <v>12723</v>
      </c>
    </row>
    <row r="486" spans="2:6" x14ac:dyDescent="0.3">
      <c r="B486" s="50">
        <f t="shared" si="7"/>
        <v>483</v>
      </c>
      <c r="C486" s="50" t="s">
        <v>1017</v>
      </c>
      <c r="D486" s="56" t="s">
        <v>1018</v>
      </c>
      <c r="E486" s="50">
        <v>31</v>
      </c>
      <c r="F486" s="50">
        <v>10178</v>
      </c>
    </row>
    <row r="487" spans="2:6" x14ac:dyDescent="0.3">
      <c r="B487" s="50">
        <f t="shared" si="7"/>
        <v>484</v>
      </c>
      <c r="C487" s="50" t="s">
        <v>1019</v>
      </c>
      <c r="D487" s="56" t="s">
        <v>1020</v>
      </c>
      <c r="E487" s="50">
        <v>29</v>
      </c>
      <c r="F487" s="50">
        <v>14032</v>
      </c>
    </row>
    <row r="488" spans="2:6" x14ac:dyDescent="0.3">
      <c r="B488" s="50">
        <f t="shared" si="7"/>
        <v>485</v>
      </c>
      <c r="C488" s="50" t="s">
        <v>1021</v>
      </c>
      <c r="D488" s="56" t="s">
        <v>1022</v>
      </c>
      <c r="E488" s="50">
        <v>31</v>
      </c>
      <c r="F488" s="50">
        <v>8142</v>
      </c>
    </row>
    <row r="489" spans="2:6" x14ac:dyDescent="0.3">
      <c r="B489" s="50">
        <f t="shared" si="7"/>
        <v>486</v>
      </c>
      <c r="C489" s="50" t="s">
        <v>1023</v>
      </c>
      <c r="D489" s="56" t="s">
        <v>1024</v>
      </c>
      <c r="E489" s="50">
        <v>30</v>
      </c>
      <c r="F489" s="50">
        <v>11820</v>
      </c>
    </row>
    <row r="490" spans="2:6" x14ac:dyDescent="0.3">
      <c r="B490" s="50">
        <f t="shared" si="7"/>
        <v>487</v>
      </c>
      <c r="C490" s="50" t="s">
        <v>1025</v>
      </c>
      <c r="D490" s="56" t="s">
        <v>1026</v>
      </c>
      <c r="E490" s="50">
        <v>31</v>
      </c>
      <c r="F490" s="50">
        <v>13232</v>
      </c>
    </row>
    <row r="491" spans="2:6" x14ac:dyDescent="0.3">
      <c r="B491" s="50">
        <f t="shared" si="7"/>
        <v>488</v>
      </c>
      <c r="C491" s="50" t="s">
        <v>1027</v>
      </c>
      <c r="D491" s="56" t="s">
        <v>1028</v>
      </c>
      <c r="E491" s="50">
        <v>31</v>
      </c>
      <c r="F491" s="50">
        <v>12214</v>
      </c>
    </row>
    <row r="492" spans="2:6" x14ac:dyDescent="0.3">
      <c r="B492" s="50">
        <f t="shared" si="7"/>
        <v>489</v>
      </c>
      <c r="C492" s="50" t="s">
        <v>1029</v>
      </c>
      <c r="D492" s="56" t="s">
        <v>1030</v>
      </c>
      <c r="E492" s="50">
        <v>31</v>
      </c>
      <c r="F492" s="50">
        <v>15000</v>
      </c>
    </row>
    <row r="493" spans="2:6" x14ac:dyDescent="0.3">
      <c r="B493" s="50">
        <f t="shared" si="7"/>
        <v>490</v>
      </c>
      <c r="C493" s="50" t="s">
        <v>1031</v>
      </c>
      <c r="D493" s="56" t="s">
        <v>1032</v>
      </c>
      <c r="E493" s="50">
        <v>31</v>
      </c>
      <c r="F493" s="50">
        <v>14250</v>
      </c>
    </row>
    <row r="494" spans="2:6" x14ac:dyDescent="0.3">
      <c r="B494" s="50">
        <f t="shared" si="7"/>
        <v>491</v>
      </c>
      <c r="C494" s="50" t="s">
        <v>1033</v>
      </c>
      <c r="D494" s="56" t="s">
        <v>1034</v>
      </c>
      <c r="E494" s="50">
        <v>31</v>
      </c>
      <c r="F494" s="50">
        <v>11456</v>
      </c>
    </row>
    <row r="495" spans="2:6" x14ac:dyDescent="0.3">
      <c r="B495" s="50">
        <f t="shared" si="7"/>
        <v>492</v>
      </c>
      <c r="C495" s="50" t="s">
        <v>1035</v>
      </c>
      <c r="D495" s="56" t="s">
        <v>1036</v>
      </c>
      <c r="E495" s="50">
        <v>31</v>
      </c>
      <c r="F495" s="50">
        <v>14901</v>
      </c>
    </row>
    <row r="496" spans="2:6" x14ac:dyDescent="0.3">
      <c r="B496" s="50">
        <f t="shared" si="7"/>
        <v>493</v>
      </c>
      <c r="C496" s="50" t="s">
        <v>1037</v>
      </c>
      <c r="D496" s="56" t="s">
        <v>1038</v>
      </c>
      <c r="E496" s="50">
        <v>31</v>
      </c>
      <c r="F496" s="50">
        <v>8814</v>
      </c>
    </row>
    <row r="497" spans="2:6" x14ac:dyDescent="0.3">
      <c r="B497" s="50">
        <f t="shared" si="7"/>
        <v>494</v>
      </c>
      <c r="C497" s="50" t="s">
        <v>1039</v>
      </c>
      <c r="D497" s="56" t="s">
        <v>1040</v>
      </c>
      <c r="E497" s="50">
        <v>31</v>
      </c>
      <c r="F497" s="50">
        <v>8814</v>
      </c>
    </row>
    <row r="498" spans="2:6" x14ac:dyDescent="0.3">
      <c r="B498" s="50">
        <f t="shared" si="7"/>
        <v>495</v>
      </c>
      <c r="C498" s="50" t="s">
        <v>1041</v>
      </c>
      <c r="D498" s="56" t="s">
        <v>1042</v>
      </c>
      <c r="E498" s="50">
        <v>31</v>
      </c>
      <c r="F498" s="50">
        <v>8814</v>
      </c>
    </row>
    <row r="499" spans="2:6" x14ac:dyDescent="0.3">
      <c r="B499" s="50">
        <f t="shared" si="7"/>
        <v>496</v>
      </c>
      <c r="C499" s="50" t="s">
        <v>1043</v>
      </c>
      <c r="D499" s="56" t="s">
        <v>1044</v>
      </c>
      <c r="E499" s="50">
        <v>31</v>
      </c>
      <c r="F499" s="50">
        <v>7700</v>
      </c>
    </row>
    <row r="500" spans="2:6" x14ac:dyDescent="0.3">
      <c r="B500" s="50">
        <f t="shared" si="7"/>
        <v>497</v>
      </c>
      <c r="C500" s="50" t="s">
        <v>1045</v>
      </c>
      <c r="D500" s="56" t="s">
        <v>1046</v>
      </c>
      <c r="E500" s="50">
        <v>31</v>
      </c>
      <c r="F500" s="50">
        <v>7032</v>
      </c>
    </row>
    <row r="501" spans="2:6" x14ac:dyDescent="0.3">
      <c r="B501" s="50">
        <f t="shared" si="7"/>
        <v>498</v>
      </c>
      <c r="C501" s="50" t="s">
        <v>1047</v>
      </c>
      <c r="D501" s="56" t="s">
        <v>1048</v>
      </c>
      <c r="E501" s="50">
        <v>31</v>
      </c>
      <c r="F501" s="50">
        <v>8197</v>
      </c>
    </row>
    <row r="502" spans="2:6" x14ac:dyDescent="0.3">
      <c r="B502" s="50">
        <f t="shared" si="7"/>
        <v>499</v>
      </c>
      <c r="C502" s="50" t="s">
        <v>1049</v>
      </c>
      <c r="D502" s="56" t="s">
        <v>1050</v>
      </c>
      <c r="E502" s="50">
        <v>31</v>
      </c>
      <c r="F502" s="50">
        <v>8122</v>
      </c>
    </row>
    <row r="503" spans="2:6" x14ac:dyDescent="0.3">
      <c r="B503" s="50">
        <f t="shared" si="7"/>
        <v>500</v>
      </c>
      <c r="C503" s="50" t="s">
        <v>1051</v>
      </c>
      <c r="D503" s="56" t="s">
        <v>1052</v>
      </c>
      <c r="E503" s="50">
        <v>31</v>
      </c>
      <c r="F503" s="50">
        <v>7482</v>
      </c>
    </row>
    <row r="504" spans="2:6" x14ac:dyDescent="0.3">
      <c r="B504" s="50">
        <f t="shared" si="7"/>
        <v>501</v>
      </c>
      <c r="C504" s="50" t="s">
        <v>1053</v>
      </c>
      <c r="D504" s="56" t="s">
        <v>1054</v>
      </c>
      <c r="E504" s="50">
        <v>31</v>
      </c>
      <c r="F504" s="50">
        <v>7157</v>
      </c>
    </row>
    <row r="505" spans="2:6" x14ac:dyDescent="0.3">
      <c r="B505" s="50">
        <f t="shared" si="7"/>
        <v>502</v>
      </c>
      <c r="C505" s="50" t="s">
        <v>1055</v>
      </c>
      <c r="D505" s="56" t="s">
        <v>1056</v>
      </c>
      <c r="E505" s="50">
        <v>31</v>
      </c>
      <c r="F505" s="50">
        <v>7702</v>
      </c>
    </row>
    <row r="506" spans="2:6" x14ac:dyDescent="0.3">
      <c r="B506" s="50">
        <f t="shared" si="7"/>
        <v>503</v>
      </c>
      <c r="C506" s="50" t="s">
        <v>1057</v>
      </c>
      <c r="D506" s="56" t="s">
        <v>1058</v>
      </c>
      <c r="E506" s="50">
        <v>31</v>
      </c>
      <c r="F506" s="50">
        <v>7950</v>
      </c>
    </row>
    <row r="507" spans="2:6" x14ac:dyDescent="0.3">
      <c r="B507" s="50">
        <f t="shared" si="7"/>
        <v>504</v>
      </c>
      <c r="C507" s="50" t="s">
        <v>1059</v>
      </c>
      <c r="D507" s="56" t="s">
        <v>1060</v>
      </c>
      <c r="E507" s="50">
        <v>31</v>
      </c>
      <c r="F507" s="50">
        <v>6922</v>
      </c>
    </row>
    <row r="508" spans="2:6" x14ac:dyDescent="0.3">
      <c r="B508" s="50">
        <f t="shared" si="7"/>
        <v>505</v>
      </c>
      <c r="C508" s="50" t="s">
        <v>1061</v>
      </c>
      <c r="D508" s="56" t="s">
        <v>1062</v>
      </c>
      <c r="E508" s="50">
        <v>31</v>
      </c>
      <c r="F508" s="50">
        <v>7022</v>
      </c>
    </row>
    <row r="509" spans="2:6" x14ac:dyDescent="0.3">
      <c r="B509" s="50">
        <f t="shared" si="7"/>
        <v>506</v>
      </c>
      <c r="C509" s="50" t="s">
        <v>1063</v>
      </c>
      <c r="D509" s="56" t="s">
        <v>1064</v>
      </c>
      <c r="E509" s="50">
        <v>31</v>
      </c>
      <c r="F509" s="50">
        <v>8338</v>
      </c>
    </row>
    <row r="510" spans="2:6" x14ac:dyDescent="0.3">
      <c r="B510" s="50">
        <f t="shared" si="7"/>
        <v>507</v>
      </c>
      <c r="C510" s="50" t="s">
        <v>1065</v>
      </c>
      <c r="D510" s="56" t="s">
        <v>1066</v>
      </c>
      <c r="E510" s="50">
        <v>31</v>
      </c>
      <c r="F510" s="50">
        <v>6656</v>
      </c>
    </row>
    <row r="511" spans="2:6" x14ac:dyDescent="0.3">
      <c r="B511" s="50">
        <f t="shared" si="7"/>
        <v>508</v>
      </c>
      <c r="C511" s="50" t="s">
        <v>1067</v>
      </c>
      <c r="D511" s="56" t="s">
        <v>1068</v>
      </c>
      <c r="E511" s="50">
        <v>31</v>
      </c>
      <c r="F511" s="50">
        <v>6822</v>
      </c>
    </row>
    <row r="512" spans="2:6" x14ac:dyDescent="0.3">
      <c r="B512" s="50">
        <f t="shared" si="7"/>
        <v>509</v>
      </c>
      <c r="C512" s="50" t="s">
        <v>1069</v>
      </c>
      <c r="D512" s="56" t="s">
        <v>1070</v>
      </c>
      <c r="E512" s="50">
        <v>31</v>
      </c>
      <c r="F512" s="50">
        <v>7254</v>
      </c>
    </row>
    <row r="513" spans="2:6" x14ac:dyDescent="0.3">
      <c r="B513" s="50">
        <f t="shared" si="7"/>
        <v>510</v>
      </c>
      <c r="C513" s="50" t="s">
        <v>1071</v>
      </c>
      <c r="D513" s="56" t="s">
        <v>1072</v>
      </c>
      <c r="E513" s="50">
        <v>31</v>
      </c>
      <c r="F513" s="50">
        <v>11012</v>
      </c>
    </row>
    <row r="514" spans="2:6" x14ac:dyDescent="0.3">
      <c r="B514" s="50">
        <f t="shared" si="7"/>
        <v>511</v>
      </c>
      <c r="C514" s="50" t="s">
        <v>1073</v>
      </c>
      <c r="D514" s="56" t="s">
        <v>1074</v>
      </c>
      <c r="E514" s="50">
        <v>31</v>
      </c>
      <c r="F514" s="50">
        <v>9000</v>
      </c>
    </row>
    <row r="515" spans="2:6" x14ac:dyDescent="0.3">
      <c r="B515" s="50">
        <f t="shared" si="7"/>
        <v>512</v>
      </c>
      <c r="C515" s="50" t="s">
        <v>1075</v>
      </c>
      <c r="D515" s="56" t="s">
        <v>1076</v>
      </c>
      <c r="E515" s="50">
        <v>12</v>
      </c>
      <c r="F515" s="50">
        <v>2577</v>
      </c>
    </row>
    <row r="516" spans="2:6" x14ac:dyDescent="0.3">
      <c r="B516" s="50">
        <f t="shared" si="7"/>
        <v>513</v>
      </c>
      <c r="C516" s="50" t="s">
        <v>1077</v>
      </c>
      <c r="D516" s="56" t="s">
        <v>1078</v>
      </c>
      <c r="E516" s="50">
        <v>31</v>
      </c>
      <c r="F516" s="50">
        <v>6656</v>
      </c>
    </row>
    <row r="517" spans="2:6" x14ac:dyDescent="0.3">
      <c r="B517" s="50">
        <f t="shared" si="7"/>
        <v>514</v>
      </c>
      <c r="C517" s="50" t="s">
        <v>1079</v>
      </c>
      <c r="D517" s="56" t="s">
        <v>1080</v>
      </c>
      <c r="E517" s="50">
        <v>31</v>
      </c>
      <c r="F517" s="50">
        <v>6656</v>
      </c>
    </row>
    <row r="518" spans="2:6" x14ac:dyDescent="0.3">
      <c r="B518" s="50">
        <f t="shared" ref="B518:B581" si="8">+B517+1</f>
        <v>515</v>
      </c>
      <c r="C518" s="50" t="s">
        <v>1081</v>
      </c>
      <c r="D518" s="56" t="s">
        <v>1082</v>
      </c>
      <c r="E518" s="50">
        <v>31</v>
      </c>
      <c r="F518" s="50">
        <v>6656</v>
      </c>
    </row>
    <row r="519" spans="2:6" x14ac:dyDescent="0.3">
      <c r="B519" s="50">
        <f t="shared" si="8"/>
        <v>516</v>
      </c>
      <c r="C519" s="50" t="s">
        <v>1083</v>
      </c>
      <c r="D519" s="56" t="s">
        <v>1084</v>
      </c>
      <c r="E519" s="50">
        <v>31</v>
      </c>
      <c r="F519" s="50">
        <v>6938</v>
      </c>
    </row>
    <row r="520" spans="2:6" x14ac:dyDescent="0.3">
      <c r="B520" s="50">
        <f t="shared" si="8"/>
        <v>517</v>
      </c>
      <c r="C520" s="50" t="s">
        <v>1085</v>
      </c>
      <c r="D520" s="56" t="s">
        <v>1086</v>
      </c>
      <c r="E520" s="50">
        <v>31</v>
      </c>
      <c r="F520" s="50">
        <v>10500</v>
      </c>
    </row>
    <row r="521" spans="2:6" x14ac:dyDescent="0.3">
      <c r="B521" s="50">
        <f t="shared" si="8"/>
        <v>518</v>
      </c>
      <c r="C521" s="50" t="s">
        <v>1087</v>
      </c>
      <c r="D521" s="56" t="s">
        <v>1088</v>
      </c>
      <c r="E521" s="50">
        <v>31</v>
      </c>
      <c r="F521" s="50">
        <v>6656</v>
      </c>
    </row>
    <row r="522" spans="2:6" x14ac:dyDescent="0.3">
      <c r="B522" s="50">
        <f t="shared" si="8"/>
        <v>519</v>
      </c>
      <c r="C522" s="50" t="s">
        <v>1089</v>
      </c>
      <c r="D522" s="56" t="s">
        <v>1090</v>
      </c>
      <c r="E522" s="50">
        <v>31</v>
      </c>
      <c r="F522" s="50">
        <v>9920</v>
      </c>
    </row>
    <row r="523" spans="2:6" x14ac:dyDescent="0.3">
      <c r="B523" s="50">
        <f t="shared" si="8"/>
        <v>520</v>
      </c>
      <c r="C523" s="50" t="s">
        <v>1091</v>
      </c>
      <c r="D523" s="56" t="s">
        <v>1092</v>
      </c>
      <c r="E523" s="50">
        <v>31</v>
      </c>
      <c r="F523" s="50">
        <v>7422</v>
      </c>
    </row>
    <row r="524" spans="2:6" x14ac:dyDescent="0.3">
      <c r="B524" s="50">
        <f t="shared" si="8"/>
        <v>521</v>
      </c>
      <c r="C524" s="50" t="s">
        <v>1093</v>
      </c>
      <c r="D524" s="56" t="s">
        <v>1094</v>
      </c>
      <c r="E524" s="50">
        <v>31</v>
      </c>
      <c r="F524" s="50">
        <v>7922</v>
      </c>
    </row>
    <row r="525" spans="2:6" x14ac:dyDescent="0.3">
      <c r="B525" s="50">
        <f t="shared" si="8"/>
        <v>522</v>
      </c>
      <c r="C525" s="50" t="s">
        <v>1095</v>
      </c>
      <c r="D525" s="56" t="s">
        <v>1096</v>
      </c>
      <c r="E525" s="50">
        <v>31</v>
      </c>
      <c r="F525" s="50">
        <v>12000</v>
      </c>
    </row>
    <row r="526" spans="2:6" x14ac:dyDescent="0.3">
      <c r="B526" s="50">
        <f t="shared" si="8"/>
        <v>523</v>
      </c>
      <c r="C526" s="50" t="s">
        <v>1097</v>
      </c>
      <c r="D526" s="56" t="s">
        <v>1098</v>
      </c>
      <c r="E526" s="50">
        <v>31</v>
      </c>
      <c r="F526" s="50">
        <v>14200</v>
      </c>
    </row>
    <row r="527" spans="2:6" x14ac:dyDescent="0.3">
      <c r="B527" s="50">
        <f t="shared" si="8"/>
        <v>524</v>
      </c>
      <c r="C527" s="50" t="s">
        <v>773</v>
      </c>
      <c r="D527" s="56" t="s">
        <v>1099</v>
      </c>
      <c r="E527" s="50">
        <v>31</v>
      </c>
      <c r="F527" s="50">
        <v>6772</v>
      </c>
    </row>
    <row r="528" spans="2:6" x14ac:dyDescent="0.3">
      <c r="B528" s="50">
        <f t="shared" si="8"/>
        <v>525</v>
      </c>
      <c r="C528" s="50" t="s">
        <v>1100</v>
      </c>
      <c r="D528" s="56" t="s">
        <v>1101</v>
      </c>
      <c r="E528" s="50">
        <v>31</v>
      </c>
      <c r="F528" s="50">
        <v>6656</v>
      </c>
    </row>
    <row r="529" spans="2:6" x14ac:dyDescent="0.3">
      <c r="B529" s="50">
        <f t="shared" si="8"/>
        <v>526</v>
      </c>
      <c r="C529" s="50" t="s">
        <v>1102</v>
      </c>
      <c r="D529" s="56" t="s">
        <v>1103</v>
      </c>
      <c r="E529" s="50">
        <v>31</v>
      </c>
      <c r="F529" s="50">
        <v>7032</v>
      </c>
    </row>
    <row r="530" spans="2:6" x14ac:dyDescent="0.3">
      <c r="B530" s="50">
        <f t="shared" si="8"/>
        <v>527</v>
      </c>
      <c r="C530" s="50" t="s">
        <v>1104</v>
      </c>
      <c r="D530" s="56" t="s">
        <v>1105</v>
      </c>
      <c r="E530" s="50">
        <v>31</v>
      </c>
      <c r="F530" s="50">
        <v>8557</v>
      </c>
    </row>
    <row r="531" spans="2:6" x14ac:dyDescent="0.3">
      <c r="B531" s="50">
        <f t="shared" si="8"/>
        <v>528</v>
      </c>
      <c r="C531" s="50" t="s">
        <v>1106</v>
      </c>
      <c r="D531" s="56" t="s">
        <v>1107</v>
      </c>
      <c r="E531" s="50">
        <v>31</v>
      </c>
      <c r="F531" s="50">
        <v>7538</v>
      </c>
    </row>
    <row r="532" spans="2:6" x14ac:dyDescent="0.3">
      <c r="B532" s="50">
        <f t="shared" si="8"/>
        <v>529</v>
      </c>
      <c r="C532" s="50" t="s">
        <v>1108</v>
      </c>
      <c r="D532" s="56" t="s">
        <v>1109</v>
      </c>
      <c r="E532" s="50">
        <v>31</v>
      </c>
      <c r="F532" s="50">
        <v>7958</v>
      </c>
    </row>
    <row r="533" spans="2:6" x14ac:dyDescent="0.3">
      <c r="B533" s="50">
        <f t="shared" si="8"/>
        <v>530</v>
      </c>
      <c r="C533" s="50" t="s">
        <v>1110</v>
      </c>
      <c r="D533" s="56" t="s">
        <v>1111</v>
      </c>
      <c r="E533" s="50">
        <v>31</v>
      </c>
      <c r="F533" s="50">
        <v>8936</v>
      </c>
    </row>
    <row r="534" spans="2:6" x14ac:dyDescent="0.3">
      <c r="B534" s="50">
        <f t="shared" si="8"/>
        <v>531</v>
      </c>
      <c r="C534" s="50" t="s">
        <v>1112</v>
      </c>
      <c r="D534" s="56" t="s">
        <v>1113</v>
      </c>
      <c r="E534" s="50">
        <v>31</v>
      </c>
      <c r="F534" s="50">
        <v>8555</v>
      </c>
    </row>
    <row r="535" spans="2:6" x14ac:dyDescent="0.3">
      <c r="B535" s="50">
        <f t="shared" si="8"/>
        <v>532</v>
      </c>
      <c r="C535" s="50" t="s">
        <v>1114</v>
      </c>
      <c r="D535" s="56" t="s">
        <v>1115</v>
      </c>
      <c r="E535" s="50">
        <v>31</v>
      </c>
      <c r="F535" s="50">
        <v>6656</v>
      </c>
    </row>
    <row r="536" spans="2:6" x14ac:dyDescent="0.3">
      <c r="B536" s="50">
        <f t="shared" si="8"/>
        <v>533</v>
      </c>
      <c r="C536" s="50" t="s">
        <v>1116</v>
      </c>
      <c r="D536" s="56" t="s">
        <v>1117</v>
      </c>
      <c r="E536" s="50">
        <v>31</v>
      </c>
      <c r="F536" s="50">
        <v>9708</v>
      </c>
    </row>
    <row r="537" spans="2:6" x14ac:dyDescent="0.3">
      <c r="B537" s="50">
        <f t="shared" si="8"/>
        <v>534</v>
      </c>
      <c r="C537" s="50" t="s">
        <v>1118</v>
      </c>
      <c r="D537" s="56" t="s">
        <v>1119</v>
      </c>
      <c r="E537" s="50">
        <v>31</v>
      </c>
      <c r="F537" s="50">
        <v>8138</v>
      </c>
    </row>
    <row r="538" spans="2:6" x14ac:dyDescent="0.3">
      <c r="B538" s="50">
        <f t="shared" si="8"/>
        <v>535</v>
      </c>
      <c r="C538" s="50" t="s">
        <v>1120</v>
      </c>
      <c r="D538" s="56" t="s">
        <v>1121</v>
      </c>
      <c r="E538" s="50">
        <v>31</v>
      </c>
      <c r="F538" s="50">
        <v>7022</v>
      </c>
    </row>
    <row r="539" spans="2:6" x14ac:dyDescent="0.3">
      <c r="B539" s="50">
        <f t="shared" si="8"/>
        <v>536</v>
      </c>
      <c r="C539" s="50" t="s">
        <v>1122</v>
      </c>
      <c r="D539" s="56" t="s">
        <v>1123</v>
      </c>
      <c r="E539" s="50">
        <v>31</v>
      </c>
      <c r="F539" s="50">
        <v>7032</v>
      </c>
    </row>
    <row r="540" spans="2:6" x14ac:dyDescent="0.3">
      <c r="B540" s="50">
        <f t="shared" si="8"/>
        <v>537</v>
      </c>
      <c r="C540" s="50" t="s">
        <v>1124</v>
      </c>
      <c r="D540" s="56" t="s">
        <v>1125</v>
      </c>
      <c r="E540" s="50">
        <v>31</v>
      </c>
      <c r="F540" s="50">
        <v>7338</v>
      </c>
    </row>
    <row r="541" spans="2:6" x14ac:dyDescent="0.3">
      <c r="B541" s="50">
        <f t="shared" si="8"/>
        <v>538</v>
      </c>
      <c r="C541" s="50" t="s">
        <v>1126</v>
      </c>
      <c r="D541" s="56" t="s">
        <v>1127</v>
      </c>
      <c r="E541" s="50">
        <v>31</v>
      </c>
      <c r="F541" s="50">
        <v>7122</v>
      </c>
    </row>
    <row r="542" spans="2:6" x14ac:dyDescent="0.3">
      <c r="B542" s="50">
        <f t="shared" si="8"/>
        <v>539</v>
      </c>
      <c r="C542" s="50" t="s">
        <v>1128</v>
      </c>
      <c r="D542" s="56" t="s">
        <v>1129</v>
      </c>
      <c r="E542" s="50">
        <v>31</v>
      </c>
      <c r="F542" s="50">
        <v>8442</v>
      </c>
    </row>
    <row r="543" spans="2:6" x14ac:dyDescent="0.3">
      <c r="B543" s="50">
        <f t="shared" si="8"/>
        <v>540</v>
      </c>
      <c r="C543" s="50" t="s">
        <v>1130</v>
      </c>
      <c r="D543" s="56" t="s">
        <v>1131</v>
      </c>
      <c r="E543" s="50">
        <v>31</v>
      </c>
      <c r="F543" s="50">
        <v>6656</v>
      </c>
    </row>
    <row r="544" spans="2:6" x14ac:dyDescent="0.3">
      <c r="B544" s="50">
        <f t="shared" si="8"/>
        <v>541</v>
      </c>
      <c r="C544" s="50" t="s">
        <v>1132</v>
      </c>
      <c r="D544" s="56" t="s">
        <v>1133</v>
      </c>
      <c r="E544" s="50">
        <v>31</v>
      </c>
      <c r="F544" s="50">
        <v>6656</v>
      </c>
    </row>
    <row r="545" spans="2:6" x14ac:dyDescent="0.3">
      <c r="B545" s="50">
        <f t="shared" si="8"/>
        <v>542</v>
      </c>
      <c r="C545" s="50" t="s">
        <v>1134</v>
      </c>
      <c r="D545" s="56" t="s">
        <v>1135</v>
      </c>
      <c r="E545" s="50">
        <v>31</v>
      </c>
      <c r="F545" s="50">
        <v>13500</v>
      </c>
    </row>
    <row r="546" spans="2:6" x14ac:dyDescent="0.3">
      <c r="B546" s="50">
        <f t="shared" si="8"/>
        <v>543</v>
      </c>
      <c r="C546" s="50" t="s">
        <v>1136</v>
      </c>
      <c r="D546" s="56" t="s">
        <v>1137</v>
      </c>
      <c r="E546" s="50">
        <v>31</v>
      </c>
      <c r="F546" s="50">
        <v>11100</v>
      </c>
    </row>
    <row r="547" spans="2:6" x14ac:dyDescent="0.3">
      <c r="B547" s="50">
        <f t="shared" si="8"/>
        <v>544</v>
      </c>
      <c r="C547" s="50" t="s">
        <v>1138</v>
      </c>
      <c r="D547" s="56" t="s">
        <v>1139</v>
      </c>
      <c r="E547" s="50">
        <v>31</v>
      </c>
      <c r="F547" s="50">
        <v>6666</v>
      </c>
    </row>
    <row r="548" spans="2:6" x14ac:dyDescent="0.3">
      <c r="B548" s="50">
        <f t="shared" si="8"/>
        <v>545</v>
      </c>
      <c r="C548" s="50" t="s">
        <v>1140</v>
      </c>
      <c r="D548" s="56" t="s">
        <v>1141</v>
      </c>
      <c r="E548" s="50">
        <v>31</v>
      </c>
      <c r="F548" s="50">
        <v>8367</v>
      </c>
    </row>
    <row r="549" spans="2:6" x14ac:dyDescent="0.3">
      <c r="B549" s="50">
        <f t="shared" si="8"/>
        <v>546</v>
      </c>
      <c r="C549" s="50" t="s">
        <v>1142</v>
      </c>
      <c r="D549" s="56" t="s">
        <v>1143</v>
      </c>
      <c r="E549" s="50">
        <v>26</v>
      </c>
      <c r="F549" s="50">
        <v>14249</v>
      </c>
    </row>
    <row r="550" spans="2:6" x14ac:dyDescent="0.3">
      <c r="B550" s="50">
        <f t="shared" si="8"/>
        <v>547</v>
      </c>
      <c r="C550" s="50" t="s">
        <v>1144</v>
      </c>
      <c r="D550" s="56" t="s">
        <v>1145</v>
      </c>
      <c r="E550" s="50">
        <v>26</v>
      </c>
      <c r="F550" s="50">
        <v>14000</v>
      </c>
    </row>
    <row r="551" spans="2:6" x14ac:dyDescent="0.3">
      <c r="B551" s="50">
        <f t="shared" si="8"/>
        <v>548</v>
      </c>
      <c r="C551" s="50" t="s">
        <v>1146</v>
      </c>
      <c r="D551" s="56" t="s">
        <v>1147</v>
      </c>
      <c r="E551" s="50">
        <v>26</v>
      </c>
      <c r="F551" s="50">
        <v>9500</v>
      </c>
    </row>
    <row r="552" spans="2:6" x14ac:dyDescent="0.3">
      <c r="B552" s="50">
        <f t="shared" si="8"/>
        <v>549</v>
      </c>
      <c r="C552" s="50" t="s">
        <v>1148</v>
      </c>
      <c r="D552" s="56" t="s">
        <v>1149</v>
      </c>
      <c r="E552" s="50">
        <v>26</v>
      </c>
      <c r="F552" s="50">
        <v>8814</v>
      </c>
    </row>
    <row r="553" spans="2:6" x14ac:dyDescent="0.3">
      <c r="B553" s="50">
        <f t="shared" si="8"/>
        <v>550</v>
      </c>
      <c r="C553" s="50" t="s">
        <v>199</v>
      </c>
      <c r="D553" s="56" t="s">
        <v>1150</v>
      </c>
      <c r="E553" s="50">
        <v>26</v>
      </c>
      <c r="F553" s="50">
        <v>8814</v>
      </c>
    </row>
    <row r="554" spans="2:6" x14ac:dyDescent="0.3">
      <c r="B554" s="50">
        <f t="shared" si="8"/>
        <v>551</v>
      </c>
      <c r="C554" s="50" t="s">
        <v>1151</v>
      </c>
      <c r="D554" s="56" t="s">
        <v>1152</v>
      </c>
      <c r="E554" s="50">
        <v>26</v>
      </c>
      <c r="F554" s="50">
        <v>9500</v>
      </c>
    </row>
    <row r="555" spans="2:6" x14ac:dyDescent="0.3">
      <c r="B555" s="50">
        <f t="shared" si="8"/>
        <v>552</v>
      </c>
      <c r="C555" s="50" t="s">
        <v>1153</v>
      </c>
      <c r="D555" s="56" t="s">
        <v>1154</v>
      </c>
      <c r="E555" s="50">
        <v>26</v>
      </c>
      <c r="F555" s="50">
        <v>8814</v>
      </c>
    </row>
    <row r="556" spans="2:6" x14ac:dyDescent="0.3">
      <c r="B556" s="50">
        <f t="shared" si="8"/>
        <v>553</v>
      </c>
      <c r="C556" s="50" t="s">
        <v>1155</v>
      </c>
      <c r="D556" s="56" t="s">
        <v>1156</v>
      </c>
      <c r="E556" s="50">
        <v>26</v>
      </c>
      <c r="F556" s="50">
        <v>10178</v>
      </c>
    </row>
    <row r="557" spans="2:6" x14ac:dyDescent="0.3">
      <c r="B557" s="50">
        <f t="shared" si="8"/>
        <v>554</v>
      </c>
      <c r="C557" s="50" t="s">
        <v>1157</v>
      </c>
      <c r="D557" s="56" t="s">
        <v>1158</v>
      </c>
      <c r="E557" s="50">
        <v>26</v>
      </c>
      <c r="F557" s="50">
        <v>8814</v>
      </c>
    </row>
    <row r="558" spans="2:6" x14ac:dyDescent="0.3">
      <c r="B558" s="50">
        <f t="shared" si="8"/>
        <v>555</v>
      </c>
      <c r="C558" s="50" t="s">
        <v>877</v>
      </c>
      <c r="D558" s="56" t="s">
        <v>1159</v>
      </c>
      <c r="E558" s="50">
        <v>26</v>
      </c>
      <c r="F558" s="50">
        <v>8814</v>
      </c>
    </row>
    <row r="559" spans="2:6" x14ac:dyDescent="0.3">
      <c r="B559" s="50">
        <f t="shared" si="8"/>
        <v>556</v>
      </c>
      <c r="C559" s="50" t="s">
        <v>877</v>
      </c>
      <c r="D559" s="56" t="s">
        <v>1160</v>
      </c>
      <c r="E559" s="50">
        <v>20</v>
      </c>
      <c r="F559" s="50">
        <v>5120</v>
      </c>
    </row>
    <row r="560" spans="2:6" x14ac:dyDescent="0.3">
      <c r="B560" s="50">
        <f t="shared" si="8"/>
        <v>557</v>
      </c>
      <c r="C560" s="50" t="s">
        <v>1161</v>
      </c>
      <c r="D560" s="56" t="s">
        <v>1162</v>
      </c>
      <c r="E560" s="50">
        <v>22</v>
      </c>
      <c r="F560" s="50">
        <v>5632</v>
      </c>
    </row>
    <row r="561" spans="2:6" x14ac:dyDescent="0.3">
      <c r="B561" s="50">
        <f t="shared" si="8"/>
        <v>558</v>
      </c>
      <c r="C561" s="50" t="s">
        <v>1163</v>
      </c>
      <c r="D561" s="56" t="s">
        <v>1164</v>
      </c>
      <c r="E561" s="50">
        <v>31</v>
      </c>
      <c r="F561" s="50">
        <v>7936</v>
      </c>
    </row>
    <row r="562" spans="2:6" x14ac:dyDescent="0.3">
      <c r="B562" s="50">
        <f t="shared" si="8"/>
        <v>559</v>
      </c>
      <c r="C562" s="50" t="s">
        <v>1165</v>
      </c>
      <c r="D562" s="56" t="s">
        <v>1166</v>
      </c>
      <c r="E562" s="50">
        <v>26</v>
      </c>
      <c r="F562" s="50">
        <v>6656</v>
      </c>
    </row>
    <row r="563" spans="2:6" x14ac:dyDescent="0.3">
      <c r="B563" s="50">
        <f t="shared" si="8"/>
        <v>560</v>
      </c>
      <c r="C563" s="50" t="s">
        <v>1167</v>
      </c>
      <c r="D563" s="56" t="s">
        <v>1168</v>
      </c>
      <c r="E563" s="50">
        <v>16</v>
      </c>
      <c r="F563" s="50">
        <v>4096</v>
      </c>
    </row>
    <row r="564" spans="2:6" x14ac:dyDescent="0.3">
      <c r="B564" s="50">
        <f t="shared" si="8"/>
        <v>561</v>
      </c>
      <c r="C564" s="50" t="s">
        <v>1169</v>
      </c>
      <c r="D564" s="56" t="s">
        <v>1170</v>
      </c>
      <c r="E564" s="50">
        <v>6</v>
      </c>
      <c r="F564" s="50">
        <v>1536</v>
      </c>
    </row>
    <row r="565" spans="2:6" x14ac:dyDescent="0.3">
      <c r="B565" s="50">
        <f t="shared" si="8"/>
        <v>562</v>
      </c>
      <c r="C565" s="50" t="s">
        <v>1171</v>
      </c>
      <c r="D565" s="56" t="s">
        <v>1172</v>
      </c>
      <c r="E565" s="50">
        <v>17</v>
      </c>
      <c r="F565" s="50">
        <v>4352</v>
      </c>
    </row>
    <row r="566" spans="2:6" x14ac:dyDescent="0.3">
      <c r="B566" s="50">
        <f t="shared" si="8"/>
        <v>563</v>
      </c>
      <c r="C566" s="50" t="s">
        <v>532</v>
      </c>
      <c r="D566" s="56" t="s">
        <v>1173</v>
      </c>
      <c r="E566" s="50">
        <v>26</v>
      </c>
      <c r="F566" s="50">
        <v>6656</v>
      </c>
    </row>
    <row r="567" spans="2:6" x14ac:dyDescent="0.3">
      <c r="B567" s="50">
        <f t="shared" si="8"/>
        <v>564</v>
      </c>
      <c r="C567" s="50" t="s">
        <v>908</v>
      </c>
      <c r="D567" s="56" t="s">
        <v>1174</v>
      </c>
      <c r="E567" s="50">
        <v>30.5</v>
      </c>
      <c r="F567" s="50">
        <v>6548</v>
      </c>
    </row>
    <row r="568" spans="2:6" x14ac:dyDescent="0.3">
      <c r="B568" s="50">
        <f t="shared" si="8"/>
        <v>565</v>
      </c>
      <c r="C568" s="50" t="s">
        <v>877</v>
      </c>
      <c r="D568" s="56" t="s">
        <v>1175</v>
      </c>
      <c r="E568" s="50">
        <v>31</v>
      </c>
      <c r="F568" s="50">
        <v>11000</v>
      </c>
    </row>
    <row r="569" spans="2:6" x14ac:dyDescent="0.3">
      <c r="B569" s="50">
        <f t="shared" si="8"/>
        <v>566</v>
      </c>
      <c r="C569" s="50" t="s">
        <v>1176</v>
      </c>
      <c r="D569" s="56" t="s">
        <v>1177</v>
      </c>
      <c r="E569" s="50">
        <v>13</v>
      </c>
      <c r="F569" s="50">
        <v>4381</v>
      </c>
    </row>
    <row r="570" spans="2:6" x14ac:dyDescent="0.3">
      <c r="B570" s="50">
        <f t="shared" si="8"/>
        <v>567</v>
      </c>
      <c r="C570" s="50" t="s">
        <v>1178</v>
      </c>
      <c r="D570" s="56" t="s">
        <v>1179</v>
      </c>
      <c r="E570" s="50">
        <v>13</v>
      </c>
      <c r="F570" s="50">
        <v>2422</v>
      </c>
    </row>
    <row r="571" spans="2:6" x14ac:dyDescent="0.3">
      <c r="B571" s="50">
        <f t="shared" si="8"/>
        <v>568</v>
      </c>
      <c r="C571" s="50" t="s">
        <v>1180</v>
      </c>
      <c r="D571" s="56" t="s">
        <v>1181</v>
      </c>
      <c r="E571" s="50">
        <v>13</v>
      </c>
      <c r="F571" s="50">
        <v>2422</v>
      </c>
    </row>
    <row r="572" spans="2:6" x14ac:dyDescent="0.3">
      <c r="B572" s="50">
        <f t="shared" si="8"/>
        <v>569</v>
      </c>
      <c r="C572" s="50" t="s">
        <v>1182</v>
      </c>
      <c r="D572" s="56" t="s">
        <v>1183</v>
      </c>
      <c r="E572" s="50">
        <v>13</v>
      </c>
      <c r="F572" s="50">
        <v>2422</v>
      </c>
    </row>
    <row r="573" spans="2:6" x14ac:dyDescent="0.3">
      <c r="B573" s="50">
        <f t="shared" si="8"/>
        <v>570</v>
      </c>
      <c r="C573" s="50" t="s">
        <v>1184</v>
      </c>
      <c r="D573" s="56" t="s">
        <v>1185</v>
      </c>
      <c r="E573" s="50">
        <v>12</v>
      </c>
      <c r="F573" s="50">
        <v>2544</v>
      </c>
    </row>
    <row r="574" spans="2:6" x14ac:dyDescent="0.3">
      <c r="B574" s="50">
        <f t="shared" si="8"/>
        <v>571</v>
      </c>
      <c r="C574" s="50" t="s">
        <v>1186</v>
      </c>
      <c r="D574" s="56" t="s">
        <v>1187</v>
      </c>
      <c r="E574" s="50">
        <v>3</v>
      </c>
      <c r="F574" s="50">
        <v>696</v>
      </c>
    </row>
    <row r="575" spans="2:6" x14ac:dyDescent="0.3">
      <c r="B575" s="50">
        <f t="shared" si="8"/>
        <v>572</v>
      </c>
      <c r="C575" s="50" t="s">
        <v>715</v>
      </c>
      <c r="D575" s="56" t="s">
        <v>1188</v>
      </c>
      <c r="E575" s="50">
        <v>13</v>
      </c>
      <c r="F575" s="50">
        <v>4082</v>
      </c>
    </row>
    <row r="576" spans="2:6" x14ac:dyDescent="0.3">
      <c r="B576" s="50">
        <f t="shared" si="8"/>
        <v>573</v>
      </c>
      <c r="C576" s="50" t="s">
        <v>1189</v>
      </c>
      <c r="D576" s="56" t="s">
        <v>1190</v>
      </c>
      <c r="E576" s="50">
        <v>12</v>
      </c>
      <c r="F576" s="50">
        <v>2232</v>
      </c>
    </row>
    <row r="577" spans="2:6" x14ac:dyDescent="0.3">
      <c r="B577" s="50">
        <f t="shared" si="8"/>
        <v>574</v>
      </c>
      <c r="C577" s="50" t="s">
        <v>1191</v>
      </c>
      <c r="D577" s="56" t="s">
        <v>1192</v>
      </c>
      <c r="E577" s="50">
        <v>13</v>
      </c>
      <c r="F577" s="50">
        <v>4381</v>
      </c>
    </row>
    <row r="578" spans="2:6" x14ac:dyDescent="0.3">
      <c r="B578" s="50">
        <f t="shared" si="8"/>
        <v>575</v>
      </c>
      <c r="C578" s="50" t="s">
        <v>1193</v>
      </c>
      <c r="D578" s="56" t="s">
        <v>1194</v>
      </c>
      <c r="E578" s="50">
        <v>13</v>
      </c>
      <c r="F578" s="50">
        <v>4459</v>
      </c>
    </row>
    <row r="579" spans="2:6" x14ac:dyDescent="0.3">
      <c r="B579" s="50">
        <f t="shared" si="8"/>
        <v>576</v>
      </c>
      <c r="C579" s="50" t="s">
        <v>1195</v>
      </c>
      <c r="D579" s="56" t="s">
        <v>1196</v>
      </c>
      <c r="E579" s="50">
        <v>15</v>
      </c>
      <c r="F579" s="50">
        <v>5355</v>
      </c>
    </row>
    <row r="580" spans="2:6" x14ac:dyDescent="0.3">
      <c r="B580" s="50">
        <f t="shared" si="8"/>
        <v>577</v>
      </c>
      <c r="C580" s="50" t="s">
        <v>193</v>
      </c>
      <c r="D580" s="56" t="s">
        <v>1197</v>
      </c>
      <c r="E580" s="50">
        <v>9</v>
      </c>
      <c r="F580" s="50">
        <v>2826</v>
      </c>
    </row>
    <row r="581" spans="2:6" x14ac:dyDescent="0.3">
      <c r="B581" s="50">
        <f t="shared" si="8"/>
        <v>578</v>
      </c>
      <c r="C581" s="50" t="s">
        <v>1198</v>
      </c>
      <c r="D581" s="56" t="s">
        <v>1199</v>
      </c>
      <c r="E581" s="50">
        <v>2</v>
      </c>
      <c r="F581" s="50">
        <v>686</v>
      </c>
    </row>
    <row r="582" spans="2:6" x14ac:dyDescent="0.3">
      <c r="B582" s="50">
        <f t="shared" ref="B582:B645" si="9">+B581+1</f>
        <v>579</v>
      </c>
      <c r="C582" s="50" t="s">
        <v>1200</v>
      </c>
      <c r="D582" s="56" t="s">
        <v>1201</v>
      </c>
      <c r="E582" s="50">
        <v>3</v>
      </c>
      <c r="F582" s="50">
        <v>558</v>
      </c>
    </row>
    <row r="583" spans="2:6" x14ac:dyDescent="0.3">
      <c r="B583" s="50">
        <f t="shared" si="9"/>
        <v>580</v>
      </c>
      <c r="C583" s="50" t="s">
        <v>1202</v>
      </c>
      <c r="D583" s="56" t="s">
        <v>1203</v>
      </c>
      <c r="E583" s="50">
        <v>5</v>
      </c>
      <c r="F583" s="50">
        <v>930</v>
      </c>
    </row>
    <row r="584" spans="2:6" x14ac:dyDescent="0.3">
      <c r="B584" s="50">
        <f t="shared" si="9"/>
        <v>581</v>
      </c>
      <c r="C584" s="50" t="s">
        <v>1204</v>
      </c>
      <c r="D584" s="56" t="s">
        <v>1205</v>
      </c>
      <c r="E584" s="50">
        <v>12</v>
      </c>
      <c r="F584" s="50">
        <v>2232</v>
      </c>
    </row>
    <row r="585" spans="2:6" x14ac:dyDescent="0.3">
      <c r="B585" s="50">
        <f t="shared" si="9"/>
        <v>582</v>
      </c>
      <c r="C585" s="50" t="s">
        <v>1206</v>
      </c>
      <c r="D585" s="56" t="s">
        <v>1207</v>
      </c>
      <c r="E585" s="50">
        <v>13</v>
      </c>
      <c r="F585" s="50">
        <v>2418</v>
      </c>
    </row>
    <row r="586" spans="2:6" x14ac:dyDescent="0.3">
      <c r="B586" s="50">
        <f t="shared" si="9"/>
        <v>583</v>
      </c>
      <c r="C586" s="50" t="s">
        <v>540</v>
      </c>
      <c r="D586" s="56" t="s">
        <v>1208</v>
      </c>
      <c r="E586" s="50">
        <v>13</v>
      </c>
      <c r="F586" s="50">
        <v>2418</v>
      </c>
    </row>
    <row r="587" spans="2:6" x14ac:dyDescent="0.3">
      <c r="B587" s="50">
        <f t="shared" si="9"/>
        <v>584</v>
      </c>
      <c r="C587" s="50" t="s">
        <v>1209</v>
      </c>
      <c r="D587" s="56" t="s">
        <v>1210</v>
      </c>
      <c r="E587" s="50">
        <v>13</v>
      </c>
      <c r="F587" s="50">
        <v>4225</v>
      </c>
    </row>
    <row r="588" spans="2:6" x14ac:dyDescent="0.3">
      <c r="B588" s="50">
        <f t="shared" si="9"/>
        <v>585</v>
      </c>
      <c r="C588" s="50" t="s">
        <v>1211</v>
      </c>
      <c r="D588" s="56" t="s">
        <v>1212</v>
      </c>
      <c r="E588" s="50">
        <v>11</v>
      </c>
      <c r="F588" s="50">
        <v>3707</v>
      </c>
    </row>
    <row r="589" spans="2:6" x14ac:dyDescent="0.3">
      <c r="B589" s="50">
        <f t="shared" si="9"/>
        <v>586</v>
      </c>
      <c r="C589" s="50" t="s">
        <v>1213</v>
      </c>
      <c r="D589" s="56" t="s">
        <v>1214</v>
      </c>
      <c r="E589" s="50">
        <v>13</v>
      </c>
      <c r="F589" s="50">
        <v>4147</v>
      </c>
    </row>
    <row r="590" spans="2:6" x14ac:dyDescent="0.3">
      <c r="B590" s="50">
        <f t="shared" si="9"/>
        <v>587</v>
      </c>
      <c r="C590" s="50" t="s">
        <v>1215</v>
      </c>
      <c r="D590" s="56" t="s">
        <v>1216</v>
      </c>
      <c r="E590" s="50">
        <v>13</v>
      </c>
      <c r="F590" s="50">
        <v>2418</v>
      </c>
    </row>
    <row r="591" spans="2:6" x14ac:dyDescent="0.3">
      <c r="B591" s="50">
        <f t="shared" si="9"/>
        <v>588</v>
      </c>
      <c r="C591" s="50" t="s">
        <v>1217</v>
      </c>
      <c r="D591" s="56" t="s">
        <v>1218</v>
      </c>
      <c r="E591" s="50">
        <v>13</v>
      </c>
      <c r="F591" s="50">
        <v>4082</v>
      </c>
    </row>
    <row r="592" spans="2:6" x14ac:dyDescent="0.3">
      <c r="B592" s="50">
        <f t="shared" si="9"/>
        <v>589</v>
      </c>
      <c r="C592" s="50" t="s">
        <v>1219</v>
      </c>
      <c r="D592" s="56" t="s">
        <v>1220</v>
      </c>
      <c r="E592" s="50">
        <v>13</v>
      </c>
      <c r="F592" s="50">
        <v>4303</v>
      </c>
    </row>
    <row r="593" spans="2:6" x14ac:dyDescent="0.3">
      <c r="B593" s="50">
        <f t="shared" si="9"/>
        <v>590</v>
      </c>
      <c r="C593" s="50" t="s">
        <v>1221</v>
      </c>
      <c r="D593" s="56" t="s">
        <v>1222</v>
      </c>
      <c r="E593" s="50">
        <v>13</v>
      </c>
      <c r="F593" s="50">
        <v>2418</v>
      </c>
    </row>
    <row r="594" spans="2:6" x14ac:dyDescent="0.3">
      <c r="B594" s="50">
        <f t="shared" si="9"/>
        <v>591</v>
      </c>
      <c r="C594" s="50" t="s">
        <v>1223</v>
      </c>
      <c r="D594" s="56" t="s">
        <v>1224</v>
      </c>
      <c r="E594" s="50">
        <v>13</v>
      </c>
      <c r="F594" s="50">
        <v>2418</v>
      </c>
    </row>
    <row r="595" spans="2:6" x14ac:dyDescent="0.3">
      <c r="B595" s="50">
        <f t="shared" si="9"/>
        <v>592</v>
      </c>
      <c r="C595" s="50" t="s">
        <v>1225</v>
      </c>
      <c r="D595" s="56" t="s">
        <v>1226</v>
      </c>
      <c r="E595" s="50">
        <v>13</v>
      </c>
      <c r="F595" s="50">
        <v>4082</v>
      </c>
    </row>
    <row r="596" spans="2:6" x14ac:dyDescent="0.3">
      <c r="B596" s="50">
        <f t="shared" si="9"/>
        <v>593</v>
      </c>
      <c r="C596" s="50" t="s">
        <v>1227</v>
      </c>
      <c r="D596" s="56" t="s">
        <v>1228</v>
      </c>
      <c r="E596" s="50">
        <v>12</v>
      </c>
      <c r="F596" s="50">
        <v>2232</v>
      </c>
    </row>
    <row r="597" spans="2:6" x14ac:dyDescent="0.3">
      <c r="B597" s="50">
        <f t="shared" si="9"/>
        <v>594</v>
      </c>
      <c r="C597" s="50" t="s">
        <v>1229</v>
      </c>
      <c r="D597" s="56" t="s">
        <v>1230</v>
      </c>
      <c r="E597" s="50">
        <v>13</v>
      </c>
      <c r="F597" s="50">
        <v>2418</v>
      </c>
    </row>
    <row r="598" spans="2:6" x14ac:dyDescent="0.3">
      <c r="B598" s="50">
        <f t="shared" si="9"/>
        <v>595</v>
      </c>
      <c r="C598" s="50" t="s">
        <v>1231</v>
      </c>
      <c r="D598" s="56" t="s">
        <v>1232</v>
      </c>
      <c r="E598" s="50">
        <v>12</v>
      </c>
      <c r="F598" s="50">
        <v>2232</v>
      </c>
    </row>
    <row r="599" spans="2:6" x14ac:dyDescent="0.3">
      <c r="B599" s="50">
        <f t="shared" si="9"/>
        <v>596</v>
      </c>
      <c r="C599" s="50" t="s">
        <v>1233</v>
      </c>
      <c r="D599" s="56" t="s">
        <v>1234</v>
      </c>
      <c r="E599" s="50">
        <v>13</v>
      </c>
      <c r="F599" s="50">
        <v>4082</v>
      </c>
    </row>
    <row r="600" spans="2:6" x14ac:dyDescent="0.3">
      <c r="B600" s="50">
        <f t="shared" si="9"/>
        <v>597</v>
      </c>
      <c r="C600" s="50" t="s">
        <v>1235</v>
      </c>
      <c r="D600" s="56" t="s">
        <v>1236</v>
      </c>
      <c r="E600" s="50">
        <v>12</v>
      </c>
      <c r="F600" s="50">
        <v>2784</v>
      </c>
    </row>
    <row r="601" spans="2:6" x14ac:dyDescent="0.3">
      <c r="B601" s="50">
        <f t="shared" si="9"/>
        <v>598</v>
      </c>
      <c r="C601" s="50" t="s">
        <v>1237</v>
      </c>
      <c r="D601" s="56" t="s">
        <v>1238</v>
      </c>
      <c r="E601" s="50">
        <v>1</v>
      </c>
      <c r="F601" s="50">
        <v>203</v>
      </c>
    </row>
    <row r="602" spans="2:6" x14ac:dyDescent="0.3">
      <c r="B602" s="50">
        <f t="shared" si="9"/>
        <v>599</v>
      </c>
      <c r="C602" s="50" t="s">
        <v>1239</v>
      </c>
      <c r="D602" s="56" t="s">
        <v>1240</v>
      </c>
      <c r="E602" s="50">
        <v>7</v>
      </c>
      <c r="F602" s="50">
        <v>2142</v>
      </c>
    </row>
    <row r="603" spans="2:6" x14ac:dyDescent="0.3">
      <c r="B603" s="50">
        <f t="shared" si="9"/>
        <v>600</v>
      </c>
      <c r="C603" s="50" t="s">
        <v>1241</v>
      </c>
      <c r="D603" s="56" t="s">
        <v>1242</v>
      </c>
      <c r="E603" s="50">
        <v>12</v>
      </c>
      <c r="F603" s="50">
        <v>2436</v>
      </c>
    </row>
    <row r="604" spans="2:6" x14ac:dyDescent="0.3">
      <c r="B604" s="50">
        <f t="shared" si="9"/>
        <v>601</v>
      </c>
      <c r="C604" s="50" t="s">
        <v>1243</v>
      </c>
      <c r="D604" s="56" t="s">
        <v>1244</v>
      </c>
      <c r="E604" s="50">
        <v>10</v>
      </c>
      <c r="F604" s="50">
        <v>2030</v>
      </c>
    </row>
    <row r="605" spans="2:6" x14ac:dyDescent="0.3">
      <c r="B605" s="50">
        <f t="shared" si="9"/>
        <v>602</v>
      </c>
      <c r="C605" s="50" t="s">
        <v>1245</v>
      </c>
      <c r="D605" s="56" t="s">
        <v>1246</v>
      </c>
      <c r="E605" s="50">
        <v>5</v>
      </c>
      <c r="F605" s="50">
        <v>1045</v>
      </c>
    </row>
    <row r="606" spans="2:6" x14ac:dyDescent="0.3">
      <c r="B606" s="50">
        <f t="shared" si="9"/>
        <v>603</v>
      </c>
      <c r="C606" s="50" t="s">
        <v>1247</v>
      </c>
      <c r="D606" s="56" t="s">
        <v>1248</v>
      </c>
      <c r="E606" s="50">
        <v>6</v>
      </c>
      <c r="F606" s="50">
        <v>1116</v>
      </c>
    </row>
    <row r="607" spans="2:6" x14ac:dyDescent="0.3">
      <c r="B607" s="50">
        <f t="shared" si="9"/>
        <v>604</v>
      </c>
      <c r="C607" s="50" t="s">
        <v>1249</v>
      </c>
      <c r="D607" s="56" t="s">
        <v>1250</v>
      </c>
      <c r="E607" s="50">
        <v>9</v>
      </c>
      <c r="F607" s="50">
        <v>1989</v>
      </c>
    </row>
    <row r="608" spans="2:6" x14ac:dyDescent="0.3">
      <c r="B608" s="50">
        <f t="shared" si="9"/>
        <v>605</v>
      </c>
      <c r="C608" s="50" t="s">
        <v>1251</v>
      </c>
      <c r="D608" s="56" t="s">
        <v>1252</v>
      </c>
      <c r="E608" s="50">
        <v>9</v>
      </c>
      <c r="F608" s="50">
        <v>1989</v>
      </c>
    </row>
    <row r="609" spans="2:6" x14ac:dyDescent="0.3">
      <c r="B609" s="50">
        <f t="shared" si="9"/>
        <v>606</v>
      </c>
      <c r="C609" s="50" t="s">
        <v>1253</v>
      </c>
      <c r="D609" s="56" t="s">
        <v>1254</v>
      </c>
      <c r="E609" s="50">
        <v>9</v>
      </c>
      <c r="F609" s="50">
        <v>2088</v>
      </c>
    </row>
    <row r="610" spans="2:6" x14ac:dyDescent="0.3">
      <c r="B610" s="50">
        <f t="shared" si="9"/>
        <v>607</v>
      </c>
      <c r="C610" s="50" t="s">
        <v>1255</v>
      </c>
      <c r="D610" s="56" t="s">
        <v>1256</v>
      </c>
      <c r="E610" s="50">
        <v>7</v>
      </c>
      <c r="F610" s="50">
        <v>1624</v>
      </c>
    </row>
    <row r="611" spans="2:6" x14ac:dyDescent="0.3">
      <c r="B611" s="50">
        <f t="shared" si="9"/>
        <v>608</v>
      </c>
      <c r="C611" s="50" t="s">
        <v>1257</v>
      </c>
      <c r="D611" s="56" t="s">
        <v>1258</v>
      </c>
      <c r="E611" s="50">
        <v>12</v>
      </c>
      <c r="F611" s="50">
        <v>2784</v>
      </c>
    </row>
    <row r="612" spans="2:6" x14ac:dyDescent="0.3">
      <c r="B612" s="50">
        <f t="shared" si="9"/>
        <v>609</v>
      </c>
      <c r="C612" s="50" t="s">
        <v>1259</v>
      </c>
      <c r="D612" s="56" t="s">
        <v>1260</v>
      </c>
      <c r="E612" s="50">
        <v>6</v>
      </c>
      <c r="F612" s="50">
        <v>1536</v>
      </c>
    </row>
    <row r="613" spans="2:6" x14ac:dyDescent="0.3">
      <c r="B613" s="50">
        <f t="shared" si="9"/>
        <v>610</v>
      </c>
      <c r="C613" s="50" t="s">
        <v>1261</v>
      </c>
      <c r="D613" s="56" t="s">
        <v>1262</v>
      </c>
      <c r="E613" s="50">
        <v>12</v>
      </c>
      <c r="F613" s="50">
        <v>3072</v>
      </c>
    </row>
    <row r="614" spans="2:6" x14ac:dyDescent="0.3">
      <c r="B614" s="50">
        <f t="shared" si="9"/>
        <v>611</v>
      </c>
      <c r="C614" s="50" t="s">
        <v>1263</v>
      </c>
      <c r="D614" s="56" t="s">
        <v>1264</v>
      </c>
      <c r="E614" s="50">
        <v>12</v>
      </c>
      <c r="F614" s="50">
        <v>2928</v>
      </c>
    </row>
    <row r="615" spans="2:6" x14ac:dyDescent="0.3">
      <c r="B615" s="50">
        <f t="shared" si="9"/>
        <v>612</v>
      </c>
      <c r="C615" s="50" t="s">
        <v>1265</v>
      </c>
      <c r="D615" s="56" t="s">
        <v>1266</v>
      </c>
      <c r="E615" s="50">
        <v>12</v>
      </c>
      <c r="F615" s="50">
        <v>3144</v>
      </c>
    </row>
    <row r="616" spans="2:6" x14ac:dyDescent="0.3">
      <c r="B616" s="50">
        <f t="shared" si="9"/>
        <v>613</v>
      </c>
      <c r="C616" s="50" t="s">
        <v>1267</v>
      </c>
      <c r="D616" s="56" t="s">
        <v>1268</v>
      </c>
      <c r="E616" s="50">
        <v>12</v>
      </c>
      <c r="F616" s="50">
        <v>3480</v>
      </c>
    </row>
    <row r="617" spans="2:6" x14ac:dyDescent="0.3">
      <c r="B617" s="50">
        <f t="shared" si="9"/>
        <v>614</v>
      </c>
      <c r="C617" s="50" t="s">
        <v>1269</v>
      </c>
      <c r="D617" s="56" t="s">
        <v>1270</v>
      </c>
      <c r="E617" s="50">
        <v>12</v>
      </c>
      <c r="F617" s="50">
        <v>3624</v>
      </c>
    </row>
    <row r="618" spans="2:6" x14ac:dyDescent="0.3">
      <c r="B618" s="50">
        <f t="shared" si="9"/>
        <v>615</v>
      </c>
      <c r="C618" s="50" t="s">
        <v>1271</v>
      </c>
      <c r="D618" s="56" t="s">
        <v>1272</v>
      </c>
      <c r="E618" s="50">
        <v>12</v>
      </c>
      <c r="F618" s="50">
        <v>3624</v>
      </c>
    </row>
    <row r="619" spans="2:6" x14ac:dyDescent="0.3">
      <c r="B619" s="50">
        <f t="shared" si="9"/>
        <v>616</v>
      </c>
      <c r="C619" s="50" t="s">
        <v>1273</v>
      </c>
      <c r="D619" s="56" t="s">
        <v>1274</v>
      </c>
      <c r="E619" s="50">
        <v>9</v>
      </c>
      <c r="F619" s="50">
        <v>2826</v>
      </c>
    </row>
    <row r="620" spans="2:6" x14ac:dyDescent="0.3">
      <c r="B620" s="50">
        <f t="shared" si="9"/>
        <v>617</v>
      </c>
      <c r="C620" s="50" t="s">
        <v>1275</v>
      </c>
      <c r="D620" s="56" t="s">
        <v>1276</v>
      </c>
      <c r="E620" s="50">
        <v>6</v>
      </c>
      <c r="F620" s="50">
        <v>1884</v>
      </c>
    </row>
    <row r="621" spans="2:6" x14ac:dyDescent="0.3">
      <c r="B621" s="50">
        <f t="shared" si="9"/>
        <v>618</v>
      </c>
      <c r="C621" s="50" t="s">
        <v>1277</v>
      </c>
      <c r="D621" s="56" t="s">
        <v>1278</v>
      </c>
      <c r="E621" s="50">
        <v>12</v>
      </c>
      <c r="F621" s="50">
        <v>3828</v>
      </c>
    </row>
    <row r="622" spans="2:6" x14ac:dyDescent="0.3">
      <c r="B622" s="50">
        <f t="shared" si="9"/>
        <v>619</v>
      </c>
      <c r="C622" s="50" t="s">
        <v>715</v>
      </c>
      <c r="D622" s="56" t="s">
        <v>1279</v>
      </c>
      <c r="E622" s="50">
        <v>12</v>
      </c>
      <c r="F622" s="50">
        <v>3900</v>
      </c>
    </row>
    <row r="623" spans="2:6" x14ac:dyDescent="0.3">
      <c r="B623" s="50">
        <f t="shared" si="9"/>
        <v>620</v>
      </c>
      <c r="C623" s="50" t="s">
        <v>1280</v>
      </c>
      <c r="D623" s="56" t="s">
        <v>1281</v>
      </c>
      <c r="E623" s="50">
        <v>2</v>
      </c>
      <c r="F623" s="50">
        <v>650</v>
      </c>
    </row>
    <row r="624" spans="2:6" x14ac:dyDescent="0.3">
      <c r="B624" s="50">
        <f t="shared" si="9"/>
        <v>621</v>
      </c>
      <c r="C624" s="50" t="s">
        <v>1282</v>
      </c>
      <c r="D624" s="56" t="s">
        <v>1283</v>
      </c>
      <c r="E624" s="50">
        <v>12</v>
      </c>
      <c r="F624" s="50">
        <v>3900</v>
      </c>
    </row>
    <row r="625" spans="2:6" x14ac:dyDescent="0.3">
      <c r="B625" s="50">
        <f t="shared" si="9"/>
        <v>622</v>
      </c>
      <c r="C625" s="50" t="s">
        <v>1284</v>
      </c>
      <c r="D625" s="56" t="s">
        <v>1285</v>
      </c>
      <c r="E625" s="50">
        <v>8</v>
      </c>
      <c r="F625" s="50">
        <v>2600</v>
      </c>
    </row>
    <row r="626" spans="2:6" x14ac:dyDescent="0.3">
      <c r="B626" s="50">
        <f t="shared" si="9"/>
        <v>623</v>
      </c>
      <c r="C626" s="50" t="s">
        <v>1286</v>
      </c>
      <c r="D626" s="56" t="s">
        <v>1287</v>
      </c>
      <c r="E626" s="50">
        <v>1</v>
      </c>
      <c r="F626" s="50">
        <v>325</v>
      </c>
    </row>
    <row r="627" spans="2:6" x14ac:dyDescent="0.3">
      <c r="B627" s="50">
        <f t="shared" si="9"/>
        <v>624</v>
      </c>
      <c r="C627" s="50" t="s">
        <v>931</v>
      </c>
      <c r="D627" s="56" t="s">
        <v>1288</v>
      </c>
      <c r="E627" s="50">
        <v>11</v>
      </c>
      <c r="F627" s="50">
        <v>3575</v>
      </c>
    </row>
    <row r="628" spans="2:6" x14ac:dyDescent="0.3">
      <c r="B628" s="50">
        <f t="shared" si="9"/>
        <v>625</v>
      </c>
      <c r="C628" s="50" t="s">
        <v>1289</v>
      </c>
      <c r="D628" s="56" t="s">
        <v>1290</v>
      </c>
      <c r="E628" s="50">
        <v>12</v>
      </c>
      <c r="F628" s="50">
        <v>3900</v>
      </c>
    </row>
    <row r="629" spans="2:6" x14ac:dyDescent="0.3">
      <c r="B629" s="50">
        <f t="shared" si="9"/>
        <v>626</v>
      </c>
      <c r="C629" s="50" t="s">
        <v>1291</v>
      </c>
      <c r="D629" s="56" t="s">
        <v>1292</v>
      </c>
      <c r="E629" s="50">
        <v>5</v>
      </c>
      <c r="F629" s="50">
        <v>1625</v>
      </c>
    </row>
    <row r="630" spans="2:6" x14ac:dyDescent="0.3">
      <c r="B630" s="50">
        <f t="shared" si="9"/>
        <v>627</v>
      </c>
      <c r="C630" s="50" t="s">
        <v>1293</v>
      </c>
      <c r="D630" s="56" t="s">
        <v>1294</v>
      </c>
      <c r="E630" s="50">
        <v>2</v>
      </c>
      <c r="F630" s="50">
        <v>674</v>
      </c>
    </row>
    <row r="631" spans="2:6" x14ac:dyDescent="0.3">
      <c r="B631" s="50">
        <f t="shared" si="9"/>
        <v>628</v>
      </c>
      <c r="C631" s="50" t="s">
        <v>1295</v>
      </c>
      <c r="D631" s="56" t="s">
        <v>1296</v>
      </c>
      <c r="E631" s="50">
        <v>12</v>
      </c>
      <c r="F631" s="50">
        <v>4176</v>
      </c>
    </row>
    <row r="632" spans="2:6" x14ac:dyDescent="0.3">
      <c r="B632" s="50">
        <f t="shared" si="9"/>
        <v>629</v>
      </c>
      <c r="C632" s="50" t="s">
        <v>1297</v>
      </c>
      <c r="D632" s="56" t="s">
        <v>1298</v>
      </c>
      <c r="E632" s="50">
        <v>12</v>
      </c>
      <c r="F632" s="50">
        <v>4176</v>
      </c>
    </row>
    <row r="633" spans="2:6" x14ac:dyDescent="0.3">
      <c r="B633" s="50">
        <f t="shared" si="9"/>
        <v>630</v>
      </c>
      <c r="C633" s="50" t="s">
        <v>1299</v>
      </c>
      <c r="D633" s="56" t="s">
        <v>1300</v>
      </c>
      <c r="E633" s="50">
        <v>10</v>
      </c>
      <c r="F633" s="50">
        <v>3130</v>
      </c>
    </row>
    <row r="634" spans="2:6" x14ac:dyDescent="0.3">
      <c r="B634" s="50">
        <f t="shared" si="9"/>
        <v>631</v>
      </c>
      <c r="C634" s="50" t="s">
        <v>1301</v>
      </c>
      <c r="D634" s="56" t="s">
        <v>1302</v>
      </c>
      <c r="E634" s="50">
        <v>11</v>
      </c>
      <c r="F634" s="50">
        <v>5258</v>
      </c>
    </row>
    <row r="635" spans="2:6" x14ac:dyDescent="0.3">
      <c r="B635" s="50">
        <f t="shared" si="9"/>
        <v>632</v>
      </c>
      <c r="C635" s="50" t="s">
        <v>1303</v>
      </c>
      <c r="D635" s="56" t="s">
        <v>1304</v>
      </c>
      <c r="E635" s="50">
        <v>9</v>
      </c>
      <c r="F635" s="50">
        <v>3132</v>
      </c>
    </row>
    <row r="636" spans="2:6" x14ac:dyDescent="0.3">
      <c r="B636" s="50">
        <f t="shared" si="9"/>
        <v>633</v>
      </c>
      <c r="C636" s="50" t="s">
        <v>1087</v>
      </c>
      <c r="D636" s="56" t="s">
        <v>1305</v>
      </c>
      <c r="E636" s="50">
        <v>12</v>
      </c>
      <c r="F636" s="50">
        <v>2508</v>
      </c>
    </row>
    <row r="637" spans="2:6" x14ac:dyDescent="0.3">
      <c r="B637" s="50">
        <f t="shared" si="9"/>
        <v>634</v>
      </c>
      <c r="C637" s="50" t="s">
        <v>1306</v>
      </c>
      <c r="D637" s="56" t="s">
        <v>1307</v>
      </c>
      <c r="E637" s="50">
        <v>5</v>
      </c>
      <c r="F637" s="50">
        <v>1160</v>
      </c>
    </row>
    <row r="638" spans="2:6" x14ac:dyDescent="0.3">
      <c r="B638" s="50">
        <f t="shared" si="9"/>
        <v>635</v>
      </c>
      <c r="C638" s="50" t="s">
        <v>1308</v>
      </c>
      <c r="D638" s="56" t="s">
        <v>1309</v>
      </c>
      <c r="E638" s="50">
        <v>8</v>
      </c>
      <c r="F638" s="50">
        <v>2696</v>
      </c>
    </row>
    <row r="639" spans="2:6" x14ac:dyDescent="0.3">
      <c r="B639" s="50">
        <f t="shared" si="9"/>
        <v>636</v>
      </c>
      <c r="C639" s="50" t="s">
        <v>1310</v>
      </c>
      <c r="D639" s="56" t="s">
        <v>1311</v>
      </c>
      <c r="E639" s="50">
        <v>12</v>
      </c>
      <c r="F639" s="50">
        <v>3972</v>
      </c>
    </row>
    <row r="640" spans="2:6" x14ac:dyDescent="0.3">
      <c r="B640" s="50">
        <f t="shared" si="9"/>
        <v>637</v>
      </c>
      <c r="C640" s="50" t="s">
        <v>1312</v>
      </c>
      <c r="D640" s="56" t="s">
        <v>1313</v>
      </c>
      <c r="E640" s="50">
        <v>6</v>
      </c>
      <c r="F640" s="50">
        <v>1740</v>
      </c>
    </row>
    <row r="641" spans="2:6" x14ac:dyDescent="0.3">
      <c r="B641" s="50">
        <f t="shared" si="9"/>
        <v>638</v>
      </c>
      <c r="C641" s="50" t="s">
        <v>1314</v>
      </c>
      <c r="D641" s="56" t="s">
        <v>1315</v>
      </c>
      <c r="E641" s="50">
        <v>5</v>
      </c>
      <c r="F641" s="50">
        <v>1015</v>
      </c>
    </row>
    <row r="642" spans="2:6" x14ac:dyDescent="0.3">
      <c r="B642" s="50">
        <f t="shared" si="9"/>
        <v>639</v>
      </c>
      <c r="C642" s="50" t="s">
        <v>1316</v>
      </c>
      <c r="D642" s="56" t="s">
        <v>1317</v>
      </c>
      <c r="E642" s="50">
        <v>2</v>
      </c>
      <c r="F642" s="50">
        <v>696</v>
      </c>
    </row>
    <row r="643" spans="2:6" x14ac:dyDescent="0.3">
      <c r="B643" s="50">
        <f t="shared" si="9"/>
        <v>640</v>
      </c>
      <c r="C643" s="50" t="s">
        <v>1318</v>
      </c>
      <c r="D643" s="56" t="s">
        <v>1319</v>
      </c>
      <c r="E643" s="50">
        <v>11</v>
      </c>
      <c r="F643" s="50">
        <v>3575</v>
      </c>
    </row>
    <row r="644" spans="2:6" x14ac:dyDescent="0.3">
      <c r="B644" s="50">
        <f t="shared" si="9"/>
        <v>641</v>
      </c>
      <c r="C644" s="50" t="s">
        <v>1186</v>
      </c>
      <c r="D644" s="56" t="s">
        <v>1320</v>
      </c>
      <c r="E644" s="50">
        <v>12</v>
      </c>
      <c r="F644" s="50">
        <v>2652</v>
      </c>
    </row>
    <row r="645" spans="2:6" x14ac:dyDescent="0.3">
      <c r="B645" s="50">
        <f t="shared" si="9"/>
        <v>642</v>
      </c>
      <c r="C645" s="50" t="s">
        <v>1321</v>
      </c>
      <c r="D645" s="56" t="s">
        <v>1322</v>
      </c>
      <c r="E645" s="50">
        <v>8</v>
      </c>
      <c r="F645" s="50">
        <v>2512</v>
      </c>
    </row>
    <row r="646" spans="2:6" x14ac:dyDescent="0.3">
      <c r="B646" s="50">
        <f t="shared" ref="B646:B709" si="10">+B645+1</f>
        <v>643</v>
      </c>
      <c r="C646" s="50" t="s">
        <v>1323</v>
      </c>
      <c r="D646" s="56" t="s">
        <v>1324</v>
      </c>
      <c r="E646" s="50">
        <v>12</v>
      </c>
      <c r="F646" s="50">
        <v>3480</v>
      </c>
    </row>
    <row r="647" spans="2:6" x14ac:dyDescent="0.3">
      <c r="B647" s="50">
        <f t="shared" si="10"/>
        <v>644</v>
      </c>
      <c r="C647" s="50" t="s">
        <v>1325</v>
      </c>
      <c r="D647" s="56" t="s">
        <v>1326</v>
      </c>
      <c r="E647" s="50">
        <v>4</v>
      </c>
      <c r="F647" s="50">
        <v>836</v>
      </c>
    </row>
    <row r="648" spans="2:6" x14ac:dyDescent="0.3">
      <c r="B648" s="50">
        <f t="shared" si="10"/>
        <v>645</v>
      </c>
      <c r="C648" s="50" t="s">
        <v>1327</v>
      </c>
      <c r="D648" s="56" t="s">
        <v>1328</v>
      </c>
      <c r="E648" s="50">
        <v>6</v>
      </c>
      <c r="F648" s="50">
        <v>1740</v>
      </c>
    </row>
    <row r="649" spans="2:6" x14ac:dyDescent="0.3">
      <c r="B649" s="50">
        <f t="shared" si="10"/>
        <v>646</v>
      </c>
      <c r="C649" s="50" t="s">
        <v>1329</v>
      </c>
      <c r="D649" s="56" t="s">
        <v>1330</v>
      </c>
      <c r="E649" s="50">
        <v>12</v>
      </c>
      <c r="F649" s="50">
        <v>2304</v>
      </c>
    </row>
    <row r="650" spans="2:6" x14ac:dyDescent="0.3">
      <c r="B650" s="50">
        <f t="shared" si="10"/>
        <v>647</v>
      </c>
      <c r="C650" s="50" t="s">
        <v>1331</v>
      </c>
      <c r="D650" s="56" t="s">
        <v>1332</v>
      </c>
      <c r="E650" s="50">
        <v>12</v>
      </c>
      <c r="F650" s="50">
        <v>3072</v>
      </c>
    </row>
    <row r="651" spans="2:6" x14ac:dyDescent="0.3">
      <c r="B651" s="50">
        <f t="shared" si="10"/>
        <v>648</v>
      </c>
      <c r="C651" s="50" t="s">
        <v>1333</v>
      </c>
      <c r="D651" s="56" t="s">
        <v>1334</v>
      </c>
      <c r="E651" s="50">
        <v>12</v>
      </c>
      <c r="F651" s="50">
        <v>2232</v>
      </c>
    </row>
    <row r="652" spans="2:6" x14ac:dyDescent="0.3">
      <c r="B652" s="50">
        <f t="shared" si="10"/>
        <v>649</v>
      </c>
      <c r="C652" s="50" t="s">
        <v>1335</v>
      </c>
      <c r="D652" s="56" t="s">
        <v>1336</v>
      </c>
      <c r="E652" s="50">
        <v>3</v>
      </c>
      <c r="F652" s="50">
        <v>627</v>
      </c>
    </row>
    <row r="653" spans="2:6" x14ac:dyDescent="0.3">
      <c r="B653" s="50">
        <f t="shared" si="10"/>
        <v>650</v>
      </c>
      <c r="C653" s="50" t="s">
        <v>1337</v>
      </c>
      <c r="D653" s="56" t="s">
        <v>1338</v>
      </c>
      <c r="E653" s="50">
        <v>12</v>
      </c>
      <c r="F653" s="50">
        <v>2232</v>
      </c>
    </row>
    <row r="654" spans="2:6" x14ac:dyDescent="0.3">
      <c r="B654" s="50">
        <f t="shared" si="10"/>
        <v>651</v>
      </c>
      <c r="C654" s="50" t="s">
        <v>1339</v>
      </c>
      <c r="D654" s="56" t="s">
        <v>1340</v>
      </c>
      <c r="E654" s="50">
        <v>12</v>
      </c>
      <c r="F654" s="50">
        <v>2232</v>
      </c>
    </row>
    <row r="655" spans="2:6" x14ac:dyDescent="0.3">
      <c r="B655" s="50">
        <f t="shared" si="10"/>
        <v>652</v>
      </c>
      <c r="C655" s="50" t="s">
        <v>1341</v>
      </c>
      <c r="D655" s="56" t="s">
        <v>1342</v>
      </c>
      <c r="E655" s="50">
        <v>12</v>
      </c>
      <c r="F655" s="50">
        <v>2436</v>
      </c>
    </row>
    <row r="656" spans="2:6" x14ac:dyDescent="0.3">
      <c r="B656" s="50">
        <f t="shared" si="10"/>
        <v>653</v>
      </c>
      <c r="C656" s="50" t="s">
        <v>1343</v>
      </c>
      <c r="D656" s="56" t="s">
        <v>1344</v>
      </c>
      <c r="E656" s="50">
        <v>2</v>
      </c>
      <c r="F656" s="50">
        <v>418</v>
      </c>
    </row>
    <row r="657" spans="2:6" x14ac:dyDescent="0.3">
      <c r="B657" s="50">
        <f t="shared" si="10"/>
        <v>654</v>
      </c>
      <c r="C657" s="50" t="s">
        <v>1345</v>
      </c>
      <c r="D657" s="56" t="s">
        <v>1346</v>
      </c>
      <c r="E657" s="50">
        <v>24</v>
      </c>
      <c r="F657" s="50">
        <v>5016</v>
      </c>
    </row>
    <row r="658" spans="2:6" x14ac:dyDescent="0.3">
      <c r="B658" s="50">
        <f t="shared" si="10"/>
        <v>655</v>
      </c>
      <c r="C658" s="50" t="s">
        <v>1347</v>
      </c>
      <c r="D658" s="56" t="s">
        <v>1348</v>
      </c>
      <c r="E658" s="50">
        <v>12</v>
      </c>
      <c r="F658" s="50">
        <v>2508</v>
      </c>
    </row>
    <row r="659" spans="2:6" x14ac:dyDescent="0.3">
      <c r="B659" s="50">
        <f t="shared" si="10"/>
        <v>656</v>
      </c>
      <c r="C659" s="50" t="s">
        <v>1349</v>
      </c>
      <c r="D659" s="56" t="s">
        <v>1350</v>
      </c>
      <c r="E659" s="50">
        <v>12</v>
      </c>
      <c r="F659" s="50">
        <v>3072</v>
      </c>
    </row>
    <row r="660" spans="2:6" x14ac:dyDescent="0.3">
      <c r="B660" s="50">
        <f t="shared" si="10"/>
        <v>657</v>
      </c>
      <c r="C660" s="50" t="s">
        <v>1351</v>
      </c>
      <c r="D660" s="56" t="s">
        <v>1352</v>
      </c>
      <c r="E660" s="50">
        <v>26</v>
      </c>
      <c r="F660" s="50">
        <v>5434</v>
      </c>
    </row>
    <row r="661" spans="2:6" x14ac:dyDescent="0.3">
      <c r="B661" s="50">
        <f t="shared" si="10"/>
        <v>658</v>
      </c>
      <c r="C661" s="50" t="s">
        <v>1353</v>
      </c>
      <c r="D661" s="56" t="s">
        <v>1354</v>
      </c>
      <c r="E661" s="50">
        <v>1</v>
      </c>
      <c r="F661" s="50">
        <v>209</v>
      </c>
    </row>
    <row r="662" spans="2:6" x14ac:dyDescent="0.3">
      <c r="B662" s="50">
        <f t="shared" si="10"/>
        <v>659</v>
      </c>
      <c r="C662" s="50" t="s">
        <v>1195</v>
      </c>
      <c r="D662" s="56" t="s">
        <v>1355</v>
      </c>
      <c r="E662" s="50">
        <v>15</v>
      </c>
      <c r="F662" s="50">
        <v>3135</v>
      </c>
    </row>
    <row r="663" spans="2:6" x14ac:dyDescent="0.3">
      <c r="B663" s="50">
        <f t="shared" si="10"/>
        <v>660</v>
      </c>
      <c r="C663" s="50" t="s">
        <v>1356</v>
      </c>
      <c r="D663" s="56" t="s">
        <v>1357</v>
      </c>
      <c r="E663" s="50">
        <v>27</v>
      </c>
      <c r="F663" s="50">
        <v>5643</v>
      </c>
    </row>
    <row r="664" spans="2:6" x14ac:dyDescent="0.3">
      <c r="B664" s="50">
        <f t="shared" si="10"/>
        <v>661</v>
      </c>
      <c r="C664" s="50" t="s">
        <v>1358</v>
      </c>
      <c r="D664" s="56" t="s">
        <v>1359</v>
      </c>
      <c r="E664" s="50">
        <v>15</v>
      </c>
      <c r="F664" s="50">
        <v>3135</v>
      </c>
    </row>
    <row r="665" spans="2:6" x14ac:dyDescent="0.3">
      <c r="B665" s="50">
        <f t="shared" si="10"/>
        <v>662</v>
      </c>
      <c r="C665" s="50" t="s">
        <v>599</v>
      </c>
      <c r="D665" s="56" t="s">
        <v>1360</v>
      </c>
      <c r="E665" s="50">
        <v>12</v>
      </c>
      <c r="F665" s="50">
        <v>3072</v>
      </c>
    </row>
    <row r="666" spans="2:6" x14ac:dyDescent="0.3">
      <c r="B666" s="50">
        <f t="shared" si="10"/>
        <v>663</v>
      </c>
      <c r="C666" s="50" t="s">
        <v>1361</v>
      </c>
      <c r="D666" s="56" t="s">
        <v>1362</v>
      </c>
      <c r="E666" s="50">
        <v>1</v>
      </c>
      <c r="F666" s="50">
        <v>192</v>
      </c>
    </row>
    <row r="667" spans="2:6" x14ac:dyDescent="0.3">
      <c r="B667" s="50">
        <f t="shared" si="10"/>
        <v>664</v>
      </c>
      <c r="C667" s="50" t="s">
        <v>1363</v>
      </c>
      <c r="D667" s="56" t="s">
        <v>1364</v>
      </c>
      <c r="E667" s="50">
        <v>5</v>
      </c>
      <c r="F667" s="50">
        <v>930</v>
      </c>
    </row>
    <row r="668" spans="2:6" x14ac:dyDescent="0.3">
      <c r="B668" s="50">
        <f t="shared" si="10"/>
        <v>665</v>
      </c>
      <c r="C668" s="50" t="s">
        <v>1365</v>
      </c>
      <c r="D668" s="56" t="s">
        <v>1366</v>
      </c>
      <c r="E668" s="50">
        <v>12</v>
      </c>
      <c r="F668" s="50">
        <v>3624</v>
      </c>
    </row>
    <row r="669" spans="2:6" x14ac:dyDescent="0.3">
      <c r="B669" s="50">
        <f t="shared" si="10"/>
        <v>666</v>
      </c>
      <c r="C669" s="50" t="s">
        <v>1367</v>
      </c>
      <c r="D669" s="56" t="s">
        <v>1368</v>
      </c>
      <c r="E669" s="50">
        <v>6</v>
      </c>
      <c r="F669" s="50">
        <v>1116</v>
      </c>
    </row>
    <row r="670" spans="2:6" x14ac:dyDescent="0.3">
      <c r="B670" s="50">
        <f t="shared" si="10"/>
        <v>667</v>
      </c>
      <c r="C670" s="50" t="s">
        <v>1369</v>
      </c>
      <c r="D670" s="56" t="s">
        <v>1370</v>
      </c>
      <c r="E670" s="50">
        <v>12</v>
      </c>
      <c r="F670" s="50">
        <v>4176</v>
      </c>
    </row>
    <row r="671" spans="2:6" x14ac:dyDescent="0.3">
      <c r="B671" s="50">
        <f t="shared" si="10"/>
        <v>668</v>
      </c>
      <c r="C671" s="50" t="s">
        <v>1371</v>
      </c>
      <c r="D671" s="56" t="s">
        <v>1372</v>
      </c>
      <c r="E671" s="50">
        <v>12</v>
      </c>
      <c r="F671" s="50">
        <v>2516</v>
      </c>
    </row>
    <row r="672" spans="2:6" x14ac:dyDescent="0.3">
      <c r="B672" s="50">
        <f t="shared" si="10"/>
        <v>669</v>
      </c>
      <c r="C672" s="50" t="s">
        <v>1373</v>
      </c>
      <c r="D672" s="56" t="s">
        <v>1374</v>
      </c>
      <c r="E672" s="50">
        <v>31</v>
      </c>
      <c r="F672" s="50">
        <v>11330</v>
      </c>
    </row>
    <row r="673" spans="2:6" x14ac:dyDescent="0.3">
      <c r="B673" s="50">
        <f t="shared" si="10"/>
        <v>670</v>
      </c>
      <c r="C673" s="50" t="s">
        <v>1375</v>
      </c>
      <c r="D673" s="56" t="s">
        <v>1376</v>
      </c>
      <c r="E673" s="50">
        <v>12</v>
      </c>
      <c r="F673" s="50">
        <v>3060</v>
      </c>
    </row>
    <row r="674" spans="2:6" x14ac:dyDescent="0.3">
      <c r="B674" s="50">
        <f t="shared" si="10"/>
        <v>671</v>
      </c>
      <c r="C674" s="50" t="s">
        <v>1377</v>
      </c>
      <c r="D674" s="56" t="s">
        <v>1378</v>
      </c>
      <c r="E674" s="50">
        <v>12</v>
      </c>
      <c r="F674" s="50">
        <v>3828</v>
      </c>
    </row>
    <row r="675" spans="2:6" x14ac:dyDescent="0.3">
      <c r="B675" s="50">
        <f t="shared" si="10"/>
        <v>672</v>
      </c>
      <c r="C675" s="50" t="s">
        <v>1379</v>
      </c>
      <c r="D675" s="56" t="s">
        <v>1380</v>
      </c>
      <c r="E675" s="50">
        <v>10</v>
      </c>
      <c r="F675" s="50">
        <v>1860</v>
      </c>
    </row>
    <row r="676" spans="2:6" x14ac:dyDescent="0.3">
      <c r="B676" s="50">
        <f t="shared" si="10"/>
        <v>673</v>
      </c>
      <c r="C676" s="50" t="s">
        <v>810</v>
      </c>
      <c r="D676" s="56" t="s">
        <v>1381</v>
      </c>
      <c r="E676" s="50">
        <v>15</v>
      </c>
      <c r="F676" s="50">
        <v>2970</v>
      </c>
    </row>
    <row r="677" spans="2:6" x14ac:dyDescent="0.3">
      <c r="B677" s="50">
        <f t="shared" si="10"/>
        <v>674</v>
      </c>
      <c r="C677" s="50" t="s">
        <v>1382</v>
      </c>
      <c r="D677" s="56" t="s">
        <v>1383</v>
      </c>
      <c r="E677" s="50">
        <v>10</v>
      </c>
      <c r="F677" s="50">
        <v>1980</v>
      </c>
    </row>
    <row r="678" spans="2:6" x14ac:dyDescent="0.3">
      <c r="B678" s="50">
        <f t="shared" si="10"/>
        <v>675</v>
      </c>
      <c r="C678" s="50" t="s">
        <v>1384</v>
      </c>
      <c r="D678" s="56" t="s">
        <v>1385</v>
      </c>
      <c r="E678" s="50">
        <v>2</v>
      </c>
      <c r="F678" s="50">
        <v>396</v>
      </c>
    </row>
    <row r="679" spans="2:6" x14ac:dyDescent="0.3">
      <c r="B679" s="50">
        <f t="shared" si="10"/>
        <v>676</v>
      </c>
      <c r="C679" s="50" t="s">
        <v>1386</v>
      </c>
      <c r="D679" s="56" t="s">
        <v>1387</v>
      </c>
      <c r="E679" s="50">
        <v>12</v>
      </c>
      <c r="F679" s="50">
        <v>3480</v>
      </c>
    </row>
    <row r="680" spans="2:6" x14ac:dyDescent="0.3">
      <c r="B680" s="50">
        <f t="shared" si="10"/>
        <v>677</v>
      </c>
      <c r="C680" s="50" t="s">
        <v>1388</v>
      </c>
      <c r="D680" s="56" t="s">
        <v>1389</v>
      </c>
      <c r="E680" s="50">
        <v>15</v>
      </c>
      <c r="F680" s="50">
        <v>2970</v>
      </c>
    </row>
    <row r="681" spans="2:6" x14ac:dyDescent="0.3">
      <c r="B681" s="50">
        <f t="shared" si="10"/>
        <v>678</v>
      </c>
      <c r="C681" s="50" t="s">
        <v>147</v>
      </c>
      <c r="D681" s="56" t="s">
        <v>1390</v>
      </c>
      <c r="E681" s="50">
        <v>15</v>
      </c>
      <c r="F681" s="50">
        <v>4785</v>
      </c>
    </row>
    <row r="682" spans="2:6" x14ac:dyDescent="0.3">
      <c r="B682" s="50">
        <f t="shared" si="10"/>
        <v>679</v>
      </c>
      <c r="C682" s="50" t="s">
        <v>1391</v>
      </c>
      <c r="D682" s="56" t="s">
        <v>1392</v>
      </c>
      <c r="E682" s="50">
        <v>4</v>
      </c>
      <c r="F682" s="50">
        <v>1300</v>
      </c>
    </row>
    <row r="683" spans="2:6" x14ac:dyDescent="0.3">
      <c r="B683" s="50">
        <f t="shared" si="10"/>
        <v>680</v>
      </c>
      <c r="C683" s="50" t="s">
        <v>651</v>
      </c>
      <c r="D683" s="56" t="s">
        <v>1393</v>
      </c>
      <c r="E683" s="50">
        <v>4</v>
      </c>
      <c r="F683" s="50">
        <v>1348</v>
      </c>
    </row>
    <row r="684" spans="2:6" x14ac:dyDescent="0.3">
      <c r="B684" s="50">
        <f t="shared" si="10"/>
        <v>681</v>
      </c>
      <c r="C684" s="50" t="s">
        <v>1394</v>
      </c>
      <c r="D684" s="56" t="s">
        <v>1395</v>
      </c>
      <c r="E684" s="50">
        <v>15</v>
      </c>
      <c r="F684" s="50">
        <v>5055</v>
      </c>
    </row>
    <row r="685" spans="2:6" x14ac:dyDescent="0.3">
      <c r="B685" s="50">
        <f t="shared" si="10"/>
        <v>682</v>
      </c>
      <c r="C685" s="50" t="s">
        <v>1396</v>
      </c>
      <c r="D685" s="56" t="s">
        <v>1397</v>
      </c>
      <c r="E685" s="50">
        <v>12</v>
      </c>
      <c r="F685" s="50">
        <v>4116</v>
      </c>
    </row>
    <row r="686" spans="2:6" x14ac:dyDescent="0.3">
      <c r="B686" s="50">
        <f t="shared" si="10"/>
        <v>683</v>
      </c>
      <c r="C686" s="50" t="s">
        <v>1398</v>
      </c>
      <c r="D686" s="56" t="s">
        <v>1399</v>
      </c>
      <c r="E686" s="50">
        <v>6</v>
      </c>
      <c r="F686" s="50">
        <v>2088</v>
      </c>
    </row>
    <row r="687" spans="2:6" x14ac:dyDescent="0.3">
      <c r="B687" s="50">
        <f t="shared" si="10"/>
        <v>684</v>
      </c>
      <c r="C687" s="50" t="s">
        <v>1400</v>
      </c>
      <c r="D687" s="56" t="s">
        <v>1401</v>
      </c>
      <c r="E687" s="50">
        <v>12</v>
      </c>
      <c r="F687" s="50">
        <v>3744</v>
      </c>
    </row>
    <row r="688" spans="2:6" x14ac:dyDescent="0.3">
      <c r="B688" s="50">
        <f t="shared" si="10"/>
        <v>685</v>
      </c>
      <c r="C688" s="50" t="s">
        <v>1402</v>
      </c>
      <c r="D688" s="56" t="s">
        <v>1403</v>
      </c>
      <c r="E688" s="50">
        <v>10</v>
      </c>
      <c r="F688" s="50">
        <v>2320</v>
      </c>
    </row>
    <row r="689" spans="2:6" x14ac:dyDescent="0.3">
      <c r="B689" s="50">
        <f t="shared" si="10"/>
        <v>686</v>
      </c>
      <c r="C689" s="50" t="s">
        <v>1404</v>
      </c>
      <c r="D689" s="56" t="s">
        <v>1405</v>
      </c>
      <c r="E689" s="50">
        <v>15</v>
      </c>
      <c r="F689" s="50">
        <v>2970</v>
      </c>
    </row>
    <row r="690" spans="2:6" x14ac:dyDescent="0.3">
      <c r="B690" s="50">
        <f t="shared" si="10"/>
        <v>687</v>
      </c>
      <c r="C690" s="50" t="s">
        <v>1406</v>
      </c>
      <c r="D690" s="56" t="s">
        <v>1407</v>
      </c>
      <c r="E690" s="50">
        <v>3</v>
      </c>
      <c r="F690" s="50">
        <v>558</v>
      </c>
    </row>
    <row r="691" spans="2:6" x14ac:dyDescent="0.3">
      <c r="B691" s="50">
        <f t="shared" si="10"/>
        <v>688</v>
      </c>
      <c r="C691" s="50" t="s">
        <v>1408</v>
      </c>
      <c r="D691" s="56" t="s">
        <v>1409</v>
      </c>
      <c r="E691" s="50">
        <v>15</v>
      </c>
      <c r="F691" s="50">
        <v>2790</v>
      </c>
    </row>
    <row r="692" spans="2:6" x14ac:dyDescent="0.3">
      <c r="B692" s="50">
        <f t="shared" si="10"/>
        <v>689</v>
      </c>
      <c r="C692" s="50" t="s">
        <v>1410</v>
      </c>
      <c r="D692" s="56" t="s">
        <v>1411</v>
      </c>
      <c r="E692" s="50">
        <v>15</v>
      </c>
      <c r="F692" s="50">
        <v>2790</v>
      </c>
    </row>
    <row r="693" spans="2:6" x14ac:dyDescent="0.3">
      <c r="B693" s="50">
        <f t="shared" si="10"/>
        <v>690</v>
      </c>
      <c r="C693" s="50" t="s">
        <v>1412</v>
      </c>
      <c r="D693" s="56" t="s">
        <v>1413</v>
      </c>
      <c r="E693" s="50">
        <v>16</v>
      </c>
      <c r="F693" s="50">
        <v>3168</v>
      </c>
    </row>
    <row r="694" spans="2:6" x14ac:dyDescent="0.3">
      <c r="B694" s="50">
        <f t="shared" si="10"/>
        <v>691</v>
      </c>
      <c r="C694" s="50" t="s">
        <v>1414</v>
      </c>
      <c r="D694" s="56" t="s">
        <v>1415</v>
      </c>
      <c r="E694" s="50">
        <v>12</v>
      </c>
      <c r="F694" s="50">
        <v>4176</v>
      </c>
    </row>
    <row r="695" spans="2:6" x14ac:dyDescent="0.3">
      <c r="B695" s="50">
        <f t="shared" si="10"/>
        <v>692</v>
      </c>
      <c r="C695" s="50" t="s">
        <v>1416</v>
      </c>
      <c r="D695" s="56" t="s">
        <v>1417</v>
      </c>
      <c r="E695" s="50">
        <v>15</v>
      </c>
      <c r="F695" s="50">
        <v>2970</v>
      </c>
    </row>
    <row r="696" spans="2:6" x14ac:dyDescent="0.3">
      <c r="B696" s="50">
        <f t="shared" si="10"/>
        <v>693</v>
      </c>
      <c r="C696" s="50" t="s">
        <v>1418</v>
      </c>
      <c r="D696" s="56" t="s">
        <v>1419</v>
      </c>
      <c r="E696" s="50">
        <v>11</v>
      </c>
      <c r="F696" s="50">
        <v>3828</v>
      </c>
    </row>
    <row r="697" spans="2:6" x14ac:dyDescent="0.3">
      <c r="B697" s="50">
        <f t="shared" si="10"/>
        <v>694</v>
      </c>
      <c r="C697" s="50" t="s">
        <v>362</v>
      </c>
      <c r="D697" s="56" t="s">
        <v>1420</v>
      </c>
      <c r="E697" s="50">
        <v>8</v>
      </c>
      <c r="F697" s="50">
        <v>2856</v>
      </c>
    </row>
    <row r="698" spans="2:6" x14ac:dyDescent="0.3">
      <c r="B698" s="50">
        <f t="shared" si="10"/>
        <v>695</v>
      </c>
      <c r="C698" s="50" t="s">
        <v>1421</v>
      </c>
      <c r="D698" s="56" t="s">
        <v>1422</v>
      </c>
      <c r="E698" s="50">
        <v>31</v>
      </c>
      <c r="F698" s="50">
        <v>9410</v>
      </c>
    </row>
    <row r="699" spans="2:6" x14ac:dyDescent="0.3">
      <c r="B699" s="50">
        <f t="shared" si="10"/>
        <v>696</v>
      </c>
      <c r="C699" s="50" t="s">
        <v>378</v>
      </c>
      <c r="D699" s="56" t="s">
        <v>1423</v>
      </c>
      <c r="E699" s="50">
        <v>31</v>
      </c>
      <c r="F699" s="50">
        <v>9410</v>
      </c>
    </row>
    <row r="700" spans="2:6" x14ac:dyDescent="0.3">
      <c r="B700" s="50">
        <f t="shared" si="10"/>
        <v>697</v>
      </c>
      <c r="C700" s="50" t="s">
        <v>1424</v>
      </c>
      <c r="D700" s="56" t="s">
        <v>1425</v>
      </c>
      <c r="E700" s="50">
        <v>29</v>
      </c>
      <c r="F700" s="50">
        <v>10179</v>
      </c>
    </row>
    <row r="701" spans="2:6" x14ac:dyDescent="0.3">
      <c r="B701" s="50">
        <f t="shared" si="10"/>
        <v>698</v>
      </c>
      <c r="C701" s="50" t="s">
        <v>1426</v>
      </c>
      <c r="D701" s="56" t="s">
        <v>1427</v>
      </c>
      <c r="E701" s="50">
        <v>31</v>
      </c>
      <c r="F701" s="50">
        <v>9410</v>
      </c>
    </row>
    <row r="702" spans="2:6" x14ac:dyDescent="0.3">
      <c r="B702" s="50">
        <f t="shared" si="10"/>
        <v>699</v>
      </c>
      <c r="C702" s="50" t="s">
        <v>1428</v>
      </c>
      <c r="D702" s="56" t="s">
        <v>1429</v>
      </c>
      <c r="E702" s="50">
        <v>31</v>
      </c>
      <c r="F702" s="50">
        <v>9410</v>
      </c>
    </row>
    <row r="703" spans="2:6" x14ac:dyDescent="0.3">
      <c r="B703" s="50">
        <f t="shared" si="10"/>
        <v>700</v>
      </c>
      <c r="C703" s="50" t="s">
        <v>1430</v>
      </c>
      <c r="D703" s="56" t="s">
        <v>1431</v>
      </c>
      <c r="E703" s="50">
        <v>31</v>
      </c>
      <c r="F703" s="50">
        <v>11026</v>
      </c>
    </row>
    <row r="704" spans="2:6" x14ac:dyDescent="0.3">
      <c r="B704" s="50">
        <f t="shared" si="10"/>
        <v>701</v>
      </c>
      <c r="C704" s="50" t="s">
        <v>1432</v>
      </c>
      <c r="D704" s="56" t="s">
        <v>1433</v>
      </c>
      <c r="E704" s="50">
        <v>31</v>
      </c>
      <c r="F704" s="50">
        <v>9410</v>
      </c>
    </row>
    <row r="705" spans="2:6" x14ac:dyDescent="0.3">
      <c r="B705" s="50">
        <f t="shared" si="10"/>
        <v>702</v>
      </c>
      <c r="C705" s="50" t="s">
        <v>1434</v>
      </c>
      <c r="D705" s="56" t="s">
        <v>1435</v>
      </c>
      <c r="E705" s="50">
        <v>30.5</v>
      </c>
      <c r="F705" s="50">
        <v>7625</v>
      </c>
    </row>
    <row r="706" spans="2:6" x14ac:dyDescent="0.3">
      <c r="B706" s="50">
        <f t="shared" si="10"/>
        <v>703</v>
      </c>
      <c r="C706" s="50" t="s">
        <v>1436</v>
      </c>
      <c r="D706" s="56" t="s">
        <v>1437</v>
      </c>
      <c r="E706" s="50">
        <v>31</v>
      </c>
      <c r="F706" s="50">
        <v>7000</v>
      </c>
    </row>
    <row r="707" spans="2:6" x14ac:dyDescent="0.3">
      <c r="B707" s="50">
        <f t="shared" si="10"/>
        <v>704</v>
      </c>
      <c r="C707" s="50" t="s">
        <v>1438</v>
      </c>
      <c r="D707" s="56" t="s">
        <v>1439</v>
      </c>
      <c r="E707" s="50">
        <v>31</v>
      </c>
      <c r="F707" s="50">
        <v>7750</v>
      </c>
    </row>
    <row r="708" spans="2:6" x14ac:dyDescent="0.3">
      <c r="B708" s="50">
        <f t="shared" si="10"/>
        <v>705</v>
      </c>
      <c r="C708" s="50" t="s">
        <v>1440</v>
      </c>
      <c r="D708" s="56" t="s">
        <v>1441</v>
      </c>
      <c r="E708" s="50">
        <v>26</v>
      </c>
      <c r="F708" s="50">
        <v>5582</v>
      </c>
    </row>
    <row r="709" spans="2:6" x14ac:dyDescent="0.3">
      <c r="B709" s="50">
        <f t="shared" si="10"/>
        <v>706</v>
      </c>
      <c r="C709" s="50" t="s">
        <v>1442</v>
      </c>
      <c r="D709" s="56" t="s">
        <v>1443</v>
      </c>
      <c r="E709" s="50">
        <v>30</v>
      </c>
      <c r="F709" s="50">
        <v>6441</v>
      </c>
    </row>
    <row r="710" spans="2:6" x14ac:dyDescent="0.3">
      <c r="B710" s="50">
        <f t="shared" ref="B710:B773" si="11">+B709+1</f>
        <v>707</v>
      </c>
      <c r="C710" s="50" t="s">
        <v>1444</v>
      </c>
      <c r="D710" s="56" t="s">
        <v>1445</v>
      </c>
      <c r="E710" s="50">
        <v>31</v>
      </c>
      <c r="F710" s="50">
        <v>10550</v>
      </c>
    </row>
    <row r="711" spans="2:6" x14ac:dyDescent="0.3">
      <c r="B711" s="50">
        <f t="shared" si="11"/>
        <v>708</v>
      </c>
      <c r="C711" s="50" t="s">
        <v>1446</v>
      </c>
      <c r="D711" s="56" t="s">
        <v>1447</v>
      </c>
      <c r="E711" s="50">
        <v>30</v>
      </c>
      <c r="F711" s="50">
        <v>7680</v>
      </c>
    </row>
    <row r="712" spans="2:6" x14ac:dyDescent="0.3">
      <c r="B712" s="50">
        <f t="shared" si="11"/>
        <v>709</v>
      </c>
      <c r="C712" s="50" t="s">
        <v>1448</v>
      </c>
      <c r="D712" s="56" t="s">
        <v>1449</v>
      </c>
      <c r="E712" s="50">
        <v>31</v>
      </c>
      <c r="F712" s="50">
        <v>6450</v>
      </c>
    </row>
    <row r="713" spans="2:6" x14ac:dyDescent="0.3">
      <c r="B713" s="50">
        <f t="shared" si="11"/>
        <v>710</v>
      </c>
      <c r="C713" s="50" t="s">
        <v>1450</v>
      </c>
      <c r="D713" s="56" t="s">
        <v>1451</v>
      </c>
      <c r="E713" s="50">
        <v>31</v>
      </c>
      <c r="F713" s="50">
        <v>6450</v>
      </c>
    </row>
    <row r="714" spans="2:6" x14ac:dyDescent="0.3">
      <c r="B714" s="50">
        <f t="shared" si="11"/>
        <v>711</v>
      </c>
      <c r="C714" s="50" t="s">
        <v>1452</v>
      </c>
      <c r="D714" s="56" t="s">
        <v>1453</v>
      </c>
      <c r="E714" s="50">
        <v>24</v>
      </c>
      <c r="F714" s="50">
        <v>5806</v>
      </c>
    </row>
    <row r="715" spans="2:6" x14ac:dyDescent="0.3">
      <c r="B715" s="50">
        <f t="shared" si="11"/>
        <v>712</v>
      </c>
      <c r="C715" s="50" t="s">
        <v>1454</v>
      </c>
      <c r="D715" s="56" t="s">
        <v>1455</v>
      </c>
      <c r="E715" s="50">
        <v>2</v>
      </c>
      <c r="F715" s="50">
        <v>416</v>
      </c>
    </row>
    <row r="716" spans="2:6" x14ac:dyDescent="0.3">
      <c r="B716" s="50">
        <f t="shared" si="11"/>
        <v>713</v>
      </c>
      <c r="C716" s="50" t="s">
        <v>1456</v>
      </c>
      <c r="D716" s="56" t="s">
        <v>1457</v>
      </c>
      <c r="E716" s="50">
        <v>31</v>
      </c>
      <c r="F716" s="50">
        <v>6450</v>
      </c>
    </row>
    <row r="717" spans="2:6" x14ac:dyDescent="0.3">
      <c r="B717" s="50">
        <f t="shared" si="11"/>
        <v>714</v>
      </c>
      <c r="C717" s="50" t="s">
        <v>1458</v>
      </c>
      <c r="D717" s="56" t="s">
        <v>1459</v>
      </c>
      <c r="E717" s="50">
        <v>30</v>
      </c>
      <c r="F717" s="50">
        <v>6247</v>
      </c>
    </row>
    <row r="718" spans="2:6" x14ac:dyDescent="0.3">
      <c r="B718" s="50">
        <f t="shared" si="11"/>
        <v>715</v>
      </c>
      <c r="C718" s="50" t="s">
        <v>1460</v>
      </c>
      <c r="D718" s="56" t="s">
        <v>1461</v>
      </c>
      <c r="E718" s="50">
        <v>13</v>
      </c>
      <c r="F718" s="50">
        <v>2706</v>
      </c>
    </row>
    <row r="719" spans="2:6" x14ac:dyDescent="0.3">
      <c r="B719" s="50">
        <f t="shared" si="11"/>
        <v>716</v>
      </c>
      <c r="C719" s="50" t="s">
        <v>1462</v>
      </c>
      <c r="D719" s="56" t="s">
        <v>1463</v>
      </c>
      <c r="E719" s="50">
        <v>31</v>
      </c>
      <c r="F719" s="50">
        <v>6450</v>
      </c>
    </row>
    <row r="720" spans="2:6" x14ac:dyDescent="0.3">
      <c r="B720" s="50">
        <f t="shared" si="11"/>
        <v>717</v>
      </c>
      <c r="C720" s="50" t="s">
        <v>1464</v>
      </c>
      <c r="D720" s="56" t="s">
        <v>1465</v>
      </c>
      <c r="E720" s="50">
        <v>26</v>
      </c>
      <c r="F720" s="50">
        <v>5409</v>
      </c>
    </row>
    <row r="721" spans="2:6" x14ac:dyDescent="0.3">
      <c r="B721" s="50">
        <f t="shared" si="11"/>
        <v>718</v>
      </c>
      <c r="C721" s="50" t="s">
        <v>252</v>
      </c>
      <c r="D721" s="56" t="s">
        <v>1466</v>
      </c>
      <c r="E721" s="50">
        <v>6</v>
      </c>
      <c r="F721" s="50">
        <v>1248</v>
      </c>
    </row>
    <row r="722" spans="2:6" x14ac:dyDescent="0.3">
      <c r="B722" s="50">
        <f t="shared" si="11"/>
        <v>719</v>
      </c>
      <c r="C722" s="50" t="s">
        <v>1467</v>
      </c>
      <c r="D722" s="56" t="s">
        <v>1468</v>
      </c>
      <c r="E722" s="50">
        <v>24</v>
      </c>
      <c r="F722" s="50">
        <v>4993</v>
      </c>
    </row>
    <row r="723" spans="2:6" x14ac:dyDescent="0.3">
      <c r="B723" s="50">
        <f t="shared" si="11"/>
        <v>720</v>
      </c>
      <c r="C723" s="50" t="s">
        <v>1469</v>
      </c>
      <c r="D723" s="56" t="s">
        <v>1470</v>
      </c>
      <c r="E723" s="50">
        <v>15.5</v>
      </c>
      <c r="F723" s="50">
        <v>3350</v>
      </c>
    </row>
    <row r="724" spans="2:6" x14ac:dyDescent="0.3">
      <c r="B724" s="50">
        <f t="shared" si="11"/>
        <v>721</v>
      </c>
      <c r="C724" s="50" t="s">
        <v>1471</v>
      </c>
      <c r="D724" s="56" t="s">
        <v>1472</v>
      </c>
      <c r="E724" s="50">
        <v>10</v>
      </c>
      <c r="F724" s="50">
        <v>2081</v>
      </c>
    </row>
    <row r="725" spans="2:6" x14ac:dyDescent="0.3">
      <c r="B725" s="50">
        <f t="shared" si="11"/>
        <v>722</v>
      </c>
      <c r="C725" s="50" t="s">
        <v>1473</v>
      </c>
      <c r="D725" s="56" t="s">
        <v>1474</v>
      </c>
      <c r="E725" s="50">
        <v>31</v>
      </c>
      <c r="F725" s="50">
        <v>8500</v>
      </c>
    </row>
    <row r="726" spans="2:6" x14ac:dyDescent="0.3">
      <c r="B726" s="50">
        <f t="shared" si="11"/>
        <v>723</v>
      </c>
      <c r="C726" s="50" t="s">
        <v>1475</v>
      </c>
      <c r="D726" s="56" t="s">
        <v>1476</v>
      </c>
      <c r="E726" s="50">
        <v>31</v>
      </c>
      <c r="F726" s="50">
        <v>8500</v>
      </c>
    </row>
    <row r="727" spans="2:6" x14ac:dyDescent="0.3">
      <c r="B727" s="50">
        <f t="shared" si="11"/>
        <v>724</v>
      </c>
      <c r="C727" s="50" t="s">
        <v>1477</v>
      </c>
      <c r="D727" s="56" t="s">
        <v>1478</v>
      </c>
      <c r="E727" s="50">
        <v>31</v>
      </c>
      <c r="F727" s="50">
        <v>8112</v>
      </c>
    </row>
    <row r="728" spans="2:6" x14ac:dyDescent="0.3">
      <c r="B728" s="50">
        <f t="shared" si="11"/>
        <v>725</v>
      </c>
      <c r="C728" s="50" t="s">
        <v>1479</v>
      </c>
      <c r="D728" s="56" t="s">
        <v>1480</v>
      </c>
      <c r="E728" s="50">
        <v>31</v>
      </c>
      <c r="F728" s="50">
        <v>8112</v>
      </c>
    </row>
    <row r="729" spans="2:6" x14ac:dyDescent="0.3">
      <c r="B729" s="50">
        <f t="shared" si="11"/>
        <v>726</v>
      </c>
      <c r="C729" s="50" t="s">
        <v>362</v>
      </c>
      <c r="D729" s="56" t="s">
        <v>1481</v>
      </c>
      <c r="E729" s="50">
        <v>31</v>
      </c>
      <c r="F729" s="50">
        <v>8112</v>
      </c>
    </row>
    <row r="730" spans="2:6" x14ac:dyDescent="0.3">
      <c r="B730" s="50">
        <f t="shared" si="11"/>
        <v>727</v>
      </c>
      <c r="C730" s="50" t="s">
        <v>1482</v>
      </c>
      <c r="D730" s="56" t="s">
        <v>1483</v>
      </c>
      <c r="E730" s="50">
        <v>31</v>
      </c>
      <c r="F730" s="50">
        <v>8112</v>
      </c>
    </row>
    <row r="731" spans="2:6" x14ac:dyDescent="0.3">
      <c r="B731" s="50">
        <f t="shared" si="11"/>
        <v>728</v>
      </c>
      <c r="C731" s="50" t="s">
        <v>199</v>
      </c>
      <c r="D731" s="56" t="s">
        <v>1484</v>
      </c>
      <c r="E731" s="50">
        <v>29</v>
      </c>
      <c r="F731" s="50">
        <v>7589</v>
      </c>
    </row>
    <row r="732" spans="2:6" x14ac:dyDescent="0.3">
      <c r="B732" s="50">
        <f t="shared" si="11"/>
        <v>729</v>
      </c>
      <c r="C732" s="50" t="s">
        <v>1485</v>
      </c>
      <c r="D732" s="56" t="s">
        <v>1486</v>
      </c>
      <c r="E732" s="50">
        <v>31</v>
      </c>
      <c r="F732" s="50">
        <v>8112</v>
      </c>
    </row>
    <row r="733" spans="2:6" x14ac:dyDescent="0.3">
      <c r="B733" s="50">
        <f t="shared" si="11"/>
        <v>730</v>
      </c>
      <c r="C733" s="50" t="s">
        <v>1487</v>
      </c>
      <c r="D733" s="56" t="s">
        <v>1488</v>
      </c>
      <c r="E733" s="50">
        <v>31</v>
      </c>
      <c r="F733" s="50">
        <v>8112</v>
      </c>
    </row>
    <row r="734" spans="2:6" x14ac:dyDescent="0.3">
      <c r="B734" s="50">
        <f t="shared" si="11"/>
        <v>731</v>
      </c>
      <c r="C734" s="50" t="s">
        <v>1489</v>
      </c>
      <c r="D734" s="56" t="s">
        <v>1490</v>
      </c>
      <c r="E734" s="50">
        <v>31</v>
      </c>
      <c r="F734" s="50">
        <v>8112</v>
      </c>
    </row>
    <row r="735" spans="2:6" x14ac:dyDescent="0.3">
      <c r="B735" s="50">
        <f t="shared" si="11"/>
        <v>732</v>
      </c>
      <c r="C735" s="50" t="s">
        <v>1491</v>
      </c>
      <c r="D735" s="56" t="s">
        <v>1492</v>
      </c>
      <c r="E735" s="50">
        <v>31</v>
      </c>
      <c r="F735" s="50">
        <v>8112</v>
      </c>
    </row>
    <row r="736" spans="2:6" x14ac:dyDescent="0.3">
      <c r="B736" s="50">
        <f t="shared" si="11"/>
        <v>733</v>
      </c>
      <c r="C736" s="50" t="s">
        <v>1493</v>
      </c>
      <c r="D736" s="56" t="s">
        <v>1494</v>
      </c>
      <c r="E736" s="50">
        <v>31</v>
      </c>
      <c r="F736" s="50">
        <v>8112</v>
      </c>
    </row>
    <row r="737" spans="2:6" x14ac:dyDescent="0.3">
      <c r="B737" s="50">
        <f t="shared" si="11"/>
        <v>734</v>
      </c>
      <c r="C737" s="50" t="s">
        <v>1495</v>
      </c>
      <c r="D737" s="56" t="s">
        <v>1496</v>
      </c>
      <c r="E737" s="50">
        <v>31</v>
      </c>
      <c r="F737" s="50">
        <v>8112</v>
      </c>
    </row>
    <row r="738" spans="2:6" x14ac:dyDescent="0.3">
      <c r="B738" s="50">
        <f t="shared" si="11"/>
        <v>735</v>
      </c>
      <c r="C738" s="50" t="s">
        <v>151</v>
      </c>
      <c r="D738" s="56" t="s">
        <v>1497</v>
      </c>
      <c r="E738" s="50">
        <v>31</v>
      </c>
      <c r="F738" s="50">
        <v>8112</v>
      </c>
    </row>
    <row r="739" spans="2:6" x14ac:dyDescent="0.3">
      <c r="B739" s="50">
        <f t="shared" si="11"/>
        <v>736</v>
      </c>
      <c r="C739" s="50" t="s">
        <v>1498</v>
      </c>
      <c r="D739" s="56" t="s">
        <v>1499</v>
      </c>
      <c r="E739" s="50">
        <v>31</v>
      </c>
      <c r="F739" s="50">
        <v>8112</v>
      </c>
    </row>
    <row r="740" spans="2:6" x14ac:dyDescent="0.3">
      <c r="B740" s="50">
        <f t="shared" si="11"/>
        <v>737</v>
      </c>
      <c r="C740" s="50" t="s">
        <v>1500</v>
      </c>
      <c r="D740" s="56" t="s">
        <v>1501</v>
      </c>
      <c r="E740" s="50">
        <v>29</v>
      </c>
      <c r="F740" s="50">
        <v>7589</v>
      </c>
    </row>
    <row r="741" spans="2:6" x14ac:dyDescent="0.3">
      <c r="B741" s="50">
        <f t="shared" si="11"/>
        <v>738</v>
      </c>
      <c r="C741" s="50" t="s">
        <v>1502</v>
      </c>
      <c r="D741" s="56" t="s">
        <v>1503</v>
      </c>
      <c r="E741" s="50">
        <v>31</v>
      </c>
      <c r="F741" s="50">
        <v>8112</v>
      </c>
    </row>
    <row r="742" spans="2:6" x14ac:dyDescent="0.3">
      <c r="B742" s="50">
        <f t="shared" si="11"/>
        <v>739</v>
      </c>
      <c r="C742" s="50" t="s">
        <v>1504</v>
      </c>
      <c r="D742" s="56" t="s">
        <v>1505</v>
      </c>
      <c r="E742" s="50">
        <v>31</v>
      </c>
      <c r="F742" s="50">
        <v>8112</v>
      </c>
    </row>
    <row r="743" spans="2:6" x14ac:dyDescent="0.3">
      <c r="B743" s="50">
        <f t="shared" si="11"/>
        <v>740</v>
      </c>
      <c r="C743" s="50" t="s">
        <v>810</v>
      </c>
      <c r="D743" s="56" t="s">
        <v>1506</v>
      </c>
      <c r="E743" s="50">
        <v>28</v>
      </c>
      <c r="F743" s="50">
        <v>7327</v>
      </c>
    </row>
    <row r="744" spans="2:6" x14ac:dyDescent="0.3">
      <c r="B744" s="50">
        <f t="shared" si="11"/>
        <v>741</v>
      </c>
      <c r="C744" s="50" t="s">
        <v>1507</v>
      </c>
      <c r="D744" s="56" t="s">
        <v>1508</v>
      </c>
      <c r="E744" s="50">
        <v>31</v>
      </c>
      <c r="F744" s="50">
        <v>8112</v>
      </c>
    </row>
    <row r="745" spans="2:6" x14ac:dyDescent="0.3">
      <c r="B745" s="50">
        <f t="shared" si="11"/>
        <v>742</v>
      </c>
      <c r="C745" s="50" t="s">
        <v>1509</v>
      </c>
      <c r="D745" s="56" t="s">
        <v>1510</v>
      </c>
      <c r="E745" s="50">
        <v>31</v>
      </c>
      <c r="F745" s="50">
        <v>8112</v>
      </c>
    </row>
    <row r="746" spans="2:6" x14ac:dyDescent="0.3">
      <c r="B746" s="50">
        <f t="shared" si="11"/>
        <v>743</v>
      </c>
      <c r="C746" s="50" t="s">
        <v>1280</v>
      </c>
      <c r="D746" s="56" t="s">
        <v>1511</v>
      </c>
      <c r="E746" s="50">
        <v>23</v>
      </c>
      <c r="F746" s="50">
        <v>6019</v>
      </c>
    </row>
    <row r="747" spans="2:6" x14ac:dyDescent="0.3">
      <c r="B747" s="50">
        <f t="shared" si="11"/>
        <v>744</v>
      </c>
      <c r="C747" s="50" t="s">
        <v>1512</v>
      </c>
      <c r="D747" s="56" t="s">
        <v>1513</v>
      </c>
      <c r="E747" s="50">
        <v>31</v>
      </c>
      <c r="F747" s="50">
        <v>8112</v>
      </c>
    </row>
    <row r="748" spans="2:6" x14ac:dyDescent="0.3">
      <c r="B748" s="50">
        <f t="shared" si="11"/>
        <v>745</v>
      </c>
      <c r="C748" s="50" t="s">
        <v>1514</v>
      </c>
      <c r="D748" s="56" t="s">
        <v>1515</v>
      </c>
      <c r="E748" s="50">
        <v>31</v>
      </c>
      <c r="F748" s="50">
        <v>8112</v>
      </c>
    </row>
    <row r="749" spans="2:6" x14ac:dyDescent="0.3">
      <c r="B749" s="50">
        <f t="shared" si="11"/>
        <v>746</v>
      </c>
      <c r="C749" s="50" t="s">
        <v>1516</v>
      </c>
      <c r="D749" s="56" t="s">
        <v>1517</v>
      </c>
      <c r="E749" s="50">
        <v>31</v>
      </c>
      <c r="F749" s="50">
        <v>8112</v>
      </c>
    </row>
    <row r="750" spans="2:6" x14ac:dyDescent="0.3">
      <c r="B750" s="50">
        <f t="shared" si="11"/>
        <v>747</v>
      </c>
      <c r="C750" s="50" t="s">
        <v>147</v>
      </c>
      <c r="D750" s="56" t="s">
        <v>1518</v>
      </c>
      <c r="E750" s="50">
        <v>31</v>
      </c>
      <c r="F750" s="50">
        <v>8112</v>
      </c>
    </row>
    <row r="751" spans="2:6" x14ac:dyDescent="0.3">
      <c r="B751" s="50">
        <f t="shared" si="11"/>
        <v>748</v>
      </c>
      <c r="C751" s="50" t="s">
        <v>1519</v>
      </c>
      <c r="D751" s="56" t="s">
        <v>1520</v>
      </c>
      <c r="E751" s="50">
        <v>28</v>
      </c>
      <c r="F751" s="50">
        <v>7327</v>
      </c>
    </row>
    <row r="752" spans="2:6" x14ac:dyDescent="0.3">
      <c r="B752" s="50">
        <f t="shared" si="11"/>
        <v>749</v>
      </c>
      <c r="C752" s="50" t="s">
        <v>1521</v>
      </c>
      <c r="D752" s="56" t="s">
        <v>1522</v>
      </c>
      <c r="E752" s="50">
        <v>31</v>
      </c>
      <c r="F752" s="50">
        <v>8112</v>
      </c>
    </row>
    <row r="753" spans="2:6" x14ac:dyDescent="0.3">
      <c r="B753" s="50">
        <f t="shared" si="11"/>
        <v>750</v>
      </c>
      <c r="C753" s="50" t="s">
        <v>1523</v>
      </c>
      <c r="D753" s="56" t="s">
        <v>1524</v>
      </c>
      <c r="E753" s="50">
        <v>24</v>
      </c>
      <c r="F753" s="50">
        <v>6280</v>
      </c>
    </row>
    <row r="754" spans="2:6" x14ac:dyDescent="0.3">
      <c r="B754" s="50">
        <f t="shared" si="11"/>
        <v>751</v>
      </c>
      <c r="C754" s="50" t="s">
        <v>1525</v>
      </c>
      <c r="D754" s="56" t="s">
        <v>1526</v>
      </c>
      <c r="E754" s="50">
        <v>28</v>
      </c>
      <c r="F754" s="50">
        <v>7327</v>
      </c>
    </row>
    <row r="755" spans="2:6" x14ac:dyDescent="0.3">
      <c r="B755" s="50">
        <f t="shared" si="11"/>
        <v>752</v>
      </c>
      <c r="C755" s="50" t="s">
        <v>810</v>
      </c>
      <c r="D755" s="56" t="s">
        <v>1527</v>
      </c>
      <c r="E755" s="50">
        <v>31</v>
      </c>
      <c r="F755" s="50">
        <v>8112</v>
      </c>
    </row>
    <row r="756" spans="2:6" x14ac:dyDescent="0.3">
      <c r="B756" s="50">
        <f t="shared" si="11"/>
        <v>753</v>
      </c>
      <c r="C756" s="50" t="s">
        <v>1528</v>
      </c>
      <c r="D756" s="56" t="s">
        <v>1529</v>
      </c>
      <c r="E756" s="50">
        <v>31</v>
      </c>
      <c r="F756" s="50">
        <v>8112</v>
      </c>
    </row>
    <row r="757" spans="2:6" x14ac:dyDescent="0.3">
      <c r="B757" s="50">
        <f t="shared" si="11"/>
        <v>754</v>
      </c>
      <c r="C757" s="50" t="s">
        <v>1530</v>
      </c>
      <c r="D757" s="56" t="s">
        <v>1531</v>
      </c>
      <c r="E757" s="50">
        <v>31</v>
      </c>
      <c r="F757" s="50">
        <v>8112</v>
      </c>
    </row>
    <row r="758" spans="2:6" x14ac:dyDescent="0.3">
      <c r="B758" s="50">
        <f t="shared" si="11"/>
        <v>755</v>
      </c>
      <c r="C758" s="50" t="s">
        <v>715</v>
      </c>
      <c r="D758" s="56" t="s">
        <v>1532</v>
      </c>
      <c r="E758" s="50">
        <v>31</v>
      </c>
      <c r="F758" s="50">
        <v>8112</v>
      </c>
    </row>
    <row r="759" spans="2:6" x14ac:dyDescent="0.3">
      <c r="B759" s="50">
        <f t="shared" si="11"/>
        <v>756</v>
      </c>
      <c r="C759" s="50" t="s">
        <v>1533</v>
      </c>
      <c r="D759" s="56" t="s">
        <v>1534</v>
      </c>
      <c r="E759" s="50">
        <v>31</v>
      </c>
      <c r="F759" s="50">
        <v>8112</v>
      </c>
    </row>
    <row r="760" spans="2:6" x14ac:dyDescent="0.3">
      <c r="B760" s="50">
        <f t="shared" si="11"/>
        <v>757</v>
      </c>
      <c r="C760" s="50" t="s">
        <v>1535</v>
      </c>
      <c r="D760" s="56" t="s">
        <v>1536</v>
      </c>
      <c r="E760" s="50">
        <v>23</v>
      </c>
      <c r="F760" s="50">
        <v>6019</v>
      </c>
    </row>
    <row r="761" spans="2:6" x14ac:dyDescent="0.3">
      <c r="B761" s="50">
        <f t="shared" si="11"/>
        <v>758</v>
      </c>
      <c r="C761" s="50" t="s">
        <v>1537</v>
      </c>
      <c r="D761" s="56" t="s">
        <v>1538</v>
      </c>
      <c r="E761" s="50">
        <v>31</v>
      </c>
      <c r="F761" s="50">
        <v>8112</v>
      </c>
    </row>
    <row r="762" spans="2:6" x14ac:dyDescent="0.3">
      <c r="B762" s="50">
        <f t="shared" si="11"/>
        <v>759</v>
      </c>
      <c r="C762" s="50" t="s">
        <v>1539</v>
      </c>
      <c r="D762" s="56" t="s">
        <v>1540</v>
      </c>
      <c r="E762" s="50">
        <v>31</v>
      </c>
      <c r="F762" s="50">
        <v>8112</v>
      </c>
    </row>
    <row r="763" spans="2:6" x14ac:dyDescent="0.3">
      <c r="B763" s="50">
        <f t="shared" si="11"/>
        <v>760</v>
      </c>
      <c r="C763" s="50" t="s">
        <v>1541</v>
      </c>
      <c r="D763" s="56" t="s">
        <v>1542</v>
      </c>
      <c r="E763" s="50">
        <v>31</v>
      </c>
      <c r="F763" s="50">
        <v>8112</v>
      </c>
    </row>
    <row r="764" spans="2:6" x14ac:dyDescent="0.3">
      <c r="B764" s="50">
        <f t="shared" si="11"/>
        <v>761</v>
      </c>
      <c r="C764" s="50" t="s">
        <v>1504</v>
      </c>
      <c r="D764" s="56" t="s">
        <v>1543</v>
      </c>
      <c r="E764" s="50">
        <v>31</v>
      </c>
      <c r="F764" s="50">
        <v>8112</v>
      </c>
    </row>
    <row r="765" spans="2:6" x14ac:dyDescent="0.3">
      <c r="B765" s="50">
        <f t="shared" si="11"/>
        <v>762</v>
      </c>
      <c r="C765" s="50" t="s">
        <v>1544</v>
      </c>
      <c r="D765" s="56" t="s">
        <v>1545</v>
      </c>
      <c r="E765" s="50">
        <v>31</v>
      </c>
      <c r="F765" s="50">
        <v>8112</v>
      </c>
    </row>
    <row r="766" spans="2:6" x14ac:dyDescent="0.3">
      <c r="B766" s="50">
        <f t="shared" si="11"/>
        <v>763</v>
      </c>
      <c r="C766" s="50" t="s">
        <v>779</v>
      </c>
      <c r="D766" s="56" t="s">
        <v>1546</v>
      </c>
      <c r="E766" s="50">
        <v>31</v>
      </c>
      <c r="F766" s="50">
        <v>8112</v>
      </c>
    </row>
    <row r="767" spans="2:6" x14ac:dyDescent="0.3">
      <c r="B767" s="50">
        <f t="shared" si="11"/>
        <v>764</v>
      </c>
      <c r="C767" s="50" t="s">
        <v>1547</v>
      </c>
      <c r="D767" s="56" t="s">
        <v>1548</v>
      </c>
      <c r="E767" s="50">
        <v>31</v>
      </c>
      <c r="F767" s="50">
        <v>8112</v>
      </c>
    </row>
    <row r="768" spans="2:6" x14ac:dyDescent="0.3">
      <c r="B768" s="50">
        <f t="shared" si="11"/>
        <v>765</v>
      </c>
      <c r="C768" s="50" t="s">
        <v>1549</v>
      </c>
      <c r="D768" s="56" t="s">
        <v>1550</v>
      </c>
      <c r="E768" s="50">
        <v>31</v>
      </c>
      <c r="F768" s="50">
        <v>8112</v>
      </c>
    </row>
    <row r="769" spans="2:6" x14ac:dyDescent="0.3">
      <c r="B769" s="50">
        <f t="shared" si="11"/>
        <v>766</v>
      </c>
      <c r="C769" s="50" t="s">
        <v>1551</v>
      </c>
      <c r="D769" s="56" t="s">
        <v>1552</v>
      </c>
      <c r="E769" s="50">
        <v>31</v>
      </c>
      <c r="F769" s="50">
        <v>8112</v>
      </c>
    </row>
    <row r="770" spans="2:6" x14ac:dyDescent="0.3">
      <c r="B770" s="50">
        <f t="shared" si="11"/>
        <v>767</v>
      </c>
      <c r="C770" s="50" t="s">
        <v>1553</v>
      </c>
      <c r="D770" s="56" t="s">
        <v>1554</v>
      </c>
      <c r="E770" s="50">
        <v>31</v>
      </c>
      <c r="F770" s="50">
        <v>8112</v>
      </c>
    </row>
    <row r="771" spans="2:6" x14ac:dyDescent="0.3">
      <c r="B771" s="50">
        <f t="shared" si="11"/>
        <v>768</v>
      </c>
      <c r="C771" s="50" t="s">
        <v>1555</v>
      </c>
      <c r="D771" s="56" t="s">
        <v>1556</v>
      </c>
      <c r="E771" s="50">
        <v>31</v>
      </c>
      <c r="F771" s="50">
        <v>8112</v>
      </c>
    </row>
    <row r="772" spans="2:6" x14ac:dyDescent="0.3">
      <c r="B772" s="50">
        <f t="shared" si="11"/>
        <v>769</v>
      </c>
      <c r="C772" s="50" t="s">
        <v>469</v>
      </c>
      <c r="D772" s="56" t="s">
        <v>1557</v>
      </c>
      <c r="E772" s="50">
        <v>31</v>
      </c>
      <c r="F772" s="50">
        <v>8112</v>
      </c>
    </row>
    <row r="773" spans="2:6" x14ac:dyDescent="0.3">
      <c r="B773" s="50">
        <f t="shared" si="11"/>
        <v>770</v>
      </c>
      <c r="C773" s="50" t="s">
        <v>1558</v>
      </c>
      <c r="D773" s="56" t="s">
        <v>1559</v>
      </c>
      <c r="E773" s="50">
        <v>31</v>
      </c>
      <c r="F773" s="50">
        <v>8112</v>
      </c>
    </row>
    <row r="774" spans="2:6" x14ac:dyDescent="0.3">
      <c r="B774" s="50">
        <f t="shared" ref="B774:B837" si="12">+B773+1</f>
        <v>771</v>
      </c>
      <c r="C774" s="50" t="s">
        <v>362</v>
      </c>
      <c r="D774" s="56" t="s">
        <v>1560</v>
      </c>
      <c r="E774" s="50">
        <v>31</v>
      </c>
      <c r="F774" s="50">
        <v>8112</v>
      </c>
    </row>
    <row r="775" spans="2:6" x14ac:dyDescent="0.3">
      <c r="B775" s="50">
        <f t="shared" si="12"/>
        <v>772</v>
      </c>
      <c r="C775" s="50" t="s">
        <v>1561</v>
      </c>
      <c r="D775" s="56" t="s">
        <v>874</v>
      </c>
      <c r="E775" s="50">
        <v>29</v>
      </c>
      <c r="F775" s="50">
        <v>7589</v>
      </c>
    </row>
    <row r="776" spans="2:6" x14ac:dyDescent="0.3">
      <c r="B776" s="50">
        <f t="shared" si="12"/>
        <v>773</v>
      </c>
      <c r="C776" s="50" t="s">
        <v>1562</v>
      </c>
      <c r="D776" s="56" t="s">
        <v>1563</v>
      </c>
      <c r="E776" s="50">
        <v>31</v>
      </c>
      <c r="F776" s="50">
        <v>11800</v>
      </c>
    </row>
    <row r="777" spans="2:6" x14ac:dyDescent="0.3">
      <c r="B777" s="50">
        <f t="shared" si="12"/>
        <v>774</v>
      </c>
      <c r="C777" s="50" t="s">
        <v>1564</v>
      </c>
      <c r="D777" s="56" t="s">
        <v>1565</v>
      </c>
      <c r="E777" s="50">
        <v>30</v>
      </c>
      <c r="F777" s="50">
        <v>12387</v>
      </c>
    </row>
    <row r="778" spans="2:6" x14ac:dyDescent="0.3">
      <c r="B778" s="50">
        <f t="shared" si="12"/>
        <v>775</v>
      </c>
      <c r="C778" s="50" t="s">
        <v>1566</v>
      </c>
      <c r="D778" s="56" t="s">
        <v>1567</v>
      </c>
      <c r="E778" s="50">
        <v>31</v>
      </c>
      <c r="F778" s="50">
        <v>11800</v>
      </c>
    </row>
    <row r="779" spans="2:6" x14ac:dyDescent="0.3">
      <c r="B779" s="50">
        <f t="shared" si="12"/>
        <v>776</v>
      </c>
      <c r="C779" s="50" t="s">
        <v>1568</v>
      </c>
      <c r="D779" s="56" t="s">
        <v>1569</v>
      </c>
      <c r="E779" s="50">
        <v>31</v>
      </c>
      <c r="F779" s="50">
        <v>12800</v>
      </c>
    </row>
    <row r="780" spans="2:6" x14ac:dyDescent="0.3">
      <c r="B780" s="50">
        <f t="shared" si="12"/>
        <v>777</v>
      </c>
      <c r="C780" s="50" t="s">
        <v>1570</v>
      </c>
      <c r="D780" s="56" t="s">
        <v>1571</v>
      </c>
      <c r="E780" s="50">
        <v>31</v>
      </c>
      <c r="F780" s="50">
        <v>11800</v>
      </c>
    </row>
    <row r="781" spans="2:6" x14ac:dyDescent="0.3">
      <c r="B781" s="50">
        <f t="shared" si="12"/>
        <v>778</v>
      </c>
      <c r="C781" s="50" t="s">
        <v>1572</v>
      </c>
      <c r="D781" s="56" t="s">
        <v>1573</v>
      </c>
      <c r="E781" s="50">
        <v>31</v>
      </c>
      <c r="F781" s="50">
        <v>14000</v>
      </c>
    </row>
    <row r="782" spans="2:6" x14ac:dyDescent="0.3">
      <c r="B782" s="50">
        <f t="shared" si="12"/>
        <v>779</v>
      </c>
      <c r="C782" s="50" t="s">
        <v>1343</v>
      </c>
      <c r="D782" s="56" t="s">
        <v>1574</v>
      </c>
      <c r="E782" s="50">
        <v>30</v>
      </c>
      <c r="F782" s="50">
        <v>13549</v>
      </c>
    </row>
    <row r="783" spans="2:6" x14ac:dyDescent="0.3">
      <c r="B783" s="50">
        <f t="shared" si="12"/>
        <v>780</v>
      </c>
      <c r="C783" s="50" t="s">
        <v>1575</v>
      </c>
      <c r="D783" s="56" t="s">
        <v>1576</v>
      </c>
      <c r="E783" s="50">
        <v>0</v>
      </c>
      <c r="F783" s="50">
        <v>0</v>
      </c>
    </row>
    <row r="784" spans="2:6" x14ac:dyDescent="0.3">
      <c r="B784" s="50">
        <f t="shared" si="12"/>
        <v>781</v>
      </c>
      <c r="C784" s="50" t="s">
        <v>1577</v>
      </c>
      <c r="D784" s="56" t="s">
        <v>874</v>
      </c>
      <c r="E784" s="50">
        <v>5</v>
      </c>
      <c r="F784" s="50">
        <v>1625</v>
      </c>
    </row>
    <row r="785" spans="2:6" x14ac:dyDescent="0.3">
      <c r="B785" s="50">
        <f t="shared" si="12"/>
        <v>782</v>
      </c>
      <c r="C785" s="50" t="s">
        <v>1578</v>
      </c>
      <c r="D785" s="56" t="s">
        <v>1579</v>
      </c>
      <c r="E785" s="50">
        <v>31</v>
      </c>
      <c r="F785" s="50">
        <v>11196</v>
      </c>
    </row>
    <row r="786" spans="2:6" x14ac:dyDescent="0.3">
      <c r="B786" s="50">
        <f t="shared" si="12"/>
        <v>783</v>
      </c>
      <c r="C786" s="50" t="s">
        <v>1580</v>
      </c>
      <c r="D786" s="56" t="s">
        <v>1581</v>
      </c>
      <c r="E786" s="50">
        <v>31</v>
      </c>
      <c r="F786" s="50">
        <v>11196</v>
      </c>
    </row>
    <row r="787" spans="2:6" x14ac:dyDescent="0.3">
      <c r="B787" s="50">
        <f t="shared" si="12"/>
        <v>784</v>
      </c>
      <c r="C787" s="50" t="s">
        <v>165</v>
      </c>
      <c r="D787" s="56" t="s">
        <v>1582</v>
      </c>
      <c r="E787" s="50">
        <v>31</v>
      </c>
      <c r="F787" s="50">
        <v>12220</v>
      </c>
    </row>
    <row r="788" spans="2:6" x14ac:dyDescent="0.3">
      <c r="B788" s="50">
        <f t="shared" si="12"/>
        <v>785</v>
      </c>
      <c r="C788" s="50" t="s">
        <v>1583</v>
      </c>
      <c r="D788" s="56" t="s">
        <v>1584</v>
      </c>
      <c r="E788" s="50">
        <v>31</v>
      </c>
      <c r="F788" s="50">
        <v>11196</v>
      </c>
    </row>
    <row r="789" spans="2:6" x14ac:dyDescent="0.3">
      <c r="B789" s="50">
        <f t="shared" si="12"/>
        <v>786</v>
      </c>
      <c r="C789" s="50" t="s">
        <v>1585</v>
      </c>
      <c r="D789" s="56" t="s">
        <v>1586</v>
      </c>
      <c r="E789" s="50">
        <v>31</v>
      </c>
      <c r="F789" s="50">
        <v>11196</v>
      </c>
    </row>
    <row r="790" spans="2:6" x14ac:dyDescent="0.3">
      <c r="B790" s="50">
        <f t="shared" si="12"/>
        <v>787</v>
      </c>
      <c r="C790" s="50" t="s">
        <v>1587</v>
      </c>
      <c r="D790" s="56" t="s">
        <v>1588</v>
      </c>
      <c r="E790" s="50">
        <v>31</v>
      </c>
      <c r="F790" s="50">
        <v>11196</v>
      </c>
    </row>
    <row r="791" spans="2:6" x14ac:dyDescent="0.3">
      <c r="B791" s="50">
        <f t="shared" si="12"/>
        <v>788</v>
      </c>
      <c r="C791" s="50" t="s">
        <v>1589</v>
      </c>
      <c r="D791" s="56" t="s">
        <v>1590</v>
      </c>
      <c r="E791" s="50">
        <v>31</v>
      </c>
      <c r="F791" s="50">
        <v>10180</v>
      </c>
    </row>
    <row r="792" spans="2:6" x14ac:dyDescent="0.3">
      <c r="B792" s="50">
        <f t="shared" si="12"/>
        <v>789</v>
      </c>
      <c r="C792" s="50" t="s">
        <v>1591</v>
      </c>
      <c r="D792" s="56" t="s">
        <v>1592</v>
      </c>
      <c r="E792" s="50">
        <v>0</v>
      </c>
      <c r="F792" s="50">
        <v>0</v>
      </c>
    </row>
    <row r="793" spans="2:6" x14ac:dyDescent="0.3">
      <c r="B793" s="50">
        <f t="shared" si="12"/>
        <v>790</v>
      </c>
      <c r="C793" s="50" t="s">
        <v>1593</v>
      </c>
      <c r="D793" s="56" t="s">
        <v>1594</v>
      </c>
      <c r="E793" s="50">
        <v>31</v>
      </c>
      <c r="F793" s="50">
        <v>10180</v>
      </c>
    </row>
    <row r="794" spans="2:6" x14ac:dyDescent="0.3">
      <c r="B794" s="50">
        <f t="shared" si="12"/>
        <v>791</v>
      </c>
      <c r="C794" s="50" t="s">
        <v>1595</v>
      </c>
      <c r="D794" s="56" t="s">
        <v>1596</v>
      </c>
      <c r="E794" s="50">
        <v>31</v>
      </c>
      <c r="F794" s="50">
        <v>10180</v>
      </c>
    </row>
    <row r="795" spans="2:6" x14ac:dyDescent="0.3">
      <c r="B795" s="50">
        <f t="shared" si="12"/>
        <v>792</v>
      </c>
      <c r="C795" s="50" t="s">
        <v>1597</v>
      </c>
      <c r="D795" s="56" t="s">
        <v>1598</v>
      </c>
      <c r="E795" s="50">
        <v>31</v>
      </c>
      <c r="F795" s="50">
        <v>9150</v>
      </c>
    </row>
    <row r="796" spans="2:6" x14ac:dyDescent="0.3">
      <c r="B796" s="50">
        <f t="shared" si="12"/>
        <v>793</v>
      </c>
      <c r="C796" s="50" t="s">
        <v>1087</v>
      </c>
      <c r="D796" s="56" t="s">
        <v>1599</v>
      </c>
      <c r="E796" s="50">
        <v>31</v>
      </c>
      <c r="F796" s="50">
        <v>9150</v>
      </c>
    </row>
    <row r="797" spans="2:6" x14ac:dyDescent="0.3">
      <c r="B797" s="50">
        <f t="shared" si="12"/>
        <v>794</v>
      </c>
      <c r="C797" s="50" t="s">
        <v>1600</v>
      </c>
      <c r="D797" s="56" t="s">
        <v>1601</v>
      </c>
      <c r="E797" s="50">
        <v>31</v>
      </c>
      <c r="F797" s="50">
        <v>9150</v>
      </c>
    </row>
    <row r="798" spans="2:6" x14ac:dyDescent="0.3">
      <c r="B798" s="50">
        <f t="shared" si="12"/>
        <v>795</v>
      </c>
      <c r="C798" s="50" t="s">
        <v>1602</v>
      </c>
      <c r="D798" s="56" t="s">
        <v>1603</v>
      </c>
      <c r="E798" s="50">
        <v>31</v>
      </c>
      <c r="F798" s="50">
        <v>9150</v>
      </c>
    </row>
    <row r="799" spans="2:6" x14ac:dyDescent="0.3">
      <c r="B799" s="50">
        <f t="shared" si="12"/>
        <v>796</v>
      </c>
      <c r="C799" s="50" t="s">
        <v>1186</v>
      </c>
      <c r="D799" s="56" t="s">
        <v>1604</v>
      </c>
      <c r="E799" s="50">
        <v>31</v>
      </c>
      <c r="F799" s="50">
        <v>9150</v>
      </c>
    </row>
    <row r="800" spans="2:6" x14ac:dyDescent="0.3">
      <c r="B800" s="50">
        <f t="shared" si="12"/>
        <v>797</v>
      </c>
      <c r="C800" s="50" t="s">
        <v>1605</v>
      </c>
      <c r="D800" s="56" t="s">
        <v>1606</v>
      </c>
      <c r="E800" s="50">
        <v>31</v>
      </c>
      <c r="F800" s="50">
        <v>9150</v>
      </c>
    </row>
    <row r="801" spans="2:6" x14ac:dyDescent="0.3">
      <c r="B801" s="50">
        <f t="shared" si="12"/>
        <v>798</v>
      </c>
      <c r="C801" s="50" t="s">
        <v>1607</v>
      </c>
      <c r="D801" s="56" t="s">
        <v>1608</v>
      </c>
      <c r="E801" s="50">
        <v>31</v>
      </c>
      <c r="F801" s="50">
        <v>9150</v>
      </c>
    </row>
    <row r="802" spans="2:6" x14ac:dyDescent="0.3">
      <c r="B802" s="50">
        <f t="shared" si="12"/>
        <v>799</v>
      </c>
      <c r="C802" s="50" t="s">
        <v>1464</v>
      </c>
      <c r="D802" s="56" t="s">
        <v>1609</v>
      </c>
      <c r="E802" s="50">
        <v>31</v>
      </c>
      <c r="F802" s="50">
        <v>9150</v>
      </c>
    </row>
    <row r="803" spans="2:6" x14ac:dyDescent="0.3">
      <c r="B803" s="50">
        <f t="shared" si="12"/>
        <v>800</v>
      </c>
      <c r="C803" s="50" t="s">
        <v>773</v>
      </c>
      <c r="D803" s="56" t="s">
        <v>1610</v>
      </c>
      <c r="E803" s="50">
        <v>31</v>
      </c>
      <c r="F803" s="50">
        <v>9150</v>
      </c>
    </row>
    <row r="804" spans="2:6" x14ac:dyDescent="0.3">
      <c r="B804" s="50">
        <f t="shared" si="12"/>
        <v>801</v>
      </c>
      <c r="C804" s="50" t="s">
        <v>1611</v>
      </c>
      <c r="D804" s="56" t="s">
        <v>1612</v>
      </c>
      <c r="E804" s="50">
        <v>31</v>
      </c>
      <c r="F804" s="50">
        <v>9150</v>
      </c>
    </row>
    <row r="805" spans="2:6" x14ac:dyDescent="0.3">
      <c r="B805" s="50">
        <f t="shared" si="12"/>
        <v>802</v>
      </c>
      <c r="C805" s="50" t="s">
        <v>1613</v>
      </c>
      <c r="D805" s="56" t="s">
        <v>1614</v>
      </c>
      <c r="E805" s="50">
        <v>31</v>
      </c>
      <c r="F805" s="50">
        <v>9150</v>
      </c>
    </row>
    <row r="806" spans="2:6" x14ac:dyDescent="0.3">
      <c r="B806" s="50">
        <f t="shared" si="12"/>
        <v>803</v>
      </c>
      <c r="C806" s="50" t="s">
        <v>378</v>
      </c>
      <c r="D806" s="56" t="s">
        <v>1615</v>
      </c>
      <c r="E806" s="50">
        <v>31</v>
      </c>
      <c r="F806" s="50">
        <v>9150</v>
      </c>
    </row>
    <row r="807" spans="2:6" x14ac:dyDescent="0.3">
      <c r="B807" s="50">
        <f t="shared" si="12"/>
        <v>804</v>
      </c>
      <c r="C807" s="50" t="s">
        <v>1616</v>
      </c>
      <c r="D807" s="56" t="s">
        <v>1617</v>
      </c>
      <c r="E807" s="50">
        <v>31</v>
      </c>
      <c r="F807" s="50">
        <v>9150</v>
      </c>
    </row>
    <row r="808" spans="2:6" x14ac:dyDescent="0.3">
      <c r="B808" s="50">
        <f t="shared" si="12"/>
        <v>805</v>
      </c>
      <c r="C808" s="50" t="s">
        <v>1618</v>
      </c>
      <c r="D808" s="56" t="s">
        <v>1619</v>
      </c>
      <c r="E808" s="50">
        <v>31</v>
      </c>
      <c r="F808" s="50">
        <v>9150</v>
      </c>
    </row>
    <row r="809" spans="2:6" x14ac:dyDescent="0.3">
      <c r="B809" s="50">
        <f t="shared" si="12"/>
        <v>806</v>
      </c>
      <c r="C809" s="50" t="s">
        <v>1620</v>
      </c>
      <c r="D809" s="56" t="s">
        <v>1621</v>
      </c>
      <c r="E809" s="50">
        <v>31</v>
      </c>
      <c r="F809" s="50">
        <v>9150</v>
      </c>
    </row>
    <row r="810" spans="2:6" x14ac:dyDescent="0.3">
      <c r="B810" s="50">
        <f t="shared" si="12"/>
        <v>807</v>
      </c>
      <c r="C810" s="50" t="s">
        <v>1464</v>
      </c>
      <c r="D810" s="56" t="s">
        <v>1622</v>
      </c>
      <c r="E810" s="50">
        <v>31</v>
      </c>
      <c r="F810" s="50">
        <v>9150</v>
      </c>
    </row>
    <row r="811" spans="2:6" x14ac:dyDescent="0.3">
      <c r="B811" s="50">
        <f t="shared" si="12"/>
        <v>808</v>
      </c>
      <c r="C811" s="50" t="s">
        <v>532</v>
      </c>
      <c r="D811" s="56" t="s">
        <v>1623</v>
      </c>
      <c r="E811" s="50">
        <v>31</v>
      </c>
      <c r="F811" s="50">
        <v>9150</v>
      </c>
    </row>
    <row r="812" spans="2:6" x14ac:dyDescent="0.3">
      <c r="B812" s="50">
        <f t="shared" si="12"/>
        <v>809</v>
      </c>
      <c r="C812" s="50" t="s">
        <v>877</v>
      </c>
      <c r="D812" s="56" t="s">
        <v>1624</v>
      </c>
      <c r="E812" s="50">
        <v>31</v>
      </c>
      <c r="F812" s="50">
        <v>9150</v>
      </c>
    </row>
    <row r="813" spans="2:6" x14ac:dyDescent="0.3">
      <c r="B813" s="50">
        <f t="shared" si="12"/>
        <v>810</v>
      </c>
      <c r="C813" s="50" t="s">
        <v>1625</v>
      </c>
      <c r="D813" s="56" t="s">
        <v>1626</v>
      </c>
      <c r="E813" s="50">
        <v>31</v>
      </c>
      <c r="F813" s="50">
        <v>9150</v>
      </c>
    </row>
    <row r="814" spans="2:6" x14ac:dyDescent="0.3">
      <c r="B814" s="50">
        <f t="shared" si="12"/>
        <v>811</v>
      </c>
      <c r="C814" s="50" t="s">
        <v>1627</v>
      </c>
      <c r="D814" s="56" t="s">
        <v>1628</v>
      </c>
      <c r="E814" s="50">
        <v>0</v>
      </c>
      <c r="F814" s="50">
        <v>0</v>
      </c>
    </row>
    <row r="815" spans="2:6" x14ac:dyDescent="0.3">
      <c r="B815" s="50">
        <f t="shared" si="12"/>
        <v>812</v>
      </c>
      <c r="C815" s="50" t="s">
        <v>1629</v>
      </c>
      <c r="D815" s="56" t="s">
        <v>1630</v>
      </c>
      <c r="E815" s="50">
        <v>31</v>
      </c>
      <c r="F815" s="50">
        <v>9150</v>
      </c>
    </row>
    <row r="816" spans="2:6" x14ac:dyDescent="0.3">
      <c r="B816" s="50">
        <f t="shared" si="12"/>
        <v>813</v>
      </c>
      <c r="C816" s="50" t="s">
        <v>1631</v>
      </c>
      <c r="D816" s="56" t="s">
        <v>874</v>
      </c>
      <c r="E816" s="50">
        <v>31</v>
      </c>
      <c r="F816" s="50">
        <v>8150</v>
      </c>
    </row>
    <row r="817" spans="2:6" x14ac:dyDescent="0.3">
      <c r="B817" s="50">
        <f t="shared" si="12"/>
        <v>814</v>
      </c>
      <c r="C817" s="50" t="s">
        <v>1632</v>
      </c>
      <c r="D817" s="56" t="s">
        <v>1633</v>
      </c>
      <c r="E817" s="50">
        <v>31</v>
      </c>
      <c r="F817" s="50">
        <v>11330</v>
      </c>
    </row>
    <row r="818" spans="2:6" x14ac:dyDescent="0.3">
      <c r="B818" s="50">
        <f t="shared" si="12"/>
        <v>815</v>
      </c>
      <c r="C818" s="50" t="s">
        <v>1634</v>
      </c>
      <c r="D818" s="56" t="s">
        <v>1635</v>
      </c>
      <c r="E818" s="50">
        <v>31</v>
      </c>
      <c r="F818" s="50">
        <v>11330</v>
      </c>
    </row>
    <row r="819" spans="2:6" x14ac:dyDescent="0.3">
      <c r="B819" s="50">
        <f t="shared" si="12"/>
        <v>816</v>
      </c>
      <c r="C819" s="50" t="s">
        <v>1636</v>
      </c>
      <c r="D819" s="56" t="s">
        <v>1637</v>
      </c>
      <c r="E819" s="50">
        <v>31</v>
      </c>
      <c r="F819" s="50">
        <v>11330</v>
      </c>
    </row>
    <row r="820" spans="2:6" x14ac:dyDescent="0.3">
      <c r="B820" s="50">
        <f t="shared" si="12"/>
        <v>817</v>
      </c>
      <c r="C820" s="50" t="s">
        <v>1638</v>
      </c>
      <c r="D820" s="56" t="s">
        <v>1639</v>
      </c>
      <c r="E820" s="50">
        <v>31</v>
      </c>
      <c r="F820" s="50">
        <v>11330</v>
      </c>
    </row>
    <row r="821" spans="2:6" x14ac:dyDescent="0.3">
      <c r="B821" s="50">
        <f t="shared" si="12"/>
        <v>818</v>
      </c>
      <c r="C821" s="50" t="s">
        <v>532</v>
      </c>
      <c r="D821" s="56" t="s">
        <v>1640</v>
      </c>
      <c r="E821" s="50">
        <v>31</v>
      </c>
      <c r="F821" s="50">
        <v>11330</v>
      </c>
    </row>
    <row r="822" spans="2:6" x14ac:dyDescent="0.3">
      <c r="B822" s="50">
        <f t="shared" si="12"/>
        <v>819</v>
      </c>
      <c r="C822" s="50" t="s">
        <v>1641</v>
      </c>
      <c r="D822" s="56" t="s">
        <v>1642</v>
      </c>
      <c r="E822" s="50">
        <v>31</v>
      </c>
      <c r="F822" s="50">
        <v>11330</v>
      </c>
    </row>
    <row r="823" spans="2:6" x14ac:dyDescent="0.3">
      <c r="B823" s="50">
        <f t="shared" si="12"/>
        <v>820</v>
      </c>
      <c r="C823" s="50" t="s">
        <v>1643</v>
      </c>
      <c r="D823" s="56" t="s">
        <v>1644</v>
      </c>
      <c r="E823" s="50">
        <v>31</v>
      </c>
      <c r="F823" s="50">
        <v>11330</v>
      </c>
    </row>
    <row r="824" spans="2:6" x14ac:dyDescent="0.3">
      <c r="B824" s="50">
        <f t="shared" si="12"/>
        <v>821</v>
      </c>
      <c r="C824" s="50" t="s">
        <v>1645</v>
      </c>
      <c r="D824" s="56" t="s">
        <v>1646</v>
      </c>
      <c r="E824" s="50">
        <v>31</v>
      </c>
      <c r="F824" s="50">
        <v>11330</v>
      </c>
    </row>
    <row r="825" spans="2:6" x14ac:dyDescent="0.3">
      <c r="B825" s="50">
        <f t="shared" si="12"/>
        <v>822</v>
      </c>
      <c r="C825" s="50" t="s">
        <v>1647</v>
      </c>
      <c r="D825" s="56" t="s">
        <v>1648</v>
      </c>
      <c r="E825" s="50">
        <v>27</v>
      </c>
      <c r="F825" s="50">
        <v>7677</v>
      </c>
    </row>
    <row r="826" spans="2:6" x14ac:dyDescent="0.3">
      <c r="B826" s="50">
        <f t="shared" si="12"/>
        <v>823</v>
      </c>
      <c r="C826" s="50" t="s">
        <v>1649</v>
      </c>
      <c r="D826" s="56" t="s">
        <v>1650</v>
      </c>
      <c r="E826" s="50">
        <v>31</v>
      </c>
      <c r="F826" s="50">
        <v>8814</v>
      </c>
    </row>
    <row r="827" spans="2:6" x14ac:dyDescent="0.3">
      <c r="B827" s="50">
        <f t="shared" si="12"/>
        <v>824</v>
      </c>
      <c r="C827" s="50" t="s">
        <v>147</v>
      </c>
      <c r="D827" s="56" t="s">
        <v>1651</v>
      </c>
      <c r="E827" s="50">
        <v>30</v>
      </c>
      <c r="F827" s="50">
        <v>7850</v>
      </c>
    </row>
    <row r="828" spans="2:6" x14ac:dyDescent="0.3">
      <c r="B828" s="50">
        <f t="shared" si="12"/>
        <v>825</v>
      </c>
      <c r="C828" s="50" t="s">
        <v>1562</v>
      </c>
      <c r="D828" s="56" t="s">
        <v>1652</v>
      </c>
      <c r="E828" s="50">
        <v>30</v>
      </c>
      <c r="F828" s="50">
        <v>7850</v>
      </c>
    </row>
    <row r="829" spans="2:6" x14ac:dyDescent="0.3">
      <c r="B829" s="50">
        <f t="shared" si="12"/>
        <v>826</v>
      </c>
      <c r="C829" s="50" t="s">
        <v>530</v>
      </c>
      <c r="D829" s="56" t="s">
        <v>1653</v>
      </c>
      <c r="E829" s="50">
        <v>31</v>
      </c>
      <c r="F829" s="50">
        <v>8112</v>
      </c>
    </row>
    <row r="830" spans="2:6" x14ac:dyDescent="0.3">
      <c r="B830" s="50">
        <f t="shared" si="12"/>
        <v>827</v>
      </c>
      <c r="C830" s="50" t="s">
        <v>1654</v>
      </c>
      <c r="D830" s="56" t="s">
        <v>1655</v>
      </c>
      <c r="E830" s="50">
        <v>22</v>
      </c>
      <c r="F830" s="50">
        <v>5757</v>
      </c>
    </row>
    <row r="831" spans="2:6" x14ac:dyDescent="0.3">
      <c r="B831" s="50">
        <f t="shared" si="12"/>
        <v>828</v>
      </c>
      <c r="C831" s="50" t="s">
        <v>1289</v>
      </c>
      <c r="D831" s="56" t="s">
        <v>1656</v>
      </c>
      <c r="E831" s="50">
        <v>31</v>
      </c>
      <c r="F831" s="50">
        <v>8112</v>
      </c>
    </row>
    <row r="832" spans="2:6" x14ac:dyDescent="0.3">
      <c r="B832" s="50">
        <f t="shared" si="12"/>
        <v>829</v>
      </c>
      <c r="C832" s="50" t="s">
        <v>810</v>
      </c>
      <c r="D832" s="56" t="s">
        <v>1657</v>
      </c>
      <c r="E832" s="50">
        <v>29</v>
      </c>
      <c r="F832" s="50">
        <v>7588</v>
      </c>
    </row>
    <row r="833" spans="2:6" x14ac:dyDescent="0.3">
      <c r="B833" s="50">
        <f t="shared" si="12"/>
        <v>830</v>
      </c>
      <c r="C833" s="50" t="s">
        <v>1658</v>
      </c>
      <c r="D833" s="56" t="s">
        <v>1659</v>
      </c>
      <c r="E833" s="50">
        <v>29</v>
      </c>
      <c r="F833" s="50">
        <v>7588</v>
      </c>
    </row>
    <row r="834" spans="2:6" x14ac:dyDescent="0.3">
      <c r="B834" s="50">
        <f t="shared" si="12"/>
        <v>831</v>
      </c>
      <c r="C834" s="50" t="s">
        <v>1629</v>
      </c>
      <c r="D834" s="56" t="s">
        <v>1660</v>
      </c>
      <c r="E834" s="50">
        <v>31</v>
      </c>
      <c r="F834" s="50">
        <v>8814</v>
      </c>
    </row>
    <row r="835" spans="2:6" x14ac:dyDescent="0.3">
      <c r="B835" s="50">
        <f t="shared" si="12"/>
        <v>832</v>
      </c>
      <c r="C835" s="50" t="s">
        <v>1661</v>
      </c>
      <c r="D835" s="56" t="s">
        <v>1662</v>
      </c>
      <c r="E835" s="50">
        <v>31</v>
      </c>
      <c r="F835" s="50">
        <v>8814</v>
      </c>
    </row>
    <row r="836" spans="2:6" x14ac:dyDescent="0.3">
      <c r="B836" s="50">
        <f t="shared" si="12"/>
        <v>833</v>
      </c>
      <c r="C836" s="50" t="s">
        <v>1663</v>
      </c>
      <c r="D836" s="56" t="s">
        <v>1664</v>
      </c>
      <c r="E836" s="50">
        <v>31</v>
      </c>
      <c r="F836" s="50">
        <v>8112</v>
      </c>
    </row>
    <row r="837" spans="2:6" x14ac:dyDescent="0.3">
      <c r="B837" s="50">
        <f t="shared" si="12"/>
        <v>834</v>
      </c>
      <c r="C837" s="50" t="s">
        <v>1665</v>
      </c>
      <c r="D837" s="56" t="s">
        <v>1666</v>
      </c>
      <c r="E837" s="50">
        <v>27</v>
      </c>
      <c r="F837" s="50">
        <v>7066</v>
      </c>
    </row>
    <row r="838" spans="2:6" x14ac:dyDescent="0.3">
      <c r="B838" s="50">
        <f t="shared" ref="B838:B881" si="13">+B837+1</f>
        <v>835</v>
      </c>
      <c r="C838" s="50" t="s">
        <v>362</v>
      </c>
      <c r="D838" s="56" t="s">
        <v>1667</v>
      </c>
      <c r="E838" s="50">
        <v>27</v>
      </c>
      <c r="F838" s="50">
        <v>7066</v>
      </c>
    </row>
    <row r="839" spans="2:6" x14ac:dyDescent="0.3">
      <c r="B839" s="50">
        <f t="shared" si="13"/>
        <v>836</v>
      </c>
      <c r="C839" s="50" t="s">
        <v>1668</v>
      </c>
      <c r="D839" s="56" t="s">
        <v>1669</v>
      </c>
      <c r="E839" s="50">
        <v>27</v>
      </c>
      <c r="F839" s="50">
        <v>7066</v>
      </c>
    </row>
    <row r="840" spans="2:6" x14ac:dyDescent="0.3">
      <c r="B840" s="50">
        <f t="shared" si="13"/>
        <v>837</v>
      </c>
      <c r="C840" s="50" t="s">
        <v>1670</v>
      </c>
      <c r="D840" s="56" t="s">
        <v>1671</v>
      </c>
      <c r="E840" s="50">
        <v>27</v>
      </c>
      <c r="F840" s="50">
        <v>7066</v>
      </c>
    </row>
    <row r="841" spans="2:6" x14ac:dyDescent="0.3">
      <c r="B841" s="50">
        <f t="shared" si="13"/>
        <v>838</v>
      </c>
      <c r="C841" s="50" t="s">
        <v>1672</v>
      </c>
      <c r="D841" s="56" t="s">
        <v>1673</v>
      </c>
      <c r="E841" s="50">
        <v>27</v>
      </c>
      <c r="F841" s="50">
        <v>7066</v>
      </c>
    </row>
    <row r="842" spans="2:6" x14ac:dyDescent="0.3">
      <c r="B842" s="50">
        <f t="shared" si="13"/>
        <v>839</v>
      </c>
      <c r="C842" s="50" t="s">
        <v>378</v>
      </c>
      <c r="D842" s="56" t="s">
        <v>1674</v>
      </c>
      <c r="E842" s="50">
        <v>27</v>
      </c>
      <c r="F842" s="50">
        <v>7066</v>
      </c>
    </row>
    <row r="843" spans="2:6" x14ac:dyDescent="0.3">
      <c r="B843" s="50">
        <f t="shared" si="13"/>
        <v>840</v>
      </c>
      <c r="C843" s="50" t="s">
        <v>1675</v>
      </c>
      <c r="D843" s="56" t="s">
        <v>1676</v>
      </c>
      <c r="E843" s="50">
        <v>28</v>
      </c>
      <c r="F843" s="50">
        <v>7327</v>
      </c>
    </row>
    <row r="844" spans="2:6" x14ac:dyDescent="0.3">
      <c r="B844" s="50">
        <f t="shared" si="13"/>
        <v>841</v>
      </c>
      <c r="C844" s="50" t="s">
        <v>1677</v>
      </c>
      <c r="D844" s="56" t="s">
        <v>1678</v>
      </c>
      <c r="E844" s="50">
        <v>29</v>
      </c>
      <c r="F844" s="50">
        <v>8245</v>
      </c>
    </row>
    <row r="845" spans="2:6" x14ac:dyDescent="0.3">
      <c r="B845" s="50">
        <f t="shared" si="13"/>
        <v>842</v>
      </c>
      <c r="C845" s="50" t="s">
        <v>1679</v>
      </c>
      <c r="D845" s="56" t="s">
        <v>1680</v>
      </c>
      <c r="E845" s="50">
        <v>29</v>
      </c>
      <c r="F845" s="50">
        <v>7589</v>
      </c>
    </row>
    <row r="846" spans="2:6" x14ac:dyDescent="0.3">
      <c r="B846" s="50">
        <f t="shared" si="13"/>
        <v>843</v>
      </c>
      <c r="C846" s="50" t="s">
        <v>1681</v>
      </c>
      <c r="D846" s="56" t="s">
        <v>1682</v>
      </c>
      <c r="E846" s="50">
        <v>29</v>
      </c>
      <c r="F846" s="50">
        <v>8245</v>
      </c>
    </row>
    <row r="847" spans="2:6" x14ac:dyDescent="0.3">
      <c r="B847" s="50">
        <f t="shared" si="13"/>
        <v>844</v>
      </c>
      <c r="C847" s="50" t="s">
        <v>524</v>
      </c>
      <c r="D847" s="56" t="s">
        <v>1683</v>
      </c>
      <c r="E847" s="50">
        <v>23</v>
      </c>
      <c r="F847" s="50">
        <v>6019</v>
      </c>
    </row>
    <row r="848" spans="2:6" x14ac:dyDescent="0.3">
      <c r="B848" s="50">
        <f t="shared" si="13"/>
        <v>845</v>
      </c>
      <c r="C848" s="50" t="s">
        <v>1684</v>
      </c>
      <c r="D848" s="56" t="s">
        <v>1685</v>
      </c>
      <c r="E848" s="50">
        <v>31</v>
      </c>
      <c r="F848" s="50">
        <v>8112</v>
      </c>
    </row>
    <row r="849" spans="2:6" x14ac:dyDescent="0.3">
      <c r="B849" s="50">
        <f t="shared" si="13"/>
        <v>846</v>
      </c>
      <c r="C849" s="50" t="s">
        <v>1686</v>
      </c>
      <c r="D849" s="56" t="s">
        <v>1687</v>
      </c>
      <c r="E849" s="50">
        <v>29</v>
      </c>
      <c r="F849" s="50">
        <v>7588</v>
      </c>
    </row>
    <row r="850" spans="2:6" x14ac:dyDescent="0.3">
      <c r="B850" s="50">
        <f t="shared" si="13"/>
        <v>847</v>
      </c>
      <c r="C850" s="50" t="s">
        <v>1688</v>
      </c>
      <c r="D850" s="56" t="s">
        <v>1689</v>
      </c>
      <c r="E850" s="50">
        <v>26</v>
      </c>
      <c r="F850" s="50">
        <v>6804</v>
      </c>
    </row>
    <row r="851" spans="2:6" x14ac:dyDescent="0.3">
      <c r="B851" s="50">
        <f t="shared" si="13"/>
        <v>848</v>
      </c>
      <c r="C851" s="50" t="s">
        <v>1690</v>
      </c>
      <c r="D851" s="56" t="s">
        <v>1691</v>
      </c>
      <c r="E851" s="50">
        <v>31</v>
      </c>
      <c r="F851" s="50">
        <v>8112</v>
      </c>
    </row>
    <row r="852" spans="2:6" x14ac:dyDescent="0.3">
      <c r="B852" s="50">
        <f t="shared" si="13"/>
        <v>849</v>
      </c>
      <c r="C852" s="50" t="s">
        <v>1692</v>
      </c>
      <c r="D852" s="56" t="s">
        <v>1693</v>
      </c>
      <c r="E852" s="50">
        <v>26</v>
      </c>
      <c r="F852" s="50">
        <v>6804</v>
      </c>
    </row>
    <row r="853" spans="2:6" x14ac:dyDescent="0.3">
      <c r="B853" s="50">
        <f t="shared" si="13"/>
        <v>850</v>
      </c>
      <c r="C853" s="50" t="s">
        <v>1694</v>
      </c>
      <c r="D853" s="56" t="s">
        <v>1695</v>
      </c>
      <c r="E853" s="50">
        <v>31</v>
      </c>
      <c r="F853" s="50">
        <v>9161</v>
      </c>
    </row>
    <row r="854" spans="2:6" x14ac:dyDescent="0.3">
      <c r="B854" s="50">
        <f t="shared" si="13"/>
        <v>851</v>
      </c>
      <c r="C854" s="50" t="s">
        <v>1696</v>
      </c>
      <c r="D854" s="56" t="s">
        <v>1697</v>
      </c>
      <c r="E854" s="50">
        <v>31</v>
      </c>
      <c r="F854" s="50">
        <v>9425</v>
      </c>
    </row>
    <row r="855" spans="2:6" x14ac:dyDescent="0.3">
      <c r="B855" s="50">
        <f t="shared" si="13"/>
        <v>852</v>
      </c>
      <c r="C855" s="50" t="s">
        <v>1698</v>
      </c>
      <c r="D855" s="56" t="s">
        <v>1699</v>
      </c>
      <c r="E855" s="50">
        <v>31</v>
      </c>
      <c r="F855" s="50">
        <v>10500</v>
      </c>
    </row>
    <row r="856" spans="2:6" x14ac:dyDescent="0.3">
      <c r="B856" s="50">
        <f t="shared" si="13"/>
        <v>853</v>
      </c>
      <c r="C856" s="50" t="s">
        <v>1700</v>
      </c>
      <c r="D856" s="56" t="s">
        <v>1701</v>
      </c>
      <c r="E856" s="50">
        <v>31</v>
      </c>
      <c r="F856" s="50">
        <v>8000</v>
      </c>
    </row>
    <row r="857" spans="2:6" x14ac:dyDescent="0.3">
      <c r="B857" s="50">
        <f t="shared" si="13"/>
        <v>854</v>
      </c>
      <c r="C857" s="50" t="s">
        <v>1186</v>
      </c>
      <c r="D857" s="56" t="s">
        <v>1702</v>
      </c>
      <c r="E857" s="50">
        <v>15</v>
      </c>
      <c r="F857" s="50">
        <v>3871</v>
      </c>
    </row>
    <row r="858" spans="2:6" x14ac:dyDescent="0.3">
      <c r="B858" s="50">
        <f t="shared" si="13"/>
        <v>855</v>
      </c>
      <c r="C858" s="50" t="s">
        <v>1703</v>
      </c>
      <c r="D858" s="56" t="s">
        <v>1704</v>
      </c>
      <c r="E858" s="50">
        <v>22.5</v>
      </c>
      <c r="F858" s="50">
        <v>4831</v>
      </c>
    </row>
    <row r="859" spans="2:6" x14ac:dyDescent="0.3">
      <c r="B859" s="50">
        <f t="shared" si="13"/>
        <v>856</v>
      </c>
      <c r="C859" s="50" t="s">
        <v>1289</v>
      </c>
      <c r="D859" s="56" t="s">
        <v>1705</v>
      </c>
      <c r="E859" s="50">
        <v>31</v>
      </c>
      <c r="F859" s="50">
        <v>6656</v>
      </c>
    </row>
    <row r="860" spans="2:6" x14ac:dyDescent="0.3">
      <c r="B860" s="50">
        <f t="shared" si="13"/>
        <v>857</v>
      </c>
      <c r="C860" s="50" t="s">
        <v>1706</v>
      </c>
      <c r="D860" s="56" t="s">
        <v>1707</v>
      </c>
      <c r="E860" s="50">
        <v>31</v>
      </c>
      <c r="F860" s="50">
        <v>7125</v>
      </c>
    </row>
    <row r="861" spans="2:6" x14ac:dyDescent="0.3">
      <c r="B861" s="50">
        <f t="shared" si="13"/>
        <v>858</v>
      </c>
      <c r="C861" s="50" t="s">
        <v>1708</v>
      </c>
      <c r="D861" s="56" t="s">
        <v>1709</v>
      </c>
      <c r="E861" s="50">
        <v>31</v>
      </c>
      <c r="F861" s="50">
        <v>14300</v>
      </c>
    </row>
    <row r="862" spans="2:6" x14ac:dyDescent="0.3">
      <c r="B862" s="50">
        <f t="shared" si="13"/>
        <v>859</v>
      </c>
      <c r="C862" s="50" t="s">
        <v>1710</v>
      </c>
      <c r="D862" s="56" t="s">
        <v>1711</v>
      </c>
      <c r="E862" s="50">
        <v>31</v>
      </c>
      <c r="F862" s="50">
        <v>6656</v>
      </c>
    </row>
    <row r="863" spans="2:6" x14ac:dyDescent="0.3">
      <c r="B863" s="50">
        <f t="shared" si="13"/>
        <v>860</v>
      </c>
      <c r="C863" s="50" t="s">
        <v>1712</v>
      </c>
      <c r="D863" s="56" t="s">
        <v>1713</v>
      </c>
      <c r="E863" s="50">
        <v>28</v>
      </c>
      <c r="F863" s="50">
        <v>6774</v>
      </c>
    </row>
    <row r="864" spans="2:6" x14ac:dyDescent="0.3">
      <c r="B864" s="50">
        <f t="shared" si="13"/>
        <v>861</v>
      </c>
      <c r="C864" s="50" t="s">
        <v>1714</v>
      </c>
      <c r="D864" s="56" t="s">
        <v>874</v>
      </c>
      <c r="E864" s="50">
        <v>10</v>
      </c>
      <c r="F864" s="50">
        <v>2147</v>
      </c>
    </row>
    <row r="865" spans="2:6" x14ac:dyDescent="0.3">
      <c r="B865" s="50">
        <f t="shared" si="13"/>
        <v>862</v>
      </c>
      <c r="C865" s="50" t="s">
        <v>1715</v>
      </c>
      <c r="D865" s="56" t="s">
        <v>1716</v>
      </c>
      <c r="E865" s="50">
        <v>31</v>
      </c>
      <c r="F865" s="50">
        <v>8500</v>
      </c>
    </row>
    <row r="866" spans="2:6" x14ac:dyDescent="0.3">
      <c r="B866" s="50">
        <f t="shared" si="13"/>
        <v>863</v>
      </c>
      <c r="C866" s="50" t="s">
        <v>1717</v>
      </c>
      <c r="D866" s="56" t="s">
        <v>1718</v>
      </c>
      <c r="E866" s="50">
        <v>1</v>
      </c>
      <c r="F866" s="50">
        <v>186</v>
      </c>
    </row>
    <row r="867" spans="2:6" x14ac:dyDescent="0.3">
      <c r="B867" s="50">
        <f t="shared" si="13"/>
        <v>864</v>
      </c>
      <c r="C867" s="50" t="s">
        <v>1719</v>
      </c>
      <c r="D867" s="56" t="s">
        <v>1720</v>
      </c>
      <c r="E867" s="50">
        <v>31</v>
      </c>
      <c r="F867" s="50">
        <v>11330</v>
      </c>
    </row>
    <row r="868" spans="2:6" x14ac:dyDescent="0.3">
      <c r="B868" s="50">
        <f t="shared" si="13"/>
        <v>865</v>
      </c>
      <c r="C868" s="50" t="s">
        <v>1721</v>
      </c>
      <c r="D868" s="56" t="s">
        <v>1722</v>
      </c>
      <c r="E868" s="50">
        <v>31</v>
      </c>
      <c r="F868" s="50">
        <v>11330</v>
      </c>
    </row>
    <row r="869" spans="2:6" x14ac:dyDescent="0.3">
      <c r="B869" s="50">
        <f t="shared" si="13"/>
        <v>866</v>
      </c>
      <c r="C869" s="50" t="s">
        <v>1282</v>
      </c>
      <c r="D869" s="56" t="s">
        <v>1723</v>
      </c>
      <c r="E869" s="50">
        <v>31</v>
      </c>
      <c r="F869" s="50">
        <v>7595</v>
      </c>
    </row>
    <row r="870" spans="2:6" x14ac:dyDescent="0.3">
      <c r="B870" s="50">
        <f t="shared" si="13"/>
        <v>867</v>
      </c>
      <c r="C870" s="50" t="s">
        <v>1724</v>
      </c>
      <c r="D870" s="56" t="s">
        <v>1725</v>
      </c>
      <c r="E870" s="50">
        <v>31</v>
      </c>
      <c r="F870" s="50">
        <v>9255</v>
      </c>
    </row>
    <row r="871" spans="2:6" x14ac:dyDescent="0.3">
      <c r="B871" s="50">
        <f t="shared" si="13"/>
        <v>868</v>
      </c>
      <c r="C871" s="50" t="s">
        <v>1726</v>
      </c>
      <c r="D871" s="56" t="s">
        <v>1727</v>
      </c>
      <c r="E871" s="50">
        <v>31</v>
      </c>
      <c r="F871" s="50">
        <v>8814</v>
      </c>
    </row>
    <row r="872" spans="2:6" x14ac:dyDescent="0.3">
      <c r="B872" s="50">
        <f t="shared" si="13"/>
        <v>869</v>
      </c>
      <c r="C872" s="50" t="s">
        <v>165</v>
      </c>
      <c r="D872" s="56" t="s">
        <v>1728</v>
      </c>
      <c r="E872" s="50">
        <v>31</v>
      </c>
      <c r="F872" s="50">
        <v>8814</v>
      </c>
    </row>
    <row r="873" spans="2:6" x14ac:dyDescent="0.3">
      <c r="B873" s="50">
        <f t="shared" si="13"/>
        <v>870</v>
      </c>
      <c r="C873" s="50" t="s">
        <v>1729</v>
      </c>
      <c r="D873" s="56" t="s">
        <v>1730</v>
      </c>
      <c r="E873" s="50">
        <v>31</v>
      </c>
      <c r="F873" s="50">
        <v>6656</v>
      </c>
    </row>
    <row r="874" spans="2:6" x14ac:dyDescent="0.3">
      <c r="B874" s="50">
        <f t="shared" si="13"/>
        <v>871</v>
      </c>
      <c r="C874" s="50" t="s">
        <v>1731</v>
      </c>
      <c r="D874" s="56" t="s">
        <v>1732</v>
      </c>
      <c r="E874" s="50">
        <v>31</v>
      </c>
      <c r="F874" s="50">
        <v>6656</v>
      </c>
    </row>
    <row r="875" spans="2:6" x14ac:dyDescent="0.3">
      <c r="B875" s="50">
        <f t="shared" si="13"/>
        <v>872</v>
      </c>
      <c r="C875" s="50" t="s">
        <v>1733</v>
      </c>
      <c r="D875" s="56" t="s">
        <v>1734</v>
      </c>
      <c r="E875" s="50">
        <v>30</v>
      </c>
      <c r="F875" s="50">
        <v>6441</v>
      </c>
    </row>
    <row r="876" spans="2:6" x14ac:dyDescent="0.3">
      <c r="B876" s="50">
        <f t="shared" si="13"/>
        <v>873</v>
      </c>
      <c r="C876" s="50" t="s">
        <v>1735</v>
      </c>
      <c r="D876" s="56" t="s">
        <v>1736</v>
      </c>
      <c r="E876" s="50">
        <v>31</v>
      </c>
      <c r="F876" s="50">
        <v>6656</v>
      </c>
    </row>
    <row r="877" spans="2:6" x14ac:dyDescent="0.3">
      <c r="B877" s="50">
        <f t="shared" si="13"/>
        <v>874</v>
      </c>
      <c r="C877" s="50" t="s">
        <v>1658</v>
      </c>
      <c r="D877" s="56" t="s">
        <v>1737</v>
      </c>
      <c r="E877" s="50">
        <v>31</v>
      </c>
      <c r="F877" s="50">
        <v>8814</v>
      </c>
    </row>
    <row r="878" spans="2:6" x14ac:dyDescent="0.3">
      <c r="B878" s="50">
        <f t="shared" si="13"/>
        <v>875</v>
      </c>
      <c r="C878" s="50" t="s">
        <v>1738</v>
      </c>
      <c r="D878" s="56" t="s">
        <v>1739</v>
      </c>
      <c r="E878" s="50">
        <v>31</v>
      </c>
      <c r="F878" s="50">
        <v>6656</v>
      </c>
    </row>
    <row r="879" spans="2:6" x14ac:dyDescent="0.3">
      <c r="B879" s="50">
        <f t="shared" si="13"/>
        <v>876</v>
      </c>
      <c r="C879" s="50" t="s">
        <v>1740</v>
      </c>
      <c r="D879" s="56" t="s">
        <v>1741</v>
      </c>
      <c r="E879" s="50">
        <v>31</v>
      </c>
      <c r="F879" s="50">
        <v>8814</v>
      </c>
    </row>
    <row r="880" spans="2:6" x14ac:dyDescent="0.3">
      <c r="B880" s="50">
        <f t="shared" si="13"/>
        <v>877</v>
      </c>
      <c r="C880" s="50" t="s">
        <v>1742</v>
      </c>
      <c r="D880" s="56" t="s">
        <v>1743</v>
      </c>
      <c r="E880" s="50">
        <v>31</v>
      </c>
      <c r="F880" s="50">
        <v>8814</v>
      </c>
    </row>
    <row r="881" spans="2:6" x14ac:dyDescent="0.3">
      <c r="B881" s="50">
        <f t="shared" si="13"/>
        <v>878</v>
      </c>
      <c r="C881" s="50" t="s">
        <v>1464</v>
      </c>
      <c r="D881" s="56" t="s">
        <v>1744</v>
      </c>
      <c r="E881" s="50">
        <v>31</v>
      </c>
      <c r="F881" s="50">
        <v>8814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A8DA-E4BC-4D56-A513-D18804272F4F}">
  <sheetPr>
    <tabColor rgb="FFFF0000"/>
  </sheetPr>
  <dimension ref="B1:U881"/>
  <sheetViews>
    <sheetView showGridLines="0" tabSelected="1" topLeftCell="D1" zoomScaleNormal="100" workbookViewId="0">
      <selection activeCell="S9" sqref="S9"/>
    </sheetView>
  </sheetViews>
  <sheetFormatPr defaultColWidth="8.88671875" defaultRowHeight="14.4" x14ac:dyDescent="0.3"/>
  <cols>
    <col min="2" max="2" width="5.5546875" customWidth="1"/>
    <col min="3" max="3" width="31.6640625" bestFit="1" customWidth="1"/>
    <col min="4" max="4" width="12" bestFit="1" customWidth="1"/>
    <col min="5" max="5" width="9.44140625" bestFit="1" customWidth="1"/>
    <col min="6" max="6" width="11.88671875" bestFit="1" customWidth="1"/>
    <col min="9" max="9" width="14.5546875" customWidth="1"/>
    <col min="10" max="10" width="18.109375" customWidth="1"/>
    <col min="11" max="11" width="12.33203125" customWidth="1"/>
    <col min="12" max="12" width="12.33203125" bestFit="1" customWidth="1"/>
    <col min="13" max="13" width="20.6640625" customWidth="1"/>
  </cols>
  <sheetData>
    <row r="1" spans="2:21" x14ac:dyDescent="0.3">
      <c r="I1" s="48" t="s">
        <v>69</v>
      </c>
    </row>
    <row r="2" spans="2:21" ht="19.8" x14ac:dyDescent="0.4">
      <c r="B2" s="49" t="s">
        <v>1746</v>
      </c>
      <c r="D2" s="50"/>
      <c r="E2" s="50"/>
      <c r="F2" s="50"/>
      <c r="I2" s="48"/>
      <c r="J2" s="51" t="s">
        <v>71</v>
      </c>
      <c r="K2" s="51" t="s">
        <v>71</v>
      </c>
    </row>
    <row r="3" spans="2:21" x14ac:dyDescent="0.3">
      <c r="B3" s="52" t="s">
        <v>72</v>
      </c>
      <c r="C3" s="52" t="s">
        <v>73</v>
      </c>
      <c r="D3" s="53" t="s">
        <v>74</v>
      </c>
      <c r="E3" s="52" t="s">
        <v>75</v>
      </c>
      <c r="F3" s="52" t="s">
        <v>76</v>
      </c>
      <c r="I3" s="54" t="s">
        <v>74</v>
      </c>
      <c r="J3" s="54" t="s">
        <v>73</v>
      </c>
      <c r="K3" s="55" t="s">
        <v>76</v>
      </c>
    </row>
    <row r="4" spans="2:21" x14ac:dyDescent="0.3">
      <c r="B4" s="50">
        <v>1</v>
      </c>
      <c r="C4" s="50" t="s">
        <v>77</v>
      </c>
      <c r="D4" s="56" t="s">
        <v>78</v>
      </c>
      <c r="E4" s="50">
        <v>31</v>
      </c>
      <c r="F4" s="50">
        <v>8343</v>
      </c>
      <c r="I4" s="57">
        <v>1113921622</v>
      </c>
      <c r="J4" s="58" t="e">
        <f>INDEX($C$4:$C$881,MATCH(VALUE($I4),($D$4:$D$88)*1,0))</f>
        <v>#N/A</v>
      </c>
      <c r="K4" s="58" t="str" cm="1">
        <f t="array" ref="K4">IFERROR(INDEX(TRIM($F$4:$F$881),MATCH(TRIM($I4),TRIM($D$4:$D$881),0)),"Data not found")</f>
        <v>6441</v>
      </c>
      <c r="M4" t="str" cm="1">
        <f t="array" aca="1" ref="M4" ca="1">INDEX(INDIRECT(SUBSTITUTE(J$3," ","_")),MATCH(VALUE($I4),VALUE(INDIRECT(SUBSTITUTE($I$3," ","_"))),0))</f>
        <v>DASHRATH KUMAR</v>
      </c>
      <c r="N4" cm="1">
        <f t="array" aca="1" ref="N4" ca="1">INDEX(INDIRECT(SUBSTITUTE(K$3," ","_")),MATCH(VALUE($I4),VALUE(INDIRECT(SUBSTITUTE($I$3," ","_"))),0))</f>
        <v>6441</v>
      </c>
      <c r="P4" s="77" t="str">
        <f>INDEX(CHOOSE(IF(COLUMNS($P$2:P2)=1,1,2),Emp._Name,ESIC_SALARY),MATCH(TRIM($I4),ESIC_NO,0))</f>
        <v>DASHRATH KUMAR</v>
      </c>
      <c r="Q4" s="77">
        <f>INDEX(CHOOSE(IF(COLUMNS($P$2:Q2)=1,1,2),Emp._Name,ESIC_SALARY),MATCH(TRIM($I4),ESIC_NO,0))</f>
        <v>6441</v>
      </c>
      <c r="T4" t="str" cm="1">
        <f t="array" ref="T4">INDEX(CHOOSE(COLUMNS($J$20:J20),Emp._Name,ESIC_SALARY),MATCH(VALUE($I4),VALUE(ESIC_NO),0))</f>
        <v>DASHRATH KUMAR</v>
      </c>
      <c r="U4" cm="1">
        <f t="array" ref="U4">INDEX(CHOOSE(COLUMNS($J$20:K20),Emp._Name,ESIC_SALARY),MATCH(VALUE($I4),VALUE(ESIC_NO),0))</f>
        <v>6441</v>
      </c>
    </row>
    <row r="5" spans="2:21" x14ac:dyDescent="0.3">
      <c r="B5" s="50">
        <f>+B4+1</f>
        <v>2</v>
      </c>
      <c r="C5" s="50" t="s">
        <v>79</v>
      </c>
      <c r="D5" s="56" t="s">
        <v>80</v>
      </c>
      <c r="E5" s="50">
        <v>26.5</v>
      </c>
      <c r="F5" s="50">
        <v>5908</v>
      </c>
      <c r="I5" s="57">
        <v>1113757595</v>
      </c>
      <c r="J5" s="58" t="str" cm="1">
        <f t="array" ref="J5">IFERROR(INDEX(TRIM($C$4:$C$881),MATCH(TRIM($I5),TRIM($D$4:$D$881),0)),"Data not found")</f>
        <v>MOHD. NASEER UDDIN</v>
      </c>
      <c r="K5" s="58" t="str" cm="1">
        <f t="array" ref="K5">IFERROR(INDEX(TRIM($F$4:$F$881),MATCH(TRIM($I5),TRIM($D$4:$D$881),0)),"Data not found")</f>
        <v>9047</v>
      </c>
      <c r="M5" t="str" cm="1">
        <f t="array" aca="1" ref="M5" ca="1">INDEX(INDIRECT(SUBSTITUTE(J$3," ","_")),MATCH(VALUE($I5),VALUE(INDIRECT(SUBSTITUTE($I$3," ","_"))),0))</f>
        <v>MOHD. NASEER UDDIN</v>
      </c>
      <c r="N5" cm="1">
        <f t="array" aca="1" ref="N5" ca="1">INDEX(INDIRECT(SUBSTITUTE(K$3," ","_")),MATCH(VALUE($I5),VALUE(INDIRECT(SUBSTITUTE($I$3," ","_"))),0))</f>
        <v>9047</v>
      </c>
      <c r="P5" s="77" t="str">
        <f>INDEX(CHOOSE(IF(COLUMNS($P$2:P3)=1,1,2),Emp._Name,ESIC_SALARY),MATCH(TRIM($I5),ESIC_NO,0))</f>
        <v>MOHD. NASEER UDDIN</v>
      </c>
      <c r="Q5" s="77">
        <f>INDEX(CHOOSE(IF(COLUMNS($P$2:Q3)=1,1,2),Emp._Name,ESIC_SALARY),MATCH(TRIM($I5),ESIC_NO,0))</f>
        <v>9047</v>
      </c>
      <c r="T5" t="str" cm="1">
        <f t="array" ref="T5">INDEX(CHOOSE(COLUMNS($J$20:J21),Emp._Name,ESIC_SALARY),MATCH(VALUE($I5),VALUE(ESIC_NO),0))</f>
        <v>MOHD. NASEER UDDIN</v>
      </c>
      <c r="U5" cm="1">
        <f t="array" ref="U5">INDEX(CHOOSE(COLUMNS($J$20:K21),Emp._Name,ESIC_SALARY),MATCH(VALUE($I5),VALUE(ESIC_NO),0))</f>
        <v>9047</v>
      </c>
    </row>
    <row r="6" spans="2:21" x14ac:dyDescent="0.3">
      <c r="B6" s="50">
        <f t="shared" ref="B6:B69" si="0">+B5+1</f>
        <v>3</v>
      </c>
      <c r="C6" s="50" t="s">
        <v>81</v>
      </c>
      <c r="D6" s="56" t="s">
        <v>82</v>
      </c>
      <c r="E6" s="50">
        <v>31</v>
      </c>
      <c r="F6" s="50">
        <v>9047</v>
      </c>
      <c r="I6" s="57" t="s">
        <v>83</v>
      </c>
      <c r="J6" s="58" t="e" cm="1">
        <f t="array" ref="J6">INDEX(TRIM($C$4:$C$881),MATCH(VALUE(TRIM($I6)),TRIM($D$4:$D$881),0))</f>
        <v>#N/A</v>
      </c>
      <c r="K6" s="58" t="str" cm="1">
        <f t="array" ref="K6">IFERROR(INDEX(TRIM($F$4:$F$881),MATCH(TRIM($I6),TRIM($D$4:$D$881),0)),"Data not found")</f>
        <v>Data not found</v>
      </c>
      <c r="M6" t="e" cm="1">
        <f t="array" aca="1" ref="M6" ca="1">INDEX(INDIRECT(SUBSTITUTE(J$3," ","_")),MATCH(VALUE($I6),VALUE(INDIRECT(SUBSTITUTE($I$3," ","_"))),0))</f>
        <v>#N/A</v>
      </c>
      <c r="N6" t="e" cm="1">
        <f t="array" aca="1" ref="N6" ca="1">INDEX(INDIRECT(SUBSTITUTE(K$3," ","_")),MATCH(VALUE($I6),VALUE(INDIRECT(SUBSTITUTE($I$3," ","_"))),0))</f>
        <v>#N/A</v>
      </c>
      <c r="P6" s="77" t="e">
        <f>INDEX(CHOOSE(IF(COLUMNS($P$2:P4)=1,1,2),Emp._Name,ESIC_SALARY),MATCH(TRIM($I6),ESIC_NO,0))</f>
        <v>#N/A</v>
      </c>
      <c r="Q6" s="77" t="e">
        <f>INDEX(CHOOSE(IF(COLUMNS($P$2:Q4)=1,1,2),Emp._Name,ESIC_SALARY),MATCH(TRIM($I6),ESIC_NO,0))</f>
        <v>#N/A</v>
      </c>
      <c r="T6" t="e" cm="1">
        <f t="array" ref="T6">INDEX(CHOOSE(COLUMNS($J$20:J22),Emp._Name,ESIC_SALARY),MATCH(VALUE($I6),VALUE(ESIC_NO),0))</f>
        <v>#N/A</v>
      </c>
      <c r="U6" t="e" cm="1">
        <f t="array" ref="U6">INDEX(CHOOSE(COLUMNS($J$20:K22),Emp._Name,ESIC_SALARY),MATCH(VALUE($I6),VALUE(ESIC_NO),0))</f>
        <v>#N/A</v>
      </c>
    </row>
    <row r="7" spans="2:21" x14ac:dyDescent="0.3">
      <c r="B7" s="50">
        <f t="shared" si="0"/>
        <v>4</v>
      </c>
      <c r="C7" s="50" t="s">
        <v>84</v>
      </c>
      <c r="D7" s="56" t="s">
        <v>85</v>
      </c>
      <c r="E7" s="50">
        <v>26</v>
      </c>
      <c r="F7" s="50">
        <v>5768</v>
      </c>
      <c r="I7" s="59">
        <v>1113838956</v>
      </c>
      <c r="J7" s="58" t="str" cm="1">
        <f t="array" ref="J7">IFERROR(INDEX(TRIM($C$4:$C$881),MATCH(TRIM($I7),TRIM($D$4:$D$881),0)),"Data not found")</f>
        <v>RAJ BAHADUR</v>
      </c>
      <c r="K7" s="58" t="str" cm="1">
        <f t="array" ref="K7">IFERROR(INDEX(TRIM($F$4:$F$881),MATCH(TRIM($I7),TRIM($D$4:$D$881),0)),"Data not found")</f>
        <v>3099</v>
      </c>
      <c r="M7" t="str" cm="1">
        <f t="array" aca="1" ref="M7" ca="1">INDEX(INDIRECT(SUBSTITUTE(J$3," ","_")),MATCH(VALUE($I7),VALUE(INDIRECT(SUBSTITUTE($I$3," ","_"))),0))</f>
        <v>RAJ BAHADUR</v>
      </c>
      <c r="N7" cm="1">
        <f t="array" aca="1" ref="N7" ca="1">INDEX(INDIRECT(SUBSTITUTE(K$3," ","_")),MATCH(VALUE($I7),VALUE(INDIRECT(SUBSTITUTE($I$3," ","_"))),0))</f>
        <v>3099</v>
      </c>
      <c r="P7" s="77" t="str">
        <f>INDEX(CHOOSE(IF(COLUMNS($P$2:P5)=1,1,2),Emp._Name,ESIC_SALARY),MATCH(TRIM($I7),ESIC_NO,0))</f>
        <v>RAJ BAHADUR</v>
      </c>
      <c r="Q7" s="77">
        <f>INDEX(CHOOSE(IF(COLUMNS($P$2:Q5)=1,1,2),Emp._Name,ESIC_SALARY),MATCH(TRIM($I7),ESIC_NO,0))</f>
        <v>3099</v>
      </c>
      <c r="T7" t="str" cm="1">
        <f t="array" ref="T7">INDEX(CHOOSE(COLUMNS($J$20:J23),Emp._Name,ESIC_SALARY),MATCH(VALUE($I7),VALUE(ESIC_NO),0))</f>
        <v>RAJ BAHADUR</v>
      </c>
      <c r="U7" cm="1">
        <f t="array" ref="U7">INDEX(CHOOSE(COLUMNS($J$20:K23),Emp._Name,ESIC_SALARY),MATCH(VALUE($I7),VALUE(ESIC_NO),0))</f>
        <v>3099</v>
      </c>
    </row>
    <row r="8" spans="2:21" x14ac:dyDescent="0.3">
      <c r="B8" s="50">
        <f t="shared" si="0"/>
        <v>5</v>
      </c>
      <c r="C8" s="50" t="s">
        <v>86</v>
      </c>
      <c r="D8" s="56" t="s">
        <v>87</v>
      </c>
      <c r="E8" s="50">
        <v>31</v>
      </c>
      <c r="F8" s="50">
        <v>6892</v>
      </c>
      <c r="I8" s="59">
        <v>1113662765</v>
      </c>
      <c r="J8" s="58" t="str" cm="1">
        <f t="array" ref="J8">IFERROR(INDEX(TRIM($C$4:$C$881),MATCH(TRIM($I8),TRIM($D$4:$D$881),0)),"Data not found")</f>
        <v>VIPIN KUMAR</v>
      </c>
      <c r="K8" s="58" t="str" cm="1">
        <f t="array" ref="K8">IFERROR(INDEX(TRIM($F$4:$F$881),MATCH(TRIM($I8),TRIM($D$4:$D$881),0)),"Data not found")</f>
        <v>8343</v>
      </c>
      <c r="M8" t="str" cm="1">
        <f t="array" aca="1" ref="M8" ca="1">INDEX(INDIRECT(SUBSTITUTE(J$3," ","_")),MATCH(VALUE($I8),VALUE(INDIRECT(SUBSTITUTE($I$3," ","_"))),0))</f>
        <v>VIPIN KUMAR</v>
      </c>
      <c r="N8" cm="1">
        <f t="array" aca="1" ref="N8" ca="1">INDEX(INDIRECT(SUBSTITUTE(K$3," ","_")),MATCH(VALUE($I8),VALUE(INDIRECT(SUBSTITUTE($I$3," ","_"))),0))</f>
        <v>8343</v>
      </c>
      <c r="P8" s="77" t="str">
        <f>INDEX(CHOOSE(IF(COLUMNS($P$2:P6)=1,1,2),Emp._Name,ESIC_SALARY),MATCH(TRIM($I8),ESIC_NO,0))</f>
        <v>VIPIN KUMAR</v>
      </c>
      <c r="Q8" s="77">
        <f>INDEX(CHOOSE(IF(COLUMNS($P$2:Q6)=1,1,2),Emp._Name,ESIC_SALARY),MATCH(TRIM($I8),ESIC_NO,0))</f>
        <v>8343</v>
      </c>
      <c r="T8" t="str" cm="1">
        <f t="array" ref="T8">INDEX(CHOOSE(COLUMNS($J$20:J24),Emp._Name,ESIC_SALARY),MATCH(VALUE($I8),VALUE(ESIC_NO),0))</f>
        <v>VIPIN KUMAR</v>
      </c>
      <c r="U8" cm="1">
        <f t="array" ref="U8">INDEX(CHOOSE(COLUMNS($J$20:K24),Emp._Name,ESIC_SALARY),MATCH(VALUE($I8),VALUE(ESIC_NO),0))</f>
        <v>8343</v>
      </c>
    </row>
    <row r="9" spans="2:21" x14ac:dyDescent="0.3">
      <c r="B9" s="50">
        <f t="shared" si="0"/>
        <v>6</v>
      </c>
      <c r="C9" s="50" t="s">
        <v>62</v>
      </c>
      <c r="D9" s="56" t="s">
        <v>88</v>
      </c>
      <c r="E9" s="50">
        <v>14</v>
      </c>
      <c r="F9" s="50">
        <v>3099</v>
      </c>
      <c r="I9" s="57" t="s">
        <v>78</v>
      </c>
      <c r="J9" s="58" t="str" cm="1">
        <f t="array" ref="J9">IFERROR(INDEX(TRIM($C$4:$C$881),MATCH(TRIM($I9),TRIM($D$4:$D$881),0)),"Data not found")</f>
        <v>VIPIN KUMAR</v>
      </c>
      <c r="K9" s="58" t="str" cm="1">
        <f t="array" ref="K9">IFERROR(INDEX(TRIM($F$4:$F$881),MATCH(TRIM($I9),TRIM($D$4:$D$881),0)),"Data not found")</f>
        <v>8343</v>
      </c>
      <c r="M9" t="str" cm="1">
        <f t="array" aca="1" ref="M9" ca="1">INDEX(INDIRECT(SUBSTITUTE(J$3," ","_")),MATCH(VALUE($I9),VALUE(INDIRECT(SUBSTITUTE($I$3," ","_"))),0))</f>
        <v>VIPIN KUMAR</v>
      </c>
      <c r="N9" cm="1">
        <f t="array" aca="1" ref="N9" ca="1">INDEX(INDIRECT(SUBSTITUTE(K$3," ","_")),MATCH(VALUE($I9),VALUE(INDIRECT(SUBSTITUTE($I$3," ","_"))),0))</f>
        <v>8343</v>
      </c>
      <c r="P9" s="77" t="str">
        <f>INDEX(CHOOSE(IF(COLUMNS($P$2:P7)=1,1,2),Emp._Name,ESIC_SALARY),MATCH(TRIM($I9),ESIC_NO,0))</f>
        <v>VIPIN KUMAR</v>
      </c>
      <c r="Q9" s="77">
        <f>INDEX(CHOOSE(IF(COLUMNS($P$2:Q7)=1,1,2),Emp._Name,ESIC_SALARY),MATCH(TRIM($I9),ESIC_NO,0))</f>
        <v>8343</v>
      </c>
      <c r="T9" t="str" cm="1">
        <f t="array" ref="T9">INDEX(CHOOSE(COLUMNS($J$20:J25),Emp._Name,ESIC_SALARY),MATCH(VALUE($I9),VALUE(ESIC_NO),0))</f>
        <v>VIPIN KUMAR</v>
      </c>
      <c r="U9" cm="1">
        <f t="array" ref="U9">INDEX(CHOOSE(COLUMNS($J$20:K25),Emp._Name,ESIC_SALARY),MATCH(VALUE($I9),VALUE(ESIC_NO),0))</f>
        <v>8343</v>
      </c>
    </row>
    <row r="10" spans="2:21" x14ac:dyDescent="0.3">
      <c r="B10" s="50">
        <f t="shared" si="0"/>
        <v>7</v>
      </c>
      <c r="C10" s="50" t="s">
        <v>63</v>
      </c>
      <c r="D10" s="56" t="s">
        <v>89</v>
      </c>
      <c r="E10" s="50">
        <v>28.5</v>
      </c>
      <c r="F10" s="50">
        <v>6353</v>
      </c>
      <c r="I10" s="57">
        <v>1113743071</v>
      </c>
      <c r="J10" s="58" t="str" cm="1">
        <f t="array" ref="J10">IFERROR(INDEX(TRIM($C$4:$C$881),MATCH(TRIM($I10),TRIM($D$4:$D$881),0)),"Data not found")</f>
        <v>HEMANT B PANCHAL</v>
      </c>
      <c r="K10" s="58" t="str" cm="1">
        <f t="array" ref="K10">IFERROR(INDEX(TRIM($F$4:$F$881),MATCH(TRIM($I10),TRIM($D$4:$D$881),0)),"Data not found")</f>
        <v>6656</v>
      </c>
      <c r="M10" t="str" cm="1">
        <f t="array" aca="1" ref="M10" ca="1">INDEX(INDIRECT(SUBSTITUTE(J$3," ","_")),MATCH(VALUE($I10),VALUE(INDIRECT(SUBSTITUTE($I$3," ","_"))),0))</f>
        <v>HEMANT B PANCHAL</v>
      </c>
      <c r="N10" cm="1">
        <f t="array" aca="1" ref="N10" ca="1">INDEX(INDIRECT(SUBSTITUTE(K$3," ","_")),MATCH(VALUE($I10),VALUE(INDIRECT(SUBSTITUTE($I$3," ","_"))),0))</f>
        <v>6656</v>
      </c>
      <c r="P10" s="77" t="str">
        <f>INDEX(CHOOSE(IF(COLUMNS($P$2:P8)=1,1,2),Emp._Name,ESIC_SALARY),MATCH(TRIM($I10),ESIC_NO,0))</f>
        <v>HEMANT B PANCHAL</v>
      </c>
      <c r="Q10" s="77">
        <f>INDEX(CHOOSE(IF(COLUMNS($P$2:Q8)=1,1,2),Emp._Name,ESIC_SALARY),MATCH(TRIM($I10),ESIC_NO,0))</f>
        <v>6656</v>
      </c>
      <c r="T10" t="str" cm="1">
        <f t="array" ref="T10">INDEX(CHOOSE(COLUMNS($J$20:J26),Emp._Name,ESIC_SALARY),MATCH(VALUE($I10),VALUE(ESIC_NO),0))</f>
        <v>HEMANT B PANCHAL</v>
      </c>
      <c r="U10" cm="1">
        <f t="array" ref="U10">INDEX(CHOOSE(COLUMNS($J$20:K26),Emp._Name,ESIC_SALARY),MATCH(VALUE($I10),VALUE(ESIC_NO),0))</f>
        <v>6656</v>
      </c>
    </row>
    <row r="11" spans="2:21" x14ac:dyDescent="0.3">
      <c r="B11" s="50">
        <f t="shared" si="0"/>
        <v>8</v>
      </c>
      <c r="C11" s="50" t="s">
        <v>64</v>
      </c>
      <c r="D11" s="56" t="s">
        <v>90</v>
      </c>
      <c r="E11" s="50">
        <v>31</v>
      </c>
      <c r="F11" s="50">
        <v>9445</v>
      </c>
      <c r="I11" s="57">
        <v>1113887010</v>
      </c>
      <c r="J11" s="58" t="str" cm="1">
        <f t="array" ref="J11">IFERROR(INDEX(TRIM($C$4:$C$881),MATCH(TRIM($I11),TRIM($D$4:$D$881),0)),"Data not found")</f>
        <v>ASHU VERMA</v>
      </c>
      <c r="K11" s="58" t="str" cm="1">
        <f t="array" ref="K11">IFERROR(INDEX(TRIM($F$4:$F$881),MATCH(TRIM($I11),TRIM($D$4:$D$881),0)),"Data not found")</f>
        <v>6012</v>
      </c>
      <c r="M11" t="str" cm="1">
        <f t="array" aca="1" ref="M11" ca="1">INDEX(INDIRECT(SUBSTITUTE(J$3," ","_")),MATCH(VALUE($I11),VALUE(INDIRECT(SUBSTITUTE($I$3," ","_"))),0))</f>
        <v>ASHU VERMA</v>
      </c>
      <c r="N11" cm="1">
        <f t="array" aca="1" ref="N11" ca="1">INDEX(INDIRECT(SUBSTITUTE(K$3," ","_")),MATCH(VALUE($I11),VALUE(INDIRECT(SUBSTITUTE($I$3," ","_"))),0))</f>
        <v>6012</v>
      </c>
      <c r="P11" s="77" t="str">
        <f>INDEX(CHOOSE(IF(COLUMNS($P$2:P9)=1,1,2),Emp._Name,ESIC_SALARY),MATCH(TRIM($I11),ESIC_NO,0))</f>
        <v>ASHU VERMA</v>
      </c>
      <c r="Q11" s="77">
        <f>INDEX(CHOOSE(IF(COLUMNS($P$2:Q9)=1,1,2),Emp._Name,ESIC_SALARY),MATCH(TRIM($I11),ESIC_NO,0))</f>
        <v>6012</v>
      </c>
      <c r="T11" t="str" cm="1">
        <f t="array" ref="T11">INDEX(CHOOSE(COLUMNS($J$20:J27),Emp._Name,ESIC_SALARY),MATCH(VALUE($I11),VALUE(ESIC_NO),0))</f>
        <v>ASHU VERMA</v>
      </c>
      <c r="U11" cm="1">
        <f t="array" ref="U11">INDEX(CHOOSE(COLUMNS($J$20:K27),Emp._Name,ESIC_SALARY),MATCH(VALUE($I11),VALUE(ESIC_NO),0))</f>
        <v>6012</v>
      </c>
    </row>
    <row r="12" spans="2:21" x14ac:dyDescent="0.3">
      <c r="B12" s="50">
        <f t="shared" si="0"/>
        <v>9</v>
      </c>
      <c r="C12" s="50" t="s">
        <v>65</v>
      </c>
      <c r="D12" s="56" t="s">
        <v>91</v>
      </c>
      <c r="E12" s="50">
        <v>31</v>
      </c>
      <c r="F12" s="50">
        <v>6656</v>
      </c>
      <c r="I12" s="57">
        <v>1113887025</v>
      </c>
      <c r="J12" s="58" t="str" cm="1">
        <f t="array" ref="J12">IFERROR(INDEX(TRIM($C$4:$C$881),MATCH(TRIM($I12),TRIM($D$4:$D$881),0)),"Data not found")</f>
        <v>AKSHAY H. GORE</v>
      </c>
      <c r="K12" s="58" t="str" cm="1">
        <f t="array" ref="K12">IFERROR(INDEX(TRIM($F$4:$F$881),MATCH(TRIM($I12),TRIM($D$4:$D$881),0)),"Data not found")</f>
        <v>6656</v>
      </c>
      <c r="M12" t="str" cm="1">
        <f t="array" aca="1" ref="M12" ca="1">INDEX(INDIRECT(SUBSTITUTE(J$3," ","_")),MATCH(VALUE($I12),VALUE(INDIRECT(SUBSTITUTE($I$3," ","_"))),0))</f>
        <v>AKSHAY H. GORE</v>
      </c>
      <c r="N12" cm="1">
        <f t="array" aca="1" ref="N12" ca="1">INDEX(INDIRECT(SUBSTITUTE(K$3," ","_")),MATCH(VALUE($I12),VALUE(INDIRECT(SUBSTITUTE($I$3," ","_"))),0))</f>
        <v>6656</v>
      </c>
      <c r="P12" s="77" t="str">
        <f>INDEX(CHOOSE(IF(COLUMNS($P$2:P10)=1,1,2),Emp._Name,ESIC_SALARY),MATCH(TRIM($I12),ESIC_NO,0))</f>
        <v>AKSHAY H. GORE</v>
      </c>
      <c r="Q12" s="77">
        <f>INDEX(CHOOSE(IF(COLUMNS($P$2:Q10)=1,1,2),Emp._Name,ESIC_SALARY),MATCH(TRIM($I12),ESIC_NO,0))</f>
        <v>6656</v>
      </c>
      <c r="T12" t="str" cm="1">
        <f t="array" ref="T12">INDEX(CHOOSE(COLUMNS($J$20:J28),Emp._Name,ESIC_SALARY),MATCH(VALUE($I12),VALUE(ESIC_NO),0))</f>
        <v>AKSHAY H. GORE</v>
      </c>
      <c r="U12" cm="1">
        <f t="array" ref="U12">INDEX(CHOOSE(COLUMNS($J$20:K28),Emp._Name,ESIC_SALARY),MATCH(VALUE($I12),VALUE(ESIC_NO),0))</f>
        <v>6656</v>
      </c>
    </row>
    <row r="13" spans="2:21" x14ac:dyDescent="0.3">
      <c r="B13" s="50">
        <f t="shared" si="0"/>
        <v>10</v>
      </c>
      <c r="C13" s="50" t="s">
        <v>66</v>
      </c>
      <c r="D13" s="56" t="s">
        <v>92</v>
      </c>
      <c r="E13" s="50">
        <v>31</v>
      </c>
      <c r="F13" s="50">
        <v>6656</v>
      </c>
      <c r="I13" s="57">
        <v>1113901045</v>
      </c>
      <c r="J13" s="58" t="str" cm="1">
        <f t="array" ref="J13">IFERROR(INDEX(TRIM($C$4:$C$881),MATCH(TRIM($I13),TRIM($D$4:$D$881),0)),"Data not found")</f>
        <v>R. RAM KUMAR</v>
      </c>
      <c r="K13" s="58" t="str" cm="1">
        <f t="array" ref="K13">IFERROR(INDEX(TRIM($F$4:$F$881),MATCH(TRIM($I13),TRIM($D$4:$D$881),0)),"Data not found")</f>
        <v>7242</v>
      </c>
      <c r="M13" t="str" cm="1">
        <f t="array" aca="1" ref="M13" ca="1">INDEX(INDIRECT(SUBSTITUTE(J$3," ","_")),MATCH(VALUE($I13),VALUE(INDIRECT(SUBSTITUTE($I$3," ","_"))),0))</f>
        <v>R. RAM KUMAR</v>
      </c>
      <c r="N13" cm="1">
        <f t="array" aca="1" ref="N13" ca="1">INDEX(INDIRECT(SUBSTITUTE(K$3," ","_")),MATCH(VALUE($I13),VALUE(INDIRECT(SUBSTITUTE($I$3," ","_"))),0))</f>
        <v>7242</v>
      </c>
      <c r="P13" s="77" t="str">
        <f>INDEX(CHOOSE(IF(COLUMNS($P$2:P11)=1,1,2),Emp._Name,ESIC_SALARY),MATCH(TRIM($I13),ESIC_NO,0))</f>
        <v>R. RAM KUMAR</v>
      </c>
      <c r="Q13" s="77">
        <f>INDEX(CHOOSE(IF(COLUMNS($P$2:Q11)=1,1,2),Emp._Name,ESIC_SALARY),MATCH(TRIM($I13),ESIC_NO,0))</f>
        <v>7242</v>
      </c>
      <c r="T13" t="str" cm="1">
        <f t="array" ref="T13">INDEX(CHOOSE(COLUMNS($J$20:J29),Emp._Name,ESIC_SALARY),MATCH(VALUE($I13),VALUE(ESIC_NO),0))</f>
        <v>R. RAM KUMAR</v>
      </c>
      <c r="U13" cm="1">
        <f t="array" ref="U13">INDEX(CHOOSE(COLUMNS($J$20:K29),Emp._Name,ESIC_SALARY),MATCH(VALUE($I13),VALUE(ESIC_NO),0))</f>
        <v>7242</v>
      </c>
    </row>
    <row r="14" spans="2:21" x14ac:dyDescent="0.3">
      <c r="B14" s="50">
        <f t="shared" si="0"/>
        <v>11</v>
      </c>
      <c r="C14" s="50" t="s">
        <v>67</v>
      </c>
      <c r="D14" s="56" t="s">
        <v>93</v>
      </c>
      <c r="E14" s="50">
        <v>28</v>
      </c>
      <c r="F14" s="50">
        <v>6012</v>
      </c>
      <c r="I14" s="57">
        <v>1113662765</v>
      </c>
      <c r="J14" s="58" t="str" cm="1">
        <f t="array" ref="J14">IFERROR(INDEX(TRIM($C$4:$C$881),MATCH(TRIM($I14),TRIM($D$4:$D$881),0)),"Data not found")</f>
        <v>VIPIN KUMAR</v>
      </c>
      <c r="K14" s="58" t="str" cm="1">
        <f t="array" ref="K14">IFERROR(INDEX(TRIM($F$4:$F$881),MATCH(TRIM($I14),TRIM($D$4:$D$881),0)),"Data not found")</f>
        <v>8343</v>
      </c>
      <c r="M14" t="str" cm="1">
        <f t="array" aca="1" ref="M14" ca="1">INDEX(INDIRECT(SUBSTITUTE(J$3," ","_")),MATCH(VALUE($I14),VALUE(INDIRECT(SUBSTITUTE($I$3," ","_"))),0))</f>
        <v>VIPIN KUMAR</v>
      </c>
      <c r="N14" cm="1">
        <f t="array" aca="1" ref="N14" ca="1">INDEX(INDIRECT(SUBSTITUTE(K$3," ","_")),MATCH(VALUE($I14),VALUE(INDIRECT(SUBSTITUTE($I$3," ","_"))),0))</f>
        <v>8343</v>
      </c>
      <c r="P14" s="77" t="str">
        <f>INDEX(CHOOSE(IF(COLUMNS($P$2:P12)=1,1,2),Emp._Name,ESIC_SALARY),MATCH(TRIM($I14),ESIC_NO,0))</f>
        <v>VIPIN KUMAR</v>
      </c>
      <c r="Q14" s="77">
        <f>INDEX(CHOOSE(IF(COLUMNS($P$2:Q12)=1,1,2),Emp._Name,ESIC_SALARY),MATCH(TRIM($I14),ESIC_NO,0))</f>
        <v>8343</v>
      </c>
      <c r="T14" t="str" cm="1">
        <f t="array" ref="T14">INDEX(CHOOSE(COLUMNS($J$20:J30),Emp._Name,ESIC_SALARY),MATCH(VALUE($I14),VALUE(ESIC_NO),0))</f>
        <v>VIPIN KUMAR</v>
      </c>
      <c r="U14" cm="1">
        <f t="array" ref="U14">INDEX(CHOOSE(COLUMNS($J$20:K30),Emp._Name,ESIC_SALARY),MATCH(VALUE($I14),VALUE(ESIC_NO),0))</f>
        <v>8343</v>
      </c>
    </row>
    <row r="15" spans="2:21" x14ac:dyDescent="0.3">
      <c r="B15" s="50">
        <f t="shared" si="0"/>
        <v>12</v>
      </c>
      <c r="C15" s="50" t="s">
        <v>68</v>
      </c>
      <c r="D15" s="56" t="s">
        <v>94</v>
      </c>
      <c r="E15" s="50">
        <v>31</v>
      </c>
      <c r="F15" s="50">
        <v>6656</v>
      </c>
      <c r="I15" s="57">
        <v>1113921610</v>
      </c>
      <c r="J15" s="58" t="str" cm="1">
        <f t="array" ref="J15">IFERROR(INDEX(TRIM($C$4:$C$881),MATCH(TRIM($I15),TRIM($D$4:$D$881),0)),"Data not found")</f>
        <v>CHRISTOPHER JOHN</v>
      </c>
      <c r="K15" s="58" t="str" cm="1">
        <f t="array" ref="K15">IFERROR(INDEX(TRIM($F$4:$F$881),MATCH(TRIM($I15),TRIM($D$4:$D$881),0)),"Data not found")</f>
        <v>644</v>
      </c>
      <c r="M15" t="str" cm="1">
        <f t="array" aca="1" ref="M15" ca="1">INDEX(INDIRECT(SUBSTITUTE(J$3," ","_")),MATCH(VALUE($I15),VALUE(INDIRECT(SUBSTITUTE($I$3," ","_"))),0))</f>
        <v>CHRISTOPHER JOHN</v>
      </c>
      <c r="N15" cm="1">
        <f t="array" aca="1" ref="N15" ca="1">INDEX(INDIRECT(SUBSTITUTE(K$3," ","_")),MATCH(VALUE($I15),VALUE(INDIRECT(SUBSTITUTE($I$3," ","_"))),0))</f>
        <v>644</v>
      </c>
      <c r="P15" s="77" t="str">
        <f>INDEX(CHOOSE(IF(COLUMNS($P$2:P13)=1,1,2),Emp._Name,ESIC_SALARY),MATCH(TRIM($I15),ESIC_NO,0))</f>
        <v>CHRISTOPHER JOHN</v>
      </c>
      <c r="Q15" s="77">
        <f>INDEX(CHOOSE(IF(COLUMNS($P$2:Q13)=1,1,2),Emp._Name,ESIC_SALARY),MATCH(TRIM($I15),ESIC_NO,0))</f>
        <v>644</v>
      </c>
      <c r="T15" t="str" cm="1">
        <f t="array" ref="T15">INDEX(CHOOSE(COLUMNS($J$20:J31),Emp._Name,ESIC_SALARY),MATCH(VALUE($I15),VALUE(ESIC_NO),0))</f>
        <v>CHRISTOPHER JOHN</v>
      </c>
      <c r="U15" cm="1">
        <f t="array" ref="U15">INDEX(CHOOSE(COLUMNS($J$20:K31),Emp._Name,ESIC_SALARY),MATCH(VALUE($I15),VALUE(ESIC_NO),0))</f>
        <v>644</v>
      </c>
    </row>
    <row r="16" spans="2:21" x14ac:dyDescent="0.3">
      <c r="B16" s="50">
        <f t="shared" si="0"/>
        <v>13</v>
      </c>
      <c r="C16" s="50" t="s">
        <v>95</v>
      </c>
      <c r="D16" s="56" t="s">
        <v>96</v>
      </c>
      <c r="E16" s="50">
        <v>30</v>
      </c>
      <c r="F16" s="50">
        <v>7242</v>
      </c>
      <c r="I16" s="57">
        <v>1112572293</v>
      </c>
      <c r="J16" s="58" t="str" cm="1">
        <f t="array" ref="J16">IFERROR(INDEX(TRIM($C$4:$C$881),MATCH(TRIM($I16),TRIM($D$4:$D$881),0)),"Data not found")</f>
        <v>KAPIL VERMA</v>
      </c>
      <c r="K16" s="58" t="str" cm="1">
        <f t="array" ref="K16">IFERROR(INDEX(TRIM($F$4:$F$881),MATCH(TRIM($I16),TRIM($D$4:$D$881),0)),"Data not found")</f>
        <v>11444</v>
      </c>
      <c r="M16" t="str" cm="1">
        <f t="array" aca="1" ref="M16" ca="1">INDEX(INDIRECT(SUBSTITUTE(J$3," ","_")),MATCH(VALUE($I16),VALUE(INDIRECT(SUBSTITUTE($I$3," ","_"))),0))</f>
        <v>KAPIL VERMA</v>
      </c>
      <c r="N16" cm="1">
        <f t="array" aca="1" ref="N16" ca="1">INDEX(INDIRECT(SUBSTITUTE(K$3," ","_")),MATCH(VALUE($I16),VALUE(INDIRECT(SUBSTITUTE($I$3," ","_"))),0))</f>
        <v>11444</v>
      </c>
      <c r="P16" s="77" t="str">
        <f>INDEX(CHOOSE(IF(COLUMNS($P$2:P14)=1,1,2),Emp._Name,ESIC_SALARY),MATCH(TRIM($I16),ESIC_NO,0))</f>
        <v>KAPIL VERMA</v>
      </c>
      <c r="Q16" s="77">
        <f>INDEX(CHOOSE(IF(COLUMNS($P$2:Q14)=1,1,2),Emp._Name,ESIC_SALARY),MATCH(TRIM($I16),ESIC_NO,0))</f>
        <v>11444</v>
      </c>
      <c r="T16" t="str" cm="1">
        <f t="array" ref="T16">INDEX(CHOOSE(COLUMNS($J$20:J32),Emp._Name,ESIC_SALARY),MATCH(VALUE($I16),VALUE(ESIC_NO),0))</f>
        <v>KAPIL VERMA</v>
      </c>
      <c r="U16" cm="1">
        <f t="array" ref="U16">INDEX(CHOOSE(COLUMNS($J$20:K32),Emp._Name,ESIC_SALARY),MATCH(VALUE($I16),VALUE(ESIC_NO),0))</f>
        <v>11444</v>
      </c>
    </row>
    <row r="17" spans="2:21" x14ac:dyDescent="0.3">
      <c r="B17" s="50">
        <f t="shared" si="0"/>
        <v>14</v>
      </c>
      <c r="C17" s="50" t="s">
        <v>97</v>
      </c>
      <c r="D17" s="56" t="s">
        <v>98</v>
      </c>
      <c r="E17" s="50">
        <v>30</v>
      </c>
      <c r="F17" s="50">
        <v>6441</v>
      </c>
      <c r="I17" s="57">
        <v>1112572326</v>
      </c>
      <c r="J17" s="58" t="str" cm="1">
        <f t="array" ref="J17">IFERROR(INDEX(TRIM($C$4:$C$881),MATCH(TRIM($I17),TRIM($D$4:$D$881),0)),"Data not found")</f>
        <v>NEHA KAPOOR</v>
      </c>
      <c r="K17" s="58" t="str" cm="1">
        <f t="array" ref="K17">IFERROR(INDEX(TRIM($F$4:$F$881),MATCH(TRIM($I17),TRIM($D$4:$D$881),0)),"Data not found")</f>
        <v>11074</v>
      </c>
      <c r="M17" t="str" cm="1">
        <f t="array" aca="1" ref="M17" ca="1">INDEX(INDIRECT(SUBSTITUTE(J$3," ","_")),MATCH(VALUE($I17),VALUE(INDIRECT(SUBSTITUTE($I$3," ","_"))),0))</f>
        <v>NEHA KAPOOR</v>
      </c>
      <c r="N17" cm="1">
        <f t="array" aca="1" ref="N17" ca="1">INDEX(INDIRECT(SUBSTITUTE(K$3," ","_")),MATCH(VALUE($I17),VALUE(INDIRECT(SUBSTITUTE($I$3," ","_"))),0))</f>
        <v>11074</v>
      </c>
      <c r="P17" s="77" t="str">
        <f>INDEX(CHOOSE(IF(COLUMNS($P$2:P15)=1,1,2),Emp._Name,ESIC_SALARY),MATCH(TRIM($I17),ESIC_NO,0))</f>
        <v>NEHA KAPOOR</v>
      </c>
      <c r="Q17" s="77">
        <f>INDEX(CHOOSE(IF(COLUMNS($P$2:Q15)=1,1,2),Emp._Name,ESIC_SALARY),MATCH(TRIM($I17),ESIC_NO,0))</f>
        <v>11074</v>
      </c>
      <c r="T17" t="str" cm="1">
        <f t="array" ref="T17">INDEX(CHOOSE(COLUMNS($J$20:J33),Emp._Name,ESIC_SALARY),MATCH(VALUE($I17),VALUE(ESIC_NO),0))</f>
        <v>NEHA KAPOOR</v>
      </c>
      <c r="U17" cm="1">
        <f t="array" ref="U17">INDEX(CHOOSE(COLUMNS($J$20:K33),Emp._Name,ESIC_SALARY),MATCH(VALUE($I17),VALUE(ESIC_NO),0))</f>
        <v>11074</v>
      </c>
    </row>
    <row r="18" spans="2:21" x14ac:dyDescent="0.3">
      <c r="B18" s="50">
        <f t="shared" si="0"/>
        <v>15</v>
      </c>
      <c r="C18" s="50" t="s">
        <v>99</v>
      </c>
      <c r="D18" s="56" t="s">
        <v>100</v>
      </c>
      <c r="E18" s="50">
        <v>30</v>
      </c>
      <c r="F18" s="50">
        <v>11711</v>
      </c>
      <c r="I18" s="57">
        <v>1112572277</v>
      </c>
      <c r="J18" s="58" t="str" cm="1">
        <f t="array" ref="J18">IFERROR(INDEX(TRIM($C$4:$C$881),MATCH(TRIM($I18),TRIM($D$4:$D$881),0)),"Data not found")</f>
        <v>HARISH PAL</v>
      </c>
      <c r="K18" s="58" t="str" cm="1">
        <f t="array" ref="K18">IFERROR(INDEX(TRIM($F$4:$F$881),MATCH(TRIM($I18),TRIM($D$4:$D$881),0)),"Data not found")</f>
        <v>13109</v>
      </c>
      <c r="M18" t="str" cm="1">
        <f t="array" aca="1" ref="M18" ca="1">INDEX(INDIRECT(SUBSTITUTE(J$3," ","_")),MATCH(VALUE($I18),VALUE(INDIRECT(SUBSTITUTE($I$3," ","_"))),0))</f>
        <v>HARISH PAL</v>
      </c>
      <c r="N18" cm="1">
        <f t="array" aca="1" ref="N18" ca="1">INDEX(INDIRECT(SUBSTITUTE(K$3," ","_")),MATCH(VALUE($I18),VALUE(INDIRECT(SUBSTITUTE($I$3," ","_"))),0))</f>
        <v>13109</v>
      </c>
      <c r="P18" s="77" t="str">
        <f>INDEX(CHOOSE(IF(COLUMNS($P$2:P16)=1,1,2),Emp._Name,ESIC_SALARY),MATCH(TRIM($I18),ESIC_NO,0))</f>
        <v>HARISH PAL</v>
      </c>
      <c r="Q18" s="77">
        <f>INDEX(CHOOSE(IF(COLUMNS($P$2:Q16)=1,1,2),Emp._Name,ESIC_SALARY),MATCH(TRIM($I18),ESIC_NO,0))</f>
        <v>13109</v>
      </c>
      <c r="T18" t="str" cm="1">
        <f t="array" ref="T18">INDEX(CHOOSE(COLUMNS($J$20:J34),Emp._Name,ESIC_SALARY),MATCH(VALUE($I18),VALUE(ESIC_NO),0))</f>
        <v>HARISH PAL</v>
      </c>
      <c r="U18" cm="1">
        <f t="array" ref="U18">INDEX(CHOOSE(COLUMNS($J$20:K34),Emp._Name,ESIC_SALARY),MATCH(VALUE($I18),VALUE(ESIC_NO),0))</f>
        <v>13109</v>
      </c>
    </row>
    <row r="19" spans="2:21" x14ac:dyDescent="0.3">
      <c r="B19" s="50">
        <f t="shared" si="0"/>
        <v>16</v>
      </c>
      <c r="C19" s="50" t="s">
        <v>101</v>
      </c>
      <c r="D19" s="56" t="s">
        <v>102</v>
      </c>
      <c r="E19" s="50">
        <v>3</v>
      </c>
      <c r="F19" s="50">
        <v>644</v>
      </c>
    </row>
    <row r="20" spans="2:21" x14ac:dyDescent="0.3">
      <c r="B20" s="50">
        <f t="shared" si="0"/>
        <v>17</v>
      </c>
      <c r="C20" s="50" t="s">
        <v>103</v>
      </c>
      <c r="D20" s="56" t="s">
        <v>104</v>
      </c>
      <c r="E20" s="50">
        <v>30</v>
      </c>
      <c r="F20" s="50">
        <v>6570</v>
      </c>
      <c r="I20" s="48"/>
      <c r="J20" s="68"/>
      <c r="K20" s="68"/>
      <c r="L20" s="68"/>
    </row>
    <row r="21" spans="2:21" x14ac:dyDescent="0.3">
      <c r="B21" s="50">
        <f t="shared" si="0"/>
        <v>18</v>
      </c>
      <c r="C21" s="50" t="s">
        <v>106</v>
      </c>
      <c r="D21" s="56" t="s">
        <v>107</v>
      </c>
      <c r="E21" s="50">
        <v>31</v>
      </c>
      <c r="F21" s="50">
        <v>11444</v>
      </c>
      <c r="I21" s="69"/>
      <c r="J21" s="69"/>
      <c r="K21" s="70"/>
      <c r="L21" s="70"/>
    </row>
    <row r="22" spans="2:21" x14ac:dyDescent="0.3">
      <c r="B22" s="50">
        <f t="shared" si="0"/>
        <v>19</v>
      </c>
      <c r="C22" s="50" t="s">
        <v>109</v>
      </c>
      <c r="D22" s="56" t="s">
        <v>110</v>
      </c>
      <c r="E22" s="50">
        <v>30</v>
      </c>
      <c r="F22" s="50">
        <v>11074</v>
      </c>
      <c r="I22" s="64"/>
      <c r="J22" s="71"/>
      <c r="K22" s="71"/>
      <c r="L22" s="71"/>
    </row>
    <row r="23" spans="2:21" x14ac:dyDescent="0.3">
      <c r="B23" s="50">
        <f t="shared" si="0"/>
        <v>20</v>
      </c>
      <c r="C23" s="50" t="s">
        <v>111</v>
      </c>
      <c r="D23" s="56" t="s">
        <v>112</v>
      </c>
      <c r="E23" s="50">
        <v>31</v>
      </c>
      <c r="F23" s="50">
        <v>13109</v>
      </c>
      <c r="I23" s="72"/>
      <c r="J23" s="71"/>
      <c r="K23" s="71"/>
      <c r="L23" s="71"/>
    </row>
    <row r="24" spans="2:21" x14ac:dyDescent="0.3">
      <c r="B24" s="50">
        <f t="shared" si="0"/>
        <v>21</v>
      </c>
      <c r="C24" s="50" t="s">
        <v>113</v>
      </c>
      <c r="D24" s="56" t="s">
        <v>114</v>
      </c>
      <c r="E24" s="50">
        <v>31</v>
      </c>
      <c r="F24" s="50">
        <v>9961</v>
      </c>
      <c r="I24" s="72"/>
      <c r="J24" s="71"/>
      <c r="K24" s="71"/>
      <c r="L24" s="71"/>
    </row>
    <row r="25" spans="2:21" x14ac:dyDescent="0.3">
      <c r="B25" s="50">
        <f t="shared" si="0"/>
        <v>22</v>
      </c>
      <c r="C25" s="50" t="s">
        <v>115</v>
      </c>
      <c r="D25" s="56" t="s">
        <v>116</v>
      </c>
      <c r="E25" s="50">
        <v>31</v>
      </c>
      <c r="F25" s="50">
        <v>13966</v>
      </c>
      <c r="I25" s="72"/>
      <c r="J25" s="71"/>
      <c r="K25" s="71"/>
      <c r="L25" s="71"/>
    </row>
    <row r="26" spans="2:21" x14ac:dyDescent="0.3">
      <c r="B26" s="50">
        <f t="shared" si="0"/>
        <v>23</v>
      </c>
      <c r="C26" s="50" t="s">
        <v>117</v>
      </c>
      <c r="D26" s="56" t="s">
        <v>118</v>
      </c>
      <c r="E26" s="50">
        <v>30</v>
      </c>
      <c r="F26" s="50">
        <v>6915</v>
      </c>
      <c r="I26" s="72"/>
      <c r="J26" s="71"/>
      <c r="K26" s="71"/>
      <c r="L26" s="71"/>
    </row>
    <row r="27" spans="2:21" x14ac:dyDescent="0.3">
      <c r="B27" s="50">
        <f t="shared" si="0"/>
        <v>24</v>
      </c>
      <c r="C27" s="50" t="s">
        <v>119</v>
      </c>
      <c r="D27" s="56" t="s">
        <v>120</v>
      </c>
      <c r="E27" s="50">
        <v>31</v>
      </c>
      <c r="F27" s="50">
        <v>15115</v>
      </c>
      <c r="I27" s="72"/>
      <c r="J27" s="71"/>
      <c r="K27" s="71"/>
      <c r="L27" s="71"/>
    </row>
    <row r="28" spans="2:21" x14ac:dyDescent="0.3">
      <c r="B28" s="50">
        <f t="shared" si="0"/>
        <v>25</v>
      </c>
      <c r="C28" s="50" t="s">
        <v>121</v>
      </c>
      <c r="D28" s="56" t="s">
        <v>122</v>
      </c>
      <c r="E28" s="50">
        <v>31</v>
      </c>
      <c r="F28" s="50">
        <v>9732</v>
      </c>
      <c r="I28" s="72"/>
      <c r="J28" s="71"/>
      <c r="K28" s="71"/>
      <c r="L28" s="71"/>
    </row>
    <row r="29" spans="2:21" x14ac:dyDescent="0.3">
      <c r="B29" s="50">
        <f t="shared" si="0"/>
        <v>26</v>
      </c>
      <c r="C29" s="50" t="s">
        <v>123</v>
      </c>
      <c r="D29" s="56" t="s">
        <v>124</v>
      </c>
      <c r="E29" s="50">
        <v>31</v>
      </c>
      <c r="F29" s="50">
        <v>9252</v>
      </c>
      <c r="I29" s="72"/>
      <c r="J29" s="71"/>
      <c r="K29" s="71"/>
      <c r="L29" s="71"/>
    </row>
    <row r="30" spans="2:21" x14ac:dyDescent="0.3">
      <c r="B30" s="50">
        <f t="shared" si="0"/>
        <v>27</v>
      </c>
      <c r="C30" s="50" t="s">
        <v>125</v>
      </c>
      <c r="D30" s="56" t="s">
        <v>126</v>
      </c>
      <c r="E30" s="50">
        <v>31</v>
      </c>
      <c r="F30" s="50">
        <v>15115</v>
      </c>
      <c r="I30" s="72"/>
      <c r="J30" s="71"/>
      <c r="K30" s="71"/>
      <c r="L30" s="71"/>
    </row>
    <row r="31" spans="2:21" x14ac:dyDescent="0.3">
      <c r="B31" s="50">
        <f t="shared" si="0"/>
        <v>28</v>
      </c>
      <c r="C31" s="50" t="s">
        <v>127</v>
      </c>
      <c r="D31" s="56" t="s">
        <v>128</v>
      </c>
      <c r="E31" s="50">
        <v>31</v>
      </c>
      <c r="F31" s="50">
        <v>6656</v>
      </c>
      <c r="I31" s="72"/>
      <c r="J31" s="71"/>
      <c r="K31" s="71"/>
      <c r="L31" s="71"/>
    </row>
    <row r="32" spans="2:21" x14ac:dyDescent="0.3">
      <c r="B32" s="50">
        <f t="shared" si="0"/>
        <v>29</v>
      </c>
      <c r="C32" s="50" t="s">
        <v>129</v>
      </c>
      <c r="D32" s="56" t="s">
        <v>130</v>
      </c>
      <c r="E32" s="50">
        <v>31</v>
      </c>
      <c r="F32" s="50">
        <v>12277</v>
      </c>
      <c r="I32" s="72"/>
      <c r="J32" s="71"/>
      <c r="K32" s="71"/>
      <c r="L32" s="71"/>
    </row>
    <row r="33" spans="2:12" x14ac:dyDescent="0.3">
      <c r="B33" s="50">
        <f t="shared" si="0"/>
        <v>30</v>
      </c>
      <c r="C33" s="50" t="s">
        <v>131</v>
      </c>
      <c r="D33" s="56" t="s">
        <v>132</v>
      </c>
      <c r="E33" s="50">
        <v>31</v>
      </c>
      <c r="F33" s="50">
        <v>10673</v>
      </c>
      <c r="I33" s="72"/>
      <c r="J33" s="71"/>
      <c r="K33" s="71"/>
      <c r="L33" s="71"/>
    </row>
    <row r="34" spans="2:12" x14ac:dyDescent="0.3">
      <c r="B34" s="50">
        <f t="shared" si="0"/>
        <v>31</v>
      </c>
      <c r="C34" s="50" t="s">
        <v>133</v>
      </c>
      <c r="D34" s="56" t="s">
        <v>134</v>
      </c>
      <c r="E34" s="50">
        <v>31</v>
      </c>
      <c r="F34" s="50">
        <v>9961</v>
      </c>
      <c r="I34" s="72"/>
      <c r="J34" s="71"/>
      <c r="K34" s="71"/>
      <c r="L34" s="71"/>
    </row>
    <row r="35" spans="2:12" x14ac:dyDescent="0.3">
      <c r="B35" s="50">
        <f t="shared" si="0"/>
        <v>32</v>
      </c>
      <c r="C35" s="50" t="s">
        <v>135</v>
      </c>
      <c r="D35" s="56" t="s">
        <v>136</v>
      </c>
      <c r="E35" s="50">
        <v>28</v>
      </c>
      <c r="F35" s="50">
        <v>7167</v>
      </c>
    </row>
    <row r="36" spans="2:12" x14ac:dyDescent="0.3">
      <c r="B36" s="50">
        <f t="shared" si="0"/>
        <v>33</v>
      </c>
      <c r="C36" s="50" t="s">
        <v>137</v>
      </c>
      <c r="D36" s="56" t="s">
        <v>138</v>
      </c>
      <c r="E36" s="50">
        <v>31</v>
      </c>
      <c r="F36" s="50">
        <v>9311</v>
      </c>
    </row>
    <row r="37" spans="2:12" x14ac:dyDescent="0.3">
      <c r="B37" s="50">
        <f t="shared" si="0"/>
        <v>34</v>
      </c>
      <c r="C37" s="50" t="s">
        <v>139</v>
      </c>
      <c r="D37" s="56" t="s">
        <v>140</v>
      </c>
      <c r="E37" s="50">
        <v>31</v>
      </c>
      <c r="F37" s="50">
        <v>12531</v>
      </c>
    </row>
    <row r="38" spans="2:12" x14ac:dyDescent="0.3">
      <c r="B38" s="50">
        <f t="shared" si="0"/>
        <v>35</v>
      </c>
      <c r="C38" s="50" t="s">
        <v>141</v>
      </c>
      <c r="D38" s="56" t="s">
        <v>142</v>
      </c>
      <c r="E38" s="50">
        <v>31</v>
      </c>
      <c r="F38" s="50">
        <v>6656</v>
      </c>
    </row>
    <row r="39" spans="2:12" x14ac:dyDescent="0.3">
      <c r="B39" s="50">
        <f t="shared" si="0"/>
        <v>36</v>
      </c>
      <c r="C39" s="50" t="s">
        <v>143</v>
      </c>
      <c r="D39" s="56" t="s">
        <v>144</v>
      </c>
      <c r="E39" s="50">
        <v>31</v>
      </c>
      <c r="F39" s="50">
        <v>9588</v>
      </c>
    </row>
    <row r="40" spans="2:12" x14ac:dyDescent="0.3">
      <c r="B40" s="50">
        <f t="shared" si="0"/>
        <v>37</v>
      </c>
      <c r="C40" s="50" t="s">
        <v>145</v>
      </c>
      <c r="D40" s="56" t="s">
        <v>146</v>
      </c>
      <c r="E40" s="50">
        <v>31</v>
      </c>
      <c r="F40" s="50">
        <v>6897</v>
      </c>
    </row>
    <row r="41" spans="2:12" x14ac:dyDescent="0.3">
      <c r="B41" s="50">
        <f t="shared" si="0"/>
        <v>38</v>
      </c>
      <c r="C41" s="50" t="s">
        <v>147</v>
      </c>
      <c r="D41" s="56" t="s">
        <v>148</v>
      </c>
      <c r="E41" s="50">
        <v>31</v>
      </c>
      <c r="F41" s="50">
        <v>8385</v>
      </c>
    </row>
    <row r="42" spans="2:12" x14ac:dyDescent="0.3">
      <c r="B42" s="50">
        <f t="shared" si="0"/>
        <v>39</v>
      </c>
      <c r="C42" s="50" t="s">
        <v>149</v>
      </c>
      <c r="D42" s="56" t="s">
        <v>150</v>
      </c>
      <c r="E42" s="50">
        <v>30</v>
      </c>
      <c r="F42" s="50">
        <v>8679</v>
      </c>
    </row>
    <row r="43" spans="2:12" x14ac:dyDescent="0.3">
      <c r="B43" s="50">
        <f t="shared" si="0"/>
        <v>40</v>
      </c>
      <c r="C43" s="50" t="s">
        <v>151</v>
      </c>
      <c r="D43" s="56" t="s">
        <v>152</v>
      </c>
      <c r="E43" s="50">
        <v>31</v>
      </c>
      <c r="F43" s="50">
        <v>8385</v>
      </c>
    </row>
    <row r="44" spans="2:12" x14ac:dyDescent="0.3">
      <c r="B44" s="50">
        <f t="shared" si="0"/>
        <v>41</v>
      </c>
      <c r="C44" s="50" t="s">
        <v>153</v>
      </c>
      <c r="D44" s="56" t="s">
        <v>154</v>
      </c>
      <c r="E44" s="50">
        <v>31</v>
      </c>
      <c r="F44" s="50">
        <v>7842</v>
      </c>
    </row>
    <row r="45" spans="2:12" x14ac:dyDescent="0.3">
      <c r="B45" s="50">
        <f t="shared" si="0"/>
        <v>42</v>
      </c>
      <c r="C45" s="50" t="s">
        <v>155</v>
      </c>
      <c r="D45" s="56" t="s">
        <v>156</v>
      </c>
      <c r="E45" s="50">
        <v>31</v>
      </c>
      <c r="F45" s="50">
        <v>6656</v>
      </c>
    </row>
    <row r="46" spans="2:12" x14ac:dyDescent="0.3">
      <c r="B46" s="50">
        <f t="shared" si="0"/>
        <v>43</v>
      </c>
      <c r="C46" s="50" t="s">
        <v>157</v>
      </c>
      <c r="D46" s="56" t="s">
        <v>158</v>
      </c>
      <c r="E46" s="50">
        <v>31</v>
      </c>
      <c r="F46" s="50">
        <v>10400</v>
      </c>
    </row>
    <row r="47" spans="2:12" x14ac:dyDescent="0.3">
      <c r="B47" s="50">
        <f t="shared" si="0"/>
        <v>44</v>
      </c>
      <c r="C47" s="50" t="s">
        <v>159</v>
      </c>
      <c r="D47" s="56" t="s">
        <v>160</v>
      </c>
      <c r="E47" s="50">
        <v>31</v>
      </c>
      <c r="F47" s="50">
        <v>13550</v>
      </c>
    </row>
    <row r="48" spans="2:12" x14ac:dyDescent="0.3">
      <c r="B48" s="50">
        <f t="shared" si="0"/>
        <v>45</v>
      </c>
      <c r="C48" s="50" t="s">
        <v>161</v>
      </c>
      <c r="D48" s="56" t="s">
        <v>162</v>
      </c>
      <c r="E48" s="50">
        <v>31</v>
      </c>
      <c r="F48" s="50">
        <v>10581</v>
      </c>
    </row>
    <row r="49" spans="2:6" x14ac:dyDescent="0.3">
      <c r="B49" s="50">
        <f t="shared" si="0"/>
        <v>46</v>
      </c>
      <c r="C49" s="50" t="s">
        <v>163</v>
      </c>
      <c r="D49" s="56" t="s">
        <v>164</v>
      </c>
      <c r="E49" s="50">
        <v>31</v>
      </c>
      <c r="F49" s="50">
        <v>8000</v>
      </c>
    </row>
    <row r="50" spans="2:6" x14ac:dyDescent="0.3">
      <c r="B50" s="50">
        <f t="shared" si="0"/>
        <v>47</v>
      </c>
      <c r="C50" s="50" t="s">
        <v>165</v>
      </c>
      <c r="D50" s="56" t="s">
        <v>166</v>
      </c>
      <c r="E50" s="50">
        <v>31</v>
      </c>
      <c r="F50" s="50">
        <v>8000</v>
      </c>
    </row>
    <row r="51" spans="2:6" x14ac:dyDescent="0.3">
      <c r="B51" s="50">
        <f t="shared" si="0"/>
        <v>48</v>
      </c>
      <c r="C51" s="50" t="s">
        <v>167</v>
      </c>
      <c r="D51" s="56" t="s">
        <v>168</v>
      </c>
      <c r="E51" s="50">
        <v>31</v>
      </c>
      <c r="F51" s="50">
        <v>7022</v>
      </c>
    </row>
    <row r="52" spans="2:6" x14ac:dyDescent="0.3">
      <c r="B52" s="50">
        <f t="shared" si="0"/>
        <v>49</v>
      </c>
      <c r="C52" s="50" t="s">
        <v>169</v>
      </c>
      <c r="D52" s="56" t="s">
        <v>170</v>
      </c>
      <c r="E52" s="50">
        <v>23</v>
      </c>
      <c r="F52" s="50">
        <v>4939</v>
      </c>
    </row>
    <row r="53" spans="2:6" x14ac:dyDescent="0.3">
      <c r="B53" s="50">
        <f t="shared" si="0"/>
        <v>50</v>
      </c>
      <c r="C53" s="50" t="s">
        <v>171</v>
      </c>
      <c r="D53" s="56" t="s">
        <v>172</v>
      </c>
      <c r="E53" s="50">
        <v>24</v>
      </c>
      <c r="F53" s="50">
        <v>6133</v>
      </c>
    </row>
    <row r="54" spans="2:6" x14ac:dyDescent="0.3">
      <c r="B54" s="50">
        <f t="shared" si="0"/>
        <v>51</v>
      </c>
      <c r="C54" s="50" t="s">
        <v>173</v>
      </c>
      <c r="D54" s="56" t="s">
        <v>174</v>
      </c>
      <c r="E54" s="50">
        <v>0</v>
      </c>
      <c r="F54" s="50">
        <v>0</v>
      </c>
    </row>
    <row r="55" spans="2:6" x14ac:dyDescent="0.3">
      <c r="B55" s="50">
        <f t="shared" si="0"/>
        <v>52</v>
      </c>
      <c r="C55" s="50" t="s">
        <v>175</v>
      </c>
      <c r="D55" s="56" t="s">
        <v>176</v>
      </c>
      <c r="E55" s="50">
        <v>31</v>
      </c>
      <c r="F55" s="50">
        <v>7650</v>
      </c>
    </row>
    <row r="56" spans="2:6" x14ac:dyDescent="0.3">
      <c r="B56" s="50">
        <f t="shared" si="0"/>
        <v>53</v>
      </c>
      <c r="C56" s="50" t="s">
        <v>177</v>
      </c>
      <c r="D56" s="56" t="s">
        <v>178</v>
      </c>
      <c r="E56" s="50">
        <v>16</v>
      </c>
      <c r="F56" s="50">
        <v>6304</v>
      </c>
    </row>
    <row r="57" spans="2:6" x14ac:dyDescent="0.3">
      <c r="B57" s="50">
        <f t="shared" si="0"/>
        <v>54</v>
      </c>
      <c r="C57" s="50" t="s">
        <v>179</v>
      </c>
      <c r="D57" s="56" t="s">
        <v>180</v>
      </c>
      <c r="E57" s="50">
        <v>16</v>
      </c>
      <c r="F57" s="50">
        <v>3436</v>
      </c>
    </row>
    <row r="58" spans="2:6" x14ac:dyDescent="0.3">
      <c r="B58" s="50">
        <f t="shared" si="0"/>
        <v>55</v>
      </c>
      <c r="C58" s="50" t="s">
        <v>181</v>
      </c>
      <c r="D58" s="56" t="s">
        <v>182</v>
      </c>
      <c r="E58" s="50">
        <v>26</v>
      </c>
      <c r="F58" s="50">
        <v>10243</v>
      </c>
    </row>
    <row r="59" spans="2:6" x14ac:dyDescent="0.3">
      <c r="B59" s="50">
        <f t="shared" si="0"/>
        <v>56</v>
      </c>
      <c r="C59" s="50" t="s">
        <v>183</v>
      </c>
      <c r="D59" s="56" t="s">
        <v>184</v>
      </c>
      <c r="E59" s="50">
        <v>24</v>
      </c>
      <c r="F59" s="50">
        <v>5153</v>
      </c>
    </row>
    <row r="60" spans="2:6" x14ac:dyDescent="0.3">
      <c r="B60" s="50">
        <f t="shared" si="0"/>
        <v>57</v>
      </c>
      <c r="C60" s="50" t="s">
        <v>185</v>
      </c>
      <c r="D60" s="56" t="s">
        <v>186</v>
      </c>
      <c r="E60" s="50">
        <v>22</v>
      </c>
      <c r="F60" s="50">
        <v>5742</v>
      </c>
    </row>
    <row r="61" spans="2:6" x14ac:dyDescent="0.3">
      <c r="B61" s="50">
        <f t="shared" si="0"/>
        <v>58</v>
      </c>
      <c r="C61" s="50" t="s">
        <v>187</v>
      </c>
      <c r="D61" s="56" t="s">
        <v>188</v>
      </c>
      <c r="E61" s="50">
        <v>30</v>
      </c>
      <c r="F61" s="50">
        <v>6441</v>
      </c>
    </row>
    <row r="62" spans="2:6" x14ac:dyDescent="0.3">
      <c r="B62" s="50">
        <f t="shared" si="0"/>
        <v>59</v>
      </c>
      <c r="C62" s="50" t="s">
        <v>189</v>
      </c>
      <c r="D62" s="56" t="s">
        <v>190</v>
      </c>
      <c r="E62" s="50">
        <v>0</v>
      </c>
      <c r="F62" s="50">
        <v>0</v>
      </c>
    </row>
    <row r="63" spans="2:6" x14ac:dyDescent="0.3">
      <c r="B63" s="50">
        <f t="shared" si="0"/>
        <v>60</v>
      </c>
      <c r="C63" s="50" t="s">
        <v>191</v>
      </c>
      <c r="D63" s="56" t="s">
        <v>192</v>
      </c>
      <c r="E63" s="50">
        <v>0</v>
      </c>
      <c r="F63" s="50">
        <v>0</v>
      </c>
    </row>
    <row r="64" spans="2:6" x14ac:dyDescent="0.3">
      <c r="B64" s="50">
        <f t="shared" si="0"/>
        <v>61</v>
      </c>
      <c r="C64" s="50" t="s">
        <v>193</v>
      </c>
      <c r="D64" s="56" t="s">
        <v>194</v>
      </c>
      <c r="E64" s="50">
        <v>0</v>
      </c>
      <c r="F64" s="50">
        <v>0</v>
      </c>
    </row>
    <row r="65" spans="2:6" x14ac:dyDescent="0.3">
      <c r="B65" s="50">
        <f t="shared" si="0"/>
        <v>62</v>
      </c>
      <c r="C65" s="50" t="s">
        <v>195</v>
      </c>
      <c r="D65" s="56" t="s">
        <v>196</v>
      </c>
      <c r="E65" s="50">
        <v>0</v>
      </c>
      <c r="F65" s="50">
        <v>0</v>
      </c>
    </row>
    <row r="66" spans="2:6" x14ac:dyDescent="0.3">
      <c r="B66" s="50">
        <f t="shared" si="0"/>
        <v>63</v>
      </c>
      <c r="C66" s="50" t="s">
        <v>197</v>
      </c>
      <c r="D66" s="56" t="s">
        <v>198</v>
      </c>
      <c r="E66" s="50">
        <v>0</v>
      </c>
      <c r="F66" s="50">
        <v>0</v>
      </c>
    </row>
    <row r="67" spans="2:6" x14ac:dyDescent="0.3">
      <c r="B67" s="50">
        <f t="shared" si="0"/>
        <v>64</v>
      </c>
      <c r="C67" s="50" t="s">
        <v>199</v>
      </c>
      <c r="D67" s="56" t="s">
        <v>200</v>
      </c>
      <c r="E67" s="50">
        <v>22</v>
      </c>
      <c r="F67" s="50">
        <v>5465</v>
      </c>
    </row>
    <row r="68" spans="2:6" x14ac:dyDescent="0.3">
      <c r="B68" s="50">
        <f t="shared" si="0"/>
        <v>65</v>
      </c>
      <c r="C68" s="50" t="s">
        <v>201</v>
      </c>
      <c r="D68" s="56" t="s">
        <v>202</v>
      </c>
      <c r="E68" s="50">
        <v>0</v>
      </c>
      <c r="F68" s="50">
        <v>0</v>
      </c>
    </row>
    <row r="69" spans="2:6" x14ac:dyDescent="0.3">
      <c r="B69" s="50">
        <f t="shared" si="0"/>
        <v>66</v>
      </c>
      <c r="C69" s="50" t="s">
        <v>203</v>
      </c>
      <c r="D69" s="56" t="s">
        <v>204</v>
      </c>
      <c r="E69" s="50">
        <v>0</v>
      </c>
      <c r="F69" s="50">
        <v>0</v>
      </c>
    </row>
    <row r="70" spans="2:6" x14ac:dyDescent="0.3">
      <c r="B70" s="50">
        <f t="shared" ref="B70:B133" si="1">+B69+1</f>
        <v>67</v>
      </c>
      <c r="C70" s="50" t="s">
        <v>205</v>
      </c>
      <c r="D70" s="56" t="s">
        <v>206</v>
      </c>
      <c r="E70" s="50">
        <v>23</v>
      </c>
      <c r="F70" s="50">
        <v>4939</v>
      </c>
    </row>
    <row r="71" spans="2:6" x14ac:dyDescent="0.3">
      <c r="B71" s="50">
        <f t="shared" si="1"/>
        <v>68</v>
      </c>
      <c r="C71" s="50" t="s">
        <v>207</v>
      </c>
      <c r="D71" s="56" t="s">
        <v>208</v>
      </c>
      <c r="E71" s="50">
        <v>0</v>
      </c>
      <c r="F71" s="50">
        <v>0</v>
      </c>
    </row>
    <row r="72" spans="2:6" x14ac:dyDescent="0.3">
      <c r="B72" s="50">
        <f t="shared" si="1"/>
        <v>69</v>
      </c>
      <c r="C72" s="50" t="s">
        <v>209</v>
      </c>
      <c r="D72" s="56" t="s">
        <v>210</v>
      </c>
      <c r="E72" s="50">
        <v>0</v>
      </c>
      <c r="F72" s="50">
        <v>0</v>
      </c>
    </row>
    <row r="73" spans="2:6" x14ac:dyDescent="0.3">
      <c r="B73" s="50">
        <f t="shared" si="1"/>
        <v>70</v>
      </c>
      <c r="C73" s="50" t="s">
        <v>211</v>
      </c>
      <c r="D73" s="56" t="s">
        <v>212</v>
      </c>
      <c r="E73" s="50">
        <v>16</v>
      </c>
      <c r="F73" s="50">
        <v>3436</v>
      </c>
    </row>
    <row r="74" spans="2:6" x14ac:dyDescent="0.3">
      <c r="B74" s="50">
        <f t="shared" si="1"/>
        <v>71</v>
      </c>
      <c r="C74" s="50" t="s">
        <v>213</v>
      </c>
      <c r="D74" s="56" t="s">
        <v>214</v>
      </c>
      <c r="E74" s="50">
        <v>31</v>
      </c>
      <c r="F74" s="50">
        <v>6922</v>
      </c>
    </row>
    <row r="75" spans="2:6" x14ac:dyDescent="0.3">
      <c r="B75" s="50">
        <f t="shared" si="1"/>
        <v>72</v>
      </c>
      <c r="C75" s="50" t="s">
        <v>215</v>
      </c>
      <c r="D75" s="56" t="s">
        <v>216</v>
      </c>
      <c r="E75" s="50">
        <v>30</v>
      </c>
      <c r="F75" s="50">
        <v>6441</v>
      </c>
    </row>
    <row r="76" spans="2:6" x14ac:dyDescent="0.3">
      <c r="B76" s="50">
        <f t="shared" si="1"/>
        <v>73</v>
      </c>
      <c r="C76" s="50" t="s">
        <v>199</v>
      </c>
      <c r="D76" s="56" t="s">
        <v>217</v>
      </c>
      <c r="E76" s="50">
        <v>25</v>
      </c>
      <c r="F76" s="50">
        <v>5368</v>
      </c>
    </row>
    <row r="77" spans="2:6" x14ac:dyDescent="0.3">
      <c r="B77" s="50">
        <f t="shared" si="1"/>
        <v>74</v>
      </c>
      <c r="C77" s="50" t="s">
        <v>218</v>
      </c>
      <c r="D77" s="56" t="s">
        <v>219</v>
      </c>
      <c r="E77" s="50">
        <v>23</v>
      </c>
      <c r="F77" s="50">
        <v>4939</v>
      </c>
    </row>
    <row r="78" spans="2:6" x14ac:dyDescent="0.3">
      <c r="B78" s="50">
        <f t="shared" si="1"/>
        <v>75</v>
      </c>
      <c r="C78" s="50" t="s">
        <v>220</v>
      </c>
      <c r="D78" s="56" t="s">
        <v>221</v>
      </c>
      <c r="E78" s="50">
        <v>31</v>
      </c>
      <c r="F78" s="50">
        <v>9893</v>
      </c>
    </row>
    <row r="79" spans="2:6" x14ac:dyDescent="0.3">
      <c r="B79" s="50">
        <f t="shared" si="1"/>
        <v>76</v>
      </c>
      <c r="C79" s="50" t="s">
        <v>222</v>
      </c>
      <c r="D79" s="56" t="s">
        <v>223</v>
      </c>
      <c r="E79" s="50">
        <v>18</v>
      </c>
      <c r="F79" s="50">
        <v>5911</v>
      </c>
    </row>
    <row r="80" spans="2:6" x14ac:dyDescent="0.3">
      <c r="B80" s="50">
        <f t="shared" si="1"/>
        <v>77</v>
      </c>
      <c r="C80" s="50" t="s">
        <v>224</v>
      </c>
      <c r="D80" s="56" t="s">
        <v>225</v>
      </c>
      <c r="E80" s="50">
        <v>31</v>
      </c>
      <c r="F80" s="50">
        <v>6656</v>
      </c>
    </row>
    <row r="81" spans="2:6" x14ac:dyDescent="0.3">
      <c r="B81" s="50">
        <f t="shared" si="1"/>
        <v>78</v>
      </c>
      <c r="C81" s="50" t="s">
        <v>226</v>
      </c>
      <c r="D81" s="56" t="s">
        <v>227</v>
      </c>
      <c r="E81" s="50">
        <v>31</v>
      </c>
      <c r="F81" s="50">
        <v>6656</v>
      </c>
    </row>
    <row r="82" spans="2:6" x14ac:dyDescent="0.3">
      <c r="B82" s="50">
        <f t="shared" si="1"/>
        <v>79</v>
      </c>
      <c r="C82" s="50" t="s">
        <v>228</v>
      </c>
      <c r="D82" s="56" t="s">
        <v>229</v>
      </c>
      <c r="E82" s="50">
        <v>31</v>
      </c>
      <c r="F82" s="50">
        <v>6656</v>
      </c>
    </row>
    <row r="83" spans="2:6" x14ac:dyDescent="0.3">
      <c r="B83" s="50">
        <f t="shared" si="1"/>
        <v>80</v>
      </c>
      <c r="C83" s="50" t="s">
        <v>230</v>
      </c>
      <c r="D83" s="56" t="s">
        <v>231</v>
      </c>
      <c r="E83" s="50">
        <v>31</v>
      </c>
      <c r="F83" s="50">
        <v>6656</v>
      </c>
    </row>
    <row r="84" spans="2:6" x14ac:dyDescent="0.3">
      <c r="B84" s="50">
        <f t="shared" si="1"/>
        <v>81</v>
      </c>
      <c r="C84" s="50" t="s">
        <v>232</v>
      </c>
      <c r="D84" s="56" t="s">
        <v>233</v>
      </c>
      <c r="E84" s="50">
        <v>31</v>
      </c>
      <c r="F84" s="50">
        <v>11500</v>
      </c>
    </row>
    <row r="85" spans="2:6" x14ac:dyDescent="0.3">
      <c r="B85" s="50">
        <f t="shared" si="1"/>
        <v>82</v>
      </c>
      <c r="C85" s="50" t="s">
        <v>234</v>
      </c>
      <c r="D85" s="56" t="s">
        <v>235</v>
      </c>
      <c r="E85" s="50">
        <v>31</v>
      </c>
      <c r="F85" s="50">
        <v>14000</v>
      </c>
    </row>
    <row r="86" spans="2:6" x14ac:dyDescent="0.3">
      <c r="B86" s="50">
        <f t="shared" si="1"/>
        <v>83</v>
      </c>
      <c r="C86" s="50" t="s">
        <v>236</v>
      </c>
      <c r="D86" s="56" t="s">
        <v>237</v>
      </c>
      <c r="E86" s="50">
        <v>29</v>
      </c>
      <c r="F86" s="50">
        <v>7141</v>
      </c>
    </row>
    <row r="87" spans="2:6" x14ac:dyDescent="0.3">
      <c r="B87" s="50">
        <f t="shared" si="1"/>
        <v>84</v>
      </c>
      <c r="C87" s="50" t="s">
        <v>238</v>
      </c>
      <c r="D87" s="56" t="s">
        <v>239</v>
      </c>
      <c r="E87" s="50">
        <v>31</v>
      </c>
      <c r="F87" s="50">
        <v>7634</v>
      </c>
    </row>
    <row r="88" spans="2:6" x14ac:dyDescent="0.3">
      <c r="B88" s="50">
        <f t="shared" si="1"/>
        <v>85</v>
      </c>
      <c r="C88" s="50" t="s">
        <v>240</v>
      </c>
      <c r="D88" s="56" t="s">
        <v>241</v>
      </c>
      <c r="E88" s="50">
        <v>20</v>
      </c>
      <c r="F88" s="50">
        <v>6774</v>
      </c>
    </row>
    <row r="89" spans="2:6" x14ac:dyDescent="0.3">
      <c r="B89" s="50">
        <f t="shared" si="1"/>
        <v>86</v>
      </c>
      <c r="C89" s="50" t="s">
        <v>242</v>
      </c>
      <c r="D89" s="56" t="s">
        <v>243</v>
      </c>
      <c r="E89" s="50">
        <v>31</v>
      </c>
      <c r="F89" s="50">
        <v>9160</v>
      </c>
    </row>
    <row r="90" spans="2:6" x14ac:dyDescent="0.3">
      <c r="B90" s="50">
        <f t="shared" si="1"/>
        <v>87</v>
      </c>
      <c r="C90" s="50" t="s">
        <v>244</v>
      </c>
      <c r="D90" s="56" t="s">
        <v>245</v>
      </c>
      <c r="E90" s="50">
        <v>31</v>
      </c>
      <c r="F90" s="50">
        <v>6656</v>
      </c>
    </row>
    <row r="91" spans="2:6" x14ac:dyDescent="0.3">
      <c r="B91" s="50">
        <f t="shared" si="1"/>
        <v>88</v>
      </c>
      <c r="C91" s="50" t="s">
        <v>246</v>
      </c>
      <c r="D91" s="56" t="s">
        <v>247</v>
      </c>
      <c r="E91" s="50">
        <v>31</v>
      </c>
      <c r="F91" s="50">
        <v>9160</v>
      </c>
    </row>
    <row r="92" spans="2:6" x14ac:dyDescent="0.3">
      <c r="B92" s="50">
        <f t="shared" si="1"/>
        <v>89</v>
      </c>
      <c r="C92" s="50" t="s">
        <v>248</v>
      </c>
      <c r="D92" s="56" t="s">
        <v>249</v>
      </c>
      <c r="E92" s="50">
        <v>31</v>
      </c>
      <c r="F92" s="50">
        <v>6656</v>
      </c>
    </row>
    <row r="93" spans="2:6" x14ac:dyDescent="0.3">
      <c r="B93" s="50">
        <f t="shared" si="1"/>
        <v>90</v>
      </c>
      <c r="C93" s="50" t="s">
        <v>250</v>
      </c>
      <c r="D93" s="56" t="s">
        <v>251</v>
      </c>
      <c r="E93" s="50">
        <v>31</v>
      </c>
      <c r="F93" s="50">
        <v>12825</v>
      </c>
    </row>
    <row r="94" spans="2:6" x14ac:dyDescent="0.3">
      <c r="B94" s="50">
        <f t="shared" si="1"/>
        <v>91</v>
      </c>
      <c r="C94" s="50" t="s">
        <v>252</v>
      </c>
      <c r="D94" s="56" t="s">
        <v>253</v>
      </c>
      <c r="E94" s="50">
        <v>31</v>
      </c>
      <c r="F94" s="50">
        <v>11200</v>
      </c>
    </row>
    <row r="95" spans="2:6" x14ac:dyDescent="0.3">
      <c r="B95" s="50">
        <f t="shared" si="1"/>
        <v>92</v>
      </c>
      <c r="C95" s="50" t="s">
        <v>254</v>
      </c>
      <c r="D95" s="56" t="s">
        <v>255</v>
      </c>
      <c r="E95" s="50">
        <v>31</v>
      </c>
      <c r="F95" s="50">
        <v>6656</v>
      </c>
    </row>
    <row r="96" spans="2:6" x14ac:dyDescent="0.3">
      <c r="B96" s="50">
        <f t="shared" si="1"/>
        <v>93</v>
      </c>
      <c r="C96" s="50" t="s">
        <v>256</v>
      </c>
      <c r="D96" s="56" t="s">
        <v>257</v>
      </c>
      <c r="E96" s="50">
        <v>31</v>
      </c>
      <c r="F96" s="50">
        <v>6656</v>
      </c>
    </row>
    <row r="97" spans="2:6" x14ac:dyDescent="0.3">
      <c r="B97" s="50">
        <f t="shared" si="1"/>
        <v>94</v>
      </c>
      <c r="C97" s="50" t="s">
        <v>258</v>
      </c>
      <c r="D97" s="56" t="s">
        <v>259</v>
      </c>
      <c r="E97" s="50">
        <v>31</v>
      </c>
      <c r="F97" s="50">
        <v>10700</v>
      </c>
    </row>
    <row r="98" spans="2:6" x14ac:dyDescent="0.3">
      <c r="B98" s="50">
        <f t="shared" si="1"/>
        <v>95</v>
      </c>
      <c r="C98" s="50" t="s">
        <v>260</v>
      </c>
      <c r="D98" s="56" t="s">
        <v>261</v>
      </c>
      <c r="E98" s="50">
        <v>31</v>
      </c>
      <c r="F98" s="50">
        <v>6656</v>
      </c>
    </row>
    <row r="99" spans="2:6" x14ac:dyDescent="0.3">
      <c r="B99" s="50">
        <f t="shared" si="1"/>
        <v>96</v>
      </c>
      <c r="C99" s="50" t="s">
        <v>262</v>
      </c>
      <c r="D99" s="56" t="s">
        <v>263</v>
      </c>
      <c r="E99" s="50">
        <v>31</v>
      </c>
      <c r="F99" s="50">
        <v>10200</v>
      </c>
    </row>
    <row r="100" spans="2:6" x14ac:dyDescent="0.3">
      <c r="B100" s="50">
        <f t="shared" si="1"/>
        <v>97</v>
      </c>
      <c r="C100" s="50" t="s">
        <v>264</v>
      </c>
      <c r="D100" s="56" t="s">
        <v>265</v>
      </c>
      <c r="E100" s="50">
        <v>31</v>
      </c>
      <c r="F100" s="50">
        <v>12090</v>
      </c>
    </row>
    <row r="101" spans="2:6" x14ac:dyDescent="0.3">
      <c r="B101" s="50">
        <f t="shared" si="1"/>
        <v>98</v>
      </c>
      <c r="C101" s="50" t="s">
        <v>266</v>
      </c>
      <c r="D101" s="56" t="s">
        <v>267</v>
      </c>
      <c r="E101" s="50">
        <v>31</v>
      </c>
      <c r="F101" s="50">
        <v>6656</v>
      </c>
    </row>
    <row r="102" spans="2:6" x14ac:dyDescent="0.3">
      <c r="B102" s="50">
        <f t="shared" si="1"/>
        <v>99</v>
      </c>
      <c r="C102" s="50" t="s">
        <v>268</v>
      </c>
      <c r="D102" s="56" t="s">
        <v>269</v>
      </c>
      <c r="E102" s="50">
        <v>31</v>
      </c>
      <c r="F102" s="50">
        <v>8660</v>
      </c>
    </row>
    <row r="103" spans="2:6" x14ac:dyDescent="0.3">
      <c r="B103" s="50">
        <f t="shared" si="1"/>
        <v>100</v>
      </c>
      <c r="C103" s="50" t="s">
        <v>270</v>
      </c>
      <c r="D103" s="56" t="s">
        <v>271</v>
      </c>
      <c r="E103" s="50">
        <v>31</v>
      </c>
      <c r="F103" s="50">
        <v>8660</v>
      </c>
    </row>
    <row r="104" spans="2:6" x14ac:dyDescent="0.3">
      <c r="B104" s="50">
        <f t="shared" si="1"/>
        <v>101</v>
      </c>
      <c r="C104" s="50" t="s">
        <v>272</v>
      </c>
      <c r="D104" s="56" t="s">
        <v>273</v>
      </c>
      <c r="E104" s="50">
        <v>31</v>
      </c>
      <c r="F104" s="50">
        <v>8660</v>
      </c>
    </row>
    <row r="105" spans="2:6" x14ac:dyDescent="0.3">
      <c r="B105" s="50">
        <f t="shared" si="1"/>
        <v>102</v>
      </c>
      <c r="C105" s="50" t="s">
        <v>274</v>
      </c>
      <c r="D105" s="56" t="s">
        <v>275</v>
      </c>
      <c r="E105" s="50">
        <v>31</v>
      </c>
      <c r="F105" s="50">
        <v>7640</v>
      </c>
    </row>
    <row r="106" spans="2:6" x14ac:dyDescent="0.3">
      <c r="B106" s="50">
        <f t="shared" si="1"/>
        <v>103</v>
      </c>
      <c r="C106" s="50" t="s">
        <v>276</v>
      </c>
      <c r="D106" s="56" t="s">
        <v>277</v>
      </c>
      <c r="E106" s="50">
        <v>31</v>
      </c>
      <c r="F106" s="50">
        <v>10200</v>
      </c>
    </row>
    <row r="107" spans="2:6" x14ac:dyDescent="0.3">
      <c r="B107" s="50">
        <f t="shared" si="1"/>
        <v>104</v>
      </c>
      <c r="C107" s="50" t="s">
        <v>278</v>
      </c>
      <c r="D107" s="56" t="s">
        <v>279</v>
      </c>
      <c r="E107" s="50">
        <v>31</v>
      </c>
      <c r="F107" s="50">
        <v>7635</v>
      </c>
    </row>
    <row r="108" spans="2:6" x14ac:dyDescent="0.3">
      <c r="B108" s="50">
        <f t="shared" si="1"/>
        <v>105</v>
      </c>
      <c r="C108" s="50" t="s">
        <v>280</v>
      </c>
      <c r="D108" s="56" t="s">
        <v>281</v>
      </c>
      <c r="E108" s="50">
        <v>31</v>
      </c>
      <c r="F108" s="50">
        <v>7222</v>
      </c>
    </row>
    <row r="109" spans="2:6" x14ac:dyDescent="0.3">
      <c r="B109" s="50">
        <f t="shared" si="1"/>
        <v>106</v>
      </c>
      <c r="C109" s="50" t="s">
        <v>282</v>
      </c>
      <c r="D109" s="56" t="s">
        <v>283</v>
      </c>
      <c r="E109" s="50">
        <v>31</v>
      </c>
      <c r="F109" s="50">
        <v>7122</v>
      </c>
    </row>
    <row r="110" spans="2:6" x14ac:dyDescent="0.3">
      <c r="B110" s="50">
        <f t="shared" si="1"/>
        <v>107</v>
      </c>
      <c r="C110" s="50" t="s">
        <v>284</v>
      </c>
      <c r="D110" s="56" t="s">
        <v>285</v>
      </c>
      <c r="E110" s="50">
        <v>16</v>
      </c>
      <c r="F110" s="50">
        <v>4728</v>
      </c>
    </row>
    <row r="111" spans="2:6" x14ac:dyDescent="0.3">
      <c r="B111" s="50">
        <f t="shared" si="1"/>
        <v>108</v>
      </c>
      <c r="C111" s="50" t="s">
        <v>286</v>
      </c>
      <c r="D111" s="56" t="s">
        <v>287</v>
      </c>
      <c r="E111" s="50">
        <v>31</v>
      </c>
      <c r="F111" s="50">
        <v>7122</v>
      </c>
    </row>
    <row r="112" spans="2:6" x14ac:dyDescent="0.3">
      <c r="B112" s="50">
        <f t="shared" si="1"/>
        <v>109</v>
      </c>
      <c r="C112" s="50" t="s">
        <v>288</v>
      </c>
      <c r="D112" s="56" t="s">
        <v>289</v>
      </c>
      <c r="E112" s="50">
        <v>30</v>
      </c>
      <c r="F112" s="50">
        <v>10356</v>
      </c>
    </row>
    <row r="113" spans="2:6" x14ac:dyDescent="0.3">
      <c r="B113" s="50">
        <f t="shared" si="1"/>
        <v>110</v>
      </c>
      <c r="C113" s="50" t="s">
        <v>290</v>
      </c>
      <c r="D113" s="56" t="s">
        <v>291</v>
      </c>
      <c r="E113" s="50">
        <v>30</v>
      </c>
      <c r="F113" s="50">
        <v>6441</v>
      </c>
    </row>
    <row r="114" spans="2:6" x14ac:dyDescent="0.3">
      <c r="B114" s="50">
        <f t="shared" si="1"/>
        <v>111</v>
      </c>
      <c r="C114" s="50" t="s">
        <v>292</v>
      </c>
      <c r="D114" s="56" t="s">
        <v>293</v>
      </c>
      <c r="E114" s="50">
        <v>0</v>
      </c>
      <c r="F114" s="50">
        <v>0</v>
      </c>
    </row>
    <row r="115" spans="2:6" x14ac:dyDescent="0.3">
      <c r="B115" s="50">
        <f t="shared" si="1"/>
        <v>112</v>
      </c>
      <c r="C115" s="50" t="s">
        <v>294</v>
      </c>
      <c r="D115" s="56" t="s">
        <v>295</v>
      </c>
      <c r="E115" s="50">
        <v>0</v>
      </c>
      <c r="F115" s="50">
        <v>0</v>
      </c>
    </row>
    <row r="116" spans="2:6" x14ac:dyDescent="0.3">
      <c r="B116" s="50">
        <f t="shared" si="1"/>
        <v>113</v>
      </c>
      <c r="C116" s="50" t="s">
        <v>296</v>
      </c>
      <c r="D116" s="56" t="s">
        <v>297</v>
      </c>
      <c r="E116" s="50">
        <v>30</v>
      </c>
      <c r="F116" s="50">
        <v>7887</v>
      </c>
    </row>
    <row r="117" spans="2:6" x14ac:dyDescent="0.3">
      <c r="B117" s="50">
        <f t="shared" si="1"/>
        <v>114</v>
      </c>
      <c r="C117" s="50" t="s">
        <v>298</v>
      </c>
      <c r="D117" s="56" t="s">
        <v>299</v>
      </c>
      <c r="E117" s="50">
        <v>23</v>
      </c>
      <c r="F117" s="50">
        <v>4939</v>
      </c>
    </row>
    <row r="118" spans="2:6" x14ac:dyDescent="0.3">
      <c r="B118" s="50">
        <f t="shared" si="1"/>
        <v>115</v>
      </c>
      <c r="C118" s="50" t="s">
        <v>300</v>
      </c>
      <c r="D118" s="56" t="s">
        <v>301</v>
      </c>
      <c r="E118" s="50">
        <v>31</v>
      </c>
      <c r="F118" s="50">
        <v>9001</v>
      </c>
    </row>
    <row r="119" spans="2:6" x14ac:dyDescent="0.3">
      <c r="B119" s="50">
        <f t="shared" si="1"/>
        <v>116</v>
      </c>
      <c r="C119" s="50" t="s">
        <v>302</v>
      </c>
      <c r="D119" s="56" t="s">
        <v>303</v>
      </c>
      <c r="E119" s="50">
        <v>30</v>
      </c>
      <c r="F119" s="50">
        <v>13791</v>
      </c>
    </row>
    <row r="120" spans="2:6" x14ac:dyDescent="0.3">
      <c r="B120" s="50">
        <f t="shared" si="1"/>
        <v>117</v>
      </c>
      <c r="C120" s="50" t="s">
        <v>304</v>
      </c>
      <c r="D120" s="56" t="s">
        <v>305</v>
      </c>
      <c r="E120" s="50">
        <v>31</v>
      </c>
      <c r="F120" s="50">
        <v>10000</v>
      </c>
    </row>
    <row r="121" spans="2:6" x14ac:dyDescent="0.3">
      <c r="B121" s="50">
        <f t="shared" si="1"/>
        <v>118</v>
      </c>
      <c r="C121" s="50" t="s">
        <v>306</v>
      </c>
      <c r="D121" s="56" t="s">
        <v>307</v>
      </c>
      <c r="E121" s="50">
        <v>26</v>
      </c>
      <c r="F121" s="50">
        <v>7548</v>
      </c>
    </row>
    <row r="122" spans="2:6" x14ac:dyDescent="0.3">
      <c r="B122" s="50">
        <f t="shared" si="1"/>
        <v>119</v>
      </c>
      <c r="C122" s="50" t="s">
        <v>308</v>
      </c>
      <c r="D122" s="56" t="s">
        <v>309</v>
      </c>
      <c r="E122" s="50">
        <v>26</v>
      </c>
      <c r="F122" s="50">
        <v>9645</v>
      </c>
    </row>
    <row r="123" spans="2:6" x14ac:dyDescent="0.3">
      <c r="B123" s="50">
        <f t="shared" si="1"/>
        <v>120</v>
      </c>
      <c r="C123" s="50" t="s">
        <v>310</v>
      </c>
      <c r="D123" s="56" t="s">
        <v>311</v>
      </c>
      <c r="E123" s="50">
        <v>31</v>
      </c>
      <c r="F123" s="50">
        <v>12500</v>
      </c>
    </row>
    <row r="124" spans="2:6" x14ac:dyDescent="0.3">
      <c r="B124" s="50">
        <f t="shared" si="1"/>
        <v>121</v>
      </c>
      <c r="C124" s="50" t="s">
        <v>312</v>
      </c>
      <c r="D124" s="56" t="s">
        <v>313</v>
      </c>
      <c r="E124" s="50">
        <v>26</v>
      </c>
      <c r="F124" s="50">
        <v>6416</v>
      </c>
    </row>
    <row r="125" spans="2:6" x14ac:dyDescent="0.3">
      <c r="B125" s="50">
        <f t="shared" si="1"/>
        <v>122</v>
      </c>
      <c r="C125" s="50" t="s">
        <v>314</v>
      </c>
      <c r="D125" s="56" t="s">
        <v>315</v>
      </c>
      <c r="E125" s="50">
        <v>31</v>
      </c>
      <c r="F125" s="50">
        <v>9200</v>
      </c>
    </row>
    <row r="126" spans="2:6" x14ac:dyDescent="0.3">
      <c r="B126" s="50">
        <f t="shared" si="1"/>
        <v>123</v>
      </c>
      <c r="C126" s="50" t="s">
        <v>316</v>
      </c>
      <c r="D126" s="56" t="s">
        <v>317</v>
      </c>
      <c r="E126" s="50">
        <v>31</v>
      </c>
      <c r="F126" s="50">
        <v>7222</v>
      </c>
    </row>
    <row r="127" spans="2:6" x14ac:dyDescent="0.3">
      <c r="B127" s="50">
        <f t="shared" si="1"/>
        <v>124</v>
      </c>
      <c r="C127" s="50" t="s">
        <v>318</v>
      </c>
      <c r="D127" s="56" t="s">
        <v>319</v>
      </c>
      <c r="E127" s="50">
        <v>31</v>
      </c>
      <c r="F127" s="50">
        <v>9161</v>
      </c>
    </row>
    <row r="128" spans="2:6" x14ac:dyDescent="0.3">
      <c r="B128" s="50">
        <f t="shared" si="1"/>
        <v>125</v>
      </c>
      <c r="C128" s="50" t="s">
        <v>320</v>
      </c>
      <c r="D128" s="56" t="s">
        <v>321</v>
      </c>
      <c r="E128" s="50">
        <v>30</v>
      </c>
      <c r="F128" s="50">
        <v>6441</v>
      </c>
    </row>
    <row r="129" spans="2:6" x14ac:dyDescent="0.3">
      <c r="B129" s="50">
        <f t="shared" si="1"/>
        <v>126</v>
      </c>
      <c r="C129" s="50" t="s">
        <v>322</v>
      </c>
      <c r="D129" s="56" t="s">
        <v>323</v>
      </c>
      <c r="E129" s="50">
        <v>23</v>
      </c>
      <c r="F129" s="50">
        <v>4939</v>
      </c>
    </row>
    <row r="130" spans="2:6" x14ac:dyDescent="0.3">
      <c r="B130" s="50">
        <f t="shared" si="1"/>
        <v>127</v>
      </c>
      <c r="C130" s="50" t="s">
        <v>324</v>
      </c>
      <c r="D130" s="56" t="s">
        <v>325</v>
      </c>
      <c r="E130" s="50">
        <v>31</v>
      </c>
      <c r="F130" s="50">
        <v>6922</v>
      </c>
    </row>
    <row r="131" spans="2:6" x14ac:dyDescent="0.3">
      <c r="B131" s="50">
        <f t="shared" si="1"/>
        <v>128</v>
      </c>
      <c r="C131" s="50" t="s">
        <v>326</v>
      </c>
      <c r="D131" s="56" t="s">
        <v>327</v>
      </c>
      <c r="E131" s="50">
        <v>25</v>
      </c>
      <c r="F131" s="50">
        <v>5368</v>
      </c>
    </row>
    <row r="132" spans="2:6" x14ac:dyDescent="0.3">
      <c r="B132" s="50">
        <f t="shared" si="1"/>
        <v>129</v>
      </c>
      <c r="C132" s="50" t="s">
        <v>328</v>
      </c>
      <c r="D132" s="56" t="s">
        <v>329</v>
      </c>
      <c r="E132" s="50">
        <v>25</v>
      </c>
      <c r="F132" s="50">
        <v>5368</v>
      </c>
    </row>
    <row r="133" spans="2:6" x14ac:dyDescent="0.3">
      <c r="B133" s="50">
        <f t="shared" si="1"/>
        <v>130</v>
      </c>
      <c r="C133" s="50" t="s">
        <v>330</v>
      </c>
      <c r="D133" s="56" t="s">
        <v>331</v>
      </c>
      <c r="E133" s="50">
        <v>31</v>
      </c>
      <c r="F133" s="50">
        <v>7122</v>
      </c>
    </row>
    <row r="134" spans="2:6" x14ac:dyDescent="0.3">
      <c r="B134" s="50">
        <f t="shared" ref="B134:B197" si="2">+B133+1</f>
        <v>131</v>
      </c>
      <c r="C134" s="50" t="s">
        <v>332</v>
      </c>
      <c r="D134" s="56" t="s">
        <v>333</v>
      </c>
      <c r="E134" s="50">
        <v>30</v>
      </c>
      <c r="F134" s="50">
        <v>6441</v>
      </c>
    </row>
    <row r="135" spans="2:6" x14ac:dyDescent="0.3">
      <c r="B135" s="50">
        <f t="shared" si="2"/>
        <v>132</v>
      </c>
      <c r="C135" s="50" t="s">
        <v>334</v>
      </c>
      <c r="D135" s="56" t="s">
        <v>335</v>
      </c>
      <c r="E135" s="50">
        <v>31</v>
      </c>
      <c r="F135" s="50">
        <v>7174</v>
      </c>
    </row>
    <row r="136" spans="2:6" x14ac:dyDescent="0.3">
      <c r="B136" s="50">
        <f t="shared" si="2"/>
        <v>133</v>
      </c>
      <c r="C136" s="50" t="s">
        <v>336</v>
      </c>
      <c r="D136" s="56" t="s">
        <v>337</v>
      </c>
      <c r="E136" s="50">
        <v>31</v>
      </c>
      <c r="F136" s="50">
        <v>8280</v>
      </c>
    </row>
    <row r="137" spans="2:6" x14ac:dyDescent="0.3">
      <c r="B137" s="50">
        <f t="shared" si="2"/>
        <v>134</v>
      </c>
      <c r="C137" s="50" t="s">
        <v>338</v>
      </c>
      <c r="D137" s="56" t="s">
        <v>339</v>
      </c>
      <c r="E137" s="50">
        <v>29</v>
      </c>
      <c r="F137" s="50">
        <v>8096</v>
      </c>
    </row>
    <row r="138" spans="2:6" x14ac:dyDescent="0.3">
      <c r="B138" s="50">
        <f t="shared" si="2"/>
        <v>135</v>
      </c>
      <c r="C138" s="50" t="s">
        <v>340</v>
      </c>
      <c r="D138" s="56" t="s">
        <v>341</v>
      </c>
      <c r="E138" s="50">
        <v>31</v>
      </c>
      <c r="F138" s="50">
        <v>14250</v>
      </c>
    </row>
    <row r="139" spans="2:6" x14ac:dyDescent="0.3">
      <c r="B139" s="50">
        <f t="shared" si="2"/>
        <v>136</v>
      </c>
      <c r="C139" s="50" t="s">
        <v>342</v>
      </c>
      <c r="D139" s="56" t="s">
        <v>343</v>
      </c>
      <c r="E139" s="50">
        <v>31</v>
      </c>
      <c r="F139" s="50">
        <v>8150</v>
      </c>
    </row>
    <row r="140" spans="2:6" x14ac:dyDescent="0.3">
      <c r="B140" s="50">
        <f t="shared" si="2"/>
        <v>137</v>
      </c>
      <c r="C140" s="50" t="s">
        <v>344</v>
      </c>
      <c r="D140" s="56" t="s">
        <v>345</v>
      </c>
      <c r="E140" s="50">
        <v>30</v>
      </c>
      <c r="F140" s="50">
        <v>6441</v>
      </c>
    </row>
    <row r="141" spans="2:6" x14ac:dyDescent="0.3">
      <c r="B141" s="50">
        <f t="shared" si="2"/>
        <v>138</v>
      </c>
      <c r="C141" s="50" t="s">
        <v>346</v>
      </c>
      <c r="D141" s="56" t="s">
        <v>347</v>
      </c>
      <c r="E141" s="50">
        <v>19</v>
      </c>
      <c r="F141" s="50">
        <v>4183</v>
      </c>
    </row>
    <row r="142" spans="2:6" x14ac:dyDescent="0.3">
      <c r="B142" s="50">
        <f t="shared" si="2"/>
        <v>139</v>
      </c>
      <c r="C142" s="50" t="s">
        <v>348</v>
      </c>
      <c r="D142" s="56" t="s">
        <v>349</v>
      </c>
      <c r="E142" s="50">
        <v>31</v>
      </c>
      <c r="F142" s="50">
        <v>10178</v>
      </c>
    </row>
    <row r="143" spans="2:6" x14ac:dyDescent="0.3">
      <c r="B143" s="50">
        <f t="shared" si="2"/>
        <v>140</v>
      </c>
      <c r="C143" s="50" t="s">
        <v>350</v>
      </c>
      <c r="D143" s="56" t="s">
        <v>351</v>
      </c>
      <c r="E143" s="50">
        <v>31</v>
      </c>
      <c r="F143" s="50">
        <v>8144</v>
      </c>
    </row>
    <row r="144" spans="2:6" x14ac:dyDescent="0.3">
      <c r="B144" s="50">
        <f t="shared" si="2"/>
        <v>141</v>
      </c>
      <c r="C144" s="50" t="s">
        <v>352</v>
      </c>
      <c r="D144" s="56" t="s">
        <v>353</v>
      </c>
      <c r="E144" s="50">
        <v>28</v>
      </c>
      <c r="F144" s="50">
        <v>8273</v>
      </c>
    </row>
    <row r="145" spans="2:6" x14ac:dyDescent="0.3">
      <c r="B145" s="50">
        <f t="shared" si="2"/>
        <v>142</v>
      </c>
      <c r="C145" s="50" t="s">
        <v>354</v>
      </c>
      <c r="D145" s="56" t="s">
        <v>355</v>
      </c>
      <c r="E145" s="50">
        <v>31</v>
      </c>
      <c r="F145" s="50">
        <v>10178</v>
      </c>
    </row>
    <row r="146" spans="2:6" x14ac:dyDescent="0.3">
      <c r="B146" s="50">
        <f t="shared" si="2"/>
        <v>143</v>
      </c>
      <c r="C146" s="50" t="s">
        <v>356</v>
      </c>
      <c r="D146" s="56" t="s">
        <v>357</v>
      </c>
      <c r="E146" s="50">
        <v>31</v>
      </c>
      <c r="F146" s="50">
        <v>9160</v>
      </c>
    </row>
    <row r="147" spans="2:6" x14ac:dyDescent="0.3">
      <c r="B147" s="50">
        <f t="shared" si="2"/>
        <v>144</v>
      </c>
      <c r="C147" s="50" t="s">
        <v>358</v>
      </c>
      <c r="D147" s="56" t="s">
        <v>359</v>
      </c>
      <c r="E147" s="50">
        <v>25</v>
      </c>
      <c r="F147" s="50">
        <v>5368</v>
      </c>
    </row>
    <row r="148" spans="2:6" x14ac:dyDescent="0.3">
      <c r="B148" s="50">
        <f t="shared" si="2"/>
        <v>145</v>
      </c>
      <c r="C148" s="50" t="s">
        <v>360</v>
      </c>
      <c r="D148" s="56" t="s">
        <v>361</v>
      </c>
      <c r="E148" s="50">
        <v>31</v>
      </c>
      <c r="F148" s="50">
        <v>8450</v>
      </c>
    </row>
    <row r="149" spans="2:6" x14ac:dyDescent="0.3">
      <c r="B149" s="50">
        <f t="shared" si="2"/>
        <v>146</v>
      </c>
      <c r="C149" s="50" t="s">
        <v>362</v>
      </c>
      <c r="D149" s="56" t="s">
        <v>363</v>
      </c>
      <c r="E149" s="50">
        <v>29</v>
      </c>
      <c r="F149" s="50">
        <v>9522</v>
      </c>
    </row>
    <row r="150" spans="2:6" x14ac:dyDescent="0.3">
      <c r="B150" s="50">
        <f t="shared" si="2"/>
        <v>147</v>
      </c>
      <c r="C150" s="50" t="s">
        <v>364</v>
      </c>
      <c r="D150" s="56" t="s">
        <v>365</v>
      </c>
      <c r="E150" s="50">
        <v>11</v>
      </c>
      <c r="F150" s="50">
        <v>2362</v>
      </c>
    </row>
    <row r="151" spans="2:6" x14ac:dyDescent="0.3">
      <c r="B151" s="50">
        <f t="shared" si="2"/>
        <v>148</v>
      </c>
      <c r="C151" s="50" t="s">
        <v>366</v>
      </c>
      <c r="D151" s="56" t="s">
        <v>367</v>
      </c>
      <c r="E151" s="50">
        <v>30</v>
      </c>
      <c r="F151" s="50">
        <v>10345</v>
      </c>
    </row>
    <row r="152" spans="2:6" x14ac:dyDescent="0.3">
      <c r="B152" s="50">
        <f t="shared" si="2"/>
        <v>149</v>
      </c>
      <c r="C152" s="50" t="s">
        <v>368</v>
      </c>
      <c r="D152" s="56" t="s">
        <v>369</v>
      </c>
      <c r="E152" s="50">
        <v>31</v>
      </c>
      <c r="F152" s="50">
        <v>7200</v>
      </c>
    </row>
    <row r="153" spans="2:6" x14ac:dyDescent="0.3">
      <c r="B153" s="50">
        <f t="shared" si="2"/>
        <v>150</v>
      </c>
      <c r="C153" s="50" t="s">
        <v>370</v>
      </c>
      <c r="D153" s="56" t="s">
        <v>371</v>
      </c>
      <c r="E153" s="50">
        <v>31</v>
      </c>
      <c r="F153" s="50">
        <v>12220</v>
      </c>
    </row>
    <row r="154" spans="2:6" x14ac:dyDescent="0.3">
      <c r="B154" s="50">
        <f t="shared" si="2"/>
        <v>151</v>
      </c>
      <c r="C154" s="50" t="s">
        <v>372</v>
      </c>
      <c r="D154" s="56" t="s">
        <v>373</v>
      </c>
      <c r="E154" s="50">
        <v>31</v>
      </c>
      <c r="F154" s="50">
        <v>7000</v>
      </c>
    </row>
    <row r="155" spans="2:6" x14ac:dyDescent="0.3">
      <c r="B155" s="50">
        <f t="shared" si="2"/>
        <v>152</v>
      </c>
      <c r="C155" s="50" t="s">
        <v>374</v>
      </c>
      <c r="D155" s="56" t="s">
        <v>375</v>
      </c>
      <c r="E155" s="50">
        <v>31</v>
      </c>
      <c r="F155" s="50">
        <v>9000</v>
      </c>
    </row>
    <row r="156" spans="2:6" x14ac:dyDescent="0.3">
      <c r="B156" s="50">
        <f t="shared" si="2"/>
        <v>153</v>
      </c>
      <c r="C156" s="50" t="s">
        <v>376</v>
      </c>
      <c r="D156" s="56" t="s">
        <v>377</v>
      </c>
      <c r="E156" s="50">
        <v>31</v>
      </c>
      <c r="F156" s="50">
        <v>9500</v>
      </c>
    </row>
    <row r="157" spans="2:6" x14ac:dyDescent="0.3">
      <c r="B157" s="50">
        <f t="shared" si="2"/>
        <v>154</v>
      </c>
      <c r="C157" s="50" t="s">
        <v>378</v>
      </c>
      <c r="D157" s="56" t="s">
        <v>379</v>
      </c>
      <c r="E157" s="50">
        <v>26</v>
      </c>
      <c r="F157" s="50">
        <v>5582</v>
      </c>
    </row>
    <row r="158" spans="2:6" x14ac:dyDescent="0.3">
      <c r="B158" s="50">
        <f t="shared" si="2"/>
        <v>155</v>
      </c>
      <c r="C158" s="50" t="s">
        <v>380</v>
      </c>
      <c r="D158" s="56" t="s">
        <v>381</v>
      </c>
      <c r="E158" s="50">
        <v>31</v>
      </c>
      <c r="F158" s="50">
        <v>8651</v>
      </c>
    </row>
    <row r="159" spans="2:6" x14ac:dyDescent="0.3">
      <c r="B159" s="50">
        <f t="shared" si="2"/>
        <v>156</v>
      </c>
      <c r="C159" s="50" t="s">
        <v>382</v>
      </c>
      <c r="D159" s="56" t="s">
        <v>383</v>
      </c>
      <c r="E159" s="50">
        <v>29</v>
      </c>
      <c r="F159" s="50">
        <v>10000</v>
      </c>
    </row>
    <row r="160" spans="2:6" x14ac:dyDescent="0.3">
      <c r="B160" s="50">
        <f t="shared" si="2"/>
        <v>157</v>
      </c>
      <c r="C160" s="50" t="s">
        <v>384</v>
      </c>
      <c r="D160" s="56" t="s">
        <v>385</v>
      </c>
      <c r="E160" s="50">
        <v>12</v>
      </c>
      <c r="F160" s="50">
        <v>2577</v>
      </c>
    </row>
    <row r="161" spans="2:6" x14ac:dyDescent="0.3">
      <c r="B161" s="50">
        <f t="shared" si="2"/>
        <v>158</v>
      </c>
      <c r="C161" s="50" t="s">
        <v>386</v>
      </c>
      <c r="D161" s="56" t="s">
        <v>387</v>
      </c>
      <c r="E161" s="50">
        <v>18</v>
      </c>
      <c r="F161" s="50">
        <v>3865</v>
      </c>
    </row>
    <row r="162" spans="2:6" x14ac:dyDescent="0.3">
      <c r="B162" s="50">
        <f t="shared" si="2"/>
        <v>159</v>
      </c>
      <c r="C162" s="50" t="s">
        <v>388</v>
      </c>
      <c r="D162" s="56" t="s">
        <v>389</v>
      </c>
      <c r="E162" s="50">
        <v>27</v>
      </c>
      <c r="F162" s="50">
        <v>5797</v>
      </c>
    </row>
    <row r="163" spans="2:6" x14ac:dyDescent="0.3">
      <c r="B163" s="50">
        <f t="shared" si="2"/>
        <v>160</v>
      </c>
      <c r="C163" s="50" t="s">
        <v>390</v>
      </c>
      <c r="D163" s="56" t="s">
        <v>391</v>
      </c>
      <c r="E163" s="50">
        <v>31</v>
      </c>
      <c r="F163" s="50">
        <v>10690</v>
      </c>
    </row>
    <row r="164" spans="2:6" x14ac:dyDescent="0.3">
      <c r="B164" s="50">
        <f t="shared" si="2"/>
        <v>161</v>
      </c>
      <c r="C164" s="50" t="s">
        <v>392</v>
      </c>
      <c r="D164" s="56" t="s">
        <v>393</v>
      </c>
      <c r="E164" s="50">
        <v>31</v>
      </c>
      <c r="F164" s="50">
        <v>10500</v>
      </c>
    </row>
    <row r="165" spans="2:6" x14ac:dyDescent="0.3">
      <c r="B165" s="50">
        <f t="shared" si="2"/>
        <v>162</v>
      </c>
      <c r="C165" s="50" t="s">
        <v>394</v>
      </c>
      <c r="D165" s="56" t="s">
        <v>395</v>
      </c>
      <c r="E165" s="50">
        <v>29</v>
      </c>
      <c r="F165" s="50">
        <v>13331</v>
      </c>
    </row>
    <row r="166" spans="2:6" x14ac:dyDescent="0.3">
      <c r="B166" s="50">
        <f t="shared" si="2"/>
        <v>163</v>
      </c>
      <c r="C166" s="50" t="s">
        <v>396</v>
      </c>
      <c r="D166" s="56" t="s">
        <v>397</v>
      </c>
      <c r="E166" s="50">
        <v>31</v>
      </c>
      <c r="F166" s="50">
        <v>11200</v>
      </c>
    </row>
    <row r="167" spans="2:6" x14ac:dyDescent="0.3">
      <c r="B167" s="50">
        <f t="shared" si="2"/>
        <v>164</v>
      </c>
      <c r="C167" s="50" t="s">
        <v>398</v>
      </c>
      <c r="D167" s="56" t="s">
        <v>399</v>
      </c>
      <c r="E167" s="50">
        <v>27</v>
      </c>
      <c r="F167" s="50">
        <v>5797</v>
      </c>
    </row>
    <row r="168" spans="2:6" x14ac:dyDescent="0.3">
      <c r="B168" s="50">
        <f t="shared" si="2"/>
        <v>165</v>
      </c>
      <c r="C168" s="50" t="s">
        <v>400</v>
      </c>
      <c r="D168" s="56" t="s">
        <v>401</v>
      </c>
      <c r="E168" s="50">
        <v>31</v>
      </c>
      <c r="F168" s="50">
        <v>9415</v>
      </c>
    </row>
    <row r="169" spans="2:6" x14ac:dyDescent="0.3">
      <c r="B169" s="50">
        <f t="shared" si="2"/>
        <v>166</v>
      </c>
      <c r="C169" s="50" t="s">
        <v>402</v>
      </c>
      <c r="D169" s="56" t="s">
        <v>403</v>
      </c>
      <c r="E169" s="50">
        <v>25</v>
      </c>
      <c r="F169" s="50">
        <v>6977</v>
      </c>
    </row>
    <row r="170" spans="2:6" x14ac:dyDescent="0.3">
      <c r="B170" s="50">
        <f t="shared" si="2"/>
        <v>167</v>
      </c>
      <c r="C170" s="50" t="s">
        <v>404</v>
      </c>
      <c r="D170" s="56" t="s">
        <v>405</v>
      </c>
      <c r="E170" s="50">
        <v>31</v>
      </c>
      <c r="F170" s="50">
        <v>11458</v>
      </c>
    </row>
    <row r="171" spans="2:6" x14ac:dyDescent="0.3">
      <c r="B171" s="50">
        <f t="shared" si="2"/>
        <v>168</v>
      </c>
      <c r="C171" s="50" t="s">
        <v>406</v>
      </c>
      <c r="D171" s="56" t="s">
        <v>407</v>
      </c>
      <c r="E171" s="50">
        <v>31</v>
      </c>
      <c r="F171" s="50">
        <v>9160</v>
      </c>
    </row>
    <row r="172" spans="2:6" x14ac:dyDescent="0.3">
      <c r="B172" s="50">
        <f t="shared" si="2"/>
        <v>169</v>
      </c>
      <c r="C172" s="50" t="s">
        <v>408</v>
      </c>
      <c r="D172" s="56" t="s">
        <v>409</v>
      </c>
      <c r="E172" s="50">
        <v>31</v>
      </c>
      <c r="F172" s="50">
        <v>9160</v>
      </c>
    </row>
    <row r="173" spans="2:6" x14ac:dyDescent="0.3">
      <c r="B173" s="50">
        <f t="shared" si="2"/>
        <v>170</v>
      </c>
      <c r="C173" s="50" t="s">
        <v>410</v>
      </c>
      <c r="D173" s="56" t="s">
        <v>411</v>
      </c>
      <c r="E173" s="50">
        <v>31</v>
      </c>
      <c r="F173" s="50">
        <v>7650</v>
      </c>
    </row>
    <row r="174" spans="2:6" x14ac:dyDescent="0.3">
      <c r="B174" s="50">
        <f t="shared" si="2"/>
        <v>171</v>
      </c>
      <c r="C174" s="50" t="s">
        <v>412</v>
      </c>
      <c r="D174" s="56" t="s">
        <v>413</v>
      </c>
      <c r="E174" s="50">
        <v>31</v>
      </c>
      <c r="F174" s="50">
        <v>7130</v>
      </c>
    </row>
    <row r="175" spans="2:6" x14ac:dyDescent="0.3">
      <c r="B175" s="50">
        <f t="shared" si="2"/>
        <v>172</v>
      </c>
      <c r="C175" s="50" t="s">
        <v>414</v>
      </c>
      <c r="D175" s="56" t="s">
        <v>415</v>
      </c>
      <c r="E175" s="50">
        <v>31</v>
      </c>
      <c r="F175" s="50">
        <v>6656</v>
      </c>
    </row>
    <row r="176" spans="2:6" x14ac:dyDescent="0.3">
      <c r="B176" s="50">
        <f t="shared" si="2"/>
        <v>173</v>
      </c>
      <c r="C176" s="50" t="s">
        <v>416</v>
      </c>
      <c r="D176" s="56" t="s">
        <v>417</v>
      </c>
      <c r="E176" s="50">
        <v>27</v>
      </c>
      <c r="F176" s="50">
        <v>7534</v>
      </c>
    </row>
    <row r="177" spans="2:6" x14ac:dyDescent="0.3">
      <c r="B177" s="50">
        <f t="shared" si="2"/>
        <v>174</v>
      </c>
      <c r="C177" s="50" t="s">
        <v>418</v>
      </c>
      <c r="D177" s="56" t="s">
        <v>419</v>
      </c>
      <c r="E177" s="50">
        <v>31</v>
      </c>
      <c r="F177" s="50">
        <v>7130</v>
      </c>
    </row>
    <row r="178" spans="2:6" x14ac:dyDescent="0.3">
      <c r="B178" s="50">
        <f t="shared" si="2"/>
        <v>175</v>
      </c>
      <c r="C178" s="50" t="s">
        <v>420</v>
      </c>
      <c r="D178" s="56" t="s">
        <v>421</v>
      </c>
      <c r="E178" s="50">
        <v>31</v>
      </c>
      <c r="F178" s="50">
        <v>8581</v>
      </c>
    </row>
    <row r="179" spans="2:6" x14ac:dyDescent="0.3">
      <c r="B179" s="50">
        <f t="shared" si="2"/>
        <v>176</v>
      </c>
      <c r="C179" s="50" t="s">
        <v>422</v>
      </c>
      <c r="D179" s="56" t="s">
        <v>423</v>
      </c>
      <c r="E179" s="50">
        <v>31</v>
      </c>
      <c r="F179" s="50">
        <v>7356</v>
      </c>
    </row>
    <row r="180" spans="2:6" x14ac:dyDescent="0.3">
      <c r="B180" s="50">
        <f t="shared" si="2"/>
        <v>177</v>
      </c>
      <c r="C180" s="50" t="s">
        <v>424</v>
      </c>
      <c r="D180" s="56" t="s">
        <v>425</v>
      </c>
      <c r="E180" s="50">
        <v>15</v>
      </c>
      <c r="F180" s="50">
        <v>3560</v>
      </c>
    </row>
    <row r="181" spans="2:6" x14ac:dyDescent="0.3">
      <c r="B181" s="50">
        <f t="shared" si="2"/>
        <v>178</v>
      </c>
      <c r="C181" s="50" t="s">
        <v>426</v>
      </c>
      <c r="D181" s="56" t="s">
        <v>427</v>
      </c>
      <c r="E181" s="50">
        <v>31</v>
      </c>
      <c r="F181" s="50">
        <v>11933</v>
      </c>
    </row>
    <row r="182" spans="2:6" x14ac:dyDescent="0.3">
      <c r="B182" s="50">
        <f t="shared" si="2"/>
        <v>179</v>
      </c>
      <c r="C182" s="50" t="s">
        <v>428</v>
      </c>
      <c r="D182" s="56" t="s">
        <v>429</v>
      </c>
      <c r="E182" s="50">
        <v>31</v>
      </c>
      <c r="F182" s="50">
        <v>11933</v>
      </c>
    </row>
    <row r="183" spans="2:6" x14ac:dyDescent="0.3">
      <c r="B183" s="50">
        <f t="shared" si="2"/>
        <v>180</v>
      </c>
      <c r="C183" s="50" t="s">
        <v>430</v>
      </c>
      <c r="D183" s="56" t="s">
        <v>431</v>
      </c>
      <c r="E183" s="50">
        <v>29</v>
      </c>
      <c r="F183" s="50">
        <v>11163</v>
      </c>
    </row>
    <row r="184" spans="2:6" x14ac:dyDescent="0.3">
      <c r="B184" s="50">
        <f t="shared" si="2"/>
        <v>181</v>
      </c>
      <c r="C184" s="50" t="s">
        <v>432</v>
      </c>
      <c r="D184" s="56" t="s">
        <v>433</v>
      </c>
      <c r="E184" s="50">
        <v>27</v>
      </c>
      <c r="F184" s="50">
        <v>10393</v>
      </c>
    </row>
    <row r="185" spans="2:6" x14ac:dyDescent="0.3">
      <c r="B185" s="50">
        <f t="shared" si="2"/>
        <v>182</v>
      </c>
      <c r="C185" s="50" t="s">
        <v>434</v>
      </c>
      <c r="D185" s="56" t="s">
        <v>435</v>
      </c>
      <c r="E185" s="50">
        <v>30.5</v>
      </c>
      <c r="F185" s="50">
        <v>11741</v>
      </c>
    </row>
    <row r="186" spans="2:6" x14ac:dyDescent="0.3">
      <c r="B186" s="50">
        <f t="shared" si="2"/>
        <v>183</v>
      </c>
      <c r="C186" s="50" t="s">
        <v>436</v>
      </c>
      <c r="D186" s="56" t="s">
        <v>437</v>
      </c>
      <c r="E186" s="50">
        <v>31</v>
      </c>
      <c r="F186" s="50">
        <v>11933</v>
      </c>
    </row>
    <row r="187" spans="2:6" x14ac:dyDescent="0.3">
      <c r="B187" s="50">
        <f t="shared" si="2"/>
        <v>184</v>
      </c>
      <c r="C187" s="50" t="s">
        <v>438</v>
      </c>
      <c r="D187" s="56" t="s">
        <v>439</v>
      </c>
      <c r="E187" s="50">
        <v>31</v>
      </c>
      <c r="F187" s="50">
        <v>11933</v>
      </c>
    </row>
    <row r="188" spans="2:6" x14ac:dyDescent="0.3">
      <c r="B188" s="50">
        <f t="shared" si="2"/>
        <v>185</v>
      </c>
      <c r="C188" s="50" t="s">
        <v>440</v>
      </c>
      <c r="D188" s="56" t="s">
        <v>441</v>
      </c>
      <c r="E188" s="50">
        <v>31</v>
      </c>
      <c r="F188" s="50">
        <v>11933</v>
      </c>
    </row>
    <row r="189" spans="2:6" x14ac:dyDescent="0.3">
      <c r="B189" s="50">
        <f t="shared" si="2"/>
        <v>186</v>
      </c>
      <c r="C189" s="50" t="s">
        <v>442</v>
      </c>
      <c r="D189" s="56" t="s">
        <v>443</v>
      </c>
      <c r="E189" s="50">
        <v>28</v>
      </c>
      <c r="F189" s="50">
        <v>10929</v>
      </c>
    </row>
    <row r="190" spans="2:6" x14ac:dyDescent="0.3">
      <c r="B190" s="50">
        <f t="shared" si="2"/>
        <v>187</v>
      </c>
      <c r="C190" s="50" t="s">
        <v>444</v>
      </c>
      <c r="D190" s="56" t="s">
        <v>445</v>
      </c>
      <c r="E190" s="50">
        <v>31</v>
      </c>
      <c r="F190" s="50">
        <v>12760</v>
      </c>
    </row>
    <row r="191" spans="2:6" x14ac:dyDescent="0.3">
      <c r="B191" s="50">
        <f t="shared" si="2"/>
        <v>188</v>
      </c>
      <c r="C191" s="50" t="s">
        <v>446</v>
      </c>
      <c r="D191" s="56" t="s">
        <v>447</v>
      </c>
      <c r="E191" s="50">
        <v>31</v>
      </c>
      <c r="F191" s="50">
        <v>11550</v>
      </c>
    </row>
    <row r="192" spans="2:6" x14ac:dyDescent="0.3">
      <c r="B192" s="50">
        <f t="shared" si="2"/>
        <v>189</v>
      </c>
      <c r="C192" s="50" t="s">
        <v>448</v>
      </c>
      <c r="D192" s="56" t="s">
        <v>449</v>
      </c>
      <c r="E192" s="50">
        <v>31</v>
      </c>
      <c r="F192" s="50">
        <v>12760</v>
      </c>
    </row>
    <row r="193" spans="2:6" x14ac:dyDescent="0.3">
      <c r="B193" s="50">
        <f t="shared" si="2"/>
        <v>190</v>
      </c>
      <c r="C193" s="50" t="s">
        <v>450</v>
      </c>
      <c r="D193" s="56" t="s">
        <v>451</v>
      </c>
      <c r="E193" s="50">
        <v>31</v>
      </c>
      <c r="F193" s="50">
        <v>9200</v>
      </c>
    </row>
    <row r="194" spans="2:6" x14ac:dyDescent="0.3">
      <c r="B194" s="50">
        <f t="shared" si="2"/>
        <v>191</v>
      </c>
      <c r="C194" s="50" t="s">
        <v>452</v>
      </c>
      <c r="D194" s="56" t="s">
        <v>453</v>
      </c>
      <c r="E194" s="50">
        <v>31</v>
      </c>
      <c r="F194" s="50">
        <v>14939</v>
      </c>
    </row>
    <row r="195" spans="2:6" x14ac:dyDescent="0.3">
      <c r="B195" s="50">
        <f t="shared" si="2"/>
        <v>192</v>
      </c>
      <c r="C195" s="50" t="s">
        <v>254</v>
      </c>
      <c r="D195" s="56" t="s">
        <v>454</v>
      </c>
      <c r="E195" s="50">
        <v>31</v>
      </c>
      <c r="F195" s="50">
        <v>10500</v>
      </c>
    </row>
    <row r="196" spans="2:6" x14ac:dyDescent="0.3">
      <c r="B196" s="50">
        <f t="shared" si="2"/>
        <v>193</v>
      </c>
      <c r="C196" s="50" t="s">
        <v>455</v>
      </c>
      <c r="D196" s="56" t="s">
        <v>456</v>
      </c>
      <c r="E196" s="50">
        <v>31</v>
      </c>
      <c r="F196" s="50">
        <v>9170</v>
      </c>
    </row>
    <row r="197" spans="2:6" x14ac:dyDescent="0.3">
      <c r="B197" s="50">
        <f t="shared" si="2"/>
        <v>194</v>
      </c>
      <c r="C197" s="50" t="s">
        <v>457</v>
      </c>
      <c r="D197" s="56" t="s">
        <v>458</v>
      </c>
      <c r="E197" s="50">
        <v>31</v>
      </c>
      <c r="F197" s="50">
        <v>7793</v>
      </c>
    </row>
    <row r="198" spans="2:6" x14ac:dyDescent="0.3">
      <c r="B198" s="50">
        <f t="shared" ref="B198:B261" si="3">+B197+1</f>
        <v>195</v>
      </c>
      <c r="C198" s="50" t="s">
        <v>459</v>
      </c>
      <c r="D198" s="56" t="s">
        <v>460</v>
      </c>
      <c r="E198" s="50">
        <v>31</v>
      </c>
      <c r="F198" s="50">
        <v>8814</v>
      </c>
    </row>
    <row r="199" spans="2:6" x14ac:dyDescent="0.3">
      <c r="B199" s="50">
        <f t="shared" si="3"/>
        <v>196</v>
      </c>
      <c r="C199" s="50" t="s">
        <v>461</v>
      </c>
      <c r="D199" s="56" t="s">
        <v>462</v>
      </c>
      <c r="E199" s="50">
        <v>31</v>
      </c>
      <c r="F199" s="50">
        <v>8814</v>
      </c>
    </row>
    <row r="200" spans="2:6" x14ac:dyDescent="0.3">
      <c r="B200" s="50">
        <f t="shared" si="3"/>
        <v>197</v>
      </c>
      <c r="C200" s="50" t="s">
        <v>463</v>
      </c>
      <c r="D200" s="56" t="s">
        <v>464</v>
      </c>
      <c r="E200" s="50">
        <v>31</v>
      </c>
      <c r="F200" s="50">
        <v>8814</v>
      </c>
    </row>
    <row r="201" spans="2:6" x14ac:dyDescent="0.3">
      <c r="B201" s="50">
        <f t="shared" si="3"/>
        <v>198</v>
      </c>
      <c r="C201" s="50" t="s">
        <v>465</v>
      </c>
      <c r="D201" s="56" t="s">
        <v>466</v>
      </c>
      <c r="E201" s="50">
        <v>31</v>
      </c>
      <c r="F201" s="50">
        <v>8814</v>
      </c>
    </row>
    <row r="202" spans="2:6" x14ac:dyDescent="0.3">
      <c r="B202" s="50">
        <f t="shared" si="3"/>
        <v>199</v>
      </c>
      <c r="C202" s="50" t="s">
        <v>467</v>
      </c>
      <c r="D202" s="56" t="s">
        <v>468</v>
      </c>
      <c r="E202" s="50">
        <v>31</v>
      </c>
      <c r="F202" s="50">
        <v>8814</v>
      </c>
    </row>
    <row r="203" spans="2:6" x14ac:dyDescent="0.3">
      <c r="B203" s="50">
        <f t="shared" si="3"/>
        <v>200</v>
      </c>
      <c r="C203" s="50" t="s">
        <v>469</v>
      </c>
      <c r="D203" s="56" t="s">
        <v>470</v>
      </c>
      <c r="E203" s="50">
        <v>31</v>
      </c>
      <c r="F203" s="50">
        <v>8814</v>
      </c>
    </row>
    <row r="204" spans="2:6" x14ac:dyDescent="0.3">
      <c r="B204" s="50">
        <f t="shared" si="3"/>
        <v>201</v>
      </c>
      <c r="C204" s="50" t="s">
        <v>471</v>
      </c>
      <c r="D204" s="56" t="s">
        <v>472</v>
      </c>
      <c r="E204" s="50">
        <v>24</v>
      </c>
      <c r="F204" s="50">
        <v>6034</v>
      </c>
    </row>
    <row r="205" spans="2:6" x14ac:dyDescent="0.3">
      <c r="B205" s="50">
        <f t="shared" si="3"/>
        <v>202</v>
      </c>
      <c r="C205" s="50" t="s">
        <v>473</v>
      </c>
      <c r="D205" s="56" t="s">
        <v>474</v>
      </c>
      <c r="E205" s="50">
        <v>31</v>
      </c>
      <c r="F205" s="50">
        <v>8814</v>
      </c>
    </row>
    <row r="206" spans="2:6" x14ac:dyDescent="0.3">
      <c r="B206" s="50">
        <f t="shared" si="3"/>
        <v>203</v>
      </c>
      <c r="C206" s="50" t="s">
        <v>475</v>
      </c>
      <c r="D206" s="56" t="s">
        <v>476</v>
      </c>
      <c r="E206" s="50">
        <v>31</v>
      </c>
      <c r="F206" s="50">
        <v>8814</v>
      </c>
    </row>
    <row r="207" spans="2:6" x14ac:dyDescent="0.3">
      <c r="B207" s="50">
        <f t="shared" si="3"/>
        <v>204</v>
      </c>
      <c r="C207" s="50" t="s">
        <v>477</v>
      </c>
      <c r="D207" s="56" t="s">
        <v>478</v>
      </c>
      <c r="E207" s="50">
        <v>31</v>
      </c>
      <c r="F207" s="50">
        <v>8112</v>
      </c>
    </row>
    <row r="208" spans="2:6" x14ac:dyDescent="0.3">
      <c r="B208" s="50">
        <f t="shared" si="3"/>
        <v>205</v>
      </c>
      <c r="C208" s="50" t="s">
        <v>479</v>
      </c>
      <c r="D208" s="56" t="s">
        <v>480</v>
      </c>
      <c r="E208" s="50">
        <v>31</v>
      </c>
      <c r="F208" s="50">
        <v>7793</v>
      </c>
    </row>
    <row r="209" spans="2:6" x14ac:dyDescent="0.3">
      <c r="B209" s="50">
        <f t="shared" si="3"/>
        <v>206</v>
      </c>
      <c r="C209" s="50" t="s">
        <v>481</v>
      </c>
      <c r="D209" s="56" t="s">
        <v>482</v>
      </c>
      <c r="E209" s="50">
        <v>26</v>
      </c>
      <c r="F209" s="50">
        <v>7392</v>
      </c>
    </row>
    <row r="210" spans="2:6" x14ac:dyDescent="0.3">
      <c r="B210" s="50">
        <f t="shared" si="3"/>
        <v>207</v>
      </c>
      <c r="C210" s="50" t="s">
        <v>483</v>
      </c>
      <c r="D210" s="56" t="s">
        <v>484</v>
      </c>
      <c r="E210" s="50">
        <v>31</v>
      </c>
      <c r="F210" s="50">
        <v>8814</v>
      </c>
    </row>
    <row r="211" spans="2:6" x14ac:dyDescent="0.3">
      <c r="B211" s="50">
        <f t="shared" si="3"/>
        <v>208</v>
      </c>
      <c r="C211" s="50" t="s">
        <v>485</v>
      </c>
      <c r="D211" s="56" t="s">
        <v>486</v>
      </c>
      <c r="E211" s="50">
        <v>31</v>
      </c>
      <c r="F211" s="50">
        <v>8112</v>
      </c>
    </row>
    <row r="212" spans="2:6" x14ac:dyDescent="0.3">
      <c r="B212" s="50">
        <f t="shared" si="3"/>
        <v>209</v>
      </c>
      <c r="C212" s="50" t="s">
        <v>487</v>
      </c>
      <c r="D212" s="56" t="s">
        <v>488</v>
      </c>
      <c r="E212" s="50">
        <v>31</v>
      </c>
      <c r="F212" s="50">
        <v>7185</v>
      </c>
    </row>
    <row r="213" spans="2:6" x14ac:dyDescent="0.3">
      <c r="B213" s="50">
        <f t="shared" si="3"/>
        <v>210</v>
      </c>
      <c r="C213" s="50" t="s">
        <v>489</v>
      </c>
      <c r="D213" s="56" t="s">
        <v>490</v>
      </c>
      <c r="E213" s="50">
        <v>31</v>
      </c>
      <c r="F213" s="50">
        <v>7185</v>
      </c>
    </row>
    <row r="214" spans="2:6" x14ac:dyDescent="0.3">
      <c r="B214" s="50">
        <f t="shared" si="3"/>
        <v>211</v>
      </c>
      <c r="C214" s="50" t="s">
        <v>491</v>
      </c>
      <c r="D214" s="56" t="s">
        <v>492</v>
      </c>
      <c r="E214" s="50">
        <v>31</v>
      </c>
      <c r="F214" s="50">
        <v>7185</v>
      </c>
    </row>
    <row r="215" spans="2:6" x14ac:dyDescent="0.3">
      <c r="B215" s="50">
        <f t="shared" si="3"/>
        <v>212</v>
      </c>
      <c r="C215" s="50" t="s">
        <v>493</v>
      </c>
      <c r="D215" s="56" t="s">
        <v>494</v>
      </c>
      <c r="E215" s="50">
        <v>31</v>
      </c>
      <c r="F215" s="50">
        <v>7793</v>
      </c>
    </row>
    <row r="216" spans="2:6" x14ac:dyDescent="0.3">
      <c r="B216" s="50">
        <f t="shared" si="3"/>
        <v>213</v>
      </c>
      <c r="C216" s="50" t="s">
        <v>495</v>
      </c>
      <c r="D216" s="56" t="s">
        <v>496</v>
      </c>
      <c r="E216" s="50">
        <v>31</v>
      </c>
      <c r="F216" s="50">
        <v>7185</v>
      </c>
    </row>
    <row r="217" spans="2:6" x14ac:dyDescent="0.3">
      <c r="B217" s="50">
        <f t="shared" si="3"/>
        <v>214</v>
      </c>
      <c r="C217" s="50" t="s">
        <v>497</v>
      </c>
      <c r="D217" s="56" t="s">
        <v>498</v>
      </c>
      <c r="E217" s="50">
        <v>31</v>
      </c>
      <c r="F217" s="50">
        <v>7185</v>
      </c>
    </row>
    <row r="218" spans="2:6" x14ac:dyDescent="0.3">
      <c r="B218" s="50">
        <f t="shared" si="3"/>
        <v>215</v>
      </c>
      <c r="C218" s="50" t="s">
        <v>499</v>
      </c>
      <c r="D218" s="56" t="s">
        <v>500</v>
      </c>
      <c r="E218" s="50">
        <v>31</v>
      </c>
      <c r="F218" s="50">
        <v>7793</v>
      </c>
    </row>
    <row r="219" spans="2:6" x14ac:dyDescent="0.3">
      <c r="B219" s="50">
        <f t="shared" si="3"/>
        <v>216</v>
      </c>
      <c r="C219" s="50" t="s">
        <v>501</v>
      </c>
      <c r="D219" s="56" t="s">
        <v>502</v>
      </c>
      <c r="E219" s="50">
        <v>31</v>
      </c>
      <c r="F219" s="50">
        <v>7185</v>
      </c>
    </row>
    <row r="220" spans="2:6" x14ac:dyDescent="0.3">
      <c r="B220" s="50">
        <f t="shared" si="3"/>
        <v>217</v>
      </c>
      <c r="C220" s="50" t="s">
        <v>503</v>
      </c>
      <c r="D220" s="56" t="s">
        <v>504</v>
      </c>
      <c r="E220" s="50">
        <v>31</v>
      </c>
      <c r="F220" s="50">
        <v>9050</v>
      </c>
    </row>
    <row r="221" spans="2:6" x14ac:dyDescent="0.3">
      <c r="B221" s="50">
        <f t="shared" si="3"/>
        <v>218</v>
      </c>
      <c r="C221" s="50" t="s">
        <v>505</v>
      </c>
      <c r="D221" s="56" t="s">
        <v>506</v>
      </c>
      <c r="E221" s="50">
        <v>31</v>
      </c>
      <c r="F221" s="50">
        <v>7185</v>
      </c>
    </row>
    <row r="222" spans="2:6" x14ac:dyDescent="0.3">
      <c r="B222" s="50">
        <f t="shared" si="3"/>
        <v>219</v>
      </c>
      <c r="C222" s="50" t="s">
        <v>507</v>
      </c>
      <c r="D222" s="56" t="s">
        <v>508</v>
      </c>
      <c r="E222" s="50">
        <v>31</v>
      </c>
      <c r="F222" s="50">
        <v>7185</v>
      </c>
    </row>
    <row r="223" spans="2:6" x14ac:dyDescent="0.3">
      <c r="B223" s="50">
        <f t="shared" si="3"/>
        <v>220</v>
      </c>
      <c r="C223" s="50" t="s">
        <v>509</v>
      </c>
      <c r="D223" s="56" t="s">
        <v>510</v>
      </c>
      <c r="E223" s="50">
        <v>31</v>
      </c>
      <c r="F223" s="50">
        <v>7185</v>
      </c>
    </row>
    <row r="224" spans="2:6" x14ac:dyDescent="0.3">
      <c r="B224" s="50">
        <f t="shared" si="3"/>
        <v>221</v>
      </c>
      <c r="C224" s="50" t="s">
        <v>511</v>
      </c>
      <c r="D224" s="56" t="s">
        <v>512</v>
      </c>
      <c r="E224" s="50">
        <v>29</v>
      </c>
      <c r="F224" s="50">
        <v>6721</v>
      </c>
    </row>
    <row r="225" spans="2:6" x14ac:dyDescent="0.3">
      <c r="B225" s="50">
        <f t="shared" si="3"/>
        <v>222</v>
      </c>
      <c r="C225" s="50" t="s">
        <v>513</v>
      </c>
      <c r="D225" s="56" t="s">
        <v>514</v>
      </c>
      <c r="E225" s="50">
        <v>31</v>
      </c>
      <c r="F225" s="50">
        <v>7793</v>
      </c>
    </row>
    <row r="226" spans="2:6" x14ac:dyDescent="0.3">
      <c r="B226" s="50">
        <f t="shared" si="3"/>
        <v>223</v>
      </c>
      <c r="C226" s="50" t="s">
        <v>515</v>
      </c>
      <c r="D226" s="56" t="s">
        <v>516</v>
      </c>
      <c r="E226" s="50">
        <v>31</v>
      </c>
      <c r="F226" s="50">
        <v>7185</v>
      </c>
    </row>
    <row r="227" spans="2:6" x14ac:dyDescent="0.3">
      <c r="B227" s="50">
        <f t="shared" si="3"/>
        <v>224</v>
      </c>
      <c r="C227" s="50" t="s">
        <v>167</v>
      </c>
      <c r="D227" s="56" t="s">
        <v>517</v>
      </c>
      <c r="E227" s="50">
        <v>17</v>
      </c>
      <c r="F227" s="50">
        <v>4963</v>
      </c>
    </row>
    <row r="228" spans="2:6" x14ac:dyDescent="0.3">
      <c r="B228" s="50">
        <f t="shared" si="3"/>
        <v>225</v>
      </c>
      <c r="C228" s="50" t="s">
        <v>518</v>
      </c>
      <c r="D228" s="56" t="s">
        <v>519</v>
      </c>
      <c r="E228" s="50">
        <v>31</v>
      </c>
      <c r="F228" s="50">
        <v>14000</v>
      </c>
    </row>
    <row r="229" spans="2:6" x14ac:dyDescent="0.3">
      <c r="B229" s="50">
        <f t="shared" si="3"/>
        <v>226</v>
      </c>
      <c r="C229" s="50" t="s">
        <v>520</v>
      </c>
      <c r="D229" s="56" t="s">
        <v>521</v>
      </c>
      <c r="E229" s="50">
        <v>31</v>
      </c>
      <c r="F229" s="50">
        <v>12500</v>
      </c>
    </row>
    <row r="230" spans="2:6" x14ac:dyDescent="0.3">
      <c r="B230" s="50">
        <f t="shared" si="3"/>
        <v>227</v>
      </c>
      <c r="C230" s="50" t="s">
        <v>522</v>
      </c>
      <c r="D230" s="56" t="s">
        <v>523</v>
      </c>
      <c r="E230" s="50">
        <v>31</v>
      </c>
      <c r="F230" s="50">
        <v>10200</v>
      </c>
    </row>
    <row r="231" spans="2:6" x14ac:dyDescent="0.3">
      <c r="B231" s="50">
        <f t="shared" si="3"/>
        <v>228</v>
      </c>
      <c r="C231" s="50" t="s">
        <v>524</v>
      </c>
      <c r="D231" s="56" t="s">
        <v>525</v>
      </c>
      <c r="E231" s="50">
        <v>31</v>
      </c>
      <c r="F231" s="50">
        <v>10179</v>
      </c>
    </row>
    <row r="232" spans="2:6" x14ac:dyDescent="0.3">
      <c r="B232" s="50">
        <f t="shared" si="3"/>
        <v>229</v>
      </c>
      <c r="C232" s="50" t="s">
        <v>526</v>
      </c>
      <c r="D232" s="56" t="s">
        <v>527</v>
      </c>
      <c r="E232" s="50">
        <v>31</v>
      </c>
      <c r="F232" s="50">
        <v>13500</v>
      </c>
    </row>
    <row r="233" spans="2:6" x14ac:dyDescent="0.3">
      <c r="B233" s="50">
        <f t="shared" si="3"/>
        <v>230</v>
      </c>
      <c r="C233" s="50" t="s">
        <v>528</v>
      </c>
      <c r="D233" s="56" t="s">
        <v>529</v>
      </c>
      <c r="E233" s="50">
        <v>31</v>
      </c>
      <c r="F233" s="50">
        <v>13232</v>
      </c>
    </row>
    <row r="234" spans="2:6" x14ac:dyDescent="0.3">
      <c r="B234" s="50">
        <f t="shared" si="3"/>
        <v>231</v>
      </c>
      <c r="C234" s="50" t="s">
        <v>530</v>
      </c>
      <c r="D234" s="56" t="s">
        <v>531</v>
      </c>
      <c r="E234" s="50">
        <v>31</v>
      </c>
      <c r="F234" s="50">
        <v>12725</v>
      </c>
    </row>
    <row r="235" spans="2:6" x14ac:dyDescent="0.3">
      <c r="B235" s="50">
        <f t="shared" si="3"/>
        <v>232</v>
      </c>
      <c r="C235" s="50" t="s">
        <v>532</v>
      </c>
      <c r="D235" s="56" t="s">
        <v>533</v>
      </c>
      <c r="E235" s="50">
        <v>31</v>
      </c>
      <c r="F235" s="50">
        <v>11000</v>
      </c>
    </row>
    <row r="236" spans="2:6" x14ac:dyDescent="0.3">
      <c r="B236" s="50">
        <f t="shared" si="3"/>
        <v>233</v>
      </c>
      <c r="C236" s="50" t="s">
        <v>534</v>
      </c>
      <c r="D236" s="56" t="s">
        <v>535</v>
      </c>
      <c r="E236" s="50">
        <v>31</v>
      </c>
      <c r="F236" s="50">
        <v>11000</v>
      </c>
    </row>
    <row r="237" spans="2:6" x14ac:dyDescent="0.3">
      <c r="B237" s="50">
        <f t="shared" si="3"/>
        <v>234</v>
      </c>
      <c r="C237" s="50" t="s">
        <v>536</v>
      </c>
      <c r="D237" s="56" t="s">
        <v>537</v>
      </c>
      <c r="E237" s="50">
        <v>25</v>
      </c>
      <c r="F237" s="50">
        <v>7925</v>
      </c>
    </row>
    <row r="238" spans="2:6" x14ac:dyDescent="0.3">
      <c r="B238" s="50">
        <f t="shared" si="3"/>
        <v>235</v>
      </c>
      <c r="C238" s="50" t="s">
        <v>538</v>
      </c>
      <c r="D238" s="56" t="s">
        <v>539</v>
      </c>
      <c r="E238" s="50">
        <v>31</v>
      </c>
      <c r="F238" s="50">
        <v>9486</v>
      </c>
    </row>
    <row r="239" spans="2:6" x14ac:dyDescent="0.3">
      <c r="B239" s="50">
        <f t="shared" si="3"/>
        <v>236</v>
      </c>
      <c r="C239" s="50" t="s">
        <v>540</v>
      </c>
      <c r="D239" s="56" t="s">
        <v>541</v>
      </c>
      <c r="E239" s="50">
        <v>4</v>
      </c>
      <c r="F239" s="50">
        <v>1268</v>
      </c>
    </row>
    <row r="240" spans="2:6" x14ac:dyDescent="0.3">
      <c r="B240" s="50">
        <f t="shared" si="3"/>
        <v>237</v>
      </c>
      <c r="C240" s="50" t="s">
        <v>542</v>
      </c>
      <c r="D240" s="56" t="s">
        <v>543</v>
      </c>
      <c r="E240" s="50">
        <v>29</v>
      </c>
      <c r="F240" s="50">
        <v>10723</v>
      </c>
    </row>
    <row r="241" spans="2:6" x14ac:dyDescent="0.3">
      <c r="B241" s="50">
        <f t="shared" si="3"/>
        <v>238</v>
      </c>
      <c r="C241" s="50" t="s">
        <v>544</v>
      </c>
      <c r="D241" s="56" t="s">
        <v>545</v>
      </c>
      <c r="E241" s="50">
        <v>31</v>
      </c>
      <c r="F241" s="50">
        <v>6450</v>
      </c>
    </row>
    <row r="242" spans="2:6" x14ac:dyDescent="0.3">
      <c r="B242" s="50">
        <f t="shared" si="3"/>
        <v>239</v>
      </c>
      <c r="C242" s="50" t="s">
        <v>546</v>
      </c>
      <c r="D242" s="56" t="s">
        <v>547</v>
      </c>
      <c r="E242" s="50">
        <v>8</v>
      </c>
      <c r="F242" s="50">
        <v>2448</v>
      </c>
    </row>
    <row r="243" spans="2:6" x14ac:dyDescent="0.3">
      <c r="B243" s="50">
        <f t="shared" si="3"/>
        <v>240</v>
      </c>
      <c r="C243" s="50" t="s">
        <v>548</v>
      </c>
      <c r="D243" s="56" t="s">
        <v>549</v>
      </c>
      <c r="E243" s="50">
        <v>31</v>
      </c>
      <c r="F243" s="50">
        <v>6696</v>
      </c>
    </row>
    <row r="244" spans="2:6" x14ac:dyDescent="0.3">
      <c r="B244" s="50">
        <f t="shared" si="3"/>
        <v>241</v>
      </c>
      <c r="C244" s="50" t="s">
        <v>550</v>
      </c>
      <c r="D244" s="56" t="s">
        <v>551</v>
      </c>
      <c r="E244" s="50">
        <v>31</v>
      </c>
      <c r="F244" s="50">
        <v>6696</v>
      </c>
    </row>
    <row r="245" spans="2:6" x14ac:dyDescent="0.3">
      <c r="B245" s="50">
        <f t="shared" si="3"/>
        <v>242</v>
      </c>
      <c r="C245" s="50" t="s">
        <v>552</v>
      </c>
      <c r="D245" s="56" t="s">
        <v>553</v>
      </c>
      <c r="E245" s="50">
        <v>31</v>
      </c>
      <c r="F245" s="50">
        <v>6696</v>
      </c>
    </row>
    <row r="246" spans="2:6" x14ac:dyDescent="0.3">
      <c r="B246" s="50">
        <f t="shared" si="3"/>
        <v>243</v>
      </c>
      <c r="C246" s="50" t="s">
        <v>554</v>
      </c>
      <c r="D246" s="56" t="s">
        <v>555</v>
      </c>
      <c r="E246" s="50">
        <v>31</v>
      </c>
      <c r="F246" s="50">
        <v>6696</v>
      </c>
    </row>
    <row r="247" spans="2:6" x14ac:dyDescent="0.3">
      <c r="B247" s="50">
        <f t="shared" si="3"/>
        <v>244</v>
      </c>
      <c r="C247" s="50" t="s">
        <v>556</v>
      </c>
      <c r="D247" s="56" t="s">
        <v>557</v>
      </c>
      <c r="E247" s="50">
        <v>31</v>
      </c>
      <c r="F247" s="50">
        <v>6696</v>
      </c>
    </row>
    <row r="248" spans="2:6" x14ac:dyDescent="0.3">
      <c r="B248" s="50">
        <f t="shared" si="3"/>
        <v>245</v>
      </c>
      <c r="C248" s="50" t="s">
        <v>558</v>
      </c>
      <c r="D248" s="56" t="s">
        <v>559</v>
      </c>
      <c r="E248" s="50">
        <v>31</v>
      </c>
      <c r="F248" s="50">
        <v>6696</v>
      </c>
    </row>
    <row r="249" spans="2:6" x14ac:dyDescent="0.3">
      <c r="B249" s="50">
        <f t="shared" si="3"/>
        <v>246</v>
      </c>
      <c r="C249" s="50" t="s">
        <v>147</v>
      </c>
      <c r="D249" s="56" t="s">
        <v>560</v>
      </c>
      <c r="E249" s="50">
        <v>31</v>
      </c>
      <c r="F249" s="50">
        <v>6696</v>
      </c>
    </row>
    <row r="250" spans="2:6" x14ac:dyDescent="0.3">
      <c r="B250" s="50">
        <f t="shared" si="3"/>
        <v>247</v>
      </c>
      <c r="C250" s="50" t="s">
        <v>561</v>
      </c>
      <c r="D250" s="56" t="s">
        <v>562</v>
      </c>
      <c r="E250" s="50">
        <v>31</v>
      </c>
      <c r="F250" s="50">
        <v>6696</v>
      </c>
    </row>
    <row r="251" spans="2:6" x14ac:dyDescent="0.3">
      <c r="B251" s="50">
        <f t="shared" si="3"/>
        <v>248</v>
      </c>
      <c r="C251" s="50" t="s">
        <v>563</v>
      </c>
      <c r="D251" s="56" t="s">
        <v>564</v>
      </c>
      <c r="E251" s="50">
        <v>31</v>
      </c>
      <c r="F251" s="50">
        <v>6696</v>
      </c>
    </row>
    <row r="252" spans="2:6" x14ac:dyDescent="0.3">
      <c r="B252" s="50">
        <f t="shared" si="3"/>
        <v>249</v>
      </c>
      <c r="C252" s="50" t="s">
        <v>565</v>
      </c>
      <c r="D252" s="56" t="s">
        <v>566</v>
      </c>
      <c r="E252" s="50">
        <v>31</v>
      </c>
      <c r="F252" s="50">
        <v>6696</v>
      </c>
    </row>
    <row r="253" spans="2:6" x14ac:dyDescent="0.3">
      <c r="B253" s="50">
        <f t="shared" si="3"/>
        <v>250</v>
      </c>
      <c r="C253" s="50" t="s">
        <v>567</v>
      </c>
      <c r="D253" s="56" t="s">
        <v>568</v>
      </c>
      <c r="E253" s="50">
        <v>31</v>
      </c>
      <c r="F253" s="50">
        <v>6696</v>
      </c>
    </row>
    <row r="254" spans="2:6" x14ac:dyDescent="0.3">
      <c r="B254" s="50">
        <f t="shared" si="3"/>
        <v>251</v>
      </c>
      <c r="C254" s="50" t="s">
        <v>569</v>
      </c>
      <c r="D254" s="56" t="s">
        <v>570</v>
      </c>
      <c r="E254" s="50">
        <v>5</v>
      </c>
      <c r="F254" s="50">
        <v>1080</v>
      </c>
    </row>
    <row r="255" spans="2:6" x14ac:dyDescent="0.3">
      <c r="B255" s="50">
        <f t="shared" si="3"/>
        <v>252</v>
      </c>
      <c r="C255" s="50" t="s">
        <v>571</v>
      </c>
      <c r="D255" s="56" t="s">
        <v>572</v>
      </c>
      <c r="E255" s="50">
        <v>31</v>
      </c>
      <c r="F255" s="50">
        <v>6696</v>
      </c>
    </row>
    <row r="256" spans="2:6" x14ac:dyDescent="0.3">
      <c r="B256" s="50">
        <f t="shared" si="3"/>
        <v>253</v>
      </c>
      <c r="C256" s="50" t="s">
        <v>573</v>
      </c>
      <c r="D256" s="56" t="s">
        <v>574</v>
      </c>
      <c r="E256" s="50">
        <v>31</v>
      </c>
      <c r="F256" s="50">
        <v>6696</v>
      </c>
    </row>
    <row r="257" spans="2:6" x14ac:dyDescent="0.3">
      <c r="B257" s="50">
        <f t="shared" si="3"/>
        <v>254</v>
      </c>
      <c r="C257" s="50" t="s">
        <v>575</v>
      </c>
      <c r="D257" s="56" t="s">
        <v>576</v>
      </c>
      <c r="E257" s="50">
        <v>1</v>
      </c>
      <c r="F257" s="50">
        <v>216</v>
      </c>
    </row>
    <row r="258" spans="2:6" x14ac:dyDescent="0.3">
      <c r="B258" s="50">
        <f t="shared" si="3"/>
        <v>255</v>
      </c>
      <c r="C258" s="50" t="s">
        <v>577</v>
      </c>
      <c r="D258" s="56" t="s">
        <v>578</v>
      </c>
      <c r="E258" s="50">
        <v>25</v>
      </c>
      <c r="F258" s="50">
        <v>5400</v>
      </c>
    </row>
    <row r="259" spans="2:6" x14ac:dyDescent="0.3">
      <c r="B259" s="50">
        <f t="shared" si="3"/>
        <v>256</v>
      </c>
      <c r="C259" s="50" t="s">
        <v>579</v>
      </c>
      <c r="D259" s="56" t="s">
        <v>580</v>
      </c>
      <c r="E259" s="50">
        <v>31</v>
      </c>
      <c r="F259" s="50">
        <v>6696</v>
      </c>
    </row>
    <row r="260" spans="2:6" x14ac:dyDescent="0.3">
      <c r="B260" s="50">
        <f t="shared" si="3"/>
        <v>257</v>
      </c>
      <c r="C260" s="50" t="s">
        <v>581</v>
      </c>
      <c r="D260" s="56" t="s">
        <v>582</v>
      </c>
      <c r="E260" s="50">
        <v>15</v>
      </c>
      <c r="F260" s="50">
        <v>3240</v>
      </c>
    </row>
    <row r="261" spans="2:6" x14ac:dyDescent="0.3">
      <c r="B261" s="50">
        <f t="shared" si="3"/>
        <v>258</v>
      </c>
      <c r="C261" s="50" t="s">
        <v>583</v>
      </c>
      <c r="D261" s="56" t="s">
        <v>584</v>
      </c>
      <c r="E261" s="50">
        <v>31</v>
      </c>
      <c r="F261" s="50">
        <v>6696</v>
      </c>
    </row>
    <row r="262" spans="2:6" x14ac:dyDescent="0.3">
      <c r="B262" s="50">
        <f t="shared" ref="B262:B325" si="4">+B261+1</f>
        <v>259</v>
      </c>
      <c r="C262" s="50" t="s">
        <v>585</v>
      </c>
      <c r="D262" s="56" t="s">
        <v>586</v>
      </c>
      <c r="E262" s="50">
        <v>15</v>
      </c>
      <c r="F262" s="50">
        <v>3240</v>
      </c>
    </row>
    <row r="263" spans="2:6" x14ac:dyDescent="0.3">
      <c r="B263" s="50">
        <f t="shared" si="4"/>
        <v>260</v>
      </c>
      <c r="C263" s="50" t="s">
        <v>587</v>
      </c>
      <c r="D263" s="56" t="s">
        <v>588</v>
      </c>
      <c r="E263" s="50">
        <v>31</v>
      </c>
      <c r="F263" s="50">
        <v>6696</v>
      </c>
    </row>
    <row r="264" spans="2:6" x14ac:dyDescent="0.3">
      <c r="B264" s="50">
        <f t="shared" si="4"/>
        <v>261</v>
      </c>
      <c r="C264" s="50" t="s">
        <v>589</v>
      </c>
      <c r="D264" s="56" t="s">
        <v>590</v>
      </c>
      <c r="E264" s="50">
        <v>31</v>
      </c>
      <c r="F264" s="50">
        <v>6696</v>
      </c>
    </row>
    <row r="265" spans="2:6" x14ac:dyDescent="0.3">
      <c r="B265" s="50">
        <f t="shared" si="4"/>
        <v>262</v>
      </c>
      <c r="C265" s="50" t="s">
        <v>591</v>
      </c>
      <c r="D265" s="56" t="s">
        <v>592</v>
      </c>
      <c r="E265" s="50">
        <v>31</v>
      </c>
      <c r="F265" s="50">
        <v>6696</v>
      </c>
    </row>
    <row r="266" spans="2:6" x14ac:dyDescent="0.3">
      <c r="B266" s="50">
        <f t="shared" si="4"/>
        <v>263</v>
      </c>
      <c r="C266" s="50" t="s">
        <v>593</v>
      </c>
      <c r="D266" s="56" t="s">
        <v>594</v>
      </c>
      <c r="E266" s="50">
        <v>31</v>
      </c>
      <c r="F266" s="50">
        <v>6696</v>
      </c>
    </row>
    <row r="267" spans="2:6" x14ac:dyDescent="0.3">
      <c r="B267" s="50">
        <f t="shared" si="4"/>
        <v>264</v>
      </c>
      <c r="C267" s="50" t="s">
        <v>595</v>
      </c>
      <c r="D267" s="56" t="s">
        <v>596</v>
      </c>
      <c r="E267" s="50">
        <v>31</v>
      </c>
      <c r="F267" s="50">
        <v>6696</v>
      </c>
    </row>
    <row r="268" spans="2:6" x14ac:dyDescent="0.3">
      <c r="B268" s="50">
        <f t="shared" si="4"/>
        <v>265</v>
      </c>
      <c r="C268" s="50" t="s">
        <v>597</v>
      </c>
      <c r="D268" s="56" t="s">
        <v>598</v>
      </c>
      <c r="E268" s="50">
        <v>7</v>
      </c>
      <c r="F268" s="50">
        <v>1512</v>
      </c>
    </row>
    <row r="269" spans="2:6" x14ac:dyDescent="0.3">
      <c r="B269" s="50">
        <f t="shared" si="4"/>
        <v>266</v>
      </c>
      <c r="C269" s="50" t="s">
        <v>599</v>
      </c>
      <c r="D269" s="56" t="s">
        <v>600</v>
      </c>
      <c r="E269" s="50">
        <v>31</v>
      </c>
      <c r="F269" s="50">
        <v>6696</v>
      </c>
    </row>
    <row r="270" spans="2:6" x14ac:dyDescent="0.3">
      <c r="B270" s="50">
        <f t="shared" si="4"/>
        <v>267</v>
      </c>
      <c r="C270" s="50" t="s">
        <v>601</v>
      </c>
      <c r="D270" s="56" t="s">
        <v>602</v>
      </c>
      <c r="E270" s="50">
        <v>31</v>
      </c>
      <c r="F270" s="50">
        <v>6696</v>
      </c>
    </row>
    <row r="271" spans="2:6" x14ac:dyDescent="0.3">
      <c r="B271" s="50">
        <f t="shared" si="4"/>
        <v>268</v>
      </c>
      <c r="C271" s="50" t="s">
        <v>603</v>
      </c>
      <c r="D271" s="56" t="s">
        <v>604</v>
      </c>
      <c r="E271" s="50">
        <v>31</v>
      </c>
      <c r="F271" s="50">
        <v>6696</v>
      </c>
    </row>
    <row r="272" spans="2:6" x14ac:dyDescent="0.3">
      <c r="B272" s="50">
        <f t="shared" si="4"/>
        <v>269</v>
      </c>
      <c r="C272" s="50" t="s">
        <v>605</v>
      </c>
      <c r="D272" s="56" t="s">
        <v>606</v>
      </c>
      <c r="E272" s="50">
        <v>31</v>
      </c>
      <c r="F272" s="50">
        <v>6975</v>
      </c>
    </row>
    <row r="273" spans="2:6" x14ac:dyDescent="0.3">
      <c r="B273" s="50">
        <f t="shared" si="4"/>
        <v>270</v>
      </c>
      <c r="C273" s="50" t="s">
        <v>607</v>
      </c>
      <c r="D273" s="56" t="s">
        <v>608</v>
      </c>
      <c r="E273" s="50">
        <v>31</v>
      </c>
      <c r="F273" s="50">
        <v>6975</v>
      </c>
    </row>
    <row r="274" spans="2:6" x14ac:dyDescent="0.3">
      <c r="B274" s="50">
        <f t="shared" si="4"/>
        <v>271</v>
      </c>
      <c r="C274" s="50" t="s">
        <v>609</v>
      </c>
      <c r="D274" s="56" t="s">
        <v>610</v>
      </c>
      <c r="E274" s="50">
        <v>31</v>
      </c>
      <c r="F274" s="50">
        <v>6975</v>
      </c>
    </row>
    <row r="275" spans="2:6" x14ac:dyDescent="0.3">
      <c r="B275" s="50">
        <f t="shared" si="4"/>
        <v>272</v>
      </c>
      <c r="C275" s="50" t="s">
        <v>611</v>
      </c>
      <c r="D275" s="56" t="s">
        <v>612</v>
      </c>
      <c r="E275" s="50">
        <v>31</v>
      </c>
      <c r="F275" s="50">
        <v>7285</v>
      </c>
    </row>
    <row r="276" spans="2:6" x14ac:dyDescent="0.3">
      <c r="B276" s="50">
        <f t="shared" si="4"/>
        <v>273</v>
      </c>
      <c r="C276" s="50" t="s">
        <v>613</v>
      </c>
      <c r="D276" s="56" t="s">
        <v>614</v>
      </c>
      <c r="E276" s="50">
        <v>31</v>
      </c>
      <c r="F276" s="50">
        <v>7285</v>
      </c>
    </row>
    <row r="277" spans="2:6" x14ac:dyDescent="0.3">
      <c r="B277" s="50">
        <f t="shared" si="4"/>
        <v>274</v>
      </c>
      <c r="C277" s="50" t="s">
        <v>615</v>
      </c>
      <c r="D277" s="56" t="s">
        <v>616</v>
      </c>
      <c r="E277" s="50">
        <v>31</v>
      </c>
      <c r="F277" s="50">
        <v>7285</v>
      </c>
    </row>
    <row r="278" spans="2:6" x14ac:dyDescent="0.3">
      <c r="B278" s="50">
        <f t="shared" si="4"/>
        <v>275</v>
      </c>
      <c r="C278" s="50" t="s">
        <v>617</v>
      </c>
      <c r="D278" s="56" t="s">
        <v>618</v>
      </c>
      <c r="E278" s="50">
        <v>31</v>
      </c>
      <c r="F278" s="50">
        <v>7595</v>
      </c>
    </row>
    <row r="279" spans="2:6" x14ac:dyDescent="0.3">
      <c r="B279" s="50">
        <f t="shared" si="4"/>
        <v>276</v>
      </c>
      <c r="C279" s="50" t="s">
        <v>619</v>
      </c>
      <c r="D279" s="56" t="s">
        <v>620</v>
      </c>
      <c r="E279" s="50">
        <v>31</v>
      </c>
      <c r="F279" s="50">
        <v>8246</v>
      </c>
    </row>
    <row r="280" spans="2:6" x14ac:dyDescent="0.3">
      <c r="B280" s="50">
        <f t="shared" si="4"/>
        <v>277</v>
      </c>
      <c r="C280" s="50" t="s">
        <v>621</v>
      </c>
      <c r="D280" s="56" t="s">
        <v>622</v>
      </c>
      <c r="E280" s="50">
        <v>31</v>
      </c>
      <c r="F280" s="50">
        <v>8246</v>
      </c>
    </row>
    <row r="281" spans="2:6" x14ac:dyDescent="0.3">
      <c r="B281" s="50">
        <f t="shared" si="4"/>
        <v>278</v>
      </c>
      <c r="C281" s="50" t="s">
        <v>623</v>
      </c>
      <c r="D281" s="56" t="s">
        <v>624</v>
      </c>
      <c r="E281" s="50">
        <v>31</v>
      </c>
      <c r="F281" s="50">
        <v>8401</v>
      </c>
    </row>
    <row r="282" spans="2:6" x14ac:dyDescent="0.3">
      <c r="B282" s="50">
        <f t="shared" si="4"/>
        <v>279</v>
      </c>
      <c r="C282" s="50" t="s">
        <v>625</v>
      </c>
      <c r="D282" s="56" t="s">
        <v>626</v>
      </c>
      <c r="E282" s="50">
        <v>31</v>
      </c>
      <c r="F282" s="50">
        <v>10137</v>
      </c>
    </row>
    <row r="283" spans="2:6" x14ac:dyDescent="0.3">
      <c r="B283" s="50">
        <f t="shared" si="4"/>
        <v>280</v>
      </c>
      <c r="C283" s="50" t="s">
        <v>627</v>
      </c>
      <c r="D283" s="56" t="s">
        <v>628</v>
      </c>
      <c r="E283" s="50">
        <v>31</v>
      </c>
      <c r="F283" s="50">
        <v>8556</v>
      </c>
    </row>
    <row r="284" spans="2:6" x14ac:dyDescent="0.3">
      <c r="B284" s="50">
        <f t="shared" si="4"/>
        <v>281</v>
      </c>
      <c r="C284" s="50" t="s">
        <v>629</v>
      </c>
      <c r="D284" s="56" t="s">
        <v>630</v>
      </c>
      <c r="E284" s="50">
        <v>31</v>
      </c>
      <c r="F284" s="50">
        <v>9486</v>
      </c>
    </row>
    <row r="285" spans="2:6" x14ac:dyDescent="0.3">
      <c r="B285" s="50">
        <f t="shared" si="4"/>
        <v>282</v>
      </c>
      <c r="C285" s="50" t="s">
        <v>631</v>
      </c>
      <c r="D285" s="56" t="s">
        <v>632</v>
      </c>
      <c r="E285" s="50">
        <v>31</v>
      </c>
      <c r="F285" s="50">
        <v>8866</v>
      </c>
    </row>
    <row r="286" spans="2:6" x14ac:dyDescent="0.3">
      <c r="B286" s="50">
        <f t="shared" si="4"/>
        <v>283</v>
      </c>
      <c r="C286" s="50" t="s">
        <v>633</v>
      </c>
      <c r="D286" s="56" t="s">
        <v>634</v>
      </c>
      <c r="E286" s="50">
        <v>31</v>
      </c>
      <c r="F286" s="50">
        <v>8866</v>
      </c>
    </row>
    <row r="287" spans="2:6" x14ac:dyDescent="0.3">
      <c r="B287" s="50">
        <f t="shared" si="4"/>
        <v>284</v>
      </c>
      <c r="C287" s="50" t="s">
        <v>635</v>
      </c>
      <c r="D287" s="56" t="s">
        <v>636</v>
      </c>
      <c r="E287" s="50">
        <v>31</v>
      </c>
      <c r="F287" s="50">
        <v>8866</v>
      </c>
    </row>
    <row r="288" spans="2:6" x14ac:dyDescent="0.3">
      <c r="B288" s="50">
        <f t="shared" si="4"/>
        <v>285</v>
      </c>
      <c r="C288" s="50" t="s">
        <v>637</v>
      </c>
      <c r="D288" s="56" t="s">
        <v>638</v>
      </c>
      <c r="E288" s="50">
        <v>31</v>
      </c>
      <c r="F288" s="50">
        <v>9176</v>
      </c>
    </row>
    <row r="289" spans="2:6" x14ac:dyDescent="0.3">
      <c r="B289" s="50">
        <f t="shared" si="4"/>
        <v>286</v>
      </c>
      <c r="C289" s="50" t="s">
        <v>639</v>
      </c>
      <c r="D289" s="56" t="s">
        <v>640</v>
      </c>
      <c r="E289" s="50">
        <v>31</v>
      </c>
      <c r="F289" s="50">
        <v>9827</v>
      </c>
    </row>
    <row r="290" spans="2:6" x14ac:dyDescent="0.3">
      <c r="B290" s="50">
        <f t="shared" si="4"/>
        <v>287</v>
      </c>
      <c r="C290" s="50" t="s">
        <v>641</v>
      </c>
      <c r="D290" s="56" t="s">
        <v>642</v>
      </c>
      <c r="E290" s="50">
        <v>31</v>
      </c>
      <c r="F290" s="50">
        <v>9486</v>
      </c>
    </row>
    <row r="291" spans="2:6" x14ac:dyDescent="0.3">
      <c r="B291" s="50">
        <f t="shared" si="4"/>
        <v>288</v>
      </c>
      <c r="C291" s="50" t="s">
        <v>643</v>
      </c>
      <c r="D291" s="56" t="s">
        <v>644</v>
      </c>
      <c r="E291" s="50">
        <v>31</v>
      </c>
      <c r="F291" s="50">
        <v>9486</v>
      </c>
    </row>
    <row r="292" spans="2:6" x14ac:dyDescent="0.3">
      <c r="B292" s="50">
        <f t="shared" si="4"/>
        <v>289</v>
      </c>
      <c r="C292" s="50" t="s">
        <v>645</v>
      </c>
      <c r="D292" s="56" t="s">
        <v>646</v>
      </c>
      <c r="E292" s="50">
        <v>31</v>
      </c>
      <c r="F292" s="50">
        <v>9486</v>
      </c>
    </row>
    <row r="293" spans="2:6" x14ac:dyDescent="0.3">
      <c r="B293" s="50">
        <f t="shared" si="4"/>
        <v>290</v>
      </c>
      <c r="C293" s="50" t="s">
        <v>647</v>
      </c>
      <c r="D293" s="56" t="s">
        <v>648</v>
      </c>
      <c r="E293" s="50">
        <v>31</v>
      </c>
      <c r="F293" s="50">
        <v>9486</v>
      </c>
    </row>
    <row r="294" spans="2:6" x14ac:dyDescent="0.3">
      <c r="B294" s="50">
        <f t="shared" si="4"/>
        <v>291</v>
      </c>
      <c r="C294" s="50" t="s">
        <v>649</v>
      </c>
      <c r="D294" s="56" t="s">
        <v>650</v>
      </c>
      <c r="E294" s="50">
        <v>31</v>
      </c>
      <c r="F294" s="50">
        <v>9486</v>
      </c>
    </row>
    <row r="295" spans="2:6" x14ac:dyDescent="0.3">
      <c r="B295" s="50">
        <f t="shared" si="4"/>
        <v>292</v>
      </c>
      <c r="C295" s="50" t="s">
        <v>651</v>
      </c>
      <c r="D295" s="56" t="s">
        <v>652</v>
      </c>
      <c r="E295" s="50">
        <v>31</v>
      </c>
      <c r="F295" s="50">
        <v>9486</v>
      </c>
    </row>
    <row r="296" spans="2:6" x14ac:dyDescent="0.3">
      <c r="B296" s="50">
        <f t="shared" si="4"/>
        <v>293</v>
      </c>
      <c r="C296" s="50" t="s">
        <v>653</v>
      </c>
      <c r="D296" s="56" t="s">
        <v>654</v>
      </c>
      <c r="E296" s="50">
        <v>31</v>
      </c>
      <c r="F296" s="50">
        <v>10137</v>
      </c>
    </row>
    <row r="297" spans="2:6" x14ac:dyDescent="0.3">
      <c r="B297" s="50">
        <f t="shared" si="4"/>
        <v>294</v>
      </c>
      <c r="C297" s="50" t="s">
        <v>655</v>
      </c>
      <c r="D297" s="56" t="s">
        <v>656</v>
      </c>
      <c r="E297" s="50">
        <v>31</v>
      </c>
      <c r="F297" s="50">
        <v>9486</v>
      </c>
    </row>
    <row r="298" spans="2:6" x14ac:dyDescent="0.3">
      <c r="B298" s="50">
        <f t="shared" si="4"/>
        <v>295</v>
      </c>
      <c r="C298" s="50" t="s">
        <v>657</v>
      </c>
      <c r="D298" s="56" t="s">
        <v>658</v>
      </c>
      <c r="E298" s="50">
        <v>31</v>
      </c>
      <c r="F298" s="50">
        <v>9486</v>
      </c>
    </row>
    <row r="299" spans="2:6" x14ac:dyDescent="0.3">
      <c r="B299" s="50">
        <f t="shared" si="4"/>
        <v>296</v>
      </c>
      <c r="C299" s="50" t="s">
        <v>659</v>
      </c>
      <c r="D299" s="56" t="s">
        <v>660</v>
      </c>
      <c r="E299" s="50">
        <v>31</v>
      </c>
      <c r="F299" s="50">
        <v>9486</v>
      </c>
    </row>
    <row r="300" spans="2:6" x14ac:dyDescent="0.3">
      <c r="B300" s="50">
        <f t="shared" si="4"/>
        <v>297</v>
      </c>
      <c r="C300" s="50" t="s">
        <v>661</v>
      </c>
      <c r="D300" s="56" t="s">
        <v>662</v>
      </c>
      <c r="E300" s="50">
        <v>31</v>
      </c>
      <c r="F300" s="50">
        <v>10137</v>
      </c>
    </row>
    <row r="301" spans="2:6" x14ac:dyDescent="0.3">
      <c r="B301" s="50">
        <f t="shared" si="4"/>
        <v>298</v>
      </c>
      <c r="C301" s="50" t="s">
        <v>663</v>
      </c>
      <c r="D301" s="56" t="s">
        <v>664</v>
      </c>
      <c r="E301" s="50">
        <v>31</v>
      </c>
      <c r="F301" s="50">
        <v>10137</v>
      </c>
    </row>
    <row r="302" spans="2:6" x14ac:dyDescent="0.3">
      <c r="B302" s="50">
        <f t="shared" si="4"/>
        <v>299</v>
      </c>
      <c r="C302" s="50" t="s">
        <v>625</v>
      </c>
      <c r="D302" s="56" t="s">
        <v>665</v>
      </c>
      <c r="E302" s="50">
        <v>31</v>
      </c>
      <c r="F302" s="50">
        <v>8556</v>
      </c>
    </row>
    <row r="303" spans="2:6" x14ac:dyDescent="0.3">
      <c r="B303" s="50">
        <f t="shared" si="4"/>
        <v>300</v>
      </c>
      <c r="C303" s="50" t="s">
        <v>666</v>
      </c>
      <c r="D303" s="56" t="s">
        <v>667</v>
      </c>
      <c r="E303" s="50">
        <v>10</v>
      </c>
      <c r="F303" s="50">
        <v>3270</v>
      </c>
    </row>
    <row r="304" spans="2:6" x14ac:dyDescent="0.3">
      <c r="B304" s="50">
        <f t="shared" si="4"/>
        <v>301</v>
      </c>
      <c r="C304" s="50" t="s">
        <v>378</v>
      </c>
      <c r="D304" s="56" t="s">
        <v>668</v>
      </c>
      <c r="E304" s="50">
        <v>31</v>
      </c>
      <c r="F304" s="50">
        <v>10757</v>
      </c>
    </row>
    <row r="305" spans="2:6" x14ac:dyDescent="0.3">
      <c r="B305" s="50">
        <f t="shared" si="4"/>
        <v>302</v>
      </c>
      <c r="C305" s="50" t="s">
        <v>362</v>
      </c>
      <c r="D305" s="56" t="s">
        <v>669</v>
      </c>
      <c r="E305" s="50">
        <v>31</v>
      </c>
      <c r="F305" s="50">
        <v>11067</v>
      </c>
    </row>
    <row r="306" spans="2:6" x14ac:dyDescent="0.3">
      <c r="B306" s="50">
        <f t="shared" si="4"/>
        <v>303</v>
      </c>
      <c r="C306" s="50" t="s">
        <v>670</v>
      </c>
      <c r="D306" s="56" t="s">
        <v>671</v>
      </c>
      <c r="E306" s="50">
        <v>31</v>
      </c>
      <c r="F306" s="50">
        <v>12028</v>
      </c>
    </row>
    <row r="307" spans="2:6" x14ac:dyDescent="0.3">
      <c r="B307" s="50">
        <f t="shared" si="4"/>
        <v>304</v>
      </c>
      <c r="C307" s="50" t="s">
        <v>672</v>
      </c>
      <c r="D307" s="56" t="s">
        <v>673</v>
      </c>
      <c r="E307" s="50">
        <v>31</v>
      </c>
      <c r="F307" s="50">
        <v>12245</v>
      </c>
    </row>
    <row r="308" spans="2:6" x14ac:dyDescent="0.3">
      <c r="B308" s="50">
        <f t="shared" si="4"/>
        <v>305</v>
      </c>
      <c r="C308" s="50" t="s">
        <v>674</v>
      </c>
      <c r="D308" s="56" t="s">
        <v>675</v>
      </c>
      <c r="E308" s="50">
        <v>31</v>
      </c>
      <c r="F308" s="50">
        <v>8246</v>
      </c>
    </row>
    <row r="309" spans="2:6" x14ac:dyDescent="0.3">
      <c r="B309" s="50">
        <f t="shared" si="4"/>
        <v>306</v>
      </c>
      <c r="C309" s="50" t="s">
        <v>676</v>
      </c>
      <c r="D309" s="56" t="s">
        <v>677</v>
      </c>
      <c r="E309" s="50">
        <v>31</v>
      </c>
      <c r="F309" s="50">
        <v>6696</v>
      </c>
    </row>
    <row r="310" spans="2:6" x14ac:dyDescent="0.3">
      <c r="B310" s="50">
        <f t="shared" si="4"/>
        <v>307</v>
      </c>
      <c r="C310" s="50" t="s">
        <v>193</v>
      </c>
      <c r="D310" s="56" t="s">
        <v>678</v>
      </c>
      <c r="E310" s="50">
        <v>31</v>
      </c>
      <c r="F310" s="50">
        <v>7285</v>
      </c>
    </row>
    <row r="311" spans="2:6" x14ac:dyDescent="0.3">
      <c r="B311" s="50">
        <f t="shared" si="4"/>
        <v>308</v>
      </c>
      <c r="C311" s="50" t="s">
        <v>679</v>
      </c>
      <c r="D311" s="56" t="s">
        <v>680</v>
      </c>
      <c r="E311" s="50">
        <v>31</v>
      </c>
      <c r="F311" s="50">
        <v>9486</v>
      </c>
    </row>
    <row r="312" spans="2:6" x14ac:dyDescent="0.3">
      <c r="B312" s="50">
        <f t="shared" si="4"/>
        <v>309</v>
      </c>
      <c r="C312" s="50" t="s">
        <v>681</v>
      </c>
      <c r="D312" s="56" t="s">
        <v>682</v>
      </c>
      <c r="E312" s="50">
        <v>31</v>
      </c>
      <c r="F312" s="50">
        <v>9827</v>
      </c>
    </row>
    <row r="313" spans="2:6" x14ac:dyDescent="0.3">
      <c r="B313" s="50">
        <f t="shared" si="4"/>
        <v>310</v>
      </c>
      <c r="C313" s="50" t="s">
        <v>683</v>
      </c>
      <c r="D313" s="56" t="s">
        <v>684</v>
      </c>
      <c r="E313" s="50">
        <v>25</v>
      </c>
      <c r="F313" s="50">
        <v>8175</v>
      </c>
    </row>
    <row r="314" spans="2:6" x14ac:dyDescent="0.3">
      <c r="B314" s="50">
        <f t="shared" si="4"/>
        <v>311</v>
      </c>
      <c r="C314" s="50" t="s">
        <v>685</v>
      </c>
      <c r="D314" s="56" t="s">
        <v>686</v>
      </c>
      <c r="E314" s="50">
        <v>31</v>
      </c>
      <c r="F314" s="50">
        <v>7905</v>
      </c>
    </row>
    <row r="315" spans="2:6" x14ac:dyDescent="0.3">
      <c r="B315" s="50">
        <f t="shared" si="4"/>
        <v>312</v>
      </c>
      <c r="C315" s="50" t="s">
        <v>687</v>
      </c>
      <c r="D315" s="56" t="s">
        <v>688</v>
      </c>
      <c r="E315" s="50">
        <v>31</v>
      </c>
      <c r="F315" s="50">
        <v>6696</v>
      </c>
    </row>
    <row r="316" spans="2:6" x14ac:dyDescent="0.3">
      <c r="B316" s="50">
        <f t="shared" si="4"/>
        <v>313</v>
      </c>
      <c r="C316" s="50" t="s">
        <v>689</v>
      </c>
      <c r="D316" s="56" t="s">
        <v>690</v>
      </c>
      <c r="E316" s="50">
        <v>6</v>
      </c>
      <c r="F316" s="50">
        <v>1296</v>
      </c>
    </row>
    <row r="317" spans="2:6" x14ac:dyDescent="0.3">
      <c r="B317" s="50">
        <f t="shared" si="4"/>
        <v>314</v>
      </c>
      <c r="C317" s="50" t="s">
        <v>691</v>
      </c>
      <c r="D317" s="56" t="s">
        <v>692</v>
      </c>
      <c r="E317" s="50">
        <v>31</v>
      </c>
      <c r="F317" s="50">
        <v>6696</v>
      </c>
    </row>
    <row r="318" spans="2:6" x14ac:dyDescent="0.3">
      <c r="B318" s="50">
        <f t="shared" si="4"/>
        <v>315</v>
      </c>
      <c r="C318" s="50" t="s">
        <v>693</v>
      </c>
      <c r="D318" s="56" t="s">
        <v>694</v>
      </c>
      <c r="E318" s="50">
        <v>10</v>
      </c>
      <c r="F318" s="50">
        <v>2160</v>
      </c>
    </row>
    <row r="319" spans="2:6" x14ac:dyDescent="0.3">
      <c r="B319" s="50">
        <f t="shared" si="4"/>
        <v>316</v>
      </c>
      <c r="C319" s="50" t="s">
        <v>695</v>
      </c>
      <c r="D319" s="56" t="s">
        <v>696</v>
      </c>
      <c r="E319" s="50">
        <v>31</v>
      </c>
      <c r="F319" s="50">
        <v>6696</v>
      </c>
    </row>
    <row r="320" spans="2:6" x14ac:dyDescent="0.3">
      <c r="B320" s="50">
        <f t="shared" si="4"/>
        <v>317</v>
      </c>
      <c r="C320" s="50" t="s">
        <v>697</v>
      </c>
      <c r="D320" s="56" t="s">
        <v>698</v>
      </c>
      <c r="E320" s="50">
        <v>31</v>
      </c>
      <c r="F320" s="50">
        <v>9827</v>
      </c>
    </row>
    <row r="321" spans="2:6" x14ac:dyDescent="0.3">
      <c r="B321" s="50">
        <f t="shared" si="4"/>
        <v>318</v>
      </c>
      <c r="C321" s="50" t="s">
        <v>699</v>
      </c>
      <c r="D321" s="56" t="s">
        <v>700</v>
      </c>
      <c r="E321" s="50">
        <v>31</v>
      </c>
      <c r="F321" s="50">
        <v>7936</v>
      </c>
    </row>
    <row r="322" spans="2:6" x14ac:dyDescent="0.3">
      <c r="B322" s="50">
        <f t="shared" si="4"/>
        <v>319</v>
      </c>
      <c r="C322" s="50" t="s">
        <v>701</v>
      </c>
      <c r="D322" s="56" t="s">
        <v>702</v>
      </c>
      <c r="E322" s="50">
        <v>31</v>
      </c>
      <c r="F322" s="50">
        <v>7595</v>
      </c>
    </row>
    <row r="323" spans="2:6" x14ac:dyDescent="0.3">
      <c r="B323" s="50">
        <f t="shared" si="4"/>
        <v>320</v>
      </c>
      <c r="C323" s="50" t="s">
        <v>703</v>
      </c>
      <c r="D323" s="56" t="s">
        <v>704</v>
      </c>
      <c r="E323" s="50">
        <v>21</v>
      </c>
      <c r="F323" s="50">
        <v>6006</v>
      </c>
    </row>
    <row r="324" spans="2:6" x14ac:dyDescent="0.3">
      <c r="B324" s="50">
        <f t="shared" si="4"/>
        <v>321</v>
      </c>
      <c r="C324" s="50" t="s">
        <v>705</v>
      </c>
      <c r="D324" s="56" t="s">
        <v>706</v>
      </c>
      <c r="E324" s="50">
        <v>6</v>
      </c>
      <c r="F324" s="50">
        <v>1296</v>
      </c>
    </row>
    <row r="325" spans="2:6" x14ac:dyDescent="0.3">
      <c r="B325" s="50">
        <f t="shared" si="4"/>
        <v>322</v>
      </c>
      <c r="C325" s="50" t="s">
        <v>707</v>
      </c>
      <c r="D325" s="56" t="s">
        <v>708</v>
      </c>
      <c r="E325" s="50">
        <v>31</v>
      </c>
      <c r="F325" s="50">
        <v>6696</v>
      </c>
    </row>
    <row r="326" spans="2:6" x14ac:dyDescent="0.3">
      <c r="B326" s="50">
        <f t="shared" ref="B326:B389" si="5">+B325+1</f>
        <v>323</v>
      </c>
      <c r="C326" s="50" t="s">
        <v>709</v>
      </c>
      <c r="D326" s="56" t="s">
        <v>710</v>
      </c>
      <c r="E326" s="50">
        <v>10</v>
      </c>
      <c r="F326" s="50">
        <v>2160</v>
      </c>
    </row>
    <row r="327" spans="2:6" x14ac:dyDescent="0.3">
      <c r="B327" s="50">
        <f t="shared" si="5"/>
        <v>324</v>
      </c>
      <c r="C327" s="50" t="s">
        <v>151</v>
      </c>
      <c r="D327" s="56" t="s">
        <v>711</v>
      </c>
      <c r="E327" s="50">
        <v>31</v>
      </c>
      <c r="F327" s="50">
        <v>7595</v>
      </c>
    </row>
    <row r="328" spans="2:6" x14ac:dyDescent="0.3">
      <c r="B328" s="50">
        <f t="shared" si="5"/>
        <v>325</v>
      </c>
      <c r="C328" s="50" t="s">
        <v>356</v>
      </c>
      <c r="D328" s="56" t="s">
        <v>712</v>
      </c>
      <c r="E328" s="50">
        <v>31</v>
      </c>
      <c r="F328" s="50">
        <v>7936</v>
      </c>
    </row>
    <row r="329" spans="2:6" x14ac:dyDescent="0.3">
      <c r="B329" s="50">
        <f t="shared" si="5"/>
        <v>326</v>
      </c>
      <c r="C329" s="50" t="s">
        <v>713</v>
      </c>
      <c r="D329" s="56" t="s">
        <v>714</v>
      </c>
      <c r="E329" s="50">
        <v>31</v>
      </c>
      <c r="F329" s="50">
        <v>7936</v>
      </c>
    </row>
    <row r="330" spans="2:6" x14ac:dyDescent="0.3">
      <c r="B330" s="50">
        <f t="shared" si="5"/>
        <v>327</v>
      </c>
      <c r="C330" s="50" t="s">
        <v>715</v>
      </c>
      <c r="D330" s="56" t="s">
        <v>716</v>
      </c>
      <c r="E330" s="50">
        <v>31</v>
      </c>
      <c r="F330" s="50">
        <v>7936</v>
      </c>
    </row>
    <row r="331" spans="2:6" x14ac:dyDescent="0.3">
      <c r="B331" s="50">
        <f t="shared" si="5"/>
        <v>328</v>
      </c>
      <c r="C331" s="50" t="s">
        <v>717</v>
      </c>
      <c r="D331" s="56" t="s">
        <v>718</v>
      </c>
      <c r="E331" s="50">
        <v>31</v>
      </c>
      <c r="F331" s="50">
        <v>7936</v>
      </c>
    </row>
    <row r="332" spans="2:6" x14ac:dyDescent="0.3">
      <c r="B332" s="50">
        <f t="shared" si="5"/>
        <v>329</v>
      </c>
      <c r="C332" s="50" t="s">
        <v>719</v>
      </c>
      <c r="D332" s="56" t="s">
        <v>720</v>
      </c>
      <c r="E332" s="50">
        <v>31</v>
      </c>
      <c r="F332" s="50">
        <v>7936</v>
      </c>
    </row>
    <row r="333" spans="2:6" x14ac:dyDescent="0.3">
      <c r="B333" s="50">
        <f t="shared" si="5"/>
        <v>330</v>
      </c>
      <c r="C333" s="50" t="s">
        <v>721</v>
      </c>
      <c r="D333" s="56" t="s">
        <v>722</v>
      </c>
      <c r="E333" s="50">
        <v>31</v>
      </c>
      <c r="F333" s="50">
        <v>7936</v>
      </c>
    </row>
    <row r="334" spans="2:6" x14ac:dyDescent="0.3">
      <c r="B334" s="50">
        <f t="shared" si="5"/>
        <v>331</v>
      </c>
      <c r="C334" s="50" t="s">
        <v>723</v>
      </c>
      <c r="D334" s="56" t="s">
        <v>724</v>
      </c>
      <c r="E334" s="50">
        <v>8</v>
      </c>
      <c r="F334" s="50">
        <v>2048</v>
      </c>
    </row>
    <row r="335" spans="2:6" x14ac:dyDescent="0.3">
      <c r="B335" s="50">
        <f t="shared" si="5"/>
        <v>332</v>
      </c>
      <c r="C335" s="50" t="s">
        <v>725</v>
      </c>
      <c r="D335" s="56" t="s">
        <v>726</v>
      </c>
      <c r="E335" s="50">
        <v>31</v>
      </c>
      <c r="F335" s="50">
        <v>7936</v>
      </c>
    </row>
    <row r="336" spans="2:6" x14ac:dyDescent="0.3">
      <c r="B336" s="50">
        <f t="shared" si="5"/>
        <v>333</v>
      </c>
      <c r="C336" s="50" t="s">
        <v>727</v>
      </c>
      <c r="D336" s="56" t="s">
        <v>728</v>
      </c>
      <c r="E336" s="50">
        <v>8</v>
      </c>
      <c r="F336" s="50">
        <v>2616</v>
      </c>
    </row>
    <row r="337" spans="2:6" x14ac:dyDescent="0.3">
      <c r="B337" s="50">
        <f t="shared" si="5"/>
        <v>334</v>
      </c>
      <c r="C337" s="50" t="s">
        <v>729</v>
      </c>
      <c r="D337" s="56" t="s">
        <v>730</v>
      </c>
      <c r="E337" s="50">
        <v>14</v>
      </c>
      <c r="F337" s="50">
        <v>4144</v>
      </c>
    </row>
    <row r="338" spans="2:6" x14ac:dyDescent="0.3">
      <c r="B338" s="50">
        <f t="shared" si="5"/>
        <v>335</v>
      </c>
      <c r="C338" s="50" t="s">
        <v>731</v>
      </c>
      <c r="D338" s="56" t="s">
        <v>732</v>
      </c>
      <c r="E338" s="50">
        <v>31</v>
      </c>
      <c r="F338" s="50">
        <v>9176</v>
      </c>
    </row>
    <row r="339" spans="2:6" x14ac:dyDescent="0.3">
      <c r="B339" s="50">
        <f t="shared" si="5"/>
        <v>336</v>
      </c>
      <c r="C339" s="50" t="s">
        <v>733</v>
      </c>
      <c r="D339" s="56" t="s">
        <v>734</v>
      </c>
      <c r="E339" s="50">
        <v>31</v>
      </c>
      <c r="F339" s="50">
        <v>7936</v>
      </c>
    </row>
    <row r="340" spans="2:6" x14ac:dyDescent="0.3">
      <c r="B340" s="50">
        <f t="shared" si="5"/>
        <v>337</v>
      </c>
      <c r="C340" s="50" t="s">
        <v>62</v>
      </c>
      <c r="D340" s="56" t="s">
        <v>735</v>
      </c>
      <c r="E340" s="50">
        <v>20</v>
      </c>
      <c r="F340" s="50">
        <v>5120</v>
      </c>
    </row>
    <row r="341" spans="2:6" x14ac:dyDescent="0.3">
      <c r="B341" s="50">
        <f t="shared" si="5"/>
        <v>338</v>
      </c>
      <c r="C341" s="50" t="s">
        <v>167</v>
      </c>
      <c r="D341" s="56" t="s">
        <v>736</v>
      </c>
      <c r="E341" s="50">
        <v>31</v>
      </c>
      <c r="F341" s="50">
        <v>8866</v>
      </c>
    </row>
    <row r="342" spans="2:6" x14ac:dyDescent="0.3">
      <c r="B342" s="50">
        <f t="shared" si="5"/>
        <v>339</v>
      </c>
      <c r="C342" s="50" t="s">
        <v>737</v>
      </c>
      <c r="D342" s="56" t="s">
        <v>738</v>
      </c>
      <c r="E342" s="50">
        <v>31</v>
      </c>
      <c r="F342" s="50">
        <v>7936</v>
      </c>
    </row>
    <row r="343" spans="2:6" x14ac:dyDescent="0.3">
      <c r="B343" s="50">
        <f t="shared" si="5"/>
        <v>340</v>
      </c>
      <c r="C343" s="50" t="s">
        <v>739</v>
      </c>
      <c r="D343" s="56" t="s">
        <v>740</v>
      </c>
      <c r="E343" s="50">
        <v>31</v>
      </c>
      <c r="F343" s="50">
        <v>11067</v>
      </c>
    </row>
    <row r="344" spans="2:6" x14ac:dyDescent="0.3">
      <c r="B344" s="50">
        <f t="shared" si="5"/>
        <v>341</v>
      </c>
      <c r="C344" s="50" t="s">
        <v>741</v>
      </c>
      <c r="D344" s="56" t="s">
        <v>742</v>
      </c>
      <c r="E344" s="50">
        <v>31</v>
      </c>
      <c r="F344" s="50">
        <v>8246</v>
      </c>
    </row>
    <row r="345" spans="2:6" x14ac:dyDescent="0.3">
      <c r="B345" s="50">
        <f t="shared" si="5"/>
        <v>342</v>
      </c>
      <c r="C345" s="50" t="s">
        <v>743</v>
      </c>
      <c r="D345" s="56" t="s">
        <v>744</v>
      </c>
      <c r="E345" s="50">
        <v>31</v>
      </c>
      <c r="F345" s="50">
        <v>9021</v>
      </c>
    </row>
    <row r="346" spans="2:6" x14ac:dyDescent="0.3">
      <c r="B346" s="50">
        <f t="shared" si="5"/>
        <v>343</v>
      </c>
      <c r="C346" s="50" t="s">
        <v>745</v>
      </c>
      <c r="D346" s="56" t="s">
        <v>746</v>
      </c>
      <c r="E346" s="50">
        <v>1</v>
      </c>
      <c r="F346" s="50">
        <v>306</v>
      </c>
    </row>
    <row r="347" spans="2:6" x14ac:dyDescent="0.3">
      <c r="B347" s="50">
        <f t="shared" si="5"/>
        <v>344</v>
      </c>
      <c r="C347" s="50" t="s">
        <v>747</v>
      </c>
      <c r="D347" s="56" t="s">
        <v>748</v>
      </c>
      <c r="E347" s="50">
        <v>31</v>
      </c>
      <c r="F347" s="50">
        <v>9021</v>
      </c>
    </row>
    <row r="348" spans="2:6" x14ac:dyDescent="0.3">
      <c r="B348" s="50">
        <f t="shared" si="5"/>
        <v>345</v>
      </c>
      <c r="C348" s="50" t="s">
        <v>749</v>
      </c>
      <c r="D348" s="56" t="s">
        <v>750</v>
      </c>
      <c r="E348" s="50">
        <v>31</v>
      </c>
      <c r="F348" s="50">
        <v>8246</v>
      </c>
    </row>
    <row r="349" spans="2:6" x14ac:dyDescent="0.3">
      <c r="B349" s="50">
        <f t="shared" si="5"/>
        <v>346</v>
      </c>
      <c r="C349" s="50" t="s">
        <v>751</v>
      </c>
      <c r="D349" s="56" t="s">
        <v>752</v>
      </c>
      <c r="E349" s="50">
        <v>31</v>
      </c>
      <c r="F349" s="50">
        <v>9021</v>
      </c>
    </row>
    <row r="350" spans="2:6" x14ac:dyDescent="0.3">
      <c r="B350" s="50">
        <f t="shared" si="5"/>
        <v>347</v>
      </c>
      <c r="C350" s="50" t="s">
        <v>753</v>
      </c>
      <c r="D350" s="56" t="s">
        <v>754</v>
      </c>
      <c r="E350" s="50">
        <v>31</v>
      </c>
      <c r="F350" s="50">
        <v>9176</v>
      </c>
    </row>
    <row r="351" spans="2:6" x14ac:dyDescent="0.3">
      <c r="B351" s="50">
        <f t="shared" si="5"/>
        <v>348</v>
      </c>
      <c r="C351" s="50" t="s">
        <v>755</v>
      </c>
      <c r="D351" s="56" t="s">
        <v>756</v>
      </c>
      <c r="E351" s="50">
        <v>25</v>
      </c>
      <c r="F351" s="50">
        <v>5400</v>
      </c>
    </row>
    <row r="352" spans="2:6" x14ac:dyDescent="0.3">
      <c r="B352" s="50">
        <f t="shared" si="5"/>
        <v>349</v>
      </c>
      <c r="C352" s="50" t="s">
        <v>757</v>
      </c>
      <c r="D352" s="56" t="s">
        <v>758</v>
      </c>
      <c r="E352" s="50">
        <v>31</v>
      </c>
      <c r="F352" s="50">
        <v>9486</v>
      </c>
    </row>
    <row r="353" spans="2:6" x14ac:dyDescent="0.3">
      <c r="B353" s="50">
        <f t="shared" si="5"/>
        <v>350</v>
      </c>
      <c r="C353" s="50" t="s">
        <v>731</v>
      </c>
      <c r="D353" s="56" t="s">
        <v>759</v>
      </c>
      <c r="E353" s="50">
        <v>20</v>
      </c>
      <c r="F353" s="50">
        <v>4320</v>
      </c>
    </row>
    <row r="354" spans="2:6" x14ac:dyDescent="0.3">
      <c r="B354" s="50">
        <f t="shared" si="5"/>
        <v>351</v>
      </c>
      <c r="C354" s="50" t="s">
        <v>760</v>
      </c>
      <c r="D354" s="56" t="s">
        <v>761</v>
      </c>
      <c r="E354" s="50">
        <v>31</v>
      </c>
      <c r="F354" s="50">
        <v>9827</v>
      </c>
    </row>
    <row r="355" spans="2:6" x14ac:dyDescent="0.3">
      <c r="B355" s="50">
        <f t="shared" si="5"/>
        <v>352</v>
      </c>
      <c r="C355" s="50" t="s">
        <v>762</v>
      </c>
      <c r="D355" s="56" t="s">
        <v>763</v>
      </c>
      <c r="E355" s="50">
        <v>31</v>
      </c>
      <c r="F355" s="50">
        <v>6820</v>
      </c>
    </row>
    <row r="356" spans="2:6" x14ac:dyDescent="0.3">
      <c r="B356" s="50">
        <f t="shared" si="5"/>
        <v>353</v>
      </c>
      <c r="C356" s="50" t="s">
        <v>764</v>
      </c>
      <c r="D356" s="56" t="s">
        <v>765</v>
      </c>
      <c r="E356" s="50">
        <v>26</v>
      </c>
      <c r="F356" s="50">
        <v>5616</v>
      </c>
    </row>
    <row r="357" spans="2:6" x14ac:dyDescent="0.3">
      <c r="B357" s="50">
        <f t="shared" si="5"/>
        <v>354</v>
      </c>
      <c r="C357" s="50" t="s">
        <v>766</v>
      </c>
      <c r="D357" s="56" t="s">
        <v>767</v>
      </c>
      <c r="E357" s="50">
        <v>31</v>
      </c>
      <c r="F357" s="50">
        <v>12028</v>
      </c>
    </row>
    <row r="358" spans="2:6" x14ac:dyDescent="0.3">
      <c r="B358" s="50">
        <f t="shared" si="5"/>
        <v>355</v>
      </c>
      <c r="C358" s="50" t="s">
        <v>768</v>
      </c>
      <c r="D358" s="56" t="s">
        <v>769</v>
      </c>
      <c r="E358" s="50">
        <v>31</v>
      </c>
      <c r="F358" s="50">
        <v>14756</v>
      </c>
    </row>
    <row r="359" spans="2:6" x14ac:dyDescent="0.3">
      <c r="B359" s="50">
        <f t="shared" si="5"/>
        <v>356</v>
      </c>
      <c r="C359" s="50" t="s">
        <v>469</v>
      </c>
      <c r="D359" s="56" t="s">
        <v>770</v>
      </c>
      <c r="E359" s="50">
        <v>20</v>
      </c>
      <c r="F359" s="50">
        <v>4320</v>
      </c>
    </row>
    <row r="360" spans="2:6" x14ac:dyDescent="0.3">
      <c r="B360" s="50">
        <f t="shared" si="5"/>
        <v>357</v>
      </c>
      <c r="C360" s="50" t="s">
        <v>771</v>
      </c>
      <c r="D360" s="56" t="s">
        <v>772</v>
      </c>
      <c r="E360" s="50">
        <v>31</v>
      </c>
      <c r="F360" s="50">
        <v>9331</v>
      </c>
    </row>
    <row r="361" spans="2:6" x14ac:dyDescent="0.3">
      <c r="B361" s="50">
        <f t="shared" si="5"/>
        <v>358</v>
      </c>
      <c r="C361" s="50" t="s">
        <v>773</v>
      </c>
      <c r="D361" s="56" t="s">
        <v>774</v>
      </c>
      <c r="E361" s="50">
        <v>31</v>
      </c>
      <c r="F361" s="50">
        <v>6696</v>
      </c>
    </row>
    <row r="362" spans="2:6" x14ac:dyDescent="0.3">
      <c r="B362" s="50">
        <f t="shared" si="5"/>
        <v>359</v>
      </c>
      <c r="C362" s="50" t="s">
        <v>775</v>
      </c>
      <c r="D362" s="56" t="s">
        <v>776</v>
      </c>
      <c r="E362" s="50">
        <v>31</v>
      </c>
      <c r="F362" s="50">
        <v>7936</v>
      </c>
    </row>
    <row r="363" spans="2:6" x14ac:dyDescent="0.3">
      <c r="B363" s="50">
        <f t="shared" si="5"/>
        <v>360</v>
      </c>
      <c r="C363" s="50" t="s">
        <v>777</v>
      </c>
      <c r="D363" s="56" t="s">
        <v>778</v>
      </c>
      <c r="E363" s="50">
        <v>31</v>
      </c>
      <c r="F363" s="50">
        <v>7936</v>
      </c>
    </row>
    <row r="364" spans="2:6" x14ac:dyDescent="0.3">
      <c r="B364" s="50">
        <f t="shared" si="5"/>
        <v>361</v>
      </c>
      <c r="C364" s="50" t="s">
        <v>779</v>
      </c>
      <c r="D364" s="56" t="s">
        <v>780</v>
      </c>
      <c r="E364" s="50">
        <v>31</v>
      </c>
      <c r="F364" s="50">
        <v>6696</v>
      </c>
    </row>
    <row r="365" spans="2:6" x14ac:dyDescent="0.3">
      <c r="B365" s="50">
        <f t="shared" si="5"/>
        <v>362</v>
      </c>
      <c r="C365" s="50" t="s">
        <v>781</v>
      </c>
      <c r="D365" s="56" t="s">
        <v>782</v>
      </c>
      <c r="E365" s="50">
        <v>31</v>
      </c>
      <c r="F365" s="50">
        <v>7936</v>
      </c>
    </row>
    <row r="366" spans="2:6" x14ac:dyDescent="0.3">
      <c r="B366" s="50">
        <f t="shared" si="5"/>
        <v>363</v>
      </c>
      <c r="C366" s="50" t="s">
        <v>783</v>
      </c>
      <c r="D366" s="56" t="s">
        <v>784</v>
      </c>
      <c r="E366" s="50">
        <v>31</v>
      </c>
      <c r="F366" s="50">
        <v>6696</v>
      </c>
    </row>
    <row r="367" spans="2:6" x14ac:dyDescent="0.3">
      <c r="B367" s="50">
        <f t="shared" si="5"/>
        <v>364</v>
      </c>
      <c r="C367" s="50" t="s">
        <v>785</v>
      </c>
      <c r="D367" s="56" t="s">
        <v>786</v>
      </c>
      <c r="E367" s="50">
        <v>31</v>
      </c>
      <c r="F367" s="50">
        <v>6696</v>
      </c>
    </row>
    <row r="368" spans="2:6" x14ac:dyDescent="0.3">
      <c r="B368" s="50">
        <f t="shared" si="5"/>
        <v>365</v>
      </c>
      <c r="C368" s="50" t="s">
        <v>193</v>
      </c>
      <c r="D368" s="56" t="s">
        <v>787</v>
      </c>
      <c r="E368" s="50">
        <v>2</v>
      </c>
      <c r="F368" s="50">
        <v>432</v>
      </c>
    </row>
    <row r="369" spans="2:6" x14ac:dyDescent="0.3">
      <c r="B369" s="50">
        <f t="shared" si="5"/>
        <v>366</v>
      </c>
      <c r="C369" s="50" t="s">
        <v>788</v>
      </c>
      <c r="D369" s="56" t="s">
        <v>789</v>
      </c>
      <c r="E369" s="50">
        <v>31</v>
      </c>
      <c r="F369" s="50">
        <v>9176</v>
      </c>
    </row>
    <row r="370" spans="2:6" x14ac:dyDescent="0.3">
      <c r="B370" s="50">
        <f t="shared" si="5"/>
        <v>367</v>
      </c>
      <c r="C370" s="50" t="s">
        <v>790</v>
      </c>
      <c r="D370" s="56" t="s">
        <v>791</v>
      </c>
      <c r="E370" s="50">
        <v>31</v>
      </c>
      <c r="F370" s="50">
        <v>7595</v>
      </c>
    </row>
    <row r="371" spans="2:6" x14ac:dyDescent="0.3">
      <c r="B371" s="50">
        <f t="shared" si="5"/>
        <v>368</v>
      </c>
      <c r="C371" s="50" t="s">
        <v>792</v>
      </c>
      <c r="D371" s="56" t="s">
        <v>793</v>
      </c>
      <c r="E371" s="50">
        <v>31</v>
      </c>
      <c r="F371" s="50">
        <v>6696</v>
      </c>
    </row>
    <row r="372" spans="2:6" x14ac:dyDescent="0.3">
      <c r="B372" s="50">
        <f t="shared" si="5"/>
        <v>369</v>
      </c>
      <c r="C372" s="50" t="s">
        <v>794</v>
      </c>
      <c r="D372" s="56" t="s">
        <v>795</v>
      </c>
      <c r="E372" s="50">
        <v>20</v>
      </c>
      <c r="F372" s="50">
        <v>4320</v>
      </c>
    </row>
    <row r="373" spans="2:6" x14ac:dyDescent="0.3">
      <c r="B373" s="50">
        <f t="shared" si="5"/>
        <v>370</v>
      </c>
      <c r="C373" s="50" t="s">
        <v>796</v>
      </c>
      <c r="D373" s="56" t="s">
        <v>797</v>
      </c>
      <c r="E373" s="50">
        <v>2</v>
      </c>
      <c r="F373" s="50">
        <v>432</v>
      </c>
    </row>
    <row r="374" spans="2:6" x14ac:dyDescent="0.3">
      <c r="B374" s="50">
        <f t="shared" si="5"/>
        <v>371</v>
      </c>
      <c r="C374" s="50" t="s">
        <v>798</v>
      </c>
      <c r="D374" s="56" t="s">
        <v>799</v>
      </c>
      <c r="E374" s="50">
        <v>7</v>
      </c>
      <c r="F374" s="50">
        <v>1792</v>
      </c>
    </row>
    <row r="375" spans="2:6" x14ac:dyDescent="0.3">
      <c r="B375" s="50">
        <f t="shared" si="5"/>
        <v>372</v>
      </c>
      <c r="C375" s="50" t="s">
        <v>800</v>
      </c>
      <c r="D375" s="56" t="s">
        <v>801</v>
      </c>
      <c r="E375" s="50">
        <v>11</v>
      </c>
      <c r="F375" s="50">
        <v>3036</v>
      </c>
    </row>
    <row r="376" spans="2:6" x14ac:dyDescent="0.3">
      <c r="B376" s="50">
        <f t="shared" si="5"/>
        <v>373</v>
      </c>
      <c r="C376" s="50" t="s">
        <v>802</v>
      </c>
      <c r="D376" s="56" t="s">
        <v>803</v>
      </c>
      <c r="E376" s="50">
        <v>31</v>
      </c>
      <c r="F376" s="50">
        <v>6696</v>
      </c>
    </row>
    <row r="377" spans="2:6" x14ac:dyDescent="0.3">
      <c r="B377" s="50">
        <f t="shared" si="5"/>
        <v>374</v>
      </c>
      <c r="C377" s="50" t="s">
        <v>804</v>
      </c>
      <c r="D377" s="56" t="s">
        <v>805</v>
      </c>
      <c r="E377" s="50">
        <v>31</v>
      </c>
      <c r="F377" s="50">
        <v>9021</v>
      </c>
    </row>
    <row r="378" spans="2:6" x14ac:dyDescent="0.3">
      <c r="B378" s="50">
        <f t="shared" si="5"/>
        <v>375</v>
      </c>
      <c r="C378" s="50" t="s">
        <v>806</v>
      </c>
      <c r="D378" s="56" t="s">
        <v>807</v>
      </c>
      <c r="E378" s="50">
        <v>31</v>
      </c>
      <c r="F378" s="50">
        <v>6696</v>
      </c>
    </row>
    <row r="379" spans="2:6" x14ac:dyDescent="0.3">
      <c r="B379" s="50">
        <f t="shared" si="5"/>
        <v>376</v>
      </c>
      <c r="C379" s="50" t="s">
        <v>808</v>
      </c>
      <c r="D379" s="56" t="s">
        <v>809</v>
      </c>
      <c r="E379" s="50">
        <v>31</v>
      </c>
      <c r="F379" s="50">
        <v>6696</v>
      </c>
    </row>
    <row r="380" spans="2:6" x14ac:dyDescent="0.3">
      <c r="B380" s="50">
        <f t="shared" si="5"/>
        <v>377</v>
      </c>
      <c r="C380" s="50" t="s">
        <v>810</v>
      </c>
      <c r="D380" s="56" t="s">
        <v>811</v>
      </c>
      <c r="E380" s="50">
        <v>31</v>
      </c>
      <c r="F380" s="50">
        <v>6696</v>
      </c>
    </row>
    <row r="381" spans="2:6" x14ac:dyDescent="0.3">
      <c r="B381" s="50">
        <f t="shared" si="5"/>
        <v>378</v>
      </c>
      <c r="C381" s="50" t="s">
        <v>812</v>
      </c>
      <c r="D381" s="56" t="s">
        <v>813</v>
      </c>
      <c r="E381" s="50">
        <v>31</v>
      </c>
      <c r="F381" s="50">
        <v>9331</v>
      </c>
    </row>
    <row r="382" spans="2:6" x14ac:dyDescent="0.3">
      <c r="B382" s="50">
        <f t="shared" si="5"/>
        <v>379</v>
      </c>
      <c r="C382" s="50" t="s">
        <v>814</v>
      </c>
      <c r="D382" s="56" t="s">
        <v>815</v>
      </c>
      <c r="E382" s="50">
        <v>31</v>
      </c>
      <c r="F382" s="50">
        <v>6696</v>
      </c>
    </row>
    <row r="383" spans="2:6" x14ac:dyDescent="0.3">
      <c r="B383" s="50">
        <f t="shared" si="5"/>
        <v>380</v>
      </c>
      <c r="C383" s="50" t="s">
        <v>816</v>
      </c>
      <c r="D383" s="56" t="s">
        <v>817</v>
      </c>
      <c r="E383" s="50">
        <v>31</v>
      </c>
      <c r="F383" s="50">
        <v>7936</v>
      </c>
    </row>
    <row r="384" spans="2:6" x14ac:dyDescent="0.3">
      <c r="B384" s="50">
        <f t="shared" si="5"/>
        <v>381</v>
      </c>
      <c r="C384" s="50" t="s">
        <v>818</v>
      </c>
      <c r="D384" s="56" t="s">
        <v>819</v>
      </c>
      <c r="E384" s="50">
        <v>31</v>
      </c>
      <c r="F384" s="50">
        <v>6696</v>
      </c>
    </row>
    <row r="385" spans="2:6" x14ac:dyDescent="0.3">
      <c r="B385" s="50">
        <f t="shared" si="5"/>
        <v>382</v>
      </c>
      <c r="C385" s="50" t="s">
        <v>820</v>
      </c>
      <c r="D385" s="56" t="s">
        <v>821</v>
      </c>
      <c r="E385" s="50">
        <v>31</v>
      </c>
      <c r="F385" s="50">
        <v>6696</v>
      </c>
    </row>
    <row r="386" spans="2:6" x14ac:dyDescent="0.3">
      <c r="B386" s="50">
        <f t="shared" si="5"/>
        <v>383</v>
      </c>
      <c r="C386" s="50" t="s">
        <v>254</v>
      </c>
      <c r="D386" s="56" t="s">
        <v>822</v>
      </c>
      <c r="E386" s="50">
        <v>31</v>
      </c>
      <c r="F386" s="50">
        <v>6696</v>
      </c>
    </row>
    <row r="387" spans="2:6" x14ac:dyDescent="0.3">
      <c r="B387" s="50">
        <f t="shared" si="5"/>
        <v>384</v>
      </c>
      <c r="C387" s="50" t="s">
        <v>823</v>
      </c>
      <c r="D387" s="56" t="s">
        <v>824</v>
      </c>
      <c r="E387" s="50">
        <v>31</v>
      </c>
      <c r="F387" s="50">
        <v>7936</v>
      </c>
    </row>
    <row r="388" spans="2:6" x14ac:dyDescent="0.3">
      <c r="B388" s="50">
        <f t="shared" si="5"/>
        <v>385</v>
      </c>
      <c r="C388" s="50" t="s">
        <v>825</v>
      </c>
      <c r="D388" s="56" t="s">
        <v>826</v>
      </c>
      <c r="E388" s="50">
        <v>31</v>
      </c>
      <c r="F388" s="50">
        <v>6696</v>
      </c>
    </row>
    <row r="389" spans="2:6" x14ac:dyDescent="0.3">
      <c r="B389" s="50">
        <f t="shared" si="5"/>
        <v>386</v>
      </c>
      <c r="C389" s="50" t="s">
        <v>827</v>
      </c>
      <c r="D389" s="56" t="s">
        <v>828</v>
      </c>
      <c r="E389" s="50">
        <v>22</v>
      </c>
      <c r="F389" s="50">
        <v>5390</v>
      </c>
    </row>
    <row r="390" spans="2:6" x14ac:dyDescent="0.3">
      <c r="B390" s="50">
        <f t="shared" ref="B390:B453" si="6">+B389+1</f>
        <v>387</v>
      </c>
      <c r="C390" s="50" t="s">
        <v>829</v>
      </c>
      <c r="D390" s="56" t="s">
        <v>830</v>
      </c>
      <c r="E390" s="50">
        <v>31</v>
      </c>
      <c r="F390" s="50">
        <v>7936</v>
      </c>
    </row>
    <row r="391" spans="2:6" x14ac:dyDescent="0.3">
      <c r="B391" s="50">
        <f t="shared" si="6"/>
        <v>388</v>
      </c>
      <c r="C391" s="50" t="s">
        <v>831</v>
      </c>
      <c r="D391" s="56" t="s">
        <v>832</v>
      </c>
      <c r="E391" s="50">
        <v>7</v>
      </c>
      <c r="F391" s="50">
        <v>1512</v>
      </c>
    </row>
    <row r="392" spans="2:6" x14ac:dyDescent="0.3">
      <c r="B392" s="50">
        <f t="shared" si="6"/>
        <v>389</v>
      </c>
      <c r="C392" s="50" t="s">
        <v>833</v>
      </c>
      <c r="D392" s="56" t="s">
        <v>834</v>
      </c>
      <c r="E392" s="50">
        <v>31</v>
      </c>
      <c r="F392" s="50">
        <v>9021</v>
      </c>
    </row>
    <row r="393" spans="2:6" x14ac:dyDescent="0.3">
      <c r="B393" s="50">
        <f t="shared" si="6"/>
        <v>390</v>
      </c>
      <c r="C393" s="50" t="s">
        <v>835</v>
      </c>
      <c r="D393" s="56" t="s">
        <v>836</v>
      </c>
      <c r="E393" s="50">
        <v>25</v>
      </c>
      <c r="F393" s="50">
        <v>5400</v>
      </c>
    </row>
    <row r="394" spans="2:6" x14ac:dyDescent="0.3">
      <c r="B394" s="50">
        <f t="shared" si="6"/>
        <v>391</v>
      </c>
      <c r="C394" s="50" t="s">
        <v>837</v>
      </c>
      <c r="D394" s="56" t="s">
        <v>838</v>
      </c>
      <c r="E394" s="50">
        <v>20</v>
      </c>
      <c r="F394" s="50">
        <v>4900</v>
      </c>
    </row>
    <row r="395" spans="2:6" x14ac:dyDescent="0.3">
      <c r="B395" s="50">
        <f t="shared" si="6"/>
        <v>392</v>
      </c>
      <c r="C395" s="50" t="s">
        <v>839</v>
      </c>
      <c r="D395" s="56" t="s">
        <v>840</v>
      </c>
      <c r="E395" s="50">
        <v>31</v>
      </c>
      <c r="F395" s="50">
        <v>6696</v>
      </c>
    </row>
    <row r="396" spans="2:6" x14ac:dyDescent="0.3">
      <c r="B396" s="50">
        <f t="shared" si="6"/>
        <v>393</v>
      </c>
      <c r="C396" s="50" t="s">
        <v>841</v>
      </c>
      <c r="D396" s="56" t="s">
        <v>842</v>
      </c>
      <c r="E396" s="50">
        <v>15</v>
      </c>
      <c r="F396" s="50">
        <v>3840</v>
      </c>
    </row>
    <row r="397" spans="2:6" x14ac:dyDescent="0.3">
      <c r="B397" s="50">
        <f t="shared" si="6"/>
        <v>394</v>
      </c>
      <c r="C397" s="50" t="s">
        <v>843</v>
      </c>
      <c r="D397" s="56" t="s">
        <v>844</v>
      </c>
      <c r="E397" s="50">
        <v>31</v>
      </c>
      <c r="F397" s="50">
        <v>7936</v>
      </c>
    </row>
    <row r="398" spans="2:6" x14ac:dyDescent="0.3">
      <c r="B398" s="50">
        <f t="shared" si="6"/>
        <v>395</v>
      </c>
      <c r="C398" s="50" t="s">
        <v>845</v>
      </c>
      <c r="D398" s="56" t="s">
        <v>846</v>
      </c>
      <c r="E398" s="50">
        <v>31</v>
      </c>
      <c r="F398" s="50">
        <v>6696</v>
      </c>
    </row>
    <row r="399" spans="2:6" x14ac:dyDescent="0.3">
      <c r="B399" s="50">
        <f t="shared" si="6"/>
        <v>396</v>
      </c>
      <c r="C399" s="50" t="s">
        <v>847</v>
      </c>
      <c r="D399" s="56" t="s">
        <v>848</v>
      </c>
      <c r="E399" s="50">
        <v>31</v>
      </c>
      <c r="F399" s="50">
        <v>9827</v>
      </c>
    </row>
    <row r="400" spans="2:6" x14ac:dyDescent="0.3">
      <c r="B400" s="50">
        <f t="shared" si="6"/>
        <v>397</v>
      </c>
      <c r="C400" s="50" t="s">
        <v>849</v>
      </c>
      <c r="D400" s="56" t="s">
        <v>850</v>
      </c>
      <c r="E400" s="50">
        <v>31</v>
      </c>
      <c r="F400" s="50">
        <v>6696</v>
      </c>
    </row>
    <row r="401" spans="2:6" x14ac:dyDescent="0.3">
      <c r="B401" s="50">
        <f t="shared" si="6"/>
        <v>398</v>
      </c>
      <c r="C401" s="50" t="s">
        <v>851</v>
      </c>
      <c r="D401" s="56" t="s">
        <v>852</v>
      </c>
      <c r="E401" s="50">
        <v>31</v>
      </c>
      <c r="F401" s="50">
        <v>6696</v>
      </c>
    </row>
    <row r="402" spans="2:6" x14ac:dyDescent="0.3">
      <c r="B402" s="50">
        <f t="shared" si="6"/>
        <v>399</v>
      </c>
      <c r="C402" s="50" t="s">
        <v>853</v>
      </c>
      <c r="D402" s="56" t="s">
        <v>854</v>
      </c>
      <c r="E402" s="50">
        <v>31</v>
      </c>
      <c r="F402" s="50">
        <v>6696</v>
      </c>
    </row>
    <row r="403" spans="2:6" x14ac:dyDescent="0.3">
      <c r="B403" s="50">
        <f t="shared" si="6"/>
        <v>400</v>
      </c>
      <c r="C403" s="50" t="s">
        <v>855</v>
      </c>
      <c r="D403" s="56" t="s">
        <v>856</v>
      </c>
      <c r="E403" s="50">
        <v>31</v>
      </c>
      <c r="F403" s="50">
        <v>10757</v>
      </c>
    </row>
    <row r="404" spans="2:6" x14ac:dyDescent="0.3">
      <c r="B404" s="50">
        <f t="shared" si="6"/>
        <v>401</v>
      </c>
      <c r="C404" s="50" t="s">
        <v>857</v>
      </c>
      <c r="D404" s="56" t="s">
        <v>858</v>
      </c>
      <c r="E404" s="50">
        <v>31</v>
      </c>
      <c r="F404" s="50">
        <v>10137</v>
      </c>
    </row>
    <row r="405" spans="2:6" x14ac:dyDescent="0.3">
      <c r="B405" s="50">
        <f t="shared" si="6"/>
        <v>402</v>
      </c>
      <c r="C405" s="50" t="s">
        <v>859</v>
      </c>
      <c r="D405" s="56" t="s">
        <v>860</v>
      </c>
      <c r="E405" s="50">
        <v>31</v>
      </c>
      <c r="F405" s="50">
        <v>6696</v>
      </c>
    </row>
    <row r="406" spans="2:6" x14ac:dyDescent="0.3">
      <c r="B406" s="50">
        <f t="shared" si="6"/>
        <v>403</v>
      </c>
      <c r="C406" s="50" t="s">
        <v>861</v>
      </c>
      <c r="D406" s="56" t="s">
        <v>862</v>
      </c>
      <c r="E406" s="50">
        <v>31</v>
      </c>
      <c r="F406" s="50">
        <v>6696</v>
      </c>
    </row>
    <row r="407" spans="2:6" x14ac:dyDescent="0.3">
      <c r="B407" s="50">
        <f t="shared" si="6"/>
        <v>404</v>
      </c>
      <c r="C407" s="50" t="s">
        <v>133</v>
      </c>
      <c r="D407" s="56" t="s">
        <v>863</v>
      </c>
      <c r="E407" s="50">
        <v>31</v>
      </c>
      <c r="F407" s="50">
        <v>6696</v>
      </c>
    </row>
    <row r="408" spans="2:6" x14ac:dyDescent="0.3">
      <c r="B408" s="50">
        <f t="shared" si="6"/>
        <v>405</v>
      </c>
      <c r="C408" s="50" t="s">
        <v>864</v>
      </c>
      <c r="D408" s="56" t="s">
        <v>865</v>
      </c>
      <c r="E408" s="50">
        <v>31</v>
      </c>
      <c r="F408" s="50">
        <v>9176</v>
      </c>
    </row>
    <row r="409" spans="2:6" x14ac:dyDescent="0.3">
      <c r="B409" s="50">
        <f t="shared" si="6"/>
        <v>406</v>
      </c>
      <c r="C409" s="50" t="s">
        <v>866</v>
      </c>
      <c r="D409" s="56" t="s">
        <v>867</v>
      </c>
      <c r="E409" s="50">
        <v>31</v>
      </c>
      <c r="F409" s="50">
        <v>7905</v>
      </c>
    </row>
    <row r="410" spans="2:6" x14ac:dyDescent="0.3">
      <c r="B410" s="50">
        <f t="shared" si="6"/>
        <v>407</v>
      </c>
      <c r="C410" s="50" t="s">
        <v>868</v>
      </c>
      <c r="D410" s="56" t="s">
        <v>869</v>
      </c>
      <c r="E410" s="50">
        <v>31</v>
      </c>
      <c r="F410" s="50">
        <v>6696</v>
      </c>
    </row>
    <row r="411" spans="2:6" x14ac:dyDescent="0.3">
      <c r="B411" s="50">
        <f t="shared" si="6"/>
        <v>408</v>
      </c>
      <c r="C411" s="50" t="s">
        <v>870</v>
      </c>
      <c r="D411" s="56" t="s">
        <v>871</v>
      </c>
      <c r="E411" s="50">
        <v>31</v>
      </c>
      <c r="F411" s="50">
        <v>6696</v>
      </c>
    </row>
    <row r="412" spans="2:6" x14ac:dyDescent="0.3">
      <c r="B412" s="50">
        <f t="shared" si="6"/>
        <v>409</v>
      </c>
      <c r="C412" s="50" t="s">
        <v>872</v>
      </c>
      <c r="D412" s="56" t="s">
        <v>873</v>
      </c>
      <c r="E412" s="50">
        <v>31</v>
      </c>
      <c r="F412" s="50">
        <v>10757</v>
      </c>
    </row>
    <row r="413" spans="2:6" x14ac:dyDescent="0.3">
      <c r="B413" s="50">
        <f t="shared" si="6"/>
        <v>410</v>
      </c>
      <c r="C413" s="50" t="s">
        <v>469</v>
      </c>
      <c r="D413" s="56" t="s">
        <v>874</v>
      </c>
      <c r="E413" s="50">
        <v>5</v>
      </c>
      <c r="F413" s="50">
        <v>1450</v>
      </c>
    </row>
    <row r="414" spans="2:6" x14ac:dyDescent="0.3">
      <c r="B414" s="50">
        <f t="shared" si="6"/>
        <v>411</v>
      </c>
      <c r="C414" s="50" t="s">
        <v>875</v>
      </c>
      <c r="D414" s="56" t="s">
        <v>876</v>
      </c>
      <c r="E414" s="50">
        <v>31</v>
      </c>
      <c r="F414" s="50">
        <v>6656</v>
      </c>
    </row>
    <row r="415" spans="2:6" x14ac:dyDescent="0.3">
      <c r="B415" s="50">
        <f t="shared" si="6"/>
        <v>412</v>
      </c>
      <c r="C415" s="50" t="s">
        <v>877</v>
      </c>
      <c r="D415" s="56" t="s">
        <v>878</v>
      </c>
      <c r="E415" s="50">
        <v>31</v>
      </c>
      <c r="F415" s="50">
        <v>6656</v>
      </c>
    </row>
    <row r="416" spans="2:6" x14ac:dyDescent="0.3">
      <c r="B416" s="50">
        <f t="shared" si="6"/>
        <v>413</v>
      </c>
      <c r="C416" s="50" t="s">
        <v>879</v>
      </c>
      <c r="D416" s="56" t="s">
        <v>880</v>
      </c>
      <c r="E416" s="50">
        <v>31</v>
      </c>
      <c r="F416" s="50">
        <v>6656</v>
      </c>
    </row>
    <row r="417" spans="2:6" x14ac:dyDescent="0.3">
      <c r="B417" s="50">
        <f t="shared" si="6"/>
        <v>414</v>
      </c>
      <c r="C417" s="50" t="s">
        <v>881</v>
      </c>
      <c r="D417" s="56" t="s">
        <v>882</v>
      </c>
      <c r="E417" s="50">
        <v>31</v>
      </c>
      <c r="F417" s="50">
        <v>6987</v>
      </c>
    </row>
    <row r="418" spans="2:6" x14ac:dyDescent="0.3">
      <c r="B418" s="50">
        <f t="shared" si="6"/>
        <v>415</v>
      </c>
      <c r="C418" s="50" t="s">
        <v>883</v>
      </c>
      <c r="D418" s="56" t="s">
        <v>884</v>
      </c>
      <c r="E418" s="50">
        <v>31</v>
      </c>
      <c r="F418" s="50">
        <v>10743</v>
      </c>
    </row>
    <row r="419" spans="2:6" x14ac:dyDescent="0.3">
      <c r="B419" s="50">
        <f t="shared" si="6"/>
        <v>416</v>
      </c>
      <c r="C419" s="50" t="s">
        <v>885</v>
      </c>
      <c r="D419" s="56" t="s">
        <v>886</v>
      </c>
      <c r="E419" s="50">
        <v>31</v>
      </c>
      <c r="F419" s="50">
        <v>9961</v>
      </c>
    </row>
    <row r="420" spans="2:6" x14ac:dyDescent="0.3">
      <c r="B420" s="50">
        <f t="shared" si="6"/>
        <v>417</v>
      </c>
      <c r="C420" s="50" t="s">
        <v>887</v>
      </c>
      <c r="D420" s="56" t="s">
        <v>888</v>
      </c>
      <c r="E420" s="50">
        <v>31</v>
      </c>
      <c r="F420" s="50">
        <v>6656</v>
      </c>
    </row>
    <row r="421" spans="2:6" x14ac:dyDescent="0.3">
      <c r="B421" s="50">
        <f t="shared" si="6"/>
        <v>418</v>
      </c>
      <c r="C421" s="50" t="s">
        <v>889</v>
      </c>
      <c r="D421" s="56" t="s">
        <v>890</v>
      </c>
      <c r="E421" s="50">
        <v>31</v>
      </c>
      <c r="F421" s="50">
        <v>6656</v>
      </c>
    </row>
    <row r="422" spans="2:6" x14ac:dyDescent="0.3">
      <c r="B422" s="50">
        <f t="shared" si="6"/>
        <v>419</v>
      </c>
      <c r="C422" s="50" t="s">
        <v>891</v>
      </c>
      <c r="D422" s="56" t="s">
        <v>892</v>
      </c>
      <c r="E422" s="50">
        <v>3</v>
      </c>
      <c r="F422" s="50">
        <v>692</v>
      </c>
    </row>
    <row r="423" spans="2:6" x14ac:dyDescent="0.3">
      <c r="B423" s="50">
        <f t="shared" si="6"/>
        <v>420</v>
      </c>
      <c r="C423" s="50" t="s">
        <v>893</v>
      </c>
      <c r="D423" s="56" t="s">
        <v>894</v>
      </c>
      <c r="E423" s="50">
        <v>30</v>
      </c>
      <c r="F423" s="50">
        <v>13343</v>
      </c>
    </row>
    <row r="424" spans="2:6" x14ac:dyDescent="0.3">
      <c r="B424" s="50">
        <f t="shared" si="6"/>
        <v>421</v>
      </c>
      <c r="C424" s="50" t="s">
        <v>895</v>
      </c>
      <c r="D424" s="56" t="s">
        <v>896</v>
      </c>
      <c r="E424" s="50">
        <v>31</v>
      </c>
      <c r="F424" s="50">
        <v>10770</v>
      </c>
    </row>
    <row r="425" spans="2:6" x14ac:dyDescent="0.3">
      <c r="B425" s="50">
        <f t="shared" si="6"/>
        <v>422</v>
      </c>
      <c r="C425" s="50" t="s">
        <v>897</v>
      </c>
      <c r="D425" s="56" t="s">
        <v>898</v>
      </c>
      <c r="E425" s="50">
        <v>31</v>
      </c>
      <c r="F425" s="50">
        <v>14888</v>
      </c>
    </row>
    <row r="426" spans="2:6" x14ac:dyDescent="0.3">
      <c r="B426" s="50">
        <f t="shared" si="6"/>
        <v>423</v>
      </c>
      <c r="C426" s="50" t="s">
        <v>899</v>
      </c>
      <c r="D426" s="56" t="s">
        <v>900</v>
      </c>
      <c r="E426" s="50">
        <v>31</v>
      </c>
      <c r="F426" s="50">
        <v>14888</v>
      </c>
    </row>
    <row r="427" spans="2:6" x14ac:dyDescent="0.3">
      <c r="B427" s="50">
        <f t="shared" si="6"/>
        <v>424</v>
      </c>
      <c r="C427" s="50" t="s">
        <v>901</v>
      </c>
      <c r="D427" s="56" t="s">
        <v>902</v>
      </c>
      <c r="E427" s="50">
        <v>31</v>
      </c>
      <c r="F427" s="50">
        <v>7146</v>
      </c>
    </row>
    <row r="428" spans="2:6" x14ac:dyDescent="0.3">
      <c r="B428" s="50">
        <f t="shared" si="6"/>
        <v>425</v>
      </c>
      <c r="C428" s="50" t="s">
        <v>193</v>
      </c>
      <c r="D428" s="56" t="s">
        <v>903</v>
      </c>
      <c r="E428" s="50">
        <v>31</v>
      </c>
      <c r="F428" s="50">
        <v>14545</v>
      </c>
    </row>
    <row r="429" spans="2:6" x14ac:dyDescent="0.3">
      <c r="B429" s="50">
        <f t="shared" si="6"/>
        <v>426</v>
      </c>
      <c r="C429" s="50" t="s">
        <v>904</v>
      </c>
      <c r="D429" s="56" t="s">
        <v>905</v>
      </c>
      <c r="E429" s="50">
        <v>27</v>
      </c>
      <c r="F429" s="50">
        <v>5980</v>
      </c>
    </row>
    <row r="430" spans="2:6" x14ac:dyDescent="0.3">
      <c r="B430" s="50">
        <f t="shared" si="6"/>
        <v>427</v>
      </c>
      <c r="C430" s="50" t="s">
        <v>906</v>
      </c>
      <c r="D430" s="56" t="s">
        <v>907</v>
      </c>
      <c r="E430" s="50">
        <v>31</v>
      </c>
      <c r="F430" s="50">
        <v>9832</v>
      </c>
    </row>
    <row r="431" spans="2:6" x14ac:dyDescent="0.3">
      <c r="B431" s="50">
        <f t="shared" si="6"/>
        <v>428</v>
      </c>
      <c r="C431" s="50" t="s">
        <v>908</v>
      </c>
      <c r="D431" s="56" t="s">
        <v>909</v>
      </c>
      <c r="E431" s="50">
        <v>31</v>
      </c>
      <c r="F431" s="50">
        <v>9832</v>
      </c>
    </row>
    <row r="432" spans="2:6" x14ac:dyDescent="0.3">
      <c r="B432" s="50">
        <f t="shared" si="6"/>
        <v>429</v>
      </c>
      <c r="C432" s="50" t="s">
        <v>378</v>
      </c>
      <c r="D432" s="56" t="s">
        <v>910</v>
      </c>
      <c r="E432" s="50">
        <v>31</v>
      </c>
      <c r="F432" s="50">
        <v>9832</v>
      </c>
    </row>
    <row r="433" spans="2:6" x14ac:dyDescent="0.3">
      <c r="B433" s="50">
        <f t="shared" si="6"/>
        <v>430</v>
      </c>
      <c r="C433" s="50" t="s">
        <v>911</v>
      </c>
      <c r="D433" s="56" t="s">
        <v>912</v>
      </c>
      <c r="E433" s="50">
        <v>3</v>
      </c>
      <c r="F433" s="50">
        <v>648</v>
      </c>
    </row>
    <row r="434" spans="2:6" x14ac:dyDescent="0.3">
      <c r="B434" s="50">
        <f t="shared" si="6"/>
        <v>431</v>
      </c>
      <c r="C434" s="50" t="s">
        <v>913</v>
      </c>
      <c r="D434" s="56" t="s">
        <v>914</v>
      </c>
      <c r="E434" s="50">
        <v>20</v>
      </c>
      <c r="F434" s="50">
        <v>5720</v>
      </c>
    </row>
    <row r="435" spans="2:6" x14ac:dyDescent="0.3">
      <c r="B435" s="50">
        <f t="shared" si="6"/>
        <v>432</v>
      </c>
      <c r="C435" s="50" t="s">
        <v>915</v>
      </c>
      <c r="D435" s="56" t="s">
        <v>916</v>
      </c>
      <c r="E435" s="50">
        <v>31</v>
      </c>
      <c r="F435" s="50">
        <v>6696</v>
      </c>
    </row>
    <row r="436" spans="2:6" x14ac:dyDescent="0.3">
      <c r="B436" s="50">
        <f t="shared" si="6"/>
        <v>433</v>
      </c>
      <c r="C436" s="50" t="s">
        <v>917</v>
      </c>
      <c r="D436" s="56" t="s">
        <v>918</v>
      </c>
      <c r="E436" s="50">
        <v>31</v>
      </c>
      <c r="F436" s="50">
        <v>8525</v>
      </c>
    </row>
    <row r="437" spans="2:6" x14ac:dyDescent="0.3">
      <c r="B437" s="50">
        <f t="shared" si="6"/>
        <v>434</v>
      </c>
      <c r="C437" s="50" t="s">
        <v>919</v>
      </c>
      <c r="D437" s="56" t="s">
        <v>920</v>
      </c>
      <c r="E437" s="50">
        <v>31</v>
      </c>
      <c r="F437" s="50">
        <v>7905</v>
      </c>
    </row>
    <row r="438" spans="2:6" x14ac:dyDescent="0.3">
      <c r="B438" s="50">
        <f t="shared" si="6"/>
        <v>435</v>
      </c>
      <c r="C438" s="50" t="s">
        <v>921</v>
      </c>
      <c r="D438" s="56" t="s">
        <v>922</v>
      </c>
      <c r="E438" s="50">
        <v>31</v>
      </c>
      <c r="F438" s="50">
        <v>8401</v>
      </c>
    </row>
    <row r="439" spans="2:6" x14ac:dyDescent="0.3">
      <c r="B439" s="50">
        <f t="shared" si="6"/>
        <v>436</v>
      </c>
      <c r="C439" s="50" t="s">
        <v>923</v>
      </c>
      <c r="D439" s="56" t="s">
        <v>924</v>
      </c>
      <c r="E439" s="50">
        <v>31</v>
      </c>
      <c r="F439" s="50">
        <v>15000</v>
      </c>
    </row>
    <row r="440" spans="2:6" x14ac:dyDescent="0.3">
      <c r="B440" s="50">
        <f t="shared" si="6"/>
        <v>437</v>
      </c>
      <c r="C440" s="50" t="s">
        <v>925</v>
      </c>
      <c r="D440" s="56" t="s">
        <v>926</v>
      </c>
      <c r="E440" s="50">
        <v>31</v>
      </c>
      <c r="F440" s="50">
        <v>15000</v>
      </c>
    </row>
    <row r="441" spans="2:6" x14ac:dyDescent="0.3">
      <c r="B441" s="50">
        <f t="shared" si="6"/>
        <v>438</v>
      </c>
      <c r="C441" s="50" t="s">
        <v>927</v>
      </c>
      <c r="D441" s="56" t="s">
        <v>928</v>
      </c>
      <c r="E441" s="50">
        <v>31</v>
      </c>
      <c r="F441" s="50">
        <v>15000</v>
      </c>
    </row>
    <row r="442" spans="2:6" x14ac:dyDescent="0.3">
      <c r="B442" s="50">
        <f t="shared" si="6"/>
        <v>439</v>
      </c>
      <c r="C442" s="50" t="s">
        <v>929</v>
      </c>
      <c r="D442" s="56" t="s">
        <v>930</v>
      </c>
      <c r="E442" s="50">
        <v>31</v>
      </c>
      <c r="F442" s="50">
        <v>15000</v>
      </c>
    </row>
    <row r="443" spans="2:6" x14ac:dyDescent="0.3">
      <c r="B443" s="50">
        <f t="shared" si="6"/>
        <v>440</v>
      </c>
      <c r="C443" s="50" t="s">
        <v>931</v>
      </c>
      <c r="D443" s="56" t="s">
        <v>932</v>
      </c>
      <c r="E443" s="50">
        <v>31</v>
      </c>
      <c r="F443" s="50">
        <v>10202</v>
      </c>
    </row>
    <row r="444" spans="2:6" x14ac:dyDescent="0.3">
      <c r="B444" s="50">
        <f t="shared" si="6"/>
        <v>441</v>
      </c>
      <c r="C444" s="50" t="s">
        <v>933</v>
      </c>
      <c r="D444" s="56" t="s">
        <v>934</v>
      </c>
      <c r="E444" s="50">
        <v>31</v>
      </c>
      <c r="F444" s="50">
        <v>7779</v>
      </c>
    </row>
    <row r="445" spans="2:6" x14ac:dyDescent="0.3">
      <c r="B445" s="50">
        <f t="shared" si="6"/>
        <v>442</v>
      </c>
      <c r="C445" s="50" t="s">
        <v>935</v>
      </c>
      <c r="D445" s="56" t="s">
        <v>936</v>
      </c>
      <c r="E445" s="50">
        <v>31</v>
      </c>
      <c r="F445" s="50">
        <v>15000</v>
      </c>
    </row>
    <row r="446" spans="2:6" x14ac:dyDescent="0.3">
      <c r="B446" s="50">
        <f t="shared" si="6"/>
        <v>443</v>
      </c>
      <c r="C446" s="50" t="s">
        <v>937</v>
      </c>
      <c r="D446" s="56" t="s">
        <v>938</v>
      </c>
      <c r="E446" s="50">
        <v>31</v>
      </c>
      <c r="F446" s="50">
        <v>8814</v>
      </c>
    </row>
    <row r="447" spans="2:6" x14ac:dyDescent="0.3">
      <c r="B447" s="50">
        <f t="shared" si="6"/>
        <v>444</v>
      </c>
      <c r="C447" s="50" t="s">
        <v>939</v>
      </c>
      <c r="D447" s="56" t="s">
        <v>940</v>
      </c>
      <c r="E447" s="50">
        <v>31</v>
      </c>
      <c r="F447" s="50">
        <v>15000</v>
      </c>
    </row>
    <row r="448" spans="2:6" x14ac:dyDescent="0.3">
      <c r="B448" s="50">
        <f t="shared" si="6"/>
        <v>445</v>
      </c>
      <c r="C448" s="50" t="s">
        <v>941</v>
      </c>
      <c r="D448" s="56" t="s">
        <v>942</v>
      </c>
      <c r="E448" s="50">
        <v>31</v>
      </c>
      <c r="F448" s="50">
        <v>8814</v>
      </c>
    </row>
    <row r="449" spans="2:6" x14ac:dyDescent="0.3">
      <c r="B449" s="50">
        <f t="shared" si="6"/>
        <v>446</v>
      </c>
      <c r="C449" s="50" t="s">
        <v>943</v>
      </c>
      <c r="D449" s="56" t="s">
        <v>944</v>
      </c>
      <c r="E449" s="50">
        <v>31</v>
      </c>
      <c r="F449" s="50">
        <v>8814</v>
      </c>
    </row>
    <row r="450" spans="2:6" x14ac:dyDescent="0.3">
      <c r="B450" s="50">
        <f t="shared" si="6"/>
        <v>447</v>
      </c>
      <c r="C450" s="50" t="s">
        <v>945</v>
      </c>
      <c r="D450" s="56" t="s">
        <v>946</v>
      </c>
      <c r="E450" s="50">
        <v>31</v>
      </c>
      <c r="F450" s="50">
        <v>8814</v>
      </c>
    </row>
    <row r="451" spans="2:6" x14ac:dyDescent="0.3">
      <c r="B451" s="50">
        <f t="shared" si="6"/>
        <v>448</v>
      </c>
      <c r="C451" s="50" t="s">
        <v>947</v>
      </c>
      <c r="D451" s="56" t="s">
        <v>948</v>
      </c>
      <c r="E451" s="50">
        <v>31</v>
      </c>
      <c r="F451" s="50">
        <v>8814</v>
      </c>
    </row>
    <row r="452" spans="2:6" x14ac:dyDescent="0.3">
      <c r="B452" s="50">
        <f t="shared" si="6"/>
        <v>449</v>
      </c>
      <c r="C452" s="50" t="s">
        <v>949</v>
      </c>
      <c r="D452" s="56" t="s">
        <v>950</v>
      </c>
      <c r="E452" s="50">
        <v>31</v>
      </c>
      <c r="F452" s="50">
        <v>8334</v>
      </c>
    </row>
    <row r="453" spans="2:6" x14ac:dyDescent="0.3">
      <c r="B453" s="50">
        <f t="shared" si="6"/>
        <v>450</v>
      </c>
      <c r="C453" s="50" t="s">
        <v>951</v>
      </c>
      <c r="D453" s="56" t="s">
        <v>952</v>
      </c>
      <c r="E453" s="50">
        <v>31</v>
      </c>
      <c r="F453" s="50">
        <v>13537</v>
      </c>
    </row>
    <row r="454" spans="2:6" x14ac:dyDescent="0.3">
      <c r="B454" s="50">
        <f t="shared" ref="B454:B517" si="7">+B453+1</f>
        <v>451</v>
      </c>
      <c r="C454" s="50" t="s">
        <v>953</v>
      </c>
      <c r="D454" s="56" t="s">
        <v>954</v>
      </c>
      <c r="E454" s="50">
        <v>31</v>
      </c>
      <c r="F454" s="50">
        <v>12688</v>
      </c>
    </row>
    <row r="455" spans="2:6" x14ac:dyDescent="0.3">
      <c r="B455" s="50">
        <f t="shared" si="7"/>
        <v>452</v>
      </c>
      <c r="C455" s="50" t="s">
        <v>955</v>
      </c>
      <c r="D455" s="56" t="s">
        <v>956</v>
      </c>
      <c r="E455" s="50">
        <v>31</v>
      </c>
      <c r="F455" s="50">
        <v>10661</v>
      </c>
    </row>
    <row r="456" spans="2:6" x14ac:dyDescent="0.3">
      <c r="B456" s="50">
        <f t="shared" si="7"/>
        <v>453</v>
      </c>
      <c r="C456" s="50" t="s">
        <v>957</v>
      </c>
      <c r="D456" s="56" t="s">
        <v>958</v>
      </c>
      <c r="E456" s="50">
        <v>31</v>
      </c>
      <c r="F456" s="50">
        <v>14250</v>
      </c>
    </row>
    <row r="457" spans="2:6" x14ac:dyDescent="0.3">
      <c r="B457" s="50">
        <f t="shared" si="7"/>
        <v>454</v>
      </c>
      <c r="C457" s="50" t="s">
        <v>959</v>
      </c>
      <c r="D457" s="56" t="s">
        <v>960</v>
      </c>
      <c r="E457" s="50">
        <v>31</v>
      </c>
      <c r="F457" s="50">
        <v>9661</v>
      </c>
    </row>
    <row r="458" spans="2:6" x14ac:dyDescent="0.3">
      <c r="B458" s="50">
        <f t="shared" si="7"/>
        <v>455</v>
      </c>
      <c r="C458" s="50" t="s">
        <v>961</v>
      </c>
      <c r="D458" s="56" t="s">
        <v>962</v>
      </c>
      <c r="E458" s="50">
        <v>28</v>
      </c>
      <c r="F458" s="50">
        <v>6037</v>
      </c>
    </row>
    <row r="459" spans="2:6" x14ac:dyDescent="0.3">
      <c r="B459" s="50">
        <f t="shared" si="7"/>
        <v>456</v>
      </c>
      <c r="C459" s="50" t="s">
        <v>963</v>
      </c>
      <c r="D459" s="56" t="s">
        <v>964</v>
      </c>
      <c r="E459" s="50">
        <v>23</v>
      </c>
      <c r="F459" s="50">
        <v>4938</v>
      </c>
    </row>
    <row r="460" spans="2:6" x14ac:dyDescent="0.3">
      <c r="B460" s="50">
        <f t="shared" si="7"/>
        <v>457</v>
      </c>
      <c r="C460" s="50" t="s">
        <v>965</v>
      </c>
      <c r="D460" s="56" t="s">
        <v>966</v>
      </c>
      <c r="E460" s="50">
        <v>25</v>
      </c>
      <c r="F460" s="50">
        <v>5368</v>
      </c>
    </row>
    <row r="461" spans="2:6" x14ac:dyDescent="0.3">
      <c r="B461" s="50">
        <f t="shared" si="7"/>
        <v>458</v>
      </c>
      <c r="C461" s="50" t="s">
        <v>967</v>
      </c>
      <c r="D461" s="56" t="s">
        <v>968</v>
      </c>
      <c r="E461" s="50">
        <v>31</v>
      </c>
      <c r="F461" s="50">
        <v>9143</v>
      </c>
    </row>
    <row r="462" spans="2:6" x14ac:dyDescent="0.3">
      <c r="B462" s="50">
        <f t="shared" si="7"/>
        <v>459</v>
      </c>
      <c r="C462" s="50" t="s">
        <v>969</v>
      </c>
      <c r="D462" s="56" t="s">
        <v>970</v>
      </c>
      <c r="E462" s="50">
        <v>30</v>
      </c>
      <c r="F462" s="50">
        <v>11328</v>
      </c>
    </row>
    <row r="463" spans="2:6" x14ac:dyDescent="0.3">
      <c r="B463" s="50">
        <f t="shared" si="7"/>
        <v>460</v>
      </c>
      <c r="C463" s="50" t="s">
        <v>971</v>
      </c>
      <c r="D463" s="56" t="s">
        <v>972</v>
      </c>
      <c r="E463" s="50">
        <v>31</v>
      </c>
      <c r="F463" s="50">
        <v>8630</v>
      </c>
    </row>
    <row r="464" spans="2:6" x14ac:dyDescent="0.3">
      <c r="B464" s="50">
        <f t="shared" si="7"/>
        <v>461</v>
      </c>
      <c r="C464" s="50" t="s">
        <v>973</v>
      </c>
      <c r="D464" s="56" t="s">
        <v>974</v>
      </c>
      <c r="E464" s="50">
        <v>26</v>
      </c>
      <c r="F464" s="50">
        <v>5582</v>
      </c>
    </row>
    <row r="465" spans="2:6" x14ac:dyDescent="0.3">
      <c r="B465" s="50">
        <f t="shared" si="7"/>
        <v>462</v>
      </c>
      <c r="C465" s="50" t="s">
        <v>975</v>
      </c>
      <c r="D465" s="56" t="s">
        <v>976</v>
      </c>
      <c r="E465" s="50">
        <v>31</v>
      </c>
      <c r="F465" s="50">
        <v>11196</v>
      </c>
    </row>
    <row r="466" spans="2:6" x14ac:dyDescent="0.3">
      <c r="B466" s="50">
        <f t="shared" si="7"/>
        <v>463</v>
      </c>
      <c r="C466" s="50" t="s">
        <v>977</v>
      </c>
      <c r="D466" s="56" t="s">
        <v>978</v>
      </c>
      <c r="E466" s="50">
        <v>18</v>
      </c>
      <c r="F466" s="50">
        <v>3865</v>
      </c>
    </row>
    <row r="467" spans="2:6" x14ac:dyDescent="0.3">
      <c r="B467" s="50">
        <f t="shared" si="7"/>
        <v>464</v>
      </c>
      <c r="C467" s="50" t="s">
        <v>979</v>
      </c>
      <c r="D467" s="56" t="s">
        <v>980</v>
      </c>
      <c r="E467" s="50">
        <v>31</v>
      </c>
      <c r="F467" s="50">
        <v>13740</v>
      </c>
    </row>
    <row r="468" spans="2:6" x14ac:dyDescent="0.3">
      <c r="B468" s="50">
        <f t="shared" si="7"/>
        <v>465</v>
      </c>
      <c r="C468" s="50" t="s">
        <v>981</v>
      </c>
      <c r="D468" s="56" t="s">
        <v>982</v>
      </c>
      <c r="E468" s="50">
        <v>31</v>
      </c>
      <c r="F468" s="50">
        <v>7170</v>
      </c>
    </row>
    <row r="469" spans="2:6" x14ac:dyDescent="0.3">
      <c r="B469" s="50">
        <f t="shared" si="7"/>
        <v>466</v>
      </c>
      <c r="C469" s="50" t="s">
        <v>983</v>
      </c>
      <c r="D469" s="56" t="s">
        <v>984</v>
      </c>
      <c r="E469" s="50">
        <v>31</v>
      </c>
      <c r="F469" s="50">
        <v>10179</v>
      </c>
    </row>
    <row r="470" spans="2:6" x14ac:dyDescent="0.3">
      <c r="B470" s="50">
        <f t="shared" si="7"/>
        <v>467</v>
      </c>
      <c r="C470" s="50" t="s">
        <v>985</v>
      </c>
      <c r="D470" s="56" t="s">
        <v>986</v>
      </c>
      <c r="E470" s="50">
        <v>31</v>
      </c>
      <c r="F470" s="50">
        <v>13214</v>
      </c>
    </row>
    <row r="471" spans="2:6" x14ac:dyDescent="0.3">
      <c r="B471" s="50">
        <f t="shared" si="7"/>
        <v>468</v>
      </c>
      <c r="C471" s="50" t="s">
        <v>987</v>
      </c>
      <c r="D471" s="56" t="s">
        <v>988</v>
      </c>
      <c r="E471" s="50">
        <v>30</v>
      </c>
      <c r="F471" s="50">
        <v>7209</v>
      </c>
    </row>
    <row r="472" spans="2:6" x14ac:dyDescent="0.3">
      <c r="B472" s="50">
        <f t="shared" si="7"/>
        <v>469</v>
      </c>
      <c r="C472" s="50" t="s">
        <v>989</v>
      </c>
      <c r="D472" s="56" t="s">
        <v>990</v>
      </c>
      <c r="E472" s="50">
        <v>31</v>
      </c>
      <c r="F472" s="50">
        <v>12214</v>
      </c>
    </row>
    <row r="473" spans="2:6" x14ac:dyDescent="0.3">
      <c r="B473" s="50">
        <f t="shared" si="7"/>
        <v>470</v>
      </c>
      <c r="C473" s="50" t="s">
        <v>991</v>
      </c>
      <c r="D473" s="56" t="s">
        <v>992</v>
      </c>
      <c r="E473" s="50">
        <v>31</v>
      </c>
      <c r="F473" s="50">
        <v>9670</v>
      </c>
    </row>
    <row r="474" spans="2:6" x14ac:dyDescent="0.3">
      <c r="B474" s="50">
        <f t="shared" si="7"/>
        <v>471</v>
      </c>
      <c r="C474" s="50" t="s">
        <v>993</v>
      </c>
      <c r="D474" s="56" t="s">
        <v>994</v>
      </c>
      <c r="E474" s="50">
        <v>21</v>
      </c>
      <c r="F474" s="50">
        <v>8274</v>
      </c>
    </row>
    <row r="475" spans="2:6" x14ac:dyDescent="0.3">
      <c r="B475" s="50">
        <f t="shared" si="7"/>
        <v>472</v>
      </c>
      <c r="C475" s="50" t="s">
        <v>995</v>
      </c>
      <c r="D475" s="56" t="s">
        <v>996</v>
      </c>
      <c r="E475" s="50">
        <v>31</v>
      </c>
      <c r="F475" s="50">
        <v>7402</v>
      </c>
    </row>
    <row r="476" spans="2:6" x14ac:dyDescent="0.3">
      <c r="B476" s="50">
        <f t="shared" si="7"/>
        <v>473</v>
      </c>
      <c r="C476" s="50" t="s">
        <v>997</v>
      </c>
      <c r="D476" s="56" t="s">
        <v>998</v>
      </c>
      <c r="E476" s="50">
        <v>31</v>
      </c>
      <c r="F476" s="50">
        <v>11705</v>
      </c>
    </row>
    <row r="477" spans="2:6" x14ac:dyDescent="0.3">
      <c r="B477" s="50">
        <f t="shared" si="7"/>
        <v>474</v>
      </c>
      <c r="C477" s="50" t="s">
        <v>999</v>
      </c>
      <c r="D477" s="56" t="s">
        <v>1000</v>
      </c>
      <c r="E477" s="50">
        <v>31</v>
      </c>
      <c r="F477" s="50">
        <v>11196</v>
      </c>
    </row>
    <row r="478" spans="2:6" x14ac:dyDescent="0.3">
      <c r="B478" s="50">
        <f t="shared" si="7"/>
        <v>475</v>
      </c>
      <c r="C478" s="50" t="s">
        <v>1001</v>
      </c>
      <c r="D478" s="56" t="s">
        <v>1002</v>
      </c>
      <c r="E478" s="50">
        <v>31</v>
      </c>
      <c r="F478" s="50">
        <v>11196</v>
      </c>
    </row>
    <row r="479" spans="2:6" x14ac:dyDescent="0.3">
      <c r="B479" s="50">
        <f t="shared" si="7"/>
        <v>476</v>
      </c>
      <c r="C479" s="50" t="s">
        <v>1003</v>
      </c>
      <c r="D479" s="56" t="s">
        <v>1004</v>
      </c>
      <c r="E479" s="50">
        <v>29</v>
      </c>
      <c r="F479" s="50">
        <v>11426</v>
      </c>
    </row>
    <row r="480" spans="2:6" x14ac:dyDescent="0.3">
      <c r="B480" s="50">
        <f t="shared" si="7"/>
        <v>477</v>
      </c>
      <c r="C480" s="50" t="s">
        <v>1005</v>
      </c>
      <c r="D480" s="56" t="s">
        <v>1006</v>
      </c>
      <c r="E480" s="50">
        <v>28</v>
      </c>
      <c r="F480" s="50">
        <v>11031</v>
      </c>
    </row>
    <row r="481" spans="2:6" x14ac:dyDescent="0.3">
      <c r="B481" s="50">
        <f t="shared" si="7"/>
        <v>478</v>
      </c>
      <c r="C481" s="50" t="s">
        <v>1007</v>
      </c>
      <c r="D481" s="56" t="s">
        <v>1008</v>
      </c>
      <c r="E481" s="50">
        <v>31</v>
      </c>
      <c r="F481" s="50">
        <v>8310</v>
      </c>
    </row>
    <row r="482" spans="2:6" x14ac:dyDescent="0.3">
      <c r="B482" s="50">
        <f t="shared" si="7"/>
        <v>479</v>
      </c>
      <c r="C482" s="50" t="s">
        <v>1009</v>
      </c>
      <c r="D482" s="56" t="s">
        <v>1010</v>
      </c>
      <c r="E482" s="50">
        <v>30</v>
      </c>
      <c r="F482" s="50">
        <v>14516</v>
      </c>
    </row>
    <row r="483" spans="2:6" x14ac:dyDescent="0.3">
      <c r="B483" s="50">
        <f t="shared" si="7"/>
        <v>480</v>
      </c>
      <c r="C483" s="50" t="s">
        <v>1011</v>
      </c>
      <c r="D483" s="56" t="s">
        <v>1012</v>
      </c>
      <c r="E483" s="50">
        <v>31</v>
      </c>
      <c r="F483" s="50">
        <v>11400</v>
      </c>
    </row>
    <row r="484" spans="2:6" x14ac:dyDescent="0.3">
      <c r="B484" s="50">
        <f t="shared" si="7"/>
        <v>481</v>
      </c>
      <c r="C484" s="50" t="s">
        <v>1013</v>
      </c>
      <c r="D484" s="56" t="s">
        <v>1014</v>
      </c>
      <c r="E484" s="50">
        <v>31</v>
      </c>
      <c r="F484" s="50">
        <v>12214</v>
      </c>
    </row>
    <row r="485" spans="2:6" x14ac:dyDescent="0.3">
      <c r="B485" s="50">
        <f t="shared" si="7"/>
        <v>482</v>
      </c>
      <c r="C485" s="50" t="s">
        <v>1015</v>
      </c>
      <c r="D485" s="56" t="s">
        <v>1016</v>
      </c>
      <c r="E485" s="50">
        <v>31</v>
      </c>
      <c r="F485" s="50">
        <v>12723</v>
      </c>
    </row>
    <row r="486" spans="2:6" x14ac:dyDescent="0.3">
      <c r="B486" s="50">
        <f t="shared" si="7"/>
        <v>483</v>
      </c>
      <c r="C486" s="50" t="s">
        <v>1017</v>
      </c>
      <c r="D486" s="56" t="s">
        <v>1018</v>
      </c>
      <c r="E486" s="50">
        <v>31</v>
      </c>
      <c r="F486" s="50">
        <v>10178</v>
      </c>
    </row>
    <row r="487" spans="2:6" x14ac:dyDescent="0.3">
      <c r="B487" s="50">
        <f t="shared" si="7"/>
        <v>484</v>
      </c>
      <c r="C487" s="50" t="s">
        <v>1019</v>
      </c>
      <c r="D487" s="56" t="s">
        <v>1020</v>
      </c>
      <c r="E487" s="50">
        <v>29</v>
      </c>
      <c r="F487" s="50">
        <v>14032</v>
      </c>
    </row>
    <row r="488" spans="2:6" x14ac:dyDescent="0.3">
      <c r="B488" s="50">
        <f t="shared" si="7"/>
        <v>485</v>
      </c>
      <c r="C488" s="50" t="s">
        <v>1021</v>
      </c>
      <c r="D488" s="56" t="s">
        <v>1022</v>
      </c>
      <c r="E488" s="50">
        <v>31</v>
      </c>
      <c r="F488" s="50">
        <v>8142</v>
      </c>
    </row>
    <row r="489" spans="2:6" x14ac:dyDescent="0.3">
      <c r="B489" s="50">
        <f t="shared" si="7"/>
        <v>486</v>
      </c>
      <c r="C489" s="50" t="s">
        <v>1023</v>
      </c>
      <c r="D489" s="56" t="s">
        <v>1024</v>
      </c>
      <c r="E489" s="50">
        <v>30</v>
      </c>
      <c r="F489" s="50">
        <v>11820</v>
      </c>
    </row>
    <row r="490" spans="2:6" x14ac:dyDescent="0.3">
      <c r="B490" s="50">
        <f t="shared" si="7"/>
        <v>487</v>
      </c>
      <c r="C490" s="50" t="s">
        <v>1025</v>
      </c>
      <c r="D490" s="56" t="s">
        <v>1026</v>
      </c>
      <c r="E490" s="50">
        <v>31</v>
      </c>
      <c r="F490" s="50">
        <v>13232</v>
      </c>
    </row>
    <row r="491" spans="2:6" x14ac:dyDescent="0.3">
      <c r="B491" s="50">
        <f t="shared" si="7"/>
        <v>488</v>
      </c>
      <c r="C491" s="50" t="s">
        <v>1027</v>
      </c>
      <c r="D491" s="56" t="s">
        <v>1028</v>
      </c>
      <c r="E491" s="50">
        <v>31</v>
      </c>
      <c r="F491" s="50">
        <v>12214</v>
      </c>
    </row>
    <row r="492" spans="2:6" x14ac:dyDescent="0.3">
      <c r="B492" s="50">
        <f t="shared" si="7"/>
        <v>489</v>
      </c>
      <c r="C492" s="50" t="s">
        <v>1029</v>
      </c>
      <c r="D492" s="56" t="s">
        <v>1030</v>
      </c>
      <c r="E492" s="50">
        <v>31</v>
      </c>
      <c r="F492" s="50">
        <v>15000</v>
      </c>
    </row>
    <row r="493" spans="2:6" x14ac:dyDescent="0.3">
      <c r="B493" s="50">
        <f t="shared" si="7"/>
        <v>490</v>
      </c>
      <c r="C493" s="50" t="s">
        <v>1031</v>
      </c>
      <c r="D493" s="56" t="s">
        <v>1032</v>
      </c>
      <c r="E493" s="50">
        <v>31</v>
      </c>
      <c r="F493" s="50">
        <v>14250</v>
      </c>
    </row>
    <row r="494" spans="2:6" x14ac:dyDescent="0.3">
      <c r="B494" s="50">
        <f t="shared" si="7"/>
        <v>491</v>
      </c>
      <c r="C494" s="50" t="s">
        <v>1033</v>
      </c>
      <c r="D494" s="56" t="s">
        <v>1034</v>
      </c>
      <c r="E494" s="50">
        <v>31</v>
      </c>
      <c r="F494" s="50">
        <v>11456</v>
      </c>
    </row>
    <row r="495" spans="2:6" x14ac:dyDescent="0.3">
      <c r="B495" s="50">
        <f t="shared" si="7"/>
        <v>492</v>
      </c>
      <c r="C495" s="50" t="s">
        <v>1035</v>
      </c>
      <c r="D495" s="56" t="s">
        <v>1036</v>
      </c>
      <c r="E495" s="50">
        <v>31</v>
      </c>
      <c r="F495" s="50">
        <v>14901</v>
      </c>
    </row>
    <row r="496" spans="2:6" x14ac:dyDescent="0.3">
      <c r="B496" s="50">
        <f t="shared" si="7"/>
        <v>493</v>
      </c>
      <c r="C496" s="50" t="s">
        <v>1037</v>
      </c>
      <c r="D496" s="56" t="s">
        <v>1038</v>
      </c>
      <c r="E496" s="50">
        <v>31</v>
      </c>
      <c r="F496" s="50">
        <v>8814</v>
      </c>
    </row>
    <row r="497" spans="2:6" x14ac:dyDescent="0.3">
      <c r="B497" s="50">
        <f t="shared" si="7"/>
        <v>494</v>
      </c>
      <c r="C497" s="50" t="s">
        <v>1039</v>
      </c>
      <c r="D497" s="56" t="s">
        <v>1040</v>
      </c>
      <c r="E497" s="50">
        <v>31</v>
      </c>
      <c r="F497" s="50">
        <v>8814</v>
      </c>
    </row>
    <row r="498" spans="2:6" x14ac:dyDescent="0.3">
      <c r="B498" s="50">
        <f t="shared" si="7"/>
        <v>495</v>
      </c>
      <c r="C498" s="50" t="s">
        <v>1041</v>
      </c>
      <c r="D498" s="56" t="s">
        <v>1042</v>
      </c>
      <c r="E498" s="50">
        <v>31</v>
      </c>
      <c r="F498" s="50">
        <v>8814</v>
      </c>
    </row>
    <row r="499" spans="2:6" x14ac:dyDescent="0.3">
      <c r="B499" s="50">
        <f t="shared" si="7"/>
        <v>496</v>
      </c>
      <c r="C499" s="50" t="s">
        <v>1043</v>
      </c>
      <c r="D499" s="56" t="s">
        <v>1044</v>
      </c>
      <c r="E499" s="50">
        <v>31</v>
      </c>
      <c r="F499" s="50">
        <v>7700</v>
      </c>
    </row>
    <row r="500" spans="2:6" x14ac:dyDescent="0.3">
      <c r="B500" s="50">
        <f t="shared" si="7"/>
        <v>497</v>
      </c>
      <c r="C500" s="50" t="s">
        <v>1045</v>
      </c>
      <c r="D500" s="56" t="s">
        <v>1046</v>
      </c>
      <c r="E500" s="50">
        <v>31</v>
      </c>
      <c r="F500" s="50">
        <v>7032</v>
      </c>
    </row>
    <row r="501" spans="2:6" x14ac:dyDescent="0.3">
      <c r="B501" s="50">
        <f t="shared" si="7"/>
        <v>498</v>
      </c>
      <c r="C501" s="50" t="s">
        <v>1047</v>
      </c>
      <c r="D501" s="56" t="s">
        <v>1048</v>
      </c>
      <c r="E501" s="50">
        <v>31</v>
      </c>
      <c r="F501" s="50">
        <v>8197</v>
      </c>
    </row>
    <row r="502" spans="2:6" x14ac:dyDescent="0.3">
      <c r="B502" s="50">
        <f t="shared" si="7"/>
        <v>499</v>
      </c>
      <c r="C502" s="50" t="s">
        <v>1049</v>
      </c>
      <c r="D502" s="56" t="s">
        <v>1050</v>
      </c>
      <c r="E502" s="50">
        <v>31</v>
      </c>
      <c r="F502" s="50">
        <v>8122</v>
      </c>
    </row>
    <row r="503" spans="2:6" x14ac:dyDescent="0.3">
      <c r="B503" s="50">
        <f t="shared" si="7"/>
        <v>500</v>
      </c>
      <c r="C503" s="50" t="s">
        <v>1051</v>
      </c>
      <c r="D503" s="56" t="s">
        <v>1052</v>
      </c>
      <c r="E503" s="50">
        <v>31</v>
      </c>
      <c r="F503" s="50">
        <v>7482</v>
      </c>
    </row>
    <row r="504" spans="2:6" x14ac:dyDescent="0.3">
      <c r="B504" s="50">
        <f t="shared" si="7"/>
        <v>501</v>
      </c>
      <c r="C504" s="50" t="s">
        <v>1053</v>
      </c>
      <c r="D504" s="56" t="s">
        <v>1054</v>
      </c>
      <c r="E504" s="50">
        <v>31</v>
      </c>
      <c r="F504" s="50">
        <v>7157</v>
      </c>
    </row>
    <row r="505" spans="2:6" x14ac:dyDescent="0.3">
      <c r="B505" s="50">
        <f t="shared" si="7"/>
        <v>502</v>
      </c>
      <c r="C505" s="50" t="s">
        <v>1055</v>
      </c>
      <c r="D505" s="56" t="s">
        <v>1056</v>
      </c>
      <c r="E505" s="50">
        <v>31</v>
      </c>
      <c r="F505" s="50">
        <v>7702</v>
      </c>
    </row>
    <row r="506" spans="2:6" x14ac:dyDescent="0.3">
      <c r="B506" s="50">
        <f t="shared" si="7"/>
        <v>503</v>
      </c>
      <c r="C506" s="50" t="s">
        <v>1057</v>
      </c>
      <c r="D506" s="56" t="s">
        <v>1058</v>
      </c>
      <c r="E506" s="50">
        <v>31</v>
      </c>
      <c r="F506" s="50">
        <v>7950</v>
      </c>
    </row>
    <row r="507" spans="2:6" x14ac:dyDescent="0.3">
      <c r="B507" s="50">
        <f t="shared" si="7"/>
        <v>504</v>
      </c>
      <c r="C507" s="50" t="s">
        <v>1059</v>
      </c>
      <c r="D507" s="56" t="s">
        <v>1060</v>
      </c>
      <c r="E507" s="50">
        <v>31</v>
      </c>
      <c r="F507" s="50">
        <v>6922</v>
      </c>
    </row>
    <row r="508" spans="2:6" x14ac:dyDescent="0.3">
      <c r="B508" s="50">
        <f t="shared" si="7"/>
        <v>505</v>
      </c>
      <c r="C508" s="50" t="s">
        <v>1061</v>
      </c>
      <c r="D508" s="56" t="s">
        <v>1062</v>
      </c>
      <c r="E508" s="50">
        <v>31</v>
      </c>
      <c r="F508" s="50">
        <v>7022</v>
      </c>
    </row>
    <row r="509" spans="2:6" x14ac:dyDescent="0.3">
      <c r="B509" s="50">
        <f t="shared" si="7"/>
        <v>506</v>
      </c>
      <c r="C509" s="50" t="s">
        <v>1063</v>
      </c>
      <c r="D509" s="56" t="s">
        <v>1064</v>
      </c>
      <c r="E509" s="50">
        <v>31</v>
      </c>
      <c r="F509" s="50">
        <v>8338</v>
      </c>
    </row>
    <row r="510" spans="2:6" x14ac:dyDescent="0.3">
      <c r="B510" s="50">
        <f t="shared" si="7"/>
        <v>507</v>
      </c>
      <c r="C510" s="50" t="s">
        <v>1065</v>
      </c>
      <c r="D510" s="56" t="s">
        <v>1066</v>
      </c>
      <c r="E510" s="50">
        <v>31</v>
      </c>
      <c r="F510" s="50">
        <v>6656</v>
      </c>
    </row>
    <row r="511" spans="2:6" x14ac:dyDescent="0.3">
      <c r="B511" s="50">
        <f t="shared" si="7"/>
        <v>508</v>
      </c>
      <c r="C511" s="50" t="s">
        <v>1067</v>
      </c>
      <c r="D511" s="56" t="s">
        <v>1068</v>
      </c>
      <c r="E511" s="50">
        <v>31</v>
      </c>
      <c r="F511" s="50">
        <v>6822</v>
      </c>
    </row>
    <row r="512" spans="2:6" x14ac:dyDescent="0.3">
      <c r="B512" s="50">
        <f t="shared" si="7"/>
        <v>509</v>
      </c>
      <c r="C512" s="50" t="s">
        <v>1069</v>
      </c>
      <c r="D512" s="56" t="s">
        <v>1070</v>
      </c>
      <c r="E512" s="50">
        <v>31</v>
      </c>
      <c r="F512" s="50">
        <v>7254</v>
      </c>
    </row>
    <row r="513" spans="2:6" x14ac:dyDescent="0.3">
      <c r="B513" s="50">
        <f t="shared" si="7"/>
        <v>510</v>
      </c>
      <c r="C513" s="50" t="s">
        <v>1071</v>
      </c>
      <c r="D513" s="56" t="s">
        <v>1072</v>
      </c>
      <c r="E513" s="50">
        <v>31</v>
      </c>
      <c r="F513" s="50">
        <v>11012</v>
      </c>
    </row>
    <row r="514" spans="2:6" x14ac:dyDescent="0.3">
      <c r="B514" s="50">
        <f t="shared" si="7"/>
        <v>511</v>
      </c>
      <c r="C514" s="50" t="s">
        <v>1073</v>
      </c>
      <c r="D514" s="56" t="s">
        <v>1074</v>
      </c>
      <c r="E514" s="50">
        <v>31</v>
      </c>
      <c r="F514" s="50">
        <v>9000</v>
      </c>
    </row>
    <row r="515" spans="2:6" x14ac:dyDescent="0.3">
      <c r="B515" s="50">
        <f t="shared" si="7"/>
        <v>512</v>
      </c>
      <c r="C515" s="50" t="s">
        <v>1075</v>
      </c>
      <c r="D515" s="56" t="s">
        <v>1076</v>
      </c>
      <c r="E515" s="50">
        <v>12</v>
      </c>
      <c r="F515" s="50">
        <v>2577</v>
      </c>
    </row>
    <row r="516" spans="2:6" x14ac:dyDescent="0.3">
      <c r="B516" s="50">
        <f t="shared" si="7"/>
        <v>513</v>
      </c>
      <c r="C516" s="50" t="s">
        <v>1077</v>
      </c>
      <c r="D516" s="56" t="s">
        <v>1078</v>
      </c>
      <c r="E516" s="50">
        <v>31</v>
      </c>
      <c r="F516" s="50">
        <v>6656</v>
      </c>
    </row>
    <row r="517" spans="2:6" x14ac:dyDescent="0.3">
      <c r="B517" s="50">
        <f t="shared" si="7"/>
        <v>514</v>
      </c>
      <c r="C517" s="50" t="s">
        <v>1079</v>
      </c>
      <c r="D517" s="56" t="s">
        <v>1080</v>
      </c>
      <c r="E517" s="50">
        <v>31</v>
      </c>
      <c r="F517" s="50">
        <v>6656</v>
      </c>
    </row>
    <row r="518" spans="2:6" x14ac:dyDescent="0.3">
      <c r="B518" s="50">
        <f t="shared" ref="B518:B581" si="8">+B517+1</f>
        <v>515</v>
      </c>
      <c r="C518" s="50" t="s">
        <v>1081</v>
      </c>
      <c r="D518" s="56" t="s">
        <v>1082</v>
      </c>
      <c r="E518" s="50">
        <v>31</v>
      </c>
      <c r="F518" s="50">
        <v>6656</v>
      </c>
    </row>
    <row r="519" spans="2:6" x14ac:dyDescent="0.3">
      <c r="B519" s="50">
        <f t="shared" si="8"/>
        <v>516</v>
      </c>
      <c r="C519" s="50" t="s">
        <v>1083</v>
      </c>
      <c r="D519" s="56" t="s">
        <v>1084</v>
      </c>
      <c r="E519" s="50">
        <v>31</v>
      </c>
      <c r="F519" s="50">
        <v>6938</v>
      </c>
    </row>
    <row r="520" spans="2:6" x14ac:dyDescent="0.3">
      <c r="B520" s="50">
        <f t="shared" si="8"/>
        <v>517</v>
      </c>
      <c r="C520" s="50" t="s">
        <v>1085</v>
      </c>
      <c r="D520" s="56" t="s">
        <v>1086</v>
      </c>
      <c r="E520" s="50">
        <v>31</v>
      </c>
      <c r="F520" s="50">
        <v>10500</v>
      </c>
    </row>
    <row r="521" spans="2:6" x14ac:dyDescent="0.3">
      <c r="B521" s="50">
        <f t="shared" si="8"/>
        <v>518</v>
      </c>
      <c r="C521" s="50" t="s">
        <v>1087</v>
      </c>
      <c r="D521" s="56" t="s">
        <v>1088</v>
      </c>
      <c r="E521" s="50">
        <v>31</v>
      </c>
      <c r="F521" s="50">
        <v>6656</v>
      </c>
    </row>
    <row r="522" spans="2:6" x14ac:dyDescent="0.3">
      <c r="B522" s="50">
        <f t="shared" si="8"/>
        <v>519</v>
      </c>
      <c r="C522" s="50" t="s">
        <v>1089</v>
      </c>
      <c r="D522" s="56" t="s">
        <v>1090</v>
      </c>
      <c r="E522" s="50">
        <v>31</v>
      </c>
      <c r="F522" s="50">
        <v>9920</v>
      </c>
    </row>
    <row r="523" spans="2:6" x14ac:dyDescent="0.3">
      <c r="B523" s="50">
        <f t="shared" si="8"/>
        <v>520</v>
      </c>
      <c r="C523" s="50" t="s">
        <v>1091</v>
      </c>
      <c r="D523" s="56" t="s">
        <v>1092</v>
      </c>
      <c r="E523" s="50">
        <v>31</v>
      </c>
      <c r="F523" s="50">
        <v>7422</v>
      </c>
    </row>
    <row r="524" spans="2:6" x14ac:dyDescent="0.3">
      <c r="B524" s="50">
        <f t="shared" si="8"/>
        <v>521</v>
      </c>
      <c r="C524" s="50" t="s">
        <v>1093</v>
      </c>
      <c r="D524" s="56" t="s">
        <v>1094</v>
      </c>
      <c r="E524" s="50">
        <v>31</v>
      </c>
      <c r="F524" s="50">
        <v>7922</v>
      </c>
    </row>
    <row r="525" spans="2:6" x14ac:dyDescent="0.3">
      <c r="B525" s="50">
        <f t="shared" si="8"/>
        <v>522</v>
      </c>
      <c r="C525" s="50" t="s">
        <v>1095</v>
      </c>
      <c r="D525" s="56" t="s">
        <v>1096</v>
      </c>
      <c r="E525" s="50">
        <v>31</v>
      </c>
      <c r="F525" s="50">
        <v>12000</v>
      </c>
    </row>
    <row r="526" spans="2:6" x14ac:dyDescent="0.3">
      <c r="B526" s="50">
        <f t="shared" si="8"/>
        <v>523</v>
      </c>
      <c r="C526" s="50" t="s">
        <v>1097</v>
      </c>
      <c r="D526" s="56" t="s">
        <v>1098</v>
      </c>
      <c r="E526" s="50">
        <v>31</v>
      </c>
      <c r="F526" s="50">
        <v>14200</v>
      </c>
    </row>
    <row r="527" spans="2:6" x14ac:dyDescent="0.3">
      <c r="B527" s="50">
        <f t="shared" si="8"/>
        <v>524</v>
      </c>
      <c r="C527" s="50" t="s">
        <v>773</v>
      </c>
      <c r="D527" s="56" t="s">
        <v>1099</v>
      </c>
      <c r="E527" s="50">
        <v>31</v>
      </c>
      <c r="F527" s="50">
        <v>6772</v>
      </c>
    </row>
    <row r="528" spans="2:6" x14ac:dyDescent="0.3">
      <c r="B528" s="50">
        <f t="shared" si="8"/>
        <v>525</v>
      </c>
      <c r="C528" s="50" t="s">
        <v>1100</v>
      </c>
      <c r="D528" s="56" t="s">
        <v>1101</v>
      </c>
      <c r="E528" s="50">
        <v>31</v>
      </c>
      <c r="F528" s="50">
        <v>6656</v>
      </c>
    </row>
    <row r="529" spans="2:6" x14ac:dyDescent="0.3">
      <c r="B529" s="50">
        <f t="shared" si="8"/>
        <v>526</v>
      </c>
      <c r="C529" s="50" t="s">
        <v>1102</v>
      </c>
      <c r="D529" s="56" t="s">
        <v>1103</v>
      </c>
      <c r="E529" s="50">
        <v>31</v>
      </c>
      <c r="F529" s="50">
        <v>7032</v>
      </c>
    </row>
    <row r="530" spans="2:6" x14ac:dyDescent="0.3">
      <c r="B530" s="50">
        <f t="shared" si="8"/>
        <v>527</v>
      </c>
      <c r="C530" s="50" t="s">
        <v>1104</v>
      </c>
      <c r="D530" s="56" t="s">
        <v>1105</v>
      </c>
      <c r="E530" s="50">
        <v>31</v>
      </c>
      <c r="F530" s="50">
        <v>8557</v>
      </c>
    </row>
    <row r="531" spans="2:6" x14ac:dyDescent="0.3">
      <c r="B531" s="50">
        <f t="shared" si="8"/>
        <v>528</v>
      </c>
      <c r="C531" s="50" t="s">
        <v>1106</v>
      </c>
      <c r="D531" s="56" t="s">
        <v>1107</v>
      </c>
      <c r="E531" s="50">
        <v>31</v>
      </c>
      <c r="F531" s="50">
        <v>7538</v>
      </c>
    </row>
    <row r="532" spans="2:6" x14ac:dyDescent="0.3">
      <c r="B532" s="50">
        <f t="shared" si="8"/>
        <v>529</v>
      </c>
      <c r="C532" s="50" t="s">
        <v>1108</v>
      </c>
      <c r="D532" s="56" t="s">
        <v>1109</v>
      </c>
      <c r="E532" s="50">
        <v>31</v>
      </c>
      <c r="F532" s="50">
        <v>7958</v>
      </c>
    </row>
    <row r="533" spans="2:6" x14ac:dyDescent="0.3">
      <c r="B533" s="50">
        <f t="shared" si="8"/>
        <v>530</v>
      </c>
      <c r="C533" s="50" t="s">
        <v>1110</v>
      </c>
      <c r="D533" s="56" t="s">
        <v>1111</v>
      </c>
      <c r="E533" s="50">
        <v>31</v>
      </c>
      <c r="F533" s="50">
        <v>8936</v>
      </c>
    </row>
    <row r="534" spans="2:6" x14ac:dyDescent="0.3">
      <c r="B534" s="50">
        <f t="shared" si="8"/>
        <v>531</v>
      </c>
      <c r="C534" s="50" t="s">
        <v>1112</v>
      </c>
      <c r="D534" s="56" t="s">
        <v>1113</v>
      </c>
      <c r="E534" s="50">
        <v>31</v>
      </c>
      <c r="F534" s="50">
        <v>8555</v>
      </c>
    </row>
    <row r="535" spans="2:6" x14ac:dyDescent="0.3">
      <c r="B535" s="50">
        <f t="shared" si="8"/>
        <v>532</v>
      </c>
      <c r="C535" s="50" t="s">
        <v>1114</v>
      </c>
      <c r="D535" s="56" t="s">
        <v>1115</v>
      </c>
      <c r="E535" s="50">
        <v>31</v>
      </c>
      <c r="F535" s="50">
        <v>6656</v>
      </c>
    </row>
    <row r="536" spans="2:6" x14ac:dyDescent="0.3">
      <c r="B536" s="50">
        <f t="shared" si="8"/>
        <v>533</v>
      </c>
      <c r="C536" s="50" t="s">
        <v>1116</v>
      </c>
      <c r="D536" s="56" t="s">
        <v>1117</v>
      </c>
      <c r="E536" s="50">
        <v>31</v>
      </c>
      <c r="F536" s="50">
        <v>9708</v>
      </c>
    </row>
    <row r="537" spans="2:6" x14ac:dyDescent="0.3">
      <c r="B537" s="50">
        <f t="shared" si="8"/>
        <v>534</v>
      </c>
      <c r="C537" s="50" t="s">
        <v>1118</v>
      </c>
      <c r="D537" s="56" t="s">
        <v>1119</v>
      </c>
      <c r="E537" s="50">
        <v>31</v>
      </c>
      <c r="F537" s="50">
        <v>8138</v>
      </c>
    </row>
    <row r="538" spans="2:6" x14ac:dyDescent="0.3">
      <c r="B538" s="50">
        <f t="shared" si="8"/>
        <v>535</v>
      </c>
      <c r="C538" s="50" t="s">
        <v>1120</v>
      </c>
      <c r="D538" s="56" t="s">
        <v>1121</v>
      </c>
      <c r="E538" s="50">
        <v>31</v>
      </c>
      <c r="F538" s="50">
        <v>7022</v>
      </c>
    </row>
    <row r="539" spans="2:6" x14ac:dyDescent="0.3">
      <c r="B539" s="50">
        <f t="shared" si="8"/>
        <v>536</v>
      </c>
      <c r="C539" s="50" t="s">
        <v>1122</v>
      </c>
      <c r="D539" s="56" t="s">
        <v>1123</v>
      </c>
      <c r="E539" s="50">
        <v>31</v>
      </c>
      <c r="F539" s="50">
        <v>7032</v>
      </c>
    </row>
    <row r="540" spans="2:6" x14ac:dyDescent="0.3">
      <c r="B540" s="50">
        <f t="shared" si="8"/>
        <v>537</v>
      </c>
      <c r="C540" s="50" t="s">
        <v>1124</v>
      </c>
      <c r="D540" s="56" t="s">
        <v>1125</v>
      </c>
      <c r="E540" s="50">
        <v>31</v>
      </c>
      <c r="F540" s="50">
        <v>7338</v>
      </c>
    </row>
    <row r="541" spans="2:6" x14ac:dyDescent="0.3">
      <c r="B541" s="50">
        <f t="shared" si="8"/>
        <v>538</v>
      </c>
      <c r="C541" s="50" t="s">
        <v>1126</v>
      </c>
      <c r="D541" s="56" t="s">
        <v>1127</v>
      </c>
      <c r="E541" s="50">
        <v>31</v>
      </c>
      <c r="F541" s="50">
        <v>7122</v>
      </c>
    </row>
    <row r="542" spans="2:6" x14ac:dyDescent="0.3">
      <c r="B542" s="50">
        <f t="shared" si="8"/>
        <v>539</v>
      </c>
      <c r="C542" s="50" t="s">
        <v>1128</v>
      </c>
      <c r="D542" s="56" t="s">
        <v>1129</v>
      </c>
      <c r="E542" s="50">
        <v>31</v>
      </c>
      <c r="F542" s="50">
        <v>8442</v>
      </c>
    </row>
    <row r="543" spans="2:6" x14ac:dyDescent="0.3">
      <c r="B543" s="50">
        <f t="shared" si="8"/>
        <v>540</v>
      </c>
      <c r="C543" s="50" t="s">
        <v>1130</v>
      </c>
      <c r="D543" s="56" t="s">
        <v>1131</v>
      </c>
      <c r="E543" s="50">
        <v>31</v>
      </c>
      <c r="F543" s="50">
        <v>6656</v>
      </c>
    </row>
    <row r="544" spans="2:6" x14ac:dyDescent="0.3">
      <c r="B544" s="50">
        <f t="shared" si="8"/>
        <v>541</v>
      </c>
      <c r="C544" s="50" t="s">
        <v>1132</v>
      </c>
      <c r="D544" s="56" t="s">
        <v>1133</v>
      </c>
      <c r="E544" s="50">
        <v>31</v>
      </c>
      <c r="F544" s="50">
        <v>6656</v>
      </c>
    </row>
    <row r="545" spans="2:6" x14ac:dyDescent="0.3">
      <c r="B545" s="50">
        <f t="shared" si="8"/>
        <v>542</v>
      </c>
      <c r="C545" s="50" t="s">
        <v>1134</v>
      </c>
      <c r="D545" s="56" t="s">
        <v>1135</v>
      </c>
      <c r="E545" s="50">
        <v>31</v>
      </c>
      <c r="F545" s="50">
        <v>13500</v>
      </c>
    </row>
    <row r="546" spans="2:6" x14ac:dyDescent="0.3">
      <c r="B546" s="50">
        <f t="shared" si="8"/>
        <v>543</v>
      </c>
      <c r="C546" s="50" t="s">
        <v>1136</v>
      </c>
      <c r="D546" s="56" t="s">
        <v>1137</v>
      </c>
      <c r="E546" s="50">
        <v>31</v>
      </c>
      <c r="F546" s="50">
        <v>11100</v>
      </c>
    </row>
    <row r="547" spans="2:6" x14ac:dyDescent="0.3">
      <c r="B547" s="50">
        <f t="shared" si="8"/>
        <v>544</v>
      </c>
      <c r="C547" s="50" t="s">
        <v>1138</v>
      </c>
      <c r="D547" s="56" t="s">
        <v>1139</v>
      </c>
      <c r="E547" s="50">
        <v>31</v>
      </c>
      <c r="F547" s="50">
        <v>6666</v>
      </c>
    </row>
    <row r="548" spans="2:6" x14ac:dyDescent="0.3">
      <c r="B548" s="50">
        <f t="shared" si="8"/>
        <v>545</v>
      </c>
      <c r="C548" s="50" t="s">
        <v>1140</v>
      </c>
      <c r="D548" s="56" t="s">
        <v>1141</v>
      </c>
      <c r="E548" s="50">
        <v>31</v>
      </c>
      <c r="F548" s="50">
        <v>8367</v>
      </c>
    </row>
    <row r="549" spans="2:6" x14ac:dyDescent="0.3">
      <c r="B549" s="50">
        <f t="shared" si="8"/>
        <v>546</v>
      </c>
      <c r="C549" s="50" t="s">
        <v>1142</v>
      </c>
      <c r="D549" s="56" t="s">
        <v>1143</v>
      </c>
      <c r="E549" s="50">
        <v>26</v>
      </c>
      <c r="F549" s="50">
        <v>14249</v>
      </c>
    </row>
    <row r="550" spans="2:6" x14ac:dyDescent="0.3">
      <c r="B550" s="50">
        <f t="shared" si="8"/>
        <v>547</v>
      </c>
      <c r="C550" s="50" t="s">
        <v>1144</v>
      </c>
      <c r="D550" s="56" t="s">
        <v>1145</v>
      </c>
      <c r="E550" s="50">
        <v>26</v>
      </c>
      <c r="F550" s="50">
        <v>14000</v>
      </c>
    </row>
    <row r="551" spans="2:6" x14ac:dyDescent="0.3">
      <c r="B551" s="50">
        <f t="shared" si="8"/>
        <v>548</v>
      </c>
      <c r="C551" s="50" t="s">
        <v>1146</v>
      </c>
      <c r="D551" s="56" t="s">
        <v>1147</v>
      </c>
      <c r="E551" s="50">
        <v>26</v>
      </c>
      <c r="F551" s="50">
        <v>9500</v>
      </c>
    </row>
    <row r="552" spans="2:6" x14ac:dyDescent="0.3">
      <c r="B552" s="50">
        <f t="shared" si="8"/>
        <v>549</v>
      </c>
      <c r="C552" s="50" t="s">
        <v>1148</v>
      </c>
      <c r="D552" s="56" t="s">
        <v>1149</v>
      </c>
      <c r="E552" s="50">
        <v>26</v>
      </c>
      <c r="F552" s="50">
        <v>8814</v>
      </c>
    </row>
    <row r="553" spans="2:6" x14ac:dyDescent="0.3">
      <c r="B553" s="50">
        <f t="shared" si="8"/>
        <v>550</v>
      </c>
      <c r="C553" s="50" t="s">
        <v>199</v>
      </c>
      <c r="D553" s="56" t="s">
        <v>1150</v>
      </c>
      <c r="E553" s="50">
        <v>26</v>
      </c>
      <c r="F553" s="50">
        <v>8814</v>
      </c>
    </row>
    <row r="554" spans="2:6" x14ac:dyDescent="0.3">
      <c r="B554" s="50">
        <f t="shared" si="8"/>
        <v>551</v>
      </c>
      <c r="C554" s="50" t="s">
        <v>1151</v>
      </c>
      <c r="D554" s="56" t="s">
        <v>1152</v>
      </c>
      <c r="E554" s="50">
        <v>26</v>
      </c>
      <c r="F554" s="50">
        <v>9500</v>
      </c>
    </row>
    <row r="555" spans="2:6" x14ac:dyDescent="0.3">
      <c r="B555" s="50">
        <f t="shared" si="8"/>
        <v>552</v>
      </c>
      <c r="C555" s="50" t="s">
        <v>1153</v>
      </c>
      <c r="D555" s="56" t="s">
        <v>1154</v>
      </c>
      <c r="E555" s="50">
        <v>26</v>
      </c>
      <c r="F555" s="50">
        <v>8814</v>
      </c>
    </row>
    <row r="556" spans="2:6" x14ac:dyDescent="0.3">
      <c r="B556" s="50">
        <f t="shared" si="8"/>
        <v>553</v>
      </c>
      <c r="C556" s="50" t="s">
        <v>1155</v>
      </c>
      <c r="D556" s="56" t="s">
        <v>1156</v>
      </c>
      <c r="E556" s="50">
        <v>26</v>
      </c>
      <c r="F556" s="50">
        <v>10178</v>
      </c>
    </row>
    <row r="557" spans="2:6" x14ac:dyDescent="0.3">
      <c r="B557" s="50">
        <f t="shared" si="8"/>
        <v>554</v>
      </c>
      <c r="C557" s="50" t="s">
        <v>1157</v>
      </c>
      <c r="D557" s="56" t="s">
        <v>1158</v>
      </c>
      <c r="E557" s="50">
        <v>26</v>
      </c>
      <c r="F557" s="50">
        <v>8814</v>
      </c>
    </row>
    <row r="558" spans="2:6" x14ac:dyDescent="0.3">
      <c r="B558" s="50">
        <f t="shared" si="8"/>
        <v>555</v>
      </c>
      <c r="C558" s="50" t="s">
        <v>877</v>
      </c>
      <c r="D558" s="56" t="s">
        <v>1159</v>
      </c>
      <c r="E558" s="50">
        <v>26</v>
      </c>
      <c r="F558" s="50">
        <v>8814</v>
      </c>
    </row>
    <row r="559" spans="2:6" x14ac:dyDescent="0.3">
      <c r="B559" s="50">
        <f t="shared" si="8"/>
        <v>556</v>
      </c>
      <c r="C559" s="50" t="s">
        <v>877</v>
      </c>
      <c r="D559" s="56" t="s">
        <v>1160</v>
      </c>
      <c r="E559" s="50">
        <v>20</v>
      </c>
      <c r="F559" s="50">
        <v>5120</v>
      </c>
    </row>
    <row r="560" spans="2:6" x14ac:dyDescent="0.3">
      <c r="B560" s="50">
        <f t="shared" si="8"/>
        <v>557</v>
      </c>
      <c r="C560" s="50" t="s">
        <v>1161</v>
      </c>
      <c r="D560" s="56" t="s">
        <v>1162</v>
      </c>
      <c r="E560" s="50">
        <v>22</v>
      </c>
      <c r="F560" s="50">
        <v>5632</v>
      </c>
    </row>
    <row r="561" spans="2:6" x14ac:dyDescent="0.3">
      <c r="B561" s="50">
        <f t="shared" si="8"/>
        <v>558</v>
      </c>
      <c r="C561" s="50" t="s">
        <v>1163</v>
      </c>
      <c r="D561" s="56" t="s">
        <v>1164</v>
      </c>
      <c r="E561" s="50">
        <v>31</v>
      </c>
      <c r="F561" s="50">
        <v>7936</v>
      </c>
    </row>
    <row r="562" spans="2:6" x14ac:dyDescent="0.3">
      <c r="B562" s="50">
        <f t="shared" si="8"/>
        <v>559</v>
      </c>
      <c r="C562" s="50" t="s">
        <v>1165</v>
      </c>
      <c r="D562" s="56" t="s">
        <v>1166</v>
      </c>
      <c r="E562" s="50">
        <v>26</v>
      </c>
      <c r="F562" s="50">
        <v>6656</v>
      </c>
    </row>
    <row r="563" spans="2:6" x14ac:dyDescent="0.3">
      <c r="B563" s="50">
        <f t="shared" si="8"/>
        <v>560</v>
      </c>
      <c r="C563" s="50" t="s">
        <v>1167</v>
      </c>
      <c r="D563" s="56" t="s">
        <v>1168</v>
      </c>
      <c r="E563" s="50">
        <v>16</v>
      </c>
      <c r="F563" s="50">
        <v>4096</v>
      </c>
    </row>
    <row r="564" spans="2:6" x14ac:dyDescent="0.3">
      <c r="B564" s="50">
        <f t="shared" si="8"/>
        <v>561</v>
      </c>
      <c r="C564" s="50" t="s">
        <v>1169</v>
      </c>
      <c r="D564" s="56" t="s">
        <v>1170</v>
      </c>
      <c r="E564" s="50">
        <v>6</v>
      </c>
      <c r="F564" s="50">
        <v>1536</v>
      </c>
    </row>
    <row r="565" spans="2:6" x14ac:dyDescent="0.3">
      <c r="B565" s="50">
        <f t="shared" si="8"/>
        <v>562</v>
      </c>
      <c r="C565" s="50" t="s">
        <v>1171</v>
      </c>
      <c r="D565" s="56" t="s">
        <v>1172</v>
      </c>
      <c r="E565" s="50">
        <v>17</v>
      </c>
      <c r="F565" s="50">
        <v>4352</v>
      </c>
    </row>
    <row r="566" spans="2:6" x14ac:dyDescent="0.3">
      <c r="B566" s="50">
        <f t="shared" si="8"/>
        <v>563</v>
      </c>
      <c r="C566" s="50" t="s">
        <v>532</v>
      </c>
      <c r="D566" s="56" t="s">
        <v>1173</v>
      </c>
      <c r="E566" s="50">
        <v>26</v>
      </c>
      <c r="F566" s="50">
        <v>6656</v>
      </c>
    </row>
    <row r="567" spans="2:6" x14ac:dyDescent="0.3">
      <c r="B567" s="50">
        <f t="shared" si="8"/>
        <v>564</v>
      </c>
      <c r="C567" s="50" t="s">
        <v>908</v>
      </c>
      <c r="D567" s="56" t="s">
        <v>1174</v>
      </c>
      <c r="E567" s="50">
        <v>30.5</v>
      </c>
      <c r="F567" s="50">
        <v>6548</v>
      </c>
    </row>
    <row r="568" spans="2:6" x14ac:dyDescent="0.3">
      <c r="B568" s="50">
        <f t="shared" si="8"/>
        <v>565</v>
      </c>
      <c r="C568" s="50" t="s">
        <v>877</v>
      </c>
      <c r="D568" s="56" t="s">
        <v>1175</v>
      </c>
      <c r="E568" s="50">
        <v>31</v>
      </c>
      <c r="F568" s="50">
        <v>11000</v>
      </c>
    </row>
    <row r="569" spans="2:6" x14ac:dyDescent="0.3">
      <c r="B569" s="50">
        <f t="shared" si="8"/>
        <v>566</v>
      </c>
      <c r="C569" s="50" t="s">
        <v>1176</v>
      </c>
      <c r="D569" s="56" t="s">
        <v>1177</v>
      </c>
      <c r="E569" s="50">
        <v>13</v>
      </c>
      <c r="F569" s="50">
        <v>4381</v>
      </c>
    </row>
    <row r="570" spans="2:6" x14ac:dyDescent="0.3">
      <c r="B570" s="50">
        <f t="shared" si="8"/>
        <v>567</v>
      </c>
      <c r="C570" s="50" t="s">
        <v>1178</v>
      </c>
      <c r="D570" s="56" t="s">
        <v>1179</v>
      </c>
      <c r="E570" s="50">
        <v>13</v>
      </c>
      <c r="F570" s="50">
        <v>2422</v>
      </c>
    </row>
    <row r="571" spans="2:6" x14ac:dyDescent="0.3">
      <c r="B571" s="50">
        <f t="shared" si="8"/>
        <v>568</v>
      </c>
      <c r="C571" s="50" t="s">
        <v>1180</v>
      </c>
      <c r="D571" s="56" t="s">
        <v>1181</v>
      </c>
      <c r="E571" s="50">
        <v>13</v>
      </c>
      <c r="F571" s="50">
        <v>2422</v>
      </c>
    </row>
    <row r="572" spans="2:6" x14ac:dyDescent="0.3">
      <c r="B572" s="50">
        <f t="shared" si="8"/>
        <v>569</v>
      </c>
      <c r="C572" s="50" t="s">
        <v>1182</v>
      </c>
      <c r="D572" s="56" t="s">
        <v>1183</v>
      </c>
      <c r="E572" s="50">
        <v>13</v>
      </c>
      <c r="F572" s="50">
        <v>2422</v>
      </c>
    </row>
    <row r="573" spans="2:6" x14ac:dyDescent="0.3">
      <c r="B573" s="50">
        <f t="shared" si="8"/>
        <v>570</v>
      </c>
      <c r="C573" s="50" t="s">
        <v>1184</v>
      </c>
      <c r="D573" s="56" t="s">
        <v>1185</v>
      </c>
      <c r="E573" s="50">
        <v>12</v>
      </c>
      <c r="F573" s="50">
        <v>2544</v>
      </c>
    </row>
    <row r="574" spans="2:6" x14ac:dyDescent="0.3">
      <c r="B574" s="50">
        <f t="shared" si="8"/>
        <v>571</v>
      </c>
      <c r="C574" s="50" t="s">
        <v>1186</v>
      </c>
      <c r="D574" s="56" t="s">
        <v>1187</v>
      </c>
      <c r="E574" s="50">
        <v>3</v>
      </c>
      <c r="F574" s="50">
        <v>696</v>
      </c>
    </row>
    <row r="575" spans="2:6" x14ac:dyDescent="0.3">
      <c r="B575" s="50">
        <f t="shared" si="8"/>
        <v>572</v>
      </c>
      <c r="C575" s="50" t="s">
        <v>715</v>
      </c>
      <c r="D575" s="56" t="s">
        <v>1188</v>
      </c>
      <c r="E575" s="50">
        <v>13</v>
      </c>
      <c r="F575" s="50">
        <v>4082</v>
      </c>
    </row>
    <row r="576" spans="2:6" x14ac:dyDescent="0.3">
      <c r="B576" s="50">
        <f t="shared" si="8"/>
        <v>573</v>
      </c>
      <c r="C576" s="50" t="s">
        <v>1189</v>
      </c>
      <c r="D576" s="56" t="s">
        <v>1190</v>
      </c>
      <c r="E576" s="50">
        <v>12</v>
      </c>
      <c r="F576" s="50">
        <v>2232</v>
      </c>
    </row>
    <row r="577" spans="2:6" x14ac:dyDescent="0.3">
      <c r="B577" s="50">
        <f t="shared" si="8"/>
        <v>574</v>
      </c>
      <c r="C577" s="50" t="s">
        <v>1191</v>
      </c>
      <c r="D577" s="56" t="s">
        <v>1192</v>
      </c>
      <c r="E577" s="50">
        <v>13</v>
      </c>
      <c r="F577" s="50">
        <v>4381</v>
      </c>
    </row>
    <row r="578" spans="2:6" x14ac:dyDescent="0.3">
      <c r="B578" s="50">
        <f t="shared" si="8"/>
        <v>575</v>
      </c>
      <c r="C578" s="50" t="s">
        <v>1193</v>
      </c>
      <c r="D578" s="56" t="s">
        <v>1194</v>
      </c>
      <c r="E578" s="50">
        <v>13</v>
      </c>
      <c r="F578" s="50">
        <v>4459</v>
      </c>
    </row>
    <row r="579" spans="2:6" x14ac:dyDescent="0.3">
      <c r="B579" s="50">
        <f t="shared" si="8"/>
        <v>576</v>
      </c>
      <c r="C579" s="50" t="s">
        <v>1195</v>
      </c>
      <c r="D579" s="56" t="s">
        <v>1196</v>
      </c>
      <c r="E579" s="50">
        <v>15</v>
      </c>
      <c r="F579" s="50">
        <v>5355</v>
      </c>
    </row>
    <row r="580" spans="2:6" x14ac:dyDescent="0.3">
      <c r="B580" s="50">
        <f t="shared" si="8"/>
        <v>577</v>
      </c>
      <c r="C580" s="50" t="s">
        <v>193</v>
      </c>
      <c r="D580" s="56" t="s">
        <v>1197</v>
      </c>
      <c r="E580" s="50">
        <v>9</v>
      </c>
      <c r="F580" s="50">
        <v>2826</v>
      </c>
    </row>
    <row r="581" spans="2:6" x14ac:dyDescent="0.3">
      <c r="B581" s="50">
        <f t="shared" si="8"/>
        <v>578</v>
      </c>
      <c r="C581" s="50" t="s">
        <v>1198</v>
      </c>
      <c r="D581" s="56" t="s">
        <v>1199</v>
      </c>
      <c r="E581" s="50">
        <v>2</v>
      </c>
      <c r="F581" s="50">
        <v>686</v>
      </c>
    </row>
    <row r="582" spans="2:6" x14ac:dyDescent="0.3">
      <c r="B582" s="50">
        <f t="shared" ref="B582:B645" si="9">+B581+1</f>
        <v>579</v>
      </c>
      <c r="C582" s="50" t="s">
        <v>1200</v>
      </c>
      <c r="D582" s="56" t="s">
        <v>1201</v>
      </c>
      <c r="E582" s="50">
        <v>3</v>
      </c>
      <c r="F582" s="50">
        <v>558</v>
      </c>
    </row>
    <row r="583" spans="2:6" x14ac:dyDescent="0.3">
      <c r="B583" s="50">
        <f t="shared" si="9"/>
        <v>580</v>
      </c>
      <c r="C583" s="50" t="s">
        <v>1202</v>
      </c>
      <c r="D583" s="56" t="s">
        <v>1203</v>
      </c>
      <c r="E583" s="50">
        <v>5</v>
      </c>
      <c r="F583" s="50">
        <v>930</v>
      </c>
    </row>
    <row r="584" spans="2:6" x14ac:dyDescent="0.3">
      <c r="B584" s="50">
        <f t="shared" si="9"/>
        <v>581</v>
      </c>
      <c r="C584" s="50" t="s">
        <v>1204</v>
      </c>
      <c r="D584" s="56" t="s">
        <v>1205</v>
      </c>
      <c r="E584" s="50">
        <v>12</v>
      </c>
      <c r="F584" s="50">
        <v>2232</v>
      </c>
    </row>
    <row r="585" spans="2:6" x14ac:dyDescent="0.3">
      <c r="B585" s="50">
        <f t="shared" si="9"/>
        <v>582</v>
      </c>
      <c r="C585" s="50" t="s">
        <v>1206</v>
      </c>
      <c r="D585" s="56" t="s">
        <v>1207</v>
      </c>
      <c r="E585" s="50">
        <v>13</v>
      </c>
      <c r="F585" s="50">
        <v>2418</v>
      </c>
    </row>
    <row r="586" spans="2:6" x14ac:dyDescent="0.3">
      <c r="B586" s="50">
        <f t="shared" si="9"/>
        <v>583</v>
      </c>
      <c r="C586" s="50" t="s">
        <v>540</v>
      </c>
      <c r="D586" s="56" t="s">
        <v>1208</v>
      </c>
      <c r="E586" s="50">
        <v>13</v>
      </c>
      <c r="F586" s="50">
        <v>2418</v>
      </c>
    </row>
    <row r="587" spans="2:6" x14ac:dyDescent="0.3">
      <c r="B587" s="50">
        <f t="shared" si="9"/>
        <v>584</v>
      </c>
      <c r="C587" s="50" t="s">
        <v>1209</v>
      </c>
      <c r="D587" s="56" t="s">
        <v>1210</v>
      </c>
      <c r="E587" s="50">
        <v>13</v>
      </c>
      <c r="F587" s="50">
        <v>4225</v>
      </c>
    </row>
    <row r="588" spans="2:6" x14ac:dyDescent="0.3">
      <c r="B588" s="50">
        <f t="shared" si="9"/>
        <v>585</v>
      </c>
      <c r="C588" s="50" t="s">
        <v>1211</v>
      </c>
      <c r="D588" s="56" t="s">
        <v>1212</v>
      </c>
      <c r="E588" s="50">
        <v>11</v>
      </c>
      <c r="F588" s="50">
        <v>3707</v>
      </c>
    </row>
    <row r="589" spans="2:6" x14ac:dyDescent="0.3">
      <c r="B589" s="50">
        <f t="shared" si="9"/>
        <v>586</v>
      </c>
      <c r="C589" s="50" t="s">
        <v>1213</v>
      </c>
      <c r="D589" s="56" t="s">
        <v>1214</v>
      </c>
      <c r="E589" s="50">
        <v>13</v>
      </c>
      <c r="F589" s="50">
        <v>4147</v>
      </c>
    </row>
    <row r="590" spans="2:6" x14ac:dyDescent="0.3">
      <c r="B590" s="50">
        <f t="shared" si="9"/>
        <v>587</v>
      </c>
      <c r="C590" s="50" t="s">
        <v>1215</v>
      </c>
      <c r="D590" s="56" t="s">
        <v>1216</v>
      </c>
      <c r="E590" s="50">
        <v>13</v>
      </c>
      <c r="F590" s="50">
        <v>2418</v>
      </c>
    </row>
    <row r="591" spans="2:6" x14ac:dyDescent="0.3">
      <c r="B591" s="50">
        <f t="shared" si="9"/>
        <v>588</v>
      </c>
      <c r="C591" s="50" t="s">
        <v>1217</v>
      </c>
      <c r="D591" s="56" t="s">
        <v>1218</v>
      </c>
      <c r="E591" s="50">
        <v>13</v>
      </c>
      <c r="F591" s="50">
        <v>4082</v>
      </c>
    </row>
    <row r="592" spans="2:6" x14ac:dyDescent="0.3">
      <c r="B592" s="50">
        <f t="shared" si="9"/>
        <v>589</v>
      </c>
      <c r="C592" s="50" t="s">
        <v>1219</v>
      </c>
      <c r="D592" s="56" t="s">
        <v>1220</v>
      </c>
      <c r="E592" s="50">
        <v>13</v>
      </c>
      <c r="F592" s="50">
        <v>4303</v>
      </c>
    </row>
    <row r="593" spans="2:6" x14ac:dyDescent="0.3">
      <c r="B593" s="50">
        <f t="shared" si="9"/>
        <v>590</v>
      </c>
      <c r="C593" s="50" t="s">
        <v>1221</v>
      </c>
      <c r="D593" s="56" t="s">
        <v>1222</v>
      </c>
      <c r="E593" s="50">
        <v>13</v>
      </c>
      <c r="F593" s="50">
        <v>2418</v>
      </c>
    </row>
    <row r="594" spans="2:6" x14ac:dyDescent="0.3">
      <c r="B594" s="50">
        <f t="shared" si="9"/>
        <v>591</v>
      </c>
      <c r="C594" s="50" t="s">
        <v>1223</v>
      </c>
      <c r="D594" s="56" t="s">
        <v>1224</v>
      </c>
      <c r="E594" s="50">
        <v>13</v>
      </c>
      <c r="F594" s="50">
        <v>2418</v>
      </c>
    </row>
    <row r="595" spans="2:6" x14ac:dyDescent="0.3">
      <c r="B595" s="50">
        <f t="shared" si="9"/>
        <v>592</v>
      </c>
      <c r="C595" s="50" t="s">
        <v>1225</v>
      </c>
      <c r="D595" s="56" t="s">
        <v>1226</v>
      </c>
      <c r="E595" s="50">
        <v>13</v>
      </c>
      <c r="F595" s="50">
        <v>4082</v>
      </c>
    </row>
    <row r="596" spans="2:6" x14ac:dyDescent="0.3">
      <c r="B596" s="50">
        <f t="shared" si="9"/>
        <v>593</v>
      </c>
      <c r="C596" s="50" t="s">
        <v>1227</v>
      </c>
      <c r="D596" s="56" t="s">
        <v>1228</v>
      </c>
      <c r="E596" s="50">
        <v>12</v>
      </c>
      <c r="F596" s="50">
        <v>2232</v>
      </c>
    </row>
    <row r="597" spans="2:6" x14ac:dyDescent="0.3">
      <c r="B597" s="50">
        <f t="shared" si="9"/>
        <v>594</v>
      </c>
      <c r="C597" s="50" t="s">
        <v>1229</v>
      </c>
      <c r="D597" s="56" t="s">
        <v>1230</v>
      </c>
      <c r="E597" s="50">
        <v>13</v>
      </c>
      <c r="F597" s="50">
        <v>2418</v>
      </c>
    </row>
    <row r="598" spans="2:6" x14ac:dyDescent="0.3">
      <c r="B598" s="50">
        <f t="shared" si="9"/>
        <v>595</v>
      </c>
      <c r="C598" s="50" t="s">
        <v>1231</v>
      </c>
      <c r="D598" s="56" t="s">
        <v>1232</v>
      </c>
      <c r="E598" s="50">
        <v>12</v>
      </c>
      <c r="F598" s="50">
        <v>2232</v>
      </c>
    </row>
    <row r="599" spans="2:6" x14ac:dyDescent="0.3">
      <c r="B599" s="50">
        <f t="shared" si="9"/>
        <v>596</v>
      </c>
      <c r="C599" s="50" t="s">
        <v>1233</v>
      </c>
      <c r="D599" s="56" t="s">
        <v>1234</v>
      </c>
      <c r="E599" s="50">
        <v>13</v>
      </c>
      <c r="F599" s="50">
        <v>4082</v>
      </c>
    </row>
    <row r="600" spans="2:6" x14ac:dyDescent="0.3">
      <c r="B600" s="50">
        <f t="shared" si="9"/>
        <v>597</v>
      </c>
      <c r="C600" s="50" t="s">
        <v>1235</v>
      </c>
      <c r="D600" s="56" t="s">
        <v>1236</v>
      </c>
      <c r="E600" s="50">
        <v>12</v>
      </c>
      <c r="F600" s="50">
        <v>2784</v>
      </c>
    </row>
    <row r="601" spans="2:6" x14ac:dyDescent="0.3">
      <c r="B601" s="50">
        <f t="shared" si="9"/>
        <v>598</v>
      </c>
      <c r="C601" s="50" t="s">
        <v>1237</v>
      </c>
      <c r="D601" s="56" t="s">
        <v>1238</v>
      </c>
      <c r="E601" s="50">
        <v>1</v>
      </c>
      <c r="F601" s="50">
        <v>203</v>
      </c>
    </row>
    <row r="602" spans="2:6" x14ac:dyDescent="0.3">
      <c r="B602" s="50">
        <f t="shared" si="9"/>
        <v>599</v>
      </c>
      <c r="C602" s="50" t="s">
        <v>1239</v>
      </c>
      <c r="D602" s="56" t="s">
        <v>1240</v>
      </c>
      <c r="E602" s="50">
        <v>7</v>
      </c>
      <c r="F602" s="50">
        <v>2142</v>
      </c>
    </row>
    <row r="603" spans="2:6" x14ac:dyDescent="0.3">
      <c r="B603" s="50">
        <f t="shared" si="9"/>
        <v>600</v>
      </c>
      <c r="C603" s="50" t="s">
        <v>1241</v>
      </c>
      <c r="D603" s="56" t="s">
        <v>1242</v>
      </c>
      <c r="E603" s="50">
        <v>12</v>
      </c>
      <c r="F603" s="50">
        <v>2436</v>
      </c>
    </row>
    <row r="604" spans="2:6" x14ac:dyDescent="0.3">
      <c r="B604" s="50">
        <f t="shared" si="9"/>
        <v>601</v>
      </c>
      <c r="C604" s="50" t="s">
        <v>1243</v>
      </c>
      <c r="D604" s="56" t="s">
        <v>1244</v>
      </c>
      <c r="E604" s="50">
        <v>10</v>
      </c>
      <c r="F604" s="50">
        <v>2030</v>
      </c>
    </row>
    <row r="605" spans="2:6" x14ac:dyDescent="0.3">
      <c r="B605" s="50">
        <f t="shared" si="9"/>
        <v>602</v>
      </c>
      <c r="C605" s="50" t="s">
        <v>1245</v>
      </c>
      <c r="D605" s="56" t="s">
        <v>1246</v>
      </c>
      <c r="E605" s="50">
        <v>5</v>
      </c>
      <c r="F605" s="50">
        <v>1045</v>
      </c>
    </row>
    <row r="606" spans="2:6" x14ac:dyDescent="0.3">
      <c r="B606" s="50">
        <f t="shared" si="9"/>
        <v>603</v>
      </c>
      <c r="C606" s="50" t="s">
        <v>1247</v>
      </c>
      <c r="D606" s="56" t="s">
        <v>1248</v>
      </c>
      <c r="E606" s="50">
        <v>6</v>
      </c>
      <c r="F606" s="50">
        <v>1116</v>
      </c>
    </row>
    <row r="607" spans="2:6" x14ac:dyDescent="0.3">
      <c r="B607" s="50">
        <f t="shared" si="9"/>
        <v>604</v>
      </c>
      <c r="C607" s="50" t="s">
        <v>1249</v>
      </c>
      <c r="D607" s="56" t="s">
        <v>1250</v>
      </c>
      <c r="E607" s="50">
        <v>9</v>
      </c>
      <c r="F607" s="50">
        <v>1989</v>
      </c>
    </row>
    <row r="608" spans="2:6" x14ac:dyDescent="0.3">
      <c r="B608" s="50">
        <f t="shared" si="9"/>
        <v>605</v>
      </c>
      <c r="C608" s="50" t="s">
        <v>1251</v>
      </c>
      <c r="D608" s="56" t="s">
        <v>1252</v>
      </c>
      <c r="E608" s="50">
        <v>9</v>
      </c>
      <c r="F608" s="50">
        <v>1989</v>
      </c>
    </row>
    <row r="609" spans="2:6" x14ac:dyDescent="0.3">
      <c r="B609" s="50">
        <f t="shared" si="9"/>
        <v>606</v>
      </c>
      <c r="C609" s="50" t="s">
        <v>1253</v>
      </c>
      <c r="D609" s="56" t="s">
        <v>1254</v>
      </c>
      <c r="E609" s="50">
        <v>9</v>
      </c>
      <c r="F609" s="50">
        <v>2088</v>
      </c>
    </row>
    <row r="610" spans="2:6" x14ac:dyDescent="0.3">
      <c r="B610" s="50">
        <f t="shared" si="9"/>
        <v>607</v>
      </c>
      <c r="C610" s="50" t="s">
        <v>1255</v>
      </c>
      <c r="D610" s="56" t="s">
        <v>1256</v>
      </c>
      <c r="E610" s="50">
        <v>7</v>
      </c>
      <c r="F610" s="50">
        <v>1624</v>
      </c>
    </row>
    <row r="611" spans="2:6" x14ac:dyDescent="0.3">
      <c r="B611" s="50">
        <f t="shared" si="9"/>
        <v>608</v>
      </c>
      <c r="C611" s="50" t="s">
        <v>1257</v>
      </c>
      <c r="D611" s="56" t="s">
        <v>1258</v>
      </c>
      <c r="E611" s="50">
        <v>12</v>
      </c>
      <c r="F611" s="50">
        <v>2784</v>
      </c>
    </row>
    <row r="612" spans="2:6" x14ac:dyDescent="0.3">
      <c r="B612" s="50">
        <f t="shared" si="9"/>
        <v>609</v>
      </c>
      <c r="C612" s="50" t="s">
        <v>1259</v>
      </c>
      <c r="D612" s="56" t="s">
        <v>1260</v>
      </c>
      <c r="E612" s="50">
        <v>6</v>
      </c>
      <c r="F612" s="50">
        <v>1536</v>
      </c>
    </row>
    <row r="613" spans="2:6" x14ac:dyDescent="0.3">
      <c r="B613" s="50">
        <f t="shared" si="9"/>
        <v>610</v>
      </c>
      <c r="C613" s="50" t="s">
        <v>1261</v>
      </c>
      <c r="D613" s="56" t="s">
        <v>1262</v>
      </c>
      <c r="E613" s="50">
        <v>12</v>
      </c>
      <c r="F613" s="50">
        <v>3072</v>
      </c>
    </row>
    <row r="614" spans="2:6" x14ac:dyDescent="0.3">
      <c r="B614" s="50">
        <f t="shared" si="9"/>
        <v>611</v>
      </c>
      <c r="C614" s="50" t="s">
        <v>1263</v>
      </c>
      <c r="D614" s="56" t="s">
        <v>1264</v>
      </c>
      <c r="E614" s="50">
        <v>12</v>
      </c>
      <c r="F614" s="50">
        <v>2928</v>
      </c>
    </row>
    <row r="615" spans="2:6" x14ac:dyDescent="0.3">
      <c r="B615" s="50">
        <f t="shared" si="9"/>
        <v>612</v>
      </c>
      <c r="C615" s="50" t="s">
        <v>1265</v>
      </c>
      <c r="D615" s="56" t="s">
        <v>1266</v>
      </c>
      <c r="E615" s="50">
        <v>12</v>
      </c>
      <c r="F615" s="50">
        <v>3144</v>
      </c>
    </row>
    <row r="616" spans="2:6" x14ac:dyDescent="0.3">
      <c r="B616" s="50">
        <f t="shared" si="9"/>
        <v>613</v>
      </c>
      <c r="C616" s="50" t="s">
        <v>1267</v>
      </c>
      <c r="D616" s="56" t="s">
        <v>1268</v>
      </c>
      <c r="E616" s="50">
        <v>12</v>
      </c>
      <c r="F616" s="50">
        <v>3480</v>
      </c>
    </row>
    <row r="617" spans="2:6" x14ac:dyDescent="0.3">
      <c r="B617" s="50">
        <f t="shared" si="9"/>
        <v>614</v>
      </c>
      <c r="C617" s="50" t="s">
        <v>1269</v>
      </c>
      <c r="D617" s="56" t="s">
        <v>1270</v>
      </c>
      <c r="E617" s="50">
        <v>12</v>
      </c>
      <c r="F617" s="50">
        <v>3624</v>
      </c>
    </row>
    <row r="618" spans="2:6" x14ac:dyDescent="0.3">
      <c r="B618" s="50">
        <f t="shared" si="9"/>
        <v>615</v>
      </c>
      <c r="C618" s="50" t="s">
        <v>1271</v>
      </c>
      <c r="D618" s="56" t="s">
        <v>1272</v>
      </c>
      <c r="E618" s="50">
        <v>12</v>
      </c>
      <c r="F618" s="50">
        <v>3624</v>
      </c>
    </row>
    <row r="619" spans="2:6" x14ac:dyDescent="0.3">
      <c r="B619" s="50">
        <f t="shared" si="9"/>
        <v>616</v>
      </c>
      <c r="C619" s="50" t="s">
        <v>1273</v>
      </c>
      <c r="D619" s="56" t="s">
        <v>1274</v>
      </c>
      <c r="E619" s="50">
        <v>9</v>
      </c>
      <c r="F619" s="50">
        <v>2826</v>
      </c>
    </row>
    <row r="620" spans="2:6" x14ac:dyDescent="0.3">
      <c r="B620" s="50">
        <f t="shared" si="9"/>
        <v>617</v>
      </c>
      <c r="C620" s="50" t="s">
        <v>1275</v>
      </c>
      <c r="D620" s="56" t="s">
        <v>1276</v>
      </c>
      <c r="E620" s="50">
        <v>6</v>
      </c>
      <c r="F620" s="50">
        <v>1884</v>
      </c>
    </row>
    <row r="621" spans="2:6" x14ac:dyDescent="0.3">
      <c r="B621" s="50">
        <f t="shared" si="9"/>
        <v>618</v>
      </c>
      <c r="C621" s="50" t="s">
        <v>1277</v>
      </c>
      <c r="D621" s="56" t="s">
        <v>1278</v>
      </c>
      <c r="E621" s="50">
        <v>12</v>
      </c>
      <c r="F621" s="50">
        <v>3828</v>
      </c>
    </row>
    <row r="622" spans="2:6" x14ac:dyDescent="0.3">
      <c r="B622" s="50">
        <f t="shared" si="9"/>
        <v>619</v>
      </c>
      <c r="C622" s="50" t="s">
        <v>715</v>
      </c>
      <c r="D622" s="56" t="s">
        <v>1279</v>
      </c>
      <c r="E622" s="50">
        <v>12</v>
      </c>
      <c r="F622" s="50">
        <v>3900</v>
      </c>
    </row>
    <row r="623" spans="2:6" x14ac:dyDescent="0.3">
      <c r="B623" s="50">
        <f t="shared" si="9"/>
        <v>620</v>
      </c>
      <c r="C623" s="50" t="s">
        <v>1280</v>
      </c>
      <c r="D623" s="56" t="s">
        <v>1281</v>
      </c>
      <c r="E623" s="50">
        <v>2</v>
      </c>
      <c r="F623" s="50">
        <v>650</v>
      </c>
    </row>
    <row r="624" spans="2:6" x14ac:dyDescent="0.3">
      <c r="B624" s="50">
        <f t="shared" si="9"/>
        <v>621</v>
      </c>
      <c r="C624" s="50" t="s">
        <v>1282</v>
      </c>
      <c r="D624" s="56" t="s">
        <v>1283</v>
      </c>
      <c r="E624" s="50">
        <v>12</v>
      </c>
      <c r="F624" s="50">
        <v>3900</v>
      </c>
    </row>
    <row r="625" spans="2:6" x14ac:dyDescent="0.3">
      <c r="B625" s="50">
        <f t="shared" si="9"/>
        <v>622</v>
      </c>
      <c r="C625" s="50" t="s">
        <v>1284</v>
      </c>
      <c r="D625" s="56" t="s">
        <v>1285</v>
      </c>
      <c r="E625" s="50">
        <v>8</v>
      </c>
      <c r="F625" s="50">
        <v>2600</v>
      </c>
    </row>
    <row r="626" spans="2:6" x14ac:dyDescent="0.3">
      <c r="B626" s="50">
        <f t="shared" si="9"/>
        <v>623</v>
      </c>
      <c r="C626" s="50" t="s">
        <v>1286</v>
      </c>
      <c r="D626" s="56" t="s">
        <v>1287</v>
      </c>
      <c r="E626" s="50">
        <v>1</v>
      </c>
      <c r="F626" s="50">
        <v>325</v>
      </c>
    </row>
    <row r="627" spans="2:6" x14ac:dyDescent="0.3">
      <c r="B627" s="50">
        <f t="shared" si="9"/>
        <v>624</v>
      </c>
      <c r="C627" s="50" t="s">
        <v>931</v>
      </c>
      <c r="D627" s="56" t="s">
        <v>1288</v>
      </c>
      <c r="E627" s="50">
        <v>11</v>
      </c>
      <c r="F627" s="50">
        <v>3575</v>
      </c>
    </row>
    <row r="628" spans="2:6" x14ac:dyDescent="0.3">
      <c r="B628" s="50">
        <f t="shared" si="9"/>
        <v>625</v>
      </c>
      <c r="C628" s="50" t="s">
        <v>1289</v>
      </c>
      <c r="D628" s="56" t="s">
        <v>1290</v>
      </c>
      <c r="E628" s="50">
        <v>12</v>
      </c>
      <c r="F628" s="50">
        <v>3900</v>
      </c>
    </row>
    <row r="629" spans="2:6" x14ac:dyDescent="0.3">
      <c r="B629" s="50">
        <f t="shared" si="9"/>
        <v>626</v>
      </c>
      <c r="C629" s="50" t="s">
        <v>1291</v>
      </c>
      <c r="D629" s="56" t="s">
        <v>1292</v>
      </c>
      <c r="E629" s="50">
        <v>5</v>
      </c>
      <c r="F629" s="50">
        <v>1625</v>
      </c>
    </row>
    <row r="630" spans="2:6" x14ac:dyDescent="0.3">
      <c r="B630" s="50">
        <f t="shared" si="9"/>
        <v>627</v>
      </c>
      <c r="C630" s="50" t="s">
        <v>1293</v>
      </c>
      <c r="D630" s="56" t="s">
        <v>1294</v>
      </c>
      <c r="E630" s="50">
        <v>2</v>
      </c>
      <c r="F630" s="50">
        <v>674</v>
      </c>
    </row>
    <row r="631" spans="2:6" x14ac:dyDescent="0.3">
      <c r="B631" s="50">
        <f t="shared" si="9"/>
        <v>628</v>
      </c>
      <c r="C631" s="50" t="s">
        <v>1295</v>
      </c>
      <c r="D631" s="56" t="s">
        <v>1296</v>
      </c>
      <c r="E631" s="50">
        <v>12</v>
      </c>
      <c r="F631" s="50">
        <v>4176</v>
      </c>
    </row>
    <row r="632" spans="2:6" x14ac:dyDescent="0.3">
      <c r="B632" s="50">
        <f t="shared" si="9"/>
        <v>629</v>
      </c>
      <c r="C632" s="50" t="s">
        <v>1297</v>
      </c>
      <c r="D632" s="56" t="s">
        <v>1298</v>
      </c>
      <c r="E632" s="50">
        <v>12</v>
      </c>
      <c r="F632" s="50">
        <v>4176</v>
      </c>
    </row>
    <row r="633" spans="2:6" x14ac:dyDescent="0.3">
      <c r="B633" s="50">
        <f t="shared" si="9"/>
        <v>630</v>
      </c>
      <c r="C633" s="50" t="s">
        <v>1299</v>
      </c>
      <c r="D633" s="56" t="s">
        <v>1300</v>
      </c>
      <c r="E633" s="50">
        <v>10</v>
      </c>
      <c r="F633" s="50">
        <v>3130</v>
      </c>
    </row>
    <row r="634" spans="2:6" x14ac:dyDescent="0.3">
      <c r="B634" s="50">
        <f t="shared" si="9"/>
        <v>631</v>
      </c>
      <c r="C634" s="50" t="s">
        <v>1301</v>
      </c>
      <c r="D634" s="56" t="s">
        <v>1302</v>
      </c>
      <c r="E634" s="50">
        <v>11</v>
      </c>
      <c r="F634" s="50">
        <v>5258</v>
      </c>
    </row>
    <row r="635" spans="2:6" x14ac:dyDescent="0.3">
      <c r="B635" s="50">
        <f t="shared" si="9"/>
        <v>632</v>
      </c>
      <c r="C635" s="50" t="s">
        <v>1303</v>
      </c>
      <c r="D635" s="56" t="s">
        <v>1304</v>
      </c>
      <c r="E635" s="50">
        <v>9</v>
      </c>
      <c r="F635" s="50">
        <v>3132</v>
      </c>
    </row>
    <row r="636" spans="2:6" x14ac:dyDescent="0.3">
      <c r="B636" s="50">
        <f t="shared" si="9"/>
        <v>633</v>
      </c>
      <c r="C636" s="50" t="s">
        <v>1087</v>
      </c>
      <c r="D636" s="56" t="s">
        <v>1305</v>
      </c>
      <c r="E636" s="50">
        <v>12</v>
      </c>
      <c r="F636" s="50">
        <v>2508</v>
      </c>
    </row>
    <row r="637" spans="2:6" x14ac:dyDescent="0.3">
      <c r="B637" s="50">
        <f t="shared" si="9"/>
        <v>634</v>
      </c>
      <c r="C637" s="50" t="s">
        <v>1306</v>
      </c>
      <c r="D637" s="56" t="s">
        <v>1307</v>
      </c>
      <c r="E637" s="50">
        <v>5</v>
      </c>
      <c r="F637" s="50">
        <v>1160</v>
      </c>
    </row>
    <row r="638" spans="2:6" x14ac:dyDescent="0.3">
      <c r="B638" s="50">
        <f t="shared" si="9"/>
        <v>635</v>
      </c>
      <c r="C638" s="50" t="s">
        <v>1308</v>
      </c>
      <c r="D638" s="56" t="s">
        <v>1309</v>
      </c>
      <c r="E638" s="50">
        <v>8</v>
      </c>
      <c r="F638" s="50">
        <v>2696</v>
      </c>
    </row>
    <row r="639" spans="2:6" x14ac:dyDescent="0.3">
      <c r="B639" s="50">
        <f t="shared" si="9"/>
        <v>636</v>
      </c>
      <c r="C639" s="50" t="s">
        <v>1310</v>
      </c>
      <c r="D639" s="56" t="s">
        <v>1311</v>
      </c>
      <c r="E639" s="50">
        <v>12</v>
      </c>
      <c r="F639" s="50">
        <v>3972</v>
      </c>
    </row>
    <row r="640" spans="2:6" x14ac:dyDescent="0.3">
      <c r="B640" s="50">
        <f t="shared" si="9"/>
        <v>637</v>
      </c>
      <c r="C640" s="50" t="s">
        <v>1312</v>
      </c>
      <c r="D640" s="56" t="s">
        <v>1313</v>
      </c>
      <c r="E640" s="50">
        <v>6</v>
      </c>
      <c r="F640" s="50">
        <v>1740</v>
      </c>
    </row>
    <row r="641" spans="2:6" x14ac:dyDescent="0.3">
      <c r="B641" s="50">
        <f t="shared" si="9"/>
        <v>638</v>
      </c>
      <c r="C641" s="50" t="s">
        <v>1314</v>
      </c>
      <c r="D641" s="56" t="s">
        <v>1315</v>
      </c>
      <c r="E641" s="50">
        <v>5</v>
      </c>
      <c r="F641" s="50">
        <v>1015</v>
      </c>
    </row>
    <row r="642" spans="2:6" x14ac:dyDescent="0.3">
      <c r="B642" s="50">
        <f t="shared" si="9"/>
        <v>639</v>
      </c>
      <c r="C642" s="50" t="s">
        <v>1316</v>
      </c>
      <c r="D642" s="56" t="s">
        <v>1317</v>
      </c>
      <c r="E642" s="50">
        <v>2</v>
      </c>
      <c r="F642" s="50">
        <v>696</v>
      </c>
    </row>
    <row r="643" spans="2:6" x14ac:dyDescent="0.3">
      <c r="B643" s="50">
        <f t="shared" si="9"/>
        <v>640</v>
      </c>
      <c r="C643" s="50" t="s">
        <v>1318</v>
      </c>
      <c r="D643" s="56" t="s">
        <v>1319</v>
      </c>
      <c r="E643" s="50">
        <v>11</v>
      </c>
      <c r="F643" s="50">
        <v>3575</v>
      </c>
    </row>
    <row r="644" spans="2:6" x14ac:dyDescent="0.3">
      <c r="B644" s="50">
        <f t="shared" si="9"/>
        <v>641</v>
      </c>
      <c r="C644" s="50" t="s">
        <v>1186</v>
      </c>
      <c r="D644" s="56" t="s">
        <v>1320</v>
      </c>
      <c r="E644" s="50">
        <v>12</v>
      </c>
      <c r="F644" s="50">
        <v>2652</v>
      </c>
    </row>
    <row r="645" spans="2:6" x14ac:dyDescent="0.3">
      <c r="B645" s="50">
        <f t="shared" si="9"/>
        <v>642</v>
      </c>
      <c r="C645" s="50" t="s">
        <v>1321</v>
      </c>
      <c r="D645" s="56" t="s">
        <v>1322</v>
      </c>
      <c r="E645" s="50">
        <v>8</v>
      </c>
      <c r="F645" s="50">
        <v>2512</v>
      </c>
    </row>
    <row r="646" spans="2:6" x14ac:dyDescent="0.3">
      <c r="B646" s="50">
        <f t="shared" ref="B646:B709" si="10">+B645+1</f>
        <v>643</v>
      </c>
      <c r="C646" s="50" t="s">
        <v>1323</v>
      </c>
      <c r="D646" s="56" t="s">
        <v>1324</v>
      </c>
      <c r="E646" s="50">
        <v>12</v>
      </c>
      <c r="F646" s="50">
        <v>3480</v>
      </c>
    </row>
    <row r="647" spans="2:6" x14ac:dyDescent="0.3">
      <c r="B647" s="50">
        <f t="shared" si="10"/>
        <v>644</v>
      </c>
      <c r="C647" s="50" t="s">
        <v>1325</v>
      </c>
      <c r="D647" s="56" t="s">
        <v>1326</v>
      </c>
      <c r="E647" s="50">
        <v>4</v>
      </c>
      <c r="F647" s="50">
        <v>836</v>
      </c>
    </row>
    <row r="648" spans="2:6" x14ac:dyDescent="0.3">
      <c r="B648" s="50">
        <f t="shared" si="10"/>
        <v>645</v>
      </c>
      <c r="C648" s="50" t="s">
        <v>1327</v>
      </c>
      <c r="D648" s="56" t="s">
        <v>1328</v>
      </c>
      <c r="E648" s="50">
        <v>6</v>
      </c>
      <c r="F648" s="50">
        <v>1740</v>
      </c>
    </row>
    <row r="649" spans="2:6" x14ac:dyDescent="0.3">
      <c r="B649" s="50">
        <f t="shared" si="10"/>
        <v>646</v>
      </c>
      <c r="C649" s="50" t="s">
        <v>1329</v>
      </c>
      <c r="D649" s="56" t="s">
        <v>1330</v>
      </c>
      <c r="E649" s="50">
        <v>12</v>
      </c>
      <c r="F649" s="50">
        <v>2304</v>
      </c>
    </row>
    <row r="650" spans="2:6" x14ac:dyDescent="0.3">
      <c r="B650" s="50">
        <f t="shared" si="10"/>
        <v>647</v>
      </c>
      <c r="C650" s="50" t="s">
        <v>1331</v>
      </c>
      <c r="D650" s="56" t="s">
        <v>1332</v>
      </c>
      <c r="E650" s="50">
        <v>12</v>
      </c>
      <c r="F650" s="50">
        <v>3072</v>
      </c>
    </row>
    <row r="651" spans="2:6" x14ac:dyDescent="0.3">
      <c r="B651" s="50">
        <f t="shared" si="10"/>
        <v>648</v>
      </c>
      <c r="C651" s="50" t="s">
        <v>1333</v>
      </c>
      <c r="D651" s="56" t="s">
        <v>1334</v>
      </c>
      <c r="E651" s="50">
        <v>12</v>
      </c>
      <c r="F651" s="50">
        <v>2232</v>
      </c>
    </row>
    <row r="652" spans="2:6" x14ac:dyDescent="0.3">
      <c r="B652" s="50">
        <f t="shared" si="10"/>
        <v>649</v>
      </c>
      <c r="C652" s="50" t="s">
        <v>1335</v>
      </c>
      <c r="D652" s="56" t="s">
        <v>1336</v>
      </c>
      <c r="E652" s="50">
        <v>3</v>
      </c>
      <c r="F652" s="50">
        <v>627</v>
      </c>
    </row>
    <row r="653" spans="2:6" x14ac:dyDescent="0.3">
      <c r="B653" s="50">
        <f t="shared" si="10"/>
        <v>650</v>
      </c>
      <c r="C653" s="50" t="s">
        <v>1337</v>
      </c>
      <c r="D653" s="56" t="s">
        <v>1338</v>
      </c>
      <c r="E653" s="50">
        <v>12</v>
      </c>
      <c r="F653" s="50">
        <v>2232</v>
      </c>
    </row>
    <row r="654" spans="2:6" x14ac:dyDescent="0.3">
      <c r="B654" s="50">
        <f t="shared" si="10"/>
        <v>651</v>
      </c>
      <c r="C654" s="50" t="s">
        <v>1339</v>
      </c>
      <c r="D654" s="56" t="s">
        <v>1340</v>
      </c>
      <c r="E654" s="50">
        <v>12</v>
      </c>
      <c r="F654" s="50">
        <v>2232</v>
      </c>
    </row>
    <row r="655" spans="2:6" x14ac:dyDescent="0.3">
      <c r="B655" s="50">
        <f t="shared" si="10"/>
        <v>652</v>
      </c>
      <c r="C655" s="50" t="s">
        <v>1341</v>
      </c>
      <c r="D655" s="56" t="s">
        <v>1342</v>
      </c>
      <c r="E655" s="50">
        <v>12</v>
      </c>
      <c r="F655" s="50">
        <v>2436</v>
      </c>
    </row>
    <row r="656" spans="2:6" x14ac:dyDescent="0.3">
      <c r="B656" s="50">
        <f t="shared" si="10"/>
        <v>653</v>
      </c>
      <c r="C656" s="50" t="s">
        <v>1343</v>
      </c>
      <c r="D656" s="56" t="s">
        <v>1344</v>
      </c>
      <c r="E656" s="50">
        <v>2</v>
      </c>
      <c r="F656" s="50">
        <v>418</v>
      </c>
    </row>
    <row r="657" spans="2:6" x14ac:dyDescent="0.3">
      <c r="B657" s="50">
        <f t="shared" si="10"/>
        <v>654</v>
      </c>
      <c r="C657" s="50" t="s">
        <v>1345</v>
      </c>
      <c r="D657" s="56" t="s">
        <v>1346</v>
      </c>
      <c r="E657" s="50">
        <v>24</v>
      </c>
      <c r="F657" s="50">
        <v>5016</v>
      </c>
    </row>
    <row r="658" spans="2:6" x14ac:dyDescent="0.3">
      <c r="B658" s="50">
        <f t="shared" si="10"/>
        <v>655</v>
      </c>
      <c r="C658" s="50" t="s">
        <v>1347</v>
      </c>
      <c r="D658" s="56" t="s">
        <v>1348</v>
      </c>
      <c r="E658" s="50">
        <v>12</v>
      </c>
      <c r="F658" s="50">
        <v>2508</v>
      </c>
    </row>
    <row r="659" spans="2:6" x14ac:dyDescent="0.3">
      <c r="B659" s="50">
        <f t="shared" si="10"/>
        <v>656</v>
      </c>
      <c r="C659" s="50" t="s">
        <v>1349</v>
      </c>
      <c r="D659" s="56" t="s">
        <v>1350</v>
      </c>
      <c r="E659" s="50">
        <v>12</v>
      </c>
      <c r="F659" s="50">
        <v>3072</v>
      </c>
    </row>
    <row r="660" spans="2:6" x14ac:dyDescent="0.3">
      <c r="B660" s="50">
        <f t="shared" si="10"/>
        <v>657</v>
      </c>
      <c r="C660" s="50" t="s">
        <v>1351</v>
      </c>
      <c r="D660" s="56" t="s">
        <v>1352</v>
      </c>
      <c r="E660" s="50">
        <v>26</v>
      </c>
      <c r="F660" s="50">
        <v>5434</v>
      </c>
    </row>
    <row r="661" spans="2:6" x14ac:dyDescent="0.3">
      <c r="B661" s="50">
        <f t="shared" si="10"/>
        <v>658</v>
      </c>
      <c r="C661" s="50" t="s">
        <v>1353</v>
      </c>
      <c r="D661" s="56" t="s">
        <v>1354</v>
      </c>
      <c r="E661" s="50">
        <v>1</v>
      </c>
      <c r="F661" s="50">
        <v>209</v>
      </c>
    </row>
    <row r="662" spans="2:6" x14ac:dyDescent="0.3">
      <c r="B662" s="50">
        <f t="shared" si="10"/>
        <v>659</v>
      </c>
      <c r="C662" s="50" t="s">
        <v>1195</v>
      </c>
      <c r="D662" s="56" t="s">
        <v>1355</v>
      </c>
      <c r="E662" s="50">
        <v>15</v>
      </c>
      <c r="F662" s="50">
        <v>3135</v>
      </c>
    </row>
    <row r="663" spans="2:6" x14ac:dyDescent="0.3">
      <c r="B663" s="50">
        <f t="shared" si="10"/>
        <v>660</v>
      </c>
      <c r="C663" s="50" t="s">
        <v>1356</v>
      </c>
      <c r="D663" s="56" t="s">
        <v>1357</v>
      </c>
      <c r="E663" s="50">
        <v>27</v>
      </c>
      <c r="F663" s="50">
        <v>5643</v>
      </c>
    </row>
    <row r="664" spans="2:6" x14ac:dyDescent="0.3">
      <c r="B664" s="50">
        <f t="shared" si="10"/>
        <v>661</v>
      </c>
      <c r="C664" s="50" t="s">
        <v>1358</v>
      </c>
      <c r="D664" s="56" t="s">
        <v>1359</v>
      </c>
      <c r="E664" s="50">
        <v>15</v>
      </c>
      <c r="F664" s="50">
        <v>3135</v>
      </c>
    </row>
    <row r="665" spans="2:6" x14ac:dyDescent="0.3">
      <c r="B665" s="50">
        <f t="shared" si="10"/>
        <v>662</v>
      </c>
      <c r="C665" s="50" t="s">
        <v>599</v>
      </c>
      <c r="D665" s="56" t="s">
        <v>1360</v>
      </c>
      <c r="E665" s="50">
        <v>12</v>
      </c>
      <c r="F665" s="50">
        <v>3072</v>
      </c>
    </row>
    <row r="666" spans="2:6" x14ac:dyDescent="0.3">
      <c r="B666" s="50">
        <f t="shared" si="10"/>
        <v>663</v>
      </c>
      <c r="C666" s="50" t="s">
        <v>1361</v>
      </c>
      <c r="D666" s="56" t="s">
        <v>1362</v>
      </c>
      <c r="E666" s="50">
        <v>1</v>
      </c>
      <c r="F666" s="50">
        <v>192</v>
      </c>
    </row>
    <row r="667" spans="2:6" x14ac:dyDescent="0.3">
      <c r="B667" s="50">
        <f t="shared" si="10"/>
        <v>664</v>
      </c>
      <c r="C667" s="50" t="s">
        <v>1363</v>
      </c>
      <c r="D667" s="56" t="s">
        <v>1364</v>
      </c>
      <c r="E667" s="50">
        <v>5</v>
      </c>
      <c r="F667" s="50">
        <v>930</v>
      </c>
    </row>
    <row r="668" spans="2:6" x14ac:dyDescent="0.3">
      <c r="B668" s="50">
        <f t="shared" si="10"/>
        <v>665</v>
      </c>
      <c r="C668" s="50" t="s">
        <v>1365</v>
      </c>
      <c r="D668" s="56" t="s">
        <v>1366</v>
      </c>
      <c r="E668" s="50">
        <v>12</v>
      </c>
      <c r="F668" s="50">
        <v>3624</v>
      </c>
    </row>
    <row r="669" spans="2:6" x14ac:dyDescent="0.3">
      <c r="B669" s="50">
        <f t="shared" si="10"/>
        <v>666</v>
      </c>
      <c r="C669" s="50" t="s">
        <v>1367</v>
      </c>
      <c r="D669" s="56" t="s">
        <v>1368</v>
      </c>
      <c r="E669" s="50">
        <v>6</v>
      </c>
      <c r="F669" s="50">
        <v>1116</v>
      </c>
    </row>
    <row r="670" spans="2:6" x14ac:dyDescent="0.3">
      <c r="B670" s="50">
        <f t="shared" si="10"/>
        <v>667</v>
      </c>
      <c r="C670" s="50" t="s">
        <v>1369</v>
      </c>
      <c r="D670" s="56" t="s">
        <v>1370</v>
      </c>
      <c r="E670" s="50">
        <v>12</v>
      </c>
      <c r="F670" s="50">
        <v>4176</v>
      </c>
    </row>
    <row r="671" spans="2:6" x14ac:dyDescent="0.3">
      <c r="B671" s="50">
        <f t="shared" si="10"/>
        <v>668</v>
      </c>
      <c r="C671" s="50" t="s">
        <v>1371</v>
      </c>
      <c r="D671" s="56" t="s">
        <v>1372</v>
      </c>
      <c r="E671" s="50">
        <v>12</v>
      </c>
      <c r="F671" s="50">
        <v>2516</v>
      </c>
    </row>
    <row r="672" spans="2:6" x14ac:dyDescent="0.3">
      <c r="B672" s="50">
        <f t="shared" si="10"/>
        <v>669</v>
      </c>
      <c r="C672" s="50" t="s">
        <v>1373</v>
      </c>
      <c r="D672" s="56" t="s">
        <v>1374</v>
      </c>
      <c r="E672" s="50">
        <v>31</v>
      </c>
      <c r="F672" s="50">
        <v>11330</v>
      </c>
    </row>
    <row r="673" spans="2:6" x14ac:dyDescent="0.3">
      <c r="B673" s="50">
        <f t="shared" si="10"/>
        <v>670</v>
      </c>
      <c r="C673" s="50" t="s">
        <v>1375</v>
      </c>
      <c r="D673" s="56" t="s">
        <v>1376</v>
      </c>
      <c r="E673" s="50">
        <v>12</v>
      </c>
      <c r="F673" s="50">
        <v>3060</v>
      </c>
    </row>
    <row r="674" spans="2:6" x14ac:dyDescent="0.3">
      <c r="B674" s="50">
        <f t="shared" si="10"/>
        <v>671</v>
      </c>
      <c r="C674" s="50" t="s">
        <v>1377</v>
      </c>
      <c r="D674" s="56" t="s">
        <v>1378</v>
      </c>
      <c r="E674" s="50">
        <v>12</v>
      </c>
      <c r="F674" s="50">
        <v>3828</v>
      </c>
    </row>
    <row r="675" spans="2:6" x14ac:dyDescent="0.3">
      <c r="B675" s="50">
        <f t="shared" si="10"/>
        <v>672</v>
      </c>
      <c r="C675" s="50" t="s">
        <v>1379</v>
      </c>
      <c r="D675" s="56" t="s">
        <v>1380</v>
      </c>
      <c r="E675" s="50">
        <v>10</v>
      </c>
      <c r="F675" s="50">
        <v>1860</v>
      </c>
    </row>
    <row r="676" spans="2:6" x14ac:dyDescent="0.3">
      <c r="B676" s="50">
        <f t="shared" si="10"/>
        <v>673</v>
      </c>
      <c r="C676" s="50" t="s">
        <v>810</v>
      </c>
      <c r="D676" s="56" t="s">
        <v>1381</v>
      </c>
      <c r="E676" s="50">
        <v>15</v>
      </c>
      <c r="F676" s="50">
        <v>2970</v>
      </c>
    </row>
    <row r="677" spans="2:6" x14ac:dyDescent="0.3">
      <c r="B677" s="50">
        <f t="shared" si="10"/>
        <v>674</v>
      </c>
      <c r="C677" s="50" t="s">
        <v>1382</v>
      </c>
      <c r="D677" s="56" t="s">
        <v>1383</v>
      </c>
      <c r="E677" s="50">
        <v>10</v>
      </c>
      <c r="F677" s="50">
        <v>1980</v>
      </c>
    </row>
    <row r="678" spans="2:6" x14ac:dyDescent="0.3">
      <c r="B678" s="50">
        <f t="shared" si="10"/>
        <v>675</v>
      </c>
      <c r="C678" s="50" t="s">
        <v>1384</v>
      </c>
      <c r="D678" s="56" t="s">
        <v>1385</v>
      </c>
      <c r="E678" s="50">
        <v>2</v>
      </c>
      <c r="F678" s="50">
        <v>396</v>
      </c>
    </row>
    <row r="679" spans="2:6" x14ac:dyDescent="0.3">
      <c r="B679" s="50">
        <f t="shared" si="10"/>
        <v>676</v>
      </c>
      <c r="C679" s="50" t="s">
        <v>1386</v>
      </c>
      <c r="D679" s="56" t="s">
        <v>1387</v>
      </c>
      <c r="E679" s="50">
        <v>12</v>
      </c>
      <c r="F679" s="50">
        <v>3480</v>
      </c>
    </row>
    <row r="680" spans="2:6" x14ac:dyDescent="0.3">
      <c r="B680" s="50">
        <f t="shared" si="10"/>
        <v>677</v>
      </c>
      <c r="C680" s="50" t="s">
        <v>1388</v>
      </c>
      <c r="D680" s="56" t="s">
        <v>1389</v>
      </c>
      <c r="E680" s="50">
        <v>15</v>
      </c>
      <c r="F680" s="50">
        <v>2970</v>
      </c>
    </row>
    <row r="681" spans="2:6" x14ac:dyDescent="0.3">
      <c r="B681" s="50">
        <f t="shared" si="10"/>
        <v>678</v>
      </c>
      <c r="C681" s="50" t="s">
        <v>147</v>
      </c>
      <c r="D681" s="56" t="s">
        <v>1390</v>
      </c>
      <c r="E681" s="50">
        <v>15</v>
      </c>
      <c r="F681" s="50">
        <v>4785</v>
      </c>
    </row>
    <row r="682" spans="2:6" x14ac:dyDescent="0.3">
      <c r="B682" s="50">
        <f t="shared" si="10"/>
        <v>679</v>
      </c>
      <c r="C682" s="50" t="s">
        <v>1391</v>
      </c>
      <c r="D682" s="56" t="s">
        <v>1392</v>
      </c>
      <c r="E682" s="50">
        <v>4</v>
      </c>
      <c r="F682" s="50">
        <v>1300</v>
      </c>
    </row>
    <row r="683" spans="2:6" x14ac:dyDescent="0.3">
      <c r="B683" s="50">
        <f t="shared" si="10"/>
        <v>680</v>
      </c>
      <c r="C683" s="50" t="s">
        <v>651</v>
      </c>
      <c r="D683" s="56" t="s">
        <v>1393</v>
      </c>
      <c r="E683" s="50">
        <v>4</v>
      </c>
      <c r="F683" s="50">
        <v>1348</v>
      </c>
    </row>
    <row r="684" spans="2:6" x14ac:dyDescent="0.3">
      <c r="B684" s="50">
        <f t="shared" si="10"/>
        <v>681</v>
      </c>
      <c r="C684" s="50" t="s">
        <v>1394</v>
      </c>
      <c r="D684" s="56" t="s">
        <v>1395</v>
      </c>
      <c r="E684" s="50">
        <v>15</v>
      </c>
      <c r="F684" s="50">
        <v>5055</v>
      </c>
    </row>
    <row r="685" spans="2:6" x14ac:dyDescent="0.3">
      <c r="B685" s="50">
        <f t="shared" si="10"/>
        <v>682</v>
      </c>
      <c r="C685" s="50" t="s">
        <v>1396</v>
      </c>
      <c r="D685" s="56" t="s">
        <v>1397</v>
      </c>
      <c r="E685" s="50">
        <v>12</v>
      </c>
      <c r="F685" s="50">
        <v>4116</v>
      </c>
    </row>
    <row r="686" spans="2:6" x14ac:dyDescent="0.3">
      <c r="B686" s="50">
        <f t="shared" si="10"/>
        <v>683</v>
      </c>
      <c r="C686" s="50" t="s">
        <v>1398</v>
      </c>
      <c r="D686" s="56" t="s">
        <v>1399</v>
      </c>
      <c r="E686" s="50">
        <v>6</v>
      </c>
      <c r="F686" s="50">
        <v>2088</v>
      </c>
    </row>
    <row r="687" spans="2:6" x14ac:dyDescent="0.3">
      <c r="B687" s="50">
        <f t="shared" si="10"/>
        <v>684</v>
      </c>
      <c r="C687" s="50" t="s">
        <v>1400</v>
      </c>
      <c r="D687" s="56" t="s">
        <v>1401</v>
      </c>
      <c r="E687" s="50">
        <v>12</v>
      </c>
      <c r="F687" s="50">
        <v>3744</v>
      </c>
    </row>
    <row r="688" spans="2:6" x14ac:dyDescent="0.3">
      <c r="B688" s="50">
        <f t="shared" si="10"/>
        <v>685</v>
      </c>
      <c r="C688" s="50" t="s">
        <v>1402</v>
      </c>
      <c r="D688" s="56" t="s">
        <v>1403</v>
      </c>
      <c r="E688" s="50">
        <v>10</v>
      </c>
      <c r="F688" s="50">
        <v>2320</v>
      </c>
    </row>
    <row r="689" spans="2:6" x14ac:dyDescent="0.3">
      <c r="B689" s="50">
        <f t="shared" si="10"/>
        <v>686</v>
      </c>
      <c r="C689" s="50" t="s">
        <v>1404</v>
      </c>
      <c r="D689" s="56" t="s">
        <v>1405</v>
      </c>
      <c r="E689" s="50">
        <v>15</v>
      </c>
      <c r="F689" s="50">
        <v>2970</v>
      </c>
    </row>
    <row r="690" spans="2:6" x14ac:dyDescent="0.3">
      <c r="B690" s="50">
        <f t="shared" si="10"/>
        <v>687</v>
      </c>
      <c r="C690" s="50" t="s">
        <v>1406</v>
      </c>
      <c r="D690" s="56" t="s">
        <v>1407</v>
      </c>
      <c r="E690" s="50">
        <v>3</v>
      </c>
      <c r="F690" s="50">
        <v>558</v>
      </c>
    </row>
    <row r="691" spans="2:6" x14ac:dyDescent="0.3">
      <c r="B691" s="50">
        <f t="shared" si="10"/>
        <v>688</v>
      </c>
      <c r="C691" s="50" t="s">
        <v>1408</v>
      </c>
      <c r="D691" s="56" t="s">
        <v>1409</v>
      </c>
      <c r="E691" s="50">
        <v>15</v>
      </c>
      <c r="F691" s="50">
        <v>2790</v>
      </c>
    </row>
    <row r="692" spans="2:6" x14ac:dyDescent="0.3">
      <c r="B692" s="50">
        <f t="shared" si="10"/>
        <v>689</v>
      </c>
      <c r="C692" s="50" t="s">
        <v>1410</v>
      </c>
      <c r="D692" s="56" t="s">
        <v>1411</v>
      </c>
      <c r="E692" s="50">
        <v>15</v>
      </c>
      <c r="F692" s="50">
        <v>2790</v>
      </c>
    </row>
    <row r="693" spans="2:6" x14ac:dyDescent="0.3">
      <c r="B693" s="50">
        <f t="shared" si="10"/>
        <v>690</v>
      </c>
      <c r="C693" s="50" t="s">
        <v>1412</v>
      </c>
      <c r="D693" s="56" t="s">
        <v>1413</v>
      </c>
      <c r="E693" s="50">
        <v>16</v>
      </c>
      <c r="F693" s="50">
        <v>3168</v>
      </c>
    </row>
    <row r="694" spans="2:6" x14ac:dyDescent="0.3">
      <c r="B694" s="50">
        <f t="shared" si="10"/>
        <v>691</v>
      </c>
      <c r="C694" s="50" t="s">
        <v>1414</v>
      </c>
      <c r="D694" s="56" t="s">
        <v>1415</v>
      </c>
      <c r="E694" s="50">
        <v>12</v>
      </c>
      <c r="F694" s="50">
        <v>4176</v>
      </c>
    </row>
    <row r="695" spans="2:6" x14ac:dyDescent="0.3">
      <c r="B695" s="50">
        <f t="shared" si="10"/>
        <v>692</v>
      </c>
      <c r="C695" s="50" t="s">
        <v>1416</v>
      </c>
      <c r="D695" s="56" t="s">
        <v>1417</v>
      </c>
      <c r="E695" s="50">
        <v>15</v>
      </c>
      <c r="F695" s="50">
        <v>2970</v>
      </c>
    </row>
    <row r="696" spans="2:6" x14ac:dyDescent="0.3">
      <c r="B696" s="50">
        <f t="shared" si="10"/>
        <v>693</v>
      </c>
      <c r="C696" s="50" t="s">
        <v>1418</v>
      </c>
      <c r="D696" s="56" t="s">
        <v>1419</v>
      </c>
      <c r="E696" s="50">
        <v>11</v>
      </c>
      <c r="F696" s="50">
        <v>3828</v>
      </c>
    </row>
    <row r="697" spans="2:6" x14ac:dyDescent="0.3">
      <c r="B697" s="50">
        <f t="shared" si="10"/>
        <v>694</v>
      </c>
      <c r="C697" s="50" t="s">
        <v>362</v>
      </c>
      <c r="D697" s="56" t="s">
        <v>1420</v>
      </c>
      <c r="E697" s="50">
        <v>8</v>
      </c>
      <c r="F697" s="50">
        <v>2856</v>
      </c>
    </row>
    <row r="698" spans="2:6" x14ac:dyDescent="0.3">
      <c r="B698" s="50">
        <f t="shared" si="10"/>
        <v>695</v>
      </c>
      <c r="C698" s="50" t="s">
        <v>1421</v>
      </c>
      <c r="D698" s="56" t="s">
        <v>1422</v>
      </c>
      <c r="E698" s="50">
        <v>31</v>
      </c>
      <c r="F698" s="50">
        <v>9410</v>
      </c>
    </row>
    <row r="699" spans="2:6" x14ac:dyDescent="0.3">
      <c r="B699" s="50">
        <f t="shared" si="10"/>
        <v>696</v>
      </c>
      <c r="C699" s="50" t="s">
        <v>378</v>
      </c>
      <c r="D699" s="56" t="s">
        <v>1423</v>
      </c>
      <c r="E699" s="50">
        <v>31</v>
      </c>
      <c r="F699" s="50">
        <v>9410</v>
      </c>
    </row>
    <row r="700" spans="2:6" x14ac:dyDescent="0.3">
      <c r="B700" s="50">
        <f t="shared" si="10"/>
        <v>697</v>
      </c>
      <c r="C700" s="50" t="s">
        <v>1424</v>
      </c>
      <c r="D700" s="56" t="s">
        <v>1425</v>
      </c>
      <c r="E700" s="50">
        <v>29</v>
      </c>
      <c r="F700" s="50">
        <v>10179</v>
      </c>
    </row>
    <row r="701" spans="2:6" x14ac:dyDescent="0.3">
      <c r="B701" s="50">
        <f t="shared" si="10"/>
        <v>698</v>
      </c>
      <c r="C701" s="50" t="s">
        <v>1426</v>
      </c>
      <c r="D701" s="56" t="s">
        <v>1427</v>
      </c>
      <c r="E701" s="50">
        <v>31</v>
      </c>
      <c r="F701" s="50">
        <v>9410</v>
      </c>
    </row>
    <row r="702" spans="2:6" x14ac:dyDescent="0.3">
      <c r="B702" s="50">
        <f t="shared" si="10"/>
        <v>699</v>
      </c>
      <c r="C702" s="50" t="s">
        <v>1428</v>
      </c>
      <c r="D702" s="56" t="s">
        <v>1429</v>
      </c>
      <c r="E702" s="50">
        <v>31</v>
      </c>
      <c r="F702" s="50">
        <v>9410</v>
      </c>
    </row>
    <row r="703" spans="2:6" x14ac:dyDescent="0.3">
      <c r="B703" s="50">
        <f t="shared" si="10"/>
        <v>700</v>
      </c>
      <c r="C703" s="50" t="s">
        <v>1430</v>
      </c>
      <c r="D703" s="56" t="s">
        <v>1431</v>
      </c>
      <c r="E703" s="50">
        <v>31</v>
      </c>
      <c r="F703" s="50">
        <v>11026</v>
      </c>
    </row>
    <row r="704" spans="2:6" x14ac:dyDescent="0.3">
      <c r="B704" s="50">
        <f t="shared" si="10"/>
        <v>701</v>
      </c>
      <c r="C704" s="50" t="s">
        <v>1432</v>
      </c>
      <c r="D704" s="56" t="s">
        <v>1433</v>
      </c>
      <c r="E704" s="50">
        <v>31</v>
      </c>
      <c r="F704" s="50">
        <v>9410</v>
      </c>
    </row>
    <row r="705" spans="2:6" x14ac:dyDescent="0.3">
      <c r="B705" s="50">
        <f t="shared" si="10"/>
        <v>702</v>
      </c>
      <c r="C705" s="50" t="s">
        <v>1434</v>
      </c>
      <c r="D705" s="56" t="s">
        <v>1435</v>
      </c>
      <c r="E705" s="50">
        <v>30.5</v>
      </c>
      <c r="F705" s="50">
        <v>7625</v>
      </c>
    </row>
    <row r="706" spans="2:6" x14ac:dyDescent="0.3">
      <c r="B706" s="50">
        <f t="shared" si="10"/>
        <v>703</v>
      </c>
      <c r="C706" s="50" t="s">
        <v>1436</v>
      </c>
      <c r="D706" s="56" t="s">
        <v>1437</v>
      </c>
      <c r="E706" s="50">
        <v>31</v>
      </c>
      <c r="F706" s="50">
        <v>7000</v>
      </c>
    </row>
    <row r="707" spans="2:6" x14ac:dyDescent="0.3">
      <c r="B707" s="50">
        <f t="shared" si="10"/>
        <v>704</v>
      </c>
      <c r="C707" s="50" t="s">
        <v>1438</v>
      </c>
      <c r="D707" s="56" t="s">
        <v>1439</v>
      </c>
      <c r="E707" s="50">
        <v>31</v>
      </c>
      <c r="F707" s="50">
        <v>7750</v>
      </c>
    </row>
    <row r="708" spans="2:6" x14ac:dyDescent="0.3">
      <c r="B708" s="50">
        <f t="shared" si="10"/>
        <v>705</v>
      </c>
      <c r="C708" s="50" t="s">
        <v>1440</v>
      </c>
      <c r="D708" s="56" t="s">
        <v>1441</v>
      </c>
      <c r="E708" s="50">
        <v>26</v>
      </c>
      <c r="F708" s="50">
        <v>5582</v>
      </c>
    </row>
    <row r="709" spans="2:6" x14ac:dyDescent="0.3">
      <c r="B709" s="50">
        <f t="shared" si="10"/>
        <v>706</v>
      </c>
      <c r="C709" s="50" t="s">
        <v>1442</v>
      </c>
      <c r="D709" s="56" t="s">
        <v>1443</v>
      </c>
      <c r="E709" s="50">
        <v>30</v>
      </c>
      <c r="F709" s="50">
        <v>6441</v>
      </c>
    </row>
    <row r="710" spans="2:6" x14ac:dyDescent="0.3">
      <c r="B710" s="50">
        <f t="shared" ref="B710:B773" si="11">+B709+1</f>
        <v>707</v>
      </c>
      <c r="C710" s="50" t="s">
        <v>1444</v>
      </c>
      <c r="D710" s="56" t="s">
        <v>1445</v>
      </c>
      <c r="E710" s="50">
        <v>31</v>
      </c>
      <c r="F710" s="50">
        <v>10550</v>
      </c>
    </row>
    <row r="711" spans="2:6" x14ac:dyDescent="0.3">
      <c r="B711" s="50">
        <f t="shared" si="11"/>
        <v>708</v>
      </c>
      <c r="C711" s="50" t="s">
        <v>1446</v>
      </c>
      <c r="D711" s="56" t="s">
        <v>1447</v>
      </c>
      <c r="E711" s="50">
        <v>30</v>
      </c>
      <c r="F711" s="50">
        <v>7680</v>
      </c>
    </row>
    <row r="712" spans="2:6" x14ac:dyDescent="0.3">
      <c r="B712" s="50">
        <f t="shared" si="11"/>
        <v>709</v>
      </c>
      <c r="C712" s="50" t="s">
        <v>1448</v>
      </c>
      <c r="D712" s="56" t="s">
        <v>1449</v>
      </c>
      <c r="E712" s="50">
        <v>31</v>
      </c>
      <c r="F712" s="50">
        <v>6450</v>
      </c>
    </row>
    <row r="713" spans="2:6" x14ac:dyDescent="0.3">
      <c r="B713" s="50">
        <f t="shared" si="11"/>
        <v>710</v>
      </c>
      <c r="C713" s="50" t="s">
        <v>1450</v>
      </c>
      <c r="D713" s="56" t="s">
        <v>1451</v>
      </c>
      <c r="E713" s="50">
        <v>31</v>
      </c>
      <c r="F713" s="50">
        <v>6450</v>
      </c>
    </row>
    <row r="714" spans="2:6" x14ac:dyDescent="0.3">
      <c r="B714" s="50">
        <f t="shared" si="11"/>
        <v>711</v>
      </c>
      <c r="C714" s="50" t="s">
        <v>1452</v>
      </c>
      <c r="D714" s="56" t="s">
        <v>1453</v>
      </c>
      <c r="E714" s="50">
        <v>24</v>
      </c>
      <c r="F714" s="50">
        <v>5806</v>
      </c>
    </row>
    <row r="715" spans="2:6" x14ac:dyDescent="0.3">
      <c r="B715" s="50">
        <f t="shared" si="11"/>
        <v>712</v>
      </c>
      <c r="C715" s="50" t="s">
        <v>1454</v>
      </c>
      <c r="D715" s="56" t="s">
        <v>1455</v>
      </c>
      <c r="E715" s="50">
        <v>2</v>
      </c>
      <c r="F715" s="50">
        <v>416</v>
      </c>
    </row>
    <row r="716" spans="2:6" x14ac:dyDescent="0.3">
      <c r="B716" s="50">
        <f t="shared" si="11"/>
        <v>713</v>
      </c>
      <c r="C716" s="50" t="s">
        <v>1456</v>
      </c>
      <c r="D716" s="56" t="s">
        <v>1457</v>
      </c>
      <c r="E716" s="50">
        <v>31</v>
      </c>
      <c r="F716" s="50">
        <v>6450</v>
      </c>
    </row>
    <row r="717" spans="2:6" x14ac:dyDescent="0.3">
      <c r="B717" s="50">
        <f t="shared" si="11"/>
        <v>714</v>
      </c>
      <c r="C717" s="50" t="s">
        <v>1458</v>
      </c>
      <c r="D717" s="56" t="s">
        <v>1459</v>
      </c>
      <c r="E717" s="50">
        <v>30</v>
      </c>
      <c r="F717" s="50">
        <v>6247</v>
      </c>
    </row>
    <row r="718" spans="2:6" x14ac:dyDescent="0.3">
      <c r="B718" s="50">
        <f t="shared" si="11"/>
        <v>715</v>
      </c>
      <c r="C718" s="50" t="s">
        <v>1460</v>
      </c>
      <c r="D718" s="56" t="s">
        <v>1461</v>
      </c>
      <c r="E718" s="50">
        <v>13</v>
      </c>
      <c r="F718" s="50">
        <v>2706</v>
      </c>
    </row>
    <row r="719" spans="2:6" x14ac:dyDescent="0.3">
      <c r="B719" s="50">
        <f t="shared" si="11"/>
        <v>716</v>
      </c>
      <c r="C719" s="50" t="s">
        <v>1462</v>
      </c>
      <c r="D719" s="56" t="s">
        <v>1463</v>
      </c>
      <c r="E719" s="50">
        <v>31</v>
      </c>
      <c r="F719" s="50">
        <v>6450</v>
      </c>
    </row>
    <row r="720" spans="2:6" x14ac:dyDescent="0.3">
      <c r="B720" s="50">
        <f t="shared" si="11"/>
        <v>717</v>
      </c>
      <c r="C720" s="50" t="s">
        <v>1464</v>
      </c>
      <c r="D720" s="56" t="s">
        <v>1465</v>
      </c>
      <c r="E720" s="50">
        <v>26</v>
      </c>
      <c r="F720" s="50">
        <v>5409</v>
      </c>
    </row>
    <row r="721" spans="2:6" x14ac:dyDescent="0.3">
      <c r="B721" s="50">
        <f t="shared" si="11"/>
        <v>718</v>
      </c>
      <c r="C721" s="50" t="s">
        <v>252</v>
      </c>
      <c r="D721" s="56" t="s">
        <v>1466</v>
      </c>
      <c r="E721" s="50">
        <v>6</v>
      </c>
      <c r="F721" s="50">
        <v>1248</v>
      </c>
    </row>
    <row r="722" spans="2:6" x14ac:dyDescent="0.3">
      <c r="B722" s="50">
        <f t="shared" si="11"/>
        <v>719</v>
      </c>
      <c r="C722" s="50" t="s">
        <v>1467</v>
      </c>
      <c r="D722" s="56" t="s">
        <v>1468</v>
      </c>
      <c r="E722" s="50">
        <v>24</v>
      </c>
      <c r="F722" s="50">
        <v>4993</v>
      </c>
    </row>
    <row r="723" spans="2:6" x14ac:dyDescent="0.3">
      <c r="B723" s="50">
        <f t="shared" si="11"/>
        <v>720</v>
      </c>
      <c r="C723" s="50" t="s">
        <v>1469</v>
      </c>
      <c r="D723" s="56" t="s">
        <v>1470</v>
      </c>
      <c r="E723" s="50">
        <v>15.5</v>
      </c>
      <c r="F723" s="50">
        <v>3350</v>
      </c>
    </row>
    <row r="724" spans="2:6" x14ac:dyDescent="0.3">
      <c r="B724" s="50">
        <f t="shared" si="11"/>
        <v>721</v>
      </c>
      <c r="C724" s="50" t="s">
        <v>1471</v>
      </c>
      <c r="D724" s="56" t="s">
        <v>1472</v>
      </c>
      <c r="E724" s="50">
        <v>10</v>
      </c>
      <c r="F724" s="50">
        <v>2081</v>
      </c>
    </row>
    <row r="725" spans="2:6" x14ac:dyDescent="0.3">
      <c r="B725" s="50">
        <f t="shared" si="11"/>
        <v>722</v>
      </c>
      <c r="C725" s="50" t="s">
        <v>1473</v>
      </c>
      <c r="D725" s="56" t="s">
        <v>1474</v>
      </c>
      <c r="E725" s="50">
        <v>31</v>
      </c>
      <c r="F725" s="50">
        <v>8500</v>
      </c>
    </row>
    <row r="726" spans="2:6" x14ac:dyDescent="0.3">
      <c r="B726" s="50">
        <f t="shared" si="11"/>
        <v>723</v>
      </c>
      <c r="C726" s="50" t="s">
        <v>1475</v>
      </c>
      <c r="D726" s="56" t="s">
        <v>1476</v>
      </c>
      <c r="E726" s="50">
        <v>31</v>
      </c>
      <c r="F726" s="50">
        <v>8500</v>
      </c>
    </row>
    <row r="727" spans="2:6" x14ac:dyDescent="0.3">
      <c r="B727" s="50">
        <f t="shared" si="11"/>
        <v>724</v>
      </c>
      <c r="C727" s="50" t="s">
        <v>1477</v>
      </c>
      <c r="D727" s="56" t="s">
        <v>1478</v>
      </c>
      <c r="E727" s="50">
        <v>31</v>
      </c>
      <c r="F727" s="50">
        <v>8112</v>
      </c>
    </row>
    <row r="728" spans="2:6" x14ac:dyDescent="0.3">
      <c r="B728" s="50">
        <f t="shared" si="11"/>
        <v>725</v>
      </c>
      <c r="C728" s="50" t="s">
        <v>1479</v>
      </c>
      <c r="D728" s="56" t="s">
        <v>1480</v>
      </c>
      <c r="E728" s="50">
        <v>31</v>
      </c>
      <c r="F728" s="50">
        <v>8112</v>
      </c>
    </row>
    <row r="729" spans="2:6" x14ac:dyDescent="0.3">
      <c r="B729" s="50">
        <f t="shared" si="11"/>
        <v>726</v>
      </c>
      <c r="C729" s="50" t="s">
        <v>362</v>
      </c>
      <c r="D729" s="56" t="s">
        <v>1481</v>
      </c>
      <c r="E729" s="50">
        <v>31</v>
      </c>
      <c r="F729" s="50">
        <v>8112</v>
      </c>
    </row>
    <row r="730" spans="2:6" x14ac:dyDescent="0.3">
      <c r="B730" s="50">
        <f t="shared" si="11"/>
        <v>727</v>
      </c>
      <c r="C730" s="50" t="s">
        <v>1482</v>
      </c>
      <c r="D730" s="56" t="s">
        <v>1483</v>
      </c>
      <c r="E730" s="50">
        <v>31</v>
      </c>
      <c r="F730" s="50">
        <v>8112</v>
      </c>
    </row>
    <row r="731" spans="2:6" x14ac:dyDescent="0.3">
      <c r="B731" s="50">
        <f t="shared" si="11"/>
        <v>728</v>
      </c>
      <c r="C731" s="50" t="s">
        <v>199</v>
      </c>
      <c r="D731" s="56" t="s">
        <v>1484</v>
      </c>
      <c r="E731" s="50">
        <v>29</v>
      </c>
      <c r="F731" s="50">
        <v>7589</v>
      </c>
    </row>
    <row r="732" spans="2:6" x14ac:dyDescent="0.3">
      <c r="B732" s="50">
        <f t="shared" si="11"/>
        <v>729</v>
      </c>
      <c r="C732" s="50" t="s">
        <v>1485</v>
      </c>
      <c r="D732" s="56" t="s">
        <v>1486</v>
      </c>
      <c r="E732" s="50">
        <v>31</v>
      </c>
      <c r="F732" s="50">
        <v>8112</v>
      </c>
    </row>
    <row r="733" spans="2:6" x14ac:dyDescent="0.3">
      <c r="B733" s="50">
        <f t="shared" si="11"/>
        <v>730</v>
      </c>
      <c r="C733" s="50" t="s">
        <v>1487</v>
      </c>
      <c r="D733" s="56" t="s">
        <v>1488</v>
      </c>
      <c r="E733" s="50">
        <v>31</v>
      </c>
      <c r="F733" s="50">
        <v>8112</v>
      </c>
    </row>
    <row r="734" spans="2:6" x14ac:dyDescent="0.3">
      <c r="B734" s="50">
        <f t="shared" si="11"/>
        <v>731</v>
      </c>
      <c r="C734" s="50" t="s">
        <v>1489</v>
      </c>
      <c r="D734" s="56" t="s">
        <v>1490</v>
      </c>
      <c r="E734" s="50">
        <v>31</v>
      </c>
      <c r="F734" s="50">
        <v>8112</v>
      </c>
    </row>
    <row r="735" spans="2:6" x14ac:dyDescent="0.3">
      <c r="B735" s="50">
        <f t="shared" si="11"/>
        <v>732</v>
      </c>
      <c r="C735" s="50" t="s">
        <v>1491</v>
      </c>
      <c r="D735" s="56" t="s">
        <v>1492</v>
      </c>
      <c r="E735" s="50">
        <v>31</v>
      </c>
      <c r="F735" s="50">
        <v>8112</v>
      </c>
    </row>
    <row r="736" spans="2:6" x14ac:dyDescent="0.3">
      <c r="B736" s="50">
        <f t="shared" si="11"/>
        <v>733</v>
      </c>
      <c r="C736" s="50" t="s">
        <v>1493</v>
      </c>
      <c r="D736" s="56" t="s">
        <v>1494</v>
      </c>
      <c r="E736" s="50">
        <v>31</v>
      </c>
      <c r="F736" s="50">
        <v>8112</v>
      </c>
    </row>
    <row r="737" spans="2:6" x14ac:dyDescent="0.3">
      <c r="B737" s="50">
        <f t="shared" si="11"/>
        <v>734</v>
      </c>
      <c r="C737" s="50" t="s">
        <v>1495</v>
      </c>
      <c r="D737" s="56" t="s">
        <v>1496</v>
      </c>
      <c r="E737" s="50">
        <v>31</v>
      </c>
      <c r="F737" s="50">
        <v>8112</v>
      </c>
    </row>
    <row r="738" spans="2:6" x14ac:dyDescent="0.3">
      <c r="B738" s="50">
        <f t="shared" si="11"/>
        <v>735</v>
      </c>
      <c r="C738" s="50" t="s">
        <v>151</v>
      </c>
      <c r="D738" s="56" t="s">
        <v>1497</v>
      </c>
      <c r="E738" s="50">
        <v>31</v>
      </c>
      <c r="F738" s="50">
        <v>8112</v>
      </c>
    </row>
    <row r="739" spans="2:6" x14ac:dyDescent="0.3">
      <c r="B739" s="50">
        <f t="shared" si="11"/>
        <v>736</v>
      </c>
      <c r="C739" s="50" t="s">
        <v>1498</v>
      </c>
      <c r="D739" s="56" t="s">
        <v>1499</v>
      </c>
      <c r="E739" s="50">
        <v>31</v>
      </c>
      <c r="F739" s="50">
        <v>8112</v>
      </c>
    </row>
    <row r="740" spans="2:6" x14ac:dyDescent="0.3">
      <c r="B740" s="50">
        <f t="shared" si="11"/>
        <v>737</v>
      </c>
      <c r="C740" s="50" t="s">
        <v>1500</v>
      </c>
      <c r="D740" s="56" t="s">
        <v>1501</v>
      </c>
      <c r="E740" s="50">
        <v>29</v>
      </c>
      <c r="F740" s="50">
        <v>7589</v>
      </c>
    </row>
    <row r="741" spans="2:6" x14ac:dyDescent="0.3">
      <c r="B741" s="50">
        <f t="shared" si="11"/>
        <v>738</v>
      </c>
      <c r="C741" s="50" t="s">
        <v>1502</v>
      </c>
      <c r="D741" s="56" t="s">
        <v>1503</v>
      </c>
      <c r="E741" s="50">
        <v>31</v>
      </c>
      <c r="F741" s="50">
        <v>8112</v>
      </c>
    </row>
    <row r="742" spans="2:6" x14ac:dyDescent="0.3">
      <c r="B742" s="50">
        <f t="shared" si="11"/>
        <v>739</v>
      </c>
      <c r="C742" s="50" t="s">
        <v>1504</v>
      </c>
      <c r="D742" s="56" t="s">
        <v>1505</v>
      </c>
      <c r="E742" s="50">
        <v>31</v>
      </c>
      <c r="F742" s="50">
        <v>8112</v>
      </c>
    </row>
    <row r="743" spans="2:6" x14ac:dyDescent="0.3">
      <c r="B743" s="50">
        <f t="shared" si="11"/>
        <v>740</v>
      </c>
      <c r="C743" s="50" t="s">
        <v>810</v>
      </c>
      <c r="D743" s="56" t="s">
        <v>1506</v>
      </c>
      <c r="E743" s="50">
        <v>28</v>
      </c>
      <c r="F743" s="50">
        <v>7327</v>
      </c>
    </row>
    <row r="744" spans="2:6" x14ac:dyDescent="0.3">
      <c r="B744" s="50">
        <f t="shared" si="11"/>
        <v>741</v>
      </c>
      <c r="C744" s="50" t="s">
        <v>1507</v>
      </c>
      <c r="D744" s="56" t="s">
        <v>1508</v>
      </c>
      <c r="E744" s="50">
        <v>31</v>
      </c>
      <c r="F744" s="50">
        <v>8112</v>
      </c>
    </row>
    <row r="745" spans="2:6" x14ac:dyDescent="0.3">
      <c r="B745" s="50">
        <f t="shared" si="11"/>
        <v>742</v>
      </c>
      <c r="C745" s="50" t="s">
        <v>1509</v>
      </c>
      <c r="D745" s="56" t="s">
        <v>1510</v>
      </c>
      <c r="E745" s="50">
        <v>31</v>
      </c>
      <c r="F745" s="50">
        <v>8112</v>
      </c>
    </row>
    <row r="746" spans="2:6" x14ac:dyDescent="0.3">
      <c r="B746" s="50">
        <f t="shared" si="11"/>
        <v>743</v>
      </c>
      <c r="C746" s="50" t="s">
        <v>1280</v>
      </c>
      <c r="D746" s="56" t="s">
        <v>1511</v>
      </c>
      <c r="E746" s="50">
        <v>23</v>
      </c>
      <c r="F746" s="50">
        <v>6019</v>
      </c>
    </row>
    <row r="747" spans="2:6" x14ac:dyDescent="0.3">
      <c r="B747" s="50">
        <f t="shared" si="11"/>
        <v>744</v>
      </c>
      <c r="C747" s="50" t="s">
        <v>1512</v>
      </c>
      <c r="D747" s="56" t="s">
        <v>1513</v>
      </c>
      <c r="E747" s="50">
        <v>31</v>
      </c>
      <c r="F747" s="50">
        <v>8112</v>
      </c>
    </row>
    <row r="748" spans="2:6" x14ac:dyDescent="0.3">
      <c r="B748" s="50">
        <f t="shared" si="11"/>
        <v>745</v>
      </c>
      <c r="C748" s="50" t="s">
        <v>1514</v>
      </c>
      <c r="D748" s="56" t="s">
        <v>1515</v>
      </c>
      <c r="E748" s="50">
        <v>31</v>
      </c>
      <c r="F748" s="50">
        <v>8112</v>
      </c>
    </row>
    <row r="749" spans="2:6" x14ac:dyDescent="0.3">
      <c r="B749" s="50">
        <f t="shared" si="11"/>
        <v>746</v>
      </c>
      <c r="C749" s="50" t="s">
        <v>1516</v>
      </c>
      <c r="D749" s="56" t="s">
        <v>1517</v>
      </c>
      <c r="E749" s="50">
        <v>31</v>
      </c>
      <c r="F749" s="50">
        <v>8112</v>
      </c>
    </row>
    <row r="750" spans="2:6" x14ac:dyDescent="0.3">
      <c r="B750" s="50">
        <f t="shared" si="11"/>
        <v>747</v>
      </c>
      <c r="C750" s="50" t="s">
        <v>147</v>
      </c>
      <c r="D750" s="56" t="s">
        <v>1518</v>
      </c>
      <c r="E750" s="50">
        <v>31</v>
      </c>
      <c r="F750" s="50">
        <v>8112</v>
      </c>
    </row>
    <row r="751" spans="2:6" x14ac:dyDescent="0.3">
      <c r="B751" s="50">
        <f t="shared" si="11"/>
        <v>748</v>
      </c>
      <c r="C751" s="50" t="s">
        <v>1519</v>
      </c>
      <c r="D751" s="56" t="s">
        <v>1520</v>
      </c>
      <c r="E751" s="50">
        <v>28</v>
      </c>
      <c r="F751" s="50">
        <v>7327</v>
      </c>
    </row>
    <row r="752" spans="2:6" x14ac:dyDescent="0.3">
      <c r="B752" s="50">
        <f t="shared" si="11"/>
        <v>749</v>
      </c>
      <c r="C752" s="50" t="s">
        <v>1521</v>
      </c>
      <c r="D752" s="56" t="s">
        <v>1522</v>
      </c>
      <c r="E752" s="50">
        <v>31</v>
      </c>
      <c r="F752" s="50">
        <v>8112</v>
      </c>
    </row>
    <row r="753" spans="2:6" x14ac:dyDescent="0.3">
      <c r="B753" s="50">
        <f t="shared" si="11"/>
        <v>750</v>
      </c>
      <c r="C753" s="50" t="s">
        <v>1523</v>
      </c>
      <c r="D753" s="56" t="s">
        <v>1524</v>
      </c>
      <c r="E753" s="50">
        <v>24</v>
      </c>
      <c r="F753" s="50">
        <v>6280</v>
      </c>
    </row>
    <row r="754" spans="2:6" x14ac:dyDescent="0.3">
      <c r="B754" s="50">
        <f t="shared" si="11"/>
        <v>751</v>
      </c>
      <c r="C754" s="50" t="s">
        <v>1525</v>
      </c>
      <c r="D754" s="56" t="s">
        <v>1526</v>
      </c>
      <c r="E754" s="50">
        <v>28</v>
      </c>
      <c r="F754" s="50">
        <v>7327</v>
      </c>
    </row>
    <row r="755" spans="2:6" x14ac:dyDescent="0.3">
      <c r="B755" s="50">
        <f t="shared" si="11"/>
        <v>752</v>
      </c>
      <c r="C755" s="50" t="s">
        <v>810</v>
      </c>
      <c r="D755" s="56" t="s">
        <v>1527</v>
      </c>
      <c r="E755" s="50">
        <v>31</v>
      </c>
      <c r="F755" s="50">
        <v>8112</v>
      </c>
    </row>
    <row r="756" spans="2:6" x14ac:dyDescent="0.3">
      <c r="B756" s="50">
        <f t="shared" si="11"/>
        <v>753</v>
      </c>
      <c r="C756" s="50" t="s">
        <v>1528</v>
      </c>
      <c r="D756" s="56" t="s">
        <v>1529</v>
      </c>
      <c r="E756" s="50">
        <v>31</v>
      </c>
      <c r="F756" s="50">
        <v>8112</v>
      </c>
    </row>
    <row r="757" spans="2:6" x14ac:dyDescent="0.3">
      <c r="B757" s="50">
        <f t="shared" si="11"/>
        <v>754</v>
      </c>
      <c r="C757" s="50" t="s">
        <v>1530</v>
      </c>
      <c r="D757" s="56" t="s">
        <v>1531</v>
      </c>
      <c r="E757" s="50">
        <v>31</v>
      </c>
      <c r="F757" s="50">
        <v>8112</v>
      </c>
    </row>
    <row r="758" spans="2:6" x14ac:dyDescent="0.3">
      <c r="B758" s="50">
        <f t="shared" si="11"/>
        <v>755</v>
      </c>
      <c r="C758" s="50" t="s">
        <v>715</v>
      </c>
      <c r="D758" s="56" t="s">
        <v>1532</v>
      </c>
      <c r="E758" s="50">
        <v>31</v>
      </c>
      <c r="F758" s="50">
        <v>8112</v>
      </c>
    </row>
    <row r="759" spans="2:6" x14ac:dyDescent="0.3">
      <c r="B759" s="50">
        <f t="shared" si="11"/>
        <v>756</v>
      </c>
      <c r="C759" s="50" t="s">
        <v>1533</v>
      </c>
      <c r="D759" s="56" t="s">
        <v>1534</v>
      </c>
      <c r="E759" s="50">
        <v>31</v>
      </c>
      <c r="F759" s="50">
        <v>8112</v>
      </c>
    </row>
    <row r="760" spans="2:6" x14ac:dyDescent="0.3">
      <c r="B760" s="50">
        <f t="shared" si="11"/>
        <v>757</v>
      </c>
      <c r="C760" s="50" t="s">
        <v>1535</v>
      </c>
      <c r="D760" s="56" t="s">
        <v>1536</v>
      </c>
      <c r="E760" s="50">
        <v>23</v>
      </c>
      <c r="F760" s="50">
        <v>6019</v>
      </c>
    </row>
    <row r="761" spans="2:6" x14ac:dyDescent="0.3">
      <c r="B761" s="50">
        <f t="shared" si="11"/>
        <v>758</v>
      </c>
      <c r="C761" s="50" t="s">
        <v>1537</v>
      </c>
      <c r="D761" s="56" t="s">
        <v>1538</v>
      </c>
      <c r="E761" s="50">
        <v>31</v>
      </c>
      <c r="F761" s="50">
        <v>8112</v>
      </c>
    </row>
    <row r="762" spans="2:6" x14ac:dyDescent="0.3">
      <c r="B762" s="50">
        <f t="shared" si="11"/>
        <v>759</v>
      </c>
      <c r="C762" s="50" t="s">
        <v>1539</v>
      </c>
      <c r="D762" s="56" t="s">
        <v>1540</v>
      </c>
      <c r="E762" s="50">
        <v>31</v>
      </c>
      <c r="F762" s="50">
        <v>8112</v>
      </c>
    </row>
    <row r="763" spans="2:6" x14ac:dyDescent="0.3">
      <c r="B763" s="50">
        <f t="shared" si="11"/>
        <v>760</v>
      </c>
      <c r="C763" s="50" t="s">
        <v>1541</v>
      </c>
      <c r="D763" s="56" t="s">
        <v>1542</v>
      </c>
      <c r="E763" s="50">
        <v>31</v>
      </c>
      <c r="F763" s="50">
        <v>8112</v>
      </c>
    </row>
    <row r="764" spans="2:6" x14ac:dyDescent="0.3">
      <c r="B764" s="50">
        <f t="shared" si="11"/>
        <v>761</v>
      </c>
      <c r="C764" s="50" t="s">
        <v>1504</v>
      </c>
      <c r="D764" s="56" t="s">
        <v>1543</v>
      </c>
      <c r="E764" s="50">
        <v>31</v>
      </c>
      <c r="F764" s="50">
        <v>8112</v>
      </c>
    </row>
    <row r="765" spans="2:6" x14ac:dyDescent="0.3">
      <c r="B765" s="50">
        <f t="shared" si="11"/>
        <v>762</v>
      </c>
      <c r="C765" s="50" t="s">
        <v>1544</v>
      </c>
      <c r="D765" s="56" t="s">
        <v>1545</v>
      </c>
      <c r="E765" s="50">
        <v>31</v>
      </c>
      <c r="F765" s="50">
        <v>8112</v>
      </c>
    </row>
    <row r="766" spans="2:6" x14ac:dyDescent="0.3">
      <c r="B766" s="50">
        <f t="shared" si="11"/>
        <v>763</v>
      </c>
      <c r="C766" s="50" t="s">
        <v>779</v>
      </c>
      <c r="D766" s="56" t="s">
        <v>1546</v>
      </c>
      <c r="E766" s="50">
        <v>31</v>
      </c>
      <c r="F766" s="50">
        <v>8112</v>
      </c>
    </row>
    <row r="767" spans="2:6" x14ac:dyDescent="0.3">
      <c r="B767" s="50">
        <f t="shared" si="11"/>
        <v>764</v>
      </c>
      <c r="C767" s="50" t="s">
        <v>1547</v>
      </c>
      <c r="D767" s="56" t="s">
        <v>1548</v>
      </c>
      <c r="E767" s="50">
        <v>31</v>
      </c>
      <c r="F767" s="50">
        <v>8112</v>
      </c>
    </row>
    <row r="768" spans="2:6" x14ac:dyDescent="0.3">
      <c r="B768" s="50">
        <f t="shared" si="11"/>
        <v>765</v>
      </c>
      <c r="C768" s="50" t="s">
        <v>1549</v>
      </c>
      <c r="D768" s="56" t="s">
        <v>1550</v>
      </c>
      <c r="E768" s="50">
        <v>31</v>
      </c>
      <c r="F768" s="50">
        <v>8112</v>
      </c>
    </row>
    <row r="769" spans="2:6" x14ac:dyDescent="0.3">
      <c r="B769" s="50">
        <f t="shared" si="11"/>
        <v>766</v>
      </c>
      <c r="C769" s="50" t="s">
        <v>1551</v>
      </c>
      <c r="D769" s="56" t="s">
        <v>1552</v>
      </c>
      <c r="E769" s="50">
        <v>31</v>
      </c>
      <c r="F769" s="50">
        <v>8112</v>
      </c>
    </row>
    <row r="770" spans="2:6" x14ac:dyDescent="0.3">
      <c r="B770" s="50">
        <f t="shared" si="11"/>
        <v>767</v>
      </c>
      <c r="C770" s="50" t="s">
        <v>1553</v>
      </c>
      <c r="D770" s="56" t="s">
        <v>1554</v>
      </c>
      <c r="E770" s="50">
        <v>31</v>
      </c>
      <c r="F770" s="50">
        <v>8112</v>
      </c>
    </row>
    <row r="771" spans="2:6" x14ac:dyDescent="0.3">
      <c r="B771" s="50">
        <f t="shared" si="11"/>
        <v>768</v>
      </c>
      <c r="C771" s="50" t="s">
        <v>1555</v>
      </c>
      <c r="D771" s="56" t="s">
        <v>1556</v>
      </c>
      <c r="E771" s="50">
        <v>31</v>
      </c>
      <c r="F771" s="50">
        <v>8112</v>
      </c>
    </row>
    <row r="772" spans="2:6" x14ac:dyDescent="0.3">
      <c r="B772" s="50">
        <f t="shared" si="11"/>
        <v>769</v>
      </c>
      <c r="C772" s="50" t="s">
        <v>469</v>
      </c>
      <c r="D772" s="56" t="s">
        <v>1557</v>
      </c>
      <c r="E772" s="50">
        <v>31</v>
      </c>
      <c r="F772" s="50">
        <v>8112</v>
      </c>
    </row>
    <row r="773" spans="2:6" x14ac:dyDescent="0.3">
      <c r="B773" s="50">
        <f t="shared" si="11"/>
        <v>770</v>
      </c>
      <c r="C773" s="50" t="s">
        <v>1558</v>
      </c>
      <c r="D773" s="56" t="s">
        <v>1559</v>
      </c>
      <c r="E773" s="50">
        <v>31</v>
      </c>
      <c r="F773" s="50">
        <v>8112</v>
      </c>
    </row>
    <row r="774" spans="2:6" x14ac:dyDescent="0.3">
      <c r="B774" s="50">
        <f t="shared" ref="B774:B837" si="12">+B773+1</f>
        <v>771</v>
      </c>
      <c r="C774" s="50" t="s">
        <v>362</v>
      </c>
      <c r="D774" s="56" t="s">
        <v>1560</v>
      </c>
      <c r="E774" s="50">
        <v>31</v>
      </c>
      <c r="F774" s="50">
        <v>8112</v>
      </c>
    </row>
    <row r="775" spans="2:6" x14ac:dyDescent="0.3">
      <c r="B775" s="50">
        <f t="shared" si="12"/>
        <v>772</v>
      </c>
      <c r="C775" s="50" t="s">
        <v>1561</v>
      </c>
      <c r="D775" s="56" t="s">
        <v>874</v>
      </c>
      <c r="E775" s="50">
        <v>29</v>
      </c>
      <c r="F775" s="50">
        <v>7589</v>
      </c>
    </row>
    <row r="776" spans="2:6" x14ac:dyDescent="0.3">
      <c r="B776" s="50">
        <f t="shared" si="12"/>
        <v>773</v>
      </c>
      <c r="C776" s="50" t="s">
        <v>1562</v>
      </c>
      <c r="D776" s="56" t="s">
        <v>1563</v>
      </c>
      <c r="E776" s="50">
        <v>31</v>
      </c>
      <c r="F776" s="50">
        <v>11800</v>
      </c>
    </row>
    <row r="777" spans="2:6" x14ac:dyDescent="0.3">
      <c r="B777" s="50">
        <f t="shared" si="12"/>
        <v>774</v>
      </c>
      <c r="C777" s="50" t="s">
        <v>1564</v>
      </c>
      <c r="D777" s="56" t="s">
        <v>1565</v>
      </c>
      <c r="E777" s="50">
        <v>30</v>
      </c>
      <c r="F777" s="50">
        <v>12387</v>
      </c>
    </row>
    <row r="778" spans="2:6" x14ac:dyDescent="0.3">
      <c r="B778" s="50">
        <f t="shared" si="12"/>
        <v>775</v>
      </c>
      <c r="C778" s="50" t="s">
        <v>1566</v>
      </c>
      <c r="D778" s="56" t="s">
        <v>1567</v>
      </c>
      <c r="E778" s="50">
        <v>31</v>
      </c>
      <c r="F778" s="50">
        <v>11800</v>
      </c>
    </row>
    <row r="779" spans="2:6" x14ac:dyDescent="0.3">
      <c r="B779" s="50">
        <f t="shared" si="12"/>
        <v>776</v>
      </c>
      <c r="C779" s="50" t="s">
        <v>1568</v>
      </c>
      <c r="D779" s="56" t="s">
        <v>1569</v>
      </c>
      <c r="E779" s="50">
        <v>31</v>
      </c>
      <c r="F779" s="50">
        <v>12800</v>
      </c>
    </row>
    <row r="780" spans="2:6" x14ac:dyDescent="0.3">
      <c r="B780" s="50">
        <f t="shared" si="12"/>
        <v>777</v>
      </c>
      <c r="C780" s="50" t="s">
        <v>1570</v>
      </c>
      <c r="D780" s="56" t="s">
        <v>1571</v>
      </c>
      <c r="E780" s="50">
        <v>31</v>
      </c>
      <c r="F780" s="50">
        <v>11800</v>
      </c>
    </row>
    <row r="781" spans="2:6" x14ac:dyDescent="0.3">
      <c r="B781" s="50">
        <f t="shared" si="12"/>
        <v>778</v>
      </c>
      <c r="C781" s="50" t="s">
        <v>1572</v>
      </c>
      <c r="D781" s="56" t="s">
        <v>1573</v>
      </c>
      <c r="E781" s="50">
        <v>31</v>
      </c>
      <c r="F781" s="50">
        <v>14000</v>
      </c>
    </row>
    <row r="782" spans="2:6" x14ac:dyDescent="0.3">
      <c r="B782" s="50">
        <f t="shared" si="12"/>
        <v>779</v>
      </c>
      <c r="C782" s="50" t="s">
        <v>1343</v>
      </c>
      <c r="D782" s="56" t="s">
        <v>1574</v>
      </c>
      <c r="E782" s="50">
        <v>30</v>
      </c>
      <c r="F782" s="50">
        <v>13549</v>
      </c>
    </row>
    <row r="783" spans="2:6" x14ac:dyDescent="0.3">
      <c r="B783" s="50">
        <f t="shared" si="12"/>
        <v>780</v>
      </c>
      <c r="C783" s="50" t="s">
        <v>1575</v>
      </c>
      <c r="D783" s="56" t="s">
        <v>1576</v>
      </c>
      <c r="E783" s="50">
        <v>0</v>
      </c>
      <c r="F783" s="50">
        <v>0</v>
      </c>
    </row>
    <row r="784" spans="2:6" x14ac:dyDescent="0.3">
      <c r="B784" s="50">
        <f t="shared" si="12"/>
        <v>781</v>
      </c>
      <c r="C784" s="50" t="s">
        <v>1577</v>
      </c>
      <c r="D784" s="56" t="s">
        <v>874</v>
      </c>
      <c r="E784" s="50">
        <v>5</v>
      </c>
      <c r="F784" s="50">
        <v>1625</v>
      </c>
    </row>
    <row r="785" spans="2:6" x14ac:dyDescent="0.3">
      <c r="B785" s="50">
        <f t="shared" si="12"/>
        <v>782</v>
      </c>
      <c r="C785" s="50" t="s">
        <v>1578</v>
      </c>
      <c r="D785" s="56" t="s">
        <v>1579</v>
      </c>
      <c r="E785" s="50">
        <v>31</v>
      </c>
      <c r="F785" s="50">
        <v>11196</v>
      </c>
    </row>
    <row r="786" spans="2:6" x14ac:dyDescent="0.3">
      <c r="B786" s="50">
        <f t="shared" si="12"/>
        <v>783</v>
      </c>
      <c r="C786" s="50" t="s">
        <v>1580</v>
      </c>
      <c r="D786" s="56" t="s">
        <v>1581</v>
      </c>
      <c r="E786" s="50">
        <v>31</v>
      </c>
      <c r="F786" s="50">
        <v>11196</v>
      </c>
    </row>
    <row r="787" spans="2:6" x14ac:dyDescent="0.3">
      <c r="B787" s="50">
        <f t="shared" si="12"/>
        <v>784</v>
      </c>
      <c r="C787" s="50" t="s">
        <v>165</v>
      </c>
      <c r="D787" s="56" t="s">
        <v>1582</v>
      </c>
      <c r="E787" s="50">
        <v>31</v>
      </c>
      <c r="F787" s="50">
        <v>12220</v>
      </c>
    </row>
    <row r="788" spans="2:6" x14ac:dyDescent="0.3">
      <c r="B788" s="50">
        <f t="shared" si="12"/>
        <v>785</v>
      </c>
      <c r="C788" s="50" t="s">
        <v>1583</v>
      </c>
      <c r="D788" s="56" t="s">
        <v>1584</v>
      </c>
      <c r="E788" s="50">
        <v>31</v>
      </c>
      <c r="F788" s="50">
        <v>11196</v>
      </c>
    </row>
    <row r="789" spans="2:6" x14ac:dyDescent="0.3">
      <c r="B789" s="50">
        <f t="shared" si="12"/>
        <v>786</v>
      </c>
      <c r="C789" s="50" t="s">
        <v>1585</v>
      </c>
      <c r="D789" s="56" t="s">
        <v>1586</v>
      </c>
      <c r="E789" s="50">
        <v>31</v>
      </c>
      <c r="F789" s="50">
        <v>11196</v>
      </c>
    </row>
    <row r="790" spans="2:6" x14ac:dyDescent="0.3">
      <c r="B790" s="50">
        <f t="shared" si="12"/>
        <v>787</v>
      </c>
      <c r="C790" s="50" t="s">
        <v>1587</v>
      </c>
      <c r="D790" s="56" t="s">
        <v>1588</v>
      </c>
      <c r="E790" s="50">
        <v>31</v>
      </c>
      <c r="F790" s="50">
        <v>11196</v>
      </c>
    </row>
    <row r="791" spans="2:6" x14ac:dyDescent="0.3">
      <c r="B791" s="50">
        <f t="shared" si="12"/>
        <v>788</v>
      </c>
      <c r="C791" s="50" t="s">
        <v>1589</v>
      </c>
      <c r="D791" s="56" t="s">
        <v>1590</v>
      </c>
      <c r="E791" s="50">
        <v>31</v>
      </c>
      <c r="F791" s="50">
        <v>10180</v>
      </c>
    </row>
    <row r="792" spans="2:6" x14ac:dyDescent="0.3">
      <c r="B792" s="50">
        <f t="shared" si="12"/>
        <v>789</v>
      </c>
      <c r="C792" s="50" t="s">
        <v>1591</v>
      </c>
      <c r="D792" s="56" t="s">
        <v>1592</v>
      </c>
      <c r="E792" s="50">
        <v>0</v>
      </c>
      <c r="F792" s="50">
        <v>0</v>
      </c>
    </row>
    <row r="793" spans="2:6" x14ac:dyDescent="0.3">
      <c r="B793" s="50">
        <f t="shared" si="12"/>
        <v>790</v>
      </c>
      <c r="C793" s="50" t="s">
        <v>1593</v>
      </c>
      <c r="D793" s="56" t="s">
        <v>1594</v>
      </c>
      <c r="E793" s="50">
        <v>31</v>
      </c>
      <c r="F793" s="50">
        <v>10180</v>
      </c>
    </row>
    <row r="794" spans="2:6" x14ac:dyDescent="0.3">
      <c r="B794" s="50">
        <f t="shared" si="12"/>
        <v>791</v>
      </c>
      <c r="C794" s="50" t="s">
        <v>1595</v>
      </c>
      <c r="D794" s="56" t="s">
        <v>1596</v>
      </c>
      <c r="E794" s="50">
        <v>31</v>
      </c>
      <c r="F794" s="50">
        <v>10180</v>
      </c>
    </row>
    <row r="795" spans="2:6" x14ac:dyDescent="0.3">
      <c r="B795" s="50">
        <f t="shared" si="12"/>
        <v>792</v>
      </c>
      <c r="C795" s="50" t="s">
        <v>1597</v>
      </c>
      <c r="D795" s="56" t="s">
        <v>1598</v>
      </c>
      <c r="E795" s="50">
        <v>31</v>
      </c>
      <c r="F795" s="50">
        <v>9150</v>
      </c>
    </row>
    <row r="796" spans="2:6" x14ac:dyDescent="0.3">
      <c r="B796" s="50">
        <f t="shared" si="12"/>
        <v>793</v>
      </c>
      <c r="C796" s="50" t="s">
        <v>1087</v>
      </c>
      <c r="D796" s="56" t="s">
        <v>1599</v>
      </c>
      <c r="E796" s="50">
        <v>31</v>
      </c>
      <c r="F796" s="50">
        <v>9150</v>
      </c>
    </row>
    <row r="797" spans="2:6" x14ac:dyDescent="0.3">
      <c r="B797" s="50">
        <f t="shared" si="12"/>
        <v>794</v>
      </c>
      <c r="C797" s="50" t="s">
        <v>1600</v>
      </c>
      <c r="D797" s="56" t="s">
        <v>1601</v>
      </c>
      <c r="E797" s="50">
        <v>31</v>
      </c>
      <c r="F797" s="50">
        <v>9150</v>
      </c>
    </row>
    <row r="798" spans="2:6" x14ac:dyDescent="0.3">
      <c r="B798" s="50">
        <f t="shared" si="12"/>
        <v>795</v>
      </c>
      <c r="C798" s="50" t="s">
        <v>1602</v>
      </c>
      <c r="D798" s="56" t="s">
        <v>1603</v>
      </c>
      <c r="E798" s="50">
        <v>31</v>
      </c>
      <c r="F798" s="50">
        <v>9150</v>
      </c>
    </row>
    <row r="799" spans="2:6" x14ac:dyDescent="0.3">
      <c r="B799" s="50">
        <f t="shared" si="12"/>
        <v>796</v>
      </c>
      <c r="C799" s="50" t="s">
        <v>1186</v>
      </c>
      <c r="D799" s="56" t="s">
        <v>1604</v>
      </c>
      <c r="E799" s="50">
        <v>31</v>
      </c>
      <c r="F799" s="50">
        <v>9150</v>
      </c>
    </row>
    <row r="800" spans="2:6" x14ac:dyDescent="0.3">
      <c r="B800" s="50">
        <f t="shared" si="12"/>
        <v>797</v>
      </c>
      <c r="C800" s="50" t="s">
        <v>1605</v>
      </c>
      <c r="D800" s="56" t="s">
        <v>1606</v>
      </c>
      <c r="E800" s="50">
        <v>31</v>
      </c>
      <c r="F800" s="50">
        <v>9150</v>
      </c>
    </row>
    <row r="801" spans="2:6" x14ac:dyDescent="0.3">
      <c r="B801" s="50">
        <f t="shared" si="12"/>
        <v>798</v>
      </c>
      <c r="C801" s="50" t="s">
        <v>1607</v>
      </c>
      <c r="D801" s="56" t="s">
        <v>1608</v>
      </c>
      <c r="E801" s="50">
        <v>31</v>
      </c>
      <c r="F801" s="50">
        <v>9150</v>
      </c>
    </row>
    <row r="802" spans="2:6" x14ac:dyDescent="0.3">
      <c r="B802" s="50">
        <f t="shared" si="12"/>
        <v>799</v>
      </c>
      <c r="C802" s="50" t="s">
        <v>1464</v>
      </c>
      <c r="D802" s="56" t="s">
        <v>1609</v>
      </c>
      <c r="E802" s="50">
        <v>31</v>
      </c>
      <c r="F802" s="50">
        <v>9150</v>
      </c>
    </row>
    <row r="803" spans="2:6" x14ac:dyDescent="0.3">
      <c r="B803" s="50">
        <f t="shared" si="12"/>
        <v>800</v>
      </c>
      <c r="C803" s="50" t="s">
        <v>773</v>
      </c>
      <c r="D803" s="56" t="s">
        <v>1610</v>
      </c>
      <c r="E803" s="50">
        <v>31</v>
      </c>
      <c r="F803" s="50">
        <v>9150</v>
      </c>
    </row>
    <row r="804" spans="2:6" x14ac:dyDescent="0.3">
      <c r="B804" s="50">
        <f t="shared" si="12"/>
        <v>801</v>
      </c>
      <c r="C804" s="50" t="s">
        <v>1611</v>
      </c>
      <c r="D804" s="56" t="s">
        <v>1612</v>
      </c>
      <c r="E804" s="50">
        <v>31</v>
      </c>
      <c r="F804" s="50">
        <v>9150</v>
      </c>
    </row>
    <row r="805" spans="2:6" x14ac:dyDescent="0.3">
      <c r="B805" s="50">
        <f t="shared" si="12"/>
        <v>802</v>
      </c>
      <c r="C805" s="50" t="s">
        <v>1613</v>
      </c>
      <c r="D805" s="56" t="s">
        <v>1614</v>
      </c>
      <c r="E805" s="50">
        <v>31</v>
      </c>
      <c r="F805" s="50">
        <v>9150</v>
      </c>
    </row>
    <row r="806" spans="2:6" x14ac:dyDescent="0.3">
      <c r="B806" s="50">
        <f t="shared" si="12"/>
        <v>803</v>
      </c>
      <c r="C806" s="50" t="s">
        <v>378</v>
      </c>
      <c r="D806" s="56" t="s">
        <v>1615</v>
      </c>
      <c r="E806" s="50">
        <v>31</v>
      </c>
      <c r="F806" s="50">
        <v>9150</v>
      </c>
    </row>
    <row r="807" spans="2:6" x14ac:dyDescent="0.3">
      <c r="B807" s="50">
        <f t="shared" si="12"/>
        <v>804</v>
      </c>
      <c r="C807" s="50" t="s">
        <v>1616</v>
      </c>
      <c r="D807" s="56" t="s">
        <v>1617</v>
      </c>
      <c r="E807" s="50">
        <v>31</v>
      </c>
      <c r="F807" s="50">
        <v>9150</v>
      </c>
    </row>
    <row r="808" spans="2:6" x14ac:dyDescent="0.3">
      <c r="B808" s="50">
        <f t="shared" si="12"/>
        <v>805</v>
      </c>
      <c r="C808" s="50" t="s">
        <v>1618</v>
      </c>
      <c r="D808" s="56" t="s">
        <v>1619</v>
      </c>
      <c r="E808" s="50">
        <v>31</v>
      </c>
      <c r="F808" s="50">
        <v>9150</v>
      </c>
    </row>
    <row r="809" spans="2:6" x14ac:dyDescent="0.3">
      <c r="B809" s="50">
        <f t="shared" si="12"/>
        <v>806</v>
      </c>
      <c r="C809" s="50" t="s">
        <v>1620</v>
      </c>
      <c r="D809" s="56" t="s">
        <v>1621</v>
      </c>
      <c r="E809" s="50">
        <v>31</v>
      </c>
      <c r="F809" s="50">
        <v>9150</v>
      </c>
    </row>
    <row r="810" spans="2:6" x14ac:dyDescent="0.3">
      <c r="B810" s="50">
        <f t="shared" si="12"/>
        <v>807</v>
      </c>
      <c r="C810" s="50" t="s">
        <v>1464</v>
      </c>
      <c r="D810" s="56" t="s">
        <v>1622</v>
      </c>
      <c r="E810" s="50">
        <v>31</v>
      </c>
      <c r="F810" s="50">
        <v>9150</v>
      </c>
    </row>
    <row r="811" spans="2:6" x14ac:dyDescent="0.3">
      <c r="B811" s="50">
        <f t="shared" si="12"/>
        <v>808</v>
      </c>
      <c r="C811" s="50" t="s">
        <v>532</v>
      </c>
      <c r="D811" s="56" t="s">
        <v>1623</v>
      </c>
      <c r="E811" s="50">
        <v>31</v>
      </c>
      <c r="F811" s="50">
        <v>9150</v>
      </c>
    </row>
    <row r="812" spans="2:6" x14ac:dyDescent="0.3">
      <c r="B812" s="50">
        <f t="shared" si="12"/>
        <v>809</v>
      </c>
      <c r="C812" s="50" t="s">
        <v>877</v>
      </c>
      <c r="D812" s="56" t="s">
        <v>1624</v>
      </c>
      <c r="E812" s="50">
        <v>31</v>
      </c>
      <c r="F812" s="50">
        <v>9150</v>
      </c>
    </row>
    <row r="813" spans="2:6" x14ac:dyDescent="0.3">
      <c r="B813" s="50">
        <f t="shared" si="12"/>
        <v>810</v>
      </c>
      <c r="C813" s="50" t="s">
        <v>1625</v>
      </c>
      <c r="D813" s="56" t="s">
        <v>1626</v>
      </c>
      <c r="E813" s="50">
        <v>31</v>
      </c>
      <c r="F813" s="50">
        <v>9150</v>
      </c>
    </row>
    <row r="814" spans="2:6" x14ac:dyDescent="0.3">
      <c r="B814" s="50">
        <f t="shared" si="12"/>
        <v>811</v>
      </c>
      <c r="C814" s="50" t="s">
        <v>1627</v>
      </c>
      <c r="D814" s="56" t="s">
        <v>1628</v>
      </c>
      <c r="E814" s="50">
        <v>0</v>
      </c>
      <c r="F814" s="50">
        <v>0</v>
      </c>
    </row>
    <row r="815" spans="2:6" x14ac:dyDescent="0.3">
      <c r="B815" s="50">
        <f t="shared" si="12"/>
        <v>812</v>
      </c>
      <c r="C815" s="50" t="s">
        <v>1629</v>
      </c>
      <c r="D815" s="56" t="s">
        <v>1630</v>
      </c>
      <c r="E815" s="50">
        <v>31</v>
      </c>
      <c r="F815" s="50">
        <v>9150</v>
      </c>
    </row>
    <row r="816" spans="2:6" x14ac:dyDescent="0.3">
      <c r="B816" s="50">
        <f t="shared" si="12"/>
        <v>813</v>
      </c>
      <c r="C816" s="50" t="s">
        <v>1631</v>
      </c>
      <c r="D816" s="56" t="s">
        <v>874</v>
      </c>
      <c r="E816" s="50">
        <v>31</v>
      </c>
      <c r="F816" s="50">
        <v>8150</v>
      </c>
    </row>
    <row r="817" spans="2:6" x14ac:dyDescent="0.3">
      <c r="B817" s="50">
        <f t="shared" si="12"/>
        <v>814</v>
      </c>
      <c r="C817" s="50" t="s">
        <v>1632</v>
      </c>
      <c r="D817" s="56" t="s">
        <v>1633</v>
      </c>
      <c r="E817" s="50">
        <v>31</v>
      </c>
      <c r="F817" s="50">
        <v>11330</v>
      </c>
    </row>
    <row r="818" spans="2:6" x14ac:dyDescent="0.3">
      <c r="B818" s="50">
        <f t="shared" si="12"/>
        <v>815</v>
      </c>
      <c r="C818" s="50" t="s">
        <v>1634</v>
      </c>
      <c r="D818" s="56" t="s">
        <v>1635</v>
      </c>
      <c r="E818" s="50">
        <v>31</v>
      </c>
      <c r="F818" s="50">
        <v>11330</v>
      </c>
    </row>
    <row r="819" spans="2:6" x14ac:dyDescent="0.3">
      <c r="B819" s="50">
        <f t="shared" si="12"/>
        <v>816</v>
      </c>
      <c r="C819" s="50" t="s">
        <v>1636</v>
      </c>
      <c r="D819" s="56" t="s">
        <v>1637</v>
      </c>
      <c r="E819" s="50">
        <v>31</v>
      </c>
      <c r="F819" s="50">
        <v>11330</v>
      </c>
    </row>
    <row r="820" spans="2:6" x14ac:dyDescent="0.3">
      <c r="B820" s="50">
        <f t="shared" si="12"/>
        <v>817</v>
      </c>
      <c r="C820" s="50" t="s">
        <v>1638</v>
      </c>
      <c r="D820" s="56" t="s">
        <v>1639</v>
      </c>
      <c r="E820" s="50">
        <v>31</v>
      </c>
      <c r="F820" s="50">
        <v>11330</v>
      </c>
    </row>
    <row r="821" spans="2:6" x14ac:dyDescent="0.3">
      <c r="B821" s="50">
        <f t="shared" si="12"/>
        <v>818</v>
      </c>
      <c r="C821" s="50" t="s">
        <v>532</v>
      </c>
      <c r="D821" s="56" t="s">
        <v>1640</v>
      </c>
      <c r="E821" s="50">
        <v>31</v>
      </c>
      <c r="F821" s="50">
        <v>11330</v>
      </c>
    </row>
    <row r="822" spans="2:6" x14ac:dyDescent="0.3">
      <c r="B822" s="50">
        <f t="shared" si="12"/>
        <v>819</v>
      </c>
      <c r="C822" s="50" t="s">
        <v>1641</v>
      </c>
      <c r="D822" s="56" t="s">
        <v>1642</v>
      </c>
      <c r="E822" s="50">
        <v>31</v>
      </c>
      <c r="F822" s="50">
        <v>11330</v>
      </c>
    </row>
    <row r="823" spans="2:6" x14ac:dyDescent="0.3">
      <c r="B823" s="50">
        <f t="shared" si="12"/>
        <v>820</v>
      </c>
      <c r="C823" s="50" t="s">
        <v>1643</v>
      </c>
      <c r="D823" s="56" t="s">
        <v>1644</v>
      </c>
      <c r="E823" s="50">
        <v>31</v>
      </c>
      <c r="F823" s="50">
        <v>11330</v>
      </c>
    </row>
    <row r="824" spans="2:6" x14ac:dyDescent="0.3">
      <c r="B824" s="50">
        <f t="shared" si="12"/>
        <v>821</v>
      </c>
      <c r="C824" s="50" t="s">
        <v>1645</v>
      </c>
      <c r="D824" s="56" t="s">
        <v>1646</v>
      </c>
      <c r="E824" s="50">
        <v>31</v>
      </c>
      <c r="F824" s="50">
        <v>11330</v>
      </c>
    </row>
    <row r="825" spans="2:6" x14ac:dyDescent="0.3">
      <c r="B825" s="50">
        <f t="shared" si="12"/>
        <v>822</v>
      </c>
      <c r="C825" s="50" t="s">
        <v>1647</v>
      </c>
      <c r="D825" s="56" t="s">
        <v>1648</v>
      </c>
      <c r="E825" s="50">
        <v>27</v>
      </c>
      <c r="F825" s="50">
        <v>7677</v>
      </c>
    </row>
    <row r="826" spans="2:6" x14ac:dyDescent="0.3">
      <c r="B826" s="50">
        <f t="shared" si="12"/>
        <v>823</v>
      </c>
      <c r="C826" s="50" t="s">
        <v>1649</v>
      </c>
      <c r="D826" s="56" t="s">
        <v>1650</v>
      </c>
      <c r="E826" s="50">
        <v>31</v>
      </c>
      <c r="F826" s="50">
        <v>8814</v>
      </c>
    </row>
    <row r="827" spans="2:6" x14ac:dyDescent="0.3">
      <c r="B827" s="50">
        <f t="shared" si="12"/>
        <v>824</v>
      </c>
      <c r="C827" s="50" t="s">
        <v>147</v>
      </c>
      <c r="D827" s="56" t="s">
        <v>1651</v>
      </c>
      <c r="E827" s="50">
        <v>30</v>
      </c>
      <c r="F827" s="50">
        <v>7850</v>
      </c>
    </row>
    <row r="828" spans="2:6" x14ac:dyDescent="0.3">
      <c r="B828" s="50">
        <f t="shared" si="12"/>
        <v>825</v>
      </c>
      <c r="C828" s="50" t="s">
        <v>1562</v>
      </c>
      <c r="D828" s="56" t="s">
        <v>1652</v>
      </c>
      <c r="E828" s="50">
        <v>30</v>
      </c>
      <c r="F828" s="50">
        <v>7850</v>
      </c>
    </row>
    <row r="829" spans="2:6" x14ac:dyDescent="0.3">
      <c r="B829" s="50">
        <f t="shared" si="12"/>
        <v>826</v>
      </c>
      <c r="C829" s="50" t="s">
        <v>530</v>
      </c>
      <c r="D829" s="56" t="s">
        <v>1653</v>
      </c>
      <c r="E829" s="50">
        <v>31</v>
      </c>
      <c r="F829" s="50">
        <v>8112</v>
      </c>
    </row>
    <row r="830" spans="2:6" x14ac:dyDescent="0.3">
      <c r="B830" s="50">
        <f t="shared" si="12"/>
        <v>827</v>
      </c>
      <c r="C830" s="50" t="s">
        <v>1654</v>
      </c>
      <c r="D830" s="56" t="s">
        <v>1655</v>
      </c>
      <c r="E830" s="50">
        <v>22</v>
      </c>
      <c r="F830" s="50">
        <v>5757</v>
      </c>
    </row>
    <row r="831" spans="2:6" x14ac:dyDescent="0.3">
      <c r="B831" s="50">
        <f t="shared" si="12"/>
        <v>828</v>
      </c>
      <c r="C831" s="50" t="s">
        <v>1289</v>
      </c>
      <c r="D831" s="56" t="s">
        <v>1656</v>
      </c>
      <c r="E831" s="50">
        <v>31</v>
      </c>
      <c r="F831" s="50">
        <v>8112</v>
      </c>
    </row>
    <row r="832" spans="2:6" x14ac:dyDescent="0.3">
      <c r="B832" s="50">
        <f t="shared" si="12"/>
        <v>829</v>
      </c>
      <c r="C832" s="50" t="s">
        <v>810</v>
      </c>
      <c r="D832" s="56" t="s">
        <v>1657</v>
      </c>
      <c r="E832" s="50">
        <v>29</v>
      </c>
      <c r="F832" s="50">
        <v>7588</v>
      </c>
    </row>
    <row r="833" spans="2:6" x14ac:dyDescent="0.3">
      <c r="B833" s="50">
        <f t="shared" si="12"/>
        <v>830</v>
      </c>
      <c r="C833" s="50" t="s">
        <v>1658</v>
      </c>
      <c r="D833" s="56" t="s">
        <v>1659</v>
      </c>
      <c r="E833" s="50">
        <v>29</v>
      </c>
      <c r="F833" s="50">
        <v>7588</v>
      </c>
    </row>
    <row r="834" spans="2:6" x14ac:dyDescent="0.3">
      <c r="B834" s="50">
        <f t="shared" si="12"/>
        <v>831</v>
      </c>
      <c r="C834" s="50" t="s">
        <v>1629</v>
      </c>
      <c r="D834" s="56" t="s">
        <v>1660</v>
      </c>
      <c r="E834" s="50">
        <v>31</v>
      </c>
      <c r="F834" s="50">
        <v>8814</v>
      </c>
    </row>
    <row r="835" spans="2:6" x14ac:dyDescent="0.3">
      <c r="B835" s="50">
        <f t="shared" si="12"/>
        <v>832</v>
      </c>
      <c r="C835" s="50" t="s">
        <v>1661</v>
      </c>
      <c r="D835" s="56" t="s">
        <v>1662</v>
      </c>
      <c r="E835" s="50">
        <v>31</v>
      </c>
      <c r="F835" s="50">
        <v>8814</v>
      </c>
    </row>
    <row r="836" spans="2:6" x14ac:dyDescent="0.3">
      <c r="B836" s="50">
        <f t="shared" si="12"/>
        <v>833</v>
      </c>
      <c r="C836" s="50" t="s">
        <v>1663</v>
      </c>
      <c r="D836" s="56" t="s">
        <v>1664</v>
      </c>
      <c r="E836" s="50">
        <v>31</v>
      </c>
      <c r="F836" s="50">
        <v>8112</v>
      </c>
    </row>
    <row r="837" spans="2:6" x14ac:dyDescent="0.3">
      <c r="B837" s="50">
        <f t="shared" si="12"/>
        <v>834</v>
      </c>
      <c r="C837" s="50" t="s">
        <v>1665</v>
      </c>
      <c r="D837" s="56" t="s">
        <v>1666</v>
      </c>
      <c r="E837" s="50">
        <v>27</v>
      </c>
      <c r="F837" s="50">
        <v>7066</v>
      </c>
    </row>
    <row r="838" spans="2:6" x14ac:dyDescent="0.3">
      <c r="B838" s="50">
        <f t="shared" ref="B838:B881" si="13">+B837+1</f>
        <v>835</v>
      </c>
      <c r="C838" s="50" t="s">
        <v>362</v>
      </c>
      <c r="D838" s="56" t="s">
        <v>1667</v>
      </c>
      <c r="E838" s="50">
        <v>27</v>
      </c>
      <c r="F838" s="50">
        <v>7066</v>
      </c>
    </row>
    <row r="839" spans="2:6" x14ac:dyDescent="0.3">
      <c r="B839" s="50">
        <f t="shared" si="13"/>
        <v>836</v>
      </c>
      <c r="C839" s="50" t="s">
        <v>1668</v>
      </c>
      <c r="D839" s="56" t="s">
        <v>1669</v>
      </c>
      <c r="E839" s="50">
        <v>27</v>
      </c>
      <c r="F839" s="50">
        <v>7066</v>
      </c>
    </row>
    <row r="840" spans="2:6" x14ac:dyDescent="0.3">
      <c r="B840" s="50">
        <f t="shared" si="13"/>
        <v>837</v>
      </c>
      <c r="C840" s="50" t="s">
        <v>1670</v>
      </c>
      <c r="D840" s="56" t="s">
        <v>1671</v>
      </c>
      <c r="E840" s="50">
        <v>27</v>
      </c>
      <c r="F840" s="50">
        <v>7066</v>
      </c>
    </row>
    <row r="841" spans="2:6" x14ac:dyDescent="0.3">
      <c r="B841" s="50">
        <f t="shared" si="13"/>
        <v>838</v>
      </c>
      <c r="C841" s="50" t="s">
        <v>1672</v>
      </c>
      <c r="D841" s="56" t="s">
        <v>1673</v>
      </c>
      <c r="E841" s="50">
        <v>27</v>
      </c>
      <c r="F841" s="50">
        <v>7066</v>
      </c>
    </row>
    <row r="842" spans="2:6" x14ac:dyDescent="0.3">
      <c r="B842" s="50">
        <f t="shared" si="13"/>
        <v>839</v>
      </c>
      <c r="C842" s="50" t="s">
        <v>378</v>
      </c>
      <c r="D842" s="56" t="s">
        <v>1674</v>
      </c>
      <c r="E842" s="50">
        <v>27</v>
      </c>
      <c r="F842" s="50">
        <v>7066</v>
      </c>
    </row>
    <row r="843" spans="2:6" x14ac:dyDescent="0.3">
      <c r="B843" s="50">
        <f t="shared" si="13"/>
        <v>840</v>
      </c>
      <c r="C843" s="50" t="s">
        <v>1675</v>
      </c>
      <c r="D843" s="56" t="s">
        <v>1676</v>
      </c>
      <c r="E843" s="50">
        <v>28</v>
      </c>
      <c r="F843" s="50">
        <v>7327</v>
      </c>
    </row>
    <row r="844" spans="2:6" x14ac:dyDescent="0.3">
      <c r="B844" s="50">
        <f t="shared" si="13"/>
        <v>841</v>
      </c>
      <c r="C844" s="50" t="s">
        <v>1677</v>
      </c>
      <c r="D844" s="56" t="s">
        <v>1678</v>
      </c>
      <c r="E844" s="50">
        <v>29</v>
      </c>
      <c r="F844" s="50">
        <v>8245</v>
      </c>
    </row>
    <row r="845" spans="2:6" x14ac:dyDescent="0.3">
      <c r="B845" s="50">
        <f t="shared" si="13"/>
        <v>842</v>
      </c>
      <c r="C845" s="50" t="s">
        <v>1679</v>
      </c>
      <c r="D845" s="56" t="s">
        <v>1680</v>
      </c>
      <c r="E845" s="50">
        <v>29</v>
      </c>
      <c r="F845" s="50">
        <v>7589</v>
      </c>
    </row>
    <row r="846" spans="2:6" x14ac:dyDescent="0.3">
      <c r="B846" s="50">
        <f t="shared" si="13"/>
        <v>843</v>
      </c>
      <c r="C846" s="50" t="s">
        <v>1681</v>
      </c>
      <c r="D846" s="56" t="s">
        <v>1682</v>
      </c>
      <c r="E846" s="50">
        <v>29</v>
      </c>
      <c r="F846" s="50">
        <v>8245</v>
      </c>
    </row>
    <row r="847" spans="2:6" x14ac:dyDescent="0.3">
      <c r="B847" s="50">
        <f t="shared" si="13"/>
        <v>844</v>
      </c>
      <c r="C847" s="50" t="s">
        <v>524</v>
      </c>
      <c r="D847" s="56" t="s">
        <v>1683</v>
      </c>
      <c r="E847" s="50">
        <v>23</v>
      </c>
      <c r="F847" s="50">
        <v>6019</v>
      </c>
    </row>
    <row r="848" spans="2:6" x14ac:dyDescent="0.3">
      <c r="B848" s="50">
        <f t="shared" si="13"/>
        <v>845</v>
      </c>
      <c r="C848" s="50" t="s">
        <v>1684</v>
      </c>
      <c r="D848" s="56" t="s">
        <v>1685</v>
      </c>
      <c r="E848" s="50">
        <v>31</v>
      </c>
      <c r="F848" s="50">
        <v>8112</v>
      </c>
    </row>
    <row r="849" spans="2:6" x14ac:dyDescent="0.3">
      <c r="B849" s="50">
        <f t="shared" si="13"/>
        <v>846</v>
      </c>
      <c r="C849" s="50" t="s">
        <v>1686</v>
      </c>
      <c r="D849" s="56" t="s">
        <v>1687</v>
      </c>
      <c r="E849" s="50">
        <v>29</v>
      </c>
      <c r="F849" s="50">
        <v>7588</v>
      </c>
    </row>
    <row r="850" spans="2:6" x14ac:dyDescent="0.3">
      <c r="B850" s="50">
        <f t="shared" si="13"/>
        <v>847</v>
      </c>
      <c r="C850" s="50" t="s">
        <v>1688</v>
      </c>
      <c r="D850" s="56" t="s">
        <v>1689</v>
      </c>
      <c r="E850" s="50">
        <v>26</v>
      </c>
      <c r="F850" s="50">
        <v>6804</v>
      </c>
    </row>
    <row r="851" spans="2:6" x14ac:dyDescent="0.3">
      <c r="B851" s="50">
        <f t="shared" si="13"/>
        <v>848</v>
      </c>
      <c r="C851" s="50" t="s">
        <v>1690</v>
      </c>
      <c r="D851" s="56" t="s">
        <v>1691</v>
      </c>
      <c r="E851" s="50">
        <v>31</v>
      </c>
      <c r="F851" s="50">
        <v>8112</v>
      </c>
    </row>
    <row r="852" spans="2:6" x14ac:dyDescent="0.3">
      <c r="B852" s="50">
        <f t="shared" si="13"/>
        <v>849</v>
      </c>
      <c r="C852" s="50" t="s">
        <v>1692</v>
      </c>
      <c r="D852" s="56" t="s">
        <v>1693</v>
      </c>
      <c r="E852" s="50">
        <v>26</v>
      </c>
      <c r="F852" s="50">
        <v>6804</v>
      </c>
    </row>
    <row r="853" spans="2:6" x14ac:dyDescent="0.3">
      <c r="B853" s="50">
        <f t="shared" si="13"/>
        <v>850</v>
      </c>
      <c r="C853" s="50" t="s">
        <v>1694</v>
      </c>
      <c r="D853" s="56" t="s">
        <v>1695</v>
      </c>
      <c r="E853" s="50">
        <v>31</v>
      </c>
      <c r="F853" s="50">
        <v>9161</v>
      </c>
    </row>
    <row r="854" spans="2:6" x14ac:dyDescent="0.3">
      <c r="B854" s="50">
        <f t="shared" si="13"/>
        <v>851</v>
      </c>
      <c r="C854" s="50" t="s">
        <v>1696</v>
      </c>
      <c r="D854" s="56" t="s">
        <v>1697</v>
      </c>
      <c r="E854" s="50">
        <v>31</v>
      </c>
      <c r="F854" s="50">
        <v>9425</v>
      </c>
    </row>
    <row r="855" spans="2:6" x14ac:dyDescent="0.3">
      <c r="B855" s="50">
        <f t="shared" si="13"/>
        <v>852</v>
      </c>
      <c r="C855" s="50" t="s">
        <v>1698</v>
      </c>
      <c r="D855" s="56" t="s">
        <v>1699</v>
      </c>
      <c r="E855" s="50">
        <v>31</v>
      </c>
      <c r="F855" s="50">
        <v>10500</v>
      </c>
    </row>
    <row r="856" spans="2:6" x14ac:dyDescent="0.3">
      <c r="B856" s="50">
        <f t="shared" si="13"/>
        <v>853</v>
      </c>
      <c r="C856" s="50" t="s">
        <v>1700</v>
      </c>
      <c r="D856" s="56" t="s">
        <v>1701</v>
      </c>
      <c r="E856" s="50">
        <v>31</v>
      </c>
      <c r="F856" s="50">
        <v>8000</v>
      </c>
    </row>
    <row r="857" spans="2:6" x14ac:dyDescent="0.3">
      <c r="B857" s="50">
        <f t="shared" si="13"/>
        <v>854</v>
      </c>
      <c r="C857" s="50" t="s">
        <v>1186</v>
      </c>
      <c r="D857" s="56" t="s">
        <v>1702</v>
      </c>
      <c r="E857" s="50">
        <v>15</v>
      </c>
      <c r="F857" s="50">
        <v>3871</v>
      </c>
    </row>
    <row r="858" spans="2:6" x14ac:dyDescent="0.3">
      <c r="B858" s="50">
        <f t="shared" si="13"/>
        <v>855</v>
      </c>
      <c r="C858" s="50" t="s">
        <v>1703</v>
      </c>
      <c r="D858" s="56" t="s">
        <v>1704</v>
      </c>
      <c r="E858" s="50">
        <v>22.5</v>
      </c>
      <c r="F858" s="50">
        <v>4831</v>
      </c>
    </row>
    <row r="859" spans="2:6" x14ac:dyDescent="0.3">
      <c r="B859" s="50">
        <f t="shared" si="13"/>
        <v>856</v>
      </c>
      <c r="C859" s="50" t="s">
        <v>1289</v>
      </c>
      <c r="D859" s="56" t="s">
        <v>1705</v>
      </c>
      <c r="E859" s="50">
        <v>31</v>
      </c>
      <c r="F859" s="50">
        <v>6656</v>
      </c>
    </row>
    <row r="860" spans="2:6" x14ac:dyDescent="0.3">
      <c r="B860" s="50">
        <f t="shared" si="13"/>
        <v>857</v>
      </c>
      <c r="C860" s="50" t="s">
        <v>1706</v>
      </c>
      <c r="D860" s="56" t="s">
        <v>1707</v>
      </c>
      <c r="E860" s="50">
        <v>31</v>
      </c>
      <c r="F860" s="50">
        <v>7125</v>
      </c>
    </row>
    <row r="861" spans="2:6" x14ac:dyDescent="0.3">
      <c r="B861" s="50">
        <f t="shared" si="13"/>
        <v>858</v>
      </c>
      <c r="C861" s="50" t="s">
        <v>1708</v>
      </c>
      <c r="D861" s="56" t="s">
        <v>1709</v>
      </c>
      <c r="E861" s="50">
        <v>31</v>
      </c>
      <c r="F861" s="50">
        <v>14300</v>
      </c>
    </row>
    <row r="862" spans="2:6" x14ac:dyDescent="0.3">
      <c r="B862" s="50">
        <f t="shared" si="13"/>
        <v>859</v>
      </c>
      <c r="C862" s="50" t="s">
        <v>1710</v>
      </c>
      <c r="D862" s="56" t="s">
        <v>1711</v>
      </c>
      <c r="E862" s="50">
        <v>31</v>
      </c>
      <c r="F862" s="50">
        <v>6656</v>
      </c>
    </row>
    <row r="863" spans="2:6" x14ac:dyDescent="0.3">
      <c r="B863" s="50">
        <f t="shared" si="13"/>
        <v>860</v>
      </c>
      <c r="C863" s="50" t="s">
        <v>1712</v>
      </c>
      <c r="D863" s="56" t="s">
        <v>1713</v>
      </c>
      <c r="E863" s="50">
        <v>28</v>
      </c>
      <c r="F863" s="50">
        <v>6774</v>
      </c>
    </row>
    <row r="864" spans="2:6" x14ac:dyDescent="0.3">
      <c r="B864" s="50">
        <f t="shared" si="13"/>
        <v>861</v>
      </c>
      <c r="C864" s="50" t="s">
        <v>1714</v>
      </c>
      <c r="D864" s="56" t="s">
        <v>874</v>
      </c>
      <c r="E864" s="50">
        <v>10</v>
      </c>
      <c r="F864" s="50">
        <v>2147</v>
      </c>
    </row>
    <row r="865" spans="2:6" x14ac:dyDescent="0.3">
      <c r="B865" s="50">
        <f t="shared" si="13"/>
        <v>862</v>
      </c>
      <c r="C865" s="50" t="s">
        <v>1715</v>
      </c>
      <c r="D865" s="56" t="s">
        <v>1716</v>
      </c>
      <c r="E865" s="50">
        <v>31</v>
      </c>
      <c r="F865" s="50">
        <v>8500</v>
      </c>
    </row>
    <row r="866" spans="2:6" x14ac:dyDescent="0.3">
      <c r="B866" s="50">
        <f t="shared" si="13"/>
        <v>863</v>
      </c>
      <c r="C866" s="50" t="s">
        <v>1717</v>
      </c>
      <c r="D866" s="56" t="s">
        <v>1718</v>
      </c>
      <c r="E866" s="50">
        <v>1</v>
      </c>
      <c r="F866" s="50">
        <v>186</v>
      </c>
    </row>
    <row r="867" spans="2:6" x14ac:dyDescent="0.3">
      <c r="B867" s="50">
        <f t="shared" si="13"/>
        <v>864</v>
      </c>
      <c r="C867" s="50" t="s">
        <v>1719</v>
      </c>
      <c r="D867" s="56" t="s">
        <v>1720</v>
      </c>
      <c r="E867" s="50">
        <v>31</v>
      </c>
      <c r="F867" s="50">
        <v>11330</v>
      </c>
    </row>
    <row r="868" spans="2:6" x14ac:dyDescent="0.3">
      <c r="B868" s="50">
        <f t="shared" si="13"/>
        <v>865</v>
      </c>
      <c r="C868" s="50" t="s">
        <v>1721</v>
      </c>
      <c r="D868" s="56" t="s">
        <v>1722</v>
      </c>
      <c r="E868" s="50">
        <v>31</v>
      </c>
      <c r="F868" s="50">
        <v>11330</v>
      </c>
    </row>
    <row r="869" spans="2:6" x14ac:dyDescent="0.3">
      <c r="B869" s="50">
        <f t="shared" si="13"/>
        <v>866</v>
      </c>
      <c r="C869" s="50" t="s">
        <v>1282</v>
      </c>
      <c r="D869" s="56" t="s">
        <v>1723</v>
      </c>
      <c r="E869" s="50">
        <v>31</v>
      </c>
      <c r="F869" s="50">
        <v>7595</v>
      </c>
    </row>
    <row r="870" spans="2:6" x14ac:dyDescent="0.3">
      <c r="B870" s="50">
        <f t="shared" si="13"/>
        <v>867</v>
      </c>
      <c r="C870" s="50" t="s">
        <v>1724</v>
      </c>
      <c r="D870" s="56" t="s">
        <v>1725</v>
      </c>
      <c r="E870" s="50">
        <v>31</v>
      </c>
      <c r="F870" s="50">
        <v>9255</v>
      </c>
    </row>
    <row r="871" spans="2:6" x14ac:dyDescent="0.3">
      <c r="B871" s="50">
        <f t="shared" si="13"/>
        <v>868</v>
      </c>
      <c r="C871" s="50" t="s">
        <v>1726</v>
      </c>
      <c r="D871" s="56" t="s">
        <v>1727</v>
      </c>
      <c r="E871" s="50">
        <v>31</v>
      </c>
      <c r="F871" s="50">
        <v>8814</v>
      </c>
    </row>
    <row r="872" spans="2:6" x14ac:dyDescent="0.3">
      <c r="B872" s="50">
        <f t="shared" si="13"/>
        <v>869</v>
      </c>
      <c r="C872" s="50" t="s">
        <v>165</v>
      </c>
      <c r="D872" s="56" t="s">
        <v>1728</v>
      </c>
      <c r="E872" s="50">
        <v>31</v>
      </c>
      <c r="F872" s="50">
        <v>8814</v>
      </c>
    </row>
    <row r="873" spans="2:6" x14ac:dyDescent="0.3">
      <c r="B873" s="50">
        <f t="shared" si="13"/>
        <v>870</v>
      </c>
      <c r="C873" s="50" t="s">
        <v>1729</v>
      </c>
      <c r="D873" s="56" t="s">
        <v>1730</v>
      </c>
      <c r="E873" s="50">
        <v>31</v>
      </c>
      <c r="F873" s="50">
        <v>6656</v>
      </c>
    </row>
    <row r="874" spans="2:6" x14ac:dyDescent="0.3">
      <c r="B874" s="50">
        <f t="shared" si="13"/>
        <v>871</v>
      </c>
      <c r="C874" s="50" t="s">
        <v>1731</v>
      </c>
      <c r="D874" s="56" t="s">
        <v>1732</v>
      </c>
      <c r="E874" s="50">
        <v>31</v>
      </c>
      <c r="F874" s="50">
        <v>6656</v>
      </c>
    </row>
    <row r="875" spans="2:6" x14ac:dyDescent="0.3">
      <c r="B875" s="50">
        <f t="shared" si="13"/>
        <v>872</v>
      </c>
      <c r="C875" s="50" t="s">
        <v>1733</v>
      </c>
      <c r="D875" s="56" t="s">
        <v>1734</v>
      </c>
      <c r="E875" s="50">
        <v>30</v>
      </c>
      <c r="F875" s="50">
        <v>6441</v>
      </c>
    </row>
    <row r="876" spans="2:6" x14ac:dyDescent="0.3">
      <c r="B876" s="50">
        <f t="shared" si="13"/>
        <v>873</v>
      </c>
      <c r="C876" s="50" t="s">
        <v>1735</v>
      </c>
      <c r="D876" s="56" t="s">
        <v>1736</v>
      </c>
      <c r="E876" s="50">
        <v>31</v>
      </c>
      <c r="F876" s="50">
        <v>6656</v>
      </c>
    </row>
    <row r="877" spans="2:6" x14ac:dyDescent="0.3">
      <c r="B877" s="50">
        <f t="shared" si="13"/>
        <v>874</v>
      </c>
      <c r="C877" s="50" t="s">
        <v>1658</v>
      </c>
      <c r="D877" s="56" t="s">
        <v>1737</v>
      </c>
      <c r="E877" s="50">
        <v>31</v>
      </c>
      <c r="F877" s="50">
        <v>8814</v>
      </c>
    </row>
    <row r="878" spans="2:6" x14ac:dyDescent="0.3">
      <c r="B878" s="50">
        <f t="shared" si="13"/>
        <v>875</v>
      </c>
      <c r="C878" s="50" t="s">
        <v>1738</v>
      </c>
      <c r="D878" s="56" t="s">
        <v>1739</v>
      </c>
      <c r="E878" s="50">
        <v>31</v>
      </c>
      <c r="F878" s="50">
        <v>6656</v>
      </c>
    </row>
    <row r="879" spans="2:6" x14ac:dyDescent="0.3">
      <c r="B879" s="50">
        <f t="shared" si="13"/>
        <v>876</v>
      </c>
      <c r="C879" s="50" t="s">
        <v>1740</v>
      </c>
      <c r="D879" s="56" t="s">
        <v>1741</v>
      </c>
      <c r="E879" s="50">
        <v>31</v>
      </c>
      <c r="F879" s="50">
        <v>8814</v>
      </c>
    </row>
    <row r="880" spans="2:6" x14ac:dyDescent="0.3">
      <c r="B880" s="50">
        <f t="shared" si="13"/>
        <v>877</v>
      </c>
      <c r="C880" s="50" t="s">
        <v>1742</v>
      </c>
      <c r="D880" s="56" t="s">
        <v>1743</v>
      </c>
      <c r="E880" s="50">
        <v>31</v>
      </c>
      <c r="F880" s="50">
        <v>8814</v>
      </c>
    </row>
    <row r="881" spans="2:6" x14ac:dyDescent="0.3">
      <c r="B881" s="50">
        <f t="shared" si="13"/>
        <v>878</v>
      </c>
      <c r="C881" s="50" t="s">
        <v>1464</v>
      </c>
      <c r="D881" s="56" t="s">
        <v>1744</v>
      </c>
      <c r="E881" s="50">
        <v>31</v>
      </c>
      <c r="F881" s="50">
        <v>8814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Q-1(Logic Test)</vt:lpstr>
      <vt:lpstr>Q-2 Incentive Calculation</vt:lpstr>
      <vt:lpstr>Q-3(SumCount)</vt:lpstr>
      <vt:lpstr>Q-4(V-Lookup)</vt:lpstr>
      <vt:lpstr>Q-5(Index match)</vt:lpstr>
      <vt:lpstr>Emp._Name</vt:lpstr>
      <vt:lpstr>ESIC_NO</vt:lpstr>
      <vt:lpstr>ESIC_SALARY</vt:lpstr>
      <vt:lpstr>PAID_DAY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2021-08-15T08:23:25Z</dcterms:created>
  <dcterms:modified xsi:type="dcterms:W3CDTF">2026-01-29T16:24:52Z</dcterms:modified>
</cp:coreProperties>
</file>