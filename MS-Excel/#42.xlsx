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rse\Documents\Work\Crackjob\"/>
    </mc:Choice>
  </mc:AlternateContent>
  <xr:revisionPtr revIDLastSave="0" documentId="13_ncr:1_{E0444A6E-E026-4CD3-90F9-8BE2B1B11325}" xr6:coauthVersionLast="47" xr6:coauthVersionMax="47" xr10:uidLastSave="{00000000-0000-0000-0000-000000000000}"/>
  <bookViews>
    <workbookView xWindow="-108" yWindow="-108" windowWidth="23256" windowHeight="12456" activeTab="4" xr2:uid="{1B8C9846-DC29-44E7-9A12-EA12A7861AB2}"/>
  </bookViews>
  <sheets>
    <sheet name="Q1" sheetId="14" r:id="rId1"/>
    <sheet name="Q2" sheetId="13" r:id="rId2"/>
    <sheet name="Q3" sheetId="16" r:id="rId3"/>
    <sheet name="Q4" sheetId="15" r:id="rId4"/>
    <sheet name="Q5" sheetId="3" r:id="rId5"/>
  </sheets>
  <externalReferences>
    <externalReference r:id="rId6"/>
    <externalReference r:id="rId7"/>
    <externalReference r:id="rId8"/>
  </externalReferences>
  <definedNames>
    <definedName name="Amount">[1]Sheet4!$C$2:$C$393</definedName>
    <definedName name="CarData">[2]Sheet2!$C$3:$G$14</definedName>
    <definedName name="Cars">[2]Sheet2!$C$2:$G$2</definedName>
    <definedName name="County">#REF!</definedName>
    <definedName name="CurrPeriod">TEXT(TRANSPOSE(ROW(INDIRECT([3]Sumproduct_Across_multiple_shee!$C$1&amp;":"&amp;[3]Sumproduct_Across_multiple_shee!$C$2))),"dd-mmm-yy")</definedName>
    <definedName name="Date">'[3]Sumproduct2-Fruit'!$B$5:$B$14</definedName>
    <definedName name="Dates">[2]Sheet2!$B$3:$B$14</definedName>
    <definedName name="EmpID">'[3]SUMPRODUCT6-basic'!$B$3:$B$9</definedName>
    <definedName name="EmpName">'[3]SUMPRODUCT6-basic'!$A$3:$A$9</definedName>
    <definedName name="Fruit">'[3]Sumproduct2-Fruit'!$C$4:$H$4</definedName>
    <definedName name="FruitData">'[3]Sumproduct2-Fruit'!$C$5:$H$14</definedName>
    <definedName name="Helpcol">'[3]SUMPRODUCT6-basic'!$D$3:$D$9</definedName>
    <definedName name="Name">[1]Sheet4!$A$2:$A$393</definedName>
    <definedName name="Particulars">[1]Sheet3!$B$1:$G$1</definedName>
    <definedName name="Salary">'[3]SUMPRODUCT6-basic'!$C$3:$C$9</definedName>
    <definedName name="SalesDate">[1]Sheet4!$B$2:$B$393</definedName>
    <definedName name="Student">[1]Sheet3!$A$2:$A$19</definedName>
    <definedName name="SumRange">[1]Sheet3!$B$2:$G$19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3" l="1"/>
  <c r="J11" i="15" a="1"/>
  <c r="J11" i="15"/>
  <c r="J12" i="15" a="1"/>
  <c r="J12" i="15"/>
  <c r="J13" i="15" a="1"/>
  <c r="J13" i="15"/>
  <c r="J14" i="15" a="1"/>
  <c r="J14" i="15"/>
  <c r="J15" i="15" a="1"/>
  <c r="J15" i="15"/>
  <c r="J16" i="15" a="1"/>
  <c r="J16" i="15"/>
  <c r="J17" i="15" a="1"/>
  <c r="J17" i="15"/>
  <c r="J18" i="15" a="1"/>
  <c r="J18" i="15" s="1"/>
  <c r="J19" i="15" a="1"/>
  <c r="J19" i="15"/>
  <c r="J20" i="15" a="1"/>
  <c r="J20" i="15"/>
  <c r="J21" i="15" a="1"/>
  <c r="J21" i="15"/>
  <c r="J10" i="15" a="1"/>
  <c r="J10" i="15" s="1"/>
  <c r="L7" i="16" a="1"/>
  <c r="L7" i="16"/>
  <c r="L8" i="16" a="1"/>
  <c r="L8" i="16"/>
  <c r="L9" i="16" a="1"/>
  <c r="L9" i="16"/>
  <c r="L10" i="16" a="1"/>
  <c r="L10" i="16"/>
  <c r="L11" i="16" a="1"/>
  <c r="L11" i="16"/>
  <c r="L12" i="16" a="1"/>
  <c r="L12" i="16"/>
  <c r="L13" i="16" a="1"/>
  <c r="L13" i="16"/>
  <c r="L14" i="16" a="1"/>
  <c r="L14" i="16"/>
  <c r="L15" i="16" a="1"/>
  <c r="L15" i="16"/>
  <c r="L16" i="16" a="1"/>
  <c r="L16" i="16"/>
  <c r="L17" i="16" a="1"/>
  <c r="L17" i="16"/>
  <c r="L18" i="16" a="1"/>
  <c r="L18" i="16"/>
  <c r="L6" i="16" a="1"/>
  <c r="L6" i="16" s="1"/>
  <c r="I6" i="16" a="1"/>
  <c r="I6" i="16" s="1"/>
  <c r="F11" i="13"/>
  <c r="F12" i="13"/>
  <c r="F13" i="13"/>
  <c r="F10" i="13"/>
  <c r="D10" i="13" a="1"/>
  <c r="D10" i="13" s="1"/>
  <c r="K5" i="3"/>
  <c r="K6" i="3"/>
  <c r="K7" i="3"/>
  <c r="K8" i="3"/>
  <c r="K9" i="3"/>
  <c r="K10" i="3"/>
  <c r="K4" i="3"/>
  <c r="D8" i="16"/>
  <c r="G5" i="13"/>
  <c r="G6" i="13"/>
  <c r="G7" i="13"/>
  <c r="G4" i="13"/>
  <c r="I18" i="16" a="1"/>
  <c r="I18" i="16" s="1"/>
  <c r="I7" i="16" a="1"/>
  <c r="I7" i="16"/>
  <c r="I8" i="16" a="1"/>
  <c r="I8" i="16"/>
  <c r="I9" i="16" a="1"/>
  <c r="I9" i="16"/>
  <c r="I10" i="16" a="1"/>
  <c r="I10" i="16"/>
  <c r="I11" i="16" a="1"/>
  <c r="I11" i="16"/>
  <c r="I12" i="16" a="1"/>
  <c r="I12" i="16"/>
  <c r="I13" i="16" a="1"/>
  <c r="I13" i="16"/>
  <c r="I14" i="16" a="1"/>
  <c r="I14" i="16"/>
  <c r="I15" i="16" a="1"/>
  <c r="I15" i="16" s="1"/>
  <c r="I16" i="16" a="1"/>
  <c r="I16" i="16"/>
  <c r="I17" i="16" a="1"/>
  <c r="I17" i="16"/>
  <c r="F5" i="3"/>
  <c r="F6" i="3"/>
  <c r="F7" i="3"/>
  <c r="F8" i="3"/>
  <c r="F9" i="3"/>
  <c r="F10" i="3"/>
  <c r="F4" i="3"/>
  <c r="H11" i="15" a="1"/>
  <c r="H11" i="15" s="1"/>
  <c r="H12" i="15" a="1"/>
  <c r="H12" i="15" s="1"/>
  <c r="H13" i="15" a="1"/>
  <c r="H13" i="15" s="1"/>
  <c r="H14" i="15" a="1"/>
  <c r="H14" i="15" s="1"/>
  <c r="H15" i="15" a="1"/>
  <c r="H15" i="15" s="1"/>
  <c r="H16" i="15" a="1"/>
  <c r="H16" i="15" s="1"/>
  <c r="H17" i="15" a="1"/>
  <c r="H17" i="15" s="1"/>
  <c r="H18" i="15" a="1"/>
  <c r="H18" i="15" s="1"/>
  <c r="H19" i="15" a="1"/>
  <c r="H19" i="15" s="1"/>
  <c r="H20" i="15" a="1"/>
  <c r="H20" i="15"/>
  <c r="H21" i="15" a="1"/>
  <c r="H21" i="15" s="1"/>
  <c r="H10" i="15" a="1"/>
  <c r="H10" i="15" s="1"/>
  <c r="D12" i="16"/>
  <c r="E5" i="13" a="1"/>
  <c r="E5" i="13" s="1"/>
  <c r="E6" i="13" a="1"/>
  <c r="E6" i="13" s="1"/>
  <c r="E7" i="13" a="1"/>
  <c r="E7" i="13" s="1"/>
  <c r="E4" i="13" a="1"/>
  <c r="E4" i="13" s="1"/>
  <c r="D5" i="3"/>
  <c r="D6" i="3"/>
  <c r="D7" i="3"/>
  <c r="D8" i="3"/>
  <c r="D9" i="3"/>
  <c r="D10" i="3"/>
  <c r="D4" i="3"/>
  <c r="D5" i="13"/>
  <c r="D6" i="13"/>
  <c r="D7" i="13"/>
  <c r="D4" i="13"/>
  <c r="D18" i="16"/>
  <c r="D17" i="16"/>
  <c r="D16" i="16"/>
  <c r="D15" i="16"/>
  <c r="D14" i="16"/>
  <c r="D13" i="16"/>
  <c r="D11" i="16"/>
  <c r="D10" i="16"/>
  <c r="D9" i="16"/>
  <c r="D7" i="16"/>
  <c r="D6" i="16"/>
  <c r="G21" i="15" a="1"/>
  <c r="G21" i="15" s="1"/>
  <c r="G20" i="15" a="1"/>
  <c r="G20" i="15" s="1"/>
  <c r="G19" i="15" a="1"/>
  <c r="G19" i="15" s="1"/>
  <c r="G18" i="15" a="1"/>
  <c r="G18" i="15" s="1"/>
  <c r="G17" i="15" a="1"/>
  <c r="G17" i="15" s="1"/>
  <c r="G16" i="15" a="1"/>
  <c r="G16" i="15" s="1"/>
  <c r="G15" i="15" a="1"/>
  <c r="G15" i="15" s="1"/>
  <c r="G14" i="15" a="1"/>
  <c r="G14" i="15" s="1"/>
  <c r="G13" i="15" a="1"/>
  <c r="G13" i="15" s="1"/>
  <c r="G12" i="15" a="1"/>
  <c r="G12" i="15" s="1"/>
  <c r="G11" i="15" a="1"/>
  <c r="G11" i="15" s="1"/>
  <c r="G10" i="15" a="1"/>
  <c r="G10" i="15" s="1"/>
  <c r="A2" i="14" l="1"/>
  <c r="A3" i="14" l="1"/>
  <c r="A4" i="14" l="1"/>
  <c r="A5" i="14" l="1"/>
  <c r="A6" i="14" l="1"/>
  <c r="A7" i="14" l="1"/>
  <c r="A8" i="14" s="1"/>
  <c r="A9" i="14" s="1"/>
  <c r="A10" i="14" s="1"/>
  <c r="A11" i="14" s="1"/>
  <c r="A12" i="14" s="1"/>
  <c r="A13" i="14" s="1"/>
  <c r="A14" i="14" s="1"/>
  <c r="A15" i="14" s="1"/>
  <c r="A16" i="14" s="1"/>
  <c r="A17" i="14" l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l="1"/>
  <c r="E9" i="14" s="1" a="1"/>
  <c r="E9" i="14" s="1"/>
  <c r="E2" i="14" l="1"/>
  <c r="E4" i="14" a="1"/>
  <c r="E4" i="14" s="1"/>
  <c r="G2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A1" authorId="0" shapeId="0" xr:uid="{31B256BB-6C37-43AC-92D0-E7D2E26FC4E1}">
      <text>
        <r>
          <rPr>
            <b/>
            <sz val="9"/>
            <color indexed="81"/>
            <rFont val="Tahoma"/>
            <family val="2"/>
          </rPr>
          <t xml:space="preserve">Workbooks:_x000D_
sumproduct4.xls_x000D_
Worksheets:_x000D_
Date Range_x000D_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<sst xmlns="http://schemas.openxmlformats.org/spreadsheetml/2006/main" count="99" uniqueCount="81">
  <si>
    <t>Names</t>
  </si>
  <si>
    <t>Create a Formula for all values below to replace first "@" with "_" and Second "@" with "-" sysmbols</t>
  </si>
  <si>
    <t>Values</t>
  </si>
  <si>
    <t>Corrected value</t>
  </si>
  <si>
    <t>110@Glen@Street</t>
  </si>
  <si>
    <t>2865@Plainfield@Avenue</t>
  </si>
  <si>
    <t>40@Overlook@Drive</t>
  </si>
  <si>
    <t>3225@HinkleDeegan@LakeRoad</t>
  </si>
  <si>
    <t>4216@Modoc@Alley</t>
  </si>
  <si>
    <t>1804@Geneva@Street</t>
  </si>
  <si>
    <t>4899@Butternut@Lane</t>
  </si>
  <si>
    <t>Month</t>
  </si>
  <si>
    <t>Extract Middle Name without using Mid Function</t>
  </si>
  <si>
    <t>Aarti Karan Ahuja</t>
  </si>
  <si>
    <t>Sunaina Karan Singh</t>
  </si>
  <si>
    <t>Ritika Aman Pant</t>
  </si>
  <si>
    <t>Shrishti Mohan Sharma</t>
  </si>
  <si>
    <t>Middle Name</t>
  </si>
  <si>
    <t>Date</t>
  </si>
  <si>
    <t>Amount</t>
  </si>
  <si>
    <t>Total Last 10 days:</t>
  </si>
  <si>
    <t>EMP Name</t>
  </si>
  <si>
    <t>Supervisor Name</t>
  </si>
  <si>
    <t>Date of Birth</t>
  </si>
  <si>
    <t>Emp-1</t>
  </si>
  <si>
    <t>Supervisor-1</t>
  </si>
  <si>
    <t>Birthday Count</t>
  </si>
  <si>
    <t>Emp-2</t>
  </si>
  <si>
    <t>Emp-3</t>
  </si>
  <si>
    <t>Emp-4</t>
  </si>
  <si>
    <t>Emp-5</t>
  </si>
  <si>
    <t>Emp-6</t>
  </si>
  <si>
    <t>Emp-7</t>
  </si>
  <si>
    <t>Emp-8</t>
  </si>
  <si>
    <t>Count</t>
  </si>
  <si>
    <t>Emp-9</t>
  </si>
  <si>
    <t>Jan</t>
  </si>
  <si>
    <t>Emp-10</t>
  </si>
  <si>
    <t>Feb</t>
  </si>
  <si>
    <t>Emp-11</t>
  </si>
  <si>
    <t>Supervisor-2</t>
  </si>
  <si>
    <t>Mar</t>
  </si>
  <si>
    <t>Emp-12</t>
  </si>
  <si>
    <t>Apr</t>
  </si>
  <si>
    <t>Emp-13</t>
  </si>
  <si>
    <t>May</t>
  </si>
  <si>
    <t>Emp-14</t>
  </si>
  <si>
    <t>Jun</t>
  </si>
  <si>
    <t>Emp-15</t>
  </si>
  <si>
    <t>Jul</t>
  </si>
  <si>
    <t>Emp-16</t>
  </si>
  <si>
    <t>Aug</t>
  </si>
  <si>
    <t>Emp-17</t>
  </si>
  <si>
    <t>Sep</t>
  </si>
  <si>
    <t>Emp-18</t>
  </si>
  <si>
    <t>Oct</t>
  </si>
  <si>
    <t>Emp-19</t>
  </si>
  <si>
    <t>Nov</t>
  </si>
  <si>
    <t>Emp-20</t>
  </si>
  <si>
    <t>Dec</t>
  </si>
  <si>
    <t>Unit Price</t>
  </si>
  <si>
    <t>Discount Table</t>
  </si>
  <si>
    <t>Qty. Bought</t>
  </si>
  <si>
    <t>Amount Payable</t>
  </si>
  <si>
    <t>Quantity Bought (upto)</t>
  </si>
  <si>
    <t>% Discount</t>
  </si>
  <si>
    <t>What is amount payable after quantity discount?</t>
  </si>
  <si>
    <t>Nokia</t>
  </si>
  <si>
    <t>Sony</t>
  </si>
  <si>
    <t>Oppo</t>
  </si>
  <si>
    <t>Lyf</t>
  </si>
  <si>
    <t>Lava</t>
  </si>
  <si>
    <t>Vivo</t>
  </si>
  <si>
    <t>Xiomi</t>
  </si>
  <si>
    <t>Xioni</t>
  </si>
  <si>
    <t>Micromax</t>
  </si>
  <si>
    <t>Apple</t>
  </si>
  <si>
    <t>HTC</t>
  </si>
  <si>
    <t>Motorola</t>
  </si>
  <si>
    <t>Lenovo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</si>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</sst>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_);[Red]\(&quot;$&quot;#,##0\)"/>
    <numFmt numFmtId="165" formatCode="_(* #,##0.00_);_(* \(#,##0.00\);_(* &quot;-&quot;??_);_(@_)"/>
    <numFmt numFmtId="166" formatCode="_-* #,##0\ _k_r_-;\-* #,##0\ _k_r_-;_-* &quot;-&quot;??\ _k_r_-;_-@_-"/>
    <numFmt numFmtId="167" formatCode="_-* #,##0.0\ _k_r_-;\-* #,##0.0\ _k_r_-;_-* &quot;-&quot;??\ _k_r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Segoe UI"/>
      <family val="2"/>
    </font>
    <font>
      <sz val="11"/>
      <color theme="1"/>
      <name val="Segoe UI"/>
      <family val="2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9"/>
      <color indexed="81"/>
      <name val="Tahoma"/>
      <family val="2"/>
    </font>
    <font>
      <b/>
      <sz val="11"/>
      <color indexed="9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C00000"/>
      <name val="Segoe UI"/>
      <family val="2"/>
    </font>
    <font>
      <sz val="9"/>
      <color indexed="8"/>
      <name val="Calibri"/>
      <family val="2"/>
    </font>
    <font>
      <sz val="9"/>
      <color theme="1"/>
      <name val="Calibri"/>
      <family val="2"/>
      <scheme val="minor"/>
    </font>
    <font>
      <b/>
      <sz val="11"/>
      <color theme="1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3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4.9989318521683403E-2"/>
      </bottom>
      <diagonal/>
    </border>
    <border>
      <left/>
      <right/>
      <top style="thin">
        <color theme="0" tint="-0.14999847407452621"/>
      </top>
      <bottom style="thin">
        <color theme="0" tint="-4.9989318521683403E-2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4.9989318521683403E-2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0.14999847407452621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0.14999847407452621"/>
      </left>
      <right/>
      <top style="thin">
        <color theme="0" tint="-4.9989318521683403E-2"/>
      </top>
      <bottom style="thin">
        <color theme="0" tint="-0.14999847407452621"/>
      </bottom>
      <diagonal/>
    </border>
    <border>
      <left/>
      <right/>
      <top style="thin">
        <color theme="0" tint="-4.9989318521683403E-2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4.9989318521683403E-2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</borders>
  <cellStyleXfs count="7">
    <xf numFmtId="0" fontId="0" fillId="0" borderId="0"/>
    <xf numFmtId="0" fontId="5" fillId="4" borderId="0" applyNumberFormat="0" applyFont="0" applyBorder="0" applyAlignment="0" applyProtection="0"/>
    <xf numFmtId="0" fontId="5" fillId="5" borderId="0" applyNumberFormat="0" applyFont="0" applyBorder="0" applyAlignment="0" applyProtection="0"/>
    <xf numFmtId="165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</cellStyleXfs>
  <cellXfs count="51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  <xf numFmtId="165" fontId="7" fillId="0" borderId="0" xfId="3" applyFont="1"/>
    <xf numFmtId="14" fontId="0" fillId="0" borderId="0" xfId="0" applyNumberFormat="1"/>
    <xf numFmtId="0" fontId="0" fillId="0" borderId="0" xfId="0" quotePrefix="1"/>
    <xf numFmtId="0" fontId="9" fillId="6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5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/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2" xfId="0" applyFont="1" applyBorder="1"/>
    <xf numFmtId="17" fontId="2" fillId="9" borderId="4" xfId="0" applyNumberFormat="1" applyFont="1" applyFill="1" applyBorder="1" applyAlignment="1">
      <alignment horizontal="left"/>
    </xf>
    <xf numFmtId="1" fontId="2" fillId="9" borderId="5" xfId="0" applyNumberFormat="1" applyFont="1" applyFill="1" applyBorder="1"/>
    <xf numFmtId="166" fontId="2" fillId="9" borderId="6" xfId="4" applyNumberFormat="1" applyFont="1" applyFill="1" applyBorder="1" applyAlignment="1">
      <alignment horizontal="right"/>
    </xf>
    <xf numFmtId="0" fontId="2" fillId="9" borderId="7" xfId="0" applyFont="1" applyFill="1" applyBorder="1" applyAlignment="1">
      <alignment horizontal="center"/>
    </xf>
    <xf numFmtId="17" fontId="0" fillId="0" borderId="8" xfId="0" applyNumberFormat="1" applyBorder="1" applyAlignment="1">
      <alignment horizontal="left"/>
    </xf>
    <xf numFmtId="1" fontId="0" fillId="0" borderId="9" xfId="0" applyNumberFormat="1" applyBorder="1" applyAlignment="1">
      <alignment horizontal="center"/>
    </xf>
    <xf numFmtId="167" fontId="1" fillId="0" borderId="10" xfId="4" applyNumberFormat="1" applyFont="1" applyBorder="1" applyAlignment="1">
      <alignment horizontal="right"/>
    </xf>
    <xf numFmtId="0" fontId="0" fillId="0" borderId="7" xfId="0" applyBorder="1" applyAlignment="1">
      <alignment horizontal="center"/>
    </xf>
    <xf numFmtId="9" fontId="0" fillId="0" borderId="7" xfId="0" applyNumberFormat="1" applyBorder="1" applyAlignment="1">
      <alignment horizontal="center"/>
    </xf>
    <xf numFmtId="9" fontId="1" fillId="0" borderId="0" xfId="5" applyFont="1"/>
    <xf numFmtId="164" fontId="0" fillId="0" borderId="0" xfId="0" applyNumberFormat="1"/>
    <xf numFmtId="17" fontId="0" fillId="10" borderId="8" xfId="0" applyNumberFormat="1" applyFill="1" applyBorder="1" applyAlignment="1">
      <alignment horizontal="left"/>
    </xf>
    <xf numFmtId="1" fontId="0" fillId="10" borderId="9" xfId="0" applyNumberFormat="1" applyFill="1" applyBorder="1" applyAlignment="1">
      <alignment horizontal="center"/>
    </xf>
    <xf numFmtId="167" fontId="1" fillId="10" borderId="10" xfId="4" applyNumberFormat="1" applyFont="1" applyFill="1" applyBorder="1" applyAlignment="1">
      <alignment horizontal="right"/>
    </xf>
    <xf numFmtId="17" fontId="0" fillId="0" borderId="11" xfId="0" applyNumberFormat="1" applyBorder="1" applyAlignment="1">
      <alignment horizontal="left"/>
    </xf>
    <xf numFmtId="1" fontId="0" fillId="0" borderId="12" xfId="0" applyNumberFormat="1" applyBorder="1" applyAlignment="1">
      <alignment horizontal="center"/>
    </xf>
    <xf numFmtId="167" fontId="1" fillId="0" borderId="13" xfId="4" applyNumberFormat="1" applyFont="1" applyBorder="1" applyAlignment="1">
      <alignment horizontal="right"/>
    </xf>
    <xf numFmtId="0" fontId="16" fillId="0" borderId="0" xfId="0" applyFont="1"/>
    <xf numFmtId="0" fontId="0" fillId="0" borderId="14" xfId="0" applyBorder="1" applyAlignment="1">
      <alignment horizontal="center"/>
    </xf>
    <xf numFmtId="9" fontId="0" fillId="0" borderId="14" xfId="0" applyNumberFormat="1" applyBorder="1" applyAlignment="1">
      <alignment horizontal="center"/>
    </xf>
    <xf numFmtId="0" fontId="14" fillId="0" borderId="0" xfId="0" applyFont="1" applyAlignment="1">
      <alignment vertical="top"/>
    </xf>
    <xf numFmtId="0" fontId="15" fillId="0" borderId="0" xfId="0" applyFont="1" applyAlignment="1">
      <alignment vertical="top"/>
    </xf>
    <xf numFmtId="0" fontId="2" fillId="8" borderId="3" xfId="0" applyFont="1" applyFill="1" applyBorder="1"/>
    <xf numFmtId="0" fontId="1" fillId="0" borderId="0" xfId="5" applyNumberFormat="1" applyFont="1"/>
    <xf numFmtId="0" fontId="2" fillId="3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 wrapText="1"/>
    </xf>
  </cellXfs>
  <cellStyles count="7">
    <cellStyle name="Comma" xfId="4" builtinId="3"/>
    <cellStyle name="Comma 2" xfId="3" xr:uid="{D7302520-7717-45C5-A69A-6103EF369CA1}"/>
    <cellStyle name="GreyOrWhite" xfId="1" xr:uid="{5147C870-A0A1-45EF-9BA4-BD39676F6C7C}"/>
    <cellStyle name="Hyperlink 2" xfId="6" xr:uid="{AC849002-F2AC-4B35-9923-DC15DAB202B2}"/>
    <cellStyle name="Normal" xfId="0" builtinId="0"/>
    <cellStyle name="Percent" xfId="5" builtinId="5"/>
    <cellStyle name="Yellow" xfId="2" xr:uid="{301AC9E8-3D8D-4FCC-B586-DFE3882B79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IS\MIS%20%20MASTER\MIS%20CLASS\SUMPRODUCT\SUMPRODUCT%20KING\22-Apr%20SumProdut%20Maharaja\StudyMaterials\SUMPRODUCT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IS\MIS%20%20MASTER\MIS%20CLASS\SUMPRODUCT\SUMPRODUCT%20KING\22-Apr%20SumProdut%20Maharaja\StudyMaterials\Sumproduct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IS%20CLASS%20LECTURE\MIS%20ADVANCE%20EXCEL%20DAYWISE%20CLASS\DAY%2033%20&amp;%2034%20ARRAY%20,%20SUMPRODUCT,%20AGGREGATE%20&amp;%20FLASH%20FILL\SUMPRODUCT%20AGGREGATE\SUMPRODUCT%20COMBIN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heet4"/>
    </sheetNames>
    <sheetDataSet>
      <sheetData sheetId="0">
        <row r="3">
          <cell r="A3" t="str">
            <v>A</v>
          </cell>
        </row>
      </sheetData>
      <sheetData sheetId="1" refreshError="1"/>
      <sheetData sheetId="2">
        <row r="1">
          <cell r="B1" t="str">
            <v>Book</v>
          </cell>
          <cell r="C1" t="str">
            <v>pencil</v>
          </cell>
          <cell r="D1" t="str">
            <v>Rubber</v>
          </cell>
          <cell r="E1" t="str">
            <v>cell</v>
          </cell>
          <cell r="F1" t="str">
            <v>Pen</v>
          </cell>
          <cell r="G1" t="str">
            <v>Ink</v>
          </cell>
        </row>
        <row r="2">
          <cell r="A2" t="str">
            <v>ABC</v>
          </cell>
          <cell r="B2">
            <v>78</v>
          </cell>
          <cell r="C2">
            <v>19</v>
          </cell>
          <cell r="D2">
            <v>8</v>
          </cell>
          <cell r="E2">
            <v>83</v>
          </cell>
          <cell r="F2">
            <v>28</v>
          </cell>
          <cell r="G2">
            <v>48</v>
          </cell>
        </row>
        <row r="3">
          <cell r="A3" t="str">
            <v>PQR</v>
          </cell>
          <cell r="B3">
            <v>21</v>
          </cell>
          <cell r="C3">
            <v>64</v>
          </cell>
          <cell r="D3">
            <v>100</v>
          </cell>
          <cell r="E3">
            <v>37</v>
          </cell>
          <cell r="F3">
            <v>3</v>
          </cell>
          <cell r="G3">
            <v>40</v>
          </cell>
        </row>
        <row r="4">
          <cell r="A4" t="str">
            <v>XYZ</v>
          </cell>
          <cell r="B4">
            <v>78</v>
          </cell>
          <cell r="C4">
            <v>20</v>
          </cell>
          <cell r="D4">
            <v>97</v>
          </cell>
          <cell r="E4">
            <v>8</v>
          </cell>
          <cell r="F4">
            <v>13</v>
          </cell>
          <cell r="G4">
            <v>53</v>
          </cell>
        </row>
        <row r="5">
          <cell r="A5" t="str">
            <v>XYZ</v>
          </cell>
          <cell r="B5">
            <v>10</v>
          </cell>
          <cell r="C5">
            <v>4</v>
          </cell>
          <cell r="D5">
            <v>45</v>
          </cell>
          <cell r="E5">
            <v>72</v>
          </cell>
          <cell r="F5">
            <v>37</v>
          </cell>
          <cell r="G5">
            <v>50</v>
          </cell>
        </row>
        <row r="6">
          <cell r="A6" t="str">
            <v>ABC</v>
          </cell>
          <cell r="B6">
            <v>80</v>
          </cell>
          <cell r="C6">
            <v>13</v>
          </cell>
          <cell r="D6">
            <v>100</v>
          </cell>
          <cell r="E6">
            <v>78</v>
          </cell>
          <cell r="F6">
            <v>46</v>
          </cell>
          <cell r="G6">
            <v>39</v>
          </cell>
        </row>
        <row r="7">
          <cell r="A7" t="str">
            <v>ABC</v>
          </cell>
          <cell r="B7">
            <v>73</v>
          </cell>
          <cell r="C7">
            <v>14</v>
          </cell>
          <cell r="D7">
            <v>36</v>
          </cell>
          <cell r="E7">
            <v>53</v>
          </cell>
          <cell r="F7">
            <v>77</v>
          </cell>
          <cell r="G7">
            <v>90</v>
          </cell>
        </row>
        <row r="8">
          <cell r="A8" t="str">
            <v>PQR</v>
          </cell>
          <cell r="B8">
            <v>9</v>
          </cell>
          <cell r="C8">
            <v>16</v>
          </cell>
          <cell r="D8">
            <v>100</v>
          </cell>
          <cell r="E8">
            <v>64</v>
          </cell>
          <cell r="F8">
            <v>3</v>
          </cell>
          <cell r="G8">
            <v>64</v>
          </cell>
        </row>
        <row r="9">
          <cell r="A9" t="str">
            <v>XYZ</v>
          </cell>
          <cell r="B9">
            <v>70</v>
          </cell>
          <cell r="C9">
            <v>9</v>
          </cell>
          <cell r="D9">
            <v>37</v>
          </cell>
          <cell r="E9">
            <v>67</v>
          </cell>
          <cell r="F9">
            <v>20</v>
          </cell>
          <cell r="G9">
            <v>85</v>
          </cell>
        </row>
        <row r="10">
          <cell r="A10" t="str">
            <v>XYZ</v>
          </cell>
          <cell r="B10">
            <v>16</v>
          </cell>
          <cell r="C10">
            <v>29</v>
          </cell>
          <cell r="D10">
            <v>84</v>
          </cell>
          <cell r="E10">
            <v>48</v>
          </cell>
          <cell r="F10">
            <v>73</v>
          </cell>
          <cell r="G10">
            <v>10</v>
          </cell>
        </row>
        <row r="11">
          <cell r="A11" t="str">
            <v>PQR</v>
          </cell>
          <cell r="B11">
            <v>54</v>
          </cell>
          <cell r="C11">
            <v>53</v>
          </cell>
          <cell r="D11">
            <v>95</v>
          </cell>
          <cell r="E11">
            <v>67</v>
          </cell>
          <cell r="F11">
            <v>53</v>
          </cell>
          <cell r="G11">
            <v>85</v>
          </cell>
        </row>
        <row r="12">
          <cell r="A12" t="str">
            <v>ABC</v>
          </cell>
          <cell r="B12">
            <v>93</v>
          </cell>
          <cell r="C12">
            <v>65</v>
          </cell>
          <cell r="D12">
            <v>37</v>
          </cell>
          <cell r="E12">
            <v>76</v>
          </cell>
          <cell r="F12">
            <v>12</v>
          </cell>
          <cell r="G12">
            <v>76</v>
          </cell>
        </row>
        <row r="13">
          <cell r="A13" t="str">
            <v>PQR</v>
          </cell>
          <cell r="B13">
            <v>100</v>
          </cell>
          <cell r="C13">
            <v>25</v>
          </cell>
          <cell r="D13">
            <v>71</v>
          </cell>
          <cell r="E13">
            <v>91</v>
          </cell>
          <cell r="F13">
            <v>28</v>
          </cell>
          <cell r="G13">
            <v>69</v>
          </cell>
        </row>
        <row r="14">
          <cell r="A14" t="str">
            <v>PQR</v>
          </cell>
          <cell r="B14">
            <v>61</v>
          </cell>
          <cell r="C14">
            <v>4</v>
          </cell>
          <cell r="D14">
            <v>2</v>
          </cell>
          <cell r="E14">
            <v>4</v>
          </cell>
          <cell r="F14">
            <v>13</v>
          </cell>
          <cell r="G14">
            <v>30</v>
          </cell>
        </row>
        <row r="15">
          <cell r="A15" t="str">
            <v>ABC</v>
          </cell>
          <cell r="B15">
            <v>82</v>
          </cell>
          <cell r="C15">
            <v>91</v>
          </cell>
          <cell r="D15">
            <v>7</v>
          </cell>
          <cell r="E15">
            <v>76</v>
          </cell>
          <cell r="F15">
            <v>45</v>
          </cell>
          <cell r="G15">
            <v>62</v>
          </cell>
        </row>
        <row r="16">
          <cell r="A16" t="str">
            <v>XYZ</v>
          </cell>
          <cell r="B16">
            <v>95</v>
          </cell>
          <cell r="C16">
            <v>84</v>
          </cell>
          <cell r="D16">
            <v>27</v>
          </cell>
          <cell r="E16">
            <v>38</v>
          </cell>
          <cell r="F16">
            <v>69</v>
          </cell>
          <cell r="G16">
            <v>97</v>
          </cell>
        </row>
        <row r="17">
          <cell r="A17" t="str">
            <v>ABC</v>
          </cell>
          <cell r="B17">
            <v>9</v>
          </cell>
          <cell r="C17">
            <v>39</v>
          </cell>
          <cell r="D17">
            <v>74</v>
          </cell>
          <cell r="E17">
            <v>73</v>
          </cell>
          <cell r="F17">
            <v>3</v>
          </cell>
          <cell r="G17">
            <v>82</v>
          </cell>
        </row>
        <row r="18">
          <cell r="A18" t="str">
            <v>PQR</v>
          </cell>
          <cell r="B18">
            <v>70</v>
          </cell>
          <cell r="C18">
            <v>19</v>
          </cell>
          <cell r="D18">
            <v>100</v>
          </cell>
          <cell r="E18">
            <v>33</v>
          </cell>
          <cell r="F18">
            <v>87</v>
          </cell>
          <cell r="G18">
            <v>44</v>
          </cell>
        </row>
        <row r="19">
          <cell r="A19" t="str">
            <v>XYZ</v>
          </cell>
          <cell r="B19">
            <v>32</v>
          </cell>
          <cell r="C19">
            <v>19</v>
          </cell>
          <cell r="D19">
            <v>8</v>
          </cell>
          <cell r="E19">
            <v>8</v>
          </cell>
          <cell r="F19">
            <v>46</v>
          </cell>
          <cell r="G19">
            <v>73</v>
          </cell>
        </row>
      </sheetData>
      <sheetData sheetId="3">
        <row r="2">
          <cell r="A2" t="str">
            <v>ABC</v>
          </cell>
          <cell r="B2">
            <v>43702</v>
          </cell>
          <cell r="C2">
            <v>453</v>
          </cell>
        </row>
        <row r="3">
          <cell r="A3" t="str">
            <v>PQR</v>
          </cell>
          <cell r="B3">
            <v>43522</v>
          </cell>
          <cell r="C3">
            <v>66</v>
          </cell>
        </row>
        <row r="4">
          <cell r="A4" t="str">
            <v>XYZ</v>
          </cell>
          <cell r="B4">
            <v>43540</v>
          </cell>
          <cell r="C4">
            <v>557</v>
          </cell>
        </row>
        <row r="5">
          <cell r="A5" t="str">
            <v>XYZ</v>
          </cell>
          <cell r="B5">
            <v>43722</v>
          </cell>
          <cell r="C5">
            <v>896</v>
          </cell>
        </row>
        <row r="6">
          <cell r="A6" t="str">
            <v>ABC</v>
          </cell>
          <cell r="B6">
            <v>43652</v>
          </cell>
          <cell r="C6">
            <v>273</v>
          </cell>
        </row>
        <row r="7">
          <cell r="A7" t="str">
            <v>ABC</v>
          </cell>
          <cell r="B7">
            <v>43636</v>
          </cell>
          <cell r="C7">
            <v>579</v>
          </cell>
        </row>
        <row r="8">
          <cell r="A8" t="str">
            <v>PQR</v>
          </cell>
          <cell r="B8">
            <v>43651</v>
          </cell>
          <cell r="C8">
            <v>644</v>
          </cell>
        </row>
        <row r="9">
          <cell r="A9" t="str">
            <v>XYZ</v>
          </cell>
          <cell r="B9">
            <v>43743</v>
          </cell>
          <cell r="C9">
            <v>396</v>
          </cell>
        </row>
        <row r="10">
          <cell r="A10" t="str">
            <v>XYZ</v>
          </cell>
          <cell r="B10">
            <v>43804</v>
          </cell>
          <cell r="C10">
            <v>925</v>
          </cell>
        </row>
        <row r="11">
          <cell r="A11" t="str">
            <v>PQR</v>
          </cell>
          <cell r="B11">
            <v>43826</v>
          </cell>
          <cell r="C11">
            <v>70</v>
          </cell>
        </row>
        <row r="12">
          <cell r="A12" t="str">
            <v>ABC</v>
          </cell>
          <cell r="B12">
            <v>43581</v>
          </cell>
          <cell r="C12">
            <v>211</v>
          </cell>
        </row>
        <row r="13">
          <cell r="A13" t="str">
            <v>PQR</v>
          </cell>
          <cell r="B13">
            <v>43550</v>
          </cell>
          <cell r="C13">
            <v>73</v>
          </cell>
        </row>
        <row r="14">
          <cell r="A14" t="str">
            <v>PQR</v>
          </cell>
          <cell r="B14">
            <v>43629</v>
          </cell>
          <cell r="C14">
            <v>124</v>
          </cell>
        </row>
        <row r="15">
          <cell r="A15" t="str">
            <v>ABC</v>
          </cell>
          <cell r="B15">
            <v>43724</v>
          </cell>
          <cell r="C15">
            <v>724</v>
          </cell>
        </row>
        <row r="16">
          <cell r="A16" t="str">
            <v>XYZ</v>
          </cell>
          <cell r="B16">
            <v>43474</v>
          </cell>
          <cell r="C16">
            <v>809</v>
          </cell>
        </row>
        <row r="17">
          <cell r="A17" t="str">
            <v>ABC</v>
          </cell>
          <cell r="B17">
            <v>43471</v>
          </cell>
          <cell r="C17">
            <v>953</v>
          </cell>
        </row>
        <row r="18">
          <cell r="A18" t="str">
            <v>PQR</v>
          </cell>
          <cell r="B18">
            <v>43503</v>
          </cell>
          <cell r="C18">
            <v>654</v>
          </cell>
        </row>
        <row r="19">
          <cell r="A19" t="str">
            <v>XYZ</v>
          </cell>
          <cell r="B19">
            <v>43499</v>
          </cell>
          <cell r="C19">
            <v>800</v>
          </cell>
        </row>
        <row r="20">
          <cell r="A20" t="str">
            <v>ABC</v>
          </cell>
          <cell r="B20">
            <v>43532</v>
          </cell>
          <cell r="C20">
            <v>153</v>
          </cell>
        </row>
        <row r="21">
          <cell r="A21" t="str">
            <v>PQR</v>
          </cell>
          <cell r="B21">
            <v>43582</v>
          </cell>
          <cell r="C21">
            <v>867</v>
          </cell>
        </row>
        <row r="22">
          <cell r="A22" t="str">
            <v>XYZ</v>
          </cell>
          <cell r="B22">
            <v>43488</v>
          </cell>
          <cell r="C22">
            <v>678</v>
          </cell>
        </row>
        <row r="23">
          <cell r="A23" t="str">
            <v>XYZ</v>
          </cell>
          <cell r="B23">
            <v>43619</v>
          </cell>
          <cell r="C23">
            <v>896</v>
          </cell>
        </row>
        <row r="24">
          <cell r="A24" t="str">
            <v>ABC</v>
          </cell>
          <cell r="B24">
            <v>43621</v>
          </cell>
          <cell r="C24">
            <v>511</v>
          </cell>
        </row>
        <row r="25">
          <cell r="A25" t="str">
            <v>ABC</v>
          </cell>
          <cell r="B25">
            <v>43717</v>
          </cell>
          <cell r="C25">
            <v>819</v>
          </cell>
        </row>
        <row r="26">
          <cell r="A26" t="str">
            <v>PQR</v>
          </cell>
          <cell r="B26">
            <v>43739</v>
          </cell>
          <cell r="C26">
            <v>78</v>
          </cell>
        </row>
        <row r="27">
          <cell r="A27" t="str">
            <v>XYZ</v>
          </cell>
          <cell r="B27">
            <v>43603</v>
          </cell>
          <cell r="C27">
            <v>188</v>
          </cell>
        </row>
        <row r="28">
          <cell r="A28" t="str">
            <v>XYZ</v>
          </cell>
          <cell r="B28">
            <v>43638</v>
          </cell>
          <cell r="C28">
            <v>139</v>
          </cell>
        </row>
        <row r="29">
          <cell r="A29" t="str">
            <v>PQR</v>
          </cell>
          <cell r="B29">
            <v>43481</v>
          </cell>
          <cell r="C29">
            <v>236</v>
          </cell>
        </row>
        <row r="30">
          <cell r="A30" t="str">
            <v>ABC</v>
          </cell>
          <cell r="B30">
            <v>43784</v>
          </cell>
          <cell r="C30">
            <v>871</v>
          </cell>
        </row>
        <row r="31">
          <cell r="A31" t="str">
            <v>PQR</v>
          </cell>
          <cell r="B31">
            <v>43469</v>
          </cell>
          <cell r="C31">
            <v>607</v>
          </cell>
        </row>
        <row r="32">
          <cell r="A32" t="str">
            <v>PQR</v>
          </cell>
          <cell r="B32">
            <v>43719</v>
          </cell>
          <cell r="C32">
            <v>308</v>
          </cell>
        </row>
        <row r="33">
          <cell r="A33" t="str">
            <v>PQR</v>
          </cell>
          <cell r="B33">
            <v>43594</v>
          </cell>
          <cell r="C33">
            <v>910</v>
          </cell>
        </row>
        <row r="34">
          <cell r="A34" t="str">
            <v>ABC</v>
          </cell>
          <cell r="B34">
            <v>43734</v>
          </cell>
          <cell r="C34">
            <v>502</v>
          </cell>
        </row>
        <row r="35">
          <cell r="A35" t="str">
            <v>XYZ</v>
          </cell>
          <cell r="B35">
            <v>43823</v>
          </cell>
          <cell r="C35">
            <v>764</v>
          </cell>
        </row>
        <row r="36">
          <cell r="A36" t="str">
            <v>ABC</v>
          </cell>
          <cell r="B36">
            <v>43753</v>
          </cell>
          <cell r="C36">
            <v>482</v>
          </cell>
        </row>
        <row r="37">
          <cell r="A37" t="str">
            <v>PQR</v>
          </cell>
          <cell r="B37">
            <v>43699</v>
          </cell>
          <cell r="C37">
            <v>453</v>
          </cell>
        </row>
        <row r="38">
          <cell r="A38" t="str">
            <v>XYZ</v>
          </cell>
          <cell r="B38">
            <v>43468</v>
          </cell>
          <cell r="C38">
            <v>211</v>
          </cell>
        </row>
        <row r="39">
          <cell r="A39" t="str">
            <v>ABC</v>
          </cell>
          <cell r="B39">
            <v>43811</v>
          </cell>
          <cell r="C39">
            <v>219</v>
          </cell>
        </row>
        <row r="40">
          <cell r="A40" t="str">
            <v>PQR</v>
          </cell>
          <cell r="B40">
            <v>43525</v>
          </cell>
          <cell r="C40">
            <v>641</v>
          </cell>
        </row>
        <row r="41">
          <cell r="A41" t="str">
            <v>XYZ</v>
          </cell>
          <cell r="B41">
            <v>43591</v>
          </cell>
          <cell r="C41">
            <v>319</v>
          </cell>
        </row>
        <row r="42">
          <cell r="A42" t="str">
            <v>XYZ</v>
          </cell>
          <cell r="B42">
            <v>43626</v>
          </cell>
          <cell r="C42">
            <v>769</v>
          </cell>
        </row>
        <row r="43">
          <cell r="A43" t="str">
            <v>XYZ</v>
          </cell>
          <cell r="B43">
            <v>43685</v>
          </cell>
          <cell r="C43">
            <v>86</v>
          </cell>
        </row>
        <row r="44">
          <cell r="A44" t="str">
            <v>PQR</v>
          </cell>
          <cell r="B44">
            <v>43751</v>
          </cell>
          <cell r="C44">
            <v>315</v>
          </cell>
        </row>
        <row r="45">
          <cell r="A45" t="str">
            <v>ABC</v>
          </cell>
          <cell r="B45">
            <v>43647</v>
          </cell>
          <cell r="C45">
            <v>156</v>
          </cell>
        </row>
        <row r="46">
          <cell r="A46" t="str">
            <v>PQR</v>
          </cell>
          <cell r="B46">
            <v>43616</v>
          </cell>
          <cell r="C46">
            <v>711</v>
          </cell>
        </row>
        <row r="47">
          <cell r="A47" t="str">
            <v>PQR</v>
          </cell>
          <cell r="B47">
            <v>43714</v>
          </cell>
          <cell r="C47">
            <v>423</v>
          </cell>
        </row>
        <row r="48">
          <cell r="A48" t="str">
            <v>ABC</v>
          </cell>
          <cell r="B48">
            <v>43614</v>
          </cell>
          <cell r="C48">
            <v>296</v>
          </cell>
        </row>
        <row r="49">
          <cell r="A49" t="str">
            <v>XYZ</v>
          </cell>
          <cell r="B49">
            <v>43592</v>
          </cell>
          <cell r="C49">
            <v>99</v>
          </cell>
        </row>
        <row r="50">
          <cell r="A50" t="str">
            <v>ABC</v>
          </cell>
          <cell r="B50">
            <v>43680</v>
          </cell>
          <cell r="C50">
            <v>894</v>
          </cell>
        </row>
        <row r="51">
          <cell r="A51" t="str">
            <v>ABC</v>
          </cell>
          <cell r="B51">
            <v>43563</v>
          </cell>
          <cell r="C51">
            <v>285</v>
          </cell>
        </row>
        <row r="52">
          <cell r="A52" t="str">
            <v>PQR</v>
          </cell>
          <cell r="B52">
            <v>43819</v>
          </cell>
          <cell r="C52">
            <v>120</v>
          </cell>
        </row>
        <row r="53">
          <cell r="A53" t="str">
            <v>XYZ</v>
          </cell>
          <cell r="B53">
            <v>43508</v>
          </cell>
          <cell r="C53">
            <v>788</v>
          </cell>
        </row>
        <row r="54">
          <cell r="A54" t="str">
            <v>XYZ</v>
          </cell>
          <cell r="B54">
            <v>43552</v>
          </cell>
          <cell r="C54">
            <v>848</v>
          </cell>
        </row>
        <row r="55">
          <cell r="A55" t="str">
            <v>ABC</v>
          </cell>
          <cell r="B55">
            <v>43563</v>
          </cell>
          <cell r="C55">
            <v>479</v>
          </cell>
        </row>
        <row r="56">
          <cell r="A56" t="str">
            <v>ABC</v>
          </cell>
          <cell r="B56">
            <v>43704</v>
          </cell>
          <cell r="C56">
            <v>725</v>
          </cell>
        </row>
        <row r="57">
          <cell r="A57" t="str">
            <v>PQR</v>
          </cell>
          <cell r="B57">
            <v>43586</v>
          </cell>
          <cell r="C57">
            <v>816</v>
          </cell>
        </row>
        <row r="58">
          <cell r="A58" t="str">
            <v>XYZ</v>
          </cell>
          <cell r="B58">
            <v>43740</v>
          </cell>
          <cell r="C58">
            <v>500</v>
          </cell>
        </row>
        <row r="59">
          <cell r="A59" t="str">
            <v>XYZ</v>
          </cell>
          <cell r="B59">
            <v>43493</v>
          </cell>
          <cell r="C59">
            <v>691</v>
          </cell>
        </row>
        <row r="60">
          <cell r="A60" t="str">
            <v>PQR</v>
          </cell>
          <cell r="B60">
            <v>43481</v>
          </cell>
          <cell r="C60">
            <v>303</v>
          </cell>
        </row>
        <row r="61">
          <cell r="A61" t="str">
            <v>ABC</v>
          </cell>
          <cell r="B61">
            <v>43568</v>
          </cell>
          <cell r="C61">
            <v>224</v>
          </cell>
        </row>
        <row r="62">
          <cell r="A62" t="str">
            <v>PQR</v>
          </cell>
          <cell r="B62">
            <v>43655</v>
          </cell>
          <cell r="C62">
            <v>37</v>
          </cell>
        </row>
        <row r="63">
          <cell r="A63" t="str">
            <v>PQR</v>
          </cell>
          <cell r="B63">
            <v>43532</v>
          </cell>
          <cell r="C63">
            <v>494</v>
          </cell>
        </row>
        <row r="64">
          <cell r="A64" t="str">
            <v>ABC</v>
          </cell>
          <cell r="B64">
            <v>43467</v>
          </cell>
          <cell r="C64">
            <v>927</v>
          </cell>
        </row>
        <row r="65">
          <cell r="A65" t="str">
            <v>XYZ</v>
          </cell>
          <cell r="B65">
            <v>43493</v>
          </cell>
          <cell r="C65">
            <v>71</v>
          </cell>
        </row>
        <row r="66">
          <cell r="A66" t="str">
            <v>ABC</v>
          </cell>
          <cell r="B66">
            <v>43786</v>
          </cell>
          <cell r="C66">
            <v>126</v>
          </cell>
        </row>
        <row r="67">
          <cell r="A67" t="str">
            <v>PQR</v>
          </cell>
          <cell r="B67">
            <v>43513</v>
          </cell>
          <cell r="C67">
            <v>180</v>
          </cell>
        </row>
        <row r="68">
          <cell r="A68" t="str">
            <v>XYZ</v>
          </cell>
          <cell r="B68">
            <v>43730</v>
          </cell>
          <cell r="C68">
            <v>333</v>
          </cell>
        </row>
        <row r="69">
          <cell r="A69" t="str">
            <v>ABC</v>
          </cell>
          <cell r="B69">
            <v>43563</v>
          </cell>
          <cell r="C69">
            <v>772</v>
          </cell>
        </row>
        <row r="70">
          <cell r="A70" t="str">
            <v>PQR</v>
          </cell>
          <cell r="B70">
            <v>43571</v>
          </cell>
          <cell r="C70">
            <v>353</v>
          </cell>
        </row>
        <row r="71">
          <cell r="A71" t="str">
            <v>XYZ</v>
          </cell>
          <cell r="B71">
            <v>43741</v>
          </cell>
          <cell r="C71">
            <v>637</v>
          </cell>
        </row>
        <row r="72">
          <cell r="A72" t="str">
            <v>XYZ</v>
          </cell>
          <cell r="B72">
            <v>43716</v>
          </cell>
          <cell r="C72">
            <v>199</v>
          </cell>
        </row>
        <row r="73">
          <cell r="A73" t="str">
            <v>ABC</v>
          </cell>
          <cell r="B73">
            <v>43698</v>
          </cell>
          <cell r="C73">
            <v>873</v>
          </cell>
        </row>
        <row r="74">
          <cell r="A74" t="str">
            <v>ABC</v>
          </cell>
          <cell r="B74">
            <v>43800</v>
          </cell>
          <cell r="C74">
            <v>694</v>
          </cell>
        </row>
        <row r="75">
          <cell r="A75" t="str">
            <v>PQR</v>
          </cell>
          <cell r="B75">
            <v>43501</v>
          </cell>
          <cell r="C75">
            <v>747</v>
          </cell>
        </row>
        <row r="76">
          <cell r="A76" t="str">
            <v>XYZ</v>
          </cell>
          <cell r="B76">
            <v>43639</v>
          </cell>
          <cell r="C76">
            <v>408</v>
          </cell>
        </row>
        <row r="77">
          <cell r="A77" t="str">
            <v>XYZ</v>
          </cell>
          <cell r="B77">
            <v>43819</v>
          </cell>
          <cell r="C77">
            <v>892</v>
          </cell>
        </row>
        <row r="78">
          <cell r="A78" t="str">
            <v>PQR</v>
          </cell>
          <cell r="B78">
            <v>43579</v>
          </cell>
          <cell r="C78">
            <v>423</v>
          </cell>
        </row>
        <row r="79">
          <cell r="A79" t="str">
            <v>ABC</v>
          </cell>
          <cell r="B79">
            <v>43640</v>
          </cell>
          <cell r="C79">
            <v>957</v>
          </cell>
        </row>
        <row r="80">
          <cell r="A80" t="str">
            <v>PQR</v>
          </cell>
          <cell r="B80">
            <v>43605</v>
          </cell>
          <cell r="C80">
            <v>19</v>
          </cell>
        </row>
        <row r="81">
          <cell r="A81" t="str">
            <v>PQR</v>
          </cell>
          <cell r="B81">
            <v>43663</v>
          </cell>
          <cell r="C81">
            <v>492</v>
          </cell>
        </row>
        <row r="82">
          <cell r="A82" t="str">
            <v>PQR</v>
          </cell>
          <cell r="B82">
            <v>43694</v>
          </cell>
          <cell r="C82">
            <v>523</v>
          </cell>
        </row>
        <row r="83">
          <cell r="A83" t="str">
            <v>ABC</v>
          </cell>
          <cell r="B83">
            <v>43648</v>
          </cell>
          <cell r="C83">
            <v>533</v>
          </cell>
        </row>
        <row r="84">
          <cell r="A84" t="str">
            <v>XYZ</v>
          </cell>
          <cell r="B84">
            <v>43536</v>
          </cell>
          <cell r="C84">
            <v>7</v>
          </cell>
        </row>
        <row r="85">
          <cell r="A85" t="str">
            <v>ABC</v>
          </cell>
          <cell r="B85">
            <v>43745</v>
          </cell>
          <cell r="C85">
            <v>140</v>
          </cell>
        </row>
        <row r="86">
          <cell r="A86" t="str">
            <v>PQR</v>
          </cell>
          <cell r="B86">
            <v>43758</v>
          </cell>
          <cell r="C86">
            <v>766</v>
          </cell>
        </row>
        <row r="87">
          <cell r="A87" t="str">
            <v>XYZ</v>
          </cell>
          <cell r="B87">
            <v>43526</v>
          </cell>
          <cell r="C87">
            <v>886</v>
          </cell>
        </row>
        <row r="88">
          <cell r="A88" t="str">
            <v>ABC</v>
          </cell>
          <cell r="B88">
            <v>43654</v>
          </cell>
          <cell r="C88">
            <v>131</v>
          </cell>
        </row>
        <row r="89">
          <cell r="A89" t="str">
            <v>PQR</v>
          </cell>
          <cell r="B89">
            <v>43780</v>
          </cell>
          <cell r="C89">
            <v>229</v>
          </cell>
        </row>
        <row r="90">
          <cell r="A90" t="str">
            <v>XYZ</v>
          </cell>
          <cell r="B90">
            <v>43638</v>
          </cell>
          <cell r="C90">
            <v>791</v>
          </cell>
        </row>
        <row r="91">
          <cell r="A91" t="str">
            <v>XYZ</v>
          </cell>
          <cell r="B91">
            <v>43472</v>
          </cell>
          <cell r="C91">
            <v>435</v>
          </cell>
        </row>
        <row r="92">
          <cell r="A92" t="str">
            <v>XYZ</v>
          </cell>
          <cell r="B92">
            <v>43639</v>
          </cell>
          <cell r="C92">
            <v>496</v>
          </cell>
        </row>
        <row r="93">
          <cell r="A93" t="str">
            <v>PQR</v>
          </cell>
          <cell r="B93">
            <v>43501</v>
          </cell>
          <cell r="C93">
            <v>167</v>
          </cell>
        </row>
        <row r="94">
          <cell r="A94" t="str">
            <v>ABC</v>
          </cell>
          <cell r="B94">
            <v>43717</v>
          </cell>
          <cell r="C94">
            <v>549</v>
          </cell>
        </row>
        <row r="95">
          <cell r="A95" t="str">
            <v>PQR</v>
          </cell>
          <cell r="B95">
            <v>43761</v>
          </cell>
          <cell r="C95">
            <v>288</v>
          </cell>
        </row>
        <row r="96">
          <cell r="A96" t="str">
            <v>PQR</v>
          </cell>
          <cell r="B96">
            <v>43811</v>
          </cell>
          <cell r="C96">
            <v>956</v>
          </cell>
        </row>
        <row r="97">
          <cell r="A97" t="str">
            <v>ABC</v>
          </cell>
          <cell r="B97">
            <v>43739</v>
          </cell>
          <cell r="C97">
            <v>166</v>
          </cell>
        </row>
        <row r="98">
          <cell r="A98" t="str">
            <v>XYZ</v>
          </cell>
          <cell r="B98">
            <v>43681</v>
          </cell>
          <cell r="C98">
            <v>832</v>
          </cell>
        </row>
        <row r="99">
          <cell r="A99" t="str">
            <v>ABC</v>
          </cell>
          <cell r="B99">
            <v>43498</v>
          </cell>
          <cell r="C99">
            <v>915</v>
          </cell>
        </row>
        <row r="100">
          <cell r="A100" t="str">
            <v>ABC</v>
          </cell>
          <cell r="B100">
            <v>43500</v>
          </cell>
          <cell r="C100">
            <v>348</v>
          </cell>
        </row>
        <row r="101">
          <cell r="A101" t="str">
            <v>PQR</v>
          </cell>
          <cell r="B101">
            <v>43521</v>
          </cell>
          <cell r="C101">
            <v>152</v>
          </cell>
        </row>
        <row r="102">
          <cell r="A102" t="str">
            <v>XYZ</v>
          </cell>
          <cell r="B102">
            <v>43719</v>
          </cell>
          <cell r="C102">
            <v>141</v>
          </cell>
        </row>
        <row r="103">
          <cell r="A103" t="str">
            <v>XYZ</v>
          </cell>
          <cell r="B103">
            <v>43812</v>
          </cell>
          <cell r="C103">
            <v>187</v>
          </cell>
        </row>
        <row r="104">
          <cell r="A104" t="str">
            <v>ABC</v>
          </cell>
          <cell r="B104">
            <v>43823</v>
          </cell>
          <cell r="C104">
            <v>257</v>
          </cell>
        </row>
        <row r="105">
          <cell r="A105" t="str">
            <v>ABC</v>
          </cell>
          <cell r="B105">
            <v>43632</v>
          </cell>
          <cell r="C105">
            <v>927</v>
          </cell>
        </row>
        <row r="106">
          <cell r="A106" t="str">
            <v>PQR</v>
          </cell>
          <cell r="B106">
            <v>43586</v>
          </cell>
          <cell r="C106">
            <v>216</v>
          </cell>
        </row>
        <row r="107">
          <cell r="A107" t="str">
            <v>XYZ</v>
          </cell>
          <cell r="B107">
            <v>43814</v>
          </cell>
          <cell r="C107">
            <v>11</v>
          </cell>
        </row>
        <row r="108">
          <cell r="A108" t="str">
            <v>XYZ</v>
          </cell>
          <cell r="B108">
            <v>43536</v>
          </cell>
          <cell r="C108">
            <v>778</v>
          </cell>
        </row>
        <row r="109">
          <cell r="A109" t="str">
            <v>PQR</v>
          </cell>
          <cell r="B109">
            <v>43709</v>
          </cell>
          <cell r="C109">
            <v>614</v>
          </cell>
        </row>
        <row r="110">
          <cell r="A110" t="str">
            <v>ABC</v>
          </cell>
          <cell r="B110">
            <v>43672</v>
          </cell>
          <cell r="C110">
            <v>11</v>
          </cell>
        </row>
        <row r="111">
          <cell r="A111" t="str">
            <v>PQR</v>
          </cell>
          <cell r="B111">
            <v>43622</v>
          </cell>
          <cell r="C111">
            <v>798</v>
          </cell>
        </row>
        <row r="112">
          <cell r="A112" t="str">
            <v>PQR</v>
          </cell>
          <cell r="B112">
            <v>43794</v>
          </cell>
          <cell r="C112">
            <v>876</v>
          </cell>
        </row>
        <row r="113">
          <cell r="A113" t="str">
            <v>ABC</v>
          </cell>
          <cell r="B113">
            <v>43738</v>
          </cell>
          <cell r="C113">
            <v>510</v>
          </cell>
        </row>
        <row r="114">
          <cell r="A114" t="str">
            <v>XYZ</v>
          </cell>
          <cell r="B114">
            <v>43466</v>
          </cell>
          <cell r="C114">
            <v>488</v>
          </cell>
        </row>
        <row r="115">
          <cell r="A115" t="str">
            <v>ABC</v>
          </cell>
          <cell r="B115">
            <v>43622</v>
          </cell>
          <cell r="C115">
            <v>631</v>
          </cell>
        </row>
        <row r="116">
          <cell r="A116" t="str">
            <v>PQR</v>
          </cell>
          <cell r="B116">
            <v>43510</v>
          </cell>
          <cell r="C116">
            <v>839</v>
          </cell>
        </row>
        <row r="117">
          <cell r="A117" t="str">
            <v>XYZ</v>
          </cell>
          <cell r="B117">
            <v>43537</v>
          </cell>
          <cell r="C117">
            <v>67</v>
          </cell>
        </row>
        <row r="118">
          <cell r="A118" t="str">
            <v>ABC</v>
          </cell>
          <cell r="B118">
            <v>43790</v>
          </cell>
          <cell r="C118">
            <v>523</v>
          </cell>
        </row>
        <row r="119">
          <cell r="A119" t="str">
            <v>PQR</v>
          </cell>
          <cell r="B119">
            <v>43622</v>
          </cell>
          <cell r="C119">
            <v>815</v>
          </cell>
        </row>
        <row r="120">
          <cell r="A120" t="str">
            <v>XYZ</v>
          </cell>
          <cell r="B120">
            <v>43499</v>
          </cell>
          <cell r="C120">
            <v>293</v>
          </cell>
        </row>
        <row r="121">
          <cell r="A121" t="str">
            <v>XYZ</v>
          </cell>
          <cell r="B121">
            <v>43751</v>
          </cell>
          <cell r="C121">
            <v>616</v>
          </cell>
        </row>
        <row r="122">
          <cell r="A122" t="str">
            <v>ABC</v>
          </cell>
          <cell r="B122">
            <v>43500</v>
          </cell>
          <cell r="C122">
            <v>18</v>
          </cell>
        </row>
        <row r="123">
          <cell r="A123" t="str">
            <v>ABC</v>
          </cell>
          <cell r="B123">
            <v>43637</v>
          </cell>
          <cell r="C123">
            <v>891</v>
          </cell>
        </row>
        <row r="124">
          <cell r="A124" t="str">
            <v>PQR</v>
          </cell>
          <cell r="B124">
            <v>43739</v>
          </cell>
          <cell r="C124">
            <v>439</v>
          </cell>
        </row>
        <row r="125">
          <cell r="A125" t="str">
            <v>XYZ</v>
          </cell>
          <cell r="B125">
            <v>43767</v>
          </cell>
          <cell r="C125">
            <v>290</v>
          </cell>
        </row>
        <row r="126">
          <cell r="A126" t="str">
            <v>XYZ</v>
          </cell>
          <cell r="B126">
            <v>43804</v>
          </cell>
          <cell r="C126">
            <v>120</v>
          </cell>
        </row>
        <row r="127">
          <cell r="A127" t="str">
            <v>PQR</v>
          </cell>
          <cell r="B127">
            <v>43722</v>
          </cell>
          <cell r="C127">
            <v>308</v>
          </cell>
        </row>
        <row r="128">
          <cell r="A128" t="str">
            <v>ABC</v>
          </cell>
          <cell r="B128">
            <v>43821</v>
          </cell>
          <cell r="C128">
            <v>70</v>
          </cell>
        </row>
        <row r="129">
          <cell r="A129" t="str">
            <v>PQR</v>
          </cell>
          <cell r="B129">
            <v>43648</v>
          </cell>
          <cell r="C129">
            <v>502</v>
          </cell>
        </row>
        <row r="130">
          <cell r="A130" t="str">
            <v>PQR</v>
          </cell>
          <cell r="B130">
            <v>43766</v>
          </cell>
          <cell r="C130">
            <v>194</v>
          </cell>
        </row>
        <row r="131">
          <cell r="A131" t="str">
            <v>PQR</v>
          </cell>
          <cell r="B131">
            <v>43812</v>
          </cell>
          <cell r="C131">
            <v>350</v>
          </cell>
        </row>
        <row r="132">
          <cell r="A132" t="str">
            <v>ABC</v>
          </cell>
          <cell r="B132">
            <v>43749</v>
          </cell>
          <cell r="C132">
            <v>609</v>
          </cell>
        </row>
        <row r="133">
          <cell r="A133" t="str">
            <v>XYZ</v>
          </cell>
          <cell r="B133">
            <v>43469</v>
          </cell>
          <cell r="C133">
            <v>936</v>
          </cell>
        </row>
        <row r="134">
          <cell r="A134" t="str">
            <v>ABC</v>
          </cell>
          <cell r="B134">
            <v>43515</v>
          </cell>
          <cell r="C134">
            <v>51</v>
          </cell>
        </row>
        <row r="135">
          <cell r="A135" t="str">
            <v>PQR</v>
          </cell>
          <cell r="B135">
            <v>43690</v>
          </cell>
          <cell r="C135">
            <v>396</v>
          </cell>
        </row>
        <row r="136">
          <cell r="A136" t="str">
            <v>XYZ</v>
          </cell>
          <cell r="B136">
            <v>43792</v>
          </cell>
          <cell r="C136">
            <v>366</v>
          </cell>
        </row>
        <row r="137">
          <cell r="A137" t="str">
            <v>ABC</v>
          </cell>
          <cell r="B137">
            <v>43767</v>
          </cell>
          <cell r="C137">
            <v>534</v>
          </cell>
        </row>
        <row r="138">
          <cell r="A138" t="str">
            <v>PQR</v>
          </cell>
          <cell r="B138">
            <v>43503</v>
          </cell>
          <cell r="C138">
            <v>249</v>
          </cell>
        </row>
        <row r="139">
          <cell r="A139" t="str">
            <v>XYZ</v>
          </cell>
          <cell r="B139">
            <v>43637</v>
          </cell>
          <cell r="C139">
            <v>963</v>
          </cell>
        </row>
        <row r="140">
          <cell r="A140" t="str">
            <v>XYZ</v>
          </cell>
          <cell r="B140">
            <v>43675</v>
          </cell>
          <cell r="C140">
            <v>429</v>
          </cell>
        </row>
        <row r="141">
          <cell r="A141" t="str">
            <v>XYZ</v>
          </cell>
          <cell r="B141">
            <v>43723</v>
          </cell>
          <cell r="C141">
            <v>715</v>
          </cell>
        </row>
        <row r="142">
          <cell r="A142" t="str">
            <v>PQR</v>
          </cell>
          <cell r="B142">
            <v>43608</v>
          </cell>
          <cell r="C142">
            <v>483</v>
          </cell>
        </row>
        <row r="143">
          <cell r="A143" t="str">
            <v>ABC</v>
          </cell>
          <cell r="B143">
            <v>43551</v>
          </cell>
          <cell r="C143">
            <v>603</v>
          </cell>
        </row>
        <row r="144">
          <cell r="A144" t="str">
            <v>PQR</v>
          </cell>
          <cell r="B144">
            <v>43751</v>
          </cell>
          <cell r="C144">
            <v>110</v>
          </cell>
        </row>
        <row r="145">
          <cell r="A145" t="str">
            <v>PQR</v>
          </cell>
          <cell r="B145">
            <v>43594</v>
          </cell>
          <cell r="C145">
            <v>511</v>
          </cell>
        </row>
        <row r="146">
          <cell r="A146" t="str">
            <v>ABC</v>
          </cell>
          <cell r="B146">
            <v>43612</v>
          </cell>
          <cell r="C146">
            <v>103</v>
          </cell>
        </row>
        <row r="147">
          <cell r="A147" t="str">
            <v>XYZ</v>
          </cell>
          <cell r="B147">
            <v>43717</v>
          </cell>
          <cell r="C147">
            <v>765</v>
          </cell>
        </row>
        <row r="148">
          <cell r="A148" t="str">
            <v>ABC</v>
          </cell>
          <cell r="B148">
            <v>43753</v>
          </cell>
          <cell r="C148">
            <v>408</v>
          </cell>
        </row>
        <row r="149">
          <cell r="A149" t="str">
            <v>ABC</v>
          </cell>
          <cell r="B149">
            <v>43532</v>
          </cell>
          <cell r="C149">
            <v>238</v>
          </cell>
        </row>
        <row r="150">
          <cell r="A150" t="str">
            <v>PQR</v>
          </cell>
          <cell r="B150">
            <v>43551</v>
          </cell>
          <cell r="C150">
            <v>682</v>
          </cell>
        </row>
        <row r="151">
          <cell r="A151" t="str">
            <v>XYZ</v>
          </cell>
          <cell r="B151">
            <v>43826</v>
          </cell>
          <cell r="C151">
            <v>968</v>
          </cell>
        </row>
        <row r="152">
          <cell r="A152" t="str">
            <v>XYZ</v>
          </cell>
          <cell r="B152">
            <v>43531</v>
          </cell>
          <cell r="C152">
            <v>186</v>
          </cell>
        </row>
        <row r="153">
          <cell r="A153" t="str">
            <v>ABC</v>
          </cell>
          <cell r="B153">
            <v>43501</v>
          </cell>
          <cell r="C153">
            <v>541</v>
          </cell>
        </row>
        <row r="154">
          <cell r="A154" t="str">
            <v>ABC</v>
          </cell>
          <cell r="B154">
            <v>43597</v>
          </cell>
          <cell r="C154">
            <v>156</v>
          </cell>
        </row>
        <row r="155">
          <cell r="A155" t="str">
            <v>PQR</v>
          </cell>
          <cell r="B155">
            <v>43828</v>
          </cell>
          <cell r="C155">
            <v>383</v>
          </cell>
        </row>
        <row r="156">
          <cell r="A156" t="str">
            <v>XYZ</v>
          </cell>
          <cell r="B156">
            <v>43614</v>
          </cell>
          <cell r="C156">
            <v>242</v>
          </cell>
        </row>
        <row r="157">
          <cell r="A157" t="str">
            <v>XYZ</v>
          </cell>
          <cell r="B157">
            <v>43480</v>
          </cell>
          <cell r="C157">
            <v>386</v>
          </cell>
        </row>
        <row r="158">
          <cell r="A158" t="str">
            <v>PQR</v>
          </cell>
          <cell r="B158">
            <v>43615</v>
          </cell>
          <cell r="C158">
            <v>766</v>
          </cell>
        </row>
        <row r="159">
          <cell r="A159" t="str">
            <v>ABC</v>
          </cell>
          <cell r="B159">
            <v>43573</v>
          </cell>
          <cell r="C159">
            <v>574</v>
          </cell>
        </row>
        <row r="160">
          <cell r="A160" t="str">
            <v>PQR</v>
          </cell>
          <cell r="B160">
            <v>43677</v>
          </cell>
          <cell r="C160">
            <v>251</v>
          </cell>
        </row>
        <row r="161">
          <cell r="A161" t="str">
            <v>PQR</v>
          </cell>
          <cell r="B161">
            <v>43768</v>
          </cell>
          <cell r="C161">
            <v>579</v>
          </cell>
        </row>
        <row r="162">
          <cell r="A162" t="str">
            <v>ABC</v>
          </cell>
          <cell r="B162">
            <v>43580</v>
          </cell>
          <cell r="C162">
            <v>473</v>
          </cell>
        </row>
        <row r="163">
          <cell r="A163" t="str">
            <v>XYZ</v>
          </cell>
          <cell r="B163">
            <v>43815</v>
          </cell>
          <cell r="C163">
            <v>292</v>
          </cell>
        </row>
        <row r="164">
          <cell r="A164" t="str">
            <v>ABC</v>
          </cell>
          <cell r="B164">
            <v>43817</v>
          </cell>
          <cell r="C164">
            <v>815</v>
          </cell>
        </row>
        <row r="165">
          <cell r="A165" t="str">
            <v>PQR</v>
          </cell>
          <cell r="B165">
            <v>43692</v>
          </cell>
          <cell r="C165">
            <v>704</v>
          </cell>
        </row>
        <row r="166">
          <cell r="A166" t="str">
            <v>XYZ</v>
          </cell>
          <cell r="B166">
            <v>43524</v>
          </cell>
          <cell r="C166">
            <v>553</v>
          </cell>
        </row>
        <row r="167">
          <cell r="A167" t="str">
            <v>ABC</v>
          </cell>
          <cell r="B167">
            <v>43639</v>
          </cell>
          <cell r="C167">
            <v>151</v>
          </cell>
        </row>
        <row r="168">
          <cell r="A168" t="str">
            <v>PQR</v>
          </cell>
          <cell r="B168">
            <v>43560</v>
          </cell>
          <cell r="C168">
            <v>768</v>
          </cell>
        </row>
        <row r="169">
          <cell r="A169" t="str">
            <v>XYZ</v>
          </cell>
          <cell r="B169">
            <v>43616</v>
          </cell>
          <cell r="C169">
            <v>6</v>
          </cell>
        </row>
        <row r="170">
          <cell r="A170" t="str">
            <v>XYZ</v>
          </cell>
          <cell r="B170">
            <v>43670</v>
          </cell>
          <cell r="C170">
            <v>981</v>
          </cell>
        </row>
        <row r="171">
          <cell r="A171" t="str">
            <v>ABC</v>
          </cell>
          <cell r="B171">
            <v>43628</v>
          </cell>
          <cell r="C171">
            <v>580</v>
          </cell>
        </row>
        <row r="172">
          <cell r="A172" t="str">
            <v>ABC</v>
          </cell>
          <cell r="B172">
            <v>43775</v>
          </cell>
          <cell r="C172">
            <v>876</v>
          </cell>
        </row>
        <row r="173">
          <cell r="A173" t="str">
            <v>PQR</v>
          </cell>
          <cell r="B173">
            <v>43532</v>
          </cell>
          <cell r="C173">
            <v>542</v>
          </cell>
        </row>
        <row r="174">
          <cell r="A174" t="str">
            <v>XYZ</v>
          </cell>
          <cell r="B174">
            <v>43699</v>
          </cell>
          <cell r="C174">
            <v>482</v>
          </cell>
        </row>
        <row r="175">
          <cell r="A175" t="str">
            <v>XYZ</v>
          </cell>
          <cell r="B175">
            <v>43651</v>
          </cell>
          <cell r="C175">
            <v>547</v>
          </cell>
        </row>
        <row r="176">
          <cell r="A176" t="str">
            <v>PQR</v>
          </cell>
          <cell r="B176">
            <v>43678</v>
          </cell>
          <cell r="C176">
            <v>600</v>
          </cell>
        </row>
        <row r="177">
          <cell r="A177" t="str">
            <v>ABC</v>
          </cell>
          <cell r="B177">
            <v>43694</v>
          </cell>
          <cell r="C177">
            <v>381</v>
          </cell>
        </row>
        <row r="178">
          <cell r="A178" t="str">
            <v>PQR</v>
          </cell>
          <cell r="B178">
            <v>43536</v>
          </cell>
          <cell r="C178">
            <v>460</v>
          </cell>
        </row>
        <row r="179">
          <cell r="A179" t="str">
            <v>PQR</v>
          </cell>
          <cell r="B179">
            <v>43799</v>
          </cell>
          <cell r="C179">
            <v>211</v>
          </cell>
        </row>
        <row r="180">
          <cell r="A180" t="str">
            <v>PQR</v>
          </cell>
          <cell r="B180">
            <v>43755</v>
          </cell>
          <cell r="C180">
            <v>563</v>
          </cell>
        </row>
        <row r="181">
          <cell r="A181" t="str">
            <v>ABC</v>
          </cell>
          <cell r="B181">
            <v>43757</v>
          </cell>
          <cell r="C181">
            <v>424</v>
          </cell>
        </row>
        <row r="182">
          <cell r="A182" t="str">
            <v>XYZ</v>
          </cell>
          <cell r="B182">
            <v>43782</v>
          </cell>
          <cell r="C182">
            <v>394</v>
          </cell>
        </row>
        <row r="183">
          <cell r="A183" t="str">
            <v>ABC</v>
          </cell>
          <cell r="B183">
            <v>43684</v>
          </cell>
          <cell r="C183">
            <v>695</v>
          </cell>
        </row>
        <row r="184">
          <cell r="A184" t="str">
            <v>PQR</v>
          </cell>
          <cell r="B184">
            <v>43803</v>
          </cell>
          <cell r="C184">
            <v>394</v>
          </cell>
        </row>
        <row r="185">
          <cell r="A185" t="str">
            <v>XYZ</v>
          </cell>
          <cell r="B185">
            <v>43819</v>
          </cell>
          <cell r="C185">
            <v>731</v>
          </cell>
        </row>
        <row r="186">
          <cell r="A186" t="str">
            <v>ABC</v>
          </cell>
          <cell r="B186">
            <v>43761</v>
          </cell>
          <cell r="C186">
            <v>416</v>
          </cell>
        </row>
        <row r="187">
          <cell r="A187" t="str">
            <v>PQR</v>
          </cell>
          <cell r="B187">
            <v>43775</v>
          </cell>
          <cell r="C187">
            <v>170</v>
          </cell>
        </row>
        <row r="188">
          <cell r="A188" t="str">
            <v>XYZ</v>
          </cell>
          <cell r="B188">
            <v>43477</v>
          </cell>
          <cell r="C188">
            <v>215</v>
          </cell>
        </row>
        <row r="189">
          <cell r="A189" t="str">
            <v>XYZ</v>
          </cell>
          <cell r="B189">
            <v>43680</v>
          </cell>
          <cell r="C189">
            <v>688</v>
          </cell>
        </row>
        <row r="190">
          <cell r="A190" t="str">
            <v>XYZ</v>
          </cell>
          <cell r="B190">
            <v>43717</v>
          </cell>
          <cell r="C190">
            <v>465</v>
          </cell>
        </row>
        <row r="191">
          <cell r="A191" t="str">
            <v>PQR</v>
          </cell>
          <cell r="B191">
            <v>43466</v>
          </cell>
          <cell r="C191">
            <v>11</v>
          </cell>
        </row>
        <row r="192">
          <cell r="A192" t="str">
            <v>ABC</v>
          </cell>
          <cell r="B192">
            <v>43745</v>
          </cell>
          <cell r="C192">
            <v>868</v>
          </cell>
        </row>
        <row r="193">
          <cell r="A193" t="str">
            <v>PQR</v>
          </cell>
          <cell r="B193">
            <v>43711</v>
          </cell>
          <cell r="C193">
            <v>236</v>
          </cell>
        </row>
        <row r="194">
          <cell r="A194" t="str">
            <v>PQR</v>
          </cell>
          <cell r="B194">
            <v>43810</v>
          </cell>
          <cell r="C194">
            <v>659</v>
          </cell>
        </row>
        <row r="195">
          <cell r="A195" t="str">
            <v>ABC</v>
          </cell>
          <cell r="B195">
            <v>43673</v>
          </cell>
          <cell r="C195">
            <v>649</v>
          </cell>
        </row>
        <row r="196">
          <cell r="A196" t="str">
            <v>XYZ</v>
          </cell>
          <cell r="B196">
            <v>43516</v>
          </cell>
          <cell r="C196">
            <v>745</v>
          </cell>
        </row>
        <row r="197">
          <cell r="A197" t="str">
            <v>ABC</v>
          </cell>
          <cell r="B197">
            <v>43645</v>
          </cell>
          <cell r="C197">
            <v>165</v>
          </cell>
        </row>
        <row r="198">
          <cell r="A198" t="str">
            <v>ABC</v>
          </cell>
          <cell r="B198">
            <v>43724</v>
          </cell>
          <cell r="C198">
            <v>969</v>
          </cell>
        </row>
        <row r="199">
          <cell r="A199" t="str">
            <v>PQR</v>
          </cell>
          <cell r="B199">
            <v>43777</v>
          </cell>
          <cell r="C199">
            <v>90</v>
          </cell>
        </row>
        <row r="200">
          <cell r="A200" t="str">
            <v>XYZ</v>
          </cell>
          <cell r="B200">
            <v>43683</v>
          </cell>
          <cell r="C200">
            <v>623</v>
          </cell>
        </row>
        <row r="201">
          <cell r="A201" t="str">
            <v>XYZ</v>
          </cell>
          <cell r="B201">
            <v>43773</v>
          </cell>
          <cell r="C201">
            <v>677</v>
          </cell>
        </row>
        <row r="202">
          <cell r="A202" t="str">
            <v>ABC</v>
          </cell>
          <cell r="B202">
            <v>43501</v>
          </cell>
          <cell r="C202">
            <v>446</v>
          </cell>
        </row>
        <row r="203">
          <cell r="A203" t="str">
            <v>ABC</v>
          </cell>
          <cell r="B203">
            <v>43588</v>
          </cell>
          <cell r="C203">
            <v>837</v>
          </cell>
        </row>
        <row r="204">
          <cell r="A204" t="str">
            <v>PQR</v>
          </cell>
          <cell r="B204">
            <v>43577</v>
          </cell>
          <cell r="C204">
            <v>607</v>
          </cell>
        </row>
        <row r="205">
          <cell r="A205" t="str">
            <v>XYZ</v>
          </cell>
          <cell r="B205">
            <v>43487</v>
          </cell>
          <cell r="C205">
            <v>517</v>
          </cell>
        </row>
        <row r="206">
          <cell r="A206" t="str">
            <v>XYZ</v>
          </cell>
          <cell r="B206">
            <v>43532</v>
          </cell>
          <cell r="C206">
            <v>452</v>
          </cell>
        </row>
        <row r="207">
          <cell r="A207" t="str">
            <v>PQR</v>
          </cell>
          <cell r="B207">
            <v>43712</v>
          </cell>
          <cell r="C207">
            <v>370</v>
          </cell>
        </row>
        <row r="208">
          <cell r="A208" t="str">
            <v>ABC</v>
          </cell>
          <cell r="B208">
            <v>43695</v>
          </cell>
          <cell r="C208">
            <v>310</v>
          </cell>
        </row>
        <row r="209">
          <cell r="A209" t="str">
            <v>PQR</v>
          </cell>
          <cell r="B209">
            <v>43690</v>
          </cell>
          <cell r="C209">
            <v>403</v>
          </cell>
        </row>
        <row r="210">
          <cell r="A210" t="str">
            <v>PQR</v>
          </cell>
          <cell r="B210">
            <v>43688</v>
          </cell>
          <cell r="C210">
            <v>495</v>
          </cell>
        </row>
        <row r="211">
          <cell r="A211" t="str">
            <v>ABC</v>
          </cell>
          <cell r="B211">
            <v>43489</v>
          </cell>
          <cell r="C211">
            <v>425</v>
          </cell>
        </row>
        <row r="212">
          <cell r="A212" t="str">
            <v>XYZ</v>
          </cell>
          <cell r="B212">
            <v>43691</v>
          </cell>
          <cell r="C212">
            <v>195</v>
          </cell>
        </row>
        <row r="213">
          <cell r="A213" t="str">
            <v>ABC</v>
          </cell>
          <cell r="B213">
            <v>43506</v>
          </cell>
          <cell r="C213">
            <v>653</v>
          </cell>
        </row>
        <row r="214">
          <cell r="A214" t="str">
            <v>PQR</v>
          </cell>
          <cell r="B214">
            <v>43815</v>
          </cell>
          <cell r="C214">
            <v>940</v>
          </cell>
        </row>
        <row r="215">
          <cell r="A215" t="str">
            <v>XYZ</v>
          </cell>
          <cell r="B215">
            <v>43761</v>
          </cell>
          <cell r="C215">
            <v>349</v>
          </cell>
        </row>
        <row r="216">
          <cell r="A216" t="str">
            <v>ABC</v>
          </cell>
          <cell r="B216">
            <v>43468</v>
          </cell>
          <cell r="C216">
            <v>301</v>
          </cell>
        </row>
        <row r="217">
          <cell r="A217" t="str">
            <v>PQR</v>
          </cell>
          <cell r="B217">
            <v>43721</v>
          </cell>
          <cell r="C217">
            <v>459</v>
          </cell>
        </row>
        <row r="218">
          <cell r="A218" t="str">
            <v>XYZ</v>
          </cell>
          <cell r="B218">
            <v>43760</v>
          </cell>
          <cell r="C218">
            <v>238</v>
          </cell>
        </row>
        <row r="219">
          <cell r="A219" t="str">
            <v>XYZ</v>
          </cell>
          <cell r="B219">
            <v>43828</v>
          </cell>
          <cell r="C219">
            <v>154</v>
          </cell>
        </row>
        <row r="220">
          <cell r="A220" t="str">
            <v>ABC</v>
          </cell>
          <cell r="B220">
            <v>43665</v>
          </cell>
          <cell r="C220">
            <v>110</v>
          </cell>
        </row>
        <row r="221">
          <cell r="A221" t="str">
            <v>ABC</v>
          </cell>
          <cell r="B221">
            <v>43736</v>
          </cell>
          <cell r="C221">
            <v>162</v>
          </cell>
        </row>
        <row r="222">
          <cell r="A222" t="str">
            <v>PQR</v>
          </cell>
          <cell r="B222">
            <v>43753</v>
          </cell>
          <cell r="C222">
            <v>272</v>
          </cell>
        </row>
        <row r="223">
          <cell r="A223" t="str">
            <v>XYZ</v>
          </cell>
          <cell r="B223">
            <v>43726</v>
          </cell>
          <cell r="C223">
            <v>8</v>
          </cell>
        </row>
        <row r="224">
          <cell r="A224" t="str">
            <v>XYZ</v>
          </cell>
          <cell r="B224">
            <v>43713</v>
          </cell>
          <cell r="C224">
            <v>166</v>
          </cell>
        </row>
        <row r="225">
          <cell r="A225" t="str">
            <v>PQR</v>
          </cell>
          <cell r="B225">
            <v>43788</v>
          </cell>
          <cell r="C225">
            <v>399</v>
          </cell>
        </row>
        <row r="226">
          <cell r="A226" t="str">
            <v>ABC</v>
          </cell>
          <cell r="B226">
            <v>43489</v>
          </cell>
          <cell r="C226">
            <v>261</v>
          </cell>
        </row>
        <row r="227">
          <cell r="A227" t="str">
            <v>PQR</v>
          </cell>
          <cell r="B227">
            <v>43696</v>
          </cell>
          <cell r="C227">
            <v>26</v>
          </cell>
        </row>
        <row r="228">
          <cell r="A228" t="str">
            <v>PQR</v>
          </cell>
          <cell r="B228">
            <v>43490</v>
          </cell>
          <cell r="C228">
            <v>854</v>
          </cell>
        </row>
        <row r="229">
          <cell r="A229" t="str">
            <v>PQR</v>
          </cell>
          <cell r="B229">
            <v>43561</v>
          </cell>
          <cell r="C229">
            <v>94</v>
          </cell>
        </row>
        <row r="230">
          <cell r="A230" t="str">
            <v>ABC</v>
          </cell>
          <cell r="B230">
            <v>43816</v>
          </cell>
          <cell r="C230">
            <v>244</v>
          </cell>
        </row>
        <row r="231">
          <cell r="A231" t="str">
            <v>XYZ</v>
          </cell>
          <cell r="B231">
            <v>43813</v>
          </cell>
          <cell r="C231">
            <v>194</v>
          </cell>
        </row>
        <row r="232">
          <cell r="A232" t="str">
            <v>ABC</v>
          </cell>
          <cell r="B232">
            <v>43466</v>
          </cell>
          <cell r="C232">
            <v>186</v>
          </cell>
        </row>
        <row r="233">
          <cell r="A233" t="str">
            <v>PQR</v>
          </cell>
          <cell r="B233">
            <v>43660</v>
          </cell>
          <cell r="C233">
            <v>263</v>
          </cell>
        </row>
        <row r="234">
          <cell r="A234" t="str">
            <v>XYZ</v>
          </cell>
          <cell r="B234">
            <v>43634</v>
          </cell>
          <cell r="C234">
            <v>598</v>
          </cell>
        </row>
        <row r="235">
          <cell r="A235" t="str">
            <v>ABC</v>
          </cell>
          <cell r="B235">
            <v>43640</v>
          </cell>
          <cell r="C235">
            <v>716</v>
          </cell>
        </row>
        <row r="236">
          <cell r="A236" t="str">
            <v>PQR</v>
          </cell>
          <cell r="B236">
            <v>43557</v>
          </cell>
          <cell r="C236">
            <v>605</v>
          </cell>
        </row>
        <row r="237">
          <cell r="A237" t="str">
            <v>XYZ</v>
          </cell>
          <cell r="B237">
            <v>43744</v>
          </cell>
          <cell r="C237">
            <v>147</v>
          </cell>
        </row>
        <row r="238">
          <cell r="A238" t="str">
            <v>XYZ</v>
          </cell>
          <cell r="B238">
            <v>43752</v>
          </cell>
          <cell r="C238">
            <v>251</v>
          </cell>
        </row>
        <row r="239">
          <cell r="A239" t="str">
            <v>XYZ</v>
          </cell>
          <cell r="B239">
            <v>43476</v>
          </cell>
          <cell r="C239">
            <v>385</v>
          </cell>
        </row>
        <row r="240">
          <cell r="A240" t="str">
            <v>PQR</v>
          </cell>
          <cell r="B240">
            <v>43827</v>
          </cell>
          <cell r="C240">
            <v>931</v>
          </cell>
        </row>
        <row r="241">
          <cell r="A241" t="str">
            <v>ABC</v>
          </cell>
          <cell r="B241">
            <v>43678</v>
          </cell>
          <cell r="C241">
            <v>776</v>
          </cell>
        </row>
        <row r="242">
          <cell r="A242" t="str">
            <v>PQR</v>
          </cell>
          <cell r="B242">
            <v>43642</v>
          </cell>
          <cell r="C242">
            <v>823</v>
          </cell>
        </row>
        <row r="243">
          <cell r="A243" t="str">
            <v>PQR</v>
          </cell>
          <cell r="B243">
            <v>43760</v>
          </cell>
          <cell r="C243">
            <v>745</v>
          </cell>
        </row>
        <row r="244">
          <cell r="A244" t="str">
            <v>ABC</v>
          </cell>
          <cell r="B244">
            <v>43657</v>
          </cell>
          <cell r="C244">
            <v>704</v>
          </cell>
        </row>
        <row r="245">
          <cell r="A245" t="str">
            <v>XYZ</v>
          </cell>
          <cell r="B245">
            <v>43559</v>
          </cell>
          <cell r="C245">
            <v>200</v>
          </cell>
        </row>
        <row r="246">
          <cell r="A246" t="str">
            <v>ABC</v>
          </cell>
          <cell r="B246">
            <v>43647</v>
          </cell>
          <cell r="C246">
            <v>86</v>
          </cell>
        </row>
        <row r="247">
          <cell r="A247" t="str">
            <v>ABC</v>
          </cell>
          <cell r="B247">
            <v>43766</v>
          </cell>
          <cell r="C247">
            <v>909</v>
          </cell>
        </row>
        <row r="248">
          <cell r="A248" t="str">
            <v>PQR</v>
          </cell>
          <cell r="B248">
            <v>43653</v>
          </cell>
          <cell r="C248">
            <v>122</v>
          </cell>
        </row>
        <row r="249">
          <cell r="A249" t="str">
            <v>XYZ</v>
          </cell>
          <cell r="B249">
            <v>43570</v>
          </cell>
          <cell r="C249">
            <v>213</v>
          </cell>
        </row>
        <row r="250">
          <cell r="A250" t="str">
            <v>XYZ</v>
          </cell>
          <cell r="B250">
            <v>43572</v>
          </cell>
          <cell r="C250">
            <v>546</v>
          </cell>
        </row>
        <row r="251">
          <cell r="A251" t="str">
            <v>ABC</v>
          </cell>
          <cell r="B251">
            <v>43636</v>
          </cell>
          <cell r="C251">
            <v>737</v>
          </cell>
        </row>
        <row r="252">
          <cell r="A252" t="str">
            <v>ABC</v>
          </cell>
          <cell r="B252">
            <v>43651</v>
          </cell>
          <cell r="C252">
            <v>238</v>
          </cell>
        </row>
        <row r="253">
          <cell r="A253" t="str">
            <v>PQR</v>
          </cell>
          <cell r="B253">
            <v>43661</v>
          </cell>
          <cell r="C253">
            <v>464</v>
          </cell>
        </row>
        <row r="254">
          <cell r="A254" t="str">
            <v>XYZ</v>
          </cell>
          <cell r="B254">
            <v>43746</v>
          </cell>
          <cell r="C254">
            <v>579</v>
          </cell>
        </row>
        <row r="255">
          <cell r="A255" t="str">
            <v>XYZ</v>
          </cell>
          <cell r="B255">
            <v>43517</v>
          </cell>
          <cell r="C255">
            <v>243</v>
          </cell>
        </row>
        <row r="256">
          <cell r="A256" t="str">
            <v>PQR</v>
          </cell>
          <cell r="B256">
            <v>43748</v>
          </cell>
          <cell r="C256">
            <v>587</v>
          </cell>
        </row>
        <row r="257">
          <cell r="A257" t="str">
            <v>ABC</v>
          </cell>
          <cell r="B257">
            <v>43540</v>
          </cell>
          <cell r="C257">
            <v>520</v>
          </cell>
        </row>
        <row r="258">
          <cell r="A258" t="str">
            <v>PQR</v>
          </cell>
          <cell r="B258">
            <v>43757</v>
          </cell>
          <cell r="C258">
            <v>144</v>
          </cell>
        </row>
        <row r="259">
          <cell r="A259" t="str">
            <v>PQR</v>
          </cell>
          <cell r="B259">
            <v>43680</v>
          </cell>
          <cell r="C259">
            <v>3</v>
          </cell>
        </row>
        <row r="260">
          <cell r="A260" t="str">
            <v>ABC</v>
          </cell>
          <cell r="B260">
            <v>43611</v>
          </cell>
          <cell r="C260">
            <v>903</v>
          </cell>
        </row>
        <row r="261">
          <cell r="A261" t="str">
            <v>XYZ</v>
          </cell>
          <cell r="B261">
            <v>43486</v>
          </cell>
          <cell r="C261">
            <v>214</v>
          </cell>
        </row>
        <row r="262">
          <cell r="A262" t="str">
            <v>ABC</v>
          </cell>
          <cell r="B262">
            <v>43620</v>
          </cell>
          <cell r="C262">
            <v>536</v>
          </cell>
        </row>
        <row r="263">
          <cell r="A263" t="str">
            <v>PQR</v>
          </cell>
          <cell r="B263">
            <v>43654</v>
          </cell>
          <cell r="C263">
            <v>519</v>
          </cell>
        </row>
        <row r="264">
          <cell r="A264" t="str">
            <v>XYZ</v>
          </cell>
          <cell r="B264">
            <v>43715</v>
          </cell>
          <cell r="C264">
            <v>142</v>
          </cell>
        </row>
        <row r="265">
          <cell r="A265" t="str">
            <v>ABC</v>
          </cell>
          <cell r="B265">
            <v>43610</v>
          </cell>
          <cell r="C265">
            <v>329</v>
          </cell>
        </row>
        <row r="266">
          <cell r="A266" t="str">
            <v>PQR</v>
          </cell>
          <cell r="B266">
            <v>43830</v>
          </cell>
          <cell r="C266">
            <v>620</v>
          </cell>
        </row>
        <row r="267">
          <cell r="A267" t="str">
            <v>XYZ</v>
          </cell>
          <cell r="B267">
            <v>43549</v>
          </cell>
          <cell r="C267">
            <v>56</v>
          </cell>
        </row>
        <row r="268">
          <cell r="A268" t="str">
            <v>XYZ</v>
          </cell>
          <cell r="B268">
            <v>43708</v>
          </cell>
          <cell r="C268">
            <v>52</v>
          </cell>
        </row>
        <row r="269">
          <cell r="A269" t="str">
            <v>ABC</v>
          </cell>
          <cell r="B269">
            <v>43658</v>
          </cell>
          <cell r="C269">
            <v>167</v>
          </cell>
        </row>
        <row r="270">
          <cell r="A270" t="str">
            <v>ABC</v>
          </cell>
          <cell r="B270">
            <v>43786</v>
          </cell>
          <cell r="C270">
            <v>946</v>
          </cell>
        </row>
        <row r="271">
          <cell r="A271" t="str">
            <v>PQR</v>
          </cell>
          <cell r="B271">
            <v>43640</v>
          </cell>
          <cell r="C271">
            <v>700</v>
          </cell>
        </row>
        <row r="272">
          <cell r="A272" t="str">
            <v>XYZ</v>
          </cell>
          <cell r="B272">
            <v>43625</v>
          </cell>
          <cell r="C272">
            <v>779</v>
          </cell>
        </row>
        <row r="273">
          <cell r="A273" t="str">
            <v>XYZ</v>
          </cell>
          <cell r="B273">
            <v>43723</v>
          </cell>
          <cell r="C273">
            <v>620</v>
          </cell>
        </row>
        <row r="274">
          <cell r="A274" t="str">
            <v>PQR</v>
          </cell>
          <cell r="B274">
            <v>43474</v>
          </cell>
          <cell r="C274">
            <v>560</v>
          </cell>
        </row>
        <row r="275">
          <cell r="A275" t="str">
            <v>ABC</v>
          </cell>
          <cell r="B275">
            <v>43756</v>
          </cell>
          <cell r="C275">
            <v>258</v>
          </cell>
        </row>
        <row r="276">
          <cell r="A276" t="str">
            <v>PQR</v>
          </cell>
          <cell r="B276">
            <v>43645</v>
          </cell>
          <cell r="C276">
            <v>876</v>
          </cell>
        </row>
        <row r="277">
          <cell r="A277" t="str">
            <v>PQR</v>
          </cell>
          <cell r="B277">
            <v>43573</v>
          </cell>
          <cell r="C277">
            <v>238</v>
          </cell>
        </row>
        <row r="278">
          <cell r="A278" t="str">
            <v>PQR</v>
          </cell>
          <cell r="B278">
            <v>43829</v>
          </cell>
          <cell r="C278">
            <v>696</v>
          </cell>
        </row>
        <row r="279">
          <cell r="A279" t="str">
            <v>ABC</v>
          </cell>
          <cell r="B279">
            <v>43482</v>
          </cell>
          <cell r="C279">
            <v>477</v>
          </cell>
        </row>
        <row r="280">
          <cell r="A280" t="str">
            <v>XYZ</v>
          </cell>
          <cell r="B280">
            <v>43482</v>
          </cell>
          <cell r="C280">
            <v>806</v>
          </cell>
        </row>
        <row r="281">
          <cell r="A281" t="str">
            <v>ABC</v>
          </cell>
          <cell r="B281">
            <v>43522</v>
          </cell>
          <cell r="C281">
            <v>431</v>
          </cell>
        </row>
        <row r="282">
          <cell r="A282" t="str">
            <v>PQR</v>
          </cell>
          <cell r="B282">
            <v>43598</v>
          </cell>
          <cell r="C282">
            <v>565</v>
          </cell>
        </row>
        <row r="283">
          <cell r="A283" t="str">
            <v>XYZ</v>
          </cell>
          <cell r="B283">
            <v>43545</v>
          </cell>
          <cell r="C283">
            <v>765</v>
          </cell>
        </row>
        <row r="284">
          <cell r="A284" t="str">
            <v>ABC</v>
          </cell>
          <cell r="B284">
            <v>43470</v>
          </cell>
          <cell r="C284">
            <v>144</v>
          </cell>
        </row>
        <row r="285">
          <cell r="A285" t="str">
            <v>PQR</v>
          </cell>
          <cell r="B285">
            <v>43780</v>
          </cell>
          <cell r="C285">
            <v>192</v>
          </cell>
        </row>
        <row r="286">
          <cell r="A286" t="str">
            <v>XYZ</v>
          </cell>
          <cell r="B286">
            <v>43630</v>
          </cell>
          <cell r="C286">
            <v>430</v>
          </cell>
        </row>
        <row r="287">
          <cell r="A287" t="str">
            <v>XYZ</v>
          </cell>
          <cell r="B287">
            <v>43665</v>
          </cell>
          <cell r="C287">
            <v>830</v>
          </cell>
        </row>
        <row r="288">
          <cell r="A288" t="str">
            <v>XYZ</v>
          </cell>
          <cell r="B288">
            <v>43507</v>
          </cell>
          <cell r="C288">
            <v>300</v>
          </cell>
        </row>
        <row r="289">
          <cell r="A289" t="str">
            <v>PQR</v>
          </cell>
          <cell r="B289">
            <v>43483</v>
          </cell>
          <cell r="C289">
            <v>444</v>
          </cell>
        </row>
        <row r="290">
          <cell r="A290" t="str">
            <v>ABC</v>
          </cell>
          <cell r="B290">
            <v>43628</v>
          </cell>
          <cell r="C290">
            <v>217</v>
          </cell>
        </row>
        <row r="291">
          <cell r="A291" t="str">
            <v>PQR</v>
          </cell>
          <cell r="B291">
            <v>43726</v>
          </cell>
          <cell r="C291">
            <v>402</v>
          </cell>
        </row>
        <row r="292">
          <cell r="A292" t="str">
            <v>PQR</v>
          </cell>
          <cell r="B292">
            <v>43555</v>
          </cell>
          <cell r="C292">
            <v>679</v>
          </cell>
        </row>
        <row r="293">
          <cell r="A293" t="str">
            <v>ABC</v>
          </cell>
          <cell r="B293">
            <v>43664</v>
          </cell>
          <cell r="C293">
            <v>531</v>
          </cell>
        </row>
        <row r="294">
          <cell r="A294" t="str">
            <v>XYZ</v>
          </cell>
          <cell r="B294">
            <v>43721</v>
          </cell>
          <cell r="C294">
            <v>670</v>
          </cell>
        </row>
        <row r="295">
          <cell r="A295" t="str">
            <v>ABC</v>
          </cell>
          <cell r="B295">
            <v>43506</v>
          </cell>
          <cell r="C295">
            <v>655</v>
          </cell>
        </row>
        <row r="296">
          <cell r="A296" t="str">
            <v>ABC</v>
          </cell>
          <cell r="B296">
            <v>43694</v>
          </cell>
          <cell r="C296">
            <v>177</v>
          </cell>
        </row>
        <row r="297">
          <cell r="A297" t="str">
            <v>PQR</v>
          </cell>
          <cell r="B297">
            <v>43504</v>
          </cell>
          <cell r="C297">
            <v>283</v>
          </cell>
        </row>
        <row r="298">
          <cell r="A298" t="str">
            <v>XYZ</v>
          </cell>
          <cell r="B298">
            <v>43467</v>
          </cell>
          <cell r="C298">
            <v>963</v>
          </cell>
        </row>
        <row r="299">
          <cell r="A299" t="str">
            <v>XYZ</v>
          </cell>
          <cell r="B299">
            <v>43709</v>
          </cell>
          <cell r="C299">
            <v>904</v>
          </cell>
        </row>
        <row r="300">
          <cell r="A300" t="str">
            <v>ABC</v>
          </cell>
          <cell r="B300">
            <v>43538</v>
          </cell>
          <cell r="C300">
            <v>456</v>
          </cell>
        </row>
        <row r="301">
          <cell r="A301" t="str">
            <v>ABC</v>
          </cell>
          <cell r="B301">
            <v>43795</v>
          </cell>
          <cell r="C301">
            <v>45</v>
          </cell>
        </row>
        <row r="302">
          <cell r="A302" t="str">
            <v>PQR</v>
          </cell>
          <cell r="B302">
            <v>43787</v>
          </cell>
          <cell r="C302">
            <v>200</v>
          </cell>
        </row>
        <row r="303">
          <cell r="A303" t="str">
            <v>XYZ</v>
          </cell>
          <cell r="B303">
            <v>43816</v>
          </cell>
          <cell r="C303">
            <v>950</v>
          </cell>
        </row>
        <row r="304">
          <cell r="A304" t="str">
            <v>XYZ</v>
          </cell>
          <cell r="B304">
            <v>43527</v>
          </cell>
          <cell r="C304">
            <v>193</v>
          </cell>
        </row>
        <row r="305">
          <cell r="A305" t="str">
            <v>PQR</v>
          </cell>
          <cell r="B305">
            <v>43639</v>
          </cell>
          <cell r="C305">
            <v>861</v>
          </cell>
        </row>
        <row r="306">
          <cell r="A306" t="str">
            <v>ABC</v>
          </cell>
          <cell r="B306">
            <v>43541</v>
          </cell>
          <cell r="C306">
            <v>267</v>
          </cell>
        </row>
        <row r="307">
          <cell r="A307" t="str">
            <v>PQR</v>
          </cell>
          <cell r="B307">
            <v>43683</v>
          </cell>
          <cell r="C307">
            <v>885</v>
          </cell>
        </row>
        <row r="308">
          <cell r="A308" t="str">
            <v>PQR</v>
          </cell>
          <cell r="B308">
            <v>43752</v>
          </cell>
          <cell r="C308">
            <v>488</v>
          </cell>
        </row>
        <row r="309">
          <cell r="A309" t="str">
            <v>ABC</v>
          </cell>
          <cell r="B309">
            <v>43729</v>
          </cell>
          <cell r="C309">
            <v>134</v>
          </cell>
        </row>
        <row r="310">
          <cell r="A310" t="str">
            <v>XYZ</v>
          </cell>
          <cell r="B310">
            <v>43608</v>
          </cell>
          <cell r="C310">
            <v>823</v>
          </cell>
        </row>
        <row r="311">
          <cell r="A311" t="str">
            <v>ABC</v>
          </cell>
          <cell r="B311">
            <v>43587</v>
          </cell>
          <cell r="C311">
            <v>489</v>
          </cell>
        </row>
        <row r="312">
          <cell r="A312" t="str">
            <v>PQR</v>
          </cell>
          <cell r="B312">
            <v>43722</v>
          </cell>
          <cell r="C312">
            <v>699</v>
          </cell>
        </row>
        <row r="313">
          <cell r="A313" t="str">
            <v>XYZ</v>
          </cell>
          <cell r="B313">
            <v>43796</v>
          </cell>
          <cell r="C313">
            <v>246</v>
          </cell>
        </row>
        <row r="314">
          <cell r="A314" t="str">
            <v>ABC</v>
          </cell>
          <cell r="B314">
            <v>43757</v>
          </cell>
          <cell r="C314">
            <v>49</v>
          </cell>
        </row>
        <row r="315">
          <cell r="A315" t="str">
            <v>PQR</v>
          </cell>
          <cell r="B315">
            <v>43581</v>
          </cell>
          <cell r="C315">
            <v>971</v>
          </cell>
        </row>
        <row r="316">
          <cell r="A316" t="str">
            <v>XYZ</v>
          </cell>
          <cell r="B316">
            <v>43548</v>
          </cell>
          <cell r="C316">
            <v>692</v>
          </cell>
        </row>
        <row r="317">
          <cell r="A317" t="str">
            <v>XYZ</v>
          </cell>
          <cell r="B317">
            <v>43676</v>
          </cell>
          <cell r="C317">
            <v>12</v>
          </cell>
        </row>
        <row r="318">
          <cell r="A318" t="str">
            <v>ABC</v>
          </cell>
          <cell r="B318">
            <v>43595</v>
          </cell>
          <cell r="C318">
            <v>854</v>
          </cell>
        </row>
        <row r="319">
          <cell r="A319" t="str">
            <v>ABC</v>
          </cell>
          <cell r="B319">
            <v>43672</v>
          </cell>
          <cell r="C319">
            <v>937</v>
          </cell>
        </row>
        <row r="320">
          <cell r="A320" t="str">
            <v>PQR</v>
          </cell>
          <cell r="B320">
            <v>43745</v>
          </cell>
          <cell r="C320">
            <v>909</v>
          </cell>
        </row>
        <row r="321">
          <cell r="A321" t="str">
            <v>XYZ</v>
          </cell>
          <cell r="B321">
            <v>43495</v>
          </cell>
          <cell r="C321">
            <v>388</v>
          </cell>
        </row>
        <row r="322">
          <cell r="A322" t="str">
            <v>XYZ</v>
          </cell>
          <cell r="B322">
            <v>43657</v>
          </cell>
          <cell r="C322">
            <v>671</v>
          </cell>
        </row>
        <row r="323">
          <cell r="A323" t="str">
            <v>PQR</v>
          </cell>
          <cell r="B323">
            <v>43807</v>
          </cell>
          <cell r="C323">
            <v>755</v>
          </cell>
        </row>
        <row r="324">
          <cell r="A324" t="str">
            <v>ABC</v>
          </cell>
          <cell r="B324">
            <v>43517</v>
          </cell>
          <cell r="C324">
            <v>687</v>
          </cell>
        </row>
        <row r="325">
          <cell r="A325" t="str">
            <v>PQR</v>
          </cell>
          <cell r="B325">
            <v>43595</v>
          </cell>
          <cell r="C325">
            <v>143</v>
          </cell>
        </row>
        <row r="326">
          <cell r="A326" t="str">
            <v>PQR</v>
          </cell>
          <cell r="B326">
            <v>43713</v>
          </cell>
          <cell r="C326">
            <v>675</v>
          </cell>
        </row>
        <row r="327">
          <cell r="A327" t="str">
            <v>PQR</v>
          </cell>
          <cell r="B327">
            <v>43525</v>
          </cell>
          <cell r="C327">
            <v>659</v>
          </cell>
        </row>
        <row r="328">
          <cell r="A328" t="str">
            <v>ABC</v>
          </cell>
          <cell r="B328">
            <v>43654</v>
          </cell>
          <cell r="C328">
            <v>697</v>
          </cell>
        </row>
        <row r="329">
          <cell r="A329" t="str">
            <v>XYZ</v>
          </cell>
          <cell r="B329">
            <v>43636</v>
          </cell>
          <cell r="C329">
            <v>699</v>
          </cell>
        </row>
        <row r="330">
          <cell r="A330" t="str">
            <v>ABC</v>
          </cell>
          <cell r="B330">
            <v>43664</v>
          </cell>
          <cell r="C330">
            <v>315</v>
          </cell>
        </row>
        <row r="331">
          <cell r="A331" t="str">
            <v>PQR</v>
          </cell>
          <cell r="B331">
            <v>43536</v>
          </cell>
          <cell r="C331">
            <v>763</v>
          </cell>
        </row>
        <row r="332">
          <cell r="A332" t="str">
            <v>XYZ</v>
          </cell>
          <cell r="B332">
            <v>43607</v>
          </cell>
          <cell r="C332">
            <v>103</v>
          </cell>
        </row>
        <row r="333">
          <cell r="A333" t="str">
            <v>ABC</v>
          </cell>
          <cell r="B333">
            <v>43475</v>
          </cell>
          <cell r="C333">
            <v>649</v>
          </cell>
        </row>
        <row r="334">
          <cell r="A334" t="str">
            <v>PQR</v>
          </cell>
          <cell r="B334">
            <v>43475</v>
          </cell>
          <cell r="C334">
            <v>186</v>
          </cell>
        </row>
        <row r="335">
          <cell r="A335" t="str">
            <v>XYZ</v>
          </cell>
          <cell r="B335">
            <v>43502</v>
          </cell>
          <cell r="C335">
            <v>486</v>
          </cell>
        </row>
        <row r="336">
          <cell r="A336" t="str">
            <v>XYZ</v>
          </cell>
          <cell r="B336">
            <v>43735</v>
          </cell>
          <cell r="C336">
            <v>545</v>
          </cell>
        </row>
        <row r="337">
          <cell r="A337" t="str">
            <v>XYZ</v>
          </cell>
          <cell r="B337">
            <v>43528</v>
          </cell>
          <cell r="C337">
            <v>578</v>
          </cell>
        </row>
        <row r="338">
          <cell r="A338" t="str">
            <v>PQR</v>
          </cell>
          <cell r="B338">
            <v>43575</v>
          </cell>
          <cell r="C338">
            <v>134</v>
          </cell>
        </row>
        <row r="339">
          <cell r="A339" t="str">
            <v>ABC</v>
          </cell>
          <cell r="B339">
            <v>43525</v>
          </cell>
          <cell r="C339">
            <v>24</v>
          </cell>
        </row>
        <row r="340">
          <cell r="A340" t="str">
            <v>PQR</v>
          </cell>
          <cell r="B340">
            <v>43705</v>
          </cell>
          <cell r="C340">
            <v>80</v>
          </cell>
        </row>
        <row r="341">
          <cell r="A341" t="str">
            <v>PQR</v>
          </cell>
          <cell r="B341">
            <v>43529</v>
          </cell>
          <cell r="C341">
            <v>895</v>
          </cell>
        </row>
        <row r="342">
          <cell r="A342" t="str">
            <v>ABC</v>
          </cell>
          <cell r="B342">
            <v>43582</v>
          </cell>
          <cell r="C342">
            <v>824</v>
          </cell>
        </row>
        <row r="343">
          <cell r="A343" t="str">
            <v>XYZ</v>
          </cell>
          <cell r="B343">
            <v>43614</v>
          </cell>
          <cell r="C343">
            <v>72</v>
          </cell>
        </row>
        <row r="344">
          <cell r="A344" t="str">
            <v>ABC</v>
          </cell>
          <cell r="B344">
            <v>43792</v>
          </cell>
          <cell r="C344">
            <v>55</v>
          </cell>
        </row>
        <row r="345">
          <cell r="A345" t="str">
            <v>ABC</v>
          </cell>
          <cell r="B345">
            <v>43631</v>
          </cell>
          <cell r="C345">
            <v>850</v>
          </cell>
        </row>
        <row r="346">
          <cell r="A346" t="str">
            <v>PQR</v>
          </cell>
          <cell r="B346">
            <v>43681</v>
          </cell>
          <cell r="C346">
            <v>526</v>
          </cell>
        </row>
        <row r="347">
          <cell r="A347" t="str">
            <v>XYZ</v>
          </cell>
          <cell r="B347">
            <v>43804</v>
          </cell>
          <cell r="C347">
            <v>713</v>
          </cell>
        </row>
        <row r="348">
          <cell r="A348" t="str">
            <v>XYZ</v>
          </cell>
          <cell r="B348">
            <v>43523</v>
          </cell>
          <cell r="C348">
            <v>23</v>
          </cell>
        </row>
        <row r="349">
          <cell r="A349" t="str">
            <v>ABC</v>
          </cell>
          <cell r="B349">
            <v>43689</v>
          </cell>
          <cell r="C349">
            <v>559</v>
          </cell>
        </row>
        <row r="350">
          <cell r="A350" t="str">
            <v>ABC</v>
          </cell>
          <cell r="B350">
            <v>43550</v>
          </cell>
          <cell r="C350">
            <v>729</v>
          </cell>
        </row>
        <row r="351">
          <cell r="A351" t="str">
            <v>PQR</v>
          </cell>
          <cell r="B351">
            <v>43578</v>
          </cell>
          <cell r="C351">
            <v>113</v>
          </cell>
        </row>
        <row r="352">
          <cell r="A352" t="str">
            <v>XYZ</v>
          </cell>
          <cell r="B352">
            <v>43735</v>
          </cell>
          <cell r="C352">
            <v>661</v>
          </cell>
        </row>
        <row r="353">
          <cell r="A353" t="str">
            <v>XYZ</v>
          </cell>
          <cell r="B353">
            <v>43476</v>
          </cell>
          <cell r="C353">
            <v>857</v>
          </cell>
        </row>
        <row r="354">
          <cell r="A354" t="str">
            <v>PQR</v>
          </cell>
          <cell r="B354">
            <v>43581</v>
          </cell>
          <cell r="C354">
            <v>456</v>
          </cell>
        </row>
        <row r="355">
          <cell r="A355" t="str">
            <v>ABC</v>
          </cell>
          <cell r="B355">
            <v>43699</v>
          </cell>
          <cell r="C355">
            <v>197</v>
          </cell>
        </row>
        <row r="356">
          <cell r="A356" t="str">
            <v>PQR</v>
          </cell>
          <cell r="B356">
            <v>43681</v>
          </cell>
          <cell r="C356">
            <v>908</v>
          </cell>
        </row>
        <row r="357">
          <cell r="A357" t="str">
            <v>PQR</v>
          </cell>
          <cell r="B357">
            <v>43650</v>
          </cell>
          <cell r="C357">
            <v>141</v>
          </cell>
        </row>
        <row r="358">
          <cell r="A358" t="str">
            <v>ABC</v>
          </cell>
          <cell r="B358">
            <v>43544</v>
          </cell>
          <cell r="C358">
            <v>747</v>
          </cell>
        </row>
        <row r="359">
          <cell r="A359" t="str">
            <v>XYZ</v>
          </cell>
          <cell r="B359">
            <v>43673</v>
          </cell>
          <cell r="C359">
            <v>212</v>
          </cell>
        </row>
        <row r="360">
          <cell r="A360" t="str">
            <v>ABC</v>
          </cell>
          <cell r="B360">
            <v>43512</v>
          </cell>
          <cell r="C360">
            <v>145</v>
          </cell>
        </row>
        <row r="361">
          <cell r="A361" t="str">
            <v>PQR</v>
          </cell>
          <cell r="B361">
            <v>43605</v>
          </cell>
          <cell r="C361">
            <v>441</v>
          </cell>
        </row>
        <row r="362">
          <cell r="A362" t="str">
            <v>XYZ</v>
          </cell>
          <cell r="B362">
            <v>43669</v>
          </cell>
          <cell r="C362">
            <v>47</v>
          </cell>
        </row>
        <row r="363">
          <cell r="A363" t="str">
            <v>ABC</v>
          </cell>
          <cell r="B363">
            <v>43537</v>
          </cell>
          <cell r="C363">
            <v>134</v>
          </cell>
        </row>
        <row r="364">
          <cell r="A364" t="str">
            <v>PQR</v>
          </cell>
          <cell r="B364">
            <v>43664</v>
          </cell>
          <cell r="C364">
            <v>662</v>
          </cell>
        </row>
        <row r="365">
          <cell r="A365" t="str">
            <v>XYZ</v>
          </cell>
          <cell r="B365">
            <v>43562</v>
          </cell>
          <cell r="C365">
            <v>328</v>
          </cell>
        </row>
        <row r="366">
          <cell r="A366" t="str">
            <v>XYZ</v>
          </cell>
          <cell r="B366">
            <v>43675</v>
          </cell>
          <cell r="C366">
            <v>998</v>
          </cell>
        </row>
        <row r="367">
          <cell r="A367" t="str">
            <v>ABC</v>
          </cell>
          <cell r="B367">
            <v>43806</v>
          </cell>
          <cell r="C367">
            <v>547</v>
          </cell>
        </row>
        <row r="368">
          <cell r="A368" t="str">
            <v>ABC</v>
          </cell>
          <cell r="B368">
            <v>43563</v>
          </cell>
          <cell r="C368">
            <v>257</v>
          </cell>
        </row>
        <row r="369">
          <cell r="A369" t="str">
            <v>PQR</v>
          </cell>
          <cell r="B369">
            <v>43521</v>
          </cell>
          <cell r="C369">
            <v>980</v>
          </cell>
        </row>
        <row r="370">
          <cell r="A370" t="str">
            <v>XYZ</v>
          </cell>
          <cell r="B370">
            <v>43637</v>
          </cell>
          <cell r="C370">
            <v>621</v>
          </cell>
        </row>
        <row r="371">
          <cell r="A371" t="str">
            <v>XYZ</v>
          </cell>
          <cell r="B371">
            <v>43643</v>
          </cell>
          <cell r="C371">
            <v>534</v>
          </cell>
        </row>
        <row r="372">
          <cell r="A372" t="str">
            <v>PQR</v>
          </cell>
          <cell r="B372">
            <v>43479</v>
          </cell>
          <cell r="C372">
            <v>418</v>
          </cell>
        </row>
        <row r="373">
          <cell r="A373" t="str">
            <v>ABC</v>
          </cell>
          <cell r="B373">
            <v>43616</v>
          </cell>
          <cell r="C373">
            <v>144</v>
          </cell>
        </row>
        <row r="374">
          <cell r="A374" t="str">
            <v>PQR</v>
          </cell>
          <cell r="B374">
            <v>43565</v>
          </cell>
          <cell r="C374">
            <v>226</v>
          </cell>
        </row>
        <row r="375">
          <cell r="A375" t="str">
            <v>PQR</v>
          </cell>
          <cell r="B375">
            <v>43598</v>
          </cell>
          <cell r="C375">
            <v>476</v>
          </cell>
        </row>
        <row r="376">
          <cell r="A376" t="str">
            <v>PQR</v>
          </cell>
          <cell r="B376">
            <v>43824</v>
          </cell>
          <cell r="C376">
            <v>709</v>
          </cell>
        </row>
        <row r="377">
          <cell r="A377" t="str">
            <v>ABC</v>
          </cell>
          <cell r="B377">
            <v>43623</v>
          </cell>
          <cell r="C377">
            <v>572</v>
          </cell>
        </row>
        <row r="378">
          <cell r="A378" t="str">
            <v>XYZ</v>
          </cell>
          <cell r="B378">
            <v>43710</v>
          </cell>
          <cell r="C378">
            <v>807</v>
          </cell>
        </row>
        <row r="379">
          <cell r="A379" t="str">
            <v>ABC</v>
          </cell>
          <cell r="B379">
            <v>43628</v>
          </cell>
          <cell r="C379">
            <v>96</v>
          </cell>
        </row>
        <row r="380">
          <cell r="A380" t="str">
            <v>PQR</v>
          </cell>
          <cell r="B380">
            <v>43473</v>
          </cell>
          <cell r="C380">
            <v>912</v>
          </cell>
        </row>
        <row r="381">
          <cell r="A381" t="str">
            <v>XYZ</v>
          </cell>
          <cell r="B381">
            <v>43693</v>
          </cell>
          <cell r="C381">
            <v>125</v>
          </cell>
        </row>
        <row r="382">
          <cell r="A382" t="str">
            <v>ABC</v>
          </cell>
          <cell r="B382">
            <v>43766</v>
          </cell>
          <cell r="C382">
            <v>854</v>
          </cell>
        </row>
        <row r="383">
          <cell r="A383" t="str">
            <v>PQR</v>
          </cell>
          <cell r="B383">
            <v>43570</v>
          </cell>
          <cell r="C383">
            <v>308</v>
          </cell>
        </row>
        <row r="384">
          <cell r="A384" t="str">
            <v>XYZ</v>
          </cell>
          <cell r="B384">
            <v>43753</v>
          </cell>
          <cell r="C384">
            <v>338</v>
          </cell>
        </row>
        <row r="385">
          <cell r="A385" t="str">
            <v>XYZ</v>
          </cell>
          <cell r="B385">
            <v>43776</v>
          </cell>
          <cell r="C385">
            <v>698</v>
          </cell>
        </row>
        <row r="386">
          <cell r="A386" t="str">
            <v>XYZ</v>
          </cell>
          <cell r="B386">
            <v>43616</v>
          </cell>
          <cell r="C386">
            <v>732</v>
          </cell>
        </row>
        <row r="387">
          <cell r="A387" t="str">
            <v>PQR</v>
          </cell>
          <cell r="B387">
            <v>43620</v>
          </cell>
          <cell r="C387">
            <v>568</v>
          </cell>
        </row>
        <row r="388">
          <cell r="A388" t="str">
            <v>ABC</v>
          </cell>
          <cell r="B388">
            <v>43562</v>
          </cell>
          <cell r="C388">
            <v>998</v>
          </cell>
        </row>
        <row r="389">
          <cell r="A389" t="str">
            <v>PQR</v>
          </cell>
          <cell r="B389">
            <v>43564</v>
          </cell>
          <cell r="C389">
            <v>488</v>
          </cell>
        </row>
        <row r="390">
          <cell r="A390" t="str">
            <v>PQR</v>
          </cell>
          <cell r="B390">
            <v>43508</v>
          </cell>
          <cell r="C390">
            <v>821</v>
          </cell>
        </row>
        <row r="391">
          <cell r="A391" t="str">
            <v>ABC</v>
          </cell>
          <cell r="B391">
            <v>43598</v>
          </cell>
          <cell r="C391">
            <v>351</v>
          </cell>
        </row>
        <row r="392">
          <cell r="A392" t="str">
            <v>XYZ</v>
          </cell>
          <cell r="B392">
            <v>43620</v>
          </cell>
          <cell r="C392">
            <v>999</v>
          </cell>
        </row>
        <row r="393">
          <cell r="A393" t="str">
            <v>ABC</v>
          </cell>
          <cell r="B393">
            <v>43727</v>
          </cell>
          <cell r="C393">
            <v>381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4">
          <cell r="C4" t="str">
            <v>Oranges</v>
          </cell>
        </row>
      </sheetData>
      <sheetData sheetId="1">
        <row r="2">
          <cell r="C2" t="str">
            <v>Ford</v>
          </cell>
          <cell r="D2" t="str">
            <v>Toyota</v>
          </cell>
          <cell r="E2" t="str">
            <v>Holden</v>
          </cell>
          <cell r="F2" t="str">
            <v>Suzuki</v>
          </cell>
          <cell r="G2" t="str">
            <v>Mitsubishi</v>
          </cell>
        </row>
        <row r="3">
          <cell r="B3">
            <v>40664</v>
          </cell>
          <cell r="C3">
            <v>4</v>
          </cell>
          <cell r="D3">
            <v>5</v>
          </cell>
          <cell r="E3">
            <v>6</v>
          </cell>
          <cell r="F3">
            <v>6</v>
          </cell>
          <cell r="G3">
            <v>6</v>
          </cell>
        </row>
        <row r="4">
          <cell r="B4">
            <v>40671</v>
          </cell>
          <cell r="C4">
            <v>1</v>
          </cell>
          <cell r="D4">
            <v>3</v>
          </cell>
          <cell r="E4">
            <v>3</v>
          </cell>
          <cell r="F4">
            <v>4</v>
          </cell>
          <cell r="G4">
            <v>6</v>
          </cell>
        </row>
        <row r="5">
          <cell r="B5">
            <v>40666</v>
          </cell>
          <cell r="C5">
            <v>4</v>
          </cell>
          <cell r="D5">
            <v>8</v>
          </cell>
          <cell r="E5">
            <v>1</v>
          </cell>
          <cell r="F5">
            <v>4</v>
          </cell>
          <cell r="G5">
            <v>4</v>
          </cell>
        </row>
        <row r="6">
          <cell r="B6">
            <v>40670</v>
          </cell>
          <cell r="C6">
            <v>4</v>
          </cell>
          <cell r="D6">
            <v>5</v>
          </cell>
          <cell r="E6">
            <v>4</v>
          </cell>
          <cell r="F6">
            <v>2</v>
          </cell>
          <cell r="G6">
            <v>6</v>
          </cell>
        </row>
        <row r="7">
          <cell r="B7">
            <v>40666</v>
          </cell>
          <cell r="C7">
            <v>6</v>
          </cell>
          <cell r="D7">
            <v>3</v>
          </cell>
          <cell r="E7">
            <v>5</v>
          </cell>
          <cell r="F7">
            <v>6</v>
          </cell>
          <cell r="G7">
            <v>1</v>
          </cell>
        </row>
        <row r="8">
          <cell r="B8">
            <v>40673</v>
          </cell>
          <cell r="C8">
            <v>4</v>
          </cell>
          <cell r="D8">
            <v>3</v>
          </cell>
          <cell r="E8">
            <v>6</v>
          </cell>
          <cell r="F8">
            <v>5</v>
          </cell>
          <cell r="G8">
            <v>4</v>
          </cell>
        </row>
        <row r="9">
          <cell r="B9">
            <v>40668</v>
          </cell>
          <cell r="C9">
            <v>1</v>
          </cell>
          <cell r="D9">
            <v>4</v>
          </cell>
          <cell r="E9">
            <v>1</v>
          </cell>
          <cell r="F9">
            <v>6</v>
          </cell>
          <cell r="G9">
            <v>6</v>
          </cell>
        </row>
        <row r="10">
          <cell r="B10">
            <v>40670</v>
          </cell>
          <cell r="C10">
            <v>4</v>
          </cell>
          <cell r="D10">
            <v>6</v>
          </cell>
          <cell r="E10">
            <v>3</v>
          </cell>
          <cell r="F10">
            <v>5</v>
          </cell>
          <cell r="G10">
            <v>2</v>
          </cell>
        </row>
        <row r="11">
          <cell r="B11">
            <v>40666</v>
          </cell>
          <cell r="C11">
            <v>4</v>
          </cell>
          <cell r="D11">
            <v>1</v>
          </cell>
          <cell r="E11">
            <v>3</v>
          </cell>
          <cell r="F11">
            <v>5</v>
          </cell>
          <cell r="G11">
            <v>3</v>
          </cell>
        </row>
        <row r="12">
          <cell r="B12">
            <v>40672</v>
          </cell>
          <cell r="C12">
            <v>4</v>
          </cell>
          <cell r="D12">
            <v>4</v>
          </cell>
          <cell r="E12">
            <v>1</v>
          </cell>
          <cell r="F12">
            <v>1</v>
          </cell>
          <cell r="G12">
            <v>1</v>
          </cell>
        </row>
        <row r="13">
          <cell r="B13">
            <v>40673</v>
          </cell>
          <cell r="C13">
            <v>3</v>
          </cell>
          <cell r="D13">
            <v>6</v>
          </cell>
          <cell r="E13">
            <v>6</v>
          </cell>
          <cell r="F13">
            <v>1</v>
          </cell>
          <cell r="G13">
            <v>6</v>
          </cell>
        </row>
        <row r="14">
          <cell r="B14">
            <v>40671</v>
          </cell>
          <cell r="C14">
            <v>5</v>
          </cell>
          <cell r="D14">
            <v>6</v>
          </cell>
          <cell r="E14">
            <v>1</v>
          </cell>
          <cell r="F14">
            <v>4</v>
          </cell>
          <cell r="G14">
            <v>6</v>
          </cell>
        </row>
      </sheetData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utools for Excel"/>
      <sheetName val="SUMPRODUCTCLASS-SUMPRODUCT"/>
      <sheetName val="SUMPRODUCTCLASS-SUMPRODUCT (2)"/>
      <sheetName val="SUMPRODUCTCLASS-SP(2)"/>
      <sheetName val="SUMPRODUCTCLASS-SP(2)an"/>
      <sheetName val="SUMPRODUCTCLASS-SP(3)"/>
      <sheetName val="SUMPRODUCTCLASS-SP(3)an"/>
      <sheetName val="sum-between-2-dates-sum between"/>
      <sheetName val="SumFunctionQuerry-Sheet1"/>
      <sheetName val="Sumprodct-Sheet1"/>
      <sheetName val="Sumproduct_Across_multiple_shee"/>
      <sheetName val="Sumproduct_Across_multiple_s(3)"/>
      <sheetName val="Sumproduct_Across_multiple_s(4)"/>
      <sheetName val="Sumproduct_Across_multiple_s(5)"/>
      <sheetName val="Sumproduct_Across_multiple_s(6)"/>
      <sheetName val="sumproduct1-Sheet1"/>
      <sheetName val="Sumproduct2-Fruit"/>
      <sheetName val="Sumproduct2-Cars"/>
      <sheetName val="Sumproduct2-How Does This Work"/>
      <sheetName val="Sumproduct3-Sheet1"/>
      <sheetName val="sumproduct4-Sumproduct"/>
      <sheetName val="sumproduct4-Sumproduct 2"/>
      <sheetName val="sumproduct4-Simple"/>
      <sheetName val="sumproduct4-Date Range"/>
      <sheetName val="SUMPRODUCT5-Closing Price"/>
      <sheetName val="SUMPRODUCT5-Strategy"/>
      <sheetName val="SUMPRODUCT6-basic"/>
      <sheetName val="SUMPRODUCT6-COUNTIF vs SUMPRODU"/>
      <sheetName val="SUMPRODUCT6-SUMIFS vs SUMPRODUC"/>
      <sheetName val="SUMPRODUCT6-AVGIFS vs SUMPRODU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">
          <cell r="C1">
            <v>40909</v>
          </cell>
        </row>
        <row r="2">
          <cell r="C2">
            <v>40918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4">
          <cell r="C4" t="str">
            <v>Oranges</v>
          </cell>
          <cell r="D4" t="str">
            <v>Apples</v>
          </cell>
          <cell r="E4" t="str">
            <v>Bananas</v>
          </cell>
          <cell r="F4" t="str">
            <v>Grapes</v>
          </cell>
          <cell r="G4" t="str">
            <v>Melon</v>
          </cell>
          <cell r="H4" t="str">
            <v>Mango</v>
          </cell>
        </row>
        <row r="5">
          <cell r="B5">
            <v>40664</v>
          </cell>
          <cell r="C5">
            <v>33</v>
          </cell>
          <cell r="D5">
            <v>20</v>
          </cell>
          <cell r="E5">
            <v>38</v>
          </cell>
          <cell r="F5">
            <v>32</v>
          </cell>
          <cell r="G5">
            <v>25</v>
          </cell>
          <cell r="H5">
            <v>33</v>
          </cell>
        </row>
        <row r="6">
          <cell r="B6">
            <v>40665</v>
          </cell>
          <cell r="C6">
            <v>35</v>
          </cell>
          <cell r="D6">
            <v>43</v>
          </cell>
          <cell r="E6">
            <v>48</v>
          </cell>
          <cell r="F6">
            <v>47</v>
          </cell>
          <cell r="G6">
            <v>46</v>
          </cell>
          <cell r="H6">
            <v>46</v>
          </cell>
        </row>
        <row r="7">
          <cell r="B7">
            <v>40666</v>
          </cell>
          <cell r="C7">
            <v>42</v>
          </cell>
          <cell r="D7">
            <v>30</v>
          </cell>
          <cell r="E7">
            <v>29</v>
          </cell>
          <cell r="F7">
            <v>33</v>
          </cell>
          <cell r="G7">
            <v>30</v>
          </cell>
          <cell r="H7">
            <v>50</v>
          </cell>
        </row>
        <row r="8">
          <cell r="B8">
            <v>40667</v>
          </cell>
          <cell r="C8">
            <v>39</v>
          </cell>
          <cell r="D8">
            <v>42</v>
          </cell>
          <cell r="E8">
            <v>31</v>
          </cell>
          <cell r="F8">
            <v>39</v>
          </cell>
          <cell r="G8">
            <v>34</v>
          </cell>
          <cell r="H8">
            <v>38</v>
          </cell>
        </row>
        <row r="9">
          <cell r="B9">
            <v>40668</v>
          </cell>
          <cell r="C9">
            <v>28</v>
          </cell>
          <cell r="D9">
            <v>30</v>
          </cell>
          <cell r="E9">
            <v>42</v>
          </cell>
          <cell r="F9">
            <v>22</v>
          </cell>
          <cell r="G9">
            <v>23</v>
          </cell>
          <cell r="H9">
            <v>42</v>
          </cell>
        </row>
        <row r="10">
          <cell r="B10">
            <v>40669</v>
          </cell>
          <cell r="C10">
            <v>50</v>
          </cell>
          <cell r="D10">
            <v>25</v>
          </cell>
          <cell r="E10">
            <v>22</v>
          </cell>
          <cell r="F10">
            <v>23</v>
          </cell>
          <cell r="G10">
            <v>45</v>
          </cell>
          <cell r="H10">
            <v>37</v>
          </cell>
        </row>
        <row r="11">
          <cell r="B11">
            <v>40670</v>
          </cell>
          <cell r="C11">
            <v>24</v>
          </cell>
          <cell r="D11">
            <v>30</v>
          </cell>
          <cell r="E11">
            <v>36</v>
          </cell>
          <cell r="F11">
            <v>32</v>
          </cell>
          <cell r="G11">
            <v>27</v>
          </cell>
          <cell r="H11">
            <v>36</v>
          </cell>
        </row>
        <row r="12">
          <cell r="B12">
            <v>40671</v>
          </cell>
          <cell r="C12">
            <v>40</v>
          </cell>
          <cell r="D12">
            <v>49</v>
          </cell>
          <cell r="E12">
            <v>32</v>
          </cell>
          <cell r="F12">
            <v>47</v>
          </cell>
          <cell r="G12">
            <v>28</v>
          </cell>
          <cell r="H12">
            <v>39</v>
          </cell>
        </row>
        <row r="13">
          <cell r="B13">
            <v>40672</v>
          </cell>
          <cell r="C13">
            <v>33</v>
          </cell>
          <cell r="D13">
            <v>26</v>
          </cell>
          <cell r="E13">
            <v>42</v>
          </cell>
          <cell r="F13">
            <v>49</v>
          </cell>
          <cell r="G13">
            <v>40</v>
          </cell>
          <cell r="H13">
            <v>24</v>
          </cell>
        </row>
        <row r="14">
          <cell r="B14">
            <v>40673</v>
          </cell>
          <cell r="C14">
            <v>45</v>
          </cell>
          <cell r="D14">
            <v>27</v>
          </cell>
          <cell r="E14">
            <v>42</v>
          </cell>
          <cell r="F14">
            <v>20</v>
          </cell>
          <cell r="G14">
            <v>42</v>
          </cell>
          <cell r="H14">
            <v>27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3">
          <cell r="A3" t="str">
            <v>A</v>
          </cell>
          <cell r="B3">
            <v>111</v>
          </cell>
          <cell r="C3">
            <v>8268</v>
          </cell>
          <cell r="D3">
            <v>1</v>
          </cell>
        </row>
        <row r="4">
          <cell r="A4" t="str">
            <v>B</v>
          </cell>
          <cell r="B4">
            <v>222</v>
          </cell>
          <cell r="C4">
            <v>9876</v>
          </cell>
          <cell r="D4">
            <v>1</v>
          </cell>
        </row>
        <row r="5">
          <cell r="A5" t="str">
            <v>A</v>
          </cell>
          <cell r="B5">
            <v>111</v>
          </cell>
          <cell r="C5">
            <v>6353</v>
          </cell>
          <cell r="D5">
            <v>2</v>
          </cell>
        </row>
        <row r="6">
          <cell r="A6" t="str">
            <v>C</v>
          </cell>
          <cell r="B6">
            <v>333</v>
          </cell>
          <cell r="C6">
            <v>5192</v>
          </cell>
          <cell r="D6">
            <v>1</v>
          </cell>
        </row>
        <row r="7">
          <cell r="A7" t="str">
            <v>D</v>
          </cell>
          <cell r="B7">
            <v>444</v>
          </cell>
          <cell r="C7">
            <v>3001</v>
          </cell>
          <cell r="D7">
            <v>1</v>
          </cell>
        </row>
        <row r="8">
          <cell r="A8" t="str">
            <v>A</v>
          </cell>
          <cell r="B8">
            <v>222</v>
          </cell>
          <cell r="C8">
            <v>7692</v>
          </cell>
          <cell r="D8">
            <v>3</v>
          </cell>
        </row>
        <row r="9">
          <cell r="A9" t="str">
            <v>B</v>
          </cell>
          <cell r="B9">
            <v>555</v>
          </cell>
          <cell r="C9">
            <v>1191</v>
          </cell>
          <cell r="D9">
            <v>2</v>
          </cell>
        </row>
      </sheetData>
      <sheetData sheetId="27" refreshError="1"/>
      <sheetData sheetId="28" refreshError="1"/>
      <sheetData sheetId="2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57AF3-601A-400A-B68B-47255EB0FA03}">
  <dimension ref="A1:H30"/>
  <sheetViews>
    <sheetView workbookViewId="0">
      <selection activeCell="A27" sqref="A27"/>
    </sheetView>
  </sheetViews>
  <sheetFormatPr defaultRowHeight="14.4" x14ac:dyDescent="0.3"/>
  <cols>
    <col min="1" max="1" width="12.6640625" customWidth="1"/>
    <col min="2" max="2" width="10.6640625" customWidth="1"/>
    <col min="4" max="4" width="16.88671875" bestFit="1" customWidth="1"/>
    <col min="5" max="5" width="11.109375" customWidth="1"/>
    <col min="257" max="257" width="12.6640625" customWidth="1"/>
    <col min="258" max="258" width="10.6640625" customWidth="1"/>
    <col min="260" max="260" width="16.88671875" bestFit="1" customWidth="1"/>
    <col min="261" max="261" width="11.109375" customWidth="1"/>
    <col min="513" max="513" width="12.6640625" customWidth="1"/>
    <col min="514" max="514" width="10.6640625" customWidth="1"/>
    <col min="516" max="516" width="16.88671875" bestFit="1" customWidth="1"/>
    <col min="517" max="517" width="11.109375" customWidth="1"/>
    <col min="769" max="769" width="12.6640625" customWidth="1"/>
    <col min="770" max="770" width="10.6640625" customWidth="1"/>
    <col min="772" max="772" width="16.88671875" bestFit="1" customWidth="1"/>
    <col min="773" max="773" width="11.109375" customWidth="1"/>
    <col min="1025" max="1025" width="12.6640625" customWidth="1"/>
    <col min="1026" max="1026" width="10.6640625" customWidth="1"/>
    <col min="1028" max="1028" width="16.88671875" bestFit="1" customWidth="1"/>
    <col min="1029" max="1029" width="11.109375" customWidth="1"/>
    <col min="1281" max="1281" width="12.6640625" customWidth="1"/>
    <col min="1282" max="1282" width="10.6640625" customWidth="1"/>
    <col min="1284" max="1284" width="16.88671875" bestFit="1" customWidth="1"/>
    <col min="1285" max="1285" width="11.109375" customWidth="1"/>
    <col min="1537" max="1537" width="12.6640625" customWidth="1"/>
    <col min="1538" max="1538" width="10.6640625" customWidth="1"/>
    <col min="1540" max="1540" width="16.88671875" bestFit="1" customWidth="1"/>
    <col min="1541" max="1541" width="11.109375" customWidth="1"/>
    <col min="1793" max="1793" width="12.6640625" customWidth="1"/>
    <col min="1794" max="1794" width="10.6640625" customWidth="1"/>
    <col min="1796" max="1796" width="16.88671875" bestFit="1" customWidth="1"/>
    <col min="1797" max="1797" width="11.109375" customWidth="1"/>
    <col min="2049" max="2049" width="12.6640625" customWidth="1"/>
    <col min="2050" max="2050" width="10.6640625" customWidth="1"/>
    <col min="2052" max="2052" width="16.88671875" bestFit="1" customWidth="1"/>
    <col min="2053" max="2053" width="11.109375" customWidth="1"/>
    <col min="2305" max="2305" width="12.6640625" customWidth="1"/>
    <col min="2306" max="2306" width="10.6640625" customWidth="1"/>
    <col min="2308" max="2308" width="16.88671875" bestFit="1" customWidth="1"/>
    <col min="2309" max="2309" width="11.109375" customWidth="1"/>
    <col min="2561" max="2561" width="12.6640625" customWidth="1"/>
    <col min="2562" max="2562" width="10.6640625" customWidth="1"/>
    <col min="2564" max="2564" width="16.88671875" bestFit="1" customWidth="1"/>
    <col min="2565" max="2565" width="11.109375" customWidth="1"/>
    <col min="2817" max="2817" width="12.6640625" customWidth="1"/>
    <col min="2818" max="2818" width="10.6640625" customWidth="1"/>
    <col min="2820" max="2820" width="16.88671875" bestFit="1" customWidth="1"/>
    <col min="2821" max="2821" width="11.109375" customWidth="1"/>
    <col min="3073" max="3073" width="12.6640625" customWidth="1"/>
    <col min="3074" max="3074" width="10.6640625" customWidth="1"/>
    <col min="3076" max="3076" width="16.88671875" bestFit="1" customWidth="1"/>
    <col min="3077" max="3077" width="11.109375" customWidth="1"/>
    <col min="3329" max="3329" width="12.6640625" customWidth="1"/>
    <col min="3330" max="3330" width="10.6640625" customWidth="1"/>
    <col min="3332" max="3332" width="16.88671875" bestFit="1" customWidth="1"/>
    <col min="3333" max="3333" width="11.109375" customWidth="1"/>
    <col min="3585" max="3585" width="12.6640625" customWidth="1"/>
    <col min="3586" max="3586" width="10.6640625" customWidth="1"/>
    <col min="3588" max="3588" width="16.88671875" bestFit="1" customWidth="1"/>
    <col min="3589" max="3589" width="11.109375" customWidth="1"/>
    <col min="3841" max="3841" width="12.6640625" customWidth="1"/>
    <col min="3842" max="3842" width="10.6640625" customWidth="1"/>
    <col min="3844" max="3844" width="16.88671875" bestFit="1" customWidth="1"/>
    <col min="3845" max="3845" width="11.109375" customWidth="1"/>
    <col min="4097" max="4097" width="12.6640625" customWidth="1"/>
    <col min="4098" max="4098" width="10.6640625" customWidth="1"/>
    <col min="4100" max="4100" width="16.88671875" bestFit="1" customWidth="1"/>
    <col min="4101" max="4101" width="11.109375" customWidth="1"/>
    <col min="4353" max="4353" width="12.6640625" customWidth="1"/>
    <col min="4354" max="4354" width="10.6640625" customWidth="1"/>
    <col min="4356" max="4356" width="16.88671875" bestFit="1" customWidth="1"/>
    <col min="4357" max="4357" width="11.109375" customWidth="1"/>
    <col min="4609" max="4609" width="12.6640625" customWidth="1"/>
    <col min="4610" max="4610" width="10.6640625" customWidth="1"/>
    <col min="4612" max="4612" width="16.88671875" bestFit="1" customWidth="1"/>
    <col min="4613" max="4613" width="11.109375" customWidth="1"/>
    <col min="4865" max="4865" width="12.6640625" customWidth="1"/>
    <col min="4866" max="4866" width="10.6640625" customWidth="1"/>
    <col min="4868" max="4868" width="16.88671875" bestFit="1" customWidth="1"/>
    <col min="4869" max="4869" width="11.109375" customWidth="1"/>
    <col min="5121" max="5121" width="12.6640625" customWidth="1"/>
    <col min="5122" max="5122" width="10.6640625" customWidth="1"/>
    <col min="5124" max="5124" width="16.88671875" bestFit="1" customWidth="1"/>
    <col min="5125" max="5125" width="11.109375" customWidth="1"/>
    <col min="5377" max="5377" width="12.6640625" customWidth="1"/>
    <col min="5378" max="5378" width="10.6640625" customWidth="1"/>
    <col min="5380" max="5380" width="16.88671875" bestFit="1" customWidth="1"/>
    <col min="5381" max="5381" width="11.109375" customWidth="1"/>
    <col min="5633" max="5633" width="12.6640625" customWidth="1"/>
    <col min="5634" max="5634" width="10.6640625" customWidth="1"/>
    <col min="5636" max="5636" width="16.88671875" bestFit="1" customWidth="1"/>
    <col min="5637" max="5637" width="11.109375" customWidth="1"/>
    <col min="5889" max="5889" width="12.6640625" customWidth="1"/>
    <col min="5890" max="5890" width="10.6640625" customWidth="1"/>
    <col min="5892" max="5892" width="16.88671875" bestFit="1" customWidth="1"/>
    <col min="5893" max="5893" width="11.109375" customWidth="1"/>
    <col min="6145" max="6145" width="12.6640625" customWidth="1"/>
    <col min="6146" max="6146" width="10.6640625" customWidth="1"/>
    <col min="6148" max="6148" width="16.88671875" bestFit="1" customWidth="1"/>
    <col min="6149" max="6149" width="11.109375" customWidth="1"/>
    <col min="6401" max="6401" width="12.6640625" customWidth="1"/>
    <col min="6402" max="6402" width="10.6640625" customWidth="1"/>
    <col min="6404" max="6404" width="16.88671875" bestFit="1" customWidth="1"/>
    <col min="6405" max="6405" width="11.109375" customWidth="1"/>
    <col min="6657" max="6657" width="12.6640625" customWidth="1"/>
    <col min="6658" max="6658" width="10.6640625" customWidth="1"/>
    <col min="6660" max="6660" width="16.88671875" bestFit="1" customWidth="1"/>
    <col min="6661" max="6661" width="11.109375" customWidth="1"/>
    <col min="6913" max="6913" width="12.6640625" customWidth="1"/>
    <col min="6914" max="6914" width="10.6640625" customWidth="1"/>
    <col min="6916" max="6916" width="16.88671875" bestFit="1" customWidth="1"/>
    <col min="6917" max="6917" width="11.109375" customWidth="1"/>
    <col min="7169" max="7169" width="12.6640625" customWidth="1"/>
    <col min="7170" max="7170" width="10.6640625" customWidth="1"/>
    <col min="7172" max="7172" width="16.88671875" bestFit="1" customWidth="1"/>
    <col min="7173" max="7173" width="11.109375" customWidth="1"/>
    <col min="7425" max="7425" width="12.6640625" customWidth="1"/>
    <col min="7426" max="7426" width="10.6640625" customWidth="1"/>
    <col min="7428" max="7428" width="16.88671875" bestFit="1" customWidth="1"/>
    <col min="7429" max="7429" width="11.109375" customWidth="1"/>
    <col min="7681" max="7681" width="12.6640625" customWidth="1"/>
    <col min="7682" max="7682" width="10.6640625" customWidth="1"/>
    <col min="7684" max="7684" width="16.88671875" bestFit="1" customWidth="1"/>
    <col min="7685" max="7685" width="11.109375" customWidth="1"/>
    <col min="7937" max="7937" width="12.6640625" customWidth="1"/>
    <col min="7938" max="7938" width="10.6640625" customWidth="1"/>
    <col min="7940" max="7940" width="16.88671875" bestFit="1" customWidth="1"/>
    <col min="7941" max="7941" width="11.109375" customWidth="1"/>
    <col min="8193" max="8193" width="12.6640625" customWidth="1"/>
    <col min="8194" max="8194" width="10.6640625" customWidth="1"/>
    <col min="8196" max="8196" width="16.88671875" bestFit="1" customWidth="1"/>
    <col min="8197" max="8197" width="11.109375" customWidth="1"/>
    <col min="8449" max="8449" width="12.6640625" customWidth="1"/>
    <col min="8450" max="8450" width="10.6640625" customWidth="1"/>
    <col min="8452" max="8452" width="16.88671875" bestFit="1" customWidth="1"/>
    <col min="8453" max="8453" width="11.109375" customWidth="1"/>
    <col min="8705" max="8705" width="12.6640625" customWidth="1"/>
    <col min="8706" max="8706" width="10.6640625" customWidth="1"/>
    <col min="8708" max="8708" width="16.88671875" bestFit="1" customWidth="1"/>
    <col min="8709" max="8709" width="11.109375" customWidth="1"/>
    <col min="8961" max="8961" width="12.6640625" customWidth="1"/>
    <col min="8962" max="8962" width="10.6640625" customWidth="1"/>
    <col min="8964" max="8964" width="16.88671875" bestFit="1" customWidth="1"/>
    <col min="8965" max="8965" width="11.109375" customWidth="1"/>
    <col min="9217" max="9217" width="12.6640625" customWidth="1"/>
    <col min="9218" max="9218" width="10.6640625" customWidth="1"/>
    <col min="9220" max="9220" width="16.88671875" bestFit="1" customWidth="1"/>
    <col min="9221" max="9221" width="11.109375" customWidth="1"/>
    <col min="9473" max="9473" width="12.6640625" customWidth="1"/>
    <col min="9474" max="9474" width="10.6640625" customWidth="1"/>
    <col min="9476" max="9476" width="16.88671875" bestFit="1" customWidth="1"/>
    <col min="9477" max="9477" width="11.109375" customWidth="1"/>
    <col min="9729" max="9729" width="12.6640625" customWidth="1"/>
    <col min="9730" max="9730" width="10.6640625" customWidth="1"/>
    <col min="9732" max="9732" width="16.88671875" bestFit="1" customWidth="1"/>
    <col min="9733" max="9733" width="11.109375" customWidth="1"/>
    <col min="9985" max="9985" width="12.6640625" customWidth="1"/>
    <col min="9986" max="9986" width="10.6640625" customWidth="1"/>
    <col min="9988" max="9988" width="16.88671875" bestFit="1" customWidth="1"/>
    <col min="9989" max="9989" width="11.109375" customWidth="1"/>
    <col min="10241" max="10241" width="12.6640625" customWidth="1"/>
    <col min="10242" max="10242" width="10.6640625" customWidth="1"/>
    <col min="10244" max="10244" width="16.88671875" bestFit="1" customWidth="1"/>
    <col min="10245" max="10245" width="11.109375" customWidth="1"/>
    <col min="10497" max="10497" width="12.6640625" customWidth="1"/>
    <col min="10498" max="10498" width="10.6640625" customWidth="1"/>
    <col min="10500" max="10500" width="16.88671875" bestFit="1" customWidth="1"/>
    <col min="10501" max="10501" width="11.109375" customWidth="1"/>
    <col min="10753" max="10753" width="12.6640625" customWidth="1"/>
    <col min="10754" max="10754" width="10.6640625" customWidth="1"/>
    <col min="10756" max="10756" width="16.88671875" bestFit="1" customWidth="1"/>
    <col min="10757" max="10757" width="11.109375" customWidth="1"/>
    <col min="11009" max="11009" width="12.6640625" customWidth="1"/>
    <col min="11010" max="11010" width="10.6640625" customWidth="1"/>
    <col min="11012" max="11012" width="16.88671875" bestFit="1" customWidth="1"/>
    <col min="11013" max="11013" width="11.109375" customWidth="1"/>
    <col min="11265" max="11265" width="12.6640625" customWidth="1"/>
    <col min="11266" max="11266" width="10.6640625" customWidth="1"/>
    <col min="11268" max="11268" width="16.88671875" bestFit="1" customWidth="1"/>
    <col min="11269" max="11269" width="11.109375" customWidth="1"/>
    <col min="11521" max="11521" width="12.6640625" customWidth="1"/>
    <col min="11522" max="11522" width="10.6640625" customWidth="1"/>
    <col min="11524" max="11524" width="16.88671875" bestFit="1" customWidth="1"/>
    <col min="11525" max="11525" width="11.109375" customWidth="1"/>
    <col min="11777" max="11777" width="12.6640625" customWidth="1"/>
    <col min="11778" max="11778" width="10.6640625" customWidth="1"/>
    <col min="11780" max="11780" width="16.88671875" bestFit="1" customWidth="1"/>
    <col min="11781" max="11781" width="11.109375" customWidth="1"/>
    <col min="12033" max="12033" width="12.6640625" customWidth="1"/>
    <col min="12034" max="12034" width="10.6640625" customWidth="1"/>
    <col min="12036" max="12036" width="16.88671875" bestFit="1" customWidth="1"/>
    <col min="12037" max="12037" width="11.109375" customWidth="1"/>
    <col min="12289" max="12289" width="12.6640625" customWidth="1"/>
    <col min="12290" max="12290" width="10.6640625" customWidth="1"/>
    <col min="12292" max="12292" width="16.88671875" bestFit="1" customWidth="1"/>
    <col min="12293" max="12293" width="11.109375" customWidth="1"/>
    <col min="12545" max="12545" width="12.6640625" customWidth="1"/>
    <col min="12546" max="12546" width="10.6640625" customWidth="1"/>
    <col min="12548" max="12548" width="16.88671875" bestFit="1" customWidth="1"/>
    <col min="12549" max="12549" width="11.109375" customWidth="1"/>
    <col min="12801" max="12801" width="12.6640625" customWidth="1"/>
    <col min="12802" max="12802" width="10.6640625" customWidth="1"/>
    <col min="12804" max="12804" width="16.88671875" bestFit="1" customWidth="1"/>
    <col min="12805" max="12805" width="11.109375" customWidth="1"/>
    <col min="13057" max="13057" width="12.6640625" customWidth="1"/>
    <col min="13058" max="13058" width="10.6640625" customWidth="1"/>
    <col min="13060" max="13060" width="16.88671875" bestFit="1" customWidth="1"/>
    <col min="13061" max="13061" width="11.109375" customWidth="1"/>
    <col min="13313" max="13313" width="12.6640625" customWidth="1"/>
    <col min="13314" max="13314" width="10.6640625" customWidth="1"/>
    <col min="13316" max="13316" width="16.88671875" bestFit="1" customWidth="1"/>
    <col min="13317" max="13317" width="11.109375" customWidth="1"/>
    <col min="13569" max="13569" width="12.6640625" customWidth="1"/>
    <col min="13570" max="13570" width="10.6640625" customWidth="1"/>
    <col min="13572" max="13572" width="16.88671875" bestFit="1" customWidth="1"/>
    <col min="13573" max="13573" width="11.109375" customWidth="1"/>
    <col min="13825" max="13825" width="12.6640625" customWidth="1"/>
    <col min="13826" max="13826" width="10.6640625" customWidth="1"/>
    <col min="13828" max="13828" width="16.88671875" bestFit="1" customWidth="1"/>
    <col min="13829" max="13829" width="11.109375" customWidth="1"/>
    <col min="14081" max="14081" width="12.6640625" customWidth="1"/>
    <col min="14082" max="14082" width="10.6640625" customWidth="1"/>
    <col min="14084" max="14084" width="16.88671875" bestFit="1" customWidth="1"/>
    <col min="14085" max="14085" width="11.109375" customWidth="1"/>
    <col min="14337" max="14337" width="12.6640625" customWidth="1"/>
    <col min="14338" max="14338" width="10.6640625" customWidth="1"/>
    <col min="14340" max="14340" width="16.88671875" bestFit="1" customWidth="1"/>
    <col min="14341" max="14341" width="11.109375" customWidth="1"/>
    <col min="14593" max="14593" width="12.6640625" customWidth="1"/>
    <col min="14594" max="14594" width="10.6640625" customWidth="1"/>
    <col min="14596" max="14596" width="16.88671875" bestFit="1" customWidth="1"/>
    <col min="14597" max="14597" width="11.109375" customWidth="1"/>
    <col min="14849" max="14849" width="12.6640625" customWidth="1"/>
    <col min="14850" max="14850" width="10.6640625" customWidth="1"/>
    <col min="14852" max="14852" width="16.88671875" bestFit="1" customWidth="1"/>
    <col min="14853" max="14853" width="11.109375" customWidth="1"/>
    <col min="15105" max="15105" width="12.6640625" customWidth="1"/>
    <col min="15106" max="15106" width="10.6640625" customWidth="1"/>
    <col min="15108" max="15108" width="16.88671875" bestFit="1" customWidth="1"/>
    <col min="15109" max="15109" width="11.109375" customWidth="1"/>
    <col min="15361" max="15361" width="12.6640625" customWidth="1"/>
    <col min="15362" max="15362" width="10.6640625" customWidth="1"/>
    <col min="15364" max="15364" width="16.88671875" bestFit="1" customWidth="1"/>
    <col min="15365" max="15365" width="11.109375" customWidth="1"/>
    <col min="15617" max="15617" width="12.6640625" customWidth="1"/>
    <col min="15618" max="15618" width="10.6640625" customWidth="1"/>
    <col min="15620" max="15620" width="16.88671875" bestFit="1" customWidth="1"/>
    <col min="15621" max="15621" width="11.109375" customWidth="1"/>
    <col min="15873" max="15873" width="12.6640625" customWidth="1"/>
    <col min="15874" max="15874" width="10.6640625" customWidth="1"/>
    <col min="15876" max="15876" width="16.88671875" bestFit="1" customWidth="1"/>
    <col min="15877" max="15877" width="11.109375" customWidth="1"/>
    <col min="16129" max="16129" width="12.6640625" customWidth="1"/>
    <col min="16130" max="16130" width="10.6640625" customWidth="1"/>
    <col min="16132" max="16132" width="16.88671875" bestFit="1" customWidth="1"/>
    <col min="16133" max="16133" width="11.109375" customWidth="1"/>
  </cols>
  <sheetData>
    <row r="1" spans="1:8" x14ac:dyDescent="0.3">
      <c r="A1" s="6" t="s">
        <v>18</v>
      </c>
      <c r="B1" s="6" t="s">
        <v>19</v>
      </c>
      <c r="D1" s="7"/>
      <c r="E1" s="8"/>
      <c r="H1">
        <v>10</v>
      </c>
    </row>
    <row r="2" spans="1:8" x14ac:dyDescent="0.3">
      <c r="A2" s="9">
        <f ca="1">TODAY()</f>
        <v>46050</v>
      </c>
      <c r="B2" s="8">
        <v>87.196583765258183</v>
      </c>
      <c r="D2" s="7" t="s">
        <v>20</v>
      </c>
      <c r="E2" s="8">
        <f ca="1">SUMPRODUCT((A2:A30&lt;=TODAY())*(A2:A30&gt;=TODAY()-10)*(B2:B30))</f>
        <v>518.38065519175325</v>
      </c>
      <c r="G2">
        <f ca="1">SUMIF(A2:A30,"&gt;"&amp;LARGE(A2:A30,11),B2:B30)</f>
        <v>511.79469107668507</v>
      </c>
    </row>
    <row r="3" spans="1:8" x14ac:dyDescent="0.3">
      <c r="A3" s="9">
        <f ca="1">A2-1</f>
        <v>46049</v>
      </c>
      <c r="B3" s="8">
        <v>43.321598684617513</v>
      </c>
    </row>
    <row r="4" spans="1:8" x14ac:dyDescent="0.3">
      <c r="A4" s="9">
        <f t="shared" ref="A4:A30" ca="1" si="0">A3-1</f>
        <v>46048</v>
      </c>
      <c r="B4" s="8">
        <v>37.041184001122417</v>
      </c>
      <c r="D4" s="7"/>
      <c r="E4" cm="1">
        <f t="array" aca="1" ref="E4" ca="1">SUMPRODUCT($B$2:$B$30, --($A$2:$A$30&gt;LARGE(A2:A30,11)))</f>
        <v>511.79469107668507</v>
      </c>
    </row>
    <row r="5" spans="1:8" x14ac:dyDescent="0.3">
      <c r="A5" s="9">
        <f t="shared" ca="1" si="0"/>
        <v>46047</v>
      </c>
      <c r="B5" s="8">
        <v>67.600400156577138</v>
      </c>
      <c r="E5" s="9"/>
    </row>
    <row r="6" spans="1:8" x14ac:dyDescent="0.3">
      <c r="A6" s="9">
        <f t="shared" ca="1" si="0"/>
        <v>46046</v>
      </c>
      <c r="B6" s="8">
        <v>75.77346797780784</v>
      </c>
      <c r="E6" s="9"/>
    </row>
    <row r="7" spans="1:8" x14ac:dyDescent="0.3">
      <c r="A7" s="9">
        <f t="shared" ca="1" si="0"/>
        <v>46045</v>
      </c>
      <c r="B7" s="8">
        <v>41.081118617140611</v>
      </c>
      <c r="D7" s="7"/>
      <c r="E7" s="8"/>
    </row>
    <row r="8" spans="1:8" x14ac:dyDescent="0.3">
      <c r="A8" s="9">
        <f t="shared" ca="1" si="0"/>
        <v>46044</v>
      </c>
      <c r="B8" s="8">
        <v>8.6175551802880612</v>
      </c>
    </row>
    <row r="9" spans="1:8" x14ac:dyDescent="0.3">
      <c r="A9" s="9">
        <f t="shared" ca="1" si="0"/>
        <v>46043</v>
      </c>
      <c r="B9" s="8">
        <v>30.360536954307893</v>
      </c>
      <c r="E9" cm="1">
        <f t="array" aca="1" ref="E9" ca="1">SUM(VLOOKUP(LARGE($A$2:$A$30,_xlfn.SEQUENCE(H1)),$A$2:$B$30,2,0))</f>
        <v>511.79469107668507</v>
      </c>
    </row>
    <row r="10" spans="1:8" x14ac:dyDescent="0.3">
      <c r="A10" s="9">
        <f t="shared" ca="1" si="0"/>
        <v>46042</v>
      </c>
      <c r="B10" s="8">
        <v>66.397660138735233</v>
      </c>
    </row>
    <row r="11" spans="1:8" x14ac:dyDescent="0.3">
      <c r="A11" s="9">
        <f t="shared" ca="1" si="0"/>
        <v>46041</v>
      </c>
      <c r="B11" s="8">
        <v>54.404585600830217</v>
      </c>
      <c r="D11" s="10"/>
    </row>
    <row r="12" spans="1:8" x14ac:dyDescent="0.3">
      <c r="A12" s="9">
        <f t="shared" ca="1" si="0"/>
        <v>46040</v>
      </c>
      <c r="B12" s="8">
        <v>6.5859641150681547</v>
      </c>
    </row>
    <row r="13" spans="1:8" x14ac:dyDescent="0.3">
      <c r="A13" s="9">
        <f t="shared" ca="1" si="0"/>
        <v>46039</v>
      </c>
      <c r="B13" s="8">
        <v>16.141999658952777</v>
      </c>
      <c r="D13" s="10"/>
    </row>
    <row r="14" spans="1:8" x14ac:dyDescent="0.3">
      <c r="A14" s="9">
        <f t="shared" ca="1" si="0"/>
        <v>46038</v>
      </c>
      <c r="B14" s="8">
        <v>26.922314032810846</v>
      </c>
    </row>
    <row r="15" spans="1:8" x14ac:dyDescent="0.3">
      <c r="A15" s="9">
        <f t="shared" ca="1" si="0"/>
        <v>46037</v>
      </c>
      <c r="B15" s="8">
        <v>18.049241521529158</v>
      </c>
    </row>
    <row r="16" spans="1:8" x14ac:dyDescent="0.3">
      <c r="A16" s="9">
        <f t="shared" ca="1" si="0"/>
        <v>46036</v>
      </c>
      <c r="B16" s="8">
        <v>59.487365997087508</v>
      </c>
    </row>
    <row r="17" spans="1:2" x14ac:dyDescent="0.3">
      <c r="A17" s="9">
        <f t="shared" ca="1" si="0"/>
        <v>46035</v>
      </c>
      <c r="B17" s="8">
        <v>90.851651410512375</v>
      </c>
    </row>
    <row r="18" spans="1:2" x14ac:dyDescent="0.3">
      <c r="A18" s="9">
        <f t="shared" ca="1" si="0"/>
        <v>46034</v>
      </c>
      <c r="B18" s="8">
        <v>88.457376023576813</v>
      </c>
    </row>
    <row r="19" spans="1:2" x14ac:dyDescent="0.3">
      <c r="A19" s="9">
        <f t="shared" ca="1" si="0"/>
        <v>46033</v>
      </c>
      <c r="B19" s="8">
        <v>0.95761242954370829</v>
      </c>
    </row>
    <row r="20" spans="1:2" x14ac:dyDescent="0.3">
      <c r="A20" s="9">
        <f t="shared" ca="1" si="0"/>
        <v>46032</v>
      </c>
      <c r="B20" s="8">
        <v>41.290763214766478</v>
      </c>
    </row>
    <row r="21" spans="1:2" x14ac:dyDescent="0.3">
      <c r="A21" s="9">
        <f t="shared" ca="1" si="0"/>
        <v>46031</v>
      </c>
      <c r="B21" s="8">
        <v>91.508699812140762</v>
      </c>
    </row>
    <row r="22" spans="1:2" x14ac:dyDescent="0.3">
      <c r="A22" s="9">
        <f t="shared" ca="1" si="0"/>
        <v>46030</v>
      </c>
      <c r="B22" s="8">
        <v>52.113794035902082</v>
      </c>
    </row>
    <row r="23" spans="1:2" x14ac:dyDescent="0.3">
      <c r="A23" s="9">
        <f t="shared" ca="1" si="0"/>
        <v>46029</v>
      </c>
      <c r="B23" s="8">
        <v>90.433583956952916</v>
      </c>
    </row>
    <row r="24" spans="1:2" x14ac:dyDescent="0.3">
      <c r="A24" s="9">
        <f t="shared" ca="1" si="0"/>
        <v>46028</v>
      </c>
      <c r="B24" s="8">
        <v>30.843136222412504</v>
      </c>
    </row>
    <row r="25" spans="1:2" x14ac:dyDescent="0.3">
      <c r="A25" s="9">
        <f t="shared" ca="1" si="0"/>
        <v>46027</v>
      </c>
      <c r="B25" s="8">
        <v>70.533401712008896</v>
      </c>
    </row>
    <row r="26" spans="1:2" x14ac:dyDescent="0.3">
      <c r="A26" s="9">
        <f t="shared" ca="1" si="0"/>
        <v>46026</v>
      </c>
      <c r="B26" s="8">
        <v>81.718650801138267</v>
      </c>
    </row>
    <row r="27" spans="1:2" x14ac:dyDescent="0.3">
      <c r="A27" s="9">
        <f t="shared" ca="1" si="0"/>
        <v>46025</v>
      </c>
      <c r="B27" s="8">
        <v>7.4080394170754404</v>
      </c>
    </row>
    <row r="28" spans="1:2" x14ac:dyDescent="0.3">
      <c r="A28" s="9">
        <f t="shared" ca="1" si="0"/>
        <v>46024</v>
      </c>
      <c r="B28" s="8">
        <v>9.8988438553824665</v>
      </c>
    </row>
    <row r="29" spans="1:2" x14ac:dyDescent="0.3">
      <c r="A29" s="9">
        <f t="shared" ca="1" si="0"/>
        <v>46023</v>
      </c>
      <c r="B29" s="8">
        <v>78.528101135040231</v>
      </c>
    </row>
    <row r="30" spans="1:2" x14ac:dyDescent="0.3">
      <c r="A30" s="9">
        <f t="shared" ca="1" si="0"/>
        <v>46022</v>
      </c>
      <c r="B30" s="8">
        <v>47.234577665022506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2EA7D-7535-441E-A7B5-CBF86547DBD7}">
  <dimension ref="A1:G13"/>
  <sheetViews>
    <sheetView workbookViewId="0">
      <selection activeCell="F10" sqref="F10:F13"/>
    </sheetView>
  </sheetViews>
  <sheetFormatPr defaultRowHeight="14.4" x14ac:dyDescent="0.3"/>
  <cols>
    <col min="2" max="2" width="25.33203125" customWidth="1"/>
    <col min="4" max="4" width="25.44140625" bestFit="1" customWidth="1"/>
    <col min="5" max="5" width="8.5546875" bestFit="1" customWidth="1"/>
    <col min="6" max="6" width="17.44140625" bestFit="1" customWidth="1"/>
  </cols>
  <sheetData>
    <row r="1" spans="1:7" x14ac:dyDescent="0.3">
      <c r="A1" s="47" t="s">
        <v>12</v>
      </c>
      <c r="B1" s="47"/>
      <c r="C1" s="47"/>
      <c r="D1" s="47"/>
      <c r="E1" s="47"/>
    </row>
    <row r="2" spans="1:7" x14ac:dyDescent="0.3">
      <c r="A2" s="47"/>
      <c r="B2" s="47"/>
      <c r="C2" s="47"/>
      <c r="D2" s="47"/>
      <c r="E2" s="47"/>
    </row>
    <row r="3" spans="1:7" ht="16.8" x14ac:dyDescent="0.3">
      <c r="B3" s="1" t="s">
        <v>0</v>
      </c>
      <c r="D3" s="1" t="s">
        <v>17</v>
      </c>
    </row>
    <row r="4" spans="1:7" ht="16.8" x14ac:dyDescent="0.4">
      <c r="A4" s="2"/>
      <c r="B4" t="s">
        <v>13</v>
      </c>
      <c r="D4" t="str">
        <f>REPLACE(REPLACE(B4,1,FIND(" ",B4),""),FIND(" ",REPLACE(B4,1,FIND(" ",B4),"")),20,"")</f>
        <v>Karan</v>
      </c>
      <c r="E4" s="5" t="str" cm="1">
        <f t="array" ref="E4">_xlfn.CHOOSECOLS(_xlfn.TEXTSPLIT(B4," "),2)</f>
        <v>Karan</v>
      </c>
      <c r="F4" s="5"/>
      <c r="G4" t="str">
        <f>_xlfn.LET(_xlpm.a, FIND(" ", B4), MID(B4,_xlpm.a+1, FIND(" ", B4, _xlpm.a+1) - _xlpm.a))</f>
        <v xml:space="preserve">Karan </v>
      </c>
    </row>
    <row r="5" spans="1:7" ht="16.8" x14ac:dyDescent="0.4">
      <c r="A5" s="2"/>
      <c r="B5" t="s">
        <v>14</v>
      </c>
      <c r="D5" t="str">
        <f t="shared" ref="D5:D7" si="0">REPLACE(REPLACE(B5,1,FIND(" ",B5),""),FIND(" ",REPLACE(B5,1,FIND(" ",B5),"")),20,"")</f>
        <v>Karan</v>
      </c>
      <c r="E5" s="5" t="str" cm="1">
        <f t="array" ref="E5">_xlfn.CHOOSECOLS(_xlfn.TEXTSPLIT(B5," "),2)</f>
        <v>Karan</v>
      </c>
      <c r="G5" t="str">
        <f t="shared" ref="G5:G7" si="1">_xlfn.LET(_xlpm.a, FIND(" ", B5), MID(B5,_xlpm.a+1, FIND(" ", B5, _xlpm.a+1) - _xlpm.a))</f>
        <v xml:space="preserve">Karan </v>
      </c>
    </row>
    <row r="6" spans="1:7" ht="16.8" x14ac:dyDescent="0.4">
      <c r="A6" s="2"/>
      <c r="B6" t="s">
        <v>15</v>
      </c>
      <c r="D6" t="str">
        <f t="shared" si="0"/>
        <v>Aman</v>
      </c>
      <c r="E6" s="5" t="str" cm="1">
        <f t="array" ref="E6">_xlfn.CHOOSECOLS(_xlfn.TEXTSPLIT(B6," "),2)</f>
        <v>Aman</v>
      </c>
      <c r="G6" t="str">
        <f t="shared" si="1"/>
        <v xml:space="preserve">Aman </v>
      </c>
    </row>
    <row r="7" spans="1:7" ht="16.8" x14ac:dyDescent="0.4">
      <c r="A7" s="2"/>
      <c r="B7" t="s">
        <v>16</v>
      </c>
      <c r="D7" t="str">
        <f t="shared" si="0"/>
        <v>Mohan</v>
      </c>
      <c r="E7" s="5" t="str" cm="1">
        <f t="array" ref="E7">_xlfn.CHOOSECOLS(_xlfn.TEXTSPLIT(B7," "),2)</f>
        <v>Mohan</v>
      </c>
      <c r="G7" t="str">
        <f t="shared" si="1"/>
        <v xml:space="preserve">Mohan </v>
      </c>
    </row>
    <row r="10" spans="1:7" x14ac:dyDescent="0.3">
      <c r="D10" t="str" cm="1">
        <f t="array" ref="D10">_xlfn.CHOOSECOLS(_xlfn.TEXTSPLIT(B4," "),2)</f>
        <v>Karan</v>
      </c>
      <c r="F10" t="str">
        <f>_xlfn.LET(_xlpm.a,REPLACE(B4,1,FIND(" ",B4),""),LEFT(_xlpm.a,FIND(" ",_xlpm.a)-1))</f>
        <v>Karan</v>
      </c>
    </row>
    <row r="11" spans="1:7" x14ac:dyDescent="0.3">
      <c r="F11" t="str">
        <f t="shared" ref="F11:F13" si="2">_xlfn.LET(_xlpm.a,REPLACE(B5,1,FIND(" ",B5),""),LEFT(_xlpm.a,FIND(" ",_xlpm.a)-1))</f>
        <v>Karan</v>
      </c>
    </row>
    <row r="12" spans="1:7" x14ac:dyDescent="0.3">
      <c r="F12" t="str">
        <f t="shared" si="2"/>
        <v>Aman</v>
      </c>
    </row>
    <row r="13" spans="1:7" x14ac:dyDescent="0.3">
      <c r="F13" t="str">
        <f t="shared" si="2"/>
        <v>Mohan</v>
      </c>
    </row>
  </sheetData>
  <mergeCells count="1">
    <mergeCell ref="A1:E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DF73C-E883-4CD8-8A3D-72206D449731}">
  <dimension ref="B2:M18"/>
  <sheetViews>
    <sheetView workbookViewId="0">
      <selection activeCell="L6" sqref="L6:L18"/>
    </sheetView>
  </sheetViews>
  <sheetFormatPr defaultRowHeight="14.4" x14ac:dyDescent="0.3"/>
  <cols>
    <col min="1" max="1" width="4.33203125" customWidth="1"/>
    <col min="2" max="2" width="12.109375" style="4" bestFit="1" customWidth="1"/>
    <col min="3" max="3" width="14.109375" bestFit="1" customWidth="1"/>
    <col min="4" max="4" width="17.33203125" bestFit="1" customWidth="1"/>
    <col min="5" max="5" width="2.44140625" customWidth="1"/>
    <col min="6" max="6" width="21.88671875" bestFit="1" customWidth="1"/>
    <col min="7" max="7" width="11.6640625" style="3" customWidth="1"/>
    <col min="8" max="8" width="3.33203125" style="4" customWidth="1"/>
    <col min="9" max="9" width="23" bestFit="1" customWidth="1"/>
    <col min="257" max="257" width="4.33203125" customWidth="1"/>
    <col min="258" max="258" width="12.109375" bestFit="1" customWidth="1"/>
    <col min="259" max="259" width="14.109375" bestFit="1" customWidth="1"/>
    <col min="260" max="260" width="17.33203125" bestFit="1" customWidth="1"/>
    <col min="261" max="261" width="2.44140625" customWidth="1"/>
    <col min="262" max="262" width="21.88671875" bestFit="1" customWidth="1"/>
    <col min="263" max="263" width="11.6640625" customWidth="1"/>
    <col min="264" max="264" width="3.33203125" customWidth="1"/>
    <col min="265" max="265" width="23" bestFit="1" customWidth="1"/>
    <col min="513" max="513" width="4.33203125" customWidth="1"/>
    <col min="514" max="514" width="12.109375" bestFit="1" customWidth="1"/>
    <col min="515" max="515" width="14.109375" bestFit="1" customWidth="1"/>
    <col min="516" max="516" width="17.33203125" bestFit="1" customWidth="1"/>
    <col min="517" max="517" width="2.44140625" customWidth="1"/>
    <col min="518" max="518" width="21.88671875" bestFit="1" customWidth="1"/>
    <col min="519" max="519" width="11.6640625" customWidth="1"/>
    <col min="520" max="520" width="3.33203125" customWidth="1"/>
    <col min="521" max="521" width="23" bestFit="1" customWidth="1"/>
    <col min="769" max="769" width="4.33203125" customWidth="1"/>
    <col min="770" max="770" width="12.109375" bestFit="1" customWidth="1"/>
    <col min="771" max="771" width="14.109375" bestFit="1" customWidth="1"/>
    <col min="772" max="772" width="17.33203125" bestFit="1" customWidth="1"/>
    <col min="773" max="773" width="2.44140625" customWidth="1"/>
    <col min="774" max="774" width="21.88671875" bestFit="1" customWidth="1"/>
    <col min="775" max="775" width="11.6640625" customWidth="1"/>
    <col min="776" max="776" width="3.33203125" customWidth="1"/>
    <col min="777" max="777" width="23" bestFit="1" customWidth="1"/>
    <col min="1025" max="1025" width="4.33203125" customWidth="1"/>
    <col min="1026" max="1026" width="12.109375" bestFit="1" customWidth="1"/>
    <col min="1027" max="1027" width="14.109375" bestFit="1" customWidth="1"/>
    <col min="1028" max="1028" width="17.33203125" bestFit="1" customWidth="1"/>
    <col min="1029" max="1029" width="2.44140625" customWidth="1"/>
    <col min="1030" max="1030" width="21.88671875" bestFit="1" customWidth="1"/>
    <col min="1031" max="1031" width="11.6640625" customWidth="1"/>
    <col min="1032" max="1032" width="3.33203125" customWidth="1"/>
    <col min="1033" max="1033" width="23" bestFit="1" customWidth="1"/>
    <col min="1281" max="1281" width="4.33203125" customWidth="1"/>
    <col min="1282" max="1282" width="12.109375" bestFit="1" customWidth="1"/>
    <col min="1283" max="1283" width="14.109375" bestFit="1" customWidth="1"/>
    <col min="1284" max="1284" width="17.33203125" bestFit="1" customWidth="1"/>
    <col min="1285" max="1285" width="2.44140625" customWidth="1"/>
    <col min="1286" max="1286" width="21.88671875" bestFit="1" customWidth="1"/>
    <col min="1287" max="1287" width="11.6640625" customWidth="1"/>
    <col min="1288" max="1288" width="3.33203125" customWidth="1"/>
    <col min="1289" max="1289" width="23" bestFit="1" customWidth="1"/>
    <col min="1537" max="1537" width="4.33203125" customWidth="1"/>
    <col min="1538" max="1538" width="12.109375" bestFit="1" customWidth="1"/>
    <col min="1539" max="1539" width="14.109375" bestFit="1" customWidth="1"/>
    <col min="1540" max="1540" width="17.33203125" bestFit="1" customWidth="1"/>
    <col min="1541" max="1541" width="2.44140625" customWidth="1"/>
    <col min="1542" max="1542" width="21.88671875" bestFit="1" customWidth="1"/>
    <col min="1543" max="1543" width="11.6640625" customWidth="1"/>
    <col min="1544" max="1544" width="3.33203125" customWidth="1"/>
    <col min="1545" max="1545" width="23" bestFit="1" customWidth="1"/>
    <col min="1793" max="1793" width="4.33203125" customWidth="1"/>
    <col min="1794" max="1794" width="12.109375" bestFit="1" customWidth="1"/>
    <col min="1795" max="1795" width="14.109375" bestFit="1" customWidth="1"/>
    <col min="1796" max="1796" width="17.33203125" bestFit="1" customWidth="1"/>
    <col min="1797" max="1797" width="2.44140625" customWidth="1"/>
    <col min="1798" max="1798" width="21.88671875" bestFit="1" customWidth="1"/>
    <col min="1799" max="1799" width="11.6640625" customWidth="1"/>
    <col min="1800" max="1800" width="3.33203125" customWidth="1"/>
    <col min="1801" max="1801" width="23" bestFit="1" customWidth="1"/>
    <col min="2049" max="2049" width="4.33203125" customWidth="1"/>
    <col min="2050" max="2050" width="12.109375" bestFit="1" customWidth="1"/>
    <col min="2051" max="2051" width="14.109375" bestFit="1" customWidth="1"/>
    <col min="2052" max="2052" width="17.33203125" bestFit="1" customWidth="1"/>
    <col min="2053" max="2053" width="2.44140625" customWidth="1"/>
    <col min="2054" max="2054" width="21.88671875" bestFit="1" customWidth="1"/>
    <col min="2055" max="2055" width="11.6640625" customWidth="1"/>
    <col min="2056" max="2056" width="3.33203125" customWidth="1"/>
    <col min="2057" max="2057" width="23" bestFit="1" customWidth="1"/>
    <col min="2305" max="2305" width="4.33203125" customWidth="1"/>
    <col min="2306" max="2306" width="12.109375" bestFit="1" customWidth="1"/>
    <col min="2307" max="2307" width="14.109375" bestFit="1" customWidth="1"/>
    <col min="2308" max="2308" width="17.33203125" bestFit="1" customWidth="1"/>
    <col min="2309" max="2309" width="2.44140625" customWidth="1"/>
    <col min="2310" max="2310" width="21.88671875" bestFit="1" customWidth="1"/>
    <col min="2311" max="2311" width="11.6640625" customWidth="1"/>
    <col min="2312" max="2312" width="3.33203125" customWidth="1"/>
    <col min="2313" max="2313" width="23" bestFit="1" customWidth="1"/>
    <col min="2561" max="2561" width="4.33203125" customWidth="1"/>
    <col min="2562" max="2562" width="12.109375" bestFit="1" customWidth="1"/>
    <col min="2563" max="2563" width="14.109375" bestFit="1" customWidth="1"/>
    <col min="2564" max="2564" width="17.33203125" bestFit="1" customWidth="1"/>
    <col min="2565" max="2565" width="2.44140625" customWidth="1"/>
    <col min="2566" max="2566" width="21.88671875" bestFit="1" customWidth="1"/>
    <col min="2567" max="2567" width="11.6640625" customWidth="1"/>
    <col min="2568" max="2568" width="3.33203125" customWidth="1"/>
    <col min="2569" max="2569" width="23" bestFit="1" customWidth="1"/>
    <col min="2817" max="2817" width="4.33203125" customWidth="1"/>
    <col min="2818" max="2818" width="12.109375" bestFit="1" customWidth="1"/>
    <col min="2819" max="2819" width="14.109375" bestFit="1" customWidth="1"/>
    <col min="2820" max="2820" width="17.33203125" bestFit="1" customWidth="1"/>
    <col min="2821" max="2821" width="2.44140625" customWidth="1"/>
    <col min="2822" max="2822" width="21.88671875" bestFit="1" customWidth="1"/>
    <col min="2823" max="2823" width="11.6640625" customWidth="1"/>
    <col min="2824" max="2824" width="3.33203125" customWidth="1"/>
    <col min="2825" max="2825" width="23" bestFit="1" customWidth="1"/>
    <col min="3073" max="3073" width="4.33203125" customWidth="1"/>
    <col min="3074" max="3074" width="12.109375" bestFit="1" customWidth="1"/>
    <col min="3075" max="3075" width="14.109375" bestFit="1" customWidth="1"/>
    <col min="3076" max="3076" width="17.33203125" bestFit="1" customWidth="1"/>
    <col min="3077" max="3077" width="2.44140625" customWidth="1"/>
    <col min="3078" max="3078" width="21.88671875" bestFit="1" customWidth="1"/>
    <col min="3079" max="3079" width="11.6640625" customWidth="1"/>
    <col min="3080" max="3080" width="3.33203125" customWidth="1"/>
    <col min="3081" max="3081" width="23" bestFit="1" customWidth="1"/>
    <col min="3329" max="3329" width="4.33203125" customWidth="1"/>
    <col min="3330" max="3330" width="12.109375" bestFit="1" customWidth="1"/>
    <col min="3331" max="3331" width="14.109375" bestFit="1" customWidth="1"/>
    <col min="3332" max="3332" width="17.33203125" bestFit="1" customWidth="1"/>
    <col min="3333" max="3333" width="2.44140625" customWidth="1"/>
    <col min="3334" max="3334" width="21.88671875" bestFit="1" customWidth="1"/>
    <col min="3335" max="3335" width="11.6640625" customWidth="1"/>
    <col min="3336" max="3336" width="3.33203125" customWidth="1"/>
    <col min="3337" max="3337" width="23" bestFit="1" customWidth="1"/>
    <col min="3585" max="3585" width="4.33203125" customWidth="1"/>
    <col min="3586" max="3586" width="12.109375" bestFit="1" customWidth="1"/>
    <col min="3587" max="3587" width="14.109375" bestFit="1" customWidth="1"/>
    <col min="3588" max="3588" width="17.33203125" bestFit="1" customWidth="1"/>
    <col min="3589" max="3589" width="2.44140625" customWidth="1"/>
    <col min="3590" max="3590" width="21.88671875" bestFit="1" customWidth="1"/>
    <col min="3591" max="3591" width="11.6640625" customWidth="1"/>
    <col min="3592" max="3592" width="3.33203125" customWidth="1"/>
    <col min="3593" max="3593" width="23" bestFit="1" customWidth="1"/>
    <col min="3841" max="3841" width="4.33203125" customWidth="1"/>
    <col min="3842" max="3842" width="12.109375" bestFit="1" customWidth="1"/>
    <col min="3843" max="3843" width="14.109375" bestFit="1" customWidth="1"/>
    <col min="3844" max="3844" width="17.33203125" bestFit="1" customWidth="1"/>
    <col min="3845" max="3845" width="2.44140625" customWidth="1"/>
    <col min="3846" max="3846" width="21.88671875" bestFit="1" customWidth="1"/>
    <col min="3847" max="3847" width="11.6640625" customWidth="1"/>
    <col min="3848" max="3848" width="3.33203125" customWidth="1"/>
    <col min="3849" max="3849" width="23" bestFit="1" customWidth="1"/>
    <col min="4097" max="4097" width="4.33203125" customWidth="1"/>
    <col min="4098" max="4098" width="12.109375" bestFit="1" customWidth="1"/>
    <col min="4099" max="4099" width="14.109375" bestFit="1" customWidth="1"/>
    <col min="4100" max="4100" width="17.33203125" bestFit="1" customWidth="1"/>
    <col min="4101" max="4101" width="2.44140625" customWidth="1"/>
    <col min="4102" max="4102" width="21.88671875" bestFit="1" customWidth="1"/>
    <col min="4103" max="4103" width="11.6640625" customWidth="1"/>
    <col min="4104" max="4104" width="3.33203125" customWidth="1"/>
    <col min="4105" max="4105" width="23" bestFit="1" customWidth="1"/>
    <col min="4353" max="4353" width="4.33203125" customWidth="1"/>
    <col min="4354" max="4354" width="12.109375" bestFit="1" customWidth="1"/>
    <col min="4355" max="4355" width="14.109375" bestFit="1" customWidth="1"/>
    <col min="4356" max="4356" width="17.33203125" bestFit="1" customWidth="1"/>
    <col min="4357" max="4357" width="2.44140625" customWidth="1"/>
    <col min="4358" max="4358" width="21.88671875" bestFit="1" customWidth="1"/>
    <col min="4359" max="4359" width="11.6640625" customWidth="1"/>
    <col min="4360" max="4360" width="3.33203125" customWidth="1"/>
    <col min="4361" max="4361" width="23" bestFit="1" customWidth="1"/>
    <col min="4609" max="4609" width="4.33203125" customWidth="1"/>
    <col min="4610" max="4610" width="12.109375" bestFit="1" customWidth="1"/>
    <col min="4611" max="4611" width="14.109375" bestFit="1" customWidth="1"/>
    <col min="4612" max="4612" width="17.33203125" bestFit="1" customWidth="1"/>
    <col min="4613" max="4613" width="2.44140625" customWidth="1"/>
    <col min="4614" max="4614" width="21.88671875" bestFit="1" customWidth="1"/>
    <col min="4615" max="4615" width="11.6640625" customWidth="1"/>
    <col min="4616" max="4616" width="3.33203125" customWidth="1"/>
    <col min="4617" max="4617" width="23" bestFit="1" customWidth="1"/>
    <col min="4865" max="4865" width="4.33203125" customWidth="1"/>
    <col min="4866" max="4866" width="12.109375" bestFit="1" customWidth="1"/>
    <col min="4867" max="4867" width="14.109375" bestFit="1" customWidth="1"/>
    <col min="4868" max="4868" width="17.33203125" bestFit="1" customWidth="1"/>
    <col min="4869" max="4869" width="2.44140625" customWidth="1"/>
    <col min="4870" max="4870" width="21.88671875" bestFit="1" customWidth="1"/>
    <col min="4871" max="4871" width="11.6640625" customWidth="1"/>
    <col min="4872" max="4872" width="3.33203125" customWidth="1"/>
    <col min="4873" max="4873" width="23" bestFit="1" customWidth="1"/>
    <col min="5121" max="5121" width="4.33203125" customWidth="1"/>
    <col min="5122" max="5122" width="12.109375" bestFit="1" customWidth="1"/>
    <col min="5123" max="5123" width="14.109375" bestFit="1" customWidth="1"/>
    <col min="5124" max="5124" width="17.33203125" bestFit="1" customWidth="1"/>
    <col min="5125" max="5125" width="2.44140625" customWidth="1"/>
    <col min="5126" max="5126" width="21.88671875" bestFit="1" customWidth="1"/>
    <col min="5127" max="5127" width="11.6640625" customWidth="1"/>
    <col min="5128" max="5128" width="3.33203125" customWidth="1"/>
    <col min="5129" max="5129" width="23" bestFit="1" customWidth="1"/>
    <col min="5377" max="5377" width="4.33203125" customWidth="1"/>
    <col min="5378" max="5378" width="12.109375" bestFit="1" customWidth="1"/>
    <col min="5379" max="5379" width="14.109375" bestFit="1" customWidth="1"/>
    <col min="5380" max="5380" width="17.33203125" bestFit="1" customWidth="1"/>
    <col min="5381" max="5381" width="2.44140625" customWidth="1"/>
    <col min="5382" max="5382" width="21.88671875" bestFit="1" customWidth="1"/>
    <col min="5383" max="5383" width="11.6640625" customWidth="1"/>
    <col min="5384" max="5384" width="3.33203125" customWidth="1"/>
    <col min="5385" max="5385" width="23" bestFit="1" customWidth="1"/>
    <col min="5633" max="5633" width="4.33203125" customWidth="1"/>
    <col min="5634" max="5634" width="12.109375" bestFit="1" customWidth="1"/>
    <col min="5635" max="5635" width="14.109375" bestFit="1" customWidth="1"/>
    <col min="5636" max="5636" width="17.33203125" bestFit="1" customWidth="1"/>
    <col min="5637" max="5637" width="2.44140625" customWidth="1"/>
    <col min="5638" max="5638" width="21.88671875" bestFit="1" customWidth="1"/>
    <col min="5639" max="5639" width="11.6640625" customWidth="1"/>
    <col min="5640" max="5640" width="3.33203125" customWidth="1"/>
    <col min="5641" max="5641" width="23" bestFit="1" customWidth="1"/>
    <col min="5889" max="5889" width="4.33203125" customWidth="1"/>
    <col min="5890" max="5890" width="12.109375" bestFit="1" customWidth="1"/>
    <col min="5891" max="5891" width="14.109375" bestFit="1" customWidth="1"/>
    <col min="5892" max="5892" width="17.33203125" bestFit="1" customWidth="1"/>
    <col min="5893" max="5893" width="2.44140625" customWidth="1"/>
    <col min="5894" max="5894" width="21.88671875" bestFit="1" customWidth="1"/>
    <col min="5895" max="5895" width="11.6640625" customWidth="1"/>
    <col min="5896" max="5896" width="3.33203125" customWidth="1"/>
    <col min="5897" max="5897" width="23" bestFit="1" customWidth="1"/>
    <col min="6145" max="6145" width="4.33203125" customWidth="1"/>
    <col min="6146" max="6146" width="12.109375" bestFit="1" customWidth="1"/>
    <col min="6147" max="6147" width="14.109375" bestFit="1" customWidth="1"/>
    <col min="6148" max="6148" width="17.33203125" bestFit="1" customWidth="1"/>
    <col min="6149" max="6149" width="2.44140625" customWidth="1"/>
    <col min="6150" max="6150" width="21.88671875" bestFit="1" customWidth="1"/>
    <col min="6151" max="6151" width="11.6640625" customWidth="1"/>
    <col min="6152" max="6152" width="3.33203125" customWidth="1"/>
    <col min="6153" max="6153" width="23" bestFit="1" customWidth="1"/>
    <col min="6401" max="6401" width="4.33203125" customWidth="1"/>
    <col min="6402" max="6402" width="12.109375" bestFit="1" customWidth="1"/>
    <col min="6403" max="6403" width="14.109375" bestFit="1" customWidth="1"/>
    <col min="6404" max="6404" width="17.33203125" bestFit="1" customWidth="1"/>
    <col min="6405" max="6405" width="2.44140625" customWidth="1"/>
    <col min="6406" max="6406" width="21.88671875" bestFit="1" customWidth="1"/>
    <col min="6407" max="6407" width="11.6640625" customWidth="1"/>
    <col min="6408" max="6408" width="3.33203125" customWidth="1"/>
    <col min="6409" max="6409" width="23" bestFit="1" customWidth="1"/>
    <col min="6657" max="6657" width="4.33203125" customWidth="1"/>
    <col min="6658" max="6658" width="12.109375" bestFit="1" customWidth="1"/>
    <col min="6659" max="6659" width="14.109375" bestFit="1" customWidth="1"/>
    <col min="6660" max="6660" width="17.33203125" bestFit="1" customWidth="1"/>
    <col min="6661" max="6661" width="2.44140625" customWidth="1"/>
    <col min="6662" max="6662" width="21.88671875" bestFit="1" customWidth="1"/>
    <col min="6663" max="6663" width="11.6640625" customWidth="1"/>
    <col min="6664" max="6664" width="3.33203125" customWidth="1"/>
    <col min="6665" max="6665" width="23" bestFit="1" customWidth="1"/>
    <col min="6913" max="6913" width="4.33203125" customWidth="1"/>
    <col min="6914" max="6914" width="12.109375" bestFit="1" customWidth="1"/>
    <col min="6915" max="6915" width="14.109375" bestFit="1" customWidth="1"/>
    <col min="6916" max="6916" width="17.33203125" bestFit="1" customWidth="1"/>
    <col min="6917" max="6917" width="2.44140625" customWidth="1"/>
    <col min="6918" max="6918" width="21.88671875" bestFit="1" customWidth="1"/>
    <col min="6919" max="6919" width="11.6640625" customWidth="1"/>
    <col min="6920" max="6920" width="3.33203125" customWidth="1"/>
    <col min="6921" max="6921" width="23" bestFit="1" customWidth="1"/>
    <col min="7169" max="7169" width="4.33203125" customWidth="1"/>
    <col min="7170" max="7170" width="12.109375" bestFit="1" customWidth="1"/>
    <col min="7171" max="7171" width="14.109375" bestFit="1" customWidth="1"/>
    <col min="7172" max="7172" width="17.33203125" bestFit="1" customWidth="1"/>
    <col min="7173" max="7173" width="2.44140625" customWidth="1"/>
    <col min="7174" max="7174" width="21.88671875" bestFit="1" customWidth="1"/>
    <col min="7175" max="7175" width="11.6640625" customWidth="1"/>
    <col min="7176" max="7176" width="3.33203125" customWidth="1"/>
    <col min="7177" max="7177" width="23" bestFit="1" customWidth="1"/>
    <col min="7425" max="7425" width="4.33203125" customWidth="1"/>
    <col min="7426" max="7426" width="12.109375" bestFit="1" customWidth="1"/>
    <col min="7427" max="7427" width="14.109375" bestFit="1" customWidth="1"/>
    <col min="7428" max="7428" width="17.33203125" bestFit="1" customWidth="1"/>
    <col min="7429" max="7429" width="2.44140625" customWidth="1"/>
    <col min="7430" max="7430" width="21.88671875" bestFit="1" customWidth="1"/>
    <col min="7431" max="7431" width="11.6640625" customWidth="1"/>
    <col min="7432" max="7432" width="3.33203125" customWidth="1"/>
    <col min="7433" max="7433" width="23" bestFit="1" customWidth="1"/>
    <col min="7681" max="7681" width="4.33203125" customWidth="1"/>
    <col min="7682" max="7682" width="12.109375" bestFit="1" customWidth="1"/>
    <col min="7683" max="7683" width="14.109375" bestFit="1" customWidth="1"/>
    <col min="7684" max="7684" width="17.33203125" bestFit="1" customWidth="1"/>
    <col min="7685" max="7685" width="2.44140625" customWidth="1"/>
    <col min="7686" max="7686" width="21.88671875" bestFit="1" customWidth="1"/>
    <col min="7687" max="7687" width="11.6640625" customWidth="1"/>
    <col min="7688" max="7688" width="3.33203125" customWidth="1"/>
    <col min="7689" max="7689" width="23" bestFit="1" customWidth="1"/>
    <col min="7937" max="7937" width="4.33203125" customWidth="1"/>
    <col min="7938" max="7938" width="12.109375" bestFit="1" customWidth="1"/>
    <col min="7939" max="7939" width="14.109375" bestFit="1" customWidth="1"/>
    <col min="7940" max="7940" width="17.33203125" bestFit="1" customWidth="1"/>
    <col min="7941" max="7941" width="2.44140625" customWidth="1"/>
    <col min="7942" max="7942" width="21.88671875" bestFit="1" customWidth="1"/>
    <col min="7943" max="7943" width="11.6640625" customWidth="1"/>
    <col min="7944" max="7944" width="3.33203125" customWidth="1"/>
    <col min="7945" max="7945" width="23" bestFit="1" customWidth="1"/>
    <col min="8193" max="8193" width="4.33203125" customWidth="1"/>
    <col min="8194" max="8194" width="12.109375" bestFit="1" customWidth="1"/>
    <col min="8195" max="8195" width="14.109375" bestFit="1" customWidth="1"/>
    <col min="8196" max="8196" width="17.33203125" bestFit="1" customWidth="1"/>
    <col min="8197" max="8197" width="2.44140625" customWidth="1"/>
    <col min="8198" max="8198" width="21.88671875" bestFit="1" customWidth="1"/>
    <col min="8199" max="8199" width="11.6640625" customWidth="1"/>
    <col min="8200" max="8200" width="3.33203125" customWidth="1"/>
    <col min="8201" max="8201" width="23" bestFit="1" customWidth="1"/>
    <col min="8449" max="8449" width="4.33203125" customWidth="1"/>
    <col min="8450" max="8450" width="12.109375" bestFit="1" customWidth="1"/>
    <col min="8451" max="8451" width="14.109375" bestFit="1" customWidth="1"/>
    <col min="8452" max="8452" width="17.33203125" bestFit="1" customWidth="1"/>
    <col min="8453" max="8453" width="2.44140625" customWidth="1"/>
    <col min="8454" max="8454" width="21.88671875" bestFit="1" customWidth="1"/>
    <col min="8455" max="8455" width="11.6640625" customWidth="1"/>
    <col min="8456" max="8456" width="3.33203125" customWidth="1"/>
    <col min="8457" max="8457" width="23" bestFit="1" customWidth="1"/>
    <col min="8705" max="8705" width="4.33203125" customWidth="1"/>
    <col min="8706" max="8706" width="12.109375" bestFit="1" customWidth="1"/>
    <col min="8707" max="8707" width="14.109375" bestFit="1" customWidth="1"/>
    <col min="8708" max="8708" width="17.33203125" bestFit="1" customWidth="1"/>
    <col min="8709" max="8709" width="2.44140625" customWidth="1"/>
    <col min="8710" max="8710" width="21.88671875" bestFit="1" customWidth="1"/>
    <col min="8711" max="8711" width="11.6640625" customWidth="1"/>
    <col min="8712" max="8712" width="3.33203125" customWidth="1"/>
    <col min="8713" max="8713" width="23" bestFit="1" customWidth="1"/>
    <col min="8961" max="8961" width="4.33203125" customWidth="1"/>
    <col min="8962" max="8962" width="12.109375" bestFit="1" customWidth="1"/>
    <col min="8963" max="8963" width="14.109375" bestFit="1" customWidth="1"/>
    <col min="8964" max="8964" width="17.33203125" bestFit="1" customWidth="1"/>
    <col min="8965" max="8965" width="2.44140625" customWidth="1"/>
    <col min="8966" max="8966" width="21.88671875" bestFit="1" customWidth="1"/>
    <col min="8967" max="8967" width="11.6640625" customWidth="1"/>
    <col min="8968" max="8968" width="3.33203125" customWidth="1"/>
    <col min="8969" max="8969" width="23" bestFit="1" customWidth="1"/>
    <col min="9217" max="9217" width="4.33203125" customWidth="1"/>
    <col min="9218" max="9218" width="12.109375" bestFit="1" customWidth="1"/>
    <col min="9219" max="9219" width="14.109375" bestFit="1" customWidth="1"/>
    <col min="9220" max="9220" width="17.33203125" bestFit="1" customWidth="1"/>
    <col min="9221" max="9221" width="2.44140625" customWidth="1"/>
    <col min="9222" max="9222" width="21.88671875" bestFit="1" customWidth="1"/>
    <col min="9223" max="9223" width="11.6640625" customWidth="1"/>
    <col min="9224" max="9224" width="3.33203125" customWidth="1"/>
    <col min="9225" max="9225" width="23" bestFit="1" customWidth="1"/>
    <col min="9473" max="9473" width="4.33203125" customWidth="1"/>
    <col min="9474" max="9474" width="12.109375" bestFit="1" customWidth="1"/>
    <col min="9475" max="9475" width="14.109375" bestFit="1" customWidth="1"/>
    <col min="9476" max="9476" width="17.33203125" bestFit="1" customWidth="1"/>
    <col min="9477" max="9477" width="2.44140625" customWidth="1"/>
    <col min="9478" max="9478" width="21.88671875" bestFit="1" customWidth="1"/>
    <col min="9479" max="9479" width="11.6640625" customWidth="1"/>
    <col min="9480" max="9480" width="3.33203125" customWidth="1"/>
    <col min="9481" max="9481" width="23" bestFit="1" customWidth="1"/>
    <col min="9729" max="9729" width="4.33203125" customWidth="1"/>
    <col min="9730" max="9730" width="12.109375" bestFit="1" customWidth="1"/>
    <col min="9731" max="9731" width="14.109375" bestFit="1" customWidth="1"/>
    <col min="9732" max="9732" width="17.33203125" bestFit="1" customWidth="1"/>
    <col min="9733" max="9733" width="2.44140625" customWidth="1"/>
    <col min="9734" max="9734" width="21.88671875" bestFit="1" customWidth="1"/>
    <col min="9735" max="9735" width="11.6640625" customWidth="1"/>
    <col min="9736" max="9736" width="3.33203125" customWidth="1"/>
    <col min="9737" max="9737" width="23" bestFit="1" customWidth="1"/>
    <col min="9985" max="9985" width="4.33203125" customWidth="1"/>
    <col min="9986" max="9986" width="12.109375" bestFit="1" customWidth="1"/>
    <col min="9987" max="9987" width="14.109375" bestFit="1" customWidth="1"/>
    <col min="9988" max="9988" width="17.33203125" bestFit="1" customWidth="1"/>
    <col min="9989" max="9989" width="2.44140625" customWidth="1"/>
    <col min="9990" max="9990" width="21.88671875" bestFit="1" customWidth="1"/>
    <col min="9991" max="9991" width="11.6640625" customWidth="1"/>
    <col min="9992" max="9992" width="3.33203125" customWidth="1"/>
    <col min="9993" max="9993" width="23" bestFit="1" customWidth="1"/>
    <col min="10241" max="10241" width="4.33203125" customWidth="1"/>
    <col min="10242" max="10242" width="12.109375" bestFit="1" customWidth="1"/>
    <col min="10243" max="10243" width="14.109375" bestFit="1" customWidth="1"/>
    <col min="10244" max="10244" width="17.33203125" bestFit="1" customWidth="1"/>
    <col min="10245" max="10245" width="2.44140625" customWidth="1"/>
    <col min="10246" max="10246" width="21.88671875" bestFit="1" customWidth="1"/>
    <col min="10247" max="10247" width="11.6640625" customWidth="1"/>
    <col min="10248" max="10248" width="3.33203125" customWidth="1"/>
    <col min="10249" max="10249" width="23" bestFit="1" customWidth="1"/>
    <col min="10497" max="10497" width="4.33203125" customWidth="1"/>
    <col min="10498" max="10498" width="12.109375" bestFit="1" customWidth="1"/>
    <col min="10499" max="10499" width="14.109375" bestFit="1" customWidth="1"/>
    <col min="10500" max="10500" width="17.33203125" bestFit="1" customWidth="1"/>
    <col min="10501" max="10501" width="2.44140625" customWidth="1"/>
    <col min="10502" max="10502" width="21.88671875" bestFit="1" customWidth="1"/>
    <col min="10503" max="10503" width="11.6640625" customWidth="1"/>
    <col min="10504" max="10504" width="3.33203125" customWidth="1"/>
    <col min="10505" max="10505" width="23" bestFit="1" customWidth="1"/>
    <col min="10753" max="10753" width="4.33203125" customWidth="1"/>
    <col min="10754" max="10754" width="12.109375" bestFit="1" customWidth="1"/>
    <col min="10755" max="10755" width="14.109375" bestFit="1" customWidth="1"/>
    <col min="10756" max="10756" width="17.33203125" bestFit="1" customWidth="1"/>
    <col min="10757" max="10757" width="2.44140625" customWidth="1"/>
    <col min="10758" max="10758" width="21.88671875" bestFit="1" customWidth="1"/>
    <col min="10759" max="10759" width="11.6640625" customWidth="1"/>
    <col min="10760" max="10760" width="3.33203125" customWidth="1"/>
    <col min="10761" max="10761" width="23" bestFit="1" customWidth="1"/>
    <col min="11009" max="11009" width="4.33203125" customWidth="1"/>
    <col min="11010" max="11010" width="12.109375" bestFit="1" customWidth="1"/>
    <col min="11011" max="11011" width="14.109375" bestFit="1" customWidth="1"/>
    <col min="11012" max="11012" width="17.33203125" bestFit="1" customWidth="1"/>
    <col min="11013" max="11013" width="2.44140625" customWidth="1"/>
    <col min="11014" max="11014" width="21.88671875" bestFit="1" customWidth="1"/>
    <col min="11015" max="11015" width="11.6640625" customWidth="1"/>
    <col min="11016" max="11016" width="3.33203125" customWidth="1"/>
    <col min="11017" max="11017" width="23" bestFit="1" customWidth="1"/>
    <col min="11265" max="11265" width="4.33203125" customWidth="1"/>
    <col min="11266" max="11266" width="12.109375" bestFit="1" customWidth="1"/>
    <col min="11267" max="11267" width="14.109375" bestFit="1" customWidth="1"/>
    <col min="11268" max="11268" width="17.33203125" bestFit="1" customWidth="1"/>
    <col min="11269" max="11269" width="2.44140625" customWidth="1"/>
    <col min="11270" max="11270" width="21.88671875" bestFit="1" customWidth="1"/>
    <col min="11271" max="11271" width="11.6640625" customWidth="1"/>
    <col min="11272" max="11272" width="3.33203125" customWidth="1"/>
    <col min="11273" max="11273" width="23" bestFit="1" customWidth="1"/>
    <col min="11521" max="11521" width="4.33203125" customWidth="1"/>
    <col min="11522" max="11522" width="12.109375" bestFit="1" customWidth="1"/>
    <col min="11523" max="11523" width="14.109375" bestFit="1" customWidth="1"/>
    <col min="11524" max="11524" width="17.33203125" bestFit="1" customWidth="1"/>
    <col min="11525" max="11525" width="2.44140625" customWidth="1"/>
    <col min="11526" max="11526" width="21.88671875" bestFit="1" customWidth="1"/>
    <col min="11527" max="11527" width="11.6640625" customWidth="1"/>
    <col min="11528" max="11528" width="3.33203125" customWidth="1"/>
    <col min="11529" max="11529" width="23" bestFit="1" customWidth="1"/>
    <col min="11777" max="11777" width="4.33203125" customWidth="1"/>
    <col min="11778" max="11778" width="12.109375" bestFit="1" customWidth="1"/>
    <col min="11779" max="11779" width="14.109375" bestFit="1" customWidth="1"/>
    <col min="11780" max="11780" width="17.33203125" bestFit="1" customWidth="1"/>
    <col min="11781" max="11781" width="2.44140625" customWidth="1"/>
    <col min="11782" max="11782" width="21.88671875" bestFit="1" customWidth="1"/>
    <col min="11783" max="11783" width="11.6640625" customWidth="1"/>
    <col min="11784" max="11784" width="3.33203125" customWidth="1"/>
    <col min="11785" max="11785" width="23" bestFit="1" customWidth="1"/>
    <col min="12033" max="12033" width="4.33203125" customWidth="1"/>
    <col min="12034" max="12034" width="12.109375" bestFit="1" customWidth="1"/>
    <col min="12035" max="12035" width="14.109375" bestFit="1" customWidth="1"/>
    <col min="12036" max="12036" width="17.33203125" bestFit="1" customWidth="1"/>
    <col min="12037" max="12037" width="2.44140625" customWidth="1"/>
    <col min="12038" max="12038" width="21.88671875" bestFit="1" customWidth="1"/>
    <col min="12039" max="12039" width="11.6640625" customWidth="1"/>
    <col min="12040" max="12040" width="3.33203125" customWidth="1"/>
    <col min="12041" max="12041" width="23" bestFit="1" customWidth="1"/>
    <col min="12289" max="12289" width="4.33203125" customWidth="1"/>
    <col min="12290" max="12290" width="12.109375" bestFit="1" customWidth="1"/>
    <col min="12291" max="12291" width="14.109375" bestFit="1" customWidth="1"/>
    <col min="12292" max="12292" width="17.33203125" bestFit="1" customWidth="1"/>
    <col min="12293" max="12293" width="2.44140625" customWidth="1"/>
    <col min="12294" max="12294" width="21.88671875" bestFit="1" customWidth="1"/>
    <col min="12295" max="12295" width="11.6640625" customWidth="1"/>
    <col min="12296" max="12296" width="3.33203125" customWidth="1"/>
    <col min="12297" max="12297" width="23" bestFit="1" customWidth="1"/>
    <col min="12545" max="12545" width="4.33203125" customWidth="1"/>
    <col min="12546" max="12546" width="12.109375" bestFit="1" customWidth="1"/>
    <col min="12547" max="12547" width="14.109375" bestFit="1" customWidth="1"/>
    <col min="12548" max="12548" width="17.33203125" bestFit="1" customWidth="1"/>
    <col min="12549" max="12549" width="2.44140625" customWidth="1"/>
    <col min="12550" max="12550" width="21.88671875" bestFit="1" customWidth="1"/>
    <col min="12551" max="12551" width="11.6640625" customWidth="1"/>
    <col min="12552" max="12552" width="3.33203125" customWidth="1"/>
    <col min="12553" max="12553" width="23" bestFit="1" customWidth="1"/>
    <col min="12801" max="12801" width="4.33203125" customWidth="1"/>
    <col min="12802" max="12802" width="12.109375" bestFit="1" customWidth="1"/>
    <col min="12803" max="12803" width="14.109375" bestFit="1" customWidth="1"/>
    <col min="12804" max="12804" width="17.33203125" bestFit="1" customWidth="1"/>
    <col min="12805" max="12805" width="2.44140625" customWidth="1"/>
    <col min="12806" max="12806" width="21.88671875" bestFit="1" customWidth="1"/>
    <col min="12807" max="12807" width="11.6640625" customWidth="1"/>
    <col min="12808" max="12808" width="3.33203125" customWidth="1"/>
    <col min="12809" max="12809" width="23" bestFit="1" customWidth="1"/>
    <col min="13057" max="13057" width="4.33203125" customWidth="1"/>
    <col min="13058" max="13058" width="12.109375" bestFit="1" customWidth="1"/>
    <col min="13059" max="13059" width="14.109375" bestFit="1" customWidth="1"/>
    <col min="13060" max="13060" width="17.33203125" bestFit="1" customWidth="1"/>
    <col min="13061" max="13061" width="2.44140625" customWidth="1"/>
    <col min="13062" max="13062" width="21.88671875" bestFit="1" customWidth="1"/>
    <col min="13063" max="13063" width="11.6640625" customWidth="1"/>
    <col min="13064" max="13064" width="3.33203125" customWidth="1"/>
    <col min="13065" max="13065" width="23" bestFit="1" customWidth="1"/>
    <col min="13313" max="13313" width="4.33203125" customWidth="1"/>
    <col min="13314" max="13314" width="12.109375" bestFit="1" customWidth="1"/>
    <col min="13315" max="13315" width="14.109375" bestFit="1" customWidth="1"/>
    <col min="13316" max="13316" width="17.33203125" bestFit="1" customWidth="1"/>
    <col min="13317" max="13317" width="2.44140625" customWidth="1"/>
    <col min="13318" max="13318" width="21.88671875" bestFit="1" customWidth="1"/>
    <col min="13319" max="13319" width="11.6640625" customWidth="1"/>
    <col min="13320" max="13320" width="3.33203125" customWidth="1"/>
    <col min="13321" max="13321" width="23" bestFit="1" customWidth="1"/>
    <col min="13569" max="13569" width="4.33203125" customWidth="1"/>
    <col min="13570" max="13570" width="12.109375" bestFit="1" customWidth="1"/>
    <col min="13571" max="13571" width="14.109375" bestFit="1" customWidth="1"/>
    <col min="13572" max="13572" width="17.33203125" bestFit="1" customWidth="1"/>
    <col min="13573" max="13573" width="2.44140625" customWidth="1"/>
    <col min="13574" max="13574" width="21.88671875" bestFit="1" customWidth="1"/>
    <col min="13575" max="13575" width="11.6640625" customWidth="1"/>
    <col min="13576" max="13576" width="3.33203125" customWidth="1"/>
    <col min="13577" max="13577" width="23" bestFit="1" customWidth="1"/>
    <col min="13825" max="13825" width="4.33203125" customWidth="1"/>
    <col min="13826" max="13826" width="12.109375" bestFit="1" customWidth="1"/>
    <col min="13827" max="13827" width="14.109375" bestFit="1" customWidth="1"/>
    <col min="13828" max="13828" width="17.33203125" bestFit="1" customWidth="1"/>
    <col min="13829" max="13829" width="2.44140625" customWidth="1"/>
    <col min="13830" max="13830" width="21.88671875" bestFit="1" customWidth="1"/>
    <col min="13831" max="13831" width="11.6640625" customWidth="1"/>
    <col min="13832" max="13832" width="3.33203125" customWidth="1"/>
    <col min="13833" max="13833" width="23" bestFit="1" customWidth="1"/>
    <col min="14081" max="14081" width="4.33203125" customWidth="1"/>
    <col min="14082" max="14082" width="12.109375" bestFit="1" customWidth="1"/>
    <col min="14083" max="14083" width="14.109375" bestFit="1" customWidth="1"/>
    <col min="14084" max="14084" width="17.33203125" bestFit="1" customWidth="1"/>
    <col min="14085" max="14085" width="2.44140625" customWidth="1"/>
    <col min="14086" max="14086" width="21.88671875" bestFit="1" customWidth="1"/>
    <col min="14087" max="14087" width="11.6640625" customWidth="1"/>
    <col min="14088" max="14088" width="3.33203125" customWidth="1"/>
    <col min="14089" max="14089" width="23" bestFit="1" customWidth="1"/>
    <col min="14337" max="14337" width="4.33203125" customWidth="1"/>
    <col min="14338" max="14338" width="12.109375" bestFit="1" customWidth="1"/>
    <col min="14339" max="14339" width="14.109375" bestFit="1" customWidth="1"/>
    <col min="14340" max="14340" width="17.33203125" bestFit="1" customWidth="1"/>
    <col min="14341" max="14341" width="2.44140625" customWidth="1"/>
    <col min="14342" max="14342" width="21.88671875" bestFit="1" customWidth="1"/>
    <col min="14343" max="14343" width="11.6640625" customWidth="1"/>
    <col min="14344" max="14344" width="3.33203125" customWidth="1"/>
    <col min="14345" max="14345" width="23" bestFit="1" customWidth="1"/>
    <col min="14593" max="14593" width="4.33203125" customWidth="1"/>
    <col min="14594" max="14594" width="12.109375" bestFit="1" customWidth="1"/>
    <col min="14595" max="14595" width="14.109375" bestFit="1" customWidth="1"/>
    <col min="14596" max="14596" width="17.33203125" bestFit="1" customWidth="1"/>
    <col min="14597" max="14597" width="2.44140625" customWidth="1"/>
    <col min="14598" max="14598" width="21.88671875" bestFit="1" customWidth="1"/>
    <col min="14599" max="14599" width="11.6640625" customWidth="1"/>
    <col min="14600" max="14600" width="3.33203125" customWidth="1"/>
    <col min="14601" max="14601" width="23" bestFit="1" customWidth="1"/>
    <col min="14849" max="14849" width="4.33203125" customWidth="1"/>
    <col min="14850" max="14850" width="12.109375" bestFit="1" customWidth="1"/>
    <col min="14851" max="14851" width="14.109375" bestFit="1" customWidth="1"/>
    <col min="14852" max="14852" width="17.33203125" bestFit="1" customWidth="1"/>
    <col min="14853" max="14853" width="2.44140625" customWidth="1"/>
    <col min="14854" max="14854" width="21.88671875" bestFit="1" customWidth="1"/>
    <col min="14855" max="14855" width="11.6640625" customWidth="1"/>
    <col min="14856" max="14856" width="3.33203125" customWidth="1"/>
    <col min="14857" max="14857" width="23" bestFit="1" customWidth="1"/>
    <col min="15105" max="15105" width="4.33203125" customWidth="1"/>
    <col min="15106" max="15106" width="12.109375" bestFit="1" customWidth="1"/>
    <col min="15107" max="15107" width="14.109375" bestFit="1" customWidth="1"/>
    <col min="15108" max="15108" width="17.33203125" bestFit="1" customWidth="1"/>
    <col min="15109" max="15109" width="2.44140625" customWidth="1"/>
    <col min="15110" max="15110" width="21.88671875" bestFit="1" customWidth="1"/>
    <col min="15111" max="15111" width="11.6640625" customWidth="1"/>
    <col min="15112" max="15112" width="3.33203125" customWidth="1"/>
    <col min="15113" max="15113" width="23" bestFit="1" customWidth="1"/>
    <col min="15361" max="15361" width="4.33203125" customWidth="1"/>
    <col min="15362" max="15362" width="12.109375" bestFit="1" customWidth="1"/>
    <col min="15363" max="15363" width="14.109375" bestFit="1" customWidth="1"/>
    <col min="15364" max="15364" width="17.33203125" bestFit="1" customWidth="1"/>
    <col min="15365" max="15365" width="2.44140625" customWidth="1"/>
    <col min="15366" max="15366" width="21.88671875" bestFit="1" customWidth="1"/>
    <col min="15367" max="15367" width="11.6640625" customWidth="1"/>
    <col min="15368" max="15368" width="3.33203125" customWidth="1"/>
    <col min="15369" max="15369" width="23" bestFit="1" customWidth="1"/>
    <col min="15617" max="15617" width="4.33203125" customWidth="1"/>
    <col min="15618" max="15618" width="12.109375" bestFit="1" customWidth="1"/>
    <col min="15619" max="15619" width="14.109375" bestFit="1" customWidth="1"/>
    <col min="15620" max="15620" width="17.33203125" bestFit="1" customWidth="1"/>
    <col min="15621" max="15621" width="2.44140625" customWidth="1"/>
    <col min="15622" max="15622" width="21.88671875" bestFit="1" customWidth="1"/>
    <col min="15623" max="15623" width="11.6640625" customWidth="1"/>
    <col min="15624" max="15624" width="3.33203125" customWidth="1"/>
    <col min="15625" max="15625" width="23" bestFit="1" customWidth="1"/>
    <col min="15873" max="15873" width="4.33203125" customWidth="1"/>
    <col min="15874" max="15874" width="12.109375" bestFit="1" customWidth="1"/>
    <col min="15875" max="15875" width="14.109375" bestFit="1" customWidth="1"/>
    <col min="15876" max="15876" width="17.33203125" bestFit="1" customWidth="1"/>
    <col min="15877" max="15877" width="2.44140625" customWidth="1"/>
    <col min="15878" max="15878" width="21.88671875" bestFit="1" customWidth="1"/>
    <col min="15879" max="15879" width="11.6640625" customWidth="1"/>
    <col min="15880" max="15880" width="3.33203125" customWidth="1"/>
    <col min="15881" max="15881" width="23" bestFit="1" customWidth="1"/>
    <col min="16129" max="16129" width="4.33203125" customWidth="1"/>
    <col min="16130" max="16130" width="12.109375" bestFit="1" customWidth="1"/>
    <col min="16131" max="16131" width="14.109375" bestFit="1" customWidth="1"/>
    <col min="16132" max="16132" width="17.33203125" bestFit="1" customWidth="1"/>
    <col min="16133" max="16133" width="2.44140625" customWidth="1"/>
    <col min="16134" max="16134" width="21.88671875" bestFit="1" customWidth="1"/>
    <col min="16135" max="16135" width="11.6640625" customWidth="1"/>
    <col min="16136" max="16136" width="3.33203125" customWidth="1"/>
    <col min="16137" max="16137" width="23" bestFit="1" customWidth="1"/>
  </cols>
  <sheetData>
    <row r="2" spans="2:13" s="18" customFormat="1" ht="20.25" customHeight="1" x14ac:dyDescent="0.4">
      <c r="B2" s="40" t="s">
        <v>66</v>
      </c>
      <c r="C2" s="19"/>
      <c r="D2" s="19"/>
      <c r="E2" s="19"/>
      <c r="F2" s="19"/>
      <c r="G2" s="19"/>
      <c r="H2" s="20"/>
    </row>
    <row r="4" spans="2:13" x14ac:dyDescent="0.3">
      <c r="B4" s="21"/>
      <c r="C4" s="22" t="s">
        <v>60</v>
      </c>
      <c r="D4" s="45">
        <v>50</v>
      </c>
      <c r="F4" s="5" t="s">
        <v>61</v>
      </c>
    </row>
    <row r="5" spans="2:13" x14ac:dyDescent="0.3">
      <c r="B5" s="23" t="s">
        <v>80</v>
      </c>
      <c r="C5" s="24" t="s">
        <v>62</v>
      </c>
      <c r="D5" s="25" t="s">
        <v>63</v>
      </c>
      <c r="F5" s="26" t="s">
        <v>64</v>
      </c>
      <c r="G5" s="26" t="s">
        <v>65</v>
      </c>
      <c r="H5"/>
    </row>
    <row r="6" spans="2:13" x14ac:dyDescent="0.3">
      <c r="B6" s="27" t="s">
        <v>67</v>
      </c>
      <c r="C6" s="28">
        <v>26</v>
      </c>
      <c r="D6" s="29">
        <f>(1-INDEX($G$6:$G$11,COUNTIF($F$6:$F$11,"&lt;"&amp;C6)+1))*$D$4*C6</f>
        <v>650</v>
      </c>
      <c r="F6" s="30">
        <v>1</v>
      </c>
      <c r="G6" s="31">
        <v>0</v>
      </c>
      <c r="H6"/>
      <c r="I6" cm="1">
        <f t="array" ref="I6">(C6*$D$4)-((C6*$D$4)*(INDEX($G$6:$G$11,COUNTIF($F$6:$F$11,"&lt;"&amp;C6)+1)))</f>
        <v>650</v>
      </c>
      <c r="J6" s="32"/>
      <c r="K6" s="46"/>
      <c r="L6" s="46" cm="1">
        <f t="array" ref="L6">(C6*$D$4)*(1-INDEX($G$6:$G$11,MIN(COUNT($F$6:$F$11),MATCH(C6,$F$6:$F$11,1)+1)))</f>
        <v>650</v>
      </c>
      <c r="M6" s="33"/>
    </row>
    <row r="7" spans="2:13" x14ac:dyDescent="0.3">
      <c r="B7" s="34" t="s">
        <v>68</v>
      </c>
      <c r="C7" s="35">
        <v>45</v>
      </c>
      <c r="D7" s="36">
        <f t="shared" ref="D7:D18" si="0">(1-INDEX($G$6:$G$11,COUNTIF($F$6:$F$11,"&lt;"&amp;C7)+1))*$D$4*C7</f>
        <v>1125</v>
      </c>
      <c r="F7" s="30">
        <v>3</v>
      </c>
      <c r="G7" s="31">
        <v>0.1</v>
      </c>
      <c r="H7"/>
      <c r="I7" cm="1">
        <f t="array" ref="I7">(C7*$D$4)-((C7*$D$4)*(INDEX($G$6:$G$11,COUNTIF($F$6:$F$11,"&lt;"&amp;C7)+1)))</f>
        <v>1125</v>
      </c>
      <c r="J7" s="32"/>
      <c r="K7" s="32"/>
      <c r="L7" s="46" cm="1">
        <f t="array" ref="L7">(C7*$D$4)*(1-INDEX($G$6:$G$11,MIN(COUNT($F$6:$F$11),MATCH(C7,$F$6:$F$11,1)+1)))</f>
        <v>1125</v>
      </c>
      <c r="M7" s="33"/>
    </row>
    <row r="8" spans="2:13" x14ac:dyDescent="0.3">
      <c r="B8" s="27" t="s">
        <v>69</v>
      </c>
      <c r="C8" s="28">
        <v>97</v>
      </c>
      <c r="D8" s="29">
        <f>(1-INDEX($G$6:$G$11,COUNTIF($F$6:$F$11,"&lt;"&amp;C8)+1))*$D$4*C8</f>
        <v>2425</v>
      </c>
      <c r="F8" s="30">
        <v>5</v>
      </c>
      <c r="G8" s="31">
        <v>0.15</v>
      </c>
      <c r="H8"/>
      <c r="I8" cm="1">
        <f t="array" ref="I8">(C8*$D$4)-((C8*$D$4)*(INDEX($G$6:$G$11,COUNTIF($F$6:$F$11,"&lt;"&amp;C8)+1)))</f>
        <v>2425</v>
      </c>
      <c r="J8" s="32"/>
      <c r="K8" s="32"/>
      <c r="L8" s="46" cm="1">
        <f t="array" ref="L8">(C8*$D$4)*(1-INDEX($G$6:$G$11,MIN(COUNT($F$6:$F$11),MATCH(C8,$F$6:$F$11,1)+1)))</f>
        <v>2425</v>
      </c>
      <c r="M8" s="33"/>
    </row>
    <row r="9" spans="2:13" x14ac:dyDescent="0.3">
      <c r="B9" s="34" t="s">
        <v>70</v>
      </c>
      <c r="C9" s="35">
        <v>76</v>
      </c>
      <c r="D9" s="36">
        <f t="shared" si="0"/>
        <v>1900</v>
      </c>
      <c r="F9" s="30">
        <v>10</v>
      </c>
      <c r="G9" s="31">
        <v>0.2</v>
      </c>
      <c r="H9"/>
      <c r="I9" cm="1">
        <f t="array" ref="I9">(C9*$D$4)-((C9*$D$4)*(INDEX($G$6:$G$11,COUNTIF($F$6:$F$11,"&lt;"&amp;C9)+1)))</f>
        <v>1900</v>
      </c>
      <c r="J9" s="32"/>
      <c r="K9" s="32"/>
      <c r="L9" s="46" cm="1">
        <f t="array" ref="L9">(C9*$D$4)*(1-INDEX($G$6:$G$11,MIN(COUNT($F$6:$F$11),MATCH(C9,$F$6:$F$11,1)+1)))</f>
        <v>1900</v>
      </c>
      <c r="M9" s="33"/>
    </row>
    <row r="10" spans="2:13" x14ac:dyDescent="0.3">
      <c r="B10" s="27" t="s">
        <v>71</v>
      </c>
      <c r="C10" s="28">
        <v>46</v>
      </c>
      <c r="D10" s="29">
        <f t="shared" si="0"/>
        <v>1150</v>
      </c>
      <c r="F10" s="30">
        <v>25</v>
      </c>
      <c r="G10" s="31">
        <v>0.25</v>
      </c>
      <c r="H10"/>
      <c r="I10" cm="1">
        <f t="array" ref="I10">(C10*$D$4)-((C10*$D$4)*(INDEX($G$6:$G$11,COUNTIF($F$6:$F$11,"&lt;"&amp;C10)+1)))</f>
        <v>1150</v>
      </c>
      <c r="J10" s="32"/>
      <c r="K10" s="32"/>
      <c r="L10" s="46" cm="1">
        <f t="array" ref="L10">(C10*$D$4)*(1-INDEX($G$6:$G$11,MIN(COUNT($F$6:$F$11),MATCH(C10,$F$6:$F$11,1)+1)))</f>
        <v>1150</v>
      </c>
      <c r="M10" s="33"/>
    </row>
    <row r="11" spans="2:13" x14ac:dyDescent="0.3">
      <c r="B11" s="34" t="s">
        <v>72</v>
      </c>
      <c r="C11" s="35">
        <v>9</v>
      </c>
      <c r="D11" s="36">
        <f t="shared" si="0"/>
        <v>360</v>
      </c>
      <c r="F11" s="41">
        <v>100</v>
      </c>
      <c r="G11" s="42">
        <v>0.5</v>
      </c>
      <c r="H11"/>
      <c r="I11" cm="1">
        <f t="array" ref="I11">(C11*$D$4)-((C11*$D$4)*(INDEX($G$6:$G$11,COUNTIF($F$6:$F$11,"&lt;"&amp;C11)+1)))</f>
        <v>360</v>
      </c>
      <c r="J11" s="32"/>
      <c r="K11" s="32"/>
      <c r="L11" s="46" cm="1">
        <f t="array" ref="L11">(C11*$D$4)*(1-INDEX($G$6:$G$11,MIN(COUNT($F$6:$F$11),MATCH(C11,$F$6:$F$11,1)+1)))</f>
        <v>360</v>
      </c>
      <c r="M11" s="33"/>
    </row>
    <row r="12" spans="2:13" x14ac:dyDescent="0.3">
      <c r="B12" s="27" t="s">
        <v>73</v>
      </c>
      <c r="C12" s="28">
        <v>12</v>
      </c>
      <c r="D12" s="29">
        <f>(1-INDEX($G$6:$G$11,COUNTIF($F$6:$F$11,"&lt;"&amp;C12)+1))*$D$4*C12</f>
        <v>450</v>
      </c>
      <c r="G12"/>
      <c r="H12"/>
      <c r="I12" cm="1">
        <f t="array" ref="I12">(C12*$D$4)-((C12*$D$4)*(INDEX($G$6:$G$11,COUNTIF($F$6:$F$11,"&lt;"&amp;C12)+1)))</f>
        <v>450</v>
      </c>
      <c r="J12" s="32"/>
      <c r="K12" s="32"/>
      <c r="L12" s="46" cm="1">
        <f t="array" ref="L12">(C12*$D$4)*(1-INDEX($G$6:$G$11,MIN(COUNT($F$6:$F$11),MATCH(C12,$F$6:$F$11,1)+1)))</f>
        <v>450</v>
      </c>
      <c r="M12" s="33"/>
    </row>
    <row r="13" spans="2:13" x14ac:dyDescent="0.3">
      <c r="B13" s="34" t="s">
        <v>74</v>
      </c>
      <c r="C13" s="35">
        <v>78</v>
      </c>
      <c r="D13" s="36">
        <f t="shared" si="0"/>
        <v>1950</v>
      </c>
      <c r="F13" s="43"/>
      <c r="G13" s="44"/>
      <c r="H13"/>
      <c r="I13" cm="1">
        <f t="array" ref="I13">(C13*$D$4)-((C13*$D$4)*(INDEX($G$6:$G$11,COUNTIF($F$6:$F$11,"&lt;"&amp;C13)+1)))</f>
        <v>1950</v>
      </c>
      <c r="J13" s="32"/>
      <c r="K13" s="32"/>
      <c r="L13" s="46" cm="1">
        <f t="array" ref="L13">(C13*$D$4)*(1-INDEX($G$6:$G$11,MIN(COUNT($F$6:$F$11),MATCH(C13,$F$6:$F$11,1)+1)))</f>
        <v>1950</v>
      </c>
      <c r="M13" s="33"/>
    </row>
    <row r="14" spans="2:13" x14ac:dyDescent="0.3">
      <c r="B14" s="27" t="s">
        <v>75</v>
      </c>
      <c r="C14" s="28">
        <v>54</v>
      </c>
      <c r="D14" s="29">
        <f t="shared" si="0"/>
        <v>1350</v>
      </c>
      <c r="F14" s="44"/>
      <c r="G14" s="44"/>
      <c r="H14"/>
      <c r="I14" cm="1">
        <f t="array" ref="I14">(C14*$D$4)-((C14*$D$4)*(INDEX($G$6:$G$11,COUNTIF($F$6:$F$11,"&lt;"&amp;C14)+1)))</f>
        <v>1350</v>
      </c>
      <c r="J14" s="32"/>
      <c r="K14" s="32"/>
      <c r="L14" s="46" cm="1">
        <f t="array" ref="L14">(C14*$D$4)*(1-INDEX($G$6:$G$11,MIN(COUNT($F$6:$F$11),MATCH(C14,$F$6:$F$11,1)+1)))</f>
        <v>1350</v>
      </c>
      <c r="M14" s="33"/>
    </row>
    <row r="15" spans="2:13" x14ac:dyDescent="0.3">
      <c r="B15" s="34" t="s">
        <v>76</v>
      </c>
      <c r="C15" s="35">
        <v>100</v>
      </c>
      <c r="D15" s="36">
        <f t="shared" si="0"/>
        <v>2500</v>
      </c>
      <c r="F15" s="44"/>
      <c r="G15" s="44"/>
      <c r="H15"/>
      <c r="I15" cm="1">
        <f t="array" ref="I15">(C15*$D$4)-((C15*$D$4)*(INDEX($G$6:$G$11,COUNTIF($F$6:$F$11,"&lt;"&amp;C15)+1)))</f>
        <v>2500</v>
      </c>
      <c r="J15" s="32"/>
      <c r="K15" s="32"/>
      <c r="L15" s="46" cm="1">
        <f t="array" ref="L15">(C15*$D$4)*(1-INDEX($G$6:$G$11,MIN(COUNT($F$6:$F$11),MATCH(C15,$F$6:$F$11,1)+1)))</f>
        <v>2500</v>
      </c>
      <c r="M15" s="33"/>
    </row>
    <row r="16" spans="2:13" x14ac:dyDescent="0.3">
      <c r="B16" s="27" t="s">
        <v>77</v>
      </c>
      <c r="C16" s="28">
        <v>27</v>
      </c>
      <c r="D16" s="29">
        <f t="shared" si="0"/>
        <v>675</v>
      </c>
      <c r="F16" s="44"/>
      <c r="G16" s="44"/>
      <c r="H16"/>
      <c r="I16" cm="1">
        <f t="array" ref="I16">(C16*$D$4)-((C16*$D$4)*(INDEX($G$6:$G$11,COUNTIF($F$6:$F$11,"&lt;"&amp;C16)+1)))</f>
        <v>675</v>
      </c>
      <c r="J16" s="32"/>
      <c r="K16" s="32"/>
      <c r="L16" s="46" cm="1">
        <f t="array" ref="L16">(C16*$D$4)*(1-INDEX($G$6:$G$11,MIN(COUNT($F$6:$F$11),MATCH(C16,$F$6:$F$11,1)+1)))</f>
        <v>675</v>
      </c>
      <c r="M16" s="33"/>
    </row>
    <row r="17" spans="2:13" x14ac:dyDescent="0.3">
      <c r="B17" s="34" t="s">
        <v>78</v>
      </c>
      <c r="C17" s="35">
        <v>13</v>
      </c>
      <c r="D17" s="36">
        <f t="shared" si="0"/>
        <v>487.5</v>
      </c>
      <c r="F17" s="44"/>
      <c r="G17" s="44"/>
      <c r="H17"/>
      <c r="I17" cm="1">
        <f t="array" ref="I17">(C17*$D$4)-((C17*$D$4)*(INDEX($G$6:$G$11,COUNTIF($F$6:$F$11,"&lt;"&amp;C17)+1)))</f>
        <v>487.5</v>
      </c>
      <c r="J17" s="32"/>
      <c r="K17" s="32"/>
      <c r="L17" s="46" cm="1">
        <f t="array" ref="L17">(C17*$D$4)*(1-INDEX($G$6:$G$11,MIN(COUNT($F$6:$F$11),MATCH(C17,$F$6:$F$11,1)+1)))</f>
        <v>487.5</v>
      </c>
      <c r="M17" s="33"/>
    </row>
    <row r="18" spans="2:13" x14ac:dyDescent="0.3">
      <c r="B18" s="37" t="s">
        <v>79</v>
      </c>
      <c r="C18" s="38">
        <v>77</v>
      </c>
      <c r="D18" s="39">
        <f t="shared" si="0"/>
        <v>1925</v>
      </c>
      <c r="F18" s="44"/>
      <c r="G18" s="44"/>
      <c r="H18"/>
      <c r="I18" cm="1">
        <f t="array" ref="I18">(C18*$D$4)-((C18*$D$4)*(INDEX($G$6:$G$11,COUNTIF($F$6:$F$11,"&lt;"&amp;C18)+1)))</f>
        <v>1925</v>
      </c>
      <c r="J18" s="32"/>
      <c r="K18" s="32"/>
      <c r="L18" s="46" cm="1">
        <f t="array" ref="L18">(C18*$D$4)*(1-INDEX($G$6:$G$11,MIN(COUNT($F$6:$F$11),MATCH(C18,$F$6:$F$11,1)+1)))</f>
        <v>1925</v>
      </c>
      <c r="M18" s="33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C4445-9D75-4F5A-993A-BAFB0882A240}">
  <dimension ref="A1:J21"/>
  <sheetViews>
    <sheetView showGridLines="0" workbookViewId="0">
      <selection activeCell="J10" sqref="J10:J21"/>
    </sheetView>
  </sheetViews>
  <sheetFormatPr defaultRowHeight="14.4" x14ac:dyDescent="0.3"/>
  <cols>
    <col min="1" max="2" width="19.44140625" customWidth="1"/>
    <col min="3" max="3" width="16" customWidth="1"/>
    <col min="6" max="7" width="15.6640625" customWidth="1"/>
  </cols>
  <sheetData>
    <row r="1" spans="1:10" ht="15" customHeight="1" x14ac:dyDescent="0.3">
      <c r="A1" s="11" t="s">
        <v>21</v>
      </c>
      <c r="B1" s="11" t="s">
        <v>22</v>
      </c>
      <c r="C1" s="11" t="s">
        <v>23</v>
      </c>
    </row>
    <row r="2" spans="1:10" ht="15" customHeight="1" x14ac:dyDescent="0.3">
      <c r="A2" s="12" t="s">
        <v>24</v>
      </c>
      <c r="B2" s="12" t="s">
        <v>25</v>
      </c>
      <c r="C2" s="13">
        <v>31202</v>
      </c>
      <c r="F2" s="48"/>
      <c r="G2" s="48"/>
    </row>
    <row r="3" spans="1:10" ht="15" customHeight="1" x14ac:dyDescent="0.3">
      <c r="A3" s="12" t="s">
        <v>27</v>
      </c>
      <c r="B3" s="12" t="s">
        <v>25</v>
      </c>
      <c r="C3" s="13">
        <v>34368</v>
      </c>
      <c r="F3" s="16"/>
      <c r="G3" s="17"/>
    </row>
    <row r="4" spans="1:10" ht="15" customHeight="1" x14ac:dyDescent="0.3">
      <c r="A4" s="12" t="s">
        <v>28</v>
      </c>
      <c r="B4" s="12" t="s">
        <v>25</v>
      </c>
      <c r="C4" s="13">
        <v>33399</v>
      </c>
    </row>
    <row r="5" spans="1:10" ht="15" customHeight="1" x14ac:dyDescent="0.3">
      <c r="A5" s="12" t="s">
        <v>29</v>
      </c>
      <c r="B5" s="12" t="s">
        <v>25</v>
      </c>
      <c r="C5" s="13">
        <v>32252</v>
      </c>
    </row>
    <row r="6" spans="1:10" ht="15" customHeight="1" x14ac:dyDescent="0.3">
      <c r="A6" s="12" t="s">
        <v>30</v>
      </c>
      <c r="B6" s="12" t="s">
        <v>25</v>
      </c>
      <c r="C6" s="13">
        <v>31174</v>
      </c>
    </row>
    <row r="7" spans="1:10" ht="15" customHeight="1" x14ac:dyDescent="0.3">
      <c r="A7" s="12" t="s">
        <v>31</v>
      </c>
      <c r="B7" s="12" t="s">
        <v>25</v>
      </c>
      <c r="C7" s="13">
        <v>33084</v>
      </c>
    </row>
    <row r="8" spans="1:10" ht="15" customHeight="1" x14ac:dyDescent="0.3">
      <c r="A8" s="12" t="s">
        <v>32</v>
      </c>
      <c r="B8" s="12" t="s">
        <v>25</v>
      </c>
      <c r="C8" s="13">
        <v>31331</v>
      </c>
      <c r="F8" s="49" t="s">
        <v>26</v>
      </c>
      <c r="G8" s="49"/>
    </row>
    <row r="9" spans="1:10" ht="15" customHeight="1" x14ac:dyDescent="0.3">
      <c r="A9" s="12" t="s">
        <v>33</v>
      </c>
      <c r="B9" s="12" t="s">
        <v>25</v>
      </c>
      <c r="C9" s="13">
        <v>33356</v>
      </c>
      <c r="F9" s="15" t="s">
        <v>11</v>
      </c>
      <c r="G9" s="15" t="s">
        <v>34</v>
      </c>
    </row>
    <row r="10" spans="1:10" ht="15" customHeight="1" x14ac:dyDescent="0.3">
      <c r="A10" s="12" t="s">
        <v>35</v>
      </c>
      <c r="B10" s="12" t="s">
        <v>25</v>
      </c>
      <c r="C10" s="13">
        <v>31326</v>
      </c>
      <c r="F10" s="14" t="s">
        <v>36</v>
      </c>
      <c r="G10" s="14">
        <f t="array" ref="G10">SUM(IF(TEXT($C$2:$C$21,"MMM")=F10,1,0))</f>
        <v>0</v>
      </c>
      <c r="H10" cm="1">
        <f t="array" ref="H10">SUMPRODUCT(--(TEXT($C$2:$C$21,"mmm")=F10))</f>
        <v>0</v>
      </c>
      <c r="J10" cm="1">
        <f t="array" ref="J10">SUM(IF(TEXT($C$2:$C$21,"mmm")=F10,1,0))</f>
        <v>0</v>
      </c>
    </row>
    <row r="11" spans="1:10" ht="15" customHeight="1" x14ac:dyDescent="0.3">
      <c r="A11" s="12" t="s">
        <v>37</v>
      </c>
      <c r="B11" s="12" t="s">
        <v>25</v>
      </c>
      <c r="C11" s="13">
        <v>33874</v>
      </c>
      <c r="F11" s="14" t="s">
        <v>38</v>
      </c>
      <c r="G11" s="14">
        <f t="array" ref="G11">SUM(IF(TEXT($C$2:$C$21,"MMM")=F11,1,0))</f>
        <v>2</v>
      </c>
      <c r="H11" cm="1">
        <f t="array" ref="H11">SUMPRODUCT(--(TEXT($C$2:$C$21,"mmm")=F11))</f>
        <v>2</v>
      </c>
      <c r="J11" cm="1">
        <f t="array" ref="J11">SUM(IF(TEXT($C$2:$C$21,"mmm")=F11,1,0))</f>
        <v>2</v>
      </c>
    </row>
    <row r="12" spans="1:10" ht="15" customHeight="1" x14ac:dyDescent="0.3">
      <c r="A12" s="12" t="s">
        <v>39</v>
      </c>
      <c r="B12" s="12" t="s">
        <v>40</v>
      </c>
      <c r="C12" s="13">
        <v>34154</v>
      </c>
      <c r="F12" s="14" t="s">
        <v>41</v>
      </c>
      <c r="G12" s="14">
        <f t="array" ref="G12">SUM(IF(TEXT($C$2:$C$21,"MMM")=F12,1,0))</f>
        <v>0</v>
      </c>
      <c r="H12" cm="1">
        <f t="array" ref="H12">SUMPRODUCT(--(TEXT($C$2:$C$21,"mmm")=F12))</f>
        <v>0</v>
      </c>
      <c r="J12" cm="1">
        <f t="array" ref="J12">SUM(IF(TEXT($C$2:$C$21,"mmm")=F12,1,0))</f>
        <v>0</v>
      </c>
    </row>
    <row r="13" spans="1:10" ht="15" customHeight="1" x14ac:dyDescent="0.3">
      <c r="A13" s="12" t="s">
        <v>42</v>
      </c>
      <c r="B13" s="12" t="s">
        <v>40</v>
      </c>
      <c r="C13" s="13">
        <v>33200</v>
      </c>
      <c r="F13" s="14" t="s">
        <v>43</v>
      </c>
      <c r="G13" s="14">
        <f t="array" ref="G13">SUM(IF(TEXT($C$2:$C$21,"MMM")=F13,1,0))</f>
        <v>4</v>
      </c>
      <c r="H13" cm="1">
        <f t="array" ref="H13">SUMPRODUCT(--(TEXT($C$2:$C$21,"mmm")=F13))</f>
        <v>4</v>
      </c>
      <c r="J13" cm="1">
        <f t="array" ref="J13">SUM(IF(TEXT($C$2:$C$21,"mmm")=F13,1,0))</f>
        <v>4</v>
      </c>
    </row>
    <row r="14" spans="1:10" ht="15" customHeight="1" x14ac:dyDescent="0.3">
      <c r="A14" s="12" t="s">
        <v>44</v>
      </c>
      <c r="B14" s="12" t="s">
        <v>40</v>
      </c>
      <c r="C14" s="13">
        <v>31290</v>
      </c>
      <c r="F14" s="14" t="s">
        <v>45</v>
      </c>
      <c r="G14" s="14">
        <f t="array" ref="G14">SUM(IF(TEXT($C$2:$C$21,"MMM")=F14,1,0))</f>
        <v>1</v>
      </c>
      <c r="H14" cm="1">
        <f t="array" ref="H14">SUMPRODUCT(--(TEXT($C$2:$C$21,"mmm")=F14))</f>
        <v>1</v>
      </c>
      <c r="J14" cm="1">
        <f t="array" ref="J14">SUM(IF(TEXT($C$2:$C$21,"mmm")=F14,1,0))</f>
        <v>1</v>
      </c>
    </row>
    <row r="15" spans="1:10" ht="15" customHeight="1" x14ac:dyDescent="0.3">
      <c r="A15" s="12" t="s">
        <v>46</v>
      </c>
      <c r="B15" s="12" t="s">
        <v>40</v>
      </c>
      <c r="C15" s="13">
        <v>31871</v>
      </c>
      <c r="F15" s="14" t="s">
        <v>47</v>
      </c>
      <c r="G15" s="14">
        <f t="array" ref="G15">SUM(IF(TEXT($C$2:$C$21,"MMM")=F15,1,0))</f>
        <v>2</v>
      </c>
      <c r="H15" cm="1">
        <f t="array" ref="H15">SUMPRODUCT(--(TEXT($C$2:$C$21,"mmm")=F15))</f>
        <v>2</v>
      </c>
      <c r="J15" cm="1">
        <f t="array" ref="J15">SUM(IF(TEXT($C$2:$C$21,"mmm")=F15,1,0))</f>
        <v>2</v>
      </c>
    </row>
    <row r="16" spans="1:10" ht="15" customHeight="1" x14ac:dyDescent="0.3">
      <c r="A16" s="12" t="s">
        <v>48</v>
      </c>
      <c r="B16" s="12" t="s">
        <v>40</v>
      </c>
      <c r="C16" s="13">
        <v>31823</v>
      </c>
      <c r="F16" s="14" t="s">
        <v>49</v>
      </c>
      <c r="G16" s="14">
        <f t="array" ref="G16">SUM(IF(TEXT($C$2:$C$21,"MMM")=F16,1,0))</f>
        <v>3</v>
      </c>
      <c r="H16" cm="1">
        <f t="array" ref="H16">SUMPRODUCT(--(TEXT($C$2:$C$21,"mmm")=F16))</f>
        <v>3</v>
      </c>
      <c r="J16" cm="1">
        <f t="array" ref="J16">SUM(IF(TEXT($C$2:$C$21,"mmm")=F16,1,0))</f>
        <v>3</v>
      </c>
    </row>
    <row r="17" spans="1:10" ht="15" customHeight="1" x14ac:dyDescent="0.3">
      <c r="A17" s="12" t="s">
        <v>50</v>
      </c>
      <c r="B17" s="12" t="s">
        <v>40</v>
      </c>
      <c r="C17" s="13">
        <v>33135</v>
      </c>
      <c r="F17" s="14" t="s">
        <v>51</v>
      </c>
      <c r="G17" s="14">
        <f t="array" ref="G17">SUM(IF(TEXT($C$2:$C$21,"MMM")=F17,1,0))</f>
        <v>2</v>
      </c>
      <c r="H17" cm="1">
        <f t="array" ref="H17">SUMPRODUCT(--(TEXT($C$2:$C$21,"mmm")=F17))</f>
        <v>2</v>
      </c>
      <c r="J17" cm="1">
        <f t="array" ref="J17">SUM(IF(TEXT($C$2:$C$21,"mmm")=F17,1,0))</f>
        <v>2</v>
      </c>
    </row>
    <row r="18" spans="1:10" ht="15" customHeight="1" x14ac:dyDescent="0.3">
      <c r="A18" s="12" t="s">
        <v>52</v>
      </c>
      <c r="B18" s="12" t="s">
        <v>40</v>
      </c>
      <c r="C18" s="13">
        <v>31971</v>
      </c>
      <c r="F18" s="14" t="s">
        <v>53</v>
      </c>
      <c r="G18" s="14">
        <f t="array" ref="G18">SUM(IF(TEXT($C$2:$C$21,"MMM")=F18,1,0))</f>
        <v>2</v>
      </c>
      <c r="H18" cm="1">
        <f t="array" ref="H18">SUMPRODUCT(--(TEXT($C$2:$C$21,"mmm")=F18))</f>
        <v>2</v>
      </c>
      <c r="J18" cm="1">
        <f t="array" ref="J18">SUM(IF(TEXT($C$2:$C$21,"mmm")=F18,1,0))</f>
        <v>2</v>
      </c>
    </row>
    <row r="19" spans="1:10" ht="15" customHeight="1" x14ac:dyDescent="0.3">
      <c r="A19" s="12" t="s">
        <v>54</v>
      </c>
      <c r="B19" s="12" t="s">
        <v>40</v>
      </c>
      <c r="C19" s="13">
        <v>34806</v>
      </c>
      <c r="F19" s="14" t="s">
        <v>55</v>
      </c>
      <c r="G19" s="14">
        <f t="array" ref="G19">SUM(IF(TEXT($C$2:$C$21,"MMM")=F19,1,0))</f>
        <v>2</v>
      </c>
      <c r="H19" cm="1">
        <f t="array" ref="H19">SUMPRODUCT(--(TEXT($C$2:$C$21,"mmm")=F19))</f>
        <v>2</v>
      </c>
      <c r="J19" cm="1">
        <f t="array" ref="J19">SUM(IF(TEXT($C$2:$C$21,"mmm")=F19,1,0))</f>
        <v>2</v>
      </c>
    </row>
    <row r="20" spans="1:10" ht="15" customHeight="1" x14ac:dyDescent="0.3">
      <c r="A20" s="12" t="s">
        <v>56</v>
      </c>
      <c r="B20" s="12" t="s">
        <v>40</v>
      </c>
      <c r="C20" s="13">
        <v>32843</v>
      </c>
      <c r="F20" s="14" t="s">
        <v>57</v>
      </c>
      <c r="G20" s="14">
        <f t="array" ref="G20">SUM(IF(TEXT($C$2:$C$21,"MMM")=F20,1,0))</f>
        <v>1</v>
      </c>
      <c r="H20" cm="1">
        <f t="array" ref="H20">SUMPRODUCT(--(TEXT($C$2:$C$21,"mmm")=F20))</f>
        <v>1</v>
      </c>
      <c r="J20" cm="1">
        <f t="array" ref="J20">SUM(IF(TEXT($C$2:$C$21,"mmm")=F20,1,0))</f>
        <v>1</v>
      </c>
    </row>
    <row r="21" spans="1:10" ht="15" customHeight="1" x14ac:dyDescent="0.3">
      <c r="A21" s="12" t="s">
        <v>58</v>
      </c>
      <c r="B21" s="12" t="s">
        <v>40</v>
      </c>
      <c r="C21" s="13">
        <v>33477</v>
      </c>
      <c r="F21" s="14" t="s">
        <v>59</v>
      </c>
      <c r="G21" s="14">
        <f t="array" ref="G21">SUM(IF(TEXT($C$2:$C$21,"MMM")=F21,1,0))</f>
        <v>1</v>
      </c>
      <c r="H21" cm="1">
        <f t="array" ref="H21">SUMPRODUCT(--(TEXT($C$2:$C$21,"mmm")=F21))</f>
        <v>1</v>
      </c>
      <c r="J21" cm="1">
        <f t="array" ref="J21">SUM(IF(TEXT($C$2:$C$21,"mmm")=F21,1,0))</f>
        <v>1</v>
      </c>
    </row>
  </sheetData>
  <mergeCells count="2">
    <mergeCell ref="F2:G2"/>
    <mergeCell ref="F8:G8"/>
  </mergeCells>
  <dataValidations count="1">
    <dataValidation type="list" allowBlank="1" showInputMessage="1" showErrorMessage="1" sqref="F3" xr:uid="{9EABDB8D-8E3C-4A72-B81B-22D337A2AD69}">
      <formula1>"Last Month,This Month,Next Month"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9BE92-9135-46F4-ADAD-84BCC8F396AA}">
  <dimension ref="A1:K12"/>
  <sheetViews>
    <sheetView tabSelected="1" workbookViewId="0">
      <selection activeCell="I13" sqref="I13"/>
    </sheetView>
  </sheetViews>
  <sheetFormatPr defaultRowHeight="14.4" x14ac:dyDescent="0.3"/>
  <cols>
    <col min="2" max="2" width="30.33203125" bestFit="1" customWidth="1"/>
    <col min="4" max="4" width="26.88671875" customWidth="1"/>
    <col min="9" max="9" width="16.88671875" customWidth="1"/>
    <col min="11" max="11" width="25.77734375" customWidth="1"/>
  </cols>
  <sheetData>
    <row r="1" spans="1:11" ht="15" customHeight="1" x14ac:dyDescent="0.3">
      <c r="A1" s="50" t="s">
        <v>1</v>
      </c>
      <c r="B1" s="50"/>
      <c r="C1" s="50"/>
      <c r="D1" s="50"/>
    </row>
    <row r="2" spans="1:11" x14ac:dyDescent="0.3">
      <c r="A2" s="50"/>
      <c r="B2" s="50"/>
      <c r="C2" s="50"/>
      <c r="D2" s="50"/>
    </row>
    <row r="3" spans="1:11" ht="16.8" x14ac:dyDescent="0.3">
      <c r="B3" s="1" t="s">
        <v>2</v>
      </c>
      <c r="D3" s="1" t="s">
        <v>3</v>
      </c>
    </row>
    <row r="4" spans="1:11" x14ac:dyDescent="0.3">
      <c r="B4" s="3" t="s">
        <v>4</v>
      </c>
      <c r="C4" s="3"/>
      <c r="D4" s="3" t="str">
        <f>SUBSTITUTE(SUBSTITUTE(B4,"@","_",1),"@","-")</f>
        <v>110_Glen-Street</v>
      </c>
      <c r="F4" t="str">
        <f>SUBSTITUTE(SUBSTITUTE(B4, "@","_",1),"@", "-")</f>
        <v>110_Glen-Street</v>
      </c>
      <c r="K4" t="str">
        <f>SUBSTITUTE(REPLACE(B4,FIND("@",B4),1,"_"), "@", "-")</f>
        <v>110_Glen-Street</v>
      </c>
    </row>
    <row r="5" spans="1:11" x14ac:dyDescent="0.3">
      <c r="B5" s="3" t="s">
        <v>5</v>
      </c>
      <c r="C5" s="3"/>
      <c r="D5" s="3" t="str">
        <f t="shared" ref="D5:D10" si="0">SUBSTITUTE(SUBSTITUTE(B5,"@","_",1),"@","-")</f>
        <v>2865_Plainfield-Avenue</v>
      </c>
      <c r="F5" t="str">
        <f t="shared" ref="F5:F10" si="1">SUBSTITUTE(SUBSTITUTE(B5, "@","_",1),"@", "-")</f>
        <v>2865_Plainfield-Avenue</v>
      </c>
      <c r="K5" t="str">
        <f t="shared" ref="K5:K10" si="2">SUBSTITUTE(REPLACE(B5,FIND("@",B5),1,"_"), "@", "-")</f>
        <v>2865_Plainfield-Avenue</v>
      </c>
    </row>
    <row r="6" spans="1:11" x14ac:dyDescent="0.3">
      <c r="B6" s="3" t="s">
        <v>6</v>
      </c>
      <c r="C6" s="3"/>
      <c r="D6" s="3" t="str">
        <f t="shared" si="0"/>
        <v>40_Overlook-Drive</v>
      </c>
      <c r="F6" t="str">
        <f t="shared" si="1"/>
        <v>40_Overlook-Drive</v>
      </c>
      <c r="K6" t="str">
        <f t="shared" si="2"/>
        <v>40_Overlook-Drive</v>
      </c>
    </row>
    <row r="7" spans="1:11" x14ac:dyDescent="0.3">
      <c r="B7" s="3" t="s">
        <v>7</v>
      </c>
      <c r="C7" s="3"/>
      <c r="D7" s="3" t="str">
        <f t="shared" si="0"/>
        <v>3225_HinkleDeegan-LakeRoad</v>
      </c>
      <c r="F7" t="str">
        <f t="shared" si="1"/>
        <v>3225_HinkleDeegan-LakeRoad</v>
      </c>
      <c r="K7" t="str">
        <f t="shared" si="2"/>
        <v>3225_HinkleDeegan-LakeRoad</v>
      </c>
    </row>
    <row r="8" spans="1:11" x14ac:dyDescent="0.3">
      <c r="B8" s="3" t="s">
        <v>8</v>
      </c>
      <c r="C8" s="3"/>
      <c r="D8" s="3" t="str">
        <f t="shared" si="0"/>
        <v>4216_Modoc-Alley</v>
      </c>
      <c r="F8" t="str">
        <f t="shared" si="1"/>
        <v>4216_Modoc-Alley</v>
      </c>
      <c r="K8" t="str">
        <f t="shared" si="2"/>
        <v>4216_Modoc-Alley</v>
      </c>
    </row>
    <row r="9" spans="1:11" x14ac:dyDescent="0.3">
      <c r="B9" s="3" t="s">
        <v>9</v>
      </c>
      <c r="C9" s="3"/>
      <c r="D9" s="3" t="str">
        <f t="shared" si="0"/>
        <v>1804_Geneva-Street</v>
      </c>
      <c r="F9" t="str">
        <f t="shared" si="1"/>
        <v>1804_Geneva-Street</v>
      </c>
      <c r="K9" t="str">
        <f t="shared" si="2"/>
        <v>1804_Geneva-Street</v>
      </c>
    </row>
    <row r="10" spans="1:11" x14ac:dyDescent="0.3">
      <c r="B10" s="3" t="s">
        <v>10</v>
      </c>
      <c r="C10" s="3"/>
      <c r="D10" s="3" t="str">
        <f t="shared" si="0"/>
        <v>4899_Butternut-Lane</v>
      </c>
      <c r="F10" t="str">
        <f t="shared" si="1"/>
        <v>4899_Butternut-Lane</v>
      </c>
      <c r="K10" t="str">
        <f t="shared" si="2"/>
        <v>4899_Butternut-Lane</v>
      </c>
    </row>
    <row r="12" spans="1:11" x14ac:dyDescent="0.3">
      <c r="F12" t="str">
        <f>SUBSTITUTE(B4,"@","_",1)</f>
        <v>110_Glen@Street</v>
      </c>
    </row>
  </sheetData>
  <mergeCells count="1">
    <mergeCell ref="A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</vt:lpstr>
      <vt:lpstr>Q2</vt:lpstr>
      <vt:lpstr>Q3</vt:lpstr>
      <vt:lpstr>Q4</vt:lpstr>
      <vt:lpstr>Q5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Innozant</dc:creator>
  <cp:lastModifiedBy>Gursewak Singh</cp:lastModifiedBy>
  <dcterms:created xsi:type="dcterms:W3CDTF">2020-09-01T05:22:27Z</dcterms:created>
  <dcterms:modified xsi:type="dcterms:W3CDTF">2026-01-28T17:07:40Z</dcterms:modified>
</cp:coreProperties>
</file>