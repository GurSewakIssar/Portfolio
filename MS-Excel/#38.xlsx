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0A0FDE95-6D7E-4164-9CA1-B160D2729257}" xr6:coauthVersionLast="47" xr6:coauthVersionMax="47" xr10:uidLastSave="{00000000-0000-0000-0000-000000000000}"/>
  <bookViews>
    <workbookView xWindow="-108" yWindow="-108" windowWidth="23256" windowHeight="12456" activeTab="1" xr2:uid="{7E588C58-D7F7-4507-B79D-29D8D761C2AA}"/>
  </bookViews>
  <sheets>
    <sheet name="Q1" sheetId="2" r:id="rId1"/>
    <sheet name="Q2" sheetId="5" r:id="rId2"/>
    <sheet name="Q3" sheetId="4" r:id="rId3"/>
    <sheet name="Q4" sheetId="3" r:id="rId4"/>
    <sheet name="Q5" sheetId="1" r:id="rId5"/>
  </sheets>
  <definedNames>
    <definedName name="lstNumbers">'Q2'!$G$4:$G$13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5" l="1" a="1"/>
  <c r="M5" i="5" s="1"/>
  <c r="M6" i="5" a="1"/>
  <c r="M6" i="5"/>
  <c r="M7" i="5" a="1"/>
  <c r="M7" i="5"/>
  <c r="M8" i="5" a="1"/>
  <c r="M8" i="5"/>
  <c r="M9" i="5" a="1"/>
  <c r="M9" i="5"/>
  <c r="M10" i="5" a="1"/>
  <c r="M10" i="5"/>
  <c r="M11" i="5" a="1"/>
  <c r="M11" i="5" s="1"/>
  <c r="M12" i="5" a="1"/>
  <c r="M12" i="5" s="1"/>
  <c r="M13" i="5" a="1"/>
  <c r="M13" i="5" s="1"/>
  <c r="M14" i="5" a="1"/>
  <c r="M14" i="5" s="1"/>
  <c r="M15" i="5" a="1"/>
  <c r="M15" i="5" s="1"/>
  <c r="M16" i="5" a="1"/>
  <c r="M16" i="5" s="1"/>
  <c r="M17" i="5" a="1"/>
  <c r="M17" i="5" s="1"/>
  <c r="M18" i="5" a="1"/>
  <c r="M18" i="5" s="1"/>
  <c r="M4" i="5" a="1"/>
  <c r="M4" i="5" s="1"/>
  <c r="J4" i="5" a="1"/>
  <c r="J4" i="5" s="1"/>
  <c r="D5" i="5" a="1"/>
  <c r="D5" i="5" s="1"/>
  <c r="D4" i="5" a="1"/>
  <c r="D4" i="5" s="1"/>
  <c r="H5" i="1"/>
  <c r="H6" i="1"/>
  <c r="H7" i="1"/>
  <c r="H8" i="1"/>
  <c r="H9" i="1"/>
  <c r="H10" i="1"/>
  <c r="H11" i="1"/>
  <c r="H4" i="1"/>
  <c r="H12" i="1"/>
  <c r="F5" i="3"/>
  <c r="F6" i="3"/>
  <c r="F7" i="3"/>
  <c r="F8" i="3"/>
  <c r="F4" i="3"/>
  <c r="C17" i="4"/>
  <c r="B17" i="4"/>
  <c r="C4" i="5" a="1"/>
  <c r="C4" i="5" s="1"/>
  <c r="G11" i="2" a="1"/>
  <c r="G11" i="2"/>
  <c r="H11" i="2" a="1"/>
  <c r="H11" i="2"/>
  <c r="G12" i="2" a="1"/>
  <c r="G12" i="2"/>
  <c r="H12" i="2" a="1"/>
  <c r="H12" i="2"/>
  <c r="G13" i="2" a="1"/>
  <c r="G13" i="2"/>
  <c r="H13" i="2" a="1"/>
  <c r="H13" i="2"/>
  <c r="G14" i="2" a="1"/>
  <c r="G14" i="2"/>
  <c r="H14" i="2" a="1"/>
  <c r="H14" i="2"/>
  <c r="G15" i="2" a="1"/>
  <c r="G15" i="2"/>
  <c r="H15" i="2" a="1"/>
  <c r="H15" i="2"/>
  <c r="F12" i="2" a="1"/>
  <c r="F12" i="2"/>
  <c r="F13" i="2" a="1"/>
  <c r="F13" i="2"/>
  <c r="F14" i="2" a="1"/>
  <c r="F14" i="2"/>
  <c r="F15" i="2" a="1"/>
  <c r="F15" i="2"/>
  <c r="F11" i="2" a="1"/>
  <c r="F11" i="2" s="1"/>
  <c r="H6" i="4"/>
  <c r="H7" i="4"/>
  <c r="H8" i="4"/>
  <c r="H9" i="4"/>
  <c r="H10" i="4"/>
  <c r="H11" i="4"/>
  <c r="H12" i="4"/>
  <c r="H13" i="4"/>
  <c r="H14" i="4"/>
  <c r="G6" i="4"/>
  <c r="G7" i="4"/>
  <c r="G8" i="4"/>
  <c r="G9" i="4"/>
  <c r="G10" i="4"/>
  <c r="G11" i="4"/>
  <c r="G12" i="4"/>
  <c r="G13" i="4"/>
  <c r="G14" i="4"/>
  <c r="H5" i="4"/>
  <c r="G5" i="4"/>
  <c r="F5" i="1"/>
  <c r="F6" i="1"/>
  <c r="F7" i="1"/>
  <c r="F8" i="1"/>
  <c r="F9" i="1"/>
  <c r="F10" i="1"/>
  <c r="F11" i="1"/>
  <c r="F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4" i="1" a="1"/>
  <c r="D4" i="1" s="1"/>
  <c r="C4" i="1"/>
  <c r="D5" i="3"/>
  <c r="D6" i="3"/>
  <c r="D7" i="3"/>
  <c r="D8" i="3"/>
  <c r="D4" i="3"/>
  <c r="C5" i="3"/>
  <c r="C6" i="3"/>
  <c r="C7" i="3"/>
  <c r="C8" i="3"/>
  <c r="C4" i="3"/>
  <c r="B4" i="3"/>
  <c r="E6" i="4"/>
  <c r="E7" i="4"/>
  <c r="E8" i="4"/>
  <c r="E9" i="4"/>
  <c r="E10" i="4"/>
  <c r="E11" i="4"/>
  <c r="E12" i="4"/>
  <c r="E13" i="4"/>
  <c r="E14" i="4"/>
  <c r="E5" i="4"/>
  <c r="D6" i="4"/>
  <c r="D7" i="4"/>
  <c r="D8" i="4"/>
  <c r="D9" i="4"/>
  <c r="D10" i="4"/>
  <c r="D11" i="4"/>
  <c r="D12" i="4"/>
  <c r="D13" i="4"/>
  <c r="D14" i="4"/>
  <c r="D5" i="4"/>
  <c r="K5" i="5" a="1"/>
  <c r="K5" i="5" s="1"/>
  <c r="K6" i="5" a="1"/>
  <c r="K6" i="5" s="1"/>
  <c r="K7" i="5" a="1"/>
  <c r="K7" i="5" s="1"/>
  <c r="K8" i="5" a="1"/>
  <c r="K8" i="5" s="1"/>
  <c r="K9" i="5" a="1"/>
  <c r="K9" i="5"/>
  <c r="K10" i="5" a="1"/>
  <c r="K10" i="5" s="1"/>
  <c r="K11" i="5" a="1"/>
  <c r="K11" i="5" s="1"/>
  <c r="K12" i="5" a="1"/>
  <c r="K12" i="5"/>
  <c r="K13" i="5" a="1"/>
  <c r="K13" i="5" s="1"/>
  <c r="K14" i="5" a="1"/>
  <c r="K14" i="5" s="1"/>
  <c r="K15" i="5" a="1"/>
  <c r="K15" i="5" s="1"/>
  <c r="K16" i="5" a="1"/>
  <c r="K16" i="5" s="1"/>
  <c r="K17" i="5" a="1"/>
  <c r="K17" i="5" s="1"/>
  <c r="K18" i="5" a="1"/>
  <c r="K18" i="5" s="1"/>
  <c r="K4" i="5" a="1"/>
  <c r="K4" i="5" s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4" i="5"/>
  <c r="J5" i="5" a="1"/>
  <c r="J5" i="5"/>
  <c r="J6" i="5" a="1"/>
  <c r="J6" i="5"/>
  <c r="J7" i="5" a="1"/>
  <c r="J7" i="5"/>
  <c r="J8" i="5" a="1"/>
  <c r="J8" i="5"/>
  <c r="J9" i="5" a="1"/>
  <c r="J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H4" i="5" a="1"/>
  <c r="H4" i="5"/>
  <c r="H5" i="5" a="1"/>
  <c r="H5" i="5"/>
  <c r="H6" i="5" a="1"/>
  <c r="H6" i="5"/>
  <c r="H7" i="5" a="1"/>
  <c r="H7" i="5"/>
  <c r="H8" i="5" a="1"/>
  <c r="H8" i="5"/>
  <c r="H9" i="5" a="1"/>
  <c r="H9" i="5"/>
  <c r="H10" i="5" a="1"/>
  <c r="H10" i="5"/>
  <c r="H11" i="5" a="1"/>
  <c r="H11" i="5"/>
  <c r="H12" i="5" a="1"/>
  <c r="H12" i="5"/>
  <c r="H13" i="5" a="1"/>
  <c r="H13" i="5"/>
  <c r="H14" i="5" a="1"/>
  <c r="H14" i="5"/>
  <c r="H15" i="5" a="1"/>
  <c r="H15" i="5"/>
  <c r="H16" i="5" a="1"/>
  <c r="H16" i="5"/>
  <c r="H17" i="5" a="1"/>
  <c r="H17" i="5"/>
  <c r="H18" i="5" a="1"/>
  <c r="H18" i="5"/>
  <c r="C5" i="1"/>
  <c r="C6" i="1"/>
  <c r="C7" i="1"/>
  <c r="C8" i="1"/>
  <c r="C9" i="1"/>
  <c r="C10" i="1"/>
  <c r="C11" i="1"/>
  <c r="D15" i="2" a="1"/>
  <c r="D15" i="2" s="1"/>
  <c r="D12" i="2" a="1"/>
  <c r="D12" i="2" s="1"/>
  <c r="D13" i="2" a="1"/>
  <c r="D13" i="2" s="1"/>
  <c r="D14" i="2" a="1"/>
  <c r="D14" i="2" s="1"/>
  <c r="D11" i="2" a="1"/>
  <c r="D11" i="2" s="1"/>
  <c r="C12" i="2" a="1"/>
  <c r="C12" i="2" s="1"/>
  <c r="C13" i="2" a="1"/>
  <c r="C13" i="2" s="1"/>
  <c r="C14" i="2" a="1"/>
  <c r="C14" i="2" s="1"/>
  <c r="C15" i="2" a="1"/>
  <c r="C15" i="2"/>
  <c r="C11" i="2" a="1"/>
  <c r="C11" i="2" s="1"/>
  <c r="B12" i="2" a="1"/>
  <c r="B12" i="2" s="1"/>
  <c r="B13" i="2" a="1"/>
  <c r="B13" i="2"/>
  <c r="B14" i="2" a="1"/>
  <c r="B14" i="2" s="1"/>
  <c r="B15" i="2" a="1"/>
  <c r="B15" i="2"/>
  <c r="B11" i="2" a="1"/>
  <c r="B11" i="2" s="1"/>
  <c r="D18" i="5" l="1"/>
  <c r="C18" i="5" a="1"/>
  <c r="C18" i="5" s="1"/>
  <c r="D17" i="5"/>
  <c r="C17" i="5" a="1"/>
  <c r="C17" i="5" s="1"/>
  <c r="D16" i="5"/>
  <c r="C16" i="5" a="1"/>
  <c r="C16" i="5" s="1"/>
  <c r="D15" i="5"/>
  <c r="C15" i="5" a="1"/>
  <c r="C15" i="5" s="1"/>
  <c r="D14" i="5"/>
  <c r="C14" i="5" a="1"/>
  <c r="C14" i="5" s="1"/>
  <c r="D13" i="5"/>
  <c r="C13" i="5" a="1"/>
  <c r="C13" i="5" s="1"/>
  <c r="D12" i="5"/>
  <c r="C12" i="5" a="1"/>
  <c r="C12" i="5" s="1"/>
  <c r="D11" i="5"/>
  <c r="C11" i="5" a="1"/>
  <c r="C11" i="5" s="1"/>
  <c r="D10" i="5"/>
  <c r="C10" i="5" a="1"/>
  <c r="C10" i="5" s="1"/>
  <c r="D9" i="5"/>
  <c r="C9" i="5" a="1"/>
  <c r="C9" i="5" s="1"/>
  <c r="D8" i="5"/>
  <c r="C8" i="5" a="1"/>
  <c r="C8" i="5" s="1"/>
  <c r="D7" i="5"/>
  <c r="C7" i="5" a="1"/>
  <c r="C7" i="5" s="1"/>
  <c r="D6" i="5"/>
  <c r="C6" i="5" a="1"/>
  <c r="C6" i="5" s="1"/>
  <c r="C5" i="5" a="1"/>
  <c r="C5" i="5" s="1"/>
  <c r="E17" i="5" l="1"/>
  <c r="E6" i="5"/>
  <c r="E8" i="5"/>
  <c r="E10" i="5"/>
  <c r="E12" i="5"/>
  <c r="E14" i="5"/>
  <c r="E16" i="5"/>
  <c r="E4" i="5"/>
  <c r="E5" i="5"/>
  <c r="E7" i="5"/>
  <c r="E9" i="5"/>
  <c r="E11" i="5"/>
  <c r="E13" i="5"/>
  <c r="E15" i="5"/>
  <c r="E18" i="5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8" i="3" l="1"/>
  <c r="B7" i="3"/>
  <c r="B6" i="3"/>
  <c r="B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<sst xmlns="http://schemas.openxmlformats.org/spreadsheetml/2006/main" count="69" uniqueCount="56">
  <si>
    <t>Name</t>
  </si>
  <si>
    <t>Time for PushUps</t>
  </si>
  <si>
    <t>Score</t>
  </si>
  <si>
    <t>PUSH-UPS</t>
  </si>
  <si>
    <t>TIME</t>
  </si>
  <si>
    <t>SCORE</t>
  </si>
  <si>
    <t>Pragati</t>
  </si>
  <si>
    <t>Nikhil</t>
  </si>
  <si>
    <t>Farooq</t>
  </si>
  <si>
    <t>Sawai</t>
  </si>
  <si>
    <t>Shiv</t>
  </si>
  <si>
    <t>Paramjeet</t>
  </si>
  <si>
    <t>Sourav</t>
  </si>
  <si>
    <t>Jitender</t>
  </si>
  <si>
    <t>Employee ID</t>
  </si>
  <si>
    <t>INZ101</t>
  </si>
  <si>
    <t>INZ103</t>
  </si>
  <si>
    <t>INZ105</t>
  </si>
  <si>
    <t>INZ107</t>
  </si>
  <si>
    <t>INZ111</t>
  </si>
  <si>
    <t>Aman</t>
  </si>
  <si>
    <t>amresh</t>
  </si>
  <si>
    <t>mahesh</t>
  </si>
  <si>
    <t>kamlesh</t>
  </si>
  <si>
    <t>animesh</t>
  </si>
  <si>
    <t>Shift</t>
  </si>
  <si>
    <t>evening</t>
  </si>
  <si>
    <t>morning</t>
  </si>
  <si>
    <t>Salary</t>
  </si>
  <si>
    <t>Get the next day of week(i.e. Fri,Sat,Sun,Mon etc) from  a given date</t>
  </si>
  <si>
    <t>Date</t>
  </si>
  <si>
    <t>Next Monday</t>
  </si>
  <si>
    <t>Date &amp; Time</t>
  </si>
  <si>
    <t>Only Date</t>
  </si>
  <si>
    <t>Only Time</t>
  </si>
  <si>
    <t>Text</t>
  </si>
  <si>
    <t>Num Start</t>
  </si>
  <si>
    <t>Length</t>
  </si>
  <si>
    <t>Number</t>
  </si>
  <si>
    <t>Digits</t>
  </si>
  <si>
    <t>Rs 600000</t>
  </si>
  <si>
    <t>US $ 31330.00</t>
  </si>
  <si>
    <t>Rs. 1300000</t>
  </si>
  <si>
    <t>INR 500000</t>
  </si>
  <si>
    <t>52500.00 USD</t>
  </si>
  <si>
    <t>Extract Numbers from Text</t>
  </si>
  <si>
    <t>Extract complete record using Vlookup Function based on Employee ID</t>
  </si>
  <si>
    <t>599000 INR</t>
  </si>
  <si>
    <t>800000 INR</t>
  </si>
  <si>
    <t>Rs 800000</t>
  </si>
  <si>
    <t>US $ 23000.00</t>
  </si>
  <si>
    <t xml:space="preserve">Exact Date &amp; Time using Function/Formula </t>
  </si>
  <si>
    <t>Extract Score based on given time using Vlookup formula in optimized way</t>
  </si>
  <si>
    <t>inz</t>
  </si>
  <si>
    <t xml:space="preserve">among both don’t know which one is correct as one considers </t>
  </si>
  <si>
    <t>"." , while other only considers numeric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</si>
</sst>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\ hh:mm\ AM/PM"/>
    <numFmt numFmtId="165" formatCode="dd\-mmm\-yyyy"/>
    <numFmt numFmtId="166" formatCode="hh:mm\ AM/PM"/>
    <numFmt numFmtId="167" formatCode="0.0"/>
    <numFmt numFmtId="168" formatCode="[$-10409]hh:mm\ AM/PM;@"/>
  </numFmts>
  <fonts count="11" x14ac:knownFonts="1"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21" fontId="0" fillId="0" borderId="1" xfId="0" applyNumberFormat="1" applyBorder="1"/>
    <xf numFmtId="0" fontId="0" fillId="3" borderId="1" xfId="0" applyFill="1" applyBorder="1"/>
    <xf numFmtId="0" fontId="3" fillId="4" borderId="2" xfId="0" applyFont="1" applyFill="1" applyBorder="1" applyAlignment="1">
      <alignment horizontal="centerContinuous" wrapText="1"/>
    </xf>
    <xf numFmtId="0" fontId="3" fillId="4" borderId="3" xfId="0" applyFont="1" applyFill="1" applyBorder="1" applyAlignment="1">
      <alignment horizontal="centerContinuous" wrapText="1"/>
    </xf>
    <xf numFmtId="21" fontId="0" fillId="5" borderId="1" xfId="0" applyNumberFormat="1" applyFill="1" applyBorder="1"/>
    <xf numFmtId="0" fontId="0" fillId="5" borderId="1" xfId="0" applyFill="1" applyBorder="1"/>
    <xf numFmtId="0" fontId="4" fillId="0" borderId="1" xfId="0" applyFont="1" applyBorder="1"/>
    <xf numFmtId="0" fontId="0" fillId="6" borderId="1" xfId="0" applyFill="1" applyBorder="1"/>
    <xf numFmtId="14" fontId="0" fillId="0" borderId="1" xfId="0" applyNumberFormat="1" applyBorder="1"/>
    <xf numFmtId="0" fontId="6" fillId="0" borderId="0" xfId="1" applyFont="1" applyAlignment="1">
      <alignment vertical="center"/>
    </xf>
    <xf numFmtId="0" fontId="5" fillId="0" borderId="0" xfId="1"/>
    <xf numFmtId="0" fontId="7" fillId="7" borderId="4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164" fontId="8" fillId="8" borderId="7" xfId="1" applyNumberFormat="1" applyFont="1" applyFill="1" applyBorder="1" applyAlignment="1">
      <alignment horizontal="center" vertical="center"/>
    </xf>
    <xf numFmtId="165" fontId="8" fillId="8" borderId="8" xfId="1" applyNumberFormat="1" applyFont="1" applyFill="1" applyBorder="1" applyAlignment="1">
      <alignment horizontal="center" vertical="center"/>
    </xf>
    <xf numFmtId="166" fontId="8" fillId="8" borderId="9" xfId="1" applyNumberFormat="1" applyFont="1" applyFill="1" applyBorder="1" applyAlignment="1">
      <alignment horizontal="center" vertical="center"/>
    </xf>
    <xf numFmtId="167" fontId="5" fillId="0" borderId="0" xfId="1" applyNumberFormat="1" applyAlignment="1">
      <alignment horizontal="center"/>
    </xf>
    <xf numFmtId="164" fontId="8" fillId="0" borderId="7" xfId="1" applyNumberFormat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0" fontId="4" fillId="9" borderId="11" xfId="1" applyFont="1" applyFill="1" applyBorder="1"/>
    <xf numFmtId="0" fontId="4" fillId="9" borderId="11" xfId="1" applyFont="1" applyFill="1" applyBorder="1" applyAlignment="1">
      <alignment horizontal="center"/>
    </xf>
    <xf numFmtId="0" fontId="4" fillId="9" borderId="11" xfId="1" applyFont="1" applyFill="1" applyBorder="1" applyAlignment="1">
      <alignment horizontal="right"/>
    </xf>
    <xf numFmtId="0" fontId="5" fillId="0" borderId="11" xfId="1" applyBorder="1" applyAlignment="1">
      <alignment horizontal="left"/>
    </xf>
    <xf numFmtId="0" fontId="5" fillId="0" borderId="11" xfId="1" applyBorder="1" applyAlignment="1">
      <alignment horizontal="center"/>
    </xf>
    <xf numFmtId="0" fontId="5" fillId="0" borderId="11" xfId="1" applyBorder="1"/>
    <xf numFmtId="0" fontId="4" fillId="0" borderId="1" xfId="0" applyFont="1" applyBorder="1" applyAlignment="1">
      <alignment horizontal="left"/>
    </xf>
    <xf numFmtId="0" fontId="9" fillId="0" borderId="1" xfId="0" applyFont="1" applyBorder="1"/>
    <xf numFmtId="0" fontId="2" fillId="0" borderId="0" xfId="0" applyFont="1"/>
    <xf numFmtId="0" fontId="10" fillId="10" borderId="0" xfId="1" applyFont="1" applyFill="1"/>
    <xf numFmtId="0" fontId="1" fillId="0" borderId="0" xfId="1" applyFont="1"/>
    <xf numFmtId="168" fontId="5" fillId="0" borderId="0" xfId="1" applyNumberFormat="1"/>
    <xf numFmtId="14" fontId="0" fillId="0" borderId="0" xfId="0" applyNumberFormat="1"/>
    <xf numFmtId="19" fontId="5" fillId="0" borderId="0" xfId="1" applyNumberFormat="1"/>
    <xf numFmtId="16" fontId="0" fillId="0" borderId="0" xfId="0" applyNumberFormat="1"/>
    <xf numFmtId="0" fontId="0" fillId="0" borderId="0" xfId="0" applyNumberFormat="1" applyFill="1" applyBorder="1"/>
  </cellXfs>
  <cellStyles count="2">
    <cellStyle name="Normal" xfId="0" builtinId="0"/>
    <cellStyle name="Normal 2" xfId="1" xr:uid="{0EAE2827-6BEE-48A5-B6B2-20F1792FCAA6}"/>
  </cellStyles>
  <dxfs count="1"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CC3D-3D17-414B-8AA4-895892EFDBAC}">
  <dimension ref="A1:H15"/>
  <sheetViews>
    <sheetView topLeftCell="A6" workbookViewId="0">
      <selection activeCell="I15" sqref="I11:I15"/>
    </sheetView>
  </sheetViews>
  <sheetFormatPr defaultRowHeight="25.8" x14ac:dyDescent="0.5"/>
  <sheetData>
    <row r="1" spans="1:8" x14ac:dyDescent="0.5">
      <c r="A1" s="30" t="s">
        <v>46</v>
      </c>
    </row>
    <row r="3" spans="1:8" x14ac:dyDescent="0.5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</row>
    <row r="4" spans="1:8" x14ac:dyDescent="0.5">
      <c r="A4" s="29" t="s">
        <v>0</v>
      </c>
      <c r="B4" s="29" t="s">
        <v>20</v>
      </c>
      <c r="C4" s="29" t="s">
        <v>21</v>
      </c>
      <c r="D4" s="29" t="s">
        <v>22</v>
      </c>
      <c r="E4" s="29" t="s">
        <v>23</v>
      </c>
      <c r="F4" s="29" t="s">
        <v>24</v>
      </c>
    </row>
    <row r="5" spans="1:8" x14ac:dyDescent="0.5">
      <c r="A5" s="29" t="s">
        <v>25</v>
      </c>
      <c r="B5" s="29" t="s">
        <v>26</v>
      </c>
      <c r="C5" s="29" t="s">
        <v>27</v>
      </c>
      <c r="D5" s="29" t="s">
        <v>26</v>
      </c>
      <c r="E5" s="29" t="s">
        <v>27</v>
      </c>
      <c r="F5" s="29" t="s">
        <v>27</v>
      </c>
    </row>
    <row r="6" spans="1:8" x14ac:dyDescent="0.5">
      <c r="A6" s="29" t="s">
        <v>28</v>
      </c>
      <c r="B6" s="29">
        <v>10000</v>
      </c>
      <c r="C6" s="29">
        <v>14000</v>
      </c>
      <c r="D6" s="29">
        <v>19000</v>
      </c>
      <c r="E6" s="29">
        <v>12000</v>
      </c>
      <c r="F6" s="29">
        <v>14000</v>
      </c>
    </row>
    <row r="10" spans="1:8" x14ac:dyDescent="0.5">
      <c r="A10" s="9" t="s">
        <v>14</v>
      </c>
      <c r="B10" s="9" t="s">
        <v>0</v>
      </c>
      <c r="C10" s="9" t="s">
        <v>25</v>
      </c>
      <c r="D10" s="9" t="s">
        <v>28</v>
      </c>
    </row>
    <row r="11" spans="1:8" x14ac:dyDescent="0.5">
      <c r="A11" s="9" t="s">
        <v>15</v>
      </c>
      <c r="B11" s="29" t="str">
        <f t="array" ref="B11">VLOOKUP($A11,TRANSPOSE($A$3:$F$6),2,0)</f>
        <v>Aman</v>
      </c>
      <c r="C11" s="29" t="str">
        <f t="array" ref="C11">VLOOKUP($A11,TRANSPOSE($A$3:$F$6),3,0)</f>
        <v>evening</v>
      </c>
      <c r="D11" s="29">
        <f t="array" ref="D11">VLOOKUP($A11,TRANSPOSE($A$3:$F$6),4,0)</f>
        <v>10000</v>
      </c>
      <c r="F11" t="str" cm="1">
        <f t="array" ref="F11">VLOOKUP($A11,TRANSPOSE($B$3:$F$6),1 + COLUMNS($F$10:F10),0)</f>
        <v>Aman</v>
      </c>
      <c r="G11" t="str" cm="1">
        <f t="array" ref="G11">VLOOKUP($A11,TRANSPOSE($B$3:$F$6),1 + COLUMNS($F$10:G10),0)</f>
        <v>evening</v>
      </c>
      <c r="H11" cm="1">
        <f t="array" ref="H11">VLOOKUP($A11,TRANSPOSE($B$3:$F$6),1 + COLUMNS($F$10:H10),0)</f>
        <v>10000</v>
      </c>
    </row>
    <row r="12" spans="1:8" x14ac:dyDescent="0.5">
      <c r="A12" s="9" t="s">
        <v>16</v>
      </c>
      <c r="B12" s="29" t="str">
        <f t="array" ref="B12">VLOOKUP($A12,TRANSPOSE($A$3:$F$6),2,0)</f>
        <v>amresh</v>
      </c>
      <c r="C12" s="29" t="str">
        <f t="array" ref="C12">VLOOKUP($A12,TRANSPOSE($A$3:$F$6),3,0)</f>
        <v>morning</v>
      </c>
      <c r="D12" s="29">
        <f t="array" ref="D12">VLOOKUP($A12,TRANSPOSE($A$3:$F$6),4,0)</f>
        <v>14000</v>
      </c>
      <c r="F12" t="str" cm="1">
        <f t="array" ref="F12">VLOOKUP($A12,TRANSPOSE($B$3:$F$6),1 + COLUMNS($F$10:F11),0)</f>
        <v>amresh</v>
      </c>
      <c r="G12" t="str" cm="1">
        <f t="array" ref="G12">VLOOKUP($A12,TRANSPOSE($B$3:$F$6),1 + COLUMNS($F$10:G11),0)</f>
        <v>morning</v>
      </c>
      <c r="H12" cm="1">
        <f t="array" ref="H12">VLOOKUP($A12,TRANSPOSE($B$3:$F$6),1 + COLUMNS($F$10:H11),0)</f>
        <v>14000</v>
      </c>
    </row>
    <row r="13" spans="1:8" x14ac:dyDescent="0.5">
      <c r="A13" s="9" t="s">
        <v>17</v>
      </c>
      <c r="B13" s="29" t="str">
        <f t="array" ref="B13">VLOOKUP($A13,TRANSPOSE($A$3:$F$6),2,0)</f>
        <v>mahesh</v>
      </c>
      <c r="C13" s="29" t="str">
        <f t="array" ref="C13">VLOOKUP($A13,TRANSPOSE($A$3:$F$6),3,0)</f>
        <v>evening</v>
      </c>
      <c r="D13" s="29">
        <f t="array" ref="D13">VLOOKUP($A13,TRANSPOSE($A$3:$F$6),4,0)</f>
        <v>19000</v>
      </c>
      <c r="F13" t="str" cm="1">
        <f t="array" ref="F13">VLOOKUP($A13,TRANSPOSE($B$3:$F$6),1 + COLUMNS($F$10:F12),0)</f>
        <v>mahesh</v>
      </c>
      <c r="G13" t="str" cm="1">
        <f t="array" ref="G13">VLOOKUP($A13,TRANSPOSE($B$3:$F$6),1 + COLUMNS($F$10:G12),0)</f>
        <v>evening</v>
      </c>
      <c r="H13" cm="1">
        <f t="array" ref="H13">VLOOKUP($A13,TRANSPOSE($B$3:$F$6),1 + COLUMNS($F$10:H12),0)</f>
        <v>19000</v>
      </c>
    </row>
    <row r="14" spans="1:8" x14ac:dyDescent="0.5">
      <c r="A14" s="9" t="s">
        <v>18</v>
      </c>
      <c r="B14" s="29" t="str">
        <f t="array" ref="B14">VLOOKUP($A14,TRANSPOSE($A$3:$F$6),2,0)</f>
        <v>kamlesh</v>
      </c>
      <c r="C14" s="29" t="str">
        <f t="array" ref="C14">VLOOKUP($A14,TRANSPOSE($A$3:$F$6),3,0)</f>
        <v>morning</v>
      </c>
      <c r="D14" s="29">
        <f t="array" ref="D14">VLOOKUP($A14,TRANSPOSE($A$3:$F$6),4,0)</f>
        <v>12000</v>
      </c>
      <c r="F14" t="str" cm="1">
        <f t="array" ref="F14">VLOOKUP($A14,TRANSPOSE($B$3:$F$6),1 + COLUMNS($F$10:F13),0)</f>
        <v>kamlesh</v>
      </c>
      <c r="G14" t="str" cm="1">
        <f t="array" ref="G14">VLOOKUP($A14,TRANSPOSE($B$3:$F$6),1 + COLUMNS($F$10:G13),0)</f>
        <v>morning</v>
      </c>
      <c r="H14" cm="1">
        <f t="array" ref="H14">VLOOKUP($A14,TRANSPOSE($B$3:$F$6),1 + COLUMNS($F$10:H13),0)</f>
        <v>12000</v>
      </c>
    </row>
    <row r="15" spans="1:8" x14ac:dyDescent="0.5">
      <c r="A15" s="9" t="s">
        <v>19</v>
      </c>
      <c r="B15" s="29" t="str">
        <f t="array" ref="B15">VLOOKUP($A15,TRANSPOSE($A$3:$F$6),2,0)</f>
        <v>animesh</v>
      </c>
      <c r="C15" s="29" t="str">
        <f t="array" ref="C15">VLOOKUP($A15,TRANSPOSE($A$3:$F$6),3,0)</f>
        <v>morning</v>
      </c>
      <c r="D15" s="29">
        <f t="array" ref="D15">VLOOKUP($A15,TRANSPOSE($A$3:$F$6),4,0)</f>
        <v>14000</v>
      </c>
      <c r="F15" t="str" cm="1">
        <f t="array" ref="F15">VLOOKUP($A15,TRANSPOSE($B$3:$F$6),1 + COLUMNS($F$10:F14),0)</f>
        <v>animesh</v>
      </c>
      <c r="G15" t="str" cm="1">
        <f t="array" ref="G15">VLOOKUP($A15,TRANSPOSE($B$3:$F$6),1 + COLUMNS($F$10:G14),0)</f>
        <v>morning</v>
      </c>
      <c r="H15" cm="1">
        <f t="array" ref="H15">VLOOKUP($A15,TRANSPOSE($B$3:$F$6),1 + COLUMNS($F$10:H14),0)</f>
        <v>14000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A305-FF46-4B01-BFB9-D85F7DEFECCA}">
  <dimension ref="B1:M24"/>
  <sheetViews>
    <sheetView showGridLines="0" tabSelected="1" workbookViewId="0">
      <selection activeCell="N4" sqref="N4"/>
    </sheetView>
  </sheetViews>
  <sheetFormatPr defaultColWidth="9.1171875" defaultRowHeight="14.4" x14ac:dyDescent="0.3"/>
  <cols>
    <col min="1" max="1" width="2" style="13" customWidth="1"/>
    <col min="2" max="2" width="10.46875" style="13" bestFit="1" customWidth="1"/>
    <col min="3" max="3" width="5.41015625" style="13" customWidth="1"/>
    <col min="4" max="4" width="6.234375" style="13" customWidth="1"/>
    <col min="5" max="5" width="5.41015625" style="13" customWidth="1"/>
    <col min="6" max="6" width="1.87890625" style="13" customWidth="1"/>
    <col min="7" max="7" width="5.41015625" style="13" customWidth="1"/>
    <col min="8" max="16384" width="9.1171875" style="13"/>
  </cols>
  <sheetData>
    <row r="1" spans="2:13" ht="21" x14ac:dyDescent="0.4">
      <c r="B1" s="30" t="s">
        <v>45</v>
      </c>
      <c r="C1" s="30"/>
      <c r="D1" s="30"/>
      <c r="E1" s="30"/>
    </row>
    <row r="3" spans="2:13" x14ac:dyDescent="0.3">
      <c r="B3" s="23" t="s">
        <v>35</v>
      </c>
      <c r="C3" s="24" t="s">
        <v>36</v>
      </c>
      <c r="D3" s="24" t="s">
        <v>37</v>
      </c>
      <c r="E3" s="25" t="s">
        <v>38</v>
      </c>
      <c r="G3" s="24" t="s">
        <v>39</v>
      </c>
    </row>
    <row r="4" spans="2:13" ht="15.6" x14ac:dyDescent="0.3">
      <c r="B4" s="26" t="s">
        <v>47</v>
      </c>
      <c r="C4" s="27" cm="1">
        <f t="array" ref="C4">MIN(IFERROR(FIND(lstNumbers,B4),""))</f>
        <v>1</v>
      </c>
      <c r="D4" s="27" cm="1">
        <f t="array" ref="D4">SUMPRODUCT(COUNTIF(lstNumbers,MID(B4,ROW($A$1:$A$200),1)))</f>
        <v>6</v>
      </c>
      <c r="E4" s="28">
        <f>MID(B4,C4,D4)+0</f>
        <v>599000</v>
      </c>
      <c r="G4" s="27">
        <v>0</v>
      </c>
      <c r="H4" s="13" cm="1">
        <f t="array" ref="H4">SMALL(IFERROR(FIND( _xlfn.SEQUENCE(10,,0),B4),""),1)</f>
        <v>1</v>
      </c>
      <c r="I4" s="32">
        <f>LEN(TRIM(PROPER(SUBSTITUTE(SUBSTITUTE(SUBSTITUTE(SUBSTITUTE(SUBSTITUTE(LOWER(B4), "inr",""), "usd", ""), "rs.",""), "us $",""),"rs", ""))))</f>
        <v>6</v>
      </c>
      <c r="J4" s="13" cm="1">
        <f t="array" ref="J4">LARGE(IFERROR(TRANSPOSE(VALUE(_xlfn.TEXTSPLIT(B4," "))),""),1)</f>
        <v>599000</v>
      </c>
      <c r="K4" s="32" cm="1">
        <f t="array" ref="K4">SUM(COUNTIFS(lstNumbers, MID(B4,_xlfn.SEQUENCE(LEN(B4)),1)))</f>
        <v>6</v>
      </c>
      <c r="M4" s="13" cm="1">
        <f t="array" ref="M4">_xlfn.LET(_xlpm.a, IF(COUNTIF(lstNumbers,MID(B4,ROW($A$1:$A$200),1))&gt;=1,ROW($A$1:$A$200),""), MID(B4, MIN(_xlpm.a), MAX(_xlpm.a)-MIN(_xlpm.a)+1))+0</f>
        <v>599000</v>
      </c>
    </row>
    <row r="5" spans="2:13" ht="15.6" x14ac:dyDescent="0.3">
      <c r="B5" s="26">
        <v>440000</v>
      </c>
      <c r="C5" s="27">
        <f t="array" ref="C5">MIN(IFERROR(FIND(lstNumbers,B5),""))</f>
        <v>1</v>
      </c>
      <c r="D5" s="27" cm="1">
        <f t="array" ref="D5">SUMPRODUCT(COUNTIF(lstNumbers,MID(B5,ROW($A$1:$A$200),1)))</f>
        <v>6</v>
      </c>
      <c r="E5" s="28">
        <f t="shared" ref="E5:E10" si="0">MID(B5,C5,D5)+0</f>
        <v>440000</v>
      </c>
      <c r="G5" s="27">
        <v>1</v>
      </c>
      <c r="H5" s="13" cm="1">
        <f t="array" ref="H5">SMALL(IFERROR(FIND( _xlfn.SEQUENCE(10,,0),B5),""),1)</f>
        <v>1</v>
      </c>
      <c r="I5" s="32">
        <f t="shared" ref="I5:I18" si="1">LEN(TRIM(PROPER(SUBSTITUTE(SUBSTITUTE(SUBSTITUTE(SUBSTITUTE(SUBSTITUTE(LOWER(B5), "inr",""), "usd", ""), "rs.",""), "us $",""),"rs", ""))))</f>
        <v>6</v>
      </c>
      <c r="J5" s="13" cm="1">
        <f t="array" ref="J5">LARGE(IFERROR(TRANSPOSE(VALUE(_xlfn.TEXTSPLIT(B5," "))),""),1)</f>
        <v>440000</v>
      </c>
      <c r="K5" s="32" cm="1">
        <f t="array" ref="K5">SUM(COUNTIFS(lstNumbers, MID(B5,_xlfn.SEQUENCE(LEN(B5)),1)))</f>
        <v>6</v>
      </c>
      <c r="M5" s="13" cm="1">
        <f t="array" ref="M5">_xlfn.LET(_xlpm.a, IF(COUNTIF(lstNumbers,MID(B5,ROW($A$1:$A$200),1))&gt;=1,ROW($A$1:$A$200),""), MID(B5, MIN(_xlpm.a), MAX(_xlpm.a)-MIN(_xlpm.a)+1))+0</f>
        <v>440000</v>
      </c>
    </row>
    <row r="6" spans="2:13" ht="15.6" x14ac:dyDescent="0.3">
      <c r="B6" s="26">
        <v>2000000</v>
      </c>
      <c r="C6" s="27">
        <f t="array" ref="C6">MIN(IFERROR(FIND(lstNumbers,B6),""))</f>
        <v>1</v>
      </c>
      <c r="D6" s="27">
        <f t="shared" ref="D5:D18" si="2">SUMPRODUCT(COUNTIF(lstNumbers,MID(B6,ROW($A$1:$A$200),1)))</f>
        <v>7</v>
      </c>
      <c r="E6" s="28">
        <f t="shared" si="0"/>
        <v>2000000</v>
      </c>
      <c r="G6" s="27">
        <v>2</v>
      </c>
      <c r="H6" s="13" cm="1">
        <f t="array" ref="H6">SMALL(IFERROR(FIND( _xlfn.SEQUENCE(10,,0),B6),""),1)</f>
        <v>1</v>
      </c>
      <c r="I6" s="32">
        <f t="shared" si="1"/>
        <v>7</v>
      </c>
      <c r="J6" s="13" cm="1">
        <f t="array" ref="J6">LARGE(IFERROR(TRANSPOSE(VALUE(_xlfn.TEXTSPLIT(B6," "))),""),1)</f>
        <v>2000000</v>
      </c>
      <c r="K6" s="32" cm="1">
        <f t="array" ref="K6">SUM(COUNTIFS(lstNumbers, MID(B6,_xlfn.SEQUENCE(LEN(B6)),1)))</f>
        <v>7</v>
      </c>
      <c r="M6" s="13" cm="1">
        <f t="array" ref="M6">_xlfn.LET(_xlpm.a, IF(COUNTIF(lstNumbers,MID(B6,ROW($A$1:$A$200),1))&gt;=1,ROW($A$1:$A$200),""), MID(B6, MIN(_xlpm.a), MAX(_xlpm.a)-MIN(_xlpm.a)+1))+0</f>
        <v>2000000</v>
      </c>
    </row>
    <row r="7" spans="2:13" ht="15.6" x14ac:dyDescent="0.3">
      <c r="B7" s="26" t="s">
        <v>48</v>
      </c>
      <c r="C7" s="27">
        <f t="array" ref="C7">MIN(IFERROR(FIND(lstNumbers,B7),""))</f>
        <v>1</v>
      </c>
      <c r="D7" s="27">
        <f t="shared" si="2"/>
        <v>6</v>
      </c>
      <c r="E7" s="28">
        <f t="shared" si="0"/>
        <v>800000</v>
      </c>
      <c r="G7" s="27">
        <v>3</v>
      </c>
      <c r="H7" s="13" cm="1">
        <f t="array" ref="H7">SMALL(IFERROR(FIND( _xlfn.SEQUENCE(10,,0),B7),""),1)</f>
        <v>1</v>
      </c>
      <c r="I7" s="32">
        <f t="shared" si="1"/>
        <v>6</v>
      </c>
      <c r="J7" s="13" cm="1">
        <f t="array" ref="J7">LARGE(IFERROR(TRANSPOSE(VALUE(_xlfn.TEXTSPLIT(B7," "))),""),1)</f>
        <v>800000</v>
      </c>
      <c r="K7" s="32" cm="1">
        <f t="array" ref="K7">SUM(COUNTIFS(lstNumbers, MID(B7,_xlfn.SEQUENCE(LEN(B7)),1)))</f>
        <v>6</v>
      </c>
      <c r="M7" s="13" cm="1">
        <f t="array" ref="M7">_xlfn.LET(_xlpm.a, IF(COUNTIF(lstNumbers,MID(B7,ROW($A$1:$A$200),1))&gt;=1,ROW($A$1:$A$200),""), MID(B7, MIN(_xlpm.a), MAX(_xlpm.a)-MIN(_xlpm.a)+1))+0</f>
        <v>800000</v>
      </c>
    </row>
    <row r="8" spans="2:13" ht="15.6" x14ac:dyDescent="0.3">
      <c r="B8" s="26" t="s">
        <v>40</v>
      </c>
      <c r="C8" s="27">
        <f t="array" ref="C8">MIN(IFERROR(FIND(lstNumbers,B8),""))</f>
        <v>4</v>
      </c>
      <c r="D8" s="27">
        <f t="shared" si="2"/>
        <v>6</v>
      </c>
      <c r="E8" s="28">
        <f t="shared" si="0"/>
        <v>600000</v>
      </c>
      <c r="G8" s="27">
        <v>4</v>
      </c>
      <c r="H8" s="13" cm="1">
        <f t="array" ref="H8">SMALL(IFERROR(FIND( _xlfn.SEQUENCE(10,,0),B8),""),1)</f>
        <v>4</v>
      </c>
      <c r="I8" s="32">
        <f t="shared" si="1"/>
        <v>6</v>
      </c>
      <c r="J8" s="13" cm="1">
        <f t="array" ref="J8">LARGE(IFERROR(TRANSPOSE(VALUE(_xlfn.TEXTSPLIT(B8," "))),""),1)</f>
        <v>600000</v>
      </c>
      <c r="K8" s="32" cm="1">
        <f t="array" ref="K8">SUM(COUNTIFS(lstNumbers, MID(B8,_xlfn.SEQUENCE(LEN(B8)),1)))</f>
        <v>6</v>
      </c>
      <c r="M8" s="13" cm="1">
        <f t="array" ref="M8">_xlfn.LET(_xlpm.a, IF(COUNTIF(lstNumbers,MID(B8,ROW($A$1:$A$200),1))&gt;=1,ROW($A$1:$A$200),""), MID(B8, MIN(_xlpm.a), MAX(_xlpm.a)-MIN(_xlpm.a)+1))+0</f>
        <v>600000</v>
      </c>
    </row>
    <row r="9" spans="2:13" ht="15.6" x14ac:dyDescent="0.3">
      <c r="B9" s="26">
        <v>500000</v>
      </c>
      <c r="C9" s="27">
        <f t="array" ref="C9">MIN(IFERROR(FIND(lstNumbers,B9),""))</f>
        <v>1</v>
      </c>
      <c r="D9" s="27">
        <f t="shared" si="2"/>
        <v>6</v>
      </c>
      <c r="E9" s="28">
        <f t="shared" si="0"/>
        <v>500000</v>
      </c>
      <c r="G9" s="27">
        <v>5</v>
      </c>
      <c r="H9" s="13" cm="1">
        <f t="array" ref="H9">SMALL(IFERROR(FIND( _xlfn.SEQUENCE(10,,0),B9),""),1)</f>
        <v>1</v>
      </c>
      <c r="I9" s="32">
        <f t="shared" si="1"/>
        <v>6</v>
      </c>
      <c r="J9" s="13" cm="1">
        <f t="array" ref="J9">LARGE(IFERROR(TRANSPOSE(VALUE(_xlfn.TEXTSPLIT(B9," "))),""),1)</f>
        <v>500000</v>
      </c>
      <c r="K9" s="32" cm="1">
        <f t="array" ref="K9">SUM(COUNTIFS(lstNumbers, MID(B9,_xlfn.SEQUENCE(LEN(B9)),1)))</f>
        <v>6</v>
      </c>
      <c r="M9" s="13" cm="1">
        <f t="array" ref="M9">_xlfn.LET(_xlpm.a, IF(COUNTIF(lstNumbers,MID(B9,ROW($A$1:$A$200),1))&gt;=1,ROW($A$1:$A$200),""), MID(B9, MIN(_xlpm.a), MAX(_xlpm.a)-MIN(_xlpm.a)+1))+0</f>
        <v>500000</v>
      </c>
    </row>
    <row r="10" spans="2:13" ht="15.6" x14ac:dyDescent="0.3">
      <c r="B10" s="26" t="s">
        <v>49</v>
      </c>
      <c r="C10" s="27">
        <f t="array" ref="C10">MIN(IFERROR(FIND(lstNumbers,B10),""))</f>
        <v>4</v>
      </c>
      <c r="D10" s="27">
        <f t="shared" si="2"/>
        <v>6</v>
      </c>
      <c r="E10" s="28">
        <f t="shared" si="0"/>
        <v>800000</v>
      </c>
      <c r="G10" s="27">
        <v>6</v>
      </c>
      <c r="H10" s="13" cm="1">
        <f t="array" ref="H10">SMALL(IFERROR(FIND( _xlfn.SEQUENCE(10,,0),B10),""),1)</f>
        <v>4</v>
      </c>
      <c r="I10" s="32">
        <f t="shared" si="1"/>
        <v>6</v>
      </c>
      <c r="J10" s="13" cm="1">
        <f t="array" ref="J10">LARGE(IFERROR(TRANSPOSE(VALUE(_xlfn.TEXTSPLIT(B10," "))),""),1)</f>
        <v>800000</v>
      </c>
      <c r="K10" s="32" cm="1">
        <f t="array" ref="K10">SUM(COUNTIFS(lstNumbers, MID(B10,_xlfn.SEQUENCE(LEN(B10)),1)))</f>
        <v>6</v>
      </c>
      <c r="M10" s="13" cm="1">
        <f t="array" ref="M10">_xlfn.LET(_xlpm.a, IF(COUNTIF(lstNumbers,MID(B10,ROW($A$1:$A$200),1))&gt;=1,ROW($A$1:$A$200),""), MID(B10, MIN(_xlpm.a), MAX(_xlpm.a)-MIN(_xlpm.a)+1))+0</f>
        <v>800000</v>
      </c>
    </row>
    <row r="11" spans="2:13" ht="15.6" x14ac:dyDescent="0.3">
      <c r="B11" s="26">
        <v>400000</v>
      </c>
      <c r="C11" s="27">
        <f t="array" ref="C11">MIN(IFERROR(FIND(lstNumbers,B11),""))</f>
        <v>1</v>
      </c>
      <c r="D11" s="27">
        <f t="shared" si="2"/>
        <v>6</v>
      </c>
      <c r="E11" s="28">
        <f t="shared" ref="E11:E18" si="3">MID(B11,C11,D11)+0</f>
        <v>400000</v>
      </c>
      <c r="G11" s="27">
        <v>7</v>
      </c>
      <c r="H11" s="13" cm="1">
        <f t="array" ref="H11">SMALL(IFERROR(FIND( _xlfn.SEQUENCE(10,,0),B11),""),1)</f>
        <v>1</v>
      </c>
      <c r="I11" s="32">
        <f t="shared" si="1"/>
        <v>6</v>
      </c>
      <c r="J11" s="13" cm="1">
        <f t="array" ref="J11">LARGE(IFERROR(TRANSPOSE(VALUE(_xlfn.TEXTSPLIT(B11," "))),""),1)</f>
        <v>400000</v>
      </c>
      <c r="K11" s="32" cm="1">
        <f t="array" ref="K11">SUM(COUNTIFS(lstNumbers, MID(B11,_xlfn.SEQUENCE(LEN(B11)),1)))</f>
        <v>6</v>
      </c>
      <c r="M11" s="13" cm="1">
        <f t="array" ref="M11">_xlfn.LET(_xlpm.a, IF(COUNTIF(lstNumbers,MID(B11,ROW($A$1:$A$200),1))&gt;=1,ROW($A$1:$A$200),""), MID(B11, MIN(_xlpm.a), MAX(_xlpm.a)-MIN(_xlpm.a)+1))+0</f>
        <v>400000</v>
      </c>
    </row>
    <row r="12" spans="2:13" ht="15.6" x14ac:dyDescent="0.3">
      <c r="B12" s="26" t="s">
        <v>41</v>
      </c>
      <c r="C12" s="27">
        <f t="array" ref="C12">MIN(IFERROR(FIND(lstNumbers,B12),""))</f>
        <v>6</v>
      </c>
      <c r="D12" s="27">
        <f t="shared" si="2"/>
        <v>7</v>
      </c>
      <c r="E12" s="28">
        <f t="shared" si="3"/>
        <v>31330</v>
      </c>
      <c r="G12" s="27">
        <v>8</v>
      </c>
      <c r="H12" s="13" cm="1">
        <f t="array" ref="H12">SMALL(IFERROR(FIND( _xlfn.SEQUENCE(10,,0),B12),""),1)</f>
        <v>6</v>
      </c>
      <c r="I12" s="32">
        <f t="shared" si="1"/>
        <v>8</v>
      </c>
      <c r="J12" s="13" cm="1">
        <f t="array" ref="J12">LARGE(IFERROR(TRANSPOSE(VALUE(_xlfn.TEXTSPLIT(B12," "))),""),1)</f>
        <v>31330</v>
      </c>
      <c r="K12" s="32" cm="1">
        <f t="array" ref="K12">SUM(COUNTIFS(lstNumbers, MID(B12,_xlfn.SEQUENCE(LEN(B12)),1)))</f>
        <v>7</v>
      </c>
      <c r="M12" s="13" cm="1">
        <f t="array" ref="M12">_xlfn.LET(_xlpm.a, IF(COUNTIF(lstNumbers,MID(B12,ROW($A$1:$A$200),1))&gt;=1,ROW($A$1:$A$200),""), MID(B12, MIN(_xlpm.a), MAX(_xlpm.a)-MIN(_xlpm.a)+1))+0</f>
        <v>31330</v>
      </c>
    </row>
    <row r="13" spans="2:13" ht="15.6" x14ac:dyDescent="0.3">
      <c r="B13" s="26" t="s">
        <v>50</v>
      </c>
      <c r="C13" s="27">
        <f t="array" ref="C13">MIN(IFERROR(FIND(lstNumbers,B13),""))</f>
        <v>6</v>
      </c>
      <c r="D13" s="27">
        <f t="shared" si="2"/>
        <v>7</v>
      </c>
      <c r="E13" s="28">
        <f t="shared" si="3"/>
        <v>23000</v>
      </c>
      <c r="G13" s="27">
        <v>9</v>
      </c>
      <c r="H13" s="13" cm="1">
        <f t="array" ref="H13">SMALL(IFERROR(FIND( _xlfn.SEQUENCE(10,,0),B13),""),1)</f>
        <v>6</v>
      </c>
      <c r="I13" s="32">
        <f t="shared" si="1"/>
        <v>8</v>
      </c>
      <c r="J13" s="13" cm="1">
        <f t="array" ref="J13">LARGE(IFERROR(TRANSPOSE(VALUE(_xlfn.TEXTSPLIT(B13," "))),""),1)</f>
        <v>23000</v>
      </c>
      <c r="K13" s="32" cm="1">
        <f t="array" ref="K13">SUM(COUNTIFS(lstNumbers, MID(B13,_xlfn.SEQUENCE(LEN(B13)),1)))</f>
        <v>7</v>
      </c>
      <c r="M13" s="13" cm="1">
        <f t="array" ref="M13">_xlfn.LET(_xlpm.a, IF(COUNTIF(lstNumbers,MID(B13,ROW($A$1:$A$200),1))&gt;=1,ROW($A$1:$A$200),""), MID(B13, MIN(_xlpm.a), MAX(_xlpm.a)-MIN(_xlpm.a)+1))+0</f>
        <v>23000</v>
      </c>
    </row>
    <row r="14" spans="2:13" ht="15.6" x14ac:dyDescent="0.3">
      <c r="B14" s="26">
        <v>800000</v>
      </c>
      <c r="C14" s="27">
        <f t="array" ref="C14">MIN(IFERROR(FIND(lstNumbers,B14),""))</f>
        <v>1</v>
      </c>
      <c r="D14" s="27">
        <f t="shared" si="2"/>
        <v>6</v>
      </c>
      <c r="E14" s="28">
        <f t="shared" si="3"/>
        <v>800000</v>
      </c>
      <c r="G14" s="27"/>
      <c r="H14" s="13" cm="1">
        <f t="array" ref="H14">SMALL(IFERROR(FIND( _xlfn.SEQUENCE(10,,0),B14),""),1)</f>
        <v>1</v>
      </c>
      <c r="I14" s="32">
        <f t="shared" si="1"/>
        <v>6</v>
      </c>
      <c r="J14" s="13" cm="1">
        <f t="array" ref="J14">LARGE(IFERROR(TRANSPOSE(VALUE(_xlfn.TEXTSPLIT(B14," "))),""),1)</f>
        <v>800000</v>
      </c>
      <c r="K14" s="32" cm="1">
        <f t="array" ref="K14">SUM(COUNTIFS(lstNumbers, MID(B14,_xlfn.SEQUENCE(LEN(B14)),1)))</f>
        <v>6</v>
      </c>
      <c r="M14" s="13" cm="1">
        <f t="array" ref="M14">_xlfn.LET(_xlpm.a, IF(COUNTIF(lstNumbers,MID(B14,ROW($A$1:$A$200),1))&gt;=1,ROW($A$1:$A$200),""), MID(B14, MIN(_xlpm.a), MAX(_xlpm.a)-MIN(_xlpm.a)+1))+0</f>
        <v>800000</v>
      </c>
    </row>
    <row r="15" spans="2:13" ht="15.6" x14ac:dyDescent="0.3">
      <c r="B15" s="26" t="s">
        <v>42</v>
      </c>
      <c r="C15" s="27">
        <f t="array" ref="C15">MIN(IFERROR(FIND(lstNumbers,B15),""))</f>
        <v>5</v>
      </c>
      <c r="D15" s="27">
        <f t="shared" si="2"/>
        <v>7</v>
      </c>
      <c r="E15" s="28">
        <f t="shared" si="3"/>
        <v>1300000</v>
      </c>
      <c r="G15" s="27"/>
      <c r="H15" s="13" cm="1">
        <f t="array" ref="H15">SMALL(IFERROR(FIND( _xlfn.SEQUENCE(10,,0),B15),""),1)</f>
        <v>5</v>
      </c>
      <c r="I15" s="32">
        <f t="shared" si="1"/>
        <v>7</v>
      </c>
      <c r="J15" s="13" cm="1">
        <f t="array" ref="J15">LARGE(IFERROR(TRANSPOSE(VALUE(_xlfn.TEXTSPLIT(B15," "))),""),1)</f>
        <v>1300000</v>
      </c>
      <c r="K15" s="32" cm="1">
        <f t="array" ref="K15">SUM(COUNTIFS(lstNumbers, MID(B15,_xlfn.SEQUENCE(LEN(B15)),1)))</f>
        <v>7</v>
      </c>
      <c r="M15" s="13" cm="1">
        <f t="array" ref="M15">_xlfn.LET(_xlpm.a, IF(COUNTIF(lstNumbers,MID(B15,ROW($A$1:$A$200),1))&gt;=1,ROW($A$1:$A$200),""), MID(B15, MIN(_xlpm.a), MAX(_xlpm.a)-MIN(_xlpm.a)+1))+0</f>
        <v>1300000</v>
      </c>
    </row>
    <row r="16" spans="2:13" ht="15.6" x14ac:dyDescent="0.3">
      <c r="B16" s="26">
        <v>13636.36</v>
      </c>
      <c r="C16" s="27">
        <f t="array" ref="C16">MIN(IFERROR(FIND(lstNumbers,B16),""))</f>
        <v>1</v>
      </c>
      <c r="D16" s="27">
        <f t="shared" si="2"/>
        <v>7</v>
      </c>
      <c r="E16" s="28">
        <f t="shared" si="3"/>
        <v>13636.3</v>
      </c>
      <c r="H16" s="13" cm="1">
        <f t="array" ref="H16">SMALL(IFERROR(FIND( _xlfn.SEQUENCE(10,,0),B16),""),1)</f>
        <v>1</v>
      </c>
      <c r="I16" s="32">
        <f t="shared" si="1"/>
        <v>8</v>
      </c>
      <c r="J16" s="13" cm="1">
        <f t="array" ref="J16">LARGE(IFERROR(TRANSPOSE(VALUE(_xlfn.TEXTSPLIT(B16," "))),""),1)</f>
        <v>13636.36</v>
      </c>
      <c r="K16" s="32" cm="1">
        <f t="array" ref="K16">SUM(COUNTIFS(lstNumbers, MID(B16,_xlfn.SEQUENCE(LEN(B16)),1)))</f>
        <v>7</v>
      </c>
      <c r="M16" s="13" cm="1">
        <f t="array" ref="M16">_xlfn.LET(_xlpm.a, IF(COUNTIF(lstNumbers,MID(B16,ROW($A$1:$A$200),1))&gt;=1,ROW($A$1:$A$200),""), MID(B16, MIN(_xlpm.a), MAX(_xlpm.a)-MIN(_xlpm.a)+1))+0</f>
        <v>13636.36</v>
      </c>
    </row>
    <row r="17" spans="2:13" ht="15.6" x14ac:dyDescent="0.3">
      <c r="B17" s="26" t="s">
        <v>43</v>
      </c>
      <c r="C17" s="27">
        <f t="array" ref="C17">MIN(IFERROR(FIND(lstNumbers,B17),""))</f>
        <v>5</v>
      </c>
      <c r="D17" s="27">
        <f t="shared" si="2"/>
        <v>6</v>
      </c>
      <c r="E17" s="28">
        <f t="shared" si="3"/>
        <v>500000</v>
      </c>
      <c r="H17" s="13" cm="1">
        <f t="array" ref="H17">SMALL(IFERROR(FIND( _xlfn.SEQUENCE(10,,0),B17),""),1)</f>
        <v>5</v>
      </c>
      <c r="I17" s="32">
        <f t="shared" si="1"/>
        <v>6</v>
      </c>
      <c r="J17" s="13" cm="1">
        <f t="array" ref="J17">LARGE(IFERROR(TRANSPOSE(VALUE(_xlfn.TEXTSPLIT(B17," "))),""),1)</f>
        <v>500000</v>
      </c>
      <c r="K17" s="32" cm="1">
        <f t="array" ref="K17">SUM(COUNTIFS(lstNumbers, MID(B17,_xlfn.SEQUENCE(LEN(B17)),1)))</f>
        <v>6</v>
      </c>
      <c r="M17" s="13" cm="1">
        <f t="array" ref="M17">_xlfn.LET(_xlpm.a, IF(COUNTIF(lstNumbers,MID(B17,ROW($A$1:$A$200),1))&gt;=1,ROW($A$1:$A$200),""), MID(B17, MIN(_xlpm.a), MAX(_xlpm.a)-MIN(_xlpm.a)+1))+0</f>
        <v>500000</v>
      </c>
    </row>
    <row r="18" spans="2:13" ht="15.6" x14ac:dyDescent="0.3">
      <c r="B18" s="26" t="s">
        <v>44</v>
      </c>
      <c r="C18" s="27">
        <f t="array" ref="C18">MIN(IFERROR(FIND(lstNumbers,B18),""))</f>
        <v>1</v>
      </c>
      <c r="D18" s="27">
        <f t="shared" si="2"/>
        <v>7</v>
      </c>
      <c r="E18" s="28">
        <f t="shared" si="3"/>
        <v>52500</v>
      </c>
      <c r="H18" s="13" cm="1">
        <f t="array" ref="H18">SMALL(IFERROR(FIND( _xlfn.SEQUENCE(10,,0),B18),""),1)</f>
        <v>1</v>
      </c>
      <c r="I18" s="32">
        <f t="shared" si="1"/>
        <v>8</v>
      </c>
      <c r="J18" s="13" cm="1">
        <f t="array" ref="J18">LARGE(IFERROR(TRANSPOSE(VALUE(_xlfn.TEXTSPLIT(B18," "))),""),1)</f>
        <v>52500</v>
      </c>
      <c r="K18" s="32" cm="1">
        <f t="array" ref="K18">SUM(COUNTIFS(lstNumbers, MID(B18,_xlfn.SEQUENCE(LEN(B18)),1)))</f>
        <v>7</v>
      </c>
      <c r="M18" s="13" cm="1">
        <f t="array" ref="M18">_xlfn.LET(_xlpm.a, IF(COUNTIF(lstNumbers,MID(B18,ROW($A$1:$A$200),1))&gt;=1,ROW($A$1:$A$200),""), MID(B18, MIN(_xlpm.a), MAX(_xlpm.a)-MIN(_xlpm.a)+1))+0</f>
        <v>52500</v>
      </c>
    </row>
    <row r="23" spans="2:13" x14ac:dyDescent="0.3">
      <c r="I23" s="33" t="s">
        <v>54</v>
      </c>
    </row>
    <row r="24" spans="2:13" x14ac:dyDescent="0.3">
      <c r="I24" s="33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EB57-2BFB-4291-BBD3-572E010E42B4}">
  <dimension ref="A2:H17"/>
  <sheetViews>
    <sheetView showGridLines="0" workbookViewId="0">
      <selection activeCell="H13" sqref="H13"/>
    </sheetView>
  </sheetViews>
  <sheetFormatPr defaultColWidth="9.1171875" defaultRowHeight="14.4" x14ac:dyDescent="0.3"/>
  <cols>
    <col min="1" max="1" width="13.87890625" style="13" bestFit="1" customWidth="1"/>
    <col min="2" max="2" width="7.9375" style="13" bestFit="1" customWidth="1"/>
    <col min="3" max="3" width="6.3515625" style="13" bestFit="1" customWidth="1"/>
    <col min="4" max="4" width="10.234375" style="13" customWidth="1"/>
    <col min="5" max="5" width="14.3515625" style="13" customWidth="1"/>
    <col min="6" max="7" width="9.1171875" style="13"/>
    <col min="8" max="8" width="10.17578125" style="13" bestFit="1" customWidth="1"/>
    <col min="9" max="16384" width="9.1171875" style="13"/>
  </cols>
  <sheetData>
    <row r="2" spans="1:8" ht="23.4" x14ac:dyDescent="0.3">
      <c r="A2" s="12" t="s">
        <v>51</v>
      </c>
    </row>
    <row r="3" spans="1:8" ht="15" thickBot="1" x14ac:dyDescent="0.35"/>
    <row r="4" spans="1:8" ht="18" x14ac:dyDescent="0.3">
      <c r="A4" s="14" t="s">
        <v>32</v>
      </c>
      <c r="B4" s="15" t="s">
        <v>33</v>
      </c>
      <c r="C4" s="16" t="s">
        <v>34</v>
      </c>
    </row>
    <row r="5" spans="1:8" ht="18" x14ac:dyDescent="0.3">
      <c r="A5" s="17">
        <v>42339.257604166669</v>
      </c>
      <c r="B5" s="18">
        <f>TRUNC(A5,0)</f>
        <v>42339</v>
      </c>
      <c r="C5" s="19">
        <f>A5-B5</f>
        <v>0.25760416666889796</v>
      </c>
      <c r="D5" s="20" t="str">
        <f>TEXT(A5,"dd-mmm-yyyy")</f>
        <v>01-Dec-2015</v>
      </c>
      <c r="E5" s="34">
        <f>A5-D5</f>
        <v>0.25760416666889796</v>
      </c>
      <c r="G5" s="13" t="str">
        <f>TEXT(A5, "dd-mmm-yyyy")</f>
        <v>01-Dec-2015</v>
      </c>
      <c r="H5" s="36">
        <f>A5-G5</f>
        <v>0.25760416666889796</v>
      </c>
    </row>
    <row r="6" spans="1:8" ht="18" x14ac:dyDescent="0.3">
      <c r="A6" s="21">
        <v>42340.87203173789</v>
      </c>
      <c r="B6" s="18">
        <f t="shared" ref="B6:B14" si="0">TRUNC(A6,0)</f>
        <v>42340</v>
      </c>
      <c r="C6" s="19">
        <f t="shared" ref="C6:C14" si="1">A6-B6</f>
        <v>0.87203173789021093</v>
      </c>
      <c r="D6" s="20" t="str">
        <f t="shared" ref="D6:D14" si="2">TEXT(A6,"dd-mmm-yyyy")</f>
        <v>02-Dec-2015</v>
      </c>
      <c r="E6" s="34">
        <f t="shared" ref="E6:E14" si="3">A6-D6</f>
        <v>0.87203173789021093</v>
      </c>
      <c r="G6" s="13" t="str">
        <f t="shared" ref="G6:G14" si="4">TEXT(A6, "dd-mmm-yyyy")</f>
        <v>02-Dec-2015</v>
      </c>
      <c r="H6" s="36">
        <f t="shared" ref="H6:H14" si="5">A6-G6</f>
        <v>0.87203173789021093</v>
      </c>
    </row>
    <row r="7" spans="1:8" ht="18" x14ac:dyDescent="0.3">
      <c r="A7" s="17">
        <v>42341.417908324707</v>
      </c>
      <c r="B7" s="18">
        <f t="shared" si="0"/>
        <v>42341</v>
      </c>
      <c r="C7" s="19">
        <f t="shared" si="1"/>
        <v>0.41790832470724126</v>
      </c>
      <c r="D7" s="20" t="str">
        <f t="shared" si="2"/>
        <v>03-Dec-2015</v>
      </c>
      <c r="E7" s="34">
        <f t="shared" si="3"/>
        <v>0.41790832470724126</v>
      </c>
      <c r="G7" s="13" t="str">
        <f t="shared" si="4"/>
        <v>03-Dec-2015</v>
      </c>
      <c r="H7" s="36">
        <f t="shared" si="5"/>
        <v>0.41790832470724126</v>
      </c>
    </row>
    <row r="8" spans="1:8" ht="18" x14ac:dyDescent="0.3">
      <c r="A8" s="21">
        <v>42342.920212538011</v>
      </c>
      <c r="B8" s="18">
        <f t="shared" si="0"/>
        <v>42342</v>
      </c>
      <c r="C8" s="19">
        <f t="shared" si="1"/>
        <v>0.9202125380106736</v>
      </c>
      <c r="D8" s="20" t="str">
        <f t="shared" si="2"/>
        <v>04-Dec-2015</v>
      </c>
      <c r="E8" s="34">
        <f t="shared" si="3"/>
        <v>0.9202125380106736</v>
      </c>
      <c r="G8" s="13" t="str">
        <f t="shared" si="4"/>
        <v>04-Dec-2015</v>
      </c>
      <c r="H8" s="36">
        <f t="shared" si="5"/>
        <v>0.9202125380106736</v>
      </c>
    </row>
    <row r="9" spans="1:8" ht="18" x14ac:dyDescent="0.3">
      <c r="A9" s="17">
        <v>42343.466360746039</v>
      </c>
      <c r="B9" s="18">
        <f t="shared" si="0"/>
        <v>42343</v>
      </c>
      <c r="C9" s="19">
        <f t="shared" si="1"/>
        <v>0.46636074603884481</v>
      </c>
      <c r="D9" s="20" t="str">
        <f t="shared" si="2"/>
        <v>05-Dec-2015</v>
      </c>
      <c r="E9" s="34">
        <f t="shared" si="3"/>
        <v>0.46636074603884481</v>
      </c>
      <c r="G9" s="13" t="str">
        <f t="shared" si="4"/>
        <v>05-Dec-2015</v>
      </c>
      <c r="H9" s="36">
        <f t="shared" si="5"/>
        <v>0.46636074603884481</v>
      </c>
    </row>
    <row r="10" spans="1:8" ht="18" x14ac:dyDescent="0.3">
      <c r="A10" s="21">
        <v>42344.6793027448</v>
      </c>
      <c r="B10" s="18">
        <f t="shared" si="0"/>
        <v>42344</v>
      </c>
      <c r="C10" s="19">
        <f t="shared" si="1"/>
        <v>0.6793027448002249</v>
      </c>
      <c r="D10" s="20" t="str">
        <f t="shared" si="2"/>
        <v>06-Dec-2015</v>
      </c>
      <c r="E10" s="34">
        <f t="shared" si="3"/>
        <v>0.6793027448002249</v>
      </c>
      <c r="G10" s="13" t="str">
        <f t="shared" si="4"/>
        <v>06-Dec-2015</v>
      </c>
      <c r="H10" s="36">
        <f t="shared" si="5"/>
        <v>0.6793027448002249</v>
      </c>
    </row>
    <row r="11" spans="1:8" ht="18" x14ac:dyDescent="0.3">
      <c r="A11" s="17">
        <v>42345.495891060411</v>
      </c>
      <c r="B11" s="18">
        <f t="shared" si="0"/>
        <v>42345</v>
      </c>
      <c r="C11" s="19">
        <f t="shared" si="1"/>
        <v>0.49589106041094055</v>
      </c>
      <c r="D11" s="20" t="str">
        <f t="shared" si="2"/>
        <v>07-Dec-2015</v>
      </c>
      <c r="E11" s="34">
        <f t="shared" si="3"/>
        <v>0.49589106041094055</v>
      </c>
      <c r="G11" s="13" t="str">
        <f t="shared" si="4"/>
        <v>07-Dec-2015</v>
      </c>
      <c r="H11" s="36">
        <f t="shared" si="5"/>
        <v>0.49589106041094055</v>
      </c>
    </row>
    <row r="12" spans="1:8" ht="18" x14ac:dyDescent="0.3">
      <c r="A12" s="21">
        <v>42346.829922050281</v>
      </c>
      <c r="B12" s="18">
        <f t="shared" si="0"/>
        <v>42346</v>
      </c>
      <c r="C12" s="19">
        <f t="shared" si="1"/>
        <v>0.82992205028131139</v>
      </c>
      <c r="D12" s="20" t="str">
        <f t="shared" si="2"/>
        <v>08-Dec-2015</v>
      </c>
      <c r="E12" s="34">
        <f t="shared" si="3"/>
        <v>0.82992205028131139</v>
      </c>
      <c r="G12" s="13" t="str">
        <f t="shared" si="4"/>
        <v>08-Dec-2015</v>
      </c>
      <c r="H12" s="36">
        <f t="shared" si="5"/>
        <v>0.82992205028131139</v>
      </c>
    </row>
    <row r="13" spans="1:8" ht="18" x14ac:dyDescent="0.3">
      <c r="A13" s="17">
        <v>42347.081768730073</v>
      </c>
      <c r="B13" s="18">
        <f t="shared" si="0"/>
        <v>42347</v>
      </c>
      <c r="C13" s="19">
        <f t="shared" si="1"/>
        <v>8.1768730073235929E-2</v>
      </c>
      <c r="D13" s="20" t="str">
        <f t="shared" si="2"/>
        <v>09-Dec-2015</v>
      </c>
      <c r="E13" s="34">
        <f t="shared" si="3"/>
        <v>8.1768730073235929E-2</v>
      </c>
      <c r="G13" s="13" t="str">
        <f t="shared" si="4"/>
        <v>09-Dec-2015</v>
      </c>
      <c r="H13" s="36">
        <f t="shared" si="5"/>
        <v>8.1768730073235929E-2</v>
      </c>
    </row>
    <row r="14" spans="1:8" ht="18.600000000000001" thickBot="1" x14ac:dyDescent="0.35">
      <c r="A14" s="22">
        <v>42348.680585424961</v>
      </c>
      <c r="B14" s="18">
        <f t="shared" si="0"/>
        <v>42348</v>
      </c>
      <c r="C14" s="19">
        <f t="shared" si="1"/>
        <v>0.68058542496146401</v>
      </c>
      <c r="D14" s="20" t="str">
        <f t="shared" si="2"/>
        <v>10-Dec-2015</v>
      </c>
      <c r="E14" s="34">
        <f t="shared" si="3"/>
        <v>0.68058542496146401</v>
      </c>
      <c r="G14" s="13" t="str">
        <f t="shared" si="4"/>
        <v>10-Dec-2015</v>
      </c>
      <c r="H14" s="36">
        <f t="shared" si="5"/>
        <v>0.68058542496146401</v>
      </c>
    </row>
    <row r="17" spans="2:3" x14ac:dyDescent="0.3">
      <c r="B17" s="13" t="str">
        <f>TEXT(A5,"dd-mmm-yyyy")</f>
        <v>01-Dec-2015</v>
      </c>
      <c r="C17" s="13" t="str">
        <f>TEXT(A5,"hh:mm am/pm")</f>
        <v>06:10 AM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CD73-F841-4D2F-B7A4-98A5DDEB0E90}">
  <dimension ref="A1:F13"/>
  <sheetViews>
    <sheetView topLeftCell="A2" workbookViewId="0">
      <selection activeCell="C11" sqref="C11"/>
    </sheetView>
  </sheetViews>
  <sheetFormatPr defaultRowHeight="25.8" x14ac:dyDescent="0.5"/>
  <cols>
    <col min="1" max="1" width="12" customWidth="1"/>
    <col min="2" max="2" width="11.29296875" bestFit="1" customWidth="1"/>
    <col min="3" max="3" width="16.05859375" customWidth="1"/>
    <col min="5" max="6" width="9.9375" bestFit="1" customWidth="1"/>
  </cols>
  <sheetData>
    <row r="1" spans="1:6" x14ac:dyDescent="0.5">
      <c r="A1" s="30" t="s">
        <v>29</v>
      </c>
    </row>
    <row r="3" spans="1:6" x14ac:dyDescent="0.5">
      <c r="A3" s="10" t="s">
        <v>30</v>
      </c>
      <c r="B3" s="10" t="s">
        <v>31</v>
      </c>
    </row>
    <row r="4" spans="1:6" x14ac:dyDescent="0.5">
      <c r="A4" s="11">
        <v>42020</v>
      </c>
      <c r="B4" s="11">
        <f>A4+7-WEEKDAY(A4+7-2)</f>
        <v>42023</v>
      </c>
      <c r="C4" s="35">
        <f>IF(WEEKDAY(A4,1)&lt;2,A4+1,IF(WEEKDAY(A4)=2,A4+7, A4+(7-(WEEKDAY(A4)-2))))</f>
        <v>42023</v>
      </c>
      <c r="D4">
        <f>WEEKDAY(A4)</f>
        <v>6</v>
      </c>
      <c r="E4" s="35"/>
      <c r="F4" s="35">
        <f>A4+_xlfn.LET(_xlpm.a, WEEKDAY(A4,2),IF(_xlpm.a=1,7,7-_xlpm.a+1))</f>
        <v>42023</v>
      </c>
    </row>
    <row r="5" spans="1:6" x14ac:dyDescent="0.5">
      <c r="A5" s="11">
        <v>36891</v>
      </c>
      <c r="B5" s="11">
        <f t="shared" ref="B5:B8" si="0">A5+7-WEEKDAY(A5+7-2)</f>
        <v>36892</v>
      </c>
      <c r="C5" s="35">
        <f t="shared" ref="C5:C8" si="1">IF(WEEKDAY(A5,1)&lt;2,A5+1,IF(WEEKDAY(A5)=2,A5+7, A5+(7-(WEEKDAY(A5)-2))))</f>
        <v>36892</v>
      </c>
      <c r="D5">
        <f t="shared" ref="D5:D8" si="2">WEEKDAY(A5)</f>
        <v>1</v>
      </c>
      <c r="E5" s="35"/>
      <c r="F5" s="35">
        <f t="shared" ref="F5:F8" si="3">A5+_xlfn.LET(_xlpm.a, WEEKDAY(A5,2),IF(_xlpm.a=1,7,7-_xlpm.a+1))</f>
        <v>36892</v>
      </c>
    </row>
    <row r="6" spans="1:6" x14ac:dyDescent="0.5">
      <c r="A6" s="11">
        <v>42168</v>
      </c>
      <c r="B6" s="11">
        <f t="shared" si="0"/>
        <v>42170</v>
      </c>
      <c r="C6" s="35">
        <f t="shared" si="1"/>
        <v>42170</v>
      </c>
      <c r="D6">
        <f t="shared" si="2"/>
        <v>7</v>
      </c>
      <c r="E6" s="35"/>
      <c r="F6" s="35">
        <f t="shared" si="3"/>
        <v>42170</v>
      </c>
    </row>
    <row r="7" spans="1:6" x14ac:dyDescent="0.5">
      <c r="A7" s="11">
        <v>40451</v>
      </c>
      <c r="B7" s="11">
        <f t="shared" si="0"/>
        <v>40455</v>
      </c>
      <c r="C7" s="35">
        <f t="shared" si="1"/>
        <v>40455</v>
      </c>
      <c r="D7">
        <f t="shared" si="2"/>
        <v>5</v>
      </c>
      <c r="E7" s="35"/>
      <c r="F7" s="35">
        <f t="shared" si="3"/>
        <v>40455</v>
      </c>
    </row>
    <row r="8" spans="1:6" x14ac:dyDescent="0.5">
      <c r="A8" s="11">
        <v>36219</v>
      </c>
      <c r="B8" s="11">
        <f t="shared" si="0"/>
        <v>36220</v>
      </c>
      <c r="C8" s="35">
        <f t="shared" si="1"/>
        <v>36220</v>
      </c>
      <c r="D8">
        <f t="shared" si="2"/>
        <v>1</v>
      </c>
      <c r="E8" s="35"/>
      <c r="F8" s="35">
        <f t="shared" si="3"/>
        <v>36220</v>
      </c>
    </row>
    <row r="10" spans="1:6" x14ac:dyDescent="0.5">
      <c r="B10" s="38"/>
    </row>
    <row r="13" spans="1:6" x14ac:dyDescent="0.5">
      <c r="E13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6A9A-D378-439F-BF4A-6154B15B9058}">
  <dimension ref="A1:H76"/>
  <sheetViews>
    <sheetView workbookViewId="0">
      <selection activeCell="H4" sqref="H4:H11"/>
    </sheetView>
  </sheetViews>
  <sheetFormatPr defaultRowHeight="25.8" x14ac:dyDescent="0.5"/>
  <sheetData>
    <row r="1" spans="1:8" x14ac:dyDescent="0.5">
      <c r="A1" s="31" t="s">
        <v>52</v>
      </c>
    </row>
    <row r="3" spans="1:8" x14ac:dyDescent="0.5">
      <c r="A3" s="1" t="s">
        <v>0</v>
      </c>
      <c r="B3" s="1" t="s">
        <v>1</v>
      </c>
      <c r="C3" s="1" t="s">
        <v>2</v>
      </c>
    </row>
    <row r="4" spans="1:8" x14ac:dyDescent="0.5">
      <c r="A4" s="2" t="s">
        <v>6</v>
      </c>
      <c r="B4" s="3">
        <v>4.2824074074074075E-4</v>
      </c>
      <c r="C4" s="4">
        <f>IF(OR(ISTEXT(B4),ISBLANK(B4)),"",VLOOKUP(B4,$A$16:$B$76,2))</f>
        <v>694</v>
      </c>
      <c r="D4" cm="1">
        <f t="array" ref="D4">IFERROR(VLOOKUP(TRUE,CHOOSE({1,2},$A$16:$A$76=B4,$B$16:$B$76),2,0),"")</f>
        <v>694</v>
      </c>
      <c r="F4">
        <f>VLOOKUP(B4,$A$16:$B$76,2,1)</f>
        <v>694</v>
      </c>
      <c r="H4">
        <f>IFERROR(VLOOKUP(B4,$A$16:$B$76,2,1),"")</f>
        <v>694</v>
      </c>
    </row>
    <row r="5" spans="1:8" x14ac:dyDescent="0.5">
      <c r="A5" s="2" t="s">
        <v>7</v>
      </c>
      <c r="B5" s="3" t="s">
        <v>53</v>
      </c>
      <c r="C5" s="4" t="str">
        <f t="shared" ref="C5:C11" si="0">IF(OR(ISTEXT(B5),ISBLANK(B5)),"",VLOOKUP(B5,$A$16:$B$76,2))</f>
        <v/>
      </c>
      <c r="D5" t="str" cm="1">
        <f t="array" ref="D5">IFERROR(VLOOKUP(TRUE,CHOOSE({1,2},$A$16:$A$76=B5,$B$16:$B$76),2,0),"")</f>
        <v/>
      </c>
      <c r="F5" t="e">
        <f t="shared" ref="F5:F11" si="1">VLOOKUP(B5,$A$16:$B$76,2,1)</f>
        <v>#N/A</v>
      </c>
      <c r="H5" t="str">
        <f t="shared" ref="H5:H11" si="2">IFERROR(VLOOKUP(B5,$A$16:$B$76,2,1),"")</f>
        <v/>
      </c>
    </row>
    <row r="6" spans="1:8" x14ac:dyDescent="0.5">
      <c r="A6" s="2" t="s">
        <v>8</v>
      </c>
      <c r="B6" s="3">
        <v>2.3148148148148146E-4</v>
      </c>
      <c r="C6" s="4">
        <f t="shared" si="0"/>
        <v>847</v>
      </c>
      <c r="D6" t="str" cm="1">
        <f t="array" ref="D6">IFERROR(VLOOKUP(TRUE,CHOOSE({1,2},$A$16:$A$76=B6,$B$16:$B$76),2,0),"")</f>
        <v/>
      </c>
      <c r="F6">
        <f t="shared" si="1"/>
        <v>847</v>
      </c>
      <c r="H6">
        <f t="shared" si="2"/>
        <v>847</v>
      </c>
    </row>
    <row r="7" spans="1:8" x14ac:dyDescent="0.5">
      <c r="A7" s="2" t="s">
        <v>9</v>
      </c>
      <c r="B7" s="3">
        <v>2.8935185185185189E-4</v>
      </c>
      <c r="C7" s="4">
        <f t="shared" si="0"/>
        <v>813</v>
      </c>
      <c r="D7" cm="1">
        <f t="array" ref="D7">IFERROR(VLOOKUP(TRUE,CHOOSE({1,2},$A$16:$A$76=B7,$B$16:$B$76),2,0),"")</f>
        <v>796</v>
      </c>
      <c r="F7">
        <f t="shared" si="1"/>
        <v>813</v>
      </c>
      <c r="H7">
        <f t="shared" si="2"/>
        <v>813</v>
      </c>
    </row>
    <row r="8" spans="1:8" x14ac:dyDescent="0.5">
      <c r="A8" s="2" t="s">
        <v>10</v>
      </c>
      <c r="B8" s="3">
        <v>2.199074074074074E-4</v>
      </c>
      <c r="C8" s="4">
        <f t="shared" si="0"/>
        <v>847</v>
      </c>
      <c r="D8" cm="1">
        <f t="array" ref="D8">IFERROR(VLOOKUP(TRUE,CHOOSE({1,2},$A$16:$A$76=B8,$B$16:$B$76),2,0),"")</f>
        <v>847</v>
      </c>
      <c r="F8">
        <f t="shared" si="1"/>
        <v>847</v>
      </c>
      <c r="H8">
        <f t="shared" si="2"/>
        <v>847</v>
      </c>
    </row>
    <row r="9" spans="1:8" x14ac:dyDescent="0.5">
      <c r="A9" s="2" t="s">
        <v>11</v>
      </c>
      <c r="B9" s="3"/>
      <c r="C9" s="4" t="str">
        <f t="shared" si="0"/>
        <v/>
      </c>
      <c r="D9" t="str" cm="1">
        <f t="array" ref="D9">IFERROR(VLOOKUP(TRUE,CHOOSE({1,2},$A$16:$A$76=B9,$B$16:$B$76),2,0),"")</f>
        <v/>
      </c>
      <c r="F9" t="e">
        <f t="shared" si="1"/>
        <v>#N/A</v>
      </c>
      <c r="H9" t="str">
        <f t="shared" si="2"/>
        <v/>
      </c>
    </row>
    <row r="10" spans="1:8" x14ac:dyDescent="0.5">
      <c r="A10" s="2" t="s">
        <v>12</v>
      </c>
      <c r="B10" s="3">
        <v>5.7870370370370378E-4</v>
      </c>
      <c r="C10" s="4">
        <f t="shared" si="0"/>
        <v>592</v>
      </c>
      <c r="D10" t="str" cm="1">
        <f t="array" ref="D10">IFERROR(VLOOKUP(TRUE,CHOOSE({1,2},$A$16:$A$76=B10,$B$16:$B$76),2,0),"")</f>
        <v/>
      </c>
      <c r="F10">
        <f t="shared" si="1"/>
        <v>592</v>
      </c>
      <c r="H10">
        <f t="shared" si="2"/>
        <v>592</v>
      </c>
    </row>
    <row r="11" spans="1:8" x14ac:dyDescent="0.5">
      <c r="A11" s="2" t="s">
        <v>13</v>
      </c>
      <c r="B11" s="3">
        <v>2.8356481481481478E-4</v>
      </c>
      <c r="C11" s="4">
        <f t="shared" si="0"/>
        <v>813</v>
      </c>
      <c r="D11" t="str" cm="1">
        <f t="array" ref="D11">IFERROR(VLOOKUP(TRUE,CHOOSE({1,2},$A$16:$A$76=B11,$B$16:$B$76),2,0),"")</f>
        <v/>
      </c>
      <c r="F11">
        <f t="shared" si="1"/>
        <v>813</v>
      </c>
      <c r="H11">
        <f t="shared" si="2"/>
        <v>813</v>
      </c>
    </row>
    <row r="12" spans="1:8" x14ac:dyDescent="0.5">
      <c r="H12" t="str">
        <f t="shared" ref="H5:H12" si="3">IFERROR(VLOOKUP(B12,$A$16:$B$76,2,0),"")</f>
        <v/>
      </c>
    </row>
    <row r="14" spans="1:8" x14ac:dyDescent="0.5">
      <c r="A14" s="5" t="s">
        <v>3</v>
      </c>
      <c r="B14" s="6"/>
    </row>
    <row r="15" spans="1:8" x14ac:dyDescent="0.5">
      <c r="A15" s="1" t="s">
        <v>4</v>
      </c>
      <c r="B15" s="1" t="s">
        <v>5</v>
      </c>
    </row>
    <row r="16" spans="1:8" x14ac:dyDescent="0.5">
      <c r="A16" s="7">
        <v>1.1574074074074073E-5</v>
      </c>
      <c r="B16" s="8">
        <v>1000</v>
      </c>
    </row>
    <row r="17" spans="1:2" x14ac:dyDescent="0.5">
      <c r="A17" s="7">
        <v>3.4722222222222222E-5</v>
      </c>
      <c r="B17" s="8">
        <v>983</v>
      </c>
    </row>
    <row r="18" spans="1:2" x14ac:dyDescent="0.5">
      <c r="A18" s="7">
        <v>5.78703703703704E-5</v>
      </c>
      <c r="B18" s="8">
        <v>966</v>
      </c>
    </row>
    <row r="19" spans="1:2" x14ac:dyDescent="0.5">
      <c r="A19" s="7">
        <v>8.1018518518518598E-5</v>
      </c>
      <c r="B19" s="8">
        <v>949</v>
      </c>
    </row>
    <row r="20" spans="1:2" x14ac:dyDescent="0.5">
      <c r="A20" s="7">
        <v>1.04166666666667E-4</v>
      </c>
      <c r="B20" s="8">
        <v>932</v>
      </c>
    </row>
    <row r="21" spans="1:2" x14ac:dyDescent="0.5">
      <c r="A21" s="7">
        <v>1.2731481481481499E-4</v>
      </c>
      <c r="B21" s="8">
        <v>915</v>
      </c>
    </row>
    <row r="22" spans="1:2" x14ac:dyDescent="0.5">
      <c r="A22" s="7">
        <v>1.50462962962963E-4</v>
      </c>
      <c r="B22" s="8">
        <v>898</v>
      </c>
    </row>
    <row r="23" spans="1:2" x14ac:dyDescent="0.5">
      <c r="A23" s="7">
        <v>1.7361111111111101E-4</v>
      </c>
      <c r="B23" s="8">
        <v>881</v>
      </c>
    </row>
    <row r="24" spans="1:2" x14ac:dyDescent="0.5">
      <c r="A24" s="7">
        <v>1.9675925925925899E-4</v>
      </c>
      <c r="B24" s="8">
        <v>864</v>
      </c>
    </row>
    <row r="25" spans="1:2" x14ac:dyDescent="0.5">
      <c r="A25" s="7">
        <v>2.19907407407407E-4</v>
      </c>
      <c r="B25" s="8">
        <v>847</v>
      </c>
    </row>
    <row r="26" spans="1:2" x14ac:dyDescent="0.5">
      <c r="A26" s="7">
        <v>2.4305555555555501E-4</v>
      </c>
      <c r="B26" s="8">
        <v>830</v>
      </c>
    </row>
    <row r="27" spans="1:2" x14ac:dyDescent="0.5">
      <c r="A27" s="7">
        <v>2.6620370370370399E-4</v>
      </c>
      <c r="B27" s="8">
        <v>813</v>
      </c>
    </row>
    <row r="28" spans="1:2" x14ac:dyDescent="0.5">
      <c r="A28" s="7">
        <v>2.89351851851852E-4</v>
      </c>
      <c r="B28" s="8">
        <v>796</v>
      </c>
    </row>
    <row r="29" spans="1:2" x14ac:dyDescent="0.5">
      <c r="A29" s="7">
        <v>3.1250000000000001E-4</v>
      </c>
      <c r="B29" s="8">
        <v>779</v>
      </c>
    </row>
    <row r="30" spans="1:2" x14ac:dyDescent="0.5">
      <c r="A30" s="7">
        <v>3.3564814814814801E-4</v>
      </c>
      <c r="B30" s="8">
        <v>762</v>
      </c>
    </row>
    <row r="31" spans="1:2" x14ac:dyDescent="0.5">
      <c r="A31" s="7">
        <v>3.5879629629629602E-4</v>
      </c>
      <c r="B31" s="8">
        <v>745</v>
      </c>
    </row>
    <row r="32" spans="1:2" x14ac:dyDescent="0.5">
      <c r="A32" s="7">
        <v>3.8194444444444398E-4</v>
      </c>
      <c r="B32" s="8">
        <v>728</v>
      </c>
    </row>
    <row r="33" spans="1:2" x14ac:dyDescent="0.5">
      <c r="A33" s="7">
        <v>4.0509259259259301E-4</v>
      </c>
      <c r="B33" s="8">
        <v>711</v>
      </c>
    </row>
    <row r="34" spans="1:2" x14ac:dyDescent="0.5">
      <c r="A34" s="7">
        <v>4.2824074074074075E-4</v>
      </c>
      <c r="B34" s="8">
        <v>694</v>
      </c>
    </row>
    <row r="35" spans="1:2" x14ac:dyDescent="0.5">
      <c r="A35" s="7">
        <v>4.5138888888888898E-4</v>
      </c>
      <c r="B35" s="8">
        <v>677</v>
      </c>
    </row>
    <row r="36" spans="1:2" x14ac:dyDescent="0.5">
      <c r="A36" s="7">
        <v>4.7453703703703698E-4</v>
      </c>
      <c r="B36" s="8">
        <v>660</v>
      </c>
    </row>
    <row r="37" spans="1:2" x14ac:dyDescent="0.5">
      <c r="A37" s="7">
        <v>4.9768518518518499E-4</v>
      </c>
      <c r="B37" s="8">
        <v>643</v>
      </c>
    </row>
    <row r="38" spans="1:2" x14ac:dyDescent="0.5">
      <c r="A38" s="7">
        <v>5.20833333333333E-4</v>
      </c>
      <c r="B38" s="8">
        <v>626</v>
      </c>
    </row>
    <row r="39" spans="1:2" x14ac:dyDescent="0.5">
      <c r="A39" s="7">
        <v>5.4398148148148101E-4</v>
      </c>
      <c r="B39" s="8">
        <v>609</v>
      </c>
    </row>
    <row r="40" spans="1:2" x14ac:dyDescent="0.5">
      <c r="A40" s="7">
        <v>5.6712962962962999E-4</v>
      </c>
      <c r="B40" s="8">
        <v>592</v>
      </c>
    </row>
    <row r="41" spans="1:2" x14ac:dyDescent="0.5">
      <c r="A41" s="7">
        <v>5.90277777777778E-4</v>
      </c>
      <c r="B41" s="8">
        <v>575</v>
      </c>
    </row>
    <row r="42" spans="1:2" x14ac:dyDescent="0.5">
      <c r="A42" s="7">
        <v>6.1342592592592601E-4</v>
      </c>
      <c r="B42" s="8">
        <v>558</v>
      </c>
    </row>
    <row r="43" spans="1:2" x14ac:dyDescent="0.5">
      <c r="A43" s="7">
        <v>6.3657407407407402E-4</v>
      </c>
      <c r="B43" s="8">
        <v>541</v>
      </c>
    </row>
    <row r="44" spans="1:2" x14ac:dyDescent="0.5">
      <c r="A44" s="7">
        <v>6.5972222222222213E-4</v>
      </c>
      <c r="B44" s="8">
        <v>524</v>
      </c>
    </row>
    <row r="45" spans="1:2" x14ac:dyDescent="0.5">
      <c r="A45" s="7">
        <v>6.8287037037037003E-4</v>
      </c>
      <c r="B45" s="8">
        <v>507</v>
      </c>
    </row>
    <row r="46" spans="1:2" x14ac:dyDescent="0.5">
      <c r="A46" s="7">
        <v>7.0601851851851804E-4</v>
      </c>
      <c r="B46" s="8">
        <v>490</v>
      </c>
    </row>
    <row r="47" spans="1:2" x14ac:dyDescent="0.5">
      <c r="A47" s="7">
        <v>7.2916666666666703E-4</v>
      </c>
      <c r="B47" s="8">
        <v>473</v>
      </c>
    </row>
    <row r="48" spans="1:2" x14ac:dyDescent="0.5">
      <c r="A48" s="7">
        <v>7.5231481481481503E-4</v>
      </c>
      <c r="B48" s="8">
        <v>456</v>
      </c>
    </row>
    <row r="49" spans="1:2" x14ac:dyDescent="0.5">
      <c r="A49" s="7">
        <v>7.7546296296296304E-4</v>
      </c>
      <c r="B49" s="8">
        <v>439</v>
      </c>
    </row>
    <row r="50" spans="1:2" x14ac:dyDescent="0.5">
      <c r="A50" s="7">
        <v>7.9861111111111105E-4</v>
      </c>
      <c r="B50" s="8">
        <v>422</v>
      </c>
    </row>
    <row r="51" spans="1:2" x14ac:dyDescent="0.5">
      <c r="A51" s="7">
        <v>8.2175925925925895E-4</v>
      </c>
      <c r="B51" s="8">
        <v>405</v>
      </c>
    </row>
    <row r="52" spans="1:2" x14ac:dyDescent="0.5">
      <c r="A52" s="7">
        <v>8.4490740740740696E-4</v>
      </c>
      <c r="B52" s="8">
        <v>388</v>
      </c>
    </row>
    <row r="53" spans="1:2" x14ac:dyDescent="0.5">
      <c r="A53" s="7">
        <v>8.6805555555555605E-4</v>
      </c>
      <c r="B53" s="8">
        <v>371</v>
      </c>
    </row>
    <row r="54" spans="1:2" x14ac:dyDescent="0.5">
      <c r="A54" s="7">
        <v>8.9120370370370395E-4</v>
      </c>
      <c r="B54" s="8">
        <v>354</v>
      </c>
    </row>
    <row r="55" spans="1:2" x14ac:dyDescent="0.5">
      <c r="A55" s="7">
        <v>9.1435185185185196E-4</v>
      </c>
      <c r="B55" s="8">
        <v>337</v>
      </c>
    </row>
    <row r="56" spans="1:2" x14ac:dyDescent="0.5">
      <c r="A56" s="7">
        <v>9.3749999999999997E-4</v>
      </c>
      <c r="B56" s="8">
        <v>320</v>
      </c>
    </row>
    <row r="57" spans="1:2" x14ac:dyDescent="0.5">
      <c r="A57" s="7">
        <v>9.6064814814814797E-4</v>
      </c>
      <c r="B57" s="8">
        <v>303</v>
      </c>
    </row>
    <row r="58" spans="1:2" x14ac:dyDescent="0.5">
      <c r="A58" s="7">
        <v>9.8379629629629598E-4</v>
      </c>
      <c r="B58" s="8">
        <v>286</v>
      </c>
    </row>
    <row r="59" spans="1:2" x14ac:dyDescent="0.5">
      <c r="A59" s="7">
        <v>1.0069444444444401E-3</v>
      </c>
      <c r="B59" s="8">
        <v>269</v>
      </c>
    </row>
    <row r="60" spans="1:2" x14ac:dyDescent="0.5">
      <c r="A60" s="7">
        <v>1.03009259259259E-3</v>
      </c>
      <c r="B60" s="8">
        <v>252</v>
      </c>
    </row>
    <row r="61" spans="1:2" x14ac:dyDescent="0.5">
      <c r="A61" s="7">
        <v>1.05324074074074E-3</v>
      </c>
      <c r="B61" s="8">
        <v>235</v>
      </c>
    </row>
    <row r="62" spans="1:2" x14ac:dyDescent="0.5">
      <c r="A62" s="7">
        <v>1.07638888888888E-3</v>
      </c>
      <c r="B62" s="8">
        <v>218</v>
      </c>
    </row>
    <row r="63" spans="1:2" x14ac:dyDescent="0.5">
      <c r="A63" s="7">
        <v>1.09953703703703E-3</v>
      </c>
      <c r="B63" s="8">
        <v>201</v>
      </c>
    </row>
    <row r="64" spans="1:2" x14ac:dyDescent="0.5">
      <c r="A64" s="7">
        <v>1.1226851851851799E-3</v>
      </c>
      <c r="B64" s="8">
        <v>184</v>
      </c>
    </row>
    <row r="65" spans="1:2" x14ac:dyDescent="0.5">
      <c r="A65" s="7">
        <v>1.1458333333333301E-3</v>
      </c>
      <c r="B65" s="8">
        <v>167</v>
      </c>
    </row>
    <row r="66" spans="1:2" x14ac:dyDescent="0.5">
      <c r="A66" s="7">
        <v>1.16898148148148E-3</v>
      </c>
      <c r="B66" s="8">
        <v>150</v>
      </c>
    </row>
    <row r="67" spans="1:2" x14ac:dyDescent="0.5">
      <c r="A67" s="7">
        <v>1.19212962962963E-3</v>
      </c>
      <c r="B67" s="8">
        <v>133</v>
      </c>
    </row>
    <row r="68" spans="1:2" x14ac:dyDescent="0.5">
      <c r="A68" s="7">
        <v>1.21527777777777E-3</v>
      </c>
      <c r="B68" s="8">
        <v>116</v>
      </c>
    </row>
    <row r="69" spans="1:2" x14ac:dyDescent="0.5">
      <c r="A69" s="7">
        <v>1.23842592592592E-3</v>
      </c>
      <c r="B69" s="8">
        <v>99</v>
      </c>
    </row>
    <row r="70" spans="1:2" x14ac:dyDescent="0.5">
      <c r="A70" s="7">
        <v>1.2615740740740699E-3</v>
      </c>
      <c r="B70" s="8">
        <v>82</v>
      </c>
    </row>
    <row r="71" spans="1:2" x14ac:dyDescent="0.5">
      <c r="A71" s="7">
        <v>1.2847222222222201E-3</v>
      </c>
      <c r="B71" s="8">
        <v>65</v>
      </c>
    </row>
    <row r="72" spans="1:2" x14ac:dyDescent="0.5">
      <c r="A72" s="7">
        <v>1.30787037037037E-3</v>
      </c>
      <c r="B72" s="8">
        <v>48</v>
      </c>
    </row>
    <row r="73" spans="1:2" x14ac:dyDescent="0.5">
      <c r="A73" s="7">
        <v>1.33101851851851E-3</v>
      </c>
      <c r="B73" s="8">
        <v>31</v>
      </c>
    </row>
    <row r="74" spans="1:2" x14ac:dyDescent="0.5">
      <c r="A74" s="7">
        <v>1.35416666666666E-3</v>
      </c>
      <c r="B74" s="8">
        <v>14</v>
      </c>
    </row>
    <row r="75" spans="1:2" x14ac:dyDescent="0.5">
      <c r="A75" s="7">
        <v>1.37731481481481E-3</v>
      </c>
      <c r="B75" s="8">
        <v>8</v>
      </c>
    </row>
    <row r="76" spans="1:2" x14ac:dyDescent="0.5">
      <c r="A76" s="7">
        <v>1.3888888888888889E-3</v>
      </c>
      <c r="B76" s="8">
        <v>1</v>
      </c>
    </row>
  </sheetData>
  <conditionalFormatting sqref="A16:B76">
    <cfRule type="expression" dxfId="0" priority="1">
      <formula>MOD(ROW(),2)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Q1</vt:lpstr>
      <vt:lpstr>Q2</vt:lpstr>
      <vt:lpstr>Q3</vt:lpstr>
      <vt:lpstr>Q4</vt:lpstr>
      <vt:lpstr>Q5</vt:lpstr>
      <vt:lpstr>lstNumbers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2021-02-13T08:30:50Z</dcterms:created>
  <dcterms:modified xsi:type="dcterms:W3CDTF">2026-01-28T12:21:40Z</dcterms:modified>
</cp:coreProperties>
</file>