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2"/>
  <workbookPr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0A062FC0-1734-4F44-9DEB-01EF9C75714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2" r:id="rId1"/>
    <sheet name="Q2" sheetId="3" r:id="rId2"/>
    <sheet name="Q3" sheetId="4" r:id="rId3"/>
    <sheet name="Q4" sheetId="5" r:id="rId4"/>
    <sheet name="Q5" sheetId="6" r:id="rId5"/>
  </sheets>
  <definedNames>
    <definedName name="_c">'Q5'!$A$4:$A$12</definedName>
    <definedName name="_xlnm._FilterDatabase" localSheetId="3" hidden="1">'Q4'!$A$1:$D$27</definedName>
    <definedName name="MOTO">'Q3'!$B$7:$G$8</definedName>
    <definedName name="NOKIA">'Q3'!$B$4:$G$6</definedName>
    <definedName name="SAMSUNG">'Q3'!$B$2:$G$3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6" l="1" a="1"/>
  <c r="D9" i="6" s="1"/>
  <c r="J14" i="5" a="1"/>
  <c r="J14" i="5"/>
  <c r="K14" i="5" a="1"/>
  <c r="K14" i="5"/>
  <c r="J15" i="5" a="1"/>
  <c r="J15" i="5"/>
  <c r="K15" i="5" a="1"/>
  <c r="K15" i="5"/>
  <c r="J16" i="5" a="1"/>
  <c r="J16" i="5"/>
  <c r="K16" i="5" a="1"/>
  <c r="K16" i="5"/>
  <c r="K13" i="5" a="1"/>
  <c r="K13" i="5"/>
  <c r="J13" i="5" a="1"/>
  <c r="J13" i="5" s="1"/>
  <c r="K8" i="4" a="1"/>
  <c r="K8" i="4"/>
  <c r="L10" i="4"/>
  <c r="K10" i="4" a="1"/>
  <c r="K10" i="4" s="1"/>
  <c r="H11" i="3" a="1"/>
  <c r="H11" i="3"/>
  <c r="G11" i="3" a="1"/>
  <c r="G11" i="3" s="1"/>
  <c r="D8" i="6" a="1"/>
  <c r="D8" i="6" s="1"/>
  <c r="L8" i="5" a="1"/>
  <c r="L8" i="5" s="1"/>
  <c r="L9" i="5" a="1"/>
  <c r="L9" i="5" s="1"/>
  <c r="L10" i="5" a="1"/>
  <c r="L10" i="5" s="1"/>
  <c r="L11" i="5" a="1"/>
  <c r="L11" i="5" s="1"/>
  <c r="K9" i="5" a="1"/>
  <c r="K9" i="5" s="1"/>
  <c r="K10" i="5" a="1"/>
  <c r="K10" i="5"/>
  <c r="K11" i="5" a="1"/>
  <c r="K11" i="5" s="1"/>
  <c r="K8" i="5" a="1"/>
  <c r="K8" i="5" s="1"/>
  <c r="J9" i="5"/>
  <c r="J10" i="5"/>
  <c r="J11" i="5"/>
  <c r="J8" i="5"/>
  <c r="L8" i="4" a="1"/>
  <c r="L8" i="4" s="1"/>
  <c r="G9" i="3" a="1"/>
  <c r="G9" i="3" s="1"/>
  <c r="G8" i="3" a="1"/>
  <c r="G8" i="3" s="1"/>
  <c r="H7" i="3" a="1"/>
  <c r="H7" i="3" s="1"/>
  <c r="E4" i="2"/>
  <c r="D6" i="6" a="1"/>
  <c r="D6" i="6" s="1"/>
  <c r="K4" i="5" l="1" a="1"/>
  <c r="K4" i="5" s="1"/>
  <c r="K5" i="5" a="1"/>
  <c r="K5" i="5" s="1"/>
  <c r="K6" i="5" a="1"/>
  <c r="K6" i="5" s="1"/>
  <c r="K3" i="5" a="1"/>
  <c r="K3" i="5" s="1"/>
  <c r="J4" i="5" a="1"/>
  <c r="J4" i="5" s="1"/>
  <c r="J5" i="5" a="1"/>
  <c r="J5" i="5" s="1"/>
  <c r="J6" i="5" a="1"/>
  <c r="J6" i="5" s="1"/>
  <c r="J3" i="5" a="1"/>
  <c r="J3" i="5" s="1"/>
  <c r="L4" i="4"/>
  <c r="J1" i="3"/>
  <c r="A3" i="3"/>
  <c r="A4" i="3"/>
  <c r="A5" i="3"/>
  <c r="A6" i="3"/>
  <c r="A7" i="3"/>
  <c r="A8" i="3"/>
  <c r="A9" i="3"/>
  <c r="A2" i="3"/>
  <c r="D4" i="2"/>
  <c r="K5" i="4" a="1"/>
  <c r="H5" i="3" l="1"/>
  <c r="K5" i="4"/>
  <c r="H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<sst xmlns="http://schemas.openxmlformats.org/spreadsheetml/2006/main" count="130" uniqueCount="58">
  <si>
    <t>Q.Insert new line after each word within cell using formula</t>
  </si>
  <si>
    <t>EXCEL VBA SQL TABEAU BI</t>
  </si>
  <si>
    <t>DESIRED OUTPUT</t>
  </si>
  <si>
    <t>EXCEL
VBA
SQL
TABLEAU
BI</t>
  </si>
  <si>
    <t>SOLUTION</t>
  </si>
  <si>
    <t>YEAR</t>
  </si>
  <si>
    <t>ORGANIZATION</t>
  </si>
  <si>
    <t>REVENUE</t>
  </si>
  <si>
    <t>REMARKS</t>
  </si>
  <si>
    <t>HCL</t>
  </si>
  <si>
    <t>BIRLASOFT</t>
  </si>
  <si>
    <t>EXL</t>
  </si>
  <si>
    <t>GOOD</t>
  </si>
  <si>
    <t>OK</t>
  </si>
  <si>
    <t>GREAT</t>
  </si>
  <si>
    <t>PRODUCT</t>
  </si>
  <si>
    <t>SAMSUNG</t>
  </si>
  <si>
    <t>NOKIA</t>
  </si>
  <si>
    <t>MOTO</t>
  </si>
  <si>
    <t>TOTAL SALE</t>
  </si>
  <si>
    <t>METHOD-1</t>
  </si>
  <si>
    <t>METHOD-2</t>
  </si>
  <si>
    <t>Employee ID</t>
  </si>
  <si>
    <t>Name</t>
  </si>
  <si>
    <t>Month</t>
  </si>
  <si>
    <t>Salary</t>
  </si>
  <si>
    <t>Manish</t>
  </si>
  <si>
    <t>jan</t>
  </si>
  <si>
    <t>Suresh</t>
  </si>
  <si>
    <t>Jan</t>
  </si>
  <si>
    <t>Karan</t>
  </si>
  <si>
    <t>Feb</t>
  </si>
  <si>
    <t>Mitali</t>
  </si>
  <si>
    <t>Mar</t>
  </si>
  <si>
    <t>Niharika</t>
  </si>
  <si>
    <t>Anmol</t>
  </si>
  <si>
    <t>Suhail</t>
  </si>
  <si>
    <t>Kartik</t>
  </si>
  <si>
    <t>Nimish</t>
  </si>
  <si>
    <t>Apr</t>
  </si>
  <si>
    <t>May</t>
  </si>
  <si>
    <t>Highest Salary</t>
  </si>
  <si>
    <t>2nd Highest Salary</t>
  </si>
  <si>
    <t>Date</t>
  </si>
  <si>
    <t>Holiday</t>
  </si>
  <si>
    <t>Start</t>
  </si>
  <si>
    <t>End</t>
  </si>
  <si>
    <t>List</t>
  </si>
  <si>
    <t>Christmas</t>
  </si>
  <si>
    <t>List holidays between two dates</t>
  </si>
  <si>
    <t>New Year</t>
  </si>
  <si>
    <t>Independence day</t>
  </si>
  <si>
    <t>Mahashiv Ratri</t>
  </si>
  <si>
    <t>Budh Purnima</t>
  </si>
  <si>
    <t>Raksha Bandhan</t>
  </si>
  <si>
    <t>Republic day</t>
  </si>
  <si>
    <t>Gandhi Jayanti</t>
  </si>
  <si>
    <t>Diwali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</si>
</sst>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1" xfId="0" applyFill="1" applyBorder="1"/>
    <xf numFmtId="14" fontId="0" fillId="0" borderId="0" xfId="0" applyNumberFormat="1"/>
    <xf numFmtId="14" fontId="0" fillId="0" borderId="1" xfId="0" applyNumberFormat="1" applyBorder="1"/>
    <xf numFmtId="0" fontId="0" fillId="0" borderId="0" xfId="0" quotePrefix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D793-439A-4858-A328-91E5275C6828}">
  <dimension ref="A1:E4"/>
  <sheetViews>
    <sheetView workbookViewId="0">
      <selection activeCell="D4" sqref="D4"/>
    </sheetView>
  </sheetViews>
  <sheetFormatPr defaultRowHeight="14.4" x14ac:dyDescent="0.3"/>
  <cols>
    <col min="2" max="2" width="28.6640625" customWidth="1"/>
    <col min="3" max="3" width="16.33203125" bestFit="1" customWidth="1"/>
  </cols>
  <sheetData>
    <row r="1" spans="1:5" x14ac:dyDescent="0.3">
      <c r="A1" s="1" t="s">
        <v>0</v>
      </c>
    </row>
    <row r="3" spans="1:5" x14ac:dyDescent="0.3">
      <c r="C3" s="1" t="s">
        <v>2</v>
      </c>
      <c r="D3" s="1" t="s">
        <v>4</v>
      </c>
    </row>
    <row r="4" spans="1:5" ht="81" customHeight="1" x14ac:dyDescent="0.3">
      <c r="B4" s="3" t="s">
        <v>1</v>
      </c>
      <c r="C4" s="2" t="s">
        <v>3</v>
      </c>
      <c r="D4" s="2" t="str">
        <f>SUBSTITUTE(B4," ",CHAR(10))</f>
        <v>EXCEL
VBA
SQL
TABEAU
BI</v>
      </c>
      <c r="E4" s="2" t="str">
        <f>SUBSTITUTE(B4, " ", CHAR(10))</f>
        <v>EXCEL
VBA
SQL
TABEAU
BI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CDB7-741D-4ADC-AE72-033321643A78}">
  <dimension ref="A1:K11"/>
  <sheetViews>
    <sheetView workbookViewId="0">
      <selection activeCell="H2" sqref="H2"/>
    </sheetView>
  </sheetViews>
  <sheetFormatPr defaultRowHeight="14.4" x14ac:dyDescent="0.3"/>
  <cols>
    <col min="1" max="1" width="14.5546875" bestFit="1" customWidth="1"/>
    <col min="3" max="3" width="15" bestFit="1" customWidth="1"/>
    <col min="7" max="7" width="15" bestFit="1" customWidth="1"/>
    <col min="10" max="10" width="14.5546875" bestFit="1" customWidth="1"/>
    <col min="11" max="11" width="15.109375" bestFit="1" customWidth="1"/>
  </cols>
  <sheetData>
    <row r="1" spans="1:11" x14ac:dyDescent="0.3">
      <c r="B1" s="4" t="s">
        <v>5</v>
      </c>
      <c r="C1" s="4" t="s">
        <v>6</v>
      </c>
      <c r="D1" s="4" t="s">
        <v>7</v>
      </c>
      <c r="E1" s="4" t="s">
        <v>8</v>
      </c>
      <c r="J1" t="str">
        <f>H3&amp;H2</f>
        <v>HCL2018</v>
      </c>
    </row>
    <row r="2" spans="1:11" x14ac:dyDescent="0.3">
      <c r="A2" t="str">
        <f>C2&amp;B2</f>
        <v>HCL2015</v>
      </c>
      <c r="B2" s="5">
        <v>2015</v>
      </c>
      <c r="C2" s="5" t="s">
        <v>9</v>
      </c>
      <c r="D2" s="5">
        <v>803001</v>
      </c>
      <c r="E2" s="5" t="s">
        <v>12</v>
      </c>
      <c r="G2" s="4" t="s">
        <v>5</v>
      </c>
      <c r="H2" s="5">
        <v>2018</v>
      </c>
      <c r="K2" s="4" t="s">
        <v>6</v>
      </c>
    </row>
    <row r="3" spans="1:11" x14ac:dyDescent="0.3">
      <c r="A3" t="str">
        <f t="shared" ref="A3:A9" si="0">C3&amp;B3</f>
        <v>BIRLASOFT2016</v>
      </c>
      <c r="B3" s="5">
        <v>2016</v>
      </c>
      <c r="C3" s="5" t="s">
        <v>10</v>
      </c>
      <c r="D3" s="5">
        <v>503916</v>
      </c>
      <c r="E3" s="5" t="s">
        <v>13</v>
      </c>
      <c r="G3" s="4" t="s">
        <v>6</v>
      </c>
      <c r="H3" s="5" t="s">
        <v>9</v>
      </c>
      <c r="K3" s="5" t="s">
        <v>9</v>
      </c>
    </row>
    <row r="4" spans="1:11" x14ac:dyDescent="0.3">
      <c r="A4" t="str">
        <f t="shared" si="0"/>
        <v>EXL2017</v>
      </c>
      <c r="B4" s="5">
        <v>2017</v>
      </c>
      <c r="C4" s="5" t="s">
        <v>11</v>
      </c>
      <c r="D4" s="5">
        <v>570760</v>
      </c>
      <c r="E4" s="5" t="s">
        <v>13</v>
      </c>
      <c r="G4" s="4" t="s">
        <v>7</v>
      </c>
      <c r="H4" s="6">
        <f>IFERROR(INDEX($B$2:$E$9,MATCH($J$1,$A$2:$A$9,0),3),"DATA NOT FOUND")</f>
        <v>870073</v>
      </c>
      <c r="K4" s="5" t="s">
        <v>10</v>
      </c>
    </row>
    <row r="5" spans="1:11" x14ac:dyDescent="0.3">
      <c r="A5" t="str">
        <f t="shared" si="0"/>
        <v>HCL2018</v>
      </c>
      <c r="B5" s="5">
        <v>2018</v>
      </c>
      <c r="C5" s="5" t="s">
        <v>9</v>
      </c>
      <c r="D5" s="5">
        <v>870073</v>
      </c>
      <c r="E5" s="5" t="s">
        <v>12</v>
      </c>
      <c r="G5" s="4" t="s">
        <v>8</v>
      </c>
      <c r="H5" s="6" t="str">
        <f>IFERROR(INDEX($B$2:$E$9,MATCH($J$1,$A$2:$A$9,0),4),"DATA NOT FOUND")</f>
        <v>GOOD</v>
      </c>
      <c r="K5" s="5" t="s">
        <v>11</v>
      </c>
    </row>
    <row r="6" spans="1:11" x14ac:dyDescent="0.3">
      <c r="A6" t="str">
        <f t="shared" si="0"/>
        <v>EXL2019</v>
      </c>
      <c r="B6" s="5">
        <v>2019</v>
      </c>
      <c r="C6" s="5" t="s">
        <v>11</v>
      </c>
      <c r="D6" s="5">
        <v>800041</v>
      </c>
      <c r="E6" s="5" t="s">
        <v>12</v>
      </c>
    </row>
    <row r="7" spans="1:11" x14ac:dyDescent="0.3">
      <c r="A7" t="str">
        <f t="shared" si="0"/>
        <v>EXL2020</v>
      </c>
      <c r="B7" s="5">
        <v>2020</v>
      </c>
      <c r="C7" s="5" t="s">
        <v>11</v>
      </c>
      <c r="D7" s="5">
        <v>994830</v>
      </c>
      <c r="E7" s="5" t="s">
        <v>14</v>
      </c>
      <c r="H7" cm="1">
        <f t="array" ref="H7">INDEX(D2:D9, (MATCH(1,((H2=B2:B9)*(C2:C9=H3)),0)))</f>
        <v>870073</v>
      </c>
    </row>
    <row r="8" spans="1:11" x14ac:dyDescent="0.3">
      <c r="A8" t="str">
        <f t="shared" si="0"/>
        <v>HCL2021</v>
      </c>
      <c r="B8" s="5">
        <v>2021</v>
      </c>
      <c r="C8" s="5" t="s">
        <v>9</v>
      </c>
      <c r="D8" s="5">
        <v>946972</v>
      </c>
      <c r="E8" s="5" t="s">
        <v>14</v>
      </c>
      <c r="G8" s="14" cm="1">
        <f t="array" ref="G8">_xlfn.CHOOSECOLS(_xlfn._xlws.FILTER($B$2:$E$9,($C$2:$C$9=$H$3)*($B$2:$B$9=$H$2)), ROWS($H$4:H4)+2)</f>
        <v>870073</v>
      </c>
    </row>
    <row r="9" spans="1:11" x14ac:dyDescent="0.3">
      <c r="A9" t="str">
        <f t="shared" si="0"/>
        <v>BIRLASOFT2022</v>
      </c>
      <c r="B9" s="5">
        <v>2022</v>
      </c>
      <c r="C9" s="5" t="s">
        <v>10</v>
      </c>
      <c r="D9" s="5">
        <v>772843</v>
      </c>
      <c r="E9" s="5" t="s">
        <v>13</v>
      </c>
      <c r="G9" s="14" t="str" cm="1">
        <f t="array" ref="G9">_xlfn.CHOOSECOLS(_xlfn._xlws.FILTER($B$2:$E$9,($C$2:$C$9=$H$3)*($B$2:$B$9=$H$2)), ROWS($H$4:H5)+2)</f>
        <v>GOOD</v>
      </c>
    </row>
    <row r="11" spans="1:11" x14ac:dyDescent="0.3">
      <c r="G11" cm="1">
        <f t="array" ref="G11">IFERROR(INDEX($D$2:$E$9,MATCH(1, ($B$2:$B$9=$H$2)*($C$2:$C$9=$H$3),0),COLUMNS($G$10:G10)), "NotAvailable")</f>
        <v>870073</v>
      </c>
      <c r="H11" t="str" cm="1">
        <f t="array" ref="H11">IFERROR(INDEX($D$2:$E$9,MATCH(1, ($B$2:$B$9=$H$2)*($C$2:$C$9=$H$3),0),COLUMNS($G$10:H10)), "NotAvailable")</f>
        <v>GOOD</v>
      </c>
    </row>
  </sheetData>
  <dataValidations count="2">
    <dataValidation type="list" allowBlank="1" showInputMessage="1" showErrorMessage="1" sqref="H2" xr:uid="{14A3F5BC-9F79-46C8-ACA3-EE4E0D6F11F7}">
      <formula1>$B$2:$B$9</formula1>
    </dataValidation>
    <dataValidation type="list" allowBlank="1" showInputMessage="1" showErrorMessage="1" sqref="H3" xr:uid="{9C7A828C-ECB8-4AEE-B717-5C36DB8643C1}">
      <formula1>$K$3:$K$5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21E04-495F-4E30-9400-A763139244B7}">
  <dimension ref="A1:N10"/>
  <sheetViews>
    <sheetView workbookViewId="0">
      <selection activeCell="K9" sqref="K9"/>
    </sheetView>
  </sheetViews>
  <sheetFormatPr defaultRowHeight="14.4" x14ac:dyDescent="0.3"/>
  <cols>
    <col min="1" max="1" width="10.44140625" bestFit="1" customWidth="1"/>
    <col min="10" max="10" width="11.109375" bestFit="1" customWidth="1"/>
    <col min="11" max="12" width="10.44140625" bestFit="1" customWidth="1"/>
  </cols>
  <sheetData>
    <row r="1" spans="1:14" x14ac:dyDescent="0.3">
      <c r="A1" s="7" t="s">
        <v>15</v>
      </c>
      <c r="B1" s="7">
        <v>2015</v>
      </c>
      <c r="C1" s="7">
        <v>2016</v>
      </c>
      <c r="D1" s="7">
        <v>2017</v>
      </c>
      <c r="E1" s="7">
        <v>2018</v>
      </c>
      <c r="F1" s="7">
        <v>2019</v>
      </c>
      <c r="G1" s="7">
        <v>2020</v>
      </c>
    </row>
    <row r="2" spans="1:14" x14ac:dyDescent="0.3">
      <c r="A2" s="7" t="s">
        <v>16</v>
      </c>
      <c r="B2" s="4">
        <v>70</v>
      </c>
      <c r="C2" s="4">
        <v>33</v>
      </c>
      <c r="D2" s="4">
        <v>17</v>
      </c>
      <c r="E2" s="4">
        <v>94</v>
      </c>
      <c r="F2" s="4">
        <v>81</v>
      </c>
      <c r="G2" s="4">
        <v>64</v>
      </c>
    </row>
    <row r="3" spans="1:14" x14ac:dyDescent="0.3">
      <c r="A3" s="7" t="s">
        <v>16</v>
      </c>
      <c r="B3" s="4">
        <v>34</v>
      </c>
      <c r="C3" s="4">
        <v>43</v>
      </c>
      <c r="D3" s="4">
        <v>94</v>
      </c>
      <c r="E3" s="4">
        <v>50</v>
      </c>
      <c r="F3" s="4">
        <v>47</v>
      </c>
      <c r="G3" s="4">
        <v>35</v>
      </c>
      <c r="K3" s="1" t="s">
        <v>20</v>
      </c>
      <c r="L3" s="1" t="s">
        <v>21</v>
      </c>
    </row>
    <row r="4" spans="1:14" x14ac:dyDescent="0.3">
      <c r="A4" s="7" t="s">
        <v>17</v>
      </c>
      <c r="B4" s="4">
        <v>69</v>
      </c>
      <c r="C4" s="4">
        <v>99</v>
      </c>
      <c r="D4" s="4">
        <v>90</v>
      </c>
      <c r="E4" s="4">
        <v>25</v>
      </c>
      <c r="F4" s="4">
        <v>49</v>
      </c>
      <c r="G4" s="4">
        <v>87</v>
      </c>
      <c r="J4" s="4" t="s">
        <v>15</v>
      </c>
      <c r="K4" s="5" t="s">
        <v>18</v>
      </c>
      <c r="L4">
        <f>IF(K4="SAMSUNG",SUM(SAMSUNG),IF(K4="NOKIA",SUM(NOKIA),IF(K4="MOTO",SUM(MOTO))))</f>
        <v>791</v>
      </c>
    </row>
    <row r="5" spans="1:14" x14ac:dyDescent="0.3">
      <c r="A5" s="7" t="s">
        <v>17</v>
      </c>
      <c r="B5" s="4">
        <v>92</v>
      </c>
      <c r="C5" s="4">
        <v>94</v>
      </c>
      <c r="D5" s="4">
        <v>65</v>
      </c>
      <c r="E5" s="4">
        <v>95</v>
      </c>
      <c r="F5" s="4">
        <v>21</v>
      </c>
      <c r="G5" s="4">
        <v>30</v>
      </c>
      <c r="J5" s="4" t="s">
        <v>19</v>
      </c>
      <c r="K5" s="5">
        <f t="array" aca="1" ref="K5" ca="1">SUM(INDIRECT(K4))</f>
        <v>791</v>
      </c>
      <c r="N5" t="s">
        <v>15</v>
      </c>
    </row>
    <row r="6" spans="1:14" x14ac:dyDescent="0.3">
      <c r="A6" s="7" t="s">
        <v>17</v>
      </c>
      <c r="B6" s="4">
        <v>32</v>
      </c>
      <c r="C6" s="4">
        <v>85</v>
      </c>
      <c r="D6" s="4">
        <v>20</v>
      </c>
      <c r="E6" s="4">
        <v>87</v>
      </c>
      <c r="F6" s="4">
        <v>39</v>
      </c>
      <c r="G6" s="4">
        <v>55</v>
      </c>
      <c r="N6" t="s">
        <v>16</v>
      </c>
    </row>
    <row r="7" spans="1:14" x14ac:dyDescent="0.3">
      <c r="A7" s="7" t="s">
        <v>18</v>
      </c>
      <c r="B7" s="4">
        <v>88</v>
      </c>
      <c r="C7" s="4">
        <v>80</v>
      </c>
      <c r="D7" s="4">
        <v>35</v>
      </c>
      <c r="E7" s="4">
        <v>76</v>
      </c>
      <c r="F7" s="4">
        <v>50</v>
      </c>
      <c r="G7" s="4">
        <v>58</v>
      </c>
      <c r="N7" t="s">
        <v>17</v>
      </c>
    </row>
    <row r="8" spans="1:14" x14ac:dyDescent="0.3">
      <c r="A8" s="7" t="s">
        <v>18</v>
      </c>
      <c r="B8" s="4">
        <v>90</v>
      </c>
      <c r="C8" s="4">
        <v>49</v>
      </c>
      <c r="D8" s="4">
        <v>89</v>
      </c>
      <c r="E8" s="4">
        <v>69</v>
      </c>
      <c r="F8" s="4">
        <v>16</v>
      </c>
      <c r="G8" s="4">
        <v>91</v>
      </c>
      <c r="K8" cm="1">
        <f t="array" ref="K8">SUMPRODUCT(B2:G8*(--(A2:A8=K4)))</f>
        <v>791</v>
      </c>
      <c r="L8" cm="1">
        <f t="array" ref="L8">SUM(IF(A2:A8=K4,B2:G8))</f>
        <v>791</v>
      </c>
      <c r="N8" t="s">
        <v>18</v>
      </c>
    </row>
    <row r="10" spans="1:14" x14ac:dyDescent="0.3">
      <c r="K10" cm="1">
        <f t="array" ref="K10">SUM(_xlfn._xlws.FILTER(B2:G8,A2:A8=K4))</f>
        <v>791</v>
      </c>
      <c r="L10">
        <f ca="1">SUM(OFFSET(A1,MATCH(K4,A2:A8,0),1,COUNTIF(A2:A8,K4),COLUMNS(B1:G1)))</f>
        <v>791</v>
      </c>
    </row>
  </sheetData>
  <dataValidations count="1">
    <dataValidation type="list" allowBlank="1" showInputMessage="1" showErrorMessage="1" sqref="K4" xr:uid="{3D4151DB-1C9A-4D26-964A-FA2B588D4D90}">
      <formula1>$N$6:$N$8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E26B-085C-4607-9DC7-1A04F811B16D}">
  <dimension ref="A1:L27"/>
  <sheetViews>
    <sheetView topLeftCell="A3" workbookViewId="0">
      <selection activeCell="J13" sqref="J13:K16"/>
    </sheetView>
  </sheetViews>
  <sheetFormatPr defaultRowHeight="14.4" x14ac:dyDescent="0.3"/>
  <cols>
    <col min="1" max="1" width="12.109375" bestFit="1" customWidth="1"/>
    <col min="8" max="8" width="12.109375" bestFit="1" customWidth="1"/>
    <col min="10" max="10" width="13.5546875" bestFit="1" customWidth="1"/>
    <col min="11" max="11" width="17.44140625" bestFit="1" customWidth="1"/>
  </cols>
  <sheetData>
    <row r="1" spans="1:12" x14ac:dyDescent="0.3">
      <c r="A1" s="8" t="s">
        <v>22</v>
      </c>
      <c r="B1" s="8" t="s">
        <v>23</v>
      </c>
      <c r="C1" s="8" t="s">
        <v>24</v>
      </c>
      <c r="D1" s="8" t="s">
        <v>25</v>
      </c>
    </row>
    <row r="2" spans="1:12" x14ac:dyDescent="0.3">
      <c r="A2" s="6">
        <v>104</v>
      </c>
      <c r="B2" s="6" t="s">
        <v>26</v>
      </c>
      <c r="C2" s="6" t="s">
        <v>27</v>
      </c>
      <c r="D2" s="6">
        <v>15000</v>
      </c>
      <c r="H2" s="8" t="s">
        <v>22</v>
      </c>
      <c r="I2" s="8" t="s">
        <v>23</v>
      </c>
      <c r="J2" s="4" t="s">
        <v>41</v>
      </c>
      <c r="K2" s="4" t="s">
        <v>42</v>
      </c>
    </row>
    <row r="3" spans="1:12" x14ac:dyDescent="0.3">
      <c r="A3" s="6">
        <v>106</v>
      </c>
      <c r="B3" s="6" t="s">
        <v>28</v>
      </c>
      <c r="C3" s="6" t="s">
        <v>29</v>
      </c>
      <c r="D3" s="6">
        <v>18000</v>
      </c>
      <c r="H3" s="5">
        <v>104</v>
      </c>
      <c r="I3" s="5" t="s">
        <v>26</v>
      </c>
      <c r="J3" s="5">
        <f t="array" ref="J3">LARGE(($A$2:$A$27=$H3)*$D$2:$D$27,1)</f>
        <v>19888</v>
      </c>
      <c r="K3" s="5">
        <f t="array" ref="K3">LARGE(($A$2:$A$27=$H3)*$D$2:$D$27,2)</f>
        <v>19333</v>
      </c>
    </row>
    <row r="4" spans="1:12" x14ac:dyDescent="0.3">
      <c r="A4" s="6">
        <v>108</v>
      </c>
      <c r="B4" s="6" t="s">
        <v>30</v>
      </c>
      <c r="C4" s="6" t="s">
        <v>31</v>
      </c>
      <c r="D4" s="6">
        <v>12000</v>
      </c>
      <c r="H4" s="9">
        <v>110</v>
      </c>
      <c r="I4" s="6" t="s">
        <v>32</v>
      </c>
      <c r="J4" s="5">
        <f t="array" ref="J4">LARGE(($A$2:$A$27=$H4)*$D$2:$D$27,1)</f>
        <v>16000</v>
      </c>
      <c r="K4" s="5">
        <f t="array" ref="K4">LARGE(($A$2:$A$27=$H4)*$D$2:$D$27,2)</f>
        <v>15000</v>
      </c>
    </row>
    <row r="5" spans="1:12" x14ac:dyDescent="0.3">
      <c r="A5" s="6">
        <v>110</v>
      </c>
      <c r="B5" s="6" t="s">
        <v>32</v>
      </c>
      <c r="C5" s="6" t="s">
        <v>29</v>
      </c>
      <c r="D5" s="6">
        <v>13000</v>
      </c>
      <c r="H5" s="9">
        <v>106</v>
      </c>
      <c r="I5" s="6" t="s">
        <v>28</v>
      </c>
      <c r="J5" s="5">
        <f t="array" ref="J5">LARGE(($A$2:$A$27=$H5)*$D$2:$D$27,1)</f>
        <v>18000</v>
      </c>
      <c r="K5" s="5">
        <f t="array" ref="K5">LARGE(($A$2:$A$27=$H5)*$D$2:$D$27,2)</f>
        <v>18000</v>
      </c>
    </row>
    <row r="6" spans="1:12" x14ac:dyDescent="0.3">
      <c r="A6" s="6">
        <v>104</v>
      </c>
      <c r="B6" s="6" t="s">
        <v>26</v>
      </c>
      <c r="C6" s="6" t="s">
        <v>31</v>
      </c>
      <c r="D6" s="6">
        <v>15000</v>
      </c>
      <c r="H6" s="9">
        <v>108</v>
      </c>
      <c r="I6" s="6" t="s">
        <v>30</v>
      </c>
      <c r="J6" s="5">
        <f t="array" ref="J6">LARGE(($A$2:$A$27=$H6)*$D$2:$D$27,1)</f>
        <v>17500</v>
      </c>
      <c r="K6" s="5">
        <f t="array" ref="K6">LARGE(($A$2:$A$27=$H6)*$D$2:$D$27,2)</f>
        <v>12000</v>
      </c>
    </row>
    <row r="7" spans="1:12" x14ac:dyDescent="0.3">
      <c r="A7" s="6">
        <v>106</v>
      </c>
      <c r="B7" s="6" t="s">
        <v>28</v>
      </c>
      <c r="C7" s="6" t="s">
        <v>31</v>
      </c>
      <c r="D7" s="6">
        <v>18000</v>
      </c>
    </row>
    <row r="8" spans="1:12" x14ac:dyDescent="0.3">
      <c r="A8" s="6">
        <v>108</v>
      </c>
      <c r="B8" s="6" t="s">
        <v>30</v>
      </c>
      <c r="C8" s="6" t="s">
        <v>31</v>
      </c>
      <c r="D8" s="6">
        <v>12000</v>
      </c>
      <c r="J8">
        <f>_xlfn.MAXIFS($D$2:$D$27,$A$2:$A$27,$H3,$B$2:$B$27,$I3)</f>
        <v>19888</v>
      </c>
      <c r="K8" cm="1">
        <f t="array" ref="K8">LARGE(IF(($A$2:$A$27=$H3)*($B$2:$B$27=$I3),$D$2:$D$27),COLUMNS($K$3:K3))</f>
        <v>19888</v>
      </c>
      <c r="L8" cm="1">
        <f t="array" ref="L8">LARGE(IF(($A$2:$A$27=$H3)*($B$2:$B$27=$I3),$D$2:$D$27),COLUMNS($K$3:L3))</f>
        <v>19333</v>
      </c>
    </row>
    <row r="9" spans="1:12" x14ac:dyDescent="0.3">
      <c r="A9" s="6">
        <v>110</v>
      </c>
      <c r="B9" s="6" t="s">
        <v>32</v>
      </c>
      <c r="C9" s="6" t="s">
        <v>31</v>
      </c>
      <c r="D9" s="6">
        <v>13000</v>
      </c>
      <c r="J9">
        <f t="shared" ref="J9:J11" si="0">_xlfn.MAXIFS($D$2:$D$27,$A$2:$A$27,$H4,$B$2:$B$27,$I4)</f>
        <v>16000</v>
      </c>
      <c r="K9" cm="1">
        <f t="array" ref="K9">LARGE(IF(($A$2:$A$27=$H4)*($B$2:$B$27=$I4),$D$2:$D$27),COLUMNS($K$3:K4))</f>
        <v>16000</v>
      </c>
      <c r="L9" cm="1">
        <f t="array" ref="L9">LARGE(IF(($A$2:$A$27=$H4)*($B$2:$B$27=$I4),$D$2:$D$27),COLUMNS($K$3:L4))</f>
        <v>15000</v>
      </c>
    </row>
    <row r="10" spans="1:12" x14ac:dyDescent="0.3">
      <c r="A10" s="6">
        <v>104</v>
      </c>
      <c r="B10" s="6" t="s">
        <v>26</v>
      </c>
      <c r="C10" s="6" t="s">
        <v>33</v>
      </c>
      <c r="D10" s="6">
        <v>18000</v>
      </c>
      <c r="J10">
        <f t="shared" si="0"/>
        <v>18000</v>
      </c>
      <c r="K10" cm="1">
        <f t="array" ref="K10">LARGE(IF(($A$2:$A$27=$H5)*($B$2:$B$27=$I5),$D$2:$D$27),COLUMNS($K$3:K5))</f>
        <v>18000</v>
      </c>
      <c r="L10" cm="1">
        <f t="array" ref="L10">LARGE(IF(($A$2:$A$27=$H5)*($B$2:$B$27=$I5),$D$2:$D$27),COLUMNS($K$3:L5))</f>
        <v>18000</v>
      </c>
    </row>
    <row r="11" spans="1:12" x14ac:dyDescent="0.3">
      <c r="A11" s="6">
        <v>106</v>
      </c>
      <c r="B11" s="6" t="s">
        <v>28</v>
      </c>
      <c r="C11" s="6" t="s">
        <v>33</v>
      </c>
      <c r="D11" s="6">
        <v>17000</v>
      </c>
      <c r="J11">
        <f t="shared" si="0"/>
        <v>17500</v>
      </c>
      <c r="K11" cm="1">
        <f t="array" ref="K11">LARGE(IF(($A$2:$A$27=$H6)*($B$2:$B$27=$I6),$D$2:$D$27),COLUMNS($K$3:K6))</f>
        <v>17500</v>
      </c>
      <c r="L11" cm="1">
        <f t="array" ref="L11">LARGE(IF(($A$2:$A$27=$H6)*($B$2:$B$27=$I6),$D$2:$D$27),COLUMNS($K$3:L6))</f>
        <v>12000</v>
      </c>
    </row>
    <row r="12" spans="1:12" x14ac:dyDescent="0.3">
      <c r="A12" s="6">
        <v>108</v>
      </c>
      <c r="B12" s="6" t="s">
        <v>30</v>
      </c>
      <c r="C12" s="6" t="s">
        <v>33</v>
      </c>
      <c r="D12" s="6">
        <v>17500</v>
      </c>
    </row>
    <row r="13" spans="1:12" x14ac:dyDescent="0.3">
      <c r="A13" s="6">
        <v>110</v>
      </c>
      <c r="B13" s="6" t="s">
        <v>32</v>
      </c>
      <c r="C13" s="6" t="s">
        <v>33</v>
      </c>
      <c r="D13" s="6">
        <v>14366</v>
      </c>
      <c r="J13" cm="1">
        <f t="array" ref="J13">LARGE(IF(($A$2:$A$27=$H3)*($B$2:$B$27=$I3),$D$2:$D$27,""), COLUMNS($J$12:J12))</f>
        <v>19888</v>
      </c>
      <c r="K13" cm="1">
        <f t="array" ref="K13">LARGE(IF(($A$2:$A$27=$H3)*($B$2:$B$27=$I3),$D$2:$D$27,""), COLUMNS($J$12:K12))</f>
        <v>19333</v>
      </c>
    </row>
    <row r="14" spans="1:12" x14ac:dyDescent="0.3">
      <c r="A14" s="6">
        <v>112</v>
      </c>
      <c r="B14" s="6" t="s">
        <v>34</v>
      </c>
      <c r="C14" s="6" t="s">
        <v>27</v>
      </c>
      <c r="D14" s="6">
        <v>15222</v>
      </c>
      <c r="J14" cm="1">
        <f t="array" ref="J14">LARGE(IF(($A$2:$A$27=$H4)*($B$2:$B$27=$I4),$D$2:$D$27,""), COLUMNS($J$12:J13))</f>
        <v>16000</v>
      </c>
      <c r="K14" cm="1">
        <f t="array" ref="K14">LARGE(IF(($A$2:$A$27=$H4)*($B$2:$B$27=$I4),$D$2:$D$27,""), COLUMNS($J$12:K13))</f>
        <v>15000</v>
      </c>
    </row>
    <row r="15" spans="1:12" x14ac:dyDescent="0.3">
      <c r="A15" s="6">
        <v>115</v>
      </c>
      <c r="B15" s="6" t="s">
        <v>35</v>
      </c>
      <c r="C15" s="6" t="s">
        <v>27</v>
      </c>
      <c r="D15" s="6">
        <v>12522</v>
      </c>
      <c r="J15" cm="1">
        <f t="array" ref="J15">LARGE(IF(($A$2:$A$27=$H5)*($B$2:$B$27=$I5),$D$2:$D$27,""), COLUMNS($J$12:J14))</f>
        <v>18000</v>
      </c>
      <c r="K15" cm="1">
        <f t="array" ref="K15">LARGE(IF(($A$2:$A$27=$H5)*($B$2:$B$27=$I5),$D$2:$D$27,""), COLUMNS($J$12:K14))</f>
        <v>18000</v>
      </c>
    </row>
    <row r="16" spans="1:12" x14ac:dyDescent="0.3">
      <c r="A16" s="6">
        <v>122</v>
      </c>
      <c r="B16" s="6" t="s">
        <v>36</v>
      </c>
      <c r="C16" s="6" t="s">
        <v>27</v>
      </c>
      <c r="D16" s="6">
        <v>22232</v>
      </c>
      <c r="J16" cm="1">
        <f t="array" ref="J16">LARGE(IF(($A$2:$A$27=$H6)*($B$2:$B$27=$I6),$D$2:$D$27,""), COLUMNS($J$12:J15))</f>
        <v>17500</v>
      </c>
      <c r="K16" cm="1">
        <f t="array" ref="K16">LARGE(IF(($A$2:$A$27=$H6)*($B$2:$B$27=$I6),$D$2:$D$27,""), COLUMNS($J$12:K15))</f>
        <v>12000</v>
      </c>
    </row>
    <row r="17" spans="1:4" x14ac:dyDescent="0.3">
      <c r="A17" s="6">
        <v>125</v>
      </c>
      <c r="B17" s="6" t="s">
        <v>37</v>
      </c>
      <c r="C17" s="6" t="s">
        <v>27</v>
      </c>
      <c r="D17" s="6">
        <v>12521</v>
      </c>
    </row>
    <row r="18" spans="1:4" x14ac:dyDescent="0.3">
      <c r="A18" s="6">
        <v>124</v>
      </c>
      <c r="B18" s="6" t="s">
        <v>38</v>
      </c>
      <c r="C18" s="6" t="s">
        <v>27</v>
      </c>
      <c r="D18" s="6">
        <v>14752</v>
      </c>
    </row>
    <row r="19" spans="1:4" x14ac:dyDescent="0.3">
      <c r="A19" s="6">
        <v>104</v>
      </c>
      <c r="B19" s="6" t="s">
        <v>26</v>
      </c>
      <c r="C19" s="6" t="s">
        <v>39</v>
      </c>
      <c r="D19" s="6">
        <v>19333</v>
      </c>
    </row>
    <row r="20" spans="1:4" x14ac:dyDescent="0.3">
      <c r="A20" s="6">
        <v>124</v>
      </c>
      <c r="B20" s="6" t="s">
        <v>38</v>
      </c>
      <c r="C20" s="6" t="s">
        <v>31</v>
      </c>
      <c r="D20" s="6">
        <v>14752</v>
      </c>
    </row>
    <row r="21" spans="1:4" x14ac:dyDescent="0.3">
      <c r="A21" s="6">
        <v>125</v>
      </c>
      <c r="B21" s="6" t="s">
        <v>37</v>
      </c>
      <c r="C21" s="6" t="s">
        <v>31</v>
      </c>
      <c r="D21" s="6">
        <v>12521</v>
      </c>
    </row>
    <row r="22" spans="1:4" x14ac:dyDescent="0.3">
      <c r="A22" s="6">
        <v>124</v>
      </c>
      <c r="B22" s="6" t="s">
        <v>38</v>
      </c>
      <c r="C22" s="6" t="s">
        <v>33</v>
      </c>
      <c r="D22" s="6">
        <v>14752</v>
      </c>
    </row>
    <row r="23" spans="1:4" x14ac:dyDescent="0.3">
      <c r="A23" s="6">
        <v>124</v>
      </c>
      <c r="B23" s="6" t="s">
        <v>38</v>
      </c>
      <c r="C23" s="6" t="s">
        <v>39</v>
      </c>
      <c r="D23" s="6">
        <v>14752</v>
      </c>
    </row>
    <row r="24" spans="1:4" x14ac:dyDescent="0.3">
      <c r="A24" s="6">
        <v>104</v>
      </c>
      <c r="B24" s="6" t="s">
        <v>26</v>
      </c>
      <c r="C24" s="6" t="s">
        <v>40</v>
      </c>
      <c r="D24" s="6">
        <v>19888</v>
      </c>
    </row>
    <row r="25" spans="1:4" x14ac:dyDescent="0.3">
      <c r="A25" s="6">
        <v>110</v>
      </c>
      <c r="B25" s="6" t="s">
        <v>32</v>
      </c>
      <c r="C25" s="6" t="s">
        <v>39</v>
      </c>
      <c r="D25" s="6">
        <v>15000</v>
      </c>
    </row>
    <row r="26" spans="1:4" x14ac:dyDescent="0.3">
      <c r="A26" s="6">
        <v>110</v>
      </c>
      <c r="B26" s="6" t="s">
        <v>32</v>
      </c>
      <c r="C26" s="6" t="s">
        <v>40</v>
      </c>
      <c r="D26" s="6">
        <v>16000</v>
      </c>
    </row>
    <row r="27" spans="1:4" x14ac:dyDescent="0.3">
      <c r="A27" s="6">
        <v>106</v>
      </c>
      <c r="B27" s="6" t="s">
        <v>28</v>
      </c>
      <c r="C27" s="6" t="s">
        <v>39</v>
      </c>
      <c r="D27" s="6">
        <v>18000</v>
      </c>
    </row>
  </sheetData>
  <autoFilter ref="A1:D27" xr:uid="{E89A3F53-06CF-43EB-8254-3B3FF8742AA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78F49-FC2C-47F5-93A3-96D0A8A00F10}">
  <dimension ref="A1:E12"/>
  <sheetViews>
    <sheetView tabSelected="1" workbookViewId="0">
      <selection activeCell="D13" sqref="D13"/>
    </sheetView>
  </sheetViews>
  <sheetFormatPr defaultRowHeight="14.4" x14ac:dyDescent="0.3"/>
  <cols>
    <col min="1" max="1" width="13.44140625" customWidth="1"/>
    <col min="2" max="2" width="21" bestFit="1" customWidth="1"/>
    <col min="4" max="4" width="27.33203125" bestFit="1" customWidth="1"/>
  </cols>
  <sheetData>
    <row r="1" spans="1:5" x14ac:dyDescent="0.3">
      <c r="A1" s="1" t="s">
        <v>49</v>
      </c>
    </row>
    <row r="3" spans="1:5" x14ac:dyDescent="0.3">
      <c r="A3" s="10" t="s">
        <v>43</v>
      </c>
      <c r="B3" s="10" t="s">
        <v>44</v>
      </c>
      <c r="E3" s="2"/>
    </row>
    <row r="4" spans="1:5" x14ac:dyDescent="0.3">
      <c r="A4" s="11">
        <v>43832</v>
      </c>
      <c r="B4" t="s">
        <v>50</v>
      </c>
      <c r="C4" s="5" t="s">
        <v>45</v>
      </c>
      <c r="D4" s="12">
        <v>43876</v>
      </c>
    </row>
    <row r="5" spans="1:5" x14ac:dyDescent="0.3">
      <c r="A5" s="11">
        <v>43856</v>
      </c>
      <c r="B5" s="13" t="s">
        <v>55</v>
      </c>
      <c r="C5" s="5" t="s">
        <v>46</v>
      </c>
      <c r="D5" s="12">
        <v>43983</v>
      </c>
    </row>
    <row r="6" spans="1:5" x14ac:dyDescent="0.3">
      <c r="A6" s="11">
        <v>43883</v>
      </c>
      <c r="B6" t="s">
        <v>52</v>
      </c>
      <c r="C6" s="5" t="s">
        <v>47</v>
      </c>
      <c r="D6" s="5" t="str">
        <f t="array" ref="D6">_xlfn.TEXTJOIN(",",TRUE,IF(A4:A12&gt;=D4,IF(A4:A12&lt;=D5,B4:B12,""),""))</f>
        <v>Mahashiv Ratri,Budh Purnima</v>
      </c>
    </row>
    <row r="7" spans="1:5" x14ac:dyDescent="0.3">
      <c r="A7" s="11">
        <v>43958</v>
      </c>
      <c r="B7" t="s">
        <v>53</v>
      </c>
    </row>
    <row r="8" spans="1:5" x14ac:dyDescent="0.3">
      <c r="A8" s="11">
        <v>44046</v>
      </c>
      <c r="B8" t="s">
        <v>54</v>
      </c>
      <c r="D8" t="str" cm="1">
        <f t="array" ref="D8">_xlfn.TEXTJOIN(",",TRUE,IF((_c&gt;=D4)*(_c&lt;=D5),B4:B12,""))</f>
        <v>Mahashiv Ratri,Budh Purnima</v>
      </c>
    </row>
    <row r="9" spans="1:5" x14ac:dyDescent="0.3">
      <c r="A9" s="11">
        <v>44058</v>
      </c>
      <c r="B9" t="s">
        <v>51</v>
      </c>
      <c r="D9" t="str" cm="1">
        <f t="array" ref="D9">_xlfn.TEXTJOIN(",",TRUE,IF((_c&gt;=D4)*(_c&lt;=D5),B4:B12,""))</f>
        <v>Mahashiv Ratri,Budh Purnima</v>
      </c>
    </row>
    <row r="10" spans="1:5" x14ac:dyDescent="0.3">
      <c r="A10" s="11">
        <v>44137</v>
      </c>
      <c r="B10" t="s">
        <v>56</v>
      </c>
    </row>
    <row r="11" spans="1:5" x14ac:dyDescent="0.3">
      <c r="A11" s="11">
        <v>44149</v>
      </c>
      <c r="B11" t="s">
        <v>57</v>
      </c>
    </row>
    <row r="12" spans="1:5" x14ac:dyDescent="0.3">
      <c r="A12" s="11">
        <v>44190</v>
      </c>
      <c r="B1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Q1</vt:lpstr>
      <vt:lpstr>Q2</vt:lpstr>
      <vt:lpstr>Q3</vt:lpstr>
      <vt:lpstr>Q4</vt:lpstr>
      <vt:lpstr>Q5</vt:lpstr>
      <vt:lpstr>_c</vt:lpstr>
      <vt:lpstr>MOTO</vt:lpstr>
      <vt:lpstr>NOKIA</vt:lpstr>
      <vt:lpstr>SAMSUNG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2015-06-05T18:17:20Z</dcterms:created>
  <dcterms:modified xsi:type="dcterms:W3CDTF">2026-01-27T11:34:40Z</dcterms:modified>
</cp:coreProperties>
</file>