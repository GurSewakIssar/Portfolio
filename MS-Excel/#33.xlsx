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rse\Documents\Work\Crackjob\"/>
    </mc:Choice>
  </mc:AlternateContent>
  <xr:revisionPtr revIDLastSave="0" documentId="13_ncr:1_{C374F462-F17C-43C4-B1AF-347B4C1EB229}" xr6:coauthVersionLast="47" xr6:coauthVersionMax="47" xr10:uidLastSave="{00000000-0000-0000-0000-000000000000}"/>
  <bookViews>
    <workbookView xWindow="-108" yWindow="-108" windowWidth="23256" windowHeight="12456" activeTab="4" xr2:uid="{03D87E1B-21DF-4725-AAF0-549A37979198}"/>
  </bookViews>
  <sheets>
    <sheet name="Q1" sheetId="7" r:id="rId1"/>
    <sheet name="Q2" sheetId="2" r:id="rId2"/>
    <sheet name="Q3" sheetId="10" r:id="rId3"/>
    <sheet name="Q4" sheetId="8" r:id="rId4"/>
    <sheet name="Q5" sheetId="13" r:id="rId5"/>
  </sheets>
  <definedNames>
    <definedName name="Answer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3" l="1" a="1"/>
  <c r="B7" i="13" s="1"/>
  <c r="G8" i="13" a="1"/>
  <c r="G8" i="13"/>
  <c r="G7" i="13" a="1"/>
  <c r="G7" i="13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5" i="8"/>
  <c r="G5" i="10" a="1"/>
  <c r="G5" i="10" s="1"/>
  <c r="I4" i="2" a="1"/>
  <c r="I4" i="2" s="1"/>
  <c r="I5" i="2" a="1"/>
  <c r="I5" i="2" s="1"/>
  <c r="I3" i="2" a="1"/>
  <c r="I3" i="2" s="1"/>
  <c r="I20" i="7"/>
  <c r="I19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3" i="7"/>
  <c r="B10" i="13" a="1"/>
  <c r="B10" i="13" s="1"/>
  <c r="B8" i="13" a="1"/>
  <c r="B8" i="13" s="1"/>
  <c r="E3" i="7" a="1"/>
  <c r="E3" i="7"/>
  <c r="E4" i="7" a="1"/>
  <c r="E4" i="7" s="1"/>
  <c r="E5" i="7" a="1"/>
  <c r="E5" i="7"/>
  <c r="E6" i="7" a="1"/>
  <c r="E6" i="7"/>
  <c r="E7" i="7" a="1"/>
  <c r="E7" i="7"/>
  <c r="E8" i="7" a="1"/>
  <c r="E8" i="7"/>
  <c r="E9" i="7" a="1"/>
  <c r="E9" i="7"/>
  <c r="E10" i="7" a="1"/>
  <c r="E10" i="7"/>
  <c r="E11" i="7" a="1"/>
  <c r="E11" i="7"/>
  <c r="E12" i="7" a="1"/>
  <c r="E12" i="7" s="1"/>
  <c r="E13" i="7" a="1"/>
  <c r="E13" i="7"/>
  <c r="E14" i="7" a="1"/>
  <c r="E14" i="7"/>
  <c r="E15" i="7" a="1"/>
  <c r="E15" i="7"/>
  <c r="E16" i="7" a="1"/>
  <c r="E16" i="7"/>
  <c r="E17" i="7" a="1"/>
  <c r="E17" i="7"/>
  <c r="E18" i="7" a="1"/>
  <c r="E18" i="7"/>
  <c r="E19" i="7" a="1"/>
  <c r="E19" i="7"/>
  <c r="E2" i="7" a="1"/>
  <c r="E2" i="7" s="1"/>
  <c r="G3" i="7" a="1"/>
  <c r="G3" i="7"/>
  <c r="E8" i="13" a="1"/>
  <c r="E8" i="13" s="1"/>
  <c r="E7" i="13" a="1"/>
  <c r="E7" i="13" s="1"/>
  <c r="D8" i="13" a="1"/>
  <c r="D8" i="13" s="1"/>
  <c r="D7" i="13" a="1"/>
  <c r="D7" i="13" s="1"/>
  <c r="F6" i="8"/>
  <c r="E5" i="10"/>
  <c r="G4" i="2" a="1"/>
  <c r="G4" i="2" s="1"/>
  <c r="G5" i="2" a="1"/>
  <c r="G5" i="2" s="1"/>
  <c r="G3" i="2" a="1"/>
  <c r="G3" i="2" s="1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" i="7"/>
  <c r="N5" i="8" l="1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D14" i="10" a="1"/>
  <c r="D14" i="10" s="1"/>
  <c r="D12" i="10" a="1"/>
  <c r="D12" i="10" s="1"/>
  <c r="D10" i="10" a="1"/>
  <c r="D10" i="10" s="1"/>
  <c r="D8" i="10" a="1"/>
  <c r="D8" i="10" s="1"/>
  <c r="D5" i="10" a="1"/>
  <c r="D5" i="10" s="1"/>
  <c r="F4" i="8" l="1"/>
  <c r="B19" i="7" l="1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B2" i="7"/>
  <c r="F4" i="2" l="1"/>
  <c r="F5" i="2"/>
  <c r="F3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</futureMetadata>
  <cellMetadata count="1">
    <bk>
      <rc t="1" v="0"/>
    </bk>
  </cellMetadata>
  <valueMetadata count="5">
    <bk>
      <rc t="2" v="0"/>
    </bk>
    <bk>
      <rc t="2" v="1"/>
    </bk>
    <bk>
      <rc t="2" v="2"/>
    </bk>
    <bk>
      <rc t="2" v="3"/>
    </bk>
    <bk>
      <rc t="2" v="4"/>
    </bk>
  </valueMetadata>
</metadata>
</file>

<file path=xl/sharedStrings.xml><?xml version="1.0" encoding="utf-8"?>
<sst xmlns="http://schemas.openxmlformats.org/spreadsheetml/2006/main" count="65" uniqueCount="57">
  <si>
    <t>DATE</t>
  </si>
  <si>
    <t>SALE</t>
  </si>
  <si>
    <t>        300.00-</t>
  </si>
  <si>
    <t>  4,106,250.00-</t>
  </si>
  <si>
    <t>        300.00 </t>
  </si>
  <si>
    <t>Converted to number</t>
  </si>
  <si>
    <t>Amount</t>
  </si>
  <si>
    <t>Value to find</t>
  </si>
  <si>
    <t>Text</t>
  </si>
  <si>
    <t>Count</t>
  </si>
  <si>
    <t>Total occurances</t>
  </si>
  <si>
    <t xml:space="preserve">Count of </t>
  </si>
  <si>
    <t>Array 1</t>
  </si>
  <si>
    <t>Array 2</t>
  </si>
  <si>
    <t>Array (1-2)</t>
  </si>
  <si>
    <t>Sum(Array (1-2))</t>
  </si>
  <si>
    <t>Month</t>
  </si>
  <si>
    <t>Sale</t>
  </si>
  <si>
    <t>500.00-</t>
  </si>
  <si>
    <t>  4,224,600.00 </t>
  </si>
  <si>
    <t>        600.00 </t>
  </si>
  <si>
    <t>  7,154,600.00-</t>
  </si>
  <si>
    <t>        800.00-</t>
  </si>
  <si>
    <t>        900.00-</t>
  </si>
  <si>
    <t>  5,124,500.00 </t>
  </si>
  <si>
    <t>  5,124,500.00-</t>
  </si>
  <si>
    <t>    698,675.00 </t>
  </si>
  <si>
    <t>    698,675.00-</t>
  </si>
  <si>
    <t>  8,106,250.00 </t>
  </si>
  <si>
    <t>        400.00-</t>
  </si>
  <si>
    <t>Advanced Excel, Tableau, BI, MIS, PYTHON, Training</t>
  </si>
  <si>
    <t>Tableau, Tableau, Training, MIS, PYTHON, Training</t>
  </si>
  <si>
    <t>MIS, PYTHON, BI, MIS, Tableau, Advanced Excel</t>
  </si>
  <si>
    <t>TBCBGTBTTBTCTBTTBBTTBCTBTTBBBTTBTTTTGBBBGBGBGGTGTBCBBTTGBTBTB</t>
  </si>
  <si>
    <t>TBCBGTBTTBTCTBTTBBTTBCTBTTBBBTTBTTTTGBBBGBGBGGTGTBCBBTTGBT</t>
  </si>
  <si>
    <t>TBTBGTBTBGTBTTBBCTTBBBTCBCTGTB</t>
  </si>
  <si>
    <t>TBTBGTBBBBTCTBTTGBBTCTCBTBBTB</t>
  </si>
  <si>
    <t>TBTBBTCTBBBTGBBBBTTBTBCBBTCTBTB</t>
  </si>
  <si>
    <t>TBCBBTCBBTTBTBTBTBTTTTCTBBBTTTTTBTBTTBTGTBTTTBBTTBTBBGTGTB</t>
  </si>
  <si>
    <t>TBCBGTBBTTGCBCBBBBGBTTTGTGBTBTGBTBT</t>
  </si>
  <si>
    <t>TBCBGTBBTTGCBCBBBBGBTTTGTGBTBTGBTBTBBGBTBGGTBGB</t>
  </si>
  <si>
    <t>TBTTGTGTBBCCBBTCBTTTTTTGBBTBBTTTGBBGBTBBBTBTTBBBBTBTBBGCBBBBTBBTTTBBBTTGCTBTCCTTGTTCBBTB</t>
  </si>
  <si>
    <t>TBTBTBTBBBBTGTBTGTBBBB</t>
  </si>
  <si>
    <t>First Name</t>
  </si>
  <si>
    <t>Surname</t>
  </si>
  <si>
    <t>Kaur</t>
  </si>
  <si>
    <t>Amaninder</t>
  </si>
  <si>
    <t>Bhattacharya</t>
  </si>
  <si>
    <t>Jayanta</t>
  </si>
  <si>
    <t>Tiwari</t>
  </si>
  <si>
    <t>Ishu</t>
  </si>
  <si>
    <t>Singh</t>
  </si>
  <si>
    <t>Puran</t>
  </si>
  <si>
    <t>Amaninder Kaur</t>
  </si>
  <si>
    <t>Training</t>
  </si>
  <si>
    <t>B</t>
  </si>
  <si>
    <t>Singh, Puran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</si>
</sst>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"/>
  </numFmts>
  <fonts count="13" x14ac:knownFonts="1">
    <font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</borders>
  <cellStyleXfs count="4">
    <xf numFmtId="0" fontId="0" fillId="0" borderId="0"/>
    <xf numFmtId="0" fontId="3" fillId="0" borderId="0"/>
    <xf numFmtId="0" fontId="7" fillId="0" borderId="0"/>
    <xf numFmtId="0" fontId="10" fillId="0" borderId="0"/>
  </cellStyleXfs>
  <cellXfs count="34">
    <xf numFmtId="0" fontId="0" fillId="0" borderId="0" xfId="0"/>
    <xf numFmtId="15" fontId="0" fillId="0" borderId="0" xfId="0" applyNumberFormat="1"/>
    <xf numFmtId="2" fontId="3" fillId="0" borderId="2" xfId="1" applyNumberFormat="1" applyBorder="1" applyAlignment="1">
      <alignment horizontal="right"/>
    </xf>
    <xf numFmtId="0" fontId="4" fillId="0" borderId="2" xfId="1" applyFont="1" applyBorder="1" applyAlignment="1">
      <alignment vertical="center"/>
    </xf>
    <xf numFmtId="0" fontId="8" fillId="3" borderId="3" xfId="2" applyFont="1" applyFill="1" applyBorder="1"/>
    <xf numFmtId="0" fontId="7" fillId="0" borderId="4" xfId="2" applyBorder="1" applyAlignment="1">
      <alignment horizontal="center"/>
    </xf>
    <xf numFmtId="0" fontId="7" fillId="0" borderId="0" xfId="2"/>
    <xf numFmtId="0" fontId="8" fillId="3" borderId="5" xfId="2" applyFont="1" applyFill="1" applyBorder="1"/>
    <xf numFmtId="0" fontId="8" fillId="3" borderId="5" xfId="2" applyFont="1" applyFill="1" applyBorder="1" applyAlignment="1">
      <alignment horizontal="center"/>
    </xf>
    <xf numFmtId="0" fontId="7" fillId="0" borderId="5" xfId="2" applyBorder="1"/>
    <xf numFmtId="0" fontId="7" fillId="0" borderId="5" xfId="2" applyBorder="1" applyAlignment="1">
      <alignment horizontal="center"/>
    </xf>
    <xf numFmtId="0" fontId="7" fillId="0" borderId="6" xfId="2" applyBorder="1"/>
    <xf numFmtId="0" fontId="7" fillId="0" borderId="7" xfId="2" applyBorder="1" applyAlignment="1">
      <alignment horizontal="center"/>
    </xf>
    <xf numFmtId="0" fontId="9" fillId="0" borderId="8" xfId="2" applyFont="1" applyBorder="1"/>
    <xf numFmtId="0" fontId="7" fillId="0" borderId="9" xfId="2" applyBorder="1"/>
    <xf numFmtId="0" fontId="10" fillId="0" borderId="0" xfId="3"/>
    <xf numFmtId="0" fontId="11" fillId="0" borderId="0" xfId="3" applyFont="1"/>
    <xf numFmtId="0" fontId="11" fillId="0" borderId="0" xfId="3" applyFont="1" applyAlignment="1">
      <alignment horizontal="right"/>
    </xf>
    <xf numFmtId="0" fontId="11" fillId="0" borderId="0" xfId="3" applyFont="1" applyAlignment="1">
      <alignment horizontal="center"/>
    </xf>
    <xf numFmtId="0" fontId="10" fillId="0" borderId="0" xfId="3" applyAlignment="1">
      <alignment horizontal="center"/>
    </xf>
    <xf numFmtId="0" fontId="6" fillId="2" borderId="2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right" wrapText="1"/>
    </xf>
    <xf numFmtId="0" fontId="11" fillId="2" borderId="0" xfId="3" applyFont="1" applyFill="1" applyAlignment="1">
      <alignment horizontal="center"/>
    </xf>
    <xf numFmtId="15" fontId="12" fillId="2" borderId="1" xfId="0" applyNumberFormat="1" applyFont="1" applyFill="1" applyBorder="1"/>
    <xf numFmtId="0" fontId="12" fillId="2" borderId="1" xfId="0" applyFont="1" applyFill="1" applyBorder="1"/>
    <xf numFmtId="15" fontId="2" fillId="0" borderId="1" xfId="0" applyNumberFormat="1" applyFont="1" applyBorder="1"/>
    <xf numFmtId="0" fontId="2" fillId="0" borderId="1" xfId="0" applyFont="1" applyBorder="1"/>
    <xf numFmtId="164" fontId="2" fillId="0" borderId="1" xfId="0" applyNumberFormat="1" applyFont="1" applyBorder="1"/>
    <xf numFmtId="0" fontId="3" fillId="0" borderId="1" xfId="1" applyBorder="1"/>
    <xf numFmtId="0" fontId="3" fillId="0" borderId="0" xfId="1"/>
    <xf numFmtId="2" fontId="0" fillId="0" borderId="0" xfId="0" applyNumberFormat="1"/>
    <xf numFmtId="2" fontId="0" fillId="0" borderId="0" xfId="0" applyNumberFormat="1" applyAlignment="1">
      <alignment horizontal="right"/>
    </xf>
    <xf numFmtId="0" fontId="8" fillId="0" borderId="4" xfId="2" applyFont="1" applyBorder="1" applyAlignment="1">
      <alignment horizontal="center"/>
    </xf>
    <xf numFmtId="0" fontId="1" fillId="0" borderId="0" xfId="1" applyFont="1"/>
  </cellXfs>
  <cellStyles count="4">
    <cellStyle name="Normal" xfId="0" builtinId="0"/>
    <cellStyle name="Normal 2" xfId="1" xr:uid="{E199AF72-BEDA-4B2B-AD8E-5BD161CCDACB}"/>
    <cellStyle name="Normal 3" xfId="2" xr:uid="{0E951CC5-6FE7-4DAD-99D0-4DF4D271FBF7}"/>
    <cellStyle name="Normal 4" xfId="3" xr:uid="{F86DBB66-AD41-4651-ACB7-4ECA67B761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">
  <rv s="0">
    <v>Kaur, Amaninder</v>
    <v>2</v>
    <v>6</v>
  </rv>
  <rv s="0">
    <v>Bhattacharya, Jayanta</v>
    <v>2</v>
    <v>6</v>
  </rv>
  <rv s="0">
    <v>Tiwari, Ishu</v>
    <v>2</v>
    <v>6</v>
  </rv>
  <rv s="0">
    <v>Singh, Puran</v>
    <v>2</v>
    <v>6</v>
  </rv>
  <rv s="0">
    <v xml:space="preserve">, </v>
    <v>2</v>
    <v>6</v>
  </rv>
</rvData>
</file>

<file path=xl/richData/rdrichvaluestructure.xml><?xml version="1.0" encoding="utf-8"?>
<rvStructures xmlns="http://schemas.microsoft.com/office/spreadsheetml/2017/richdata" count="1">
  <s t="_error">
    <k n="argument" t="s"/>
    <k n="errorType" t="i"/>
    <k n="subType" t="i"/>
  </s>
</rvStructur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5D77C-16EC-4F3B-809F-CBA5D5973A70}">
  <dimension ref="A1:I20"/>
  <sheetViews>
    <sheetView zoomScale="50" zoomScaleNormal="50" workbookViewId="0">
      <selection activeCell="I19" sqref="I19:I20"/>
    </sheetView>
  </sheetViews>
  <sheetFormatPr defaultRowHeight="31.2" x14ac:dyDescent="0.6"/>
  <cols>
    <col min="3" max="3" width="12.046875" customWidth="1"/>
  </cols>
  <sheetData>
    <row r="1" spans="1:9" x14ac:dyDescent="0.6">
      <c r="A1" s="20" t="s">
        <v>6</v>
      </c>
      <c r="B1" s="21" t="s">
        <v>5</v>
      </c>
    </row>
    <row r="2" spans="1:9" x14ac:dyDescent="0.6">
      <c r="A2" s="3" t="s">
        <v>18</v>
      </c>
      <c r="B2" s="2">
        <f t="shared" ref="B2:B19" si="0">SUBSTITUTE(SUBSTITUTE(A2,CHAR(160),""),"-","")+0</f>
        <v>500</v>
      </c>
      <c r="C2" s="30" t="str">
        <f>SUBSTITUTE(SUBSTITUTE(SUBSTITUTE(A2," ",""),",", ""),"-", "")</f>
        <v>500.00</v>
      </c>
      <c r="E2" cm="1">
        <f t="array" ref="E2">VALUE(SUBSTITUTE(SUBSTITUTE(SUBSTITUTE(_xlfn.CHOOSECOLS(_xlfn.TEXTSPLIT(A2,"."),1), ",", ""), " ", ""), CHAR(160), ""))</f>
        <v>500</v>
      </c>
    </row>
    <row r="3" spans="1:9" x14ac:dyDescent="0.6">
      <c r="A3" s="3" t="s">
        <v>19</v>
      </c>
      <c r="B3" s="2">
        <f t="shared" si="0"/>
        <v>4224600</v>
      </c>
      <c r="C3" s="31" t="str">
        <f t="shared" ref="C3:C19" si="1">SUBSTITUTE(SUBSTITUTE(SUBSTITUTE(A3," ",""),",", ""),"-", "")</f>
        <v>  4224600.00 </v>
      </c>
      <c r="E3" cm="1">
        <f t="array" ref="E3">VALUE(SUBSTITUTE(SUBSTITUTE(SUBSTITUTE(_xlfn.CHOOSECOLS(_xlfn.TEXTSPLIT(A3,"."),1), ",", ""), " ", ""), CHAR(160), ""))</f>
        <v>4224600</v>
      </c>
      <c r="G3" t="str" cm="1">
        <f t="array" ref="G3">_xlfn.CHOOSECOLS(_xlfn.TEXTSPLIT(A3,"."),1)</f>
        <v>  4,224,600</v>
      </c>
      <c r="I3">
        <f>SUBSTITUTE(SUBSTITUTE(SUBSTITUTE(A2,"-","")," ",""), _xlfn.UNICHAR(160),"")+0</f>
        <v>500</v>
      </c>
    </row>
    <row r="4" spans="1:9" x14ac:dyDescent="0.6">
      <c r="A4" s="3" t="s">
        <v>20</v>
      </c>
      <c r="B4" s="2">
        <f t="shared" si="0"/>
        <v>600</v>
      </c>
      <c r="C4" s="30" t="str">
        <f t="shared" si="1"/>
        <v>        600.00 </v>
      </c>
      <c r="E4" cm="1">
        <f t="array" ref="E4">VALUE(SUBSTITUTE(SUBSTITUTE(SUBSTITUTE(_xlfn.CHOOSECOLS(_xlfn.TEXTSPLIT(A4,"."),1), ",", ""), " ", ""), CHAR(160), ""))</f>
        <v>600</v>
      </c>
      <c r="I4">
        <f t="shared" ref="I4:I18" si="2">SUBSTITUTE(SUBSTITUTE(SUBSTITUTE(A3,"-","")," ",""), _xlfn.UNICHAR(160),"")+0</f>
        <v>4224600</v>
      </c>
    </row>
    <row r="5" spans="1:9" x14ac:dyDescent="0.6">
      <c r="A5" s="3" t="s">
        <v>21</v>
      </c>
      <c r="B5" s="2">
        <f t="shared" si="0"/>
        <v>7154600</v>
      </c>
      <c r="C5" s="30" t="str">
        <f t="shared" si="1"/>
        <v>  7154600.00</v>
      </c>
      <c r="E5" cm="1">
        <f t="array" ref="E5">VALUE(SUBSTITUTE(SUBSTITUTE(SUBSTITUTE(_xlfn.CHOOSECOLS(_xlfn.TEXTSPLIT(A5,"."),1), ",", ""), " ", ""), CHAR(160), ""))</f>
        <v>7154600</v>
      </c>
      <c r="I5">
        <f t="shared" si="2"/>
        <v>600</v>
      </c>
    </row>
    <row r="6" spans="1:9" x14ac:dyDescent="0.6">
      <c r="A6" s="3" t="s">
        <v>20</v>
      </c>
      <c r="B6" s="2">
        <f t="shared" si="0"/>
        <v>600</v>
      </c>
      <c r="C6" s="30" t="str">
        <f t="shared" si="1"/>
        <v>        600.00 </v>
      </c>
      <c r="E6" cm="1">
        <f t="array" ref="E6">VALUE(SUBSTITUTE(SUBSTITUTE(SUBSTITUTE(_xlfn.CHOOSECOLS(_xlfn.TEXTSPLIT(A6,"."),1), ",", ""), " ", ""), CHAR(160), ""))</f>
        <v>600</v>
      </c>
      <c r="I6">
        <f t="shared" si="2"/>
        <v>7154600</v>
      </c>
    </row>
    <row r="7" spans="1:9" x14ac:dyDescent="0.6">
      <c r="A7" s="3" t="s">
        <v>22</v>
      </c>
      <c r="B7" s="2">
        <f t="shared" si="0"/>
        <v>800</v>
      </c>
      <c r="C7" s="30" t="str">
        <f t="shared" si="1"/>
        <v>        800.00</v>
      </c>
      <c r="E7" cm="1">
        <f t="array" ref="E7">VALUE(SUBSTITUTE(SUBSTITUTE(SUBSTITUTE(_xlfn.CHOOSECOLS(_xlfn.TEXTSPLIT(A7,"."),1), ",", ""), " ", ""), CHAR(160), ""))</f>
        <v>800</v>
      </c>
      <c r="I7">
        <f t="shared" si="2"/>
        <v>600</v>
      </c>
    </row>
    <row r="8" spans="1:9" x14ac:dyDescent="0.6">
      <c r="A8" s="3" t="s">
        <v>23</v>
      </c>
      <c r="B8" s="2">
        <f t="shared" si="0"/>
        <v>900</v>
      </c>
      <c r="C8" s="30" t="str">
        <f t="shared" si="1"/>
        <v>        900.00</v>
      </c>
      <c r="E8" cm="1">
        <f t="array" ref="E8">VALUE(SUBSTITUTE(SUBSTITUTE(SUBSTITUTE(_xlfn.CHOOSECOLS(_xlfn.TEXTSPLIT(A8,"."),1), ",", ""), " ", ""), CHAR(160), ""))</f>
        <v>900</v>
      </c>
      <c r="I8">
        <f t="shared" si="2"/>
        <v>800</v>
      </c>
    </row>
    <row r="9" spans="1:9" x14ac:dyDescent="0.6">
      <c r="A9" s="3" t="s">
        <v>24</v>
      </c>
      <c r="B9" s="2">
        <f t="shared" si="0"/>
        <v>5124500</v>
      </c>
      <c r="C9" s="30" t="str">
        <f t="shared" si="1"/>
        <v>  5124500.00 </v>
      </c>
      <c r="E9" cm="1">
        <f t="array" ref="E9">VALUE(SUBSTITUTE(SUBSTITUTE(SUBSTITUTE(_xlfn.CHOOSECOLS(_xlfn.TEXTSPLIT(A9,"."),1), ",", ""), " ", ""), CHAR(160), ""))</f>
        <v>5124500</v>
      </c>
      <c r="I9">
        <f t="shared" si="2"/>
        <v>900</v>
      </c>
    </row>
    <row r="10" spans="1:9" x14ac:dyDescent="0.6">
      <c r="A10" s="3" t="s">
        <v>4</v>
      </c>
      <c r="B10" s="2">
        <f t="shared" si="0"/>
        <v>300</v>
      </c>
      <c r="C10" s="30" t="str">
        <f t="shared" si="1"/>
        <v>        300.00 </v>
      </c>
      <c r="E10" cm="1">
        <f t="array" ref="E10">VALUE(SUBSTITUTE(SUBSTITUTE(SUBSTITUTE(_xlfn.CHOOSECOLS(_xlfn.TEXTSPLIT(A10,"."),1), ",", ""), " ", ""), CHAR(160), ""))</f>
        <v>300</v>
      </c>
      <c r="I10">
        <f t="shared" si="2"/>
        <v>5124500</v>
      </c>
    </row>
    <row r="11" spans="1:9" x14ac:dyDescent="0.6">
      <c r="A11" s="3" t="s">
        <v>25</v>
      </c>
      <c r="B11" s="2">
        <f t="shared" si="0"/>
        <v>5124500</v>
      </c>
      <c r="C11" s="30" t="str">
        <f t="shared" si="1"/>
        <v>  5124500.00</v>
      </c>
      <c r="E11" cm="1">
        <f t="array" ref="E11">VALUE(SUBSTITUTE(SUBSTITUTE(SUBSTITUTE(_xlfn.CHOOSECOLS(_xlfn.TEXTSPLIT(A11,"."),1), ",", ""), " ", ""), CHAR(160), ""))</f>
        <v>5124500</v>
      </c>
      <c r="I11">
        <f t="shared" si="2"/>
        <v>300</v>
      </c>
    </row>
    <row r="12" spans="1:9" x14ac:dyDescent="0.6">
      <c r="A12" s="3" t="s">
        <v>4</v>
      </c>
      <c r="B12" s="2">
        <f t="shared" si="0"/>
        <v>300</v>
      </c>
      <c r="C12" s="30" t="str">
        <f t="shared" si="1"/>
        <v>        300.00 </v>
      </c>
      <c r="E12" cm="1">
        <f t="array" ref="E12">VALUE(SUBSTITUTE(SUBSTITUTE(SUBSTITUTE(_xlfn.CHOOSECOLS(_xlfn.TEXTSPLIT(A12,"."),1), ",", ""), " ", ""), CHAR(160), ""))</f>
        <v>300</v>
      </c>
      <c r="I12">
        <f t="shared" si="2"/>
        <v>5124500</v>
      </c>
    </row>
    <row r="13" spans="1:9" x14ac:dyDescent="0.6">
      <c r="A13" s="3" t="s">
        <v>2</v>
      </c>
      <c r="B13" s="2">
        <f t="shared" si="0"/>
        <v>300</v>
      </c>
      <c r="C13" s="30" t="str">
        <f t="shared" si="1"/>
        <v>        300.00</v>
      </c>
      <c r="E13" cm="1">
        <f t="array" ref="E13">VALUE(SUBSTITUTE(SUBSTITUTE(SUBSTITUTE(_xlfn.CHOOSECOLS(_xlfn.TEXTSPLIT(A13,"."),1), ",", ""), " ", ""), CHAR(160), ""))</f>
        <v>300</v>
      </c>
      <c r="I13">
        <f t="shared" si="2"/>
        <v>300</v>
      </c>
    </row>
    <row r="14" spans="1:9" x14ac:dyDescent="0.6">
      <c r="A14" s="3" t="s">
        <v>26</v>
      </c>
      <c r="B14" s="2">
        <f t="shared" si="0"/>
        <v>698675</v>
      </c>
      <c r="C14" s="30" t="str">
        <f t="shared" si="1"/>
        <v>    698675.00 </v>
      </c>
      <c r="E14" cm="1">
        <f t="array" ref="E14">VALUE(SUBSTITUTE(SUBSTITUTE(SUBSTITUTE(_xlfn.CHOOSECOLS(_xlfn.TEXTSPLIT(A14,"."),1), ",", ""), " ", ""), CHAR(160), ""))</f>
        <v>698675</v>
      </c>
      <c r="I14">
        <f t="shared" si="2"/>
        <v>300</v>
      </c>
    </row>
    <row r="15" spans="1:9" x14ac:dyDescent="0.6">
      <c r="A15" s="3" t="s">
        <v>27</v>
      </c>
      <c r="B15" s="2">
        <f t="shared" si="0"/>
        <v>698675</v>
      </c>
      <c r="C15" s="30" t="str">
        <f t="shared" si="1"/>
        <v>    698675.00</v>
      </c>
      <c r="E15" cm="1">
        <f t="array" ref="E15">VALUE(SUBSTITUTE(SUBSTITUTE(SUBSTITUTE(_xlfn.CHOOSECOLS(_xlfn.TEXTSPLIT(A15,"."),1), ",", ""), " ", ""), CHAR(160), ""))</f>
        <v>698675</v>
      </c>
      <c r="I15">
        <f t="shared" si="2"/>
        <v>698675</v>
      </c>
    </row>
    <row r="16" spans="1:9" x14ac:dyDescent="0.6">
      <c r="A16" s="3" t="s">
        <v>28</v>
      </c>
      <c r="B16" s="2">
        <f t="shared" si="0"/>
        <v>8106250</v>
      </c>
      <c r="C16" s="30" t="str">
        <f t="shared" si="1"/>
        <v>  8106250.00 </v>
      </c>
      <c r="E16" cm="1">
        <f t="array" ref="E16">VALUE(SUBSTITUTE(SUBSTITUTE(SUBSTITUTE(_xlfn.CHOOSECOLS(_xlfn.TEXTSPLIT(A16,"."),1), ",", ""), " ", ""), CHAR(160), ""))</f>
        <v>8106250</v>
      </c>
      <c r="I16">
        <f t="shared" si="2"/>
        <v>698675</v>
      </c>
    </row>
    <row r="17" spans="1:9" x14ac:dyDescent="0.6">
      <c r="A17" s="3" t="s">
        <v>3</v>
      </c>
      <c r="B17" s="2">
        <f t="shared" si="0"/>
        <v>4106250</v>
      </c>
      <c r="C17" s="30" t="str">
        <f t="shared" si="1"/>
        <v>  4106250.00</v>
      </c>
      <c r="E17" cm="1">
        <f t="array" ref="E17">VALUE(SUBSTITUTE(SUBSTITUTE(SUBSTITUTE(_xlfn.CHOOSECOLS(_xlfn.TEXTSPLIT(A17,"."),1), ",", ""), " ", ""), CHAR(160), ""))</f>
        <v>4106250</v>
      </c>
      <c r="I17">
        <f t="shared" si="2"/>
        <v>8106250</v>
      </c>
    </row>
    <row r="18" spans="1:9" x14ac:dyDescent="0.6">
      <c r="A18" s="3" t="s">
        <v>29</v>
      </c>
      <c r="B18" s="2">
        <f t="shared" si="0"/>
        <v>400</v>
      </c>
      <c r="C18" s="30" t="str">
        <f t="shared" si="1"/>
        <v>        400.00</v>
      </c>
      <c r="E18" cm="1">
        <f t="array" ref="E18">VALUE(SUBSTITUTE(SUBSTITUTE(SUBSTITUTE(_xlfn.CHOOSECOLS(_xlfn.TEXTSPLIT(A18,"."),1), ",", ""), " ", ""), CHAR(160), ""))</f>
        <v>400</v>
      </c>
      <c r="I18">
        <f t="shared" si="2"/>
        <v>4106250</v>
      </c>
    </row>
    <row r="19" spans="1:9" x14ac:dyDescent="0.6">
      <c r="A19" s="3" t="s">
        <v>24</v>
      </c>
      <c r="B19" s="2">
        <f t="shared" si="0"/>
        <v>5124500</v>
      </c>
      <c r="C19" s="30" t="str">
        <f t="shared" si="1"/>
        <v>  5124500.00 </v>
      </c>
      <c r="E19" cm="1">
        <f t="array" ref="E19">VALUE(SUBSTITUTE(SUBSTITUTE(SUBSTITUTE(_xlfn.CHOOSECOLS(_xlfn.TEXTSPLIT(A19,"."),1), ",", ""), " ", ""), CHAR(160), ""))</f>
        <v>5124500</v>
      </c>
      <c r="I19">
        <f>SUBSTITUTE(SUBSTITUTE(SUBSTITUTE(A18,"-","")," ",""), _xlfn.UNICHAR(160),"")+0</f>
        <v>400</v>
      </c>
    </row>
    <row r="20" spans="1:9" x14ac:dyDescent="0.6">
      <c r="I20">
        <f>SUBSTITUTE(SUBSTITUTE(SUBSTITUTE(A19,"-","")," ",""), _xlfn.UNICHAR(160),"")+0</f>
        <v>5124500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4CEEB-AA1D-45A1-A4F7-B4F5F691DC4D}">
  <dimension ref="B2:I35"/>
  <sheetViews>
    <sheetView workbookViewId="0">
      <selection activeCell="I3" sqref="I3:I5"/>
    </sheetView>
  </sheetViews>
  <sheetFormatPr defaultRowHeight="31.2" x14ac:dyDescent="0.6"/>
  <cols>
    <col min="2" max="2" width="7.44921875" style="1" customWidth="1"/>
    <col min="3" max="3" width="4.296875" customWidth="1"/>
    <col min="4" max="4" width="10.59765625" customWidth="1"/>
    <col min="5" max="5" width="6.5" customWidth="1"/>
    <col min="6" max="6" width="5" customWidth="1"/>
  </cols>
  <sheetData>
    <row r="2" spans="2:9" x14ac:dyDescent="0.6">
      <c r="B2" s="23" t="s">
        <v>0</v>
      </c>
      <c r="C2" s="24" t="s">
        <v>1</v>
      </c>
      <c r="E2" s="24" t="s">
        <v>16</v>
      </c>
      <c r="F2" s="24" t="s">
        <v>17</v>
      </c>
    </row>
    <row r="3" spans="2:9" x14ac:dyDescent="0.6">
      <c r="B3" s="25">
        <v>44197</v>
      </c>
      <c r="C3" s="26">
        <v>97</v>
      </c>
      <c r="E3" s="27">
        <v>44197</v>
      </c>
      <c r="F3" s="26">
        <f>SUMIFS(C:C,B:B,"&gt;="&amp;E3,B:B,"&lt;="&amp;EOMONTH(E3,0))</f>
        <v>720</v>
      </c>
      <c r="G3" cm="1">
        <f t="array" ref="G3">SUMPRODUCT((TEXT($B$3:$B$35,"mmmm")=TEXT(E3, "mmmm"))*($C$3:$C$35))</f>
        <v>720</v>
      </c>
      <c r="I3" cm="1">
        <f t="array" ref="I3">SUM(--(MONTH($B$3:$B$35)=MONTH(E3))*$C$3:$C$35)</f>
        <v>720</v>
      </c>
    </row>
    <row r="4" spans="2:9" x14ac:dyDescent="0.6">
      <c r="B4" s="25">
        <v>44198</v>
      </c>
      <c r="C4" s="26">
        <v>71</v>
      </c>
      <c r="E4" s="27">
        <v>44228</v>
      </c>
      <c r="F4" s="26">
        <f t="shared" ref="F4:F5" si="0">SUMIFS(C:C,B:B,"&gt;="&amp;E4,B:B,"&lt;="&amp;EOMONTH(E4,0))</f>
        <v>744</v>
      </c>
      <c r="G4" cm="1">
        <f t="array" ref="G4">SUMPRODUCT((TEXT($B$3:$B$35,"mmmm")=TEXT(E4, "mmmm"))*($C$3:$C$35))</f>
        <v>744</v>
      </c>
      <c r="I4" cm="1">
        <f t="array" ref="I4">SUM(--(MONTH($B$3:$B$35)=MONTH(E4))*$C$3:$C$35)</f>
        <v>744</v>
      </c>
    </row>
    <row r="5" spans="2:9" x14ac:dyDescent="0.6">
      <c r="B5" s="25">
        <v>44199</v>
      </c>
      <c r="C5" s="26">
        <v>72</v>
      </c>
      <c r="E5" s="27">
        <v>44256</v>
      </c>
      <c r="F5" s="26">
        <f t="shared" si="0"/>
        <v>676</v>
      </c>
      <c r="G5" cm="1">
        <f t="array" ref="G5">SUMPRODUCT((TEXT($B$3:$B$35,"mmmm")=TEXT(E5, "mmmm"))*($C$3:$C$35))</f>
        <v>676</v>
      </c>
      <c r="I5" cm="1">
        <f t="array" ref="I5">SUM(--(MONTH($B$3:$B$35)=MONTH(E5))*$C$3:$C$35)</f>
        <v>676</v>
      </c>
    </row>
    <row r="6" spans="2:9" x14ac:dyDescent="0.6">
      <c r="B6" s="25">
        <v>44205</v>
      </c>
      <c r="C6" s="26">
        <v>28</v>
      </c>
    </row>
    <row r="7" spans="2:9" x14ac:dyDescent="0.6">
      <c r="B7" s="25">
        <v>44206</v>
      </c>
      <c r="C7" s="26">
        <v>57</v>
      </c>
    </row>
    <row r="8" spans="2:9" x14ac:dyDescent="0.6">
      <c r="B8" s="25">
        <v>44207</v>
      </c>
      <c r="C8" s="26">
        <v>73</v>
      </c>
    </row>
    <row r="9" spans="2:9" x14ac:dyDescent="0.6">
      <c r="B9" s="25">
        <v>44211</v>
      </c>
      <c r="C9" s="26">
        <v>49</v>
      </c>
    </row>
    <row r="10" spans="2:9" x14ac:dyDescent="0.6">
      <c r="B10" s="25">
        <v>44212</v>
      </c>
      <c r="C10" s="26">
        <v>67</v>
      </c>
    </row>
    <row r="11" spans="2:9" x14ac:dyDescent="0.6">
      <c r="B11" s="25">
        <v>44213</v>
      </c>
      <c r="C11" s="26">
        <v>74</v>
      </c>
    </row>
    <row r="12" spans="2:9" x14ac:dyDescent="0.6">
      <c r="B12" s="25">
        <v>44223</v>
      </c>
      <c r="C12" s="26">
        <v>38</v>
      </c>
    </row>
    <row r="13" spans="2:9" x14ac:dyDescent="0.6">
      <c r="B13" s="25">
        <v>44224</v>
      </c>
      <c r="C13" s="26">
        <v>48</v>
      </c>
    </row>
    <row r="14" spans="2:9" x14ac:dyDescent="0.6">
      <c r="B14" s="25">
        <v>44225</v>
      </c>
      <c r="C14" s="26">
        <v>46</v>
      </c>
    </row>
    <row r="15" spans="2:9" x14ac:dyDescent="0.6">
      <c r="B15" s="25">
        <v>44228</v>
      </c>
      <c r="C15" s="26">
        <v>73</v>
      </c>
    </row>
    <row r="16" spans="2:9" x14ac:dyDescent="0.6">
      <c r="B16" s="25">
        <v>44229</v>
      </c>
      <c r="C16" s="26">
        <v>69</v>
      </c>
    </row>
    <row r="17" spans="2:3" x14ac:dyDescent="0.6">
      <c r="B17" s="25">
        <v>44230</v>
      </c>
      <c r="C17" s="26">
        <v>77</v>
      </c>
    </row>
    <row r="18" spans="2:3" x14ac:dyDescent="0.6">
      <c r="B18" s="25">
        <v>44231</v>
      </c>
      <c r="C18" s="26">
        <v>81</v>
      </c>
    </row>
    <row r="19" spans="2:3" x14ac:dyDescent="0.6">
      <c r="B19" s="25">
        <v>44232</v>
      </c>
      <c r="C19" s="26">
        <v>46</v>
      </c>
    </row>
    <row r="20" spans="2:3" x14ac:dyDescent="0.6">
      <c r="B20" s="25">
        <v>44233</v>
      </c>
      <c r="C20" s="26">
        <v>48</v>
      </c>
    </row>
    <row r="21" spans="2:3" x14ac:dyDescent="0.6">
      <c r="B21" s="25">
        <v>44246</v>
      </c>
      <c r="C21" s="26">
        <v>56</v>
      </c>
    </row>
    <row r="22" spans="2:3" x14ac:dyDescent="0.6">
      <c r="B22" s="25">
        <v>44247</v>
      </c>
      <c r="C22" s="26">
        <v>47</v>
      </c>
    </row>
    <row r="23" spans="2:3" x14ac:dyDescent="0.6">
      <c r="B23" s="25">
        <v>44248</v>
      </c>
      <c r="C23" s="26">
        <v>29</v>
      </c>
    </row>
    <row r="24" spans="2:3" x14ac:dyDescent="0.6">
      <c r="B24" s="25">
        <v>44249</v>
      </c>
      <c r="C24" s="26">
        <v>52</v>
      </c>
    </row>
    <row r="25" spans="2:3" x14ac:dyDescent="0.6">
      <c r="B25" s="25">
        <v>44250</v>
      </c>
      <c r="C25" s="26">
        <v>88</v>
      </c>
    </row>
    <row r="26" spans="2:3" x14ac:dyDescent="0.6">
      <c r="B26" s="25">
        <v>44251</v>
      </c>
      <c r="C26" s="26">
        <v>78</v>
      </c>
    </row>
    <row r="27" spans="2:3" x14ac:dyDescent="0.6">
      <c r="B27" s="25">
        <v>44260</v>
      </c>
      <c r="C27" s="26">
        <v>52</v>
      </c>
    </row>
    <row r="28" spans="2:3" x14ac:dyDescent="0.6">
      <c r="B28" s="25">
        <v>44261</v>
      </c>
      <c r="C28" s="26">
        <v>35</v>
      </c>
    </row>
    <row r="29" spans="2:3" x14ac:dyDescent="0.6">
      <c r="B29" s="25">
        <v>44262</v>
      </c>
      <c r="C29" s="26">
        <v>77</v>
      </c>
    </row>
    <row r="30" spans="2:3" x14ac:dyDescent="0.6">
      <c r="B30" s="25">
        <v>44263</v>
      </c>
      <c r="C30" s="26">
        <v>34</v>
      </c>
    </row>
    <row r="31" spans="2:3" x14ac:dyDescent="0.6">
      <c r="B31" s="25">
        <v>44264</v>
      </c>
      <c r="C31" s="26">
        <v>99</v>
      </c>
    </row>
    <row r="32" spans="2:3" x14ac:dyDescent="0.6">
      <c r="B32" s="25">
        <v>44265</v>
      </c>
      <c r="C32" s="26">
        <v>100</v>
      </c>
    </row>
    <row r="33" spans="2:3" x14ac:dyDescent="0.6">
      <c r="B33" s="25">
        <v>44266</v>
      </c>
      <c r="C33" s="26">
        <v>98</v>
      </c>
    </row>
    <row r="34" spans="2:3" x14ac:dyDescent="0.6">
      <c r="B34" s="25">
        <v>44267</v>
      </c>
      <c r="C34" s="26">
        <v>92</v>
      </c>
    </row>
    <row r="35" spans="2:3" x14ac:dyDescent="0.6">
      <c r="B35" s="25">
        <v>44268</v>
      </c>
      <c r="C35" s="26">
        <v>89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27897-69A9-4690-9E24-7598B4BBDE28}">
  <dimension ref="A1:M26"/>
  <sheetViews>
    <sheetView workbookViewId="0">
      <selection activeCell="D8" sqref="D8"/>
    </sheetView>
  </sheetViews>
  <sheetFormatPr defaultRowHeight="31.2" x14ac:dyDescent="0.6"/>
  <sheetData>
    <row r="1" spans="1:13" x14ac:dyDescent="0.6">
      <c r="A1" s="15" t="s">
        <v>30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x14ac:dyDescent="0.6">
      <c r="A2" s="15" t="s">
        <v>31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13" x14ac:dyDescent="0.6">
      <c r="A3" s="15" t="s">
        <v>32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</row>
    <row r="4" spans="1:13" x14ac:dyDescent="0.6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</row>
    <row r="5" spans="1:13" x14ac:dyDescent="0.6">
      <c r="A5" s="15"/>
      <c r="B5" s="15" t="s">
        <v>11</v>
      </c>
      <c r="C5" s="22" t="s">
        <v>54</v>
      </c>
      <c r="D5" s="16">
        <f t="array" ref="D5">SUM(LEN(A1:A3)-LEN(SUBSTITUTE(A1:A3,C5,"")))/LEN(C5)</f>
        <v>3</v>
      </c>
      <c r="E5" s="15">
        <f>(LEN(_xlfn.TEXTJOIN(,,A1:A3))-(LEN(SUBSTITUTE(_xlfn.TEXTJOIN(,,A1:A3),C5, ""))))/LEN(C5)</f>
        <v>3</v>
      </c>
      <c r="F5" s="15"/>
      <c r="G5" s="15" cm="1">
        <f t="array" ref="G5">SUM((LEN(A1:A3)-LEN(SUBSTITUTE(A1:A3,$C$5,"")))/LEN($C$5))</f>
        <v>3</v>
      </c>
      <c r="H5" s="15"/>
      <c r="I5" s="15"/>
      <c r="J5" s="15"/>
      <c r="K5" s="15"/>
      <c r="L5" s="15"/>
      <c r="M5" s="15"/>
    </row>
    <row r="6" spans="1:13" x14ac:dyDescent="0.6">
      <c r="A6" s="15"/>
      <c r="B6" s="15"/>
      <c r="C6" s="16"/>
      <c r="D6" s="15"/>
      <c r="E6" s="15"/>
      <c r="F6" s="15"/>
      <c r="G6" s="15"/>
      <c r="H6" s="15"/>
      <c r="I6" s="15"/>
      <c r="J6" s="15"/>
      <c r="K6" s="15"/>
      <c r="L6" s="15"/>
      <c r="M6" s="15"/>
    </row>
    <row r="7" spans="1:13" x14ac:dyDescent="0.6">
      <c r="A7" s="15"/>
      <c r="B7" s="15"/>
      <c r="C7" s="16"/>
      <c r="D7" s="15"/>
      <c r="E7" s="15"/>
      <c r="F7" s="15"/>
      <c r="G7" s="15"/>
      <c r="H7" s="15"/>
      <c r="I7" s="15"/>
      <c r="J7" s="15"/>
      <c r="K7" s="15"/>
      <c r="L7" s="15"/>
      <c r="M7" s="15"/>
    </row>
    <row r="8" spans="1:13" x14ac:dyDescent="0.6">
      <c r="A8" s="15"/>
      <c r="B8" s="15"/>
      <c r="C8" s="17" t="s">
        <v>12</v>
      </c>
      <c r="D8" s="15">
        <f t="array" ref="D8">LEN(A1:A3)</f>
        <v>50</v>
      </c>
      <c r="E8" s="15"/>
      <c r="F8" s="15"/>
      <c r="G8" s="15"/>
      <c r="H8" s="15"/>
      <c r="I8" s="15"/>
      <c r="J8" s="15"/>
      <c r="K8" s="15"/>
      <c r="L8" s="15"/>
      <c r="M8" s="15"/>
    </row>
    <row r="9" spans="1:13" x14ac:dyDescent="0.6">
      <c r="A9" s="15"/>
      <c r="B9" s="15"/>
      <c r="C9" s="17"/>
      <c r="D9" s="15"/>
      <c r="E9" s="15"/>
      <c r="F9" s="15"/>
      <c r="G9" s="15"/>
      <c r="H9" s="15"/>
      <c r="I9" s="15"/>
      <c r="J9" s="15"/>
      <c r="K9" s="15"/>
      <c r="L9" s="15"/>
      <c r="M9" s="15"/>
    </row>
    <row r="10" spans="1:13" x14ac:dyDescent="0.6">
      <c r="A10" s="15"/>
      <c r="B10" s="15"/>
      <c r="C10" s="17" t="s">
        <v>13</v>
      </c>
      <c r="D10" s="15">
        <f t="array" ref="D10">LEN(SUBSTITUTE(A1:A3,C5,""))</f>
        <v>42</v>
      </c>
      <c r="E10" s="15"/>
      <c r="F10" s="18"/>
      <c r="G10" s="18"/>
      <c r="H10" s="18"/>
      <c r="I10" s="15"/>
      <c r="J10" s="15"/>
      <c r="K10" s="15"/>
      <c r="L10" s="15"/>
      <c r="M10" s="15"/>
    </row>
    <row r="11" spans="1:13" x14ac:dyDescent="0.6">
      <c r="A11" s="15"/>
      <c r="B11" s="15"/>
      <c r="C11" s="17"/>
      <c r="D11" s="15"/>
      <c r="E11" s="15"/>
      <c r="F11" s="19"/>
      <c r="G11" s="19"/>
      <c r="H11" s="19"/>
      <c r="I11" s="15"/>
      <c r="J11" s="15"/>
      <c r="K11" s="15"/>
      <c r="L11" s="15"/>
      <c r="M11" s="15"/>
    </row>
    <row r="12" spans="1:13" x14ac:dyDescent="0.6">
      <c r="A12" s="15"/>
      <c r="B12" s="15"/>
      <c r="C12" s="17" t="s">
        <v>14</v>
      </c>
      <c r="D12" s="15">
        <f t="array" ref="D12">LEN(A1:A3)-LEN(SUBSTITUTE(A1:A3,C5,""))</f>
        <v>8</v>
      </c>
      <c r="E12" s="15"/>
      <c r="F12" s="19"/>
      <c r="G12" s="19"/>
      <c r="H12" s="19"/>
      <c r="I12" s="15"/>
      <c r="J12" s="15"/>
      <c r="K12" s="15"/>
      <c r="L12" s="15"/>
      <c r="M12" s="15"/>
    </row>
    <row r="13" spans="1:13" x14ac:dyDescent="0.6">
      <c r="A13" s="15"/>
      <c r="B13" s="15"/>
      <c r="C13" s="16"/>
      <c r="D13" s="15"/>
      <c r="E13" s="15"/>
      <c r="F13" s="19"/>
      <c r="G13" s="19"/>
      <c r="H13" s="19"/>
      <c r="I13" s="15"/>
      <c r="J13" s="15"/>
      <c r="K13" s="15"/>
      <c r="L13" s="15"/>
      <c r="M13" s="15"/>
    </row>
    <row r="14" spans="1:13" x14ac:dyDescent="0.6">
      <c r="A14" s="15"/>
      <c r="B14" s="15"/>
      <c r="C14" s="17" t="s">
        <v>15</v>
      </c>
      <c r="D14" s="15">
        <f t="array" ref="D14">SUM(LEN(A1:A3)-LEN(SUBSTITUTE(A1:A3,C5,"")))</f>
        <v>24</v>
      </c>
      <c r="E14" s="15"/>
      <c r="F14" s="15"/>
      <c r="G14" s="15"/>
      <c r="H14" s="15"/>
      <c r="I14" s="15"/>
      <c r="J14" s="15"/>
      <c r="K14" s="15"/>
      <c r="L14" s="15"/>
      <c r="M14" s="15"/>
    </row>
    <row r="15" spans="1:13" x14ac:dyDescent="0.6">
      <c r="A15" s="15"/>
      <c r="B15" s="15"/>
      <c r="C15" s="16"/>
      <c r="D15" s="15"/>
      <c r="E15" s="15"/>
      <c r="F15" s="15"/>
      <c r="G15" s="16"/>
      <c r="H15" s="19"/>
      <c r="I15" s="15"/>
      <c r="J15" s="15"/>
      <c r="K15" s="15"/>
      <c r="L15" s="15"/>
      <c r="M15" s="15"/>
    </row>
    <row r="16" spans="1:13" x14ac:dyDescent="0.6">
      <c r="A16" s="15"/>
      <c r="B16" s="15"/>
      <c r="C16" s="15"/>
      <c r="D16" s="15"/>
      <c r="E16" s="15"/>
      <c r="F16" s="15"/>
      <c r="G16" s="15"/>
      <c r="H16" s="19"/>
      <c r="I16" s="15"/>
      <c r="J16" s="15"/>
      <c r="K16" s="15"/>
      <c r="L16" s="15"/>
      <c r="M16" s="15"/>
    </row>
    <row r="17" spans="1:13" x14ac:dyDescent="0.6">
      <c r="A17" s="15"/>
      <c r="B17" s="15"/>
      <c r="C17" s="15"/>
      <c r="D17" s="15"/>
      <c r="E17" s="15"/>
      <c r="F17" s="15"/>
      <c r="G17" s="17"/>
      <c r="H17" s="19"/>
      <c r="I17" s="15"/>
      <c r="J17" s="15"/>
      <c r="K17" s="15"/>
      <c r="L17" s="15"/>
      <c r="M17" s="15"/>
    </row>
    <row r="18" spans="1:13" x14ac:dyDescent="0.6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</row>
    <row r="19" spans="1:13" x14ac:dyDescent="0.6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</row>
    <row r="20" spans="1:13" x14ac:dyDescent="0.6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</row>
    <row r="21" spans="1:13" x14ac:dyDescent="0.6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</row>
    <row r="22" spans="1:13" x14ac:dyDescent="0.6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</row>
    <row r="23" spans="1:13" x14ac:dyDescent="0.6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</row>
    <row r="24" spans="1:13" x14ac:dyDescent="0.6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</row>
    <row r="25" spans="1:13" x14ac:dyDescent="0.6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</row>
    <row r="26" spans="1:13" x14ac:dyDescent="0.6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A4537-5F65-4462-88AE-3517F24BCCBB}">
  <dimension ref="B1:N32"/>
  <sheetViews>
    <sheetView showGridLines="0" workbookViewId="0">
      <selection activeCell="D5" sqref="D5:D18"/>
    </sheetView>
  </sheetViews>
  <sheetFormatPr defaultColWidth="5.59765625" defaultRowHeight="15.6" x14ac:dyDescent="0.3"/>
  <cols>
    <col min="1" max="1" width="1.546875" style="6" customWidth="1"/>
    <col min="2" max="2" width="47.8984375" style="6" customWidth="1"/>
    <col min="3" max="4" width="5.59765625" style="6"/>
    <col min="5" max="5" width="8.09765625" style="6" customWidth="1"/>
    <col min="6" max="16384" width="5.59765625" style="6"/>
  </cols>
  <sheetData>
    <row r="1" spans="2:14" ht="20.100000000000001" customHeight="1" x14ac:dyDescent="0.3"/>
    <row r="2" spans="2:14" ht="20.100000000000001" customHeight="1" x14ac:dyDescent="0.3">
      <c r="B2" s="4" t="s">
        <v>7</v>
      </c>
      <c r="C2" s="32" t="s">
        <v>55</v>
      </c>
    </row>
    <row r="3" spans="2:14" ht="20.100000000000001" customHeight="1" x14ac:dyDescent="0.3"/>
    <row r="4" spans="2:14" ht="20.100000000000001" customHeight="1" x14ac:dyDescent="0.3">
      <c r="B4" s="7" t="s">
        <v>8</v>
      </c>
      <c r="C4" s="8" t="s">
        <v>9</v>
      </c>
      <c r="E4" s="4" t="s">
        <v>10</v>
      </c>
      <c r="F4" s="5">
        <f>SUM(C5:C18)</f>
        <v>255</v>
      </c>
    </row>
    <row r="5" spans="2:14" ht="20.100000000000001" customHeight="1" x14ac:dyDescent="0.3">
      <c r="B5" s="9" t="s">
        <v>33</v>
      </c>
      <c r="C5" s="10">
        <f t="shared" ref="C5:C18" si="0">(LEN(B5)-LEN(SUBSTITUTE(B5,$C$2,"")))/LEN($C$2)</f>
        <v>24</v>
      </c>
      <c r="D5" s="6">
        <f>LEN(B5)-LEN(SUBSTITUTE(B5,$C$2,""))</f>
        <v>24</v>
      </c>
      <c r="N5" s="6">
        <f>COUNTIF(B5:B18,"*BBBB*")</f>
        <v>8</v>
      </c>
    </row>
    <row r="6" spans="2:14" ht="20.100000000000001" customHeight="1" x14ac:dyDescent="0.3">
      <c r="B6" s="9" t="s">
        <v>34</v>
      </c>
      <c r="C6" s="10">
        <f t="shared" si="0"/>
        <v>22</v>
      </c>
      <c r="D6" s="6">
        <f t="shared" ref="D6:D18" si="1">LEN(B6)-LEN(SUBSTITUTE(B6,$C$2,""))</f>
        <v>22</v>
      </c>
      <c r="E6" s="11"/>
      <c r="F6" s="12">
        <f>LEN(_xlfn.TEXTJOIN(,,B5:B18)) - (LEN(SUBSTITUTE(_xlfn.TEXTJOIN(,,B5:B18),C2,"")))</f>
        <v>255</v>
      </c>
    </row>
    <row r="7" spans="2:14" ht="20.100000000000001" customHeight="1" x14ac:dyDescent="0.3">
      <c r="B7" s="9" t="s">
        <v>35</v>
      </c>
      <c r="C7" s="10">
        <f t="shared" si="0"/>
        <v>12</v>
      </c>
      <c r="D7" s="6">
        <f t="shared" si="1"/>
        <v>12</v>
      </c>
      <c r="E7" s="13"/>
      <c r="F7" s="14"/>
    </row>
    <row r="8" spans="2:14" ht="20.100000000000001" customHeight="1" x14ac:dyDescent="0.3">
      <c r="B8" s="9" t="s">
        <v>35</v>
      </c>
      <c r="C8" s="10">
        <f t="shared" si="0"/>
        <v>12</v>
      </c>
      <c r="D8" s="6">
        <f t="shared" si="1"/>
        <v>12</v>
      </c>
    </row>
    <row r="9" spans="2:14" ht="20.100000000000001" customHeight="1" x14ac:dyDescent="0.3">
      <c r="B9" s="9" t="s">
        <v>36</v>
      </c>
      <c r="C9" s="10">
        <f t="shared" si="0"/>
        <v>13</v>
      </c>
      <c r="D9" s="6">
        <f t="shared" si="1"/>
        <v>13</v>
      </c>
    </row>
    <row r="10" spans="2:14" ht="20.100000000000001" customHeight="1" x14ac:dyDescent="0.3">
      <c r="B10" s="9" t="s">
        <v>36</v>
      </c>
      <c r="C10" s="10">
        <f t="shared" si="0"/>
        <v>13</v>
      </c>
      <c r="D10" s="6">
        <f t="shared" si="1"/>
        <v>13</v>
      </c>
    </row>
    <row r="11" spans="2:14" ht="20.100000000000001" customHeight="1" x14ac:dyDescent="0.3">
      <c r="B11" s="9" t="s">
        <v>37</v>
      </c>
      <c r="C11" s="10">
        <f t="shared" si="0"/>
        <v>16</v>
      </c>
      <c r="D11" s="6">
        <f t="shared" si="1"/>
        <v>16</v>
      </c>
    </row>
    <row r="12" spans="2:14" ht="20.100000000000001" customHeight="1" x14ac:dyDescent="0.3">
      <c r="B12" s="9" t="s">
        <v>37</v>
      </c>
      <c r="C12" s="10">
        <f t="shared" si="0"/>
        <v>16</v>
      </c>
      <c r="D12" s="6">
        <f t="shared" si="1"/>
        <v>16</v>
      </c>
    </row>
    <row r="13" spans="2:14" ht="20.100000000000001" customHeight="1" x14ac:dyDescent="0.3">
      <c r="B13" s="9" t="s">
        <v>38</v>
      </c>
      <c r="C13" s="10">
        <f t="shared" si="0"/>
        <v>22</v>
      </c>
      <c r="D13" s="6">
        <f t="shared" si="1"/>
        <v>22</v>
      </c>
    </row>
    <row r="14" spans="2:14" ht="20.100000000000001" customHeight="1" x14ac:dyDescent="0.3">
      <c r="B14" s="9" t="s">
        <v>38</v>
      </c>
      <c r="C14" s="10">
        <f t="shared" si="0"/>
        <v>22</v>
      </c>
      <c r="D14" s="6">
        <f t="shared" si="1"/>
        <v>22</v>
      </c>
    </row>
    <row r="15" spans="2:14" ht="20.100000000000001" customHeight="1" x14ac:dyDescent="0.3">
      <c r="B15" s="9" t="s">
        <v>39</v>
      </c>
      <c r="C15" s="10">
        <f t="shared" si="0"/>
        <v>14</v>
      </c>
      <c r="D15" s="6">
        <f t="shared" si="1"/>
        <v>14</v>
      </c>
    </row>
    <row r="16" spans="2:14" ht="20.100000000000001" customHeight="1" x14ac:dyDescent="0.3">
      <c r="B16" s="9" t="s">
        <v>40</v>
      </c>
      <c r="C16" s="10">
        <f t="shared" si="0"/>
        <v>20</v>
      </c>
      <c r="D16" s="6">
        <f t="shared" si="1"/>
        <v>20</v>
      </c>
    </row>
    <row r="17" spans="2:4" ht="20.100000000000001" customHeight="1" x14ac:dyDescent="0.3">
      <c r="B17" s="9" t="s">
        <v>41</v>
      </c>
      <c r="C17" s="10">
        <f t="shared" si="0"/>
        <v>37</v>
      </c>
      <c r="D17" s="6">
        <f t="shared" si="1"/>
        <v>37</v>
      </c>
    </row>
    <row r="18" spans="2:4" ht="20.100000000000001" customHeight="1" x14ac:dyDescent="0.3">
      <c r="B18" s="9" t="s">
        <v>42</v>
      </c>
      <c r="C18" s="10">
        <f t="shared" si="0"/>
        <v>12</v>
      </c>
      <c r="D18" s="6">
        <f t="shared" si="1"/>
        <v>12</v>
      </c>
    </row>
    <row r="19" spans="2:4" ht="20.100000000000001" customHeight="1" x14ac:dyDescent="0.3"/>
    <row r="20" spans="2:4" ht="20.100000000000001" customHeight="1" x14ac:dyDescent="0.3"/>
    <row r="21" spans="2:4" ht="20.100000000000001" customHeight="1" x14ac:dyDescent="0.3"/>
    <row r="22" spans="2:4" ht="20.100000000000001" customHeight="1" x14ac:dyDescent="0.3"/>
    <row r="23" spans="2:4" ht="20.100000000000001" customHeight="1" x14ac:dyDescent="0.3"/>
    <row r="24" spans="2:4" ht="20.100000000000001" customHeight="1" x14ac:dyDescent="0.3"/>
    <row r="25" spans="2:4" ht="20.100000000000001" customHeight="1" x14ac:dyDescent="0.3"/>
    <row r="26" spans="2:4" ht="20.100000000000001" customHeight="1" x14ac:dyDescent="0.3"/>
    <row r="27" spans="2:4" ht="20.100000000000001" customHeight="1" x14ac:dyDescent="0.3"/>
    <row r="28" spans="2:4" ht="20.100000000000001" customHeight="1" x14ac:dyDescent="0.3"/>
    <row r="29" spans="2:4" ht="20.100000000000001" customHeight="1" x14ac:dyDescent="0.3"/>
    <row r="30" spans="2:4" ht="20.100000000000001" customHeight="1" x14ac:dyDescent="0.3"/>
    <row r="31" spans="2:4" ht="20.100000000000001" customHeight="1" x14ac:dyDescent="0.3"/>
    <row r="32" spans="2:4" ht="20.100000000000001" customHeight="1" x14ac:dyDescent="0.3"/>
  </sheetData>
  <pageMargins left="0.75" right="0.75" top="1" bottom="1" header="0.5" footer="0.5"/>
  <pageSetup paperSize="9" orientation="portrait" horizontalDpi="4294967292" verticalDpi="429496729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2D794-051A-4B2F-AC56-F050E83BFD1F}">
  <dimension ref="A1:G14"/>
  <sheetViews>
    <sheetView tabSelected="1" workbookViewId="0">
      <selection activeCell="B8" sqref="B8"/>
    </sheetView>
  </sheetViews>
  <sheetFormatPr defaultRowHeight="14.4" x14ac:dyDescent="0.3"/>
  <cols>
    <col min="1" max="1" width="6.796875" style="29" bestFit="1" customWidth="1"/>
    <col min="2" max="2" width="5.44921875" style="29" bestFit="1" customWidth="1"/>
    <col min="3" max="3" width="7" style="29" bestFit="1" customWidth="1"/>
    <col min="4" max="256" width="9" style="29"/>
    <col min="257" max="257" width="6.796875" style="29" bestFit="1" customWidth="1"/>
    <col min="258" max="258" width="4.046875" style="29" bestFit="1" customWidth="1"/>
    <col min="259" max="259" width="7" style="29" bestFit="1" customWidth="1"/>
    <col min="260" max="512" width="9" style="29"/>
    <col min="513" max="513" width="6.796875" style="29" bestFit="1" customWidth="1"/>
    <col min="514" max="514" width="4.046875" style="29" bestFit="1" customWidth="1"/>
    <col min="515" max="515" width="7" style="29" bestFit="1" customWidth="1"/>
    <col min="516" max="768" width="9" style="29"/>
    <col min="769" max="769" width="6.796875" style="29" bestFit="1" customWidth="1"/>
    <col min="770" max="770" width="4.046875" style="29" bestFit="1" customWidth="1"/>
    <col min="771" max="771" width="7" style="29" bestFit="1" customWidth="1"/>
    <col min="772" max="1024" width="9" style="29"/>
    <col min="1025" max="1025" width="6.796875" style="29" bestFit="1" customWidth="1"/>
    <col min="1026" max="1026" width="4.046875" style="29" bestFit="1" customWidth="1"/>
    <col min="1027" max="1027" width="7" style="29" bestFit="1" customWidth="1"/>
    <col min="1028" max="1280" width="9" style="29"/>
    <col min="1281" max="1281" width="6.796875" style="29" bestFit="1" customWidth="1"/>
    <col min="1282" max="1282" width="4.046875" style="29" bestFit="1" customWidth="1"/>
    <col min="1283" max="1283" width="7" style="29" bestFit="1" customWidth="1"/>
    <col min="1284" max="1536" width="9" style="29"/>
    <col min="1537" max="1537" width="6.796875" style="29" bestFit="1" customWidth="1"/>
    <col min="1538" max="1538" width="4.046875" style="29" bestFit="1" customWidth="1"/>
    <col min="1539" max="1539" width="7" style="29" bestFit="1" customWidth="1"/>
    <col min="1540" max="1792" width="9" style="29"/>
    <col min="1793" max="1793" width="6.796875" style="29" bestFit="1" customWidth="1"/>
    <col min="1794" max="1794" width="4.046875" style="29" bestFit="1" customWidth="1"/>
    <col min="1795" max="1795" width="7" style="29" bestFit="1" customWidth="1"/>
    <col min="1796" max="2048" width="9" style="29"/>
    <col min="2049" max="2049" width="6.796875" style="29" bestFit="1" customWidth="1"/>
    <col min="2050" max="2050" width="4.046875" style="29" bestFit="1" customWidth="1"/>
    <col min="2051" max="2051" width="7" style="29" bestFit="1" customWidth="1"/>
    <col min="2052" max="2304" width="9" style="29"/>
    <col min="2305" max="2305" width="6.796875" style="29" bestFit="1" customWidth="1"/>
    <col min="2306" max="2306" width="4.046875" style="29" bestFit="1" customWidth="1"/>
    <col min="2307" max="2307" width="7" style="29" bestFit="1" customWidth="1"/>
    <col min="2308" max="2560" width="9" style="29"/>
    <col min="2561" max="2561" width="6.796875" style="29" bestFit="1" customWidth="1"/>
    <col min="2562" max="2562" width="4.046875" style="29" bestFit="1" customWidth="1"/>
    <col min="2563" max="2563" width="7" style="29" bestFit="1" customWidth="1"/>
    <col min="2564" max="2816" width="9" style="29"/>
    <col min="2817" max="2817" width="6.796875" style="29" bestFit="1" customWidth="1"/>
    <col min="2818" max="2818" width="4.046875" style="29" bestFit="1" customWidth="1"/>
    <col min="2819" max="2819" width="7" style="29" bestFit="1" customWidth="1"/>
    <col min="2820" max="3072" width="9" style="29"/>
    <col min="3073" max="3073" width="6.796875" style="29" bestFit="1" customWidth="1"/>
    <col min="3074" max="3074" width="4.046875" style="29" bestFit="1" customWidth="1"/>
    <col min="3075" max="3075" width="7" style="29" bestFit="1" customWidth="1"/>
    <col min="3076" max="3328" width="9" style="29"/>
    <col min="3329" max="3329" width="6.796875" style="29" bestFit="1" customWidth="1"/>
    <col min="3330" max="3330" width="4.046875" style="29" bestFit="1" customWidth="1"/>
    <col min="3331" max="3331" width="7" style="29" bestFit="1" customWidth="1"/>
    <col min="3332" max="3584" width="9" style="29"/>
    <col min="3585" max="3585" width="6.796875" style="29" bestFit="1" customWidth="1"/>
    <col min="3586" max="3586" width="4.046875" style="29" bestFit="1" customWidth="1"/>
    <col min="3587" max="3587" width="7" style="29" bestFit="1" customWidth="1"/>
    <col min="3588" max="3840" width="9" style="29"/>
    <col min="3841" max="3841" width="6.796875" style="29" bestFit="1" customWidth="1"/>
    <col min="3842" max="3842" width="4.046875" style="29" bestFit="1" customWidth="1"/>
    <col min="3843" max="3843" width="7" style="29" bestFit="1" customWidth="1"/>
    <col min="3844" max="4096" width="9" style="29"/>
    <col min="4097" max="4097" width="6.796875" style="29" bestFit="1" customWidth="1"/>
    <col min="4098" max="4098" width="4.046875" style="29" bestFit="1" customWidth="1"/>
    <col min="4099" max="4099" width="7" style="29" bestFit="1" customWidth="1"/>
    <col min="4100" max="4352" width="9" style="29"/>
    <col min="4353" max="4353" width="6.796875" style="29" bestFit="1" customWidth="1"/>
    <col min="4354" max="4354" width="4.046875" style="29" bestFit="1" customWidth="1"/>
    <col min="4355" max="4355" width="7" style="29" bestFit="1" customWidth="1"/>
    <col min="4356" max="4608" width="9" style="29"/>
    <col min="4609" max="4609" width="6.796875" style="29" bestFit="1" customWidth="1"/>
    <col min="4610" max="4610" width="4.046875" style="29" bestFit="1" customWidth="1"/>
    <col min="4611" max="4611" width="7" style="29" bestFit="1" customWidth="1"/>
    <col min="4612" max="4864" width="9" style="29"/>
    <col min="4865" max="4865" width="6.796875" style="29" bestFit="1" customWidth="1"/>
    <col min="4866" max="4866" width="4.046875" style="29" bestFit="1" customWidth="1"/>
    <col min="4867" max="4867" width="7" style="29" bestFit="1" customWidth="1"/>
    <col min="4868" max="5120" width="9" style="29"/>
    <col min="5121" max="5121" width="6.796875" style="29" bestFit="1" customWidth="1"/>
    <col min="5122" max="5122" width="4.046875" style="29" bestFit="1" customWidth="1"/>
    <col min="5123" max="5123" width="7" style="29" bestFit="1" customWidth="1"/>
    <col min="5124" max="5376" width="9" style="29"/>
    <col min="5377" max="5377" width="6.796875" style="29" bestFit="1" customWidth="1"/>
    <col min="5378" max="5378" width="4.046875" style="29" bestFit="1" customWidth="1"/>
    <col min="5379" max="5379" width="7" style="29" bestFit="1" customWidth="1"/>
    <col min="5380" max="5632" width="9" style="29"/>
    <col min="5633" max="5633" width="6.796875" style="29" bestFit="1" customWidth="1"/>
    <col min="5634" max="5634" width="4.046875" style="29" bestFit="1" customWidth="1"/>
    <col min="5635" max="5635" width="7" style="29" bestFit="1" customWidth="1"/>
    <col min="5636" max="5888" width="9" style="29"/>
    <col min="5889" max="5889" width="6.796875" style="29" bestFit="1" customWidth="1"/>
    <col min="5890" max="5890" width="4.046875" style="29" bestFit="1" customWidth="1"/>
    <col min="5891" max="5891" width="7" style="29" bestFit="1" customWidth="1"/>
    <col min="5892" max="6144" width="9" style="29"/>
    <col min="6145" max="6145" width="6.796875" style="29" bestFit="1" customWidth="1"/>
    <col min="6146" max="6146" width="4.046875" style="29" bestFit="1" customWidth="1"/>
    <col min="6147" max="6147" width="7" style="29" bestFit="1" customWidth="1"/>
    <col min="6148" max="6400" width="9" style="29"/>
    <col min="6401" max="6401" width="6.796875" style="29" bestFit="1" customWidth="1"/>
    <col min="6402" max="6402" width="4.046875" style="29" bestFit="1" customWidth="1"/>
    <col min="6403" max="6403" width="7" style="29" bestFit="1" customWidth="1"/>
    <col min="6404" max="6656" width="9" style="29"/>
    <col min="6657" max="6657" width="6.796875" style="29" bestFit="1" customWidth="1"/>
    <col min="6658" max="6658" width="4.046875" style="29" bestFit="1" customWidth="1"/>
    <col min="6659" max="6659" width="7" style="29" bestFit="1" customWidth="1"/>
    <col min="6660" max="6912" width="9" style="29"/>
    <col min="6913" max="6913" width="6.796875" style="29" bestFit="1" customWidth="1"/>
    <col min="6914" max="6914" width="4.046875" style="29" bestFit="1" customWidth="1"/>
    <col min="6915" max="6915" width="7" style="29" bestFit="1" customWidth="1"/>
    <col min="6916" max="7168" width="9" style="29"/>
    <col min="7169" max="7169" width="6.796875" style="29" bestFit="1" customWidth="1"/>
    <col min="7170" max="7170" width="4.046875" style="29" bestFit="1" customWidth="1"/>
    <col min="7171" max="7171" width="7" style="29" bestFit="1" customWidth="1"/>
    <col min="7172" max="7424" width="9" style="29"/>
    <col min="7425" max="7425" width="6.796875" style="29" bestFit="1" customWidth="1"/>
    <col min="7426" max="7426" width="4.046875" style="29" bestFit="1" customWidth="1"/>
    <col min="7427" max="7427" width="7" style="29" bestFit="1" customWidth="1"/>
    <col min="7428" max="7680" width="9" style="29"/>
    <col min="7681" max="7681" width="6.796875" style="29" bestFit="1" customWidth="1"/>
    <col min="7682" max="7682" width="4.046875" style="29" bestFit="1" customWidth="1"/>
    <col min="7683" max="7683" width="7" style="29" bestFit="1" customWidth="1"/>
    <col min="7684" max="7936" width="9" style="29"/>
    <col min="7937" max="7937" width="6.796875" style="29" bestFit="1" customWidth="1"/>
    <col min="7938" max="7938" width="4.046875" style="29" bestFit="1" customWidth="1"/>
    <col min="7939" max="7939" width="7" style="29" bestFit="1" customWidth="1"/>
    <col min="7940" max="8192" width="9" style="29"/>
    <col min="8193" max="8193" width="6.796875" style="29" bestFit="1" customWidth="1"/>
    <col min="8194" max="8194" width="4.046875" style="29" bestFit="1" customWidth="1"/>
    <col min="8195" max="8195" width="7" style="29" bestFit="1" customWidth="1"/>
    <col min="8196" max="8448" width="9" style="29"/>
    <col min="8449" max="8449" width="6.796875" style="29" bestFit="1" customWidth="1"/>
    <col min="8450" max="8450" width="4.046875" style="29" bestFit="1" customWidth="1"/>
    <col min="8451" max="8451" width="7" style="29" bestFit="1" customWidth="1"/>
    <col min="8452" max="8704" width="9" style="29"/>
    <col min="8705" max="8705" width="6.796875" style="29" bestFit="1" customWidth="1"/>
    <col min="8706" max="8706" width="4.046875" style="29" bestFit="1" customWidth="1"/>
    <col min="8707" max="8707" width="7" style="29" bestFit="1" customWidth="1"/>
    <col min="8708" max="8960" width="9" style="29"/>
    <col min="8961" max="8961" width="6.796875" style="29" bestFit="1" customWidth="1"/>
    <col min="8962" max="8962" width="4.046875" style="29" bestFit="1" customWidth="1"/>
    <col min="8963" max="8963" width="7" style="29" bestFit="1" customWidth="1"/>
    <col min="8964" max="9216" width="9" style="29"/>
    <col min="9217" max="9217" width="6.796875" style="29" bestFit="1" customWidth="1"/>
    <col min="9218" max="9218" width="4.046875" style="29" bestFit="1" customWidth="1"/>
    <col min="9219" max="9219" width="7" style="29" bestFit="1" customWidth="1"/>
    <col min="9220" max="9472" width="9" style="29"/>
    <col min="9473" max="9473" width="6.796875" style="29" bestFit="1" customWidth="1"/>
    <col min="9474" max="9474" width="4.046875" style="29" bestFit="1" customWidth="1"/>
    <col min="9475" max="9475" width="7" style="29" bestFit="1" customWidth="1"/>
    <col min="9476" max="9728" width="9" style="29"/>
    <col min="9729" max="9729" width="6.796875" style="29" bestFit="1" customWidth="1"/>
    <col min="9730" max="9730" width="4.046875" style="29" bestFit="1" customWidth="1"/>
    <col min="9731" max="9731" width="7" style="29" bestFit="1" customWidth="1"/>
    <col min="9732" max="9984" width="9" style="29"/>
    <col min="9985" max="9985" width="6.796875" style="29" bestFit="1" customWidth="1"/>
    <col min="9986" max="9986" width="4.046875" style="29" bestFit="1" customWidth="1"/>
    <col min="9987" max="9987" width="7" style="29" bestFit="1" customWidth="1"/>
    <col min="9988" max="10240" width="9" style="29"/>
    <col min="10241" max="10241" width="6.796875" style="29" bestFit="1" customWidth="1"/>
    <col min="10242" max="10242" width="4.046875" style="29" bestFit="1" customWidth="1"/>
    <col min="10243" max="10243" width="7" style="29" bestFit="1" customWidth="1"/>
    <col min="10244" max="10496" width="9" style="29"/>
    <col min="10497" max="10497" width="6.796875" style="29" bestFit="1" customWidth="1"/>
    <col min="10498" max="10498" width="4.046875" style="29" bestFit="1" customWidth="1"/>
    <col min="10499" max="10499" width="7" style="29" bestFit="1" customWidth="1"/>
    <col min="10500" max="10752" width="9" style="29"/>
    <col min="10753" max="10753" width="6.796875" style="29" bestFit="1" customWidth="1"/>
    <col min="10754" max="10754" width="4.046875" style="29" bestFit="1" customWidth="1"/>
    <col min="10755" max="10755" width="7" style="29" bestFit="1" customWidth="1"/>
    <col min="10756" max="11008" width="9" style="29"/>
    <col min="11009" max="11009" width="6.796875" style="29" bestFit="1" customWidth="1"/>
    <col min="11010" max="11010" width="4.046875" style="29" bestFit="1" customWidth="1"/>
    <col min="11011" max="11011" width="7" style="29" bestFit="1" customWidth="1"/>
    <col min="11012" max="11264" width="9" style="29"/>
    <col min="11265" max="11265" width="6.796875" style="29" bestFit="1" customWidth="1"/>
    <col min="11266" max="11266" width="4.046875" style="29" bestFit="1" customWidth="1"/>
    <col min="11267" max="11267" width="7" style="29" bestFit="1" customWidth="1"/>
    <col min="11268" max="11520" width="9" style="29"/>
    <col min="11521" max="11521" width="6.796875" style="29" bestFit="1" customWidth="1"/>
    <col min="11522" max="11522" width="4.046875" style="29" bestFit="1" customWidth="1"/>
    <col min="11523" max="11523" width="7" style="29" bestFit="1" customWidth="1"/>
    <col min="11524" max="11776" width="9" style="29"/>
    <col min="11777" max="11777" width="6.796875" style="29" bestFit="1" customWidth="1"/>
    <col min="11778" max="11778" width="4.046875" style="29" bestFit="1" customWidth="1"/>
    <col min="11779" max="11779" width="7" style="29" bestFit="1" customWidth="1"/>
    <col min="11780" max="12032" width="9" style="29"/>
    <col min="12033" max="12033" width="6.796875" style="29" bestFit="1" customWidth="1"/>
    <col min="12034" max="12034" width="4.046875" style="29" bestFit="1" customWidth="1"/>
    <col min="12035" max="12035" width="7" style="29" bestFit="1" customWidth="1"/>
    <col min="12036" max="12288" width="9" style="29"/>
    <col min="12289" max="12289" width="6.796875" style="29" bestFit="1" customWidth="1"/>
    <col min="12290" max="12290" width="4.046875" style="29" bestFit="1" customWidth="1"/>
    <col min="12291" max="12291" width="7" style="29" bestFit="1" customWidth="1"/>
    <col min="12292" max="12544" width="9" style="29"/>
    <col min="12545" max="12545" width="6.796875" style="29" bestFit="1" customWidth="1"/>
    <col min="12546" max="12546" width="4.046875" style="29" bestFit="1" customWidth="1"/>
    <col min="12547" max="12547" width="7" style="29" bestFit="1" customWidth="1"/>
    <col min="12548" max="12800" width="9" style="29"/>
    <col min="12801" max="12801" width="6.796875" style="29" bestFit="1" customWidth="1"/>
    <col min="12802" max="12802" width="4.046875" style="29" bestFit="1" customWidth="1"/>
    <col min="12803" max="12803" width="7" style="29" bestFit="1" customWidth="1"/>
    <col min="12804" max="13056" width="9" style="29"/>
    <col min="13057" max="13057" width="6.796875" style="29" bestFit="1" customWidth="1"/>
    <col min="13058" max="13058" width="4.046875" style="29" bestFit="1" customWidth="1"/>
    <col min="13059" max="13059" width="7" style="29" bestFit="1" customWidth="1"/>
    <col min="13060" max="13312" width="9" style="29"/>
    <col min="13313" max="13313" width="6.796875" style="29" bestFit="1" customWidth="1"/>
    <col min="13314" max="13314" width="4.046875" style="29" bestFit="1" customWidth="1"/>
    <col min="13315" max="13315" width="7" style="29" bestFit="1" customWidth="1"/>
    <col min="13316" max="13568" width="9" style="29"/>
    <col min="13569" max="13569" width="6.796875" style="29" bestFit="1" customWidth="1"/>
    <col min="13570" max="13570" width="4.046875" style="29" bestFit="1" customWidth="1"/>
    <col min="13571" max="13571" width="7" style="29" bestFit="1" customWidth="1"/>
    <col min="13572" max="13824" width="9" style="29"/>
    <col min="13825" max="13825" width="6.796875" style="29" bestFit="1" customWidth="1"/>
    <col min="13826" max="13826" width="4.046875" style="29" bestFit="1" customWidth="1"/>
    <col min="13827" max="13827" width="7" style="29" bestFit="1" customWidth="1"/>
    <col min="13828" max="14080" width="9" style="29"/>
    <col min="14081" max="14081" width="6.796875" style="29" bestFit="1" customWidth="1"/>
    <col min="14082" max="14082" width="4.046875" style="29" bestFit="1" customWidth="1"/>
    <col min="14083" max="14083" width="7" style="29" bestFit="1" customWidth="1"/>
    <col min="14084" max="14336" width="9" style="29"/>
    <col min="14337" max="14337" width="6.796875" style="29" bestFit="1" customWidth="1"/>
    <col min="14338" max="14338" width="4.046875" style="29" bestFit="1" customWidth="1"/>
    <col min="14339" max="14339" width="7" style="29" bestFit="1" customWidth="1"/>
    <col min="14340" max="14592" width="9" style="29"/>
    <col min="14593" max="14593" width="6.796875" style="29" bestFit="1" customWidth="1"/>
    <col min="14594" max="14594" width="4.046875" style="29" bestFit="1" customWidth="1"/>
    <col min="14595" max="14595" width="7" style="29" bestFit="1" customWidth="1"/>
    <col min="14596" max="14848" width="9" style="29"/>
    <col min="14849" max="14849" width="6.796875" style="29" bestFit="1" customWidth="1"/>
    <col min="14850" max="14850" width="4.046875" style="29" bestFit="1" customWidth="1"/>
    <col min="14851" max="14851" width="7" style="29" bestFit="1" customWidth="1"/>
    <col min="14852" max="15104" width="9" style="29"/>
    <col min="15105" max="15105" width="6.796875" style="29" bestFit="1" customWidth="1"/>
    <col min="15106" max="15106" width="4.046875" style="29" bestFit="1" customWidth="1"/>
    <col min="15107" max="15107" width="7" style="29" bestFit="1" customWidth="1"/>
    <col min="15108" max="15360" width="9" style="29"/>
    <col min="15361" max="15361" width="6.796875" style="29" bestFit="1" customWidth="1"/>
    <col min="15362" max="15362" width="4.046875" style="29" bestFit="1" customWidth="1"/>
    <col min="15363" max="15363" width="7" style="29" bestFit="1" customWidth="1"/>
    <col min="15364" max="15616" width="9" style="29"/>
    <col min="15617" max="15617" width="6.796875" style="29" bestFit="1" customWidth="1"/>
    <col min="15618" max="15618" width="4.046875" style="29" bestFit="1" customWidth="1"/>
    <col min="15619" max="15619" width="7" style="29" bestFit="1" customWidth="1"/>
    <col min="15620" max="15872" width="9" style="29"/>
    <col min="15873" max="15873" width="6.796875" style="29" bestFit="1" customWidth="1"/>
    <col min="15874" max="15874" width="4.046875" style="29" bestFit="1" customWidth="1"/>
    <col min="15875" max="15875" width="7" style="29" bestFit="1" customWidth="1"/>
    <col min="15876" max="16128" width="9" style="29"/>
    <col min="16129" max="16129" width="6.796875" style="29" bestFit="1" customWidth="1"/>
    <col min="16130" max="16130" width="4.046875" style="29" bestFit="1" customWidth="1"/>
    <col min="16131" max="16131" width="7" style="29" bestFit="1" customWidth="1"/>
    <col min="16132" max="16384" width="9" style="29"/>
  </cols>
  <sheetData>
    <row r="1" spans="1:7" x14ac:dyDescent="0.3">
      <c r="A1" s="28" t="s">
        <v>43</v>
      </c>
      <c r="B1" s="28" t="s">
        <v>44</v>
      </c>
      <c r="C1" s="28" t="s">
        <v>17</v>
      </c>
    </row>
    <row r="2" spans="1:7" x14ac:dyDescent="0.3">
      <c r="A2" s="28" t="s">
        <v>46</v>
      </c>
      <c r="B2" s="28" t="s">
        <v>45</v>
      </c>
      <c r="C2" s="28">
        <v>23343</v>
      </c>
    </row>
    <row r="3" spans="1:7" x14ac:dyDescent="0.3">
      <c r="A3" s="28" t="s">
        <v>48</v>
      </c>
      <c r="B3" s="28" t="s">
        <v>47</v>
      </c>
      <c r="C3" s="28">
        <v>34343</v>
      </c>
    </row>
    <row r="4" spans="1:7" x14ac:dyDescent="0.3">
      <c r="A4" s="28" t="s">
        <v>50</v>
      </c>
      <c r="B4" s="28" t="s">
        <v>49</v>
      </c>
      <c r="C4" s="28">
        <v>75365</v>
      </c>
    </row>
    <row r="5" spans="1:7" x14ac:dyDescent="0.3">
      <c r="A5" s="28" t="s">
        <v>52</v>
      </c>
      <c r="B5" s="28" t="s">
        <v>51</v>
      </c>
      <c r="C5" s="28">
        <v>93564</v>
      </c>
    </row>
    <row r="7" spans="1:7" x14ac:dyDescent="0.3">
      <c r="A7" s="29" t="s">
        <v>53</v>
      </c>
      <c r="B7" s="29" cm="1">
        <f t="array" ref="B7">VLOOKUP($A7,CHOOSE({1,2},$A$2:$A$5&amp;" "&amp;$B$2:$B$5,$C$2:$C$5),2,0)</f>
        <v>23343</v>
      </c>
      <c r="D7" s="29" cm="1">
        <f t="array" ref="D7">IF(SUMPRODUCT((A7=$A$2:$A$5&amp;" "&amp;$B$2:$B$5)*$C$2:$C$5)=0,SUMPRODUCT((_xlfn.TEXTJOIN(,, _xlfn.TEXTSPLIT(A7, {","," "})) =$B$2:$B$5&amp;$A$2:$A$5)*$C$2:$C$5), SUMPRODUCT((A7=$A$2:$A$5&amp;" "&amp;$B$2:$B$5)*$C$2:$C$5))</f>
        <v>23343</v>
      </c>
      <c r="E7" s="29" cm="1">
        <f t="array" ref="E7">IFERROR(VLOOKUP(A7,CHOOSE({1,2},$A$2:$A$5&amp; " " &amp;$B$2:$B$5,$C$2:$C$5),2,0), VLOOKUP(A7, CHOOSE({1,2},$B$2:$B$5&amp;", "&amp;$A$2:$A$5,$C$2:$C$5),2,0))</f>
        <v>23343</v>
      </c>
      <c r="G7" s="29" cm="1">
        <f t="array" ref="G7">IFERROR(INDEX($C$2:$C$5,MATCH(TRUE,(($A$2:$A$5&amp;" "&amp;$B$2:$B$5)=A7),0)),INDEX($C$2:$C$5,MATCH(TRUE,(($B$2:$B$5&amp;", "&amp;$A$2:$A$5)=A7),0)))</f>
        <v>23343</v>
      </c>
    </row>
    <row r="8" spans="1:7" x14ac:dyDescent="0.3">
      <c r="A8" s="33" t="s">
        <v>56</v>
      </c>
      <c r="B8" s="29" cm="1">
        <f t="array" ref="B8">VLOOKUP($A$8,CHOOSE({1,2},$B$2:$B$5&amp;", "&amp;$A$2:$A$5,$C$2:$C$5),2,0)</f>
        <v>93564</v>
      </c>
      <c r="D8" s="29" cm="1">
        <f t="array" ref="D8">IF(SUMPRODUCT((A8=$A$2:$A$5&amp;" "&amp;$B$2:$B$5)*$C$2:$C$5)=0,SUMPRODUCT((_xlfn.TEXTJOIN(,, _xlfn.TEXTSPLIT(A8, {","," "})) =$B$2:$B$5&amp;$A$2:$A$5)*$C$2:$C$5), SUMPRODUCT((A8=$A$2:$A$5&amp;" "&amp;$B$2:$B$5)*$C$2:$C$5))</f>
        <v>93564</v>
      </c>
      <c r="E8" s="29" cm="1">
        <f t="array" ref="E8">IFERROR(VLOOKUP(A8,CHOOSE({1,2},$A$2:$A$5&amp; " " &amp;$B$2:$B$5,$C$2:$C$5),2,0), VLOOKUP(A8, CHOOSE({1,2},$B$2:$B$5&amp;", "&amp;$A$2:$A$5,$C$2:$C$5),2,0))</f>
        <v>93564</v>
      </c>
      <c r="G8" s="29" cm="1">
        <f t="array" ref="G8">IFERROR(INDEX($C$2:$C$5,MATCH(TRUE,(($A$2:$A$5&amp;" "&amp;$B$2:$B$5)=A8),0)),INDEX($C$2:$C$5,MATCH(TRUE,(($B$2:$B$5&amp;", "&amp;$A$2:$A$5)=A8),0)))</f>
        <v>93564</v>
      </c>
    </row>
    <row r="10" spans="1:7" x14ac:dyDescent="0.3">
      <c r="B10" s="29" t="e" cm="1" vm="1">
        <f t="array" ref="B10:B14">IF($A$2:$A$6&amp;" "&amp;$B$2:$B$6 = A8, ROW($C$2:$C$6), IF($B$2:$B$6&amp; ", "&amp;$A$2:$A$6,ROW($C$2:$C$6), ""))</f>
        <v>#VALUE!</v>
      </c>
    </row>
    <row r="11" spans="1:7" x14ac:dyDescent="0.3">
      <c r="B11" s="29" t="e" vm="2">
        <v>#VALUE!</v>
      </c>
    </row>
    <row r="12" spans="1:7" x14ac:dyDescent="0.3">
      <c r="B12" s="29" t="e" vm="3">
        <v>#VALUE!</v>
      </c>
    </row>
    <row r="13" spans="1:7" x14ac:dyDescent="0.3">
      <c r="B13" s="29" t="e" vm="4">
        <v>#VALUE!</v>
      </c>
    </row>
    <row r="14" spans="1:7" x14ac:dyDescent="0.3">
      <c r="B14" s="29" t="e" vm="5">
        <v>#VALUE!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</vt:lpstr>
      <vt:lpstr>Q2</vt:lpstr>
      <vt:lpstr>Q3</vt:lpstr>
      <vt:lpstr>Q4</vt:lpstr>
      <vt:lpstr>Q5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Innozant</dc:creator>
  <cp:lastModifiedBy>Gursewak Singh</cp:lastModifiedBy>
  <dcterms:created xsi:type="dcterms:W3CDTF">2021-01-07T10:05:01Z</dcterms:created>
  <dcterms:modified xsi:type="dcterms:W3CDTF">2026-01-27T16:52:13Z</dcterms:modified>
</cp:coreProperties>
</file>