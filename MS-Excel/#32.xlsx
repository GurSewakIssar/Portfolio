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EA0F5476-7ACB-4012-9D9D-4A505B11F0D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2" r:id="rId1"/>
    <sheet name="Q2" sheetId="3" r:id="rId2"/>
    <sheet name="Q3" sheetId="6" r:id="rId3"/>
    <sheet name="Q4" sheetId="4" r:id="rId4"/>
    <sheet name="Q5" sheetId="5" r:id="rId5"/>
  </sheets>
  <definedNames>
    <definedName name="_xlnm._FilterDatabase" localSheetId="0" hidden="1">'Q1'!$E$6:$I$1006</definedName>
    <definedName name="_xlnm._FilterDatabase" localSheetId="3" hidden="1">'Q4'!$E$4:$I$1004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5" l="1" a="1"/>
  <c r="K16" i="5" s="1"/>
  <c r="K13" i="5" a="1"/>
  <c r="K13" i="5"/>
  <c r="K14" i="5" a="1"/>
  <c r="K14" i="5"/>
  <c r="K15" i="5" a="1"/>
  <c r="K15" i="5"/>
  <c r="K12" i="5" a="1"/>
  <c r="K12" i="5"/>
  <c r="G8" i="4" a="1"/>
  <c r="G8" i="4"/>
  <c r="E3" i="6" a="1"/>
  <c r="E3" i="6" s="1"/>
  <c r="C7" i="3" a="1"/>
  <c r="C7" i="3" s="1"/>
  <c r="E8" i="3"/>
  <c r="Q8" i="2" a="1"/>
  <c r="Q8" i="2"/>
  <c r="Q9" i="2" a="1"/>
  <c r="Q9" i="2"/>
  <c r="Q10" i="2" a="1"/>
  <c r="Q10" i="2"/>
  <c r="Q11" i="2" a="1"/>
  <c r="Q11" i="2"/>
  <c r="Q12" i="2" a="1"/>
  <c r="Q12" i="2" s="1"/>
  <c r="Q13" i="2" a="1"/>
  <c r="Q13" i="2" s="1"/>
  <c r="Q14" i="2" a="1"/>
  <c r="Q14" i="2" s="1"/>
  <c r="Q15" i="2" a="1"/>
  <c r="Q15" i="2" s="1"/>
  <c r="Q16" i="2" a="1"/>
  <c r="Q16" i="2"/>
  <c r="Q17" i="2" a="1"/>
  <c r="Q17" i="2"/>
  <c r="Q18" i="2" a="1"/>
  <c r="Q18" i="2"/>
  <c r="Q7" i="2" a="1"/>
  <c r="Q7" i="2" s="1"/>
  <c r="I8" i="5" a="1"/>
  <c r="I8" i="5"/>
  <c r="I9" i="5" a="1"/>
  <c r="I9" i="5"/>
  <c r="I10" i="5" a="1"/>
  <c r="I10" i="5"/>
  <c r="I11" i="5" a="1"/>
  <c r="I11" i="5"/>
  <c r="I12" i="5" a="1"/>
  <c r="I12" i="5"/>
  <c r="I13" i="5" a="1"/>
  <c r="I13" i="5"/>
  <c r="I14" i="5" a="1"/>
  <c r="I14" i="5"/>
  <c r="I15" i="5" a="1"/>
  <c r="I15" i="5"/>
  <c r="I7" i="5" a="1"/>
  <c r="I7" i="5" s="1"/>
  <c r="F5" i="4"/>
  <c r="C7" i="6"/>
  <c r="B7" i="6" a="1"/>
  <c r="B7" i="6" s="1"/>
  <c r="C11" i="3" a="1"/>
  <c r="C11" i="3" s="1"/>
  <c r="N8" i="2" a="1"/>
  <c r="N8" i="2"/>
  <c r="N9" i="2" a="1"/>
  <c r="N9" i="2" s="1"/>
  <c r="N10" i="2" a="1"/>
  <c r="N10" i="2" s="1"/>
  <c r="N11" i="2" a="1"/>
  <c r="N11" i="2" s="1"/>
  <c r="N12" i="2" a="1"/>
  <c r="N12" i="2"/>
  <c r="N13" i="2" a="1"/>
  <c r="N13" i="2"/>
  <c r="N14" i="2" a="1"/>
  <c r="N14" i="2" s="1"/>
  <c r="N15" i="2" a="1"/>
  <c r="N15" i="2" s="1"/>
  <c r="N16" i="2" a="1"/>
  <c r="N16" i="2" s="1"/>
  <c r="N17" i="2" a="1"/>
  <c r="N17" i="2"/>
  <c r="N18" i="2" a="1"/>
  <c r="N18" i="2"/>
  <c r="N7" i="2" a="1"/>
  <c r="N7" i="2" s="1"/>
  <c r="C3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/>
  <c r="D11" i="5" a="1"/>
  <c r="D11" i="5"/>
  <c r="D12" i="5" a="1"/>
  <c r="D12" i="5"/>
  <c r="D13" i="5" a="1"/>
  <c r="D13" i="5"/>
  <c r="D14" i="5" a="1"/>
  <c r="D14" i="5"/>
  <c r="D15" i="5" a="1"/>
  <c r="D15" i="5"/>
  <c r="D16" i="5" a="1"/>
  <c r="D16" i="5"/>
  <c r="D17" i="5" a="1"/>
  <c r="D17" i="5"/>
  <c r="D18" i="5" a="1"/>
  <c r="D18" i="5"/>
  <c r="D19" i="5" a="1"/>
  <c r="D19" i="5"/>
  <c r="D20" i="5" a="1"/>
  <c r="D20" i="5"/>
  <c r="D21" i="5" a="1"/>
  <c r="D21" i="5"/>
  <c r="D22" i="5" a="1"/>
  <c r="D22" i="5"/>
  <c r="D23" i="5" a="1"/>
  <c r="D23" i="5"/>
  <c r="D24" i="5" a="1"/>
  <c r="D24" i="5"/>
  <c r="D25" i="5" a="1"/>
  <c r="D25" i="5"/>
  <c r="D26" i="5" a="1"/>
  <c r="D26" i="5"/>
  <c r="D27" i="5" a="1"/>
  <c r="D27" i="5"/>
  <c r="D28" i="5" a="1"/>
  <c r="D28" i="5"/>
  <c r="D29" i="5" a="1"/>
  <c r="D29" i="5"/>
  <c r="D30" i="5" a="1"/>
  <c r="D30" i="5"/>
  <c r="D31" i="5" a="1"/>
  <c r="D31" i="5"/>
  <c r="D32" i="5" a="1"/>
  <c r="D32" i="5"/>
  <c r="D33" i="5" a="1"/>
  <c r="D33" i="5"/>
  <c r="D34" i="5" a="1"/>
  <c r="D34" i="5"/>
  <c r="D4" i="5" a="1"/>
  <c r="D4" i="5" s="1"/>
  <c r="H4" i="4" a="1"/>
  <c r="H4" i="4" s="1"/>
  <c r="C3" i="6" a="1"/>
  <c r="C3" i="6" s="1"/>
  <c r="C9" i="3" a="1"/>
  <c r="C9" i="3" s="1"/>
  <c r="K18" i="2" a="1"/>
  <c r="K18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/>
  <c r="K7" i="2" a="1"/>
  <c r="K7" i="2" s="1"/>
  <c r="C21" i="2" a="1"/>
  <c r="C21" i="2"/>
  <c r="C22" i="2" a="1"/>
  <c r="C22" i="2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/>
  <c r="C29" i="2" a="1"/>
  <c r="C29" i="2"/>
  <c r="C30" i="2" a="1"/>
  <c r="C30" i="2"/>
  <c r="C31" i="2" a="1"/>
  <c r="C31" i="2"/>
  <c r="C20" i="2" a="1"/>
  <c r="C20" i="2" s="1"/>
  <c r="C8" i="2" l="1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7" i="2" a="1"/>
  <c r="C7" i="2" s="1"/>
  <c r="C16" i="5" l="1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12" i="5"/>
  <c r="C13" i="5"/>
  <c r="C14" i="5"/>
  <c r="C15" i="5"/>
  <c r="C5" i="5"/>
  <c r="C6" i="5"/>
  <c r="C7" i="5"/>
  <c r="C8" i="5"/>
  <c r="C9" i="5"/>
  <c r="C10" i="5"/>
  <c r="C11" i="5"/>
  <c r="C4" i="5"/>
  <c r="B3" i="6" l="1"/>
  <c r="G4" i="4" l="1" a="1"/>
  <c r="G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<sst xmlns="http://schemas.openxmlformats.org/spreadsheetml/2006/main" count="3084" uniqueCount="1146">
  <si>
    <t>Who made the first sale in each month?</t>
  </si>
  <si>
    <t>Write a formula in column C that returns the result.</t>
  </si>
  <si>
    <t>Do NOT sort the data in the Sales Table.</t>
  </si>
  <si>
    <t>Month</t>
  </si>
  <si>
    <t>Sales Person</t>
  </si>
  <si>
    <t>Trans ID</t>
  </si>
  <si>
    <t>Date</t>
  </si>
  <si>
    <t>Sales</t>
  </si>
  <si>
    <t>INZ1001</t>
  </si>
  <si>
    <t>INZ1002</t>
  </si>
  <si>
    <t>INZ1003</t>
  </si>
  <si>
    <t>INZ1004</t>
  </si>
  <si>
    <t>INZ1005</t>
  </si>
  <si>
    <t>INZ1006</t>
  </si>
  <si>
    <t>INZ1007</t>
  </si>
  <si>
    <t>INZ1008</t>
  </si>
  <si>
    <t>INZ1009</t>
  </si>
  <si>
    <t>INZ1010</t>
  </si>
  <si>
    <t>INZ1011</t>
  </si>
  <si>
    <t>INZ1012</t>
  </si>
  <si>
    <t>INZ1013</t>
  </si>
  <si>
    <t>INZ1014</t>
  </si>
  <si>
    <t>INZ1015</t>
  </si>
  <si>
    <t>INZ1016</t>
  </si>
  <si>
    <t>INZ1017</t>
  </si>
  <si>
    <t>INZ1018</t>
  </si>
  <si>
    <t>INZ1019</t>
  </si>
  <si>
    <t>INZ1020</t>
  </si>
  <si>
    <t>INZ1021</t>
  </si>
  <si>
    <t>INZ1022</t>
  </si>
  <si>
    <t>INZ1023</t>
  </si>
  <si>
    <t>INZ1024</t>
  </si>
  <si>
    <t>INZ1025</t>
  </si>
  <si>
    <t>INZ1026</t>
  </si>
  <si>
    <t>INZ1027</t>
  </si>
  <si>
    <t>INZ1028</t>
  </si>
  <si>
    <t>INZ1029</t>
  </si>
  <si>
    <t>INZ1030</t>
  </si>
  <si>
    <t>INZ1031</t>
  </si>
  <si>
    <t>INZ1032</t>
  </si>
  <si>
    <t>INZ1033</t>
  </si>
  <si>
    <t>INZ1034</t>
  </si>
  <si>
    <t>INZ1035</t>
  </si>
  <si>
    <t>INZ1036</t>
  </si>
  <si>
    <t>INZ1037</t>
  </si>
  <si>
    <t>INZ1038</t>
  </si>
  <si>
    <t>INZ1039</t>
  </si>
  <si>
    <t>INZ1040</t>
  </si>
  <si>
    <t>INZ1041</t>
  </si>
  <si>
    <t>INZ1042</t>
  </si>
  <si>
    <t>INZ1043</t>
  </si>
  <si>
    <t>INZ1044</t>
  </si>
  <si>
    <t>INZ1045</t>
  </si>
  <si>
    <t>INZ1046</t>
  </si>
  <si>
    <t>INZ1047</t>
  </si>
  <si>
    <t>INZ1048</t>
  </si>
  <si>
    <t>INZ1049</t>
  </si>
  <si>
    <t>INZ1050</t>
  </si>
  <si>
    <t>INZ1051</t>
  </si>
  <si>
    <t>INZ1052</t>
  </si>
  <si>
    <t>INZ1053</t>
  </si>
  <si>
    <t>INZ1054</t>
  </si>
  <si>
    <t>INZ1055</t>
  </si>
  <si>
    <t>INZ1056</t>
  </si>
  <si>
    <t>INZ1057</t>
  </si>
  <si>
    <t>INZ1058</t>
  </si>
  <si>
    <t>INZ1059</t>
  </si>
  <si>
    <t>INZ1060</t>
  </si>
  <si>
    <t>INZ1061</t>
  </si>
  <si>
    <t>INZ1062</t>
  </si>
  <si>
    <t>INZ1063</t>
  </si>
  <si>
    <t>INZ1064</t>
  </si>
  <si>
    <t>INZ1065</t>
  </si>
  <si>
    <t>INZ1066</t>
  </si>
  <si>
    <t>INZ1067</t>
  </si>
  <si>
    <t>INZ1068</t>
  </si>
  <si>
    <t>INZ1069</t>
  </si>
  <si>
    <t>INZ1070</t>
  </si>
  <si>
    <t>INZ1071</t>
  </si>
  <si>
    <t>INZ1072</t>
  </si>
  <si>
    <t>INZ1073</t>
  </si>
  <si>
    <t>INZ1074</t>
  </si>
  <si>
    <t>INZ1075</t>
  </si>
  <si>
    <t>INZ1076</t>
  </si>
  <si>
    <t>INZ1077</t>
  </si>
  <si>
    <t>INZ1078</t>
  </si>
  <si>
    <t>INZ1079</t>
  </si>
  <si>
    <t>INZ1080</t>
  </si>
  <si>
    <t>INZ1081</t>
  </si>
  <si>
    <t>INZ1082</t>
  </si>
  <si>
    <t>INZ1083</t>
  </si>
  <si>
    <t>INZ1084</t>
  </si>
  <si>
    <t>INZ1085</t>
  </si>
  <si>
    <t>INZ1086</t>
  </si>
  <si>
    <t>INZ1087</t>
  </si>
  <si>
    <t>INZ1088</t>
  </si>
  <si>
    <t>INZ1089</t>
  </si>
  <si>
    <t>INZ1090</t>
  </si>
  <si>
    <t>INZ1091</t>
  </si>
  <si>
    <t>INZ1092</t>
  </si>
  <si>
    <t>INZ1093</t>
  </si>
  <si>
    <t>INZ1094</t>
  </si>
  <si>
    <t>INZ1095</t>
  </si>
  <si>
    <t>INZ1096</t>
  </si>
  <si>
    <t>INZ1097</t>
  </si>
  <si>
    <t>INZ1098</t>
  </si>
  <si>
    <t>INZ1099</t>
  </si>
  <si>
    <t>INZ1100</t>
  </si>
  <si>
    <t>INZ1101</t>
  </si>
  <si>
    <t>INZ1102</t>
  </si>
  <si>
    <t>INZ1103</t>
  </si>
  <si>
    <t>INZ1104</t>
  </si>
  <si>
    <t>INZ1105</t>
  </si>
  <si>
    <t>INZ1106</t>
  </si>
  <si>
    <t>INZ1107</t>
  </si>
  <si>
    <t>INZ1108</t>
  </si>
  <si>
    <t>INZ1109</t>
  </si>
  <si>
    <t>INZ1110</t>
  </si>
  <si>
    <t>INZ1111</t>
  </si>
  <si>
    <t>INZ1112</t>
  </si>
  <si>
    <t>INZ1113</t>
  </si>
  <si>
    <t>INZ1114</t>
  </si>
  <si>
    <t>INZ1115</t>
  </si>
  <si>
    <t>INZ1116</t>
  </si>
  <si>
    <t>INZ1117</t>
  </si>
  <si>
    <t>INZ1118</t>
  </si>
  <si>
    <t>INZ1119</t>
  </si>
  <si>
    <t>INZ1120</t>
  </si>
  <si>
    <t>INZ1121</t>
  </si>
  <si>
    <t>INZ1122</t>
  </si>
  <si>
    <t>INZ1123</t>
  </si>
  <si>
    <t>INZ1124</t>
  </si>
  <si>
    <t>INZ1125</t>
  </si>
  <si>
    <t>INZ1126</t>
  </si>
  <si>
    <t>INZ1127</t>
  </si>
  <si>
    <t>INZ1128</t>
  </si>
  <si>
    <t>INZ1129</t>
  </si>
  <si>
    <t>INZ1130</t>
  </si>
  <si>
    <t>INZ1131</t>
  </si>
  <si>
    <t>INZ1132</t>
  </si>
  <si>
    <t>INZ1133</t>
  </si>
  <si>
    <t>INZ1134</t>
  </si>
  <si>
    <t>INZ1135</t>
  </si>
  <si>
    <t>INZ1136</t>
  </si>
  <si>
    <t>INZ1137</t>
  </si>
  <si>
    <t>INZ1138</t>
  </si>
  <si>
    <t>INZ1139</t>
  </si>
  <si>
    <t>INZ1140</t>
  </si>
  <si>
    <t>INZ1141</t>
  </si>
  <si>
    <t>INZ1142</t>
  </si>
  <si>
    <t>INZ1143</t>
  </si>
  <si>
    <t>INZ1144</t>
  </si>
  <si>
    <t>INZ1145</t>
  </si>
  <si>
    <t>INZ1146</t>
  </si>
  <si>
    <t>INZ1147</t>
  </si>
  <si>
    <t>INZ1148</t>
  </si>
  <si>
    <t>INZ1149</t>
  </si>
  <si>
    <t>INZ1150</t>
  </si>
  <si>
    <t>INZ1151</t>
  </si>
  <si>
    <t>INZ1152</t>
  </si>
  <si>
    <t>INZ1153</t>
  </si>
  <si>
    <t>INZ1154</t>
  </si>
  <si>
    <t>INZ1155</t>
  </si>
  <si>
    <t>INZ1156</t>
  </si>
  <si>
    <t>INZ1157</t>
  </si>
  <si>
    <t>INZ1158</t>
  </si>
  <si>
    <t>INZ1159</t>
  </si>
  <si>
    <t>INZ1160</t>
  </si>
  <si>
    <t>INZ1161</t>
  </si>
  <si>
    <t>INZ1162</t>
  </si>
  <si>
    <t>INZ1163</t>
  </si>
  <si>
    <t>INZ1164</t>
  </si>
  <si>
    <t>INZ1165</t>
  </si>
  <si>
    <t>INZ1166</t>
  </si>
  <si>
    <t>INZ1167</t>
  </si>
  <si>
    <t>INZ1168</t>
  </si>
  <si>
    <t>INZ1169</t>
  </si>
  <si>
    <t>INZ1170</t>
  </si>
  <si>
    <t>INZ1171</t>
  </si>
  <si>
    <t>INZ1172</t>
  </si>
  <si>
    <t>INZ1173</t>
  </si>
  <si>
    <t>INZ1174</t>
  </si>
  <si>
    <t>INZ1175</t>
  </si>
  <si>
    <t>INZ1176</t>
  </si>
  <si>
    <t>INZ1177</t>
  </si>
  <si>
    <t>INZ1178</t>
  </si>
  <si>
    <t>INZ1179</t>
  </si>
  <si>
    <t>INZ1180</t>
  </si>
  <si>
    <t>INZ1181</t>
  </si>
  <si>
    <t>INZ1182</t>
  </si>
  <si>
    <t>INZ1183</t>
  </si>
  <si>
    <t>INZ1184</t>
  </si>
  <si>
    <t>INZ1185</t>
  </si>
  <si>
    <t>INZ1186</t>
  </si>
  <si>
    <t>INZ1187</t>
  </si>
  <si>
    <t>INZ1188</t>
  </si>
  <si>
    <t>INZ1189</t>
  </si>
  <si>
    <t>INZ1190</t>
  </si>
  <si>
    <t>INZ1191</t>
  </si>
  <si>
    <t>INZ1192</t>
  </si>
  <si>
    <t>INZ1193</t>
  </si>
  <si>
    <t>INZ1194</t>
  </si>
  <si>
    <t>INZ1195</t>
  </si>
  <si>
    <t>INZ1196</t>
  </si>
  <si>
    <t>INZ1197</t>
  </si>
  <si>
    <t>INZ1198</t>
  </si>
  <si>
    <t>INZ1199</t>
  </si>
  <si>
    <t>INZ1200</t>
  </si>
  <si>
    <t>INZ1201</t>
  </si>
  <si>
    <t>INZ1202</t>
  </si>
  <si>
    <t>INZ1203</t>
  </si>
  <si>
    <t>INZ1204</t>
  </si>
  <si>
    <t>INZ1205</t>
  </si>
  <si>
    <t>INZ1206</t>
  </si>
  <si>
    <t>INZ1207</t>
  </si>
  <si>
    <t>INZ1208</t>
  </si>
  <si>
    <t>INZ1209</t>
  </si>
  <si>
    <t>INZ1210</t>
  </si>
  <si>
    <t>INZ1211</t>
  </si>
  <si>
    <t>INZ1212</t>
  </si>
  <si>
    <t>INZ1213</t>
  </si>
  <si>
    <t>INZ1214</t>
  </si>
  <si>
    <t>INZ1215</t>
  </si>
  <si>
    <t>INZ1216</t>
  </si>
  <si>
    <t>INZ1217</t>
  </si>
  <si>
    <t>INZ1218</t>
  </si>
  <si>
    <t>INZ1219</t>
  </si>
  <si>
    <t>INZ1220</t>
  </si>
  <si>
    <t>INZ1221</t>
  </si>
  <si>
    <t>INZ1222</t>
  </si>
  <si>
    <t>INZ1223</t>
  </si>
  <si>
    <t>INZ1224</t>
  </si>
  <si>
    <t>INZ1225</t>
  </si>
  <si>
    <t>INZ1226</t>
  </si>
  <si>
    <t>INZ1227</t>
  </si>
  <si>
    <t>INZ1228</t>
  </si>
  <si>
    <t>INZ1229</t>
  </si>
  <si>
    <t>INZ1230</t>
  </si>
  <si>
    <t>INZ1231</t>
  </si>
  <si>
    <t>INZ1232</t>
  </si>
  <si>
    <t>INZ1233</t>
  </si>
  <si>
    <t>INZ1234</t>
  </si>
  <si>
    <t>INZ1235</t>
  </si>
  <si>
    <t>INZ1236</t>
  </si>
  <si>
    <t>INZ1237</t>
  </si>
  <si>
    <t>INZ1238</t>
  </si>
  <si>
    <t>INZ1239</t>
  </si>
  <si>
    <t>INZ1240</t>
  </si>
  <si>
    <t>INZ1241</t>
  </si>
  <si>
    <t>INZ1242</t>
  </si>
  <si>
    <t>INZ1243</t>
  </si>
  <si>
    <t>INZ1244</t>
  </si>
  <si>
    <t>INZ1245</t>
  </si>
  <si>
    <t>INZ1246</t>
  </si>
  <si>
    <t>INZ1247</t>
  </si>
  <si>
    <t>INZ1248</t>
  </si>
  <si>
    <t>INZ1249</t>
  </si>
  <si>
    <t>INZ1250</t>
  </si>
  <si>
    <t>INZ1251</t>
  </si>
  <si>
    <t>INZ1252</t>
  </si>
  <si>
    <t>INZ1253</t>
  </si>
  <si>
    <t>INZ1254</t>
  </si>
  <si>
    <t>INZ1255</t>
  </si>
  <si>
    <t>INZ1256</t>
  </si>
  <si>
    <t>INZ1257</t>
  </si>
  <si>
    <t>INZ1258</t>
  </si>
  <si>
    <t>INZ1259</t>
  </si>
  <si>
    <t>INZ1260</t>
  </si>
  <si>
    <t>INZ1261</t>
  </si>
  <si>
    <t>INZ1262</t>
  </si>
  <si>
    <t>INZ1263</t>
  </si>
  <si>
    <t>INZ1264</t>
  </si>
  <si>
    <t>INZ1265</t>
  </si>
  <si>
    <t>INZ1266</t>
  </si>
  <si>
    <t>INZ1267</t>
  </si>
  <si>
    <t>INZ1268</t>
  </si>
  <si>
    <t>INZ1269</t>
  </si>
  <si>
    <t>INZ1270</t>
  </si>
  <si>
    <t>INZ1271</t>
  </si>
  <si>
    <t>INZ1272</t>
  </si>
  <si>
    <t>INZ1273</t>
  </si>
  <si>
    <t>INZ1274</t>
  </si>
  <si>
    <t>INZ1275</t>
  </si>
  <si>
    <t>INZ1276</t>
  </si>
  <si>
    <t>INZ1277</t>
  </si>
  <si>
    <t>INZ1278</t>
  </si>
  <si>
    <t>INZ1279</t>
  </si>
  <si>
    <t>INZ1280</t>
  </si>
  <si>
    <t>INZ1281</t>
  </si>
  <si>
    <t>INZ1282</t>
  </si>
  <si>
    <t>INZ1283</t>
  </si>
  <si>
    <t>INZ1284</t>
  </si>
  <si>
    <t>INZ1285</t>
  </si>
  <si>
    <t>INZ1286</t>
  </si>
  <si>
    <t>INZ1287</t>
  </si>
  <si>
    <t>INZ1288</t>
  </si>
  <si>
    <t>INZ1289</t>
  </si>
  <si>
    <t>INZ1290</t>
  </si>
  <si>
    <t>INZ1291</t>
  </si>
  <si>
    <t>INZ1292</t>
  </si>
  <si>
    <t>INZ1293</t>
  </si>
  <si>
    <t>INZ1294</t>
  </si>
  <si>
    <t>INZ1295</t>
  </si>
  <si>
    <t>INZ1296</t>
  </si>
  <si>
    <t>INZ1297</t>
  </si>
  <si>
    <t>INZ1298</t>
  </si>
  <si>
    <t>INZ1299</t>
  </si>
  <si>
    <t>INZ1300</t>
  </si>
  <si>
    <t>INZ1301</t>
  </si>
  <si>
    <t>INZ1302</t>
  </si>
  <si>
    <t>INZ1303</t>
  </si>
  <si>
    <t>INZ1304</t>
  </si>
  <si>
    <t>INZ1305</t>
  </si>
  <si>
    <t>INZ1306</t>
  </si>
  <si>
    <t>INZ1307</t>
  </si>
  <si>
    <t>INZ1308</t>
  </si>
  <si>
    <t>INZ1309</t>
  </si>
  <si>
    <t>INZ1310</t>
  </si>
  <si>
    <t>INZ1311</t>
  </si>
  <si>
    <t>INZ1312</t>
  </si>
  <si>
    <t>INZ1313</t>
  </si>
  <si>
    <t>INZ1314</t>
  </si>
  <si>
    <t>INZ1315</t>
  </si>
  <si>
    <t>INZ1316</t>
  </si>
  <si>
    <t>INZ1317</t>
  </si>
  <si>
    <t>INZ1318</t>
  </si>
  <si>
    <t>INZ1319</t>
  </si>
  <si>
    <t>INZ1320</t>
  </si>
  <si>
    <t>INZ1321</t>
  </si>
  <si>
    <t>INZ1322</t>
  </si>
  <si>
    <t>INZ1323</t>
  </si>
  <si>
    <t>INZ1324</t>
  </si>
  <si>
    <t>INZ1325</t>
  </si>
  <si>
    <t>INZ1326</t>
  </si>
  <si>
    <t>INZ1327</t>
  </si>
  <si>
    <t>INZ1328</t>
  </si>
  <si>
    <t>INZ1329</t>
  </si>
  <si>
    <t>INZ1330</t>
  </si>
  <si>
    <t>INZ1331</t>
  </si>
  <si>
    <t>INZ1332</t>
  </si>
  <si>
    <t>INZ1333</t>
  </si>
  <si>
    <t>INZ1334</t>
  </si>
  <si>
    <t>INZ1335</t>
  </si>
  <si>
    <t>INZ1336</t>
  </si>
  <si>
    <t>INZ1337</t>
  </si>
  <si>
    <t>INZ1338</t>
  </si>
  <si>
    <t>INZ1339</t>
  </si>
  <si>
    <t>INZ1340</t>
  </si>
  <si>
    <t>INZ1341</t>
  </si>
  <si>
    <t>INZ1342</t>
  </si>
  <si>
    <t>INZ1343</t>
  </si>
  <si>
    <t>INZ1344</t>
  </si>
  <si>
    <t>INZ1345</t>
  </si>
  <si>
    <t>INZ1346</t>
  </si>
  <si>
    <t>INZ1347</t>
  </si>
  <si>
    <t>INZ1348</t>
  </si>
  <si>
    <t>INZ1349</t>
  </si>
  <si>
    <t>INZ1350</t>
  </si>
  <si>
    <t>INZ1351</t>
  </si>
  <si>
    <t>INZ1352</t>
  </si>
  <si>
    <t>INZ1353</t>
  </si>
  <si>
    <t>INZ1354</t>
  </si>
  <si>
    <t>INZ1355</t>
  </si>
  <si>
    <t>INZ1356</t>
  </si>
  <si>
    <t>INZ1357</t>
  </si>
  <si>
    <t>INZ1358</t>
  </si>
  <si>
    <t>INZ1359</t>
  </si>
  <si>
    <t>INZ1360</t>
  </si>
  <si>
    <t>INZ1361</t>
  </si>
  <si>
    <t>INZ1362</t>
  </si>
  <si>
    <t>INZ1363</t>
  </si>
  <si>
    <t>INZ1364</t>
  </si>
  <si>
    <t>INZ1365</t>
  </si>
  <si>
    <t>INZ1366</t>
  </si>
  <si>
    <t>INZ1367</t>
  </si>
  <si>
    <t>INZ1368</t>
  </si>
  <si>
    <t>INZ1369</t>
  </si>
  <si>
    <t>INZ1370</t>
  </si>
  <si>
    <t>INZ1371</t>
  </si>
  <si>
    <t>INZ1372</t>
  </si>
  <si>
    <t>INZ1373</t>
  </si>
  <si>
    <t>INZ1374</t>
  </si>
  <si>
    <t>INZ1375</t>
  </si>
  <si>
    <t>INZ1376</t>
  </si>
  <si>
    <t>INZ1377</t>
  </si>
  <si>
    <t>INZ1378</t>
  </si>
  <si>
    <t>INZ1379</t>
  </si>
  <si>
    <t>INZ1380</t>
  </si>
  <si>
    <t>INZ1381</t>
  </si>
  <si>
    <t>INZ1382</t>
  </si>
  <si>
    <t>INZ1383</t>
  </si>
  <si>
    <t>INZ1384</t>
  </si>
  <si>
    <t>INZ1385</t>
  </si>
  <si>
    <t>INZ1386</t>
  </si>
  <si>
    <t>INZ1387</t>
  </si>
  <si>
    <t>INZ1388</t>
  </si>
  <si>
    <t>INZ1389</t>
  </si>
  <si>
    <t>INZ1390</t>
  </si>
  <si>
    <t>INZ1391</t>
  </si>
  <si>
    <t>INZ1392</t>
  </si>
  <si>
    <t>INZ1393</t>
  </si>
  <si>
    <t>INZ1394</t>
  </si>
  <si>
    <t>INZ1395</t>
  </si>
  <si>
    <t>INZ1396</t>
  </si>
  <si>
    <t>INZ1397</t>
  </si>
  <si>
    <t>INZ1398</t>
  </si>
  <si>
    <t>INZ1399</t>
  </si>
  <si>
    <t>INZ1400</t>
  </si>
  <si>
    <t>INZ1401</t>
  </si>
  <si>
    <t>INZ1402</t>
  </si>
  <si>
    <t>INZ1403</t>
  </si>
  <si>
    <t>INZ1404</t>
  </si>
  <si>
    <t>INZ1405</t>
  </si>
  <si>
    <t>INZ1406</t>
  </si>
  <si>
    <t>INZ1407</t>
  </si>
  <si>
    <t>INZ1408</t>
  </si>
  <si>
    <t>INZ1409</t>
  </si>
  <si>
    <t>INZ1410</t>
  </si>
  <si>
    <t>INZ1411</t>
  </si>
  <si>
    <t>INZ1412</t>
  </si>
  <si>
    <t>INZ1413</t>
  </si>
  <si>
    <t>INZ1414</t>
  </si>
  <si>
    <t>INZ1415</t>
  </si>
  <si>
    <t>INZ1416</t>
  </si>
  <si>
    <t>INZ1417</t>
  </si>
  <si>
    <t>INZ1418</t>
  </si>
  <si>
    <t>INZ1419</t>
  </si>
  <si>
    <t>INZ1420</t>
  </si>
  <si>
    <t>INZ1421</t>
  </si>
  <si>
    <t>INZ1422</t>
  </si>
  <si>
    <t>INZ1423</t>
  </si>
  <si>
    <t>INZ1424</t>
  </si>
  <si>
    <t>INZ1425</t>
  </si>
  <si>
    <t>INZ1426</t>
  </si>
  <si>
    <t>INZ1427</t>
  </si>
  <si>
    <t>INZ1428</t>
  </si>
  <si>
    <t>INZ1429</t>
  </si>
  <si>
    <t>INZ1430</t>
  </si>
  <si>
    <t>INZ1431</t>
  </si>
  <si>
    <t>INZ1432</t>
  </si>
  <si>
    <t>INZ1433</t>
  </si>
  <si>
    <t>INZ1434</t>
  </si>
  <si>
    <t>INZ1435</t>
  </si>
  <si>
    <t>INZ1436</t>
  </si>
  <si>
    <t>INZ1437</t>
  </si>
  <si>
    <t>INZ1438</t>
  </si>
  <si>
    <t>INZ1439</t>
  </si>
  <si>
    <t>INZ1440</t>
  </si>
  <si>
    <t>INZ1441</t>
  </si>
  <si>
    <t>INZ1442</t>
  </si>
  <si>
    <t>INZ1443</t>
  </si>
  <si>
    <t>INZ1444</t>
  </si>
  <si>
    <t>INZ1445</t>
  </si>
  <si>
    <t>INZ1446</t>
  </si>
  <si>
    <t>INZ1447</t>
  </si>
  <si>
    <t>INZ1448</t>
  </si>
  <si>
    <t>INZ1449</t>
  </si>
  <si>
    <t>INZ1450</t>
  </si>
  <si>
    <t>INZ1451</t>
  </si>
  <si>
    <t>INZ1452</t>
  </si>
  <si>
    <t>INZ1453</t>
  </si>
  <si>
    <t>INZ1454</t>
  </si>
  <si>
    <t>INZ1455</t>
  </si>
  <si>
    <t>INZ1456</t>
  </si>
  <si>
    <t>INZ1457</t>
  </si>
  <si>
    <t>INZ1458</t>
  </si>
  <si>
    <t>INZ1459</t>
  </si>
  <si>
    <t>INZ1460</t>
  </si>
  <si>
    <t>INZ1461</t>
  </si>
  <si>
    <t>INZ1462</t>
  </si>
  <si>
    <t>INZ1463</t>
  </si>
  <si>
    <t>INZ1464</t>
  </si>
  <si>
    <t>INZ1465</t>
  </si>
  <si>
    <t>INZ1466</t>
  </si>
  <si>
    <t>INZ1467</t>
  </si>
  <si>
    <t>INZ1468</t>
  </si>
  <si>
    <t>INZ1469</t>
  </si>
  <si>
    <t>INZ1470</t>
  </si>
  <si>
    <t>INZ1471</t>
  </si>
  <si>
    <t>INZ1472</t>
  </si>
  <si>
    <t>INZ1473</t>
  </si>
  <si>
    <t>INZ1474</t>
  </si>
  <si>
    <t>INZ1475</t>
  </si>
  <si>
    <t>INZ1476</t>
  </si>
  <si>
    <t>INZ1477</t>
  </si>
  <si>
    <t>INZ1478</t>
  </si>
  <si>
    <t>INZ1479</t>
  </si>
  <si>
    <t>INZ1480</t>
  </si>
  <si>
    <t>INZ1481</t>
  </si>
  <si>
    <t>INZ1482</t>
  </si>
  <si>
    <t>INZ1483</t>
  </si>
  <si>
    <t>INZ1484</t>
  </si>
  <si>
    <t>INZ1485</t>
  </si>
  <si>
    <t>INZ1486</t>
  </si>
  <si>
    <t>INZ1487</t>
  </si>
  <si>
    <t>INZ1488</t>
  </si>
  <si>
    <t>INZ1489</t>
  </si>
  <si>
    <t>INZ1490</t>
  </si>
  <si>
    <t>INZ1491</t>
  </si>
  <si>
    <t>INZ1492</t>
  </si>
  <si>
    <t>INZ1493</t>
  </si>
  <si>
    <t>INZ1494</t>
  </si>
  <si>
    <t>INZ1495</t>
  </si>
  <si>
    <t>INZ1496</t>
  </si>
  <si>
    <t>INZ1497</t>
  </si>
  <si>
    <t>INZ1498</t>
  </si>
  <si>
    <t>INZ1499</t>
  </si>
  <si>
    <t>INZ1500</t>
  </si>
  <si>
    <t>INZ1501</t>
  </si>
  <si>
    <t>INZ1502</t>
  </si>
  <si>
    <t>INZ1503</t>
  </si>
  <si>
    <t>INZ1504</t>
  </si>
  <si>
    <t>INZ1505</t>
  </si>
  <si>
    <t>INZ1506</t>
  </si>
  <si>
    <t>INZ1507</t>
  </si>
  <si>
    <t>INZ1508</t>
  </si>
  <si>
    <t>INZ1509</t>
  </si>
  <si>
    <t>INZ1510</t>
  </si>
  <si>
    <t>INZ1511</t>
  </si>
  <si>
    <t>INZ1512</t>
  </si>
  <si>
    <t>INZ1513</t>
  </si>
  <si>
    <t>INZ1514</t>
  </si>
  <si>
    <t>INZ1515</t>
  </si>
  <si>
    <t>INZ1516</t>
  </si>
  <si>
    <t>INZ1517</t>
  </si>
  <si>
    <t>INZ1518</t>
  </si>
  <si>
    <t>INZ1519</t>
  </si>
  <si>
    <t>INZ1520</t>
  </si>
  <si>
    <t>INZ1521</t>
  </si>
  <si>
    <t>INZ1522</t>
  </si>
  <si>
    <t>INZ1523</t>
  </si>
  <si>
    <t>INZ1524</t>
  </si>
  <si>
    <t>INZ1525</t>
  </si>
  <si>
    <t>INZ1526</t>
  </si>
  <si>
    <t>INZ1527</t>
  </si>
  <si>
    <t>INZ1528</t>
  </si>
  <si>
    <t>INZ1529</t>
  </si>
  <si>
    <t>INZ1530</t>
  </si>
  <si>
    <t>INZ1531</t>
  </si>
  <si>
    <t>INZ1532</t>
  </si>
  <si>
    <t>INZ1533</t>
  </si>
  <si>
    <t>INZ1534</t>
  </si>
  <si>
    <t>INZ1535</t>
  </si>
  <si>
    <t>INZ1536</t>
  </si>
  <si>
    <t>INZ1537</t>
  </si>
  <si>
    <t>INZ1538</t>
  </si>
  <si>
    <t>INZ1539</t>
  </si>
  <si>
    <t>INZ1540</t>
  </si>
  <si>
    <t>INZ1541</t>
  </si>
  <si>
    <t>INZ1542</t>
  </si>
  <si>
    <t>INZ1543</t>
  </si>
  <si>
    <t>INZ1544</t>
  </si>
  <si>
    <t>INZ1545</t>
  </si>
  <si>
    <t>INZ1546</t>
  </si>
  <si>
    <t>INZ1547</t>
  </si>
  <si>
    <t>INZ1548</t>
  </si>
  <si>
    <t>INZ1549</t>
  </si>
  <si>
    <t>INZ1550</t>
  </si>
  <si>
    <t>INZ1551</t>
  </si>
  <si>
    <t>INZ1552</t>
  </si>
  <si>
    <t>INZ1553</t>
  </si>
  <si>
    <t>INZ1554</t>
  </si>
  <si>
    <t>INZ1555</t>
  </si>
  <si>
    <t>INZ1556</t>
  </si>
  <si>
    <t>INZ1557</t>
  </si>
  <si>
    <t>INZ1558</t>
  </si>
  <si>
    <t>INZ1559</t>
  </si>
  <si>
    <t>INZ1560</t>
  </si>
  <si>
    <t>INZ1561</t>
  </si>
  <si>
    <t>INZ1562</t>
  </si>
  <si>
    <t>INZ1563</t>
  </si>
  <si>
    <t>INZ1564</t>
  </si>
  <si>
    <t>INZ1565</t>
  </si>
  <si>
    <t>INZ1566</t>
  </si>
  <si>
    <t>INZ1567</t>
  </si>
  <si>
    <t>INZ1568</t>
  </si>
  <si>
    <t>INZ1569</t>
  </si>
  <si>
    <t>INZ1570</t>
  </si>
  <si>
    <t>INZ1571</t>
  </si>
  <si>
    <t>INZ1572</t>
  </si>
  <si>
    <t>INZ1573</t>
  </si>
  <si>
    <t>INZ1574</t>
  </si>
  <si>
    <t>INZ1575</t>
  </si>
  <si>
    <t>INZ1576</t>
  </si>
  <si>
    <t>INZ1577</t>
  </si>
  <si>
    <t>INZ1578</t>
  </si>
  <si>
    <t>INZ1579</t>
  </si>
  <si>
    <t>INZ1580</t>
  </si>
  <si>
    <t>INZ1581</t>
  </si>
  <si>
    <t>INZ1582</t>
  </si>
  <si>
    <t>INZ1583</t>
  </si>
  <si>
    <t>INZ1584</t>
  </si>
  <si>
    <t>INZ1585</t>
  </si>
  <si>
    <t>INZ1586</t>
  </si>
  <si>
    <t>INZ1587</t>
  </si>
  <si>
    <t>INZ1588</t>
  </si>
  <si>
    <t>INZ1589</t>
  </si>
  <si>
    <t>INZ1590</t>
  </si>
  <si>
    <t>INZ1591</t>
  </si>
  <si>
    <t>INZ1592</t>
  </si>
  <si>
    <t>INZ1593</t>
  </si>
  <si>
    <t>INZ1594</t>
  </si>
  <si>
    <t>INZ1595</t>
  </si>
  <si>
    <t>INZ1596</t>
  </si>
  <si>
    <t>INZ1597</t>
  </si>
  <si>
    <t>INZ1598</t>
  </si>
  <si>
    <t>INZ1599</t>
  </si>
  <si>
    <t>INZ1600</t>
  </si>
  <si>
    <t>INZ1601</t>
  </si>
  <si>
    <t>INZ1602</t>
  </si>
  <si>
    <t>INZ1603</t>
  </si>
  <si>
    <t>INZ1604</t>
  </si>
  <si>
    <t>INZ1605</t>
  </si>
  <si>
    <t>INZ1606</t>
  </si>
  <si>
    <t>INZ1607</t>
  </si>
  <si>
    <t>INZ1608</t>
  </si>
  <si>
    <t>INZ1609</t>
  </si>
  <si>
    <t>INZ1610</t>
  </si>
  <si>
    <t>INZ1611</t>
  </si>
  <si>
    <t>INZ1612</t>
  </si>
  <si>
    <t>INZ1613</t>
  </si>
  <si>
    <t>INZ1614</t>
  </si>
  <si>
    <t>INZ1615</t>
  </si>
  <si>
    <t>INZ1616</t>
  </si>
  <si>
    <t>INZ1617</t>
  </si>
  <si>
    <t>INZ1618</t>
  </si>
  <si>
    <t>INZ1619</t>
  </si>
  <si>
    <t>INZ1620</t>
  </si>
  <si>
    <t>INZ1621</t>
  </si>
  <si>
    <t>INZ1622</t>
  </si>
  <si>
    <t>INZ1623</t>
  </si>
  <si>
    <t>INZ1624</t>
  </si>
  <si>
    <t>INZ1625</t>
  </si>
  <si>
    <t>INZ1626</t>
  </si>
  <si>
    <t>INZ1627</t>
  </si>
  <si>
    <t>INZ1628</t>
  </si>
  <si>
    <t>INZ1629</t>
  </si>
  <si>
    <t>INZ1630</t>
  </si>
  <si>
    <t>INZ1631</t>
  </si>
  <si>
    <t>INZ1632</t>
  </si>
  <si>
    <t>INZ1633</t>
  </si>
  <si>
    <t>INZ1634</t>
  </si>
  <si>
    <t>INZ1635</t>
  </si>
  <si>
    <t>INZ1636</t>
  </si>
  <si>
    <t>INZ1637</t>
  </si>
  <si>
    <t>INZ1638</t>
  </si>
  <si>
    <t>INZ1639</t>
  </si>
  <si>
    <t>INZ1640</t>
  </si>
  <si>
    <t>INZ1641</t>
  </si>
  <si>
    <t>INZ1642</t>
  </si>
  <si>
    <t>INZ1643</t>
  </si>
  <si>
    <t>INZ1644</t>
  </si>
  <si>
    <t>INZ1645</t>
  </si>
  <si>
    <t>INZ1646</t>
  </si>
  <si>
    <t>INZ1647</t>
  </si>
  <si>
    <t>INZ1648</t>
  </si>
  <si>
    <t>INZ1649</t>
  </si>
  <si>
    <t>INZ1650</t>
  </si>
  <si>
    <t>INZ1651</t>
  </si>
  <si>
    <t>INZ1652</t>
  </si>
  <si>
    <t>INZ1653</t>
  </si>
  <si>
    <t>INZ1654</t>
  </si>
  <si>
    <t>INZ1655</t>
  </si>
  <si>
    <t>INZ1656</t>
  </si>
  <si>
    <t>INZ1657</t>
  </si>
  <si>
    <t>INZ1658</t>
  </si>
  <si>
    <t>INZ1659</t>
  </si>
  <si>
    <t>INZ1660</t>
  </si>
  <si>
    <t>INZ1661</t>
  </si>
  <si>
    <t>INZ1662</t>
  </si>
  <si>
    <t>INZ1663</t>
  </si>
  <si>
    <t>INZ1664</t>
  </si>
  <si>
    <t>INZ1665</t>
  </si>
  <si>
    <t>INZ1666</t>
  </si>
  <si>
    <t>INZ1667</t>
  </si>
  <si>
    <t>INZ1668</t>
  </si>
  <si>
    <t>INZ1669</t>
  </si>
  <si>
    <t>INZ1670</t>
  </si>
  <si>
    <t>INZ1671</t>
  </si>
  <si>
    <t>INZ1672</t>
  </si>
  <si>
    <t>INZ1673</t>
  </si>
  <si>
    <t>INZ1674</t>
  </si>
  <si>
    <t>INZ1675</t>
  </si>
  <si>
    <t>INZ1676</t>
  </si>
  <si>
    <t>INZ1677</t>
  </si>
  <si>
    <t>INZ1678</t>
  </si>
  <si>
    <t>INZ1679</t>
  </si>
  <si>
    <t>INZ1680</t>
  </si>
  <si>
    <t>INZ1681</t>
  </si>
  <si>
    <t>INZ1682</t>
  </si>
  <si>
    <t>INZ1683</t>
  </si>
  <si>
    <t>INZ1684</t>
  </si>
  <si>
    <t>INZ1685</t>
  </si>
  <si>
    <t>INZ1686</t>
  </si>
  <si>
    <t>INZ1687</t>
  </si>
  <si>
    <t>INZ1688</t>
  </si>
  <si>
    <t>INZ1689</t>
  </si>
  <si>
    <t>INZ1690</t>
  </si>
  <si>
    <t>INZ1691</t>
  </si>
  <si>
    <t>INZ1692</t>
  </si>
  <si>
    <t>INZ1693</t>
  </si>
  <si>
    <t>INZ1694</t>
  </si>
  <si>
    <t>INZ1695</t>
  </si>
  <si>
    <t>INZ1696</t>
  </si>
  <si>
    <t>INZ1697</t>
  </si>
  <si>
    <t>INZ1698</t>
  </si>
  <si>
    <t>INZ1699</t>
  </si>
  <si>
    <t>INZ1700</t>
  </si>
  <si>
    <t>INZ1701</t>
  </si>
  <si>
    <t>INZ1702</t>
  </si>
  <si>
    <t>INZ1703</t>
  </si>
  <si>
    <t>INZ1704</t>
  </si>
  <si>
    <t>INZ1705</t>
  </si>
  <si>
    <t>INZ1706</t>
  </si>
  <si>
    <t>INZ1707</t>
  </si>
  <si>
    <t>INZ1708</t>
  </si>
  <si>
    <t>INZ1709</t>
  </si>
  <si>
    <t>INZ1710</t>
  </si>
  <si>
    <t>INZ1711</t>
  </si>
  <si>
    <t>INZ1712</t>
  </si>
  <si>
    <t>INZ1713</t>
  </si>
  <si>
    <t>INZ1714</t>
  </si>
  <si>
    <t>INZ1715</t>
  </si>
  <si>
    <t>INZ1716</t>
  </si>
  <si>
    <t>INZ1717</t>
  </si>
  <si>
    <t>INZ1718</t>
  </si>
  <si>
    <t>INZ1719</t>
  </si>
  <si>
    <t>INZ1720</t>
  </si>
  <si>
    <t>INZ1721</t>
  </si>
  <si>
    <t>INZ1722</t>
  </si>
  <si>
    <t>INZ1723</t>
  </si>
  <si>
    <t>INZ1724</t>
  </si>
  <si>
    <t>INZ1725</t>
  </si>
  <si>
    <t>INZ1726</t>
  </si>
  <si>
    <t>INZ1727</t>
  </si>
  <si>
    <t>INZ1728</t>
  </si>
  <si>
    <t>INZ1729</t>
  </si>
  <si>
    <t>INZ1730</t>
  </si>
  <si>
    <t>INZ1731</t>
  </si>
  <si>
    <t>INZ1732</t>
  </si>
  <si>
    <t>INZ1733</t>
  </si>
  <si>
    <t>INZ1734</t>
  </si>
  <si>
    <t>INZ1735</t>
  </si>
  <si>
    <t>INZ1736</t>
  </si>
  <si>
    <t>INZ1737</t>
  </si>
  <si>
    <t>INZ1738</t>
  </si>
  <si>
    <t>INZ1739</t>
  </si>
  <si>
    <t>INZ1740</t>
  </si>
  <si>
    <t>INZ1741</t>
  </si>
  <si>
    <t>INZ1742</t>
  </si>
  <si>
    <t>INZ1743</t>
  </si>
  <si>
    <t>INZ1744</t>
  </si>
  <si>
    <t>INZ1745</t>
  </si>
  <si>
    <t>INZ1746</t>
  </si>
  <si>
    <t>INZ1747</t>
  </si>
  <si>
    <t>INZ1748</t>
  </si>
  <si>
    <t>INZ1749</t>
  </si>
  <si>
    <t>INZ1750</t>
  </si>
  <si>
    <t>INZ1751</t>
  </si>
  <si>
    <t>INZ1752</t>
  </si>
  <si>
    <t>INZ1753</t>
  </si>
  <si>
    <t>INZ1754</t>
  </si>
  <si>
    <t>INZ1755</t>
  </si>
  <si>
    <t>INZ1756</t>
  </si>
  <si>
    <t>INZ1757</t>
  </si>
  <si>
    <t>INZ1758</t>
  </si>
  <si>
    <t>INZ1759</t>
  </si>
  <si>
    <t>INZ1760</t>
  </si>
  <si>
    <t>INZ1761</t>
  </si>
  <si>
    <t>INZ1762</t>
  </si>
  <si>
    <t>INZ1763</t>
  </si>
  <si>
    <t>INZ1764</t>
  </si>
  <si>
    <t>INZ1765</t>
  </si>
  <si>
    <t>INZ1766</t>
  </si>
  <si>
    <t>INZ1767</t>
  </si>
  <si>
    <t>INZ1768</t>
  </si>
  <si>
    <t>INZ1769</t>
  </si>
  <si>
    <t>INZ1770</t>
  </si>
  <si>
    <t>INZ1771</t>
  </si>
  <si>
    <t>INZ1772</t>
  </si>
  <si>
    <t>INZ1773</t>
  </si>
  <si>
    <t>INZ1774</t>
  </si>
  <si>
    <t>INZ1775</t>
  </si>
  <si>
    <t>INZ1776</t>
  </si>
  <si>
    <t>INZ1777</t>
  </si>
  <si>
    <t>INZ1778</t>
  </si>
  <si>
    <t>INZ1779</t>
  </si>
  <si>
    <t>INZ1780</t>
  </si>
  <si>
    <t>INZ1781</t>
  </si>
  <si>
    <t>INZ1782</t>
  </si>
  <si>
    <t>INZ1783</t>
  </si>
  <si>
    <t>INZ1784</t>
  </si>
  <si>
    <t>INZ1785</t>
  </si>
  <si>
    <t>INZ1786</t>
  </si>
  <si>
    <t>INZ1787</t>
  </si>
  <si>
    <t>INZ1788</t>
  </si>
  <si>
    <t>INZ1789</t>
  </si>
  <si>
    <t>INZ1790</t>
  </si>
  <si>
    <t>INZ1791</t>
  </si>
  <si>
    <t>INZ1792</t>
  </si>
  <si>
    <t>INZ1793</t>
  </si>
  <si>
    <t>INZ1794</t>
  </si>
  <si>
    <t>INZ1795</t>
  </si>
  <si>
    <t>INZ1796</t>
  </si>
  <si>
    <t>INZ1797</t>
  </si>
  <si>
    <t>INZ1798</t>
  </si>
  <si>
    <t>INZ1799</t>
  </si>
  <si>
    <t>INZ1800</t>
  </si>
  <si>
    <t>INZ1801</t>
  </si>
  <si>
    <t>INZ1802</t>
  </si>
  <si>
    <t>INZ1803</t>
  </si>
  <si>
    <t>INZ1804</t>
  </si>
  <si>
    <t>INZ1805</t>
  </si>
  <si>
    <t>INZ1806</t>
  </si>
  <si>
    <t>INZ1807</t>
  </si>
  <si>
    <t>INZ1808</t>
  </si>
  <si>
    <t>INZ1809</t>
  </si>
  <si>
    <t>INZ1810</t>
  </si>
  <si>
    <t>INZ1811</t>
  </si>
  <si>
    <t>INZ1812</t>
  </si>
  <si>
    <t>INZ1813</t>
  </si>
  <si>
    <t>INZ1814</t>
  </si>
  <si>
    <t>INZ1815</t>
  </si>
  <si>
    <t>INZ1816</t>
  </si>
  <si>
    <t>INZ1817</t>
  </si>
  <si>
    <t>INZ1818</t>
  </si>
  <si>
    <t>INZ1819</t>
  </si>
  <si>
    <t>INZ1820</t>
  </si>
  <si>
    <t>INZ1821</t>
  </si>
  <si>
    <t>INZ1822</t>
  </si>
  <si>
    <t>INZ1823</t>
  </si>
  <si>
    <t>INZ1824</t>
  </si>
  <si>
    <t>INZ1825</t>
  </si>
  <si>
    <t>INZ1826</t>
  </si>
  <si>
    <t>INZ1827</t>
  </si>
  <si>
    <t>INZ1828</t>
  </si>
  <si>
    <t>INZ1829</t>
  </si>
  <si>
    <t>INZ1830</t>
  </si>
  <si>
    <t>INZ1831</t>
  </si>
  <si>
    <t>INZ1832</t>
  </si>
  <si>
    <t>INZ1833</t>
  </si>
  <si>
    <t>INZ1834</t>
  </si>
  <si>
    <t>INZ1835</t>
  </si>
  <si>
    <t>INZ1836</t>
  </si>
  <si>
    <t>INZ1837</t>
  </si>
  <si>
    <t>INZ1838</t>
  </si>
  <si>
    <t>INZ1839</t>
  </si>
  <si>
    <t>INZ1840</t>
  </si>
  <si>
    <t>INZ1841</t>
  </si>
  <si>
    <t>INZ1842</t>
  </si>
  <si>
    <t>INZ1843</t>
  </si>
  <si>
    <t>INZ1844</t>
  </si>
  <si>
    <t>INZ1845</t>
  </si>
  <si>
    <t>INZ1846</t>
  </si>
  <si>
    <t>INZ1847</t>
  </si>
  <si>
    <t>INZ1848</t>
  </si>
  <si>
    <t>INZ1849</t>
  </si>
  <si>
    <t>INZ1850</t>
  </si>
  <si>
    <t>INZ1851</t>
  </si>
  <si>
    <t>INZ1852</t>
  </si>
  <si>
    <t>INZ1853</t>
  </si>
  <si>
    <t>INZ1854</t>
  </si>
  <si>
    <t>INZ1855</t>
  </si>
  <si>
    <t>INZ1856</t>
  </si>
  <si>
    <t>INZ1857</t>
  </si>
  <si>
    <t>INZ1858</t>
  </si>
  <si>
    <t>INZ1859</t>
  </si>
  <si>
    <t>INZ1860</t>
  </si>
  <si>
    <t>INZ1861</t>
  </si>
  <si>
    <t>INZ1862</t>
  </si>
  <si>
    <t>INZ1863</t>
  </si>
  <si>
    <t>INZ1864</t>
  </si>
  <si>
    <t>INZ1865</t>
  </si>
  <si>
    <t>INZ1866</t>
  </si>
  <si>
    <t>INZ1867</t>
  </si>
  <si>
    <t>INZ1868</t>
  </si>
  <si>
    <t>INZ1869</t>
  </si>
  <si>
    <t>INZ1870</t>
  </si>
  <si>
    <t>INZ1871</t>
  </si>
  <si>
    <t>INZ1872</t>
  </si>
  <si>
    <t>INZ1873</t>
  </si>
  <si>
    <t>INZ1874</t>
  </si>
  <si>
    <t>INZ1875</t>
  </si>
  <si>
    <t>INZ1876</t>
  </si>
  <si>
    <t>INZ1877</t>
  </si>
  <si>
    <t>INZ1878</t>
  </si>
  <si>
    <t>INZ1879</t>
  </si>
  <si>
    <t>INZ1880</t>
  </si>
  <si>
    <t>INZ1881</t>
  </si>
  <si>
    <t>INZ1882</t>
  </si>
  <si>
    <t>INZ1883</t>
  </si>
  <si>
    <t>INZ1884</t>
  </si>
  <si>
    <t>INZ1885</t>
  </si>
  <si>
    <t>INZ1886</t>
  </si>
  <si>
    <t>INZ1887</t>
  </si>
  <si>
    <t>INZ1888</t>
  </si>
  <si>
    <t>INZ1889</t>
  </si>
  <si>
    <t>INZ1890</t>
  </si>
  <si>
    <t>INZ1891</t>
  </si>
  <si>
    <t>INZ1892</t>
  </si>
  <si>
    <t>INZ1893</t>
  </si>
  <si>
    <t>INZ1894</t>
  </si>
  <si>
    <t>INZ1895</t>
  </si>
  <si>
    <t>INZ1896</t>
  </si>
  <si>
    <t>INZ1897</t>
  </si>
  <si>
    <t>INZ1898</t>
  </si>
  <si>
    <t>INZ1899</t>
  </si>
  <si>
    <t>INZ1900</t>
  </si>
  <si>
    <t>INZ1901</t>
  </si>
  <si>
    <t>INZ1902</t>
  </si>
  <si>
    <t>INZ1903</t>
  </si>
  <si>
    <t>INZ1904</t>
  </si>
  <si>
    <t>INZ1905</t>
  </si>
  <si>
    <t>INZ1906</t>
  </si>
  <si>
    <t>INZ1907</t>
  </si>
  <si>
    <t>INZ1908</t>
  </si>
  <si>
    <t>INZ1909</t>
  </si>
  <si>
    <t>INZ1910</t>
  </si>
  <si>
    <t>INZ1911</t>
  </si>
  <si>
    <t>INZ1912</t>
  </si>
  <si>
    <t>INZ1913</t>
  </si>
  <si>
    <t>INZ1914</t>
  </si>
  <si>
    <t>INZ1915</t>
  </si>
  <si>
    <t>INZ1916</t>
  </si>
  <si>
    <t>INZ1917</t>
  </si>
  <si>
    <t>INZ1918</t>
  </si>
  <si>
    <t>INZ1919</t>
  </si>
  <si>
    <t>INZ1920</t>
  </si>
  <si>
    <t>INZ1921</t>
  </si>
  <si>
    <t>INZ1922</t>
  </si>
  <si>
    <t>INZ1923</t>
  </si>
  <si>
    <t>INZ1924</t>
  </si>
  <si>
    <t>INZ1925</t>
  </si>
  <si>
    <t>INZ1926</t>
  </si>
  <si>
    <t>INZ1927</t>
  </si>
  <si>
    <t>INZ1928</t>
  </si>
  <si>
    <t>INZ1929</t>
  </si>
  <si>
    <t>INZ1930</t>
  </si>
  <si>
    <t>INZ1931</t>
  </si>
  <si>
    <t>INZ1932</t>
  </si>
  <si>
    <t>INZ1933</t>
  </si>
  <si>
    <t>INZ1934</t>
  </si>
  <si>
    <t>INZ1935</t>
  </si>
  <si>
    <t>INZ1936</t>
  </si>
  <si>
    <t>INZ1937</t>
  </si>
  <si>
    <t>INZ1938</t>
  </si>
  <si>
    <t>INZ1939</t>
  </si>
  <si>
    <t>INZ1940</t>
  </si>
  <si>
    <t>INZ1941</t>
  </si>
  <si>
    <t>INZ1942</t>
  </si>
  <si>
    <t>INZ1943</t>
  </si>
  <si>
    <t>INZ1944</t>
  </si>
  <si>
    <t>INZ1945</t>
  </si>
  <si>
    <t>INZ1946</t>
  </si>
  <si>
    <t>INZ1947</t>
  </si>
  <si>
    <t>INZ1948</t>
  </si>
  <si>
    <t>INZ1949</t>
  </si>
  <si>
    <t>INZ1950</t>
  </si>
  <si>
    <t>INZ1951</t>
  </si>
  <si>
    <t>INZ1952</t>
  </si>
  <si>
    <t>INZ1953</t>
  </si>
  <si>
    <t>INZ1954</t>
  </si>
  <si>
    <t>INZ1955</t>
  </si>
  <si>
    <t>INZ1956</t>
  </si>
  <si>
    <t>INZ1957</t>
  </si>
  <si>
    <t>INZ1958</t>
  </si>
  <si>
    <t>INZ1959</t>
  </si>
  <si>
    <t>INZ1960</t>
  </si>
  <si>
    <t>INZ1961</t>
  </si>
  <si>
    <t>INZ1962</t>
  </si>
  <si>
    <t>INZ1963</t>
  </si>
  <si>
    <t>INZ1964</t>
  </si>
  <si>
    <t>INZ1965</t>
  </si>
  <si>
    <t>INZ1966</t>
  </si>
  <si>
    <t>INZ1967</t>
  </si>
  <si>
    <t>INZ1968</t>
  </si>
  <si>
    <t>INZ1969</t>
  </si>
  <si>
    <t>INZ1970</t>
  </si>
  <si>
    <t>INZ1971</t>
  </si>
  <si>
    <t>INZ1972</t>
  </si>
  <si>
    <t>INZ1973</t>
  </si>
  <si>
    <t>INZ1974</t>
  </si>
  <si>
    <t>INZ1975</t>
  </si>
  <si>
    <t>INZ1976</t>
  </si>
  <si>
    <t>INZ1977</t>
  </si>
  <si>
    <t>INZ1978</t>
  </si>
  <si>
    <t>INZ1979</t>
  </si>
  <si>
    <t>INZ1980</t>
  </si>
  <si>
    <t>INZ1981</t>
  </si>
  <si>
    <t>INZ1982</t>
  </si>
  <si>
    <t>INZ1983</t>
  </si>
  <si>
    <t>INZ1984</t>
  </si>
  <si>
    <t>INZ1985</t>
  </si>
  <si>
    <t>INZ1986</t>
  </si>
  <si>
    <t>INZ1987</t>
  </si>
  <si>
    <t>INZ1988</t>
  </si>
  <si>
    <t>INZ1989</t>
  </si>
  <si>
    <t>INZ1990</t>
  </si>
  <si>
    <t>INZ1991</t>
  </si>
  <si>
    <t>INZ1992</t>
  </si>
  <si>
    <t>INZ1993</t>
  </si>
  <si>
    <t>INZ1994</t>
  </si>
  <si>
    <t>INZ1995</t>
  </si>
  <si>
    <t>INZ1996</t>
  </si>
  <si>
    <t>INZ1997</t>
  </si>
  <si>
    <t>INZ1998</t>
  </si>
  <si>
    <t>INZ1999</t>
  </si>
  <si>
    <t>INZ2000</t>
  </si>
  <si>
    <t>Sujata Mohanty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</si>
  <si>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</si>
  <si>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</si>
  <si>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</si>
  <si>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</si>
  <si>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</si>
  <si>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</si>
  <si>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</si>
  <si>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Jitender Kumar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</si>
  <si>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</si>
  <si>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</si>
  <si>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</si>
  <si>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</si>
  <si>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</si>
  <si>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</si>
  <si>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</si>
  <si>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</si>
  <si>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</si>
  <si>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</si>
  <si>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</si>
  <si>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Sourav Maity</t>
  </si>
  <si>
    <t>Abir Sarkar</t>
  </si>
  <si>
    <t>Sandeep Aswal</t>
  </si>
  <si>
    <t>Karan Kapoor</t>
  </si>
  <si>
    <t>Kishor Panara</t>
  </si>
  <si>
    <t>Ubaidillah Muhammad</t>
  </si>
  <si>
    <t>Aakanksha Srivastava</t>
  </si>
  <si>
    <t>Sudhakar Arya</t>
  </si>
  <si>
    <t>Tejpal Sain</t>
  </si>
  <si>
    <t>Shagor Ahmed</t>
  </si>
  <si>
    <t>Manpreet Kaur</t>
  </si>
  <si>
    <t>Meenav Shah</t>
  </si>
  <si>
    <t>Ajinkya Shinde</t>
  </si>
  <si>
    <t>Sanjay Chaurasia</t>
  </si>
  <si>
    <t>Vicky Singh</t>
  </si>
  <si>
    <t>Feroz Khilji</t>
  </si>
  <si>
    <t>Naeem Khan</t>
  </si>
  <si>
    <t>Ram Singh</t>
  </si>
  <si>
    <t>Rav Kumar</t>
  </si>
  <si>
    <t>Asihwarya Ambasta</t>
  </si>
  <si>
    <t>Ajay Singh</t>
  </si>
  <si>
    <t>Aftab Alam</t>
  </si>
  <si>
    <t>Raj Kumar</t>
  </si>
  <si>
    <t>Jyoti Chaudhary</t>
  </si>
  <si>
    <t>Arban Khan</t>
  </si>
  <si>
    <t>Bhoopendra Raghav</t>
  </si>
  <si>
    <t>Ekanshika Kalra</t>
  </si>
  <si>
    <t>Rakesh Singh</t>
  </si>
  <si>
    <t>Harish Tote</t>
  </si>
  <si>
    <t>Rakesh Ky</t>
  </si>
  <si>
    <t>Rajnikant Kamble</t>
  </si>
  <si>
    <t>Kanika Mathur</t>
  </si>
  <si>
    <t>Lokesh Singh Bisht</t>
  </si>
  <si>
    <t>Vikram Kumar</t>
  </si>
  <si>
    <t>Archana Kumari</t>
  </si>
  <si>
    <t>Banda Satyanarayana</t>
  </si>
  <si>
    <t>Vandan Dave</t>
  </si>
  <si>
    <t>Anil Hoge</t>
  </si>
  <si>
    <t>Paramjeet Singh</t>
  </si>
  <si>
    <t>Tarjit Malka</t>
  </si>
  <si>
    <t>Heman Gusain</t>
  </si>
  <si>
    <t>Nadeem Ahmed</t>
  </si>
  <si>
    <t>Shivam Daksh</t>
  </si>
  <si>
    <t>Prashant Pnajabi</t>
  </si>
  <si>
    <t>Narayan Lohar</t>
  </si>
  <si>
    <t>Kiran Dodke</t>
  </si>
  <si>
    <t>Dheeraj Attri</t>
  </si>
  <si>
    <t>Deeksha Agrawal</t>
  </si>
  <si>
    <t>Ayushi Patel</t>
  </si>
  <si>
    <t>Sunil Kumar</t>
  </si>
  <si>
    <t>Puran Singh</t>
  </si>
  <si>
    <t>Pavan Kumar</t>
  </si>
  <si>
    <t>Mahboob Hossain</t>
  </si>
  <si>
    <t>Anmol Singh</t>
  </si>
  <si>
    <t>Shiv Kumar</t>
  </si>
  <si>
    <t>Nokia</t>
  </si>
  <si>
    <t>Product</t>
  </si>
  <si>
    <t>Sony</t>
  </si>
  <si>
    <t>Oppo</t>
  </si>
  <si>
    <t>Vivo</t>
  </si>
  <si>
    <t>Lyf</t>
  </si>
  <si>
    <t>Lava</t>
  </si>
  <si>
    <t>samsung</t>
  </si>
  <si>
    <t>Xiomi</t>
  </si>
  <si>
    <t>Xiony</t>
  </si>
  <si>
    <t>Apple</t>
  </si>
  <si>
    <t>Lg</t>
  </si>
  <si>
    <t>Mobicel</t>
  </si>
  <si>
    <t>Micromax</t>
  </si>
  <si>
    <t>mitac</t>
  </si>
  <si>
    <t>modu</t>
  </si>
  <si>
    <t>Realme</t>
  </si>
  <si>
    <t>poco</t>
  </si>
  <si>
    <t>honor</t>
  </si>
  <si>
    <t>asus</t>
  </si>
  <si>
    <t>lenevo</t>
  </si>
  <si>
    <t>intex</t>
  </si>
  <si>
    <t>karbon</t>
  </si>
  <si>
    <t>panasonic</t>
  </si>
  <si>
    <t>alkatel</t>
  </si>
  <si>
    <t>spice</t>
  </si>
  <si>
    <t>htc</t>
  </si>
  <si>
    <t>videocon</t>
  </si>
  <si>
    <t>gionee</t>
  </si>
  <si>
    <t>zopo</t>
  </si>
  <si>
    <t>tcl</t>
  </si>
  <si>
    <t>reliance</t>
  </si>
  <si>
    <t>Region</t>
  </si>
  <si>
    <t>Jan</t>
  </si>
  <si>
    <t>Feb</t>
  </si>
  <si>
    <t>Mar</t>
  </si>
  <si>
    <t>North</t>
  </si>
  <si>
    <t>South</t>
  </si>
  <si>
    <t>East</t>
  </si>
  <si>
    <t>West</t>
  </si>
  <si>
    <t>Color</t>
  </si>
  <si>
    <t>Qty</t>
  </si>
  <si>
    <t>Green</t>
  </si>
  <si>
    <t>Red</t>
  </si>
  <si>
    <t>Blue</t>
  </si>
  <si>
    <t>Saturday</t>
  </si>
  <si>
    <t>Friday</t>
  </si>
  <si>
    <t>Thursday</t>
  </si>
  <si>
    <t>Wednesday</t>
  </si>
  <si>
    <t>Tuesday</t>
  </si>
  <si>
    <t>Monday</t>
  </si>
  <si>
    <t>Sunday</t>
  </si>
  <si>
    <t>However, if the requirement is to specifically use IFS &amp; Weekday Function then use this approach.</t>
  </si>
  <si>
    <t>For example, if we write =TEXT(D7,"dddd") then it will return Sunday</t>
  </si>
  <si>
    <t>Note: This output can be achieved easily using TEXT Function.</t>
  </si>
  <si>
    <t>Weekday name(Ex:Sunday,Monday….)</t>
  </si>
  <si>
    <t>Using IFS &amp; Weekday function</t>
  </si>
  <si>
    <t>Create a Random option from a list of values</t>
  </si>
  <si>
    <t>Solution</t>
  </si>
  <si>
    <t>What is the minimum quantity of Green shirts sold?</t>
  </si>
  <si>
    <t xml:space="preserve">Count the Sales above 4,000 up to 6,000 </t>
  </si>
  <si>
    <t>f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</si>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</sst>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/d/yy\ h:mm:ss\ AM/PM;@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20"/>
      <name val="Arial"/>
      <family val="2"/>
    </font>
    <font>
      <sz val="15"/>
      <color theme="1"/>
      <name val="Calibri"/>
      <family val="2"/>
      <scheme val="minor"/>
    </font>
    <font>
      <i/>
      <sz val="1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2" borderId="0" applyNumberFormat="0" applyFont="0" applyBorder="0" applyAlignment="0" applyProtection="0"/>
    <xf numFmtId="0" fontId="4" fillId="3" borderId="0" applyNumberFormat="0" applyFont="0" applyBorder="0" applyAlignment="0" applyProtection="0"/>
    <xf numFmtId="165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4" fillId="2" borderId="1" xfId="3" applyNumberFormat="1" applyFont="1" applyBorder="1" applyAlignment="1">
      <alignment horizontal="center"/>
    </xf>
    <xf numFmtId="0" fontId="4" fillId="2" borderId="1" xfId="3" applyNumberFormat="1" applyFont="1" applyBorder="1" applyAlignment="1">
      <alignment horizontal="left"/>
    </xf>
    <xf numFmtId="0" fontId="5" fillId="3" borderId="1" xfId="4" applyNumberFormat="1" applyFont="1" applyBorder="1" applyAlignment="1">
      <alignment horizontal="center"/>
    </xf>
    <xf numFmtId="0" fontId="4" fillId="2" borderId="2" xfId="3" applyNumberFormat="1" applyFont="1" applyBorder="1" applyAlignment="1">
      <alignment horizontal="left"/>
    </xf>
    <xf numFmtId="0" fontId="4" fillId="2" borderId="2" xfId="3" applyNumberFormat="1" applyFont="1" applyBorder="1" applyAlignment="1">
      <alignment horizontal="right"/>
    </xf>
    <xf numFmtId="0" fontId="5" fillId="3" borderId="1" xfId="4" applyNumberFormat="1" applyFont="1" applyBorder="1"/>
    <xf numFmtId="0" fontId="0" fillId="0" borderId="0" xfId="0" quotePrefix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3" xfId="0" applyBorder="1"/>
    <xf numFmtId="167" fontId="0" fillId="0" borderId="3" xfId="0" applyNumberFormat="1" applyBorder="1"/>
    <xf numFmtId="0" fontId="6" fillId="0" borderId="0" xfId="0" applyFont="1"/>
    <xf numFmtId="14" fontId="6" fillId="0" borderId="1" xfId="0" applyNumberFormat="1" applyFont="1" applyBorder="1"/>
    <xf numFmtId="0" fontId="6" fillId="6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7" borderId="4" xfId="0" applyFont="1" applyFill="1" applyBorder="1"/>
    <xf numFmtId="0" fontId="8" fillId="7" borderId="5" xfId="0" applyFont="1" applyFill="1" applyBorder="1"/>
    <xf numFmtId="0" fontId="8" fillId="7" borderId="6" xfId="0" applyFont="1" applyFill="1" applyBorder="1"/>
    <xf numFmtId="0" fontId="0" fillId="0" borderId="4" xfId="0" applyBorder="1"/>
    <xf numFmtId="0" fontId="9" fillId="0" borderId="0" xfId="0" applyFont="1" applyAlignment="1">
      <alignment horizontal="left" vertical="center"/>
    </xf>
    <xf numFmtId="14" fontId="0" fillId="0" borderId="4" xfId="0" applyNumberFormat="1" applyBorder="1"/>
    <xf numFmtId="167" fontId="0" fillId="0" borderId="7" xfId="5" applyNumberFormat="1" applyFont="1" applyBorder="1"/>
    <xf numFmtId="0" fontId="0" fillId="4" borderId="4" xfId="0" applyFill="1" applyBorder="1"/>
    <xf numFmtId="167" fontId="0" fillId="5" borderId="7" xfId="5" applyNumberFormat="1" applyFont="1" applyFill="1" applyBorder="1"/>
    <xf numFmtId="14" fontId="0" fillId="0" borderId="8" xfId="0" applyNumberFormat="1" applyBorder="1"/>
    <xf numFmtId="0" fontId="0" fillId="4" borderId="8" xfId="0" applyFill="1" applyBorder="1"/>
    <xf numFmtId="167" fontId="0" fillId="0" borderId="9" xfId="5" applyNumberFormat="1" applyFont="1" applyBorder="1"/>
    <xf numFmtId="0" fontId="2" fillId="0" borderId="0" xfId="0" applyFont="1" applyAlignment="1">
      <alignment horizontal="left" indent="1"/>
    </xf>
    <xf numFmtId="0" fontId="10" fillId="0" borderId="0" xfId="0" applyFont="1"/>
    <xf numFmtId="0" fontId="8" fillId="8" borderId="10" xfId="0" applyFont="1" applyFill="1" applyBorder="1"/>
    <xf numFmtId="0" fontId="8" fillId="8" borderId="11" xfId="0" applyFont="1" applyFill="1" applyBorder="1"/>
    <xf numFmtId="0" fontId="8" fillId="9" borderId="12" xfId="0" applyFont="1" applyFill="1" applyBorder="1"/>
    <xf numFmtId="0" fontId="8" fillId="9" borderId="13" xfId="0" applyFont="1" applyFill="1" applyBorder="1"/>
    <xf numFmtId="0" fontId="8" fillId="9" borderId="14" xfId="0" applyFont="1" applyFill="1" applyBorder="1"/>
    <xf numFmtId="0" fontId="0" fillId="0" borderId="10" xfId="0" applyBorder="1"/>
    <xf numFmtId="0" fontId="0" fillId="0" borderId="15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2" xfId="0" applyBorder="1" applyAlignment="1">
      <alignment horizontal="right"/>
    </xf>
    <xf numFmtId="166" fontId="0" fillId="0" borderId="12" xfId="0" applyNumberFormat="1" applyBorder="1"/>
    <xf numFmtId="0" fontId="0" fillId="0" borderId="16" xfId="1" applyNumberFormat="1" applyFont="1" applyBorder="1"/>
    <xf numFmtId="0" fontId="0" fillId="0" borderId="18" xfId="0" applyBorder="1" applyAlignment="1">
      <alignment horizontal="right"/>
    </xf>
    <xf numFmtId="166" fontId="0" fillId="0" borderId="18" xfId="0" applyNumberFormat="1" applyBorder="1"/>
    <xf numFmtId="0" fontId="0" fillId="0" borderId="19" xfId="1" applyNumberFormat="1" applyFont="1" applyBorder="1"/>
  </cellXfs>
  <cellStyles count="6">
    <cellStyle name="Comma" xfId="5" builtinId="3"/>
    <cellStyle name="Currency" xfId="1" builtinId="4"/>
    <cellStyle name="GreyOrWhite" xfId="3" xr:uid="{BFD2ABC1-252B-4D22-932F-B08F318B3709}"/>
    <cellStyle name="Normal" xfId="0" builtinId="0"/>
    <cellStyle name="Normal 3" xfId="2" xr:uid="{62714812-BD8F-4333-ACF4-9FE5FA1059EC}"/>
    <cellStyle name="Yellow" xfId="4" xr:uid="{C090F7D8-B864-484D-BB8C-6C6678CE7E1C}"/>
  </cellStyles>
  <dxfs count="1">
    <dxf>
      <font>
        <color theme="0"/>
      </font>
      <fill>
        <patternFill>
          <bgColor rgb="FFEE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7620</xdr:colOff>
      <xdr:row>7</xdr:row>
      <xdr:rowOff>7620</xdr:rowOff>
    </xdr:to>
    <xdr:pic>
      <xdr:nvPicPr>
        <xdr:cNvPr id="2" name="Picture 2" descr="https://mail.google.com/mail/u/0/images/cleardot.gif">
          <a:extLst>
            <a:ext uri="{FF2B5EF4-FFF2-40B4-BE49-F238E27FC236}">
              <a16:creationId xmlns:a16="http://schemas.microsoft.com/office/drawing/2014/main" id="{4CC7BC32-DEEF-4A04-9A27-ADA923E88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1524000"/>
          <a:ext cx="7620" cy="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E978-95AE-4ABE-BA4C-DFE359FFC128}">
  <dimension ref="B2:Q1006"/>
  <sheetViews>
    <sheetView showGridLines="0" workbookViewId="0">
      <selection activeCell="K25" sqref="K25"/>
    </sheetView>
  </sheetViews>
  <sheetFormatPr defaultRowHeight="14.4" x14ac:dyDescent="0.3"/>
  <cols>
    <col min="1" max="1" width="1.6640625" customWidth="1"/>
    <col min="2" max="2" width="9.109375" customWidth="1"/>
    <col min="3" max="3" width="17.33203125" customWidth="1"/>
    <col min="4" max="4" width="6.6640625" customWidth="1"/>
    <col min="5" max="5" width="10.33203125" bestFit="1" customWidth="1"/>
    <col min="6" max="6" width="20" bestFit="1" customWidth="1"/>
    <col min="7" max="7" width="18.109375" bestFit="1" customWidth="1"/>
    <col min="8" max="8" width="14.5546875" bestFit="1" customWidth="1"/>
    <col min="9" max="9" width="11.5546875" bestFit="1" customWidth="1"/>
    <col min="10" max="10" width="10.88671875" bestFit="1" customWidth="1"/>
  </cols>
  <sheetData>
    <row r="2" spans="2:17" x14ac:dyDescent="0.3">
      <c r="B2" s="1" t="s">
        <v>0</v>
      </c>
    </row>
    <row r="3" spans="2:17" x14ac:dyDescent="0.3">
      <c r="B3" s="2" t="s">
        <v>1</v>
      </c>
    </row>
    <row r="4" spans="2:17" x14ac:dyDescent="0.3">
      <c r="B4" s="2" t="s">
        <v>2</v>
      </c>
    </row>
    <row r="6" spans="2:17" x14ac:dyDescent="0.3">
      <c r="B6" s="33" t="s">
        <v>3</v>
      </c>
      <c r="C6" s="34" t="s">
        <v>4</v>
      </c>
      <c r="E6" s="35" t="s">
        <v>5</v>
      </c>
      <c r="F6" s="36" t="s">
        <v>6</v>
      </c>
      <c r="G6" s="36" t="s">
        <v>4</v>
      </c>
      <c r="H6" s="36" t="s">
        <v>1084</v>
      </c>
      <c r="I6" s="37" t="s">
        <v>7</v>
      </c>
    </row>
    <row r="7" spans="2:17" x14ac:dyDescent="0.3">
      <c r="B7" s="38">
        <v>1</v>
      </c>
      <c r="C7" s="39" t="str">
        <f t="array" ref="C7">INDEX($G$7:$G$1006,MATCH(MIN(IF(B7=MONTH($F$7:$F$1006),$F$7:$F$1006,"")),$F$7:$F$1006,0))</f>
        <v>Arjun Shaw</v>
      </c>
      <c r="E7" s="43" t="s">
        <v>8</v>
      </c>
      <c r="F7" s="44">
        <v>42106.874930555554</v>
      </c>
      <c r="G7" s="40" t="s">
        <v>1008</v>
      </c>
      <c r="H7" s="40" t="s">
        <v>1083</v>
      </c>
      <c r="I7" s="45">
        <v>71147</v>
      </c>
      <c r="K7" t="str" cm="1">
        <f t="array" ref="K7">VLOOKUP(SMALL(IF(MONTH($F$7:$F$1006)=B7,$F$7:$F$1006),1),$F$7:$G$1006,2,0)</f>
        <v>Arjun Shaw</v>
      </c>
      <c r="N7" t="str" cm="1">
        <f t="array" ref="N7">VLOOKUP(MIN(IF(MONTH($F$7:$F$1006)=B7, $F$7:$F$1006)), $F$7:$G$1006,2,0)</f>
        <v>Arjun Shaw</v>
      </c>
      <c r="Q7" t="str" cm="1">
        <f t="array" ref="Q7">VLOOKUP(MIN(IF(MONTH($F$7:$F$1006)=B7,$F$7:$F$1006,"")),$F$7:$I$1006,2,0)</f>
        <v>Arjun Shaw</v>
      </c>
    </row>
    <row r="8" spans="2:17" x14ac:dyDescent="0.3">
      <c r="B8" s="38">
        <v>2</v>
      </c>
      <c r="C8" s="39" t="str">
        <f t="array" ref="C8">INDEX($G$7:$G$1006,MATCH(MIN(IF(B8=MONTH($F$7:$F$1006),$F$7:$F$1006,"")),$F$7:$F$1006,0))</f>
        <v>Vini Saini</v>
      </c>
      <c r="E8" s="43" t="s">
        <v>9</v>
      </c>
      <c r="F8" s="44">
        <v>42108.824687499997</v>
      </c>
      <c r="G8" s="40" t="s">
        <v>1009</v>
      </c>
      <c r="H8" s="40" t="s">
        <v>1085</v>
      </c>
      <c r="I8" s="45">
        <v>99300</v>
      </c>
      <c r="K8" t="str" cm="1">
        <f t="array" ref="K8">VLOOKUP(SMALL(IF(MONTH($F$7:$F$1006)=B8,$F$7:$F$1006),1),$F$7:$G$1006,2,0)</f>
        <v>Vini Saini</v>
      </c>
      <c r="N8" t="str" cm="1">
        <f t="array" ref="N8">VLOOKUP(MIN(IF(MONTH($F$7:$F$1006)=B8, $F$7:$F$1006)), $F$7:$G$1006,2,0)</f>
        <v>Vini Saini</v>
      </c>
      <c r="Q8" t="str" cm="1">
        <f t="array" ref="Q8">VLOOKUP(MIN(IF(MONTH($F$7:$F$1006)=B8,$F$7:$F$1006,"")),$F$7:$I$1006,2,0)</f>
        <v>Vini Saini</v>
      </c>
    </row>
    <row r="9" spans="2:17" x14ac:dyDescent="0.3">
      <c r="B9" s="38">
        <v>3</v>
      </c>
      <c r="C9" s="39" t="str">
        <f t="array" ref="C9">INDEX($G$7:$G$1006,MATCH(MIN(IF(B9=MONTH($F$7:$F$1006),$F$7:$F$1006,"")),$F$7:$F$1006,0))</f>
        <v>Anil Hoge</v>
      </c>
      <c r="E9" s="43" t="s">
        <v>10</v>
      </c>
      <c r="F9" s="44">
        <v>42347.5934837963</v>
      </c>
      <c r="G9" s="40" t="s">
        <v>1010</v>
      </c>
      <c r="H9" s="40" t="s">
        <v>1083</v>
      </c>
      <c r="I9" s="45">
        <v>87844</v>
      </c>
      <c r="K9" t="str" cm="1">
        <f t="array" ref="K9">VLOOKUP(SMALL(IF(MONTH($F$7:$F$1006)=B9,$F$7:$F$1006),1),$F$7:$G$1006,2,0)</f>
        <v>Anil Hoge</v>
      </c>
      <c r="N9" t="str" cm="1">
        <f t="array" ref="N9">VLOOKUP(MIN(IF(MONTH($F$7:$F$1006)=B9, $F$7:$F$1006)), $F$7:$G$1006,2,0)</f>
        <v>Anil Hoge</v>
      </c>
      <c r="Q9" t="str" cm="1">
        <f t="array" ref="Q9">VLOOKUP(MIN(IF(MONTH($F$7:$F$1006)=B9,$F$7:$F$1006,"")),$F$7:$I$1006,2,0)</f>
        <v>Anil Hoge</v>
      </c>
    </row>
    <row r="10" spans="2:17" x14ac:dyDescent="0.3">
      <c r="B10" s="38">
        <v>4</v>
      </c>
      <c r="C10" s="39" t="str">
        <f t="array" ref="C10">INDEX($G$7:$G$1006,MATCH(MIN(IF(B10=MONTH($F$7:$F$1006),$F$7:$F$1006,"")),$F$7:$F$1006,0))</f>
        <v>Anand Singh Rajput</v>
      </c>
      <c r="E10" s="43" t="s">
        <v>11</v>
      </c>
      <c r="F10" s="44">
        <v>42160.577407407407</v>
      </c>
      <c r="G10" s="40" t="s">
        <v>1011</v>
      </c>
      <c r="H10" s="40" t="s">
        <v>1086</v>
      </c>
      <c r="I10" s="45">
        <v>70049</v>
      </c>
      <c r="K10" t="str" cm="1">
        <f t="array" ref="K10">VLOOKUP(SMALL(IF(MONTH($F$7:$F$1006)=B10,$F$7:$F$1006),1),$F$7:$G$1006,2,0)</f>
        <v>Anand Singh Rajput</v>
      </c>
      <c r="N10" t="str" cm="1">
        <f t="array" ref="N10">VLOOKUP(MIN(IF(MONTH($F$7:$F$1006)=B10, $F$7:$F$1006)), $F$7:$G$1006,2,0)</f>
        <v>Anand Singh Rajput</v>
      </c>
      <c r="Q10" t="str" cm="1">
        <f t="array" ref="Q10">VLOOKUP(MIN(IF(MONTH($F$7:$F$1006)=B10,$F$7:$F$1006,"")),$F$7:$I$1006,2,0)</f>
        <v>Anand Singh Rajput</v>
      </c>
    </row>
    <row r="11" spans="2:17" x14ac:dyDescent="0.3">
      <c r="B11" s="38">
        <v>5</v>
      </c>
      <c r="C11" s="39" t="str">
        <f t="array" ref="C11">INDEX($G$7:$G$1006,MATCH(MIN(IF(B11=MONTH($F$7:$F$1006),$F$7:$F$1006,"")),$F$7:$F$1006,0))</f>
        <v>Suraj Rajput</v>
      </c>
      <c r="E11" s="43" t="s">
        <v>12</v>
      </c>
      <c r="F11" s="44">
        <v>42133.455185185187</v>
      </c>
      <c r="G11" s="40" t="s">
        <v>1012</v>
      </c>
      <c r="H11" s="40" t="s">
        <v>1087</v>
      </c>
      <c r="I11" s="45">
        <v>22485</v>
      </c>
      <c r="K11" t="str" cm="1">
        <f t="array" ref="K11">VLOOKUP(SMALL(IF(MONTH($F$7:$F$1006)=B11,$F$7:$F$1006),1),$F$7:$G$1006,2,0)</f>
        <v>Suraj Rajput</v>
      </c>
      <c r="N11" t="str" cm="1">
        <f t="array" ref="N11">VLOOKUP(MIN(IF(MONTH($F$7:$F$1006)=B11, $F$7:$F$1006)), $F$7:$G$1006,2,0)</f>
        <v>Suraj Rajput</v>
      </c>
      <c r="Q11" t="str" cm="1">
        <f t="array" ref="Q11">VLOOKUP(MIN(IF(MONTH($F$7:$F$1006)=B11,$F$7:$F$1006,"")),$F$7:$I$1006,2,0)</f>
        <v>Suraj Rajput</v>
      </c>
    </row>
    <row r="12" spans="2:17" x14ac:dyDescent="0.3">
      <c r="B12" s="38">
        <v>6</v>
      </c>
      <c r="C12" s="39" t="str">
        <f t="array" ref="C12">INDEX($G$7:$G$1006,MATCH(MIN(IF(B12=MONTH($F$7:$F$1006),$F$7:$F$1006,"")),$F$7:$F$1006,0))</f>
        <v>Dharmendar Rana</v>
      </c>
      <c r="E12" s="43" t="s">
        <v>13</v>
      </c>
      <c r="F12" s="44">
        <v>42351.509027777778</v>
      </c>
      <c r="G12" s="40" t="s">
        <v>1013</v>
      </c>
      <c r="H12" s="40" t="s">
        <v>1088</v>
      </c>
      <c r="I12" s="45">
        <v>17493</v>
      </c>
      <c r="K12" t="str" cm="1">
        <f t="array" ref="K12">VLOOKUP(SMALL(IF(MONTH($F$7:$F$1006)=B12,$F$7:$F$1006),1),$F$7:$G$1006,2,0)</f>
        <v>Dharmendar Rana</v>
      </c>
      <c r="N12" t="str" cm="1">
        <f t="array" ref="N12">VLOOKUP(MIN(IF(MONTH($F$7:$F$1006)=B12, $F$7:$F$1006)), $F$7:$G$1006,2,0)</f>
        <v>Dharmendar Rana</v>
      </c>
      <c r="Q12" t="str" cm="1">
        <f t="array" ref="Q12">VLOOKUP(MIN(IF(MONTH($F$7:$F$1006)=B12,$F$7:$F$1006,"")),$F$7:$I$1006,2,0)</f>
        <v>Dharmendar Rana</v>
      </c>
    </row>
    <row r="13" spans="2:17" x14ac:dyDescent="0.3">
      <c r="B13" s="38">
        <v>7</v>
      </c>
      <c r="C13" s="39" t="str">
        <f t="array" ref="C13">INDEX($G$7:$G$1006,MATCH(MIN(IF(B13=MONTH($F$7:$F$1006),$F$7:$F$1006,"")),$F$7:$F$1006,0))</f>
        <v>Virender Sroha</v>
      </c>
      <c r="E13" s="43" t="s">
        <v>14</v>
      </c>
      <c r="F13" s="44">
        <v>42055.244212962964</v>
      </c>
      <c r="G13" s="40" t="s">
        <v>1014</v>
      </c>
      <c r="H13" s="40" t="s">
        <v>1089</v>
      </c>
      <c r="I13" s="45">
        <v>17896</v>
      </c>
      <c r="K13" t="str" cm="1">
        <f t="array" ref="K13">VLOOKUP(SMALL(IF(MONTH($F$7:$F$1006)=B13,$F$7:$F$1006),1),$F$7:$G$1006,2,0)</f>
        <v>Virender Sroha</v>
      </c>
      <c r="N13" t="str" cm="1">
        <f t="array" ref="N13">VLOOKUP(MIN(IF(MONTH($F$7:$F$1006)=B13, $F$7:$F$1006)), $F$7:$G$1006,2,0)</f>
        <v>Virender Sroha</v>
      </c>
      <c r="Q13" t="str" cm="1">
        <f t="array" ref="Q13">VLOOKUP(MIN(IF(MONTH($F$7:$F$1006)=B13,$F$7:$F$1006,"")),$F$7:$I$1006,2,0)</f>
        <v>Virender Sroha</v>
      </c>
    </row>
    <row r="14" spans="2:17" x14ac:dyDescent="0.3">
      <c r="B14" s="38">
        <v>8</v>
      </c>
      <c r="C14" s="39" t="str">
        <f t="array" ref="C14">INDEX($G$7:$G$1006,MATCH(MIN(IF(B14=MONTH($F$7:$F$1006),$F$7:$F$1006,"")),$F$7:$F$1006,0))</f>
        <v>Paramjeet Singh</v>
      </c>
      <c r="E14" s="43" t="s">
        <v>15</v>
      </c>
      <c r="F14" s="44">
        <v>42263.847581018519</v>
      </c>
      <c r="G14" s="40" t="s">
        <v>1015</v>
      </c>
      <c r="H14" s="40" t="s">
        <v>1090</v>
      </c>
      <c r="I14" s="45">
        <v>88315</v>
      </c>
      <c r="K14" t="str" cm="1">
        <f t="array" ref="K14">VLOOKUP(SMALL(IF(MONTH($F$7:$F$1006)=B14,$F$7:$F$1006),1),$F$7:$G$1006,2,0)</f>
        <v>Paramjeet Singh</v>
      </c>
      <c r="N14" t="str" cm="1">
        <f t="array" ref="N14">VLOOKUP(MIN(IF(MONTH($F$7:$F$1006)=B14, $F$7:$F$1006)), $F$7:$G$1006,2,0)</f>
        <v>Paramjeet Singh</v>
      </c>
      <c r="Q14" t="str" cm="1">
        <f t="array" ref="Q14">VLOOKUP(MIN(IF(MONTH($F$7:$F$1006)=B14,$F$7:$F$1006,"")),$F$7:$I$1006,2,0)</f>
        <v>Paramjeet Singh</v>
      </c>
    </row>
    <row r="15" spans="2:17" x14ac:dyDescent="0.3">
      <c r="B15" s="38">
        <v>9</v>
      </c>
      <c r="C15" s="39" t="str">
        <f t="array" ref="C15">INDEX($G$7:$G$1006,MATCH(MIN(IF(B15=MONTH($F$7:$F$1006),$F$7:$F$1006,"")),$F$7:$F$1006,0))</f>
        <v>Krutika Shelar</v>
      </c>
      <c r="E15" s="43" t="s">
        <v>16</v>
      </c>
      <c r="F15" s="44">
        <v>42089.456412037034</v>
      </c>
      <c r="G15" s="40" t="s">
        <v>1016</v>
      </c>
      <c r="H15" s="40" t="s">
        <v>1091</v>
      </c>
      <c r="I15" s="45">
        <v>44835</v>
      </c>
      <c r="K15" t="str" cm="1">
        <f t="array" ref="K15">VLOOKUP(SMALL(IF(MONTH($F$7:$F$1006)=B15,$F$7:$F$1006),1),$F$7:$G$1006,2,0)</f>
        <v>Krutika Shelar</v>
      </c>
      <c r="N15" t="str" cm="1">
        <f t="array" ref="N15">VLOOKUP(MIN(IF(MONTH($F$7:$F$1006)=B15, $F$7:$F$1006)), $F$7:$G$1006,2,0)</f>
        <v>Krutika Shelar</v>
      </c>
      <c r="Q15" t="str" cm="1">
        <f t="array" ref="Q15">VLOOKUP(MIN(IF(MONTH($F$7:$F$1006)=B15,$F$7:$F$1006,"")),$F$7:$I$1006,2,0)</f>
        <v>Krutika Shelar</v>
      </c>
    </row>
    <row r="16" spans="2:17" x14ac:dyDescent="0.3">
      <c r="B16" s="38">
        <v>10</v>
      </c>
      <c r="C16" s="39" t="str">
        <f t="array" ref="C16">INDEX($G$7:$G$1006,MATCH(MIN(IF(B16=MONTH($F$7:$F$1006),$F$7:$F$1006,"")),$F$7:$F$1006,0))</f>
        <v>Adnan Soukat</v>
      </c>
      <c r="E16" s="43" t="s">
        <v>17</v>
      </c>
      <c r="F16" s="44">
        <v>42209.582604166666</v>
      </c>
      <c r="G16" s="40" t="s">
        <v>1017</v>
      </c>
      <c r="H16" s="40" t="s">
        <v>1092</v>
      </c>
      <c r="I16" s="45">
        <v>1736</v>
      </c>
      <c r="K16" t="str" cm="1">
        <f t="array" ref="K16">VLOOKUP(SMALL(IF(MONTH($F$7:$F$1006)=B16,$F$7:$F$1006),1),$F$7:$G$1006,2,0)</f>
        <v>Adnan Soukat</v>
      </c>
      <c r="N16" t="str" cm="1">
        <f t="array" ref="N16">VLOOKUP(MIN(IF(MONTH($F$7:$F$1006)=B16, $F$7:$F$1006)), $F$7:$G$1006,2,0)</f>
        <v>Adnan Soukat</v>
      </c>
      <c r="Q16" t="str" cm="1">
        <f t="array" ref="Q16">VLOOKUP(MIN(IF(MONTH($F$7:$F$1006)=B16,$F$7:$F$1006,"")),$F$7:$I$1006,2,0)</f>
        <v>Adnan Soukat</v>
      </c>
    </row>
    <row r="17" spans="2:17" x14ac:dyDescent="0.3">
      <c r="B17" s="38">
        <v>11</v>
      </c>
      <c r="C17" s="39" t="str">
        <f t="array" ref="C17">INDEX($G$7:$G$1006,MATCH(MIN(IF(B17=MONTH($F$7:$F$1006),$F$7:$F$1006,"")),$F$7:$F$1006,0))</f>
        <v>Jitender Kumar</v>
      </c>
      <c r="E17" s="43" t="s">
        <v>18</v>
      </c>
      <c r="F17" s="44">
        <v>42288.243854166663</v>
      </c>
      <c r="G17" s="40" t="s">
        <v>1018</v>
      </c>
      <c r="H17" s="40" t="s">
        <v>1093</v>
      </c>
      <c r="I17" s="45">
        <v>21012</v>
      </c>
      <c r="K17" t="str" cm="1">
        <f t="array" ref="K17">VLOOKUP(SMALL(IF(MONTH($F$7:$F$1006)=B17,$F$7:$F$1006),1),$F$7:$G$1006,2,0)</f>
        <v>Jitender Kumar</v>
      </c>
      <c r="N17" t="str" cm="1">
        <f t="array" ref="N17">VLOOKUP(MIN(IF(MONTH($F$7:$F$1006)=B17, $F$7:$F$1006)), $F$7:$G$1006,2,0)</f>
        <v>Jitender Kumar</v>
      </c>
      <c r="Q17" t="str" cm="1">
        <f t="array" ref="Q17">VLOOKUP(MIN(IF(MONTH($F$7:$F$1006)=B17,$F$7:$F$1006,"")),$F$7:$I$1006,2,0)</f>
        <v>Jitender Kumar</v>
      </c>
    </row>
    <row r="18" spans="2:17" x14ac:dyDescent="0.3">
      <c r="B18" s="41">
        <v>12</v>
      </c>
      <c r="C18" s="39" t="str">
        <f t="array" ref="C18">INDEX($G$7:$G$1006,MATCH(MIN(IF(B18=MONTH($F$7:$F$1006),$F$7:$F$1006,"")),$F$7:$F$1006,0))</f>
        <v>Sheetal Nishad</v>
      </c>
      <c r="E18" s="43" t="s">
        <v>19</v>
      </c>
      <c r="F18" s="44">
        <v>42038.002847222226</v>
      </c>
      <c r="G18" s="40" t="s">
        <v>1019</v>
      </c>
      <c r="H18" s="40" t="s">
        <v>1094</v>
      </c>
      <c r="I18" s="45">
        <v>7929</v>
      </c>
      <c r="K18" t="str" cm="1">
        <f t="array" ref="K18">VLOOKUP(SMALL(IF(MONTH($F$7:$F$1006)=B18,$F$7:$F$1006),1),$F$7:$G$1006,2,0)</f>
        <v>Sheetal Nishad</v>
      </c>
      <c r="N18" t="str" cm="1">
        <f t="array" ref="N18">VLOOKUP(MIN(IF(MONTH($F$7:$F$1006)=B18, $F$7:$F$1006)), $F$7:$G$1006,2,0)</f>
        <v>Sheetal Nishad</v>
      </c>
      <c r="Q18" t="str" cm="1">
        <f t="array" ref="Q18">VLOOKUP(MIN(IF(MONTH($F$7:$F$1006)=B18,$F$7:$F$1006,"")),$F$7:$I$1006,2,0)</f>
        <v>Sheetal Nishad</v>
      </c>
    </row>
    <row r="19" spans="2:17" x14ac:dyDescent="0.3">
      <c r="E19" s="43" t="s">
        <v>20</v>
      </c>
      <c r="F19" s="44">
        <v>42134.24962962963</v>
      </c>
      <c r="G19" s="40" t="s">
        <v>1020</v>
      </c>
      <c r="H19" s="40" t="s">
        <v>1095</v>
      </c>
      <c r="I19" s="45">
        <v>15121</v>
      </c>
    </row>
    <row r="20" spans="2:17" x14ac:dyDescent="0.3">
      <c r="C20" t="str" cm="1">
        <f t="array" ref="C20">_xlfn.CHOOSEROWS(_xlfn.CHOOSECOLS(_xlfn._xlws.SORT(_xlfn._xlws.FILTER($F$7:$G$1006,MONTH($F$7:$F$1006)=B7),1,1),2),1)</f>
        <v>Arjun Shaw</v>
      </c>
      <c r="E20" s="43" t="s">
        <v>21</v>
      </c>
      <c r="F20" s="44">
        <v>42300.721655092595</v>
      </c>
      <c r="G20" s="40" t="s">
        <v>1021</v>
      </c>
      <c r="H20" s="40" t="s">
        <v>1096</v>
      </c>
      <c r="I20" s="45">
        <v>99390</v>
      </c>
    </row>
    <row r="21" spans="2:17" x14ac:dyDescent="0.3">
      <c r="C21" t="str" cm="1">
        <f t="array" ref="C21">_xlfn.CHOOSEROWS(_xlfn.CHOOSECOLS(_xlfn._xlws.SORT(_xlfn._xlws.FILTER($F$7:$G$1006,MONTH($F$7:$F$1006)=B8),1,1),2),1)</f>
        <v>Vini Saini</v>
      </c>
      <c r="E21" s="43" t="s">
        <v>22</v>
      </c>
      <c r="F21" s="44">
        <v>42227.90116898148</v>
      </c>
      <c r="G21" s="40" t="s">
        <v>1022</v>
      </c>
      <c r="H21" s="40" t="s">
        <v>1097</v>
      </c>
      <c r="I21" s="45">
        <v>83310</v>
      </c>
    </row>
    <row r="22" spans="2:17" x14ac:dyDescent="0.3">
      <c r="C22" t="str" cm="1">
        <f t="array" ref="C22">_xlfn.CHOOSEROWS(_xlfn.CHOOSECOLS(_xlfn._xlws.SORT(_xlfn._xlws.FILTER($F$7:$G$1006,MONTH($F$7:$F$1006)=B9),1,1),2),1)</f>
        <v>Anil Hoge</v>
      </c>
      <c r="E22" s="43" t="s">
        <v>23</v>
      </c>
      <c r="F22" s="44">
        <v>42021.871064814812</v>
      </c>
      <c r="G22" s="40" t="s">
        <v>1023</v>
      </c>
      <c r="H22" s="40" t="s">
        <v>1098</v>
      </c>
      <c r="I22" s="45">
        <v>88437</v>
      </c>
    </row>
    <row r="23" spans="2:17" x14ac:dyDescent="0.3">
      <c r="C23" t="str" cm="1">
        <f t="array" ref="C23">_xlfn.CHOOSEROWS(_xlfn.CHOOSECOLS(_xlfn._xlws.SORT(_xlfn._xlws.FILTER($F$7:$G$1006,MONTH($F$7:$F$1006)=B10),1,1),2),1)</f>
        <v>Anand Singh Rajput</v>
      </c>
      <c r="E23" s="43" t="s">
        <v>24</v>
      </c>
      <c r="F23" s="44">
        <v>42242.175740740742</v>
      </c>
      <c r="G23" s="40" t="s">
        <v>1024</v>
      </c>
      <c r="H23" s="40" t="s">
        <v>1099</v>
      </c>
      <c r="I23" s="45">
        <v>38585</v>
      </c>
    </row>
    <row r="24" spans="2:17" x14ac:dyDescent="0.3">
      <c r="C24" t="str" cm="1">
        <f t="array" ref="C24">_xlfn.CHOOSEROWS(_xlfn.CHOOSECOLS(_xlfn._xlws.SORT(_xlfn._xlws.FILTER($F$7:$G$1006,MONTH($F$7:$F$1006)=B11),1,1),2),1)</f>
        <v>Suraj Rajput</v>
      </c>
      <c r="E24" s="43" t="s">
        <v>25</v>
      </c>
      <c r="F24" s="44">
        <v>42095.735335648147</v>
      </c>
      <c r="G24" s="40" t="s">
        <v>1025</v>
      </c>
      <c r="H24" s="40" t="s">
        <v>1100</v>
      </c>
      <c r="I24" s="45">
        <v>91115</v>
      </c>
    </row>
    <row r="25" spans="2:17" x14ac:dyDescent="0.3">
      <c r="C25" t="str" cm="1">
        <f t="array" ref="C25">_xlfn.CHOOSEROWS(_xlfn.CHOOSECOLS(_xlfn._xlws.SORT(_xlfn._xlws.FILTER($F$7:$G$1006,MONTH($F$7:$F$1006)=B12),1,1),2),1)</f>
        <v>Dharmendar Rana</v>
      </c>
      <c r="E25" s="43" t="s">
        <v>26</v>
      </c>
      <c r="F25" s="44">
        <v>42310.556956018518</v>
      </c>
      <c r="G25" s="40" t="s">
        <v>1026</v>
      </c>
      <c r="H25" s="40" t="s">
        <v>1101</v>
      </c>
      <c r="I25" s="45">
        <v>47971</v>
      </c>
    </row>
    <row r="26" spans="2:17" x14ac:dyDescent="0.3">
      <c r="C26" t="str" cm="1">
        <f t="array" ref="C26">_xlfn.CHOOSEROWS(_xlfn.CHOOSECOLS(_xlfn._xlws.SORT(_xlfn._xlws.FILTER($F$7:$G$1006,MONTH($F$7:$F$1006)=B13),1,1),2),1)</f>
        <v>Virender Sroha</v>
      </c>
      <c r="E26" s="43" t="s">
        <v>27</v>
      </c>
      <c r="F26" s="44">
        <v>42222.7</v>
      </c>
      <c r="G26" s="40" t="s">
        <v>1027</v>
      </c>
      <c r="H26" s="40" t="s">
        <v>1102</v>
      </c>
      <c r="I26" s="45">
        <v>33757</v>
      </c>
    </row>
    <row r="27" spans="2:17" x14ac:dyDescent="0.3">
      <c r="C27" t="str" cm="1">
        <f t="array" ref="C27">_xlfn.CHOOSEROWS(_xlfn.CHOOSECOLS(_xlfn._xlws.SORT(_xlfn._xlws.FILTER($F$7:$G$1006,MONTH($F$7:$F$1006)=B14),1,1),2),1)</f>
        <v>Paramjeet Singh</v>
      </c>
      <c r="E27" s="43" t="s">
        <v>28</v>
      </c>
      <c r="F27" s="44">
        <v>42292.315138888887</v>
      </c>
      <c r="G27" s="40" t="s">
        <v>1008</v>
      </c>
      <c r="H27" s="40" t="s">
        <v>1103</v>
      </c>
      <c r="I27" s="45">
        <v>29032</v>
      </c>
    </row>
    <row r="28" spans="2:17" x14ac:dyDescent="0.3">
      <c r="C28" t="str" cm="1">
        <f t="array" ref="C28">_xlfn.CHOOSEROWS(_xlfn.CHOOSECOLS(_xlfn._xlws.SORT(_xlfn._xlws.FILTER($F$7:$G$1006,MONTH($F$7:$F$1006)=B15),1,1),2),1)</f>
        <v>Krutika Shelar</v>
      </c>
      <c r="E28" s="43" t="s">
        <v>29</v>
      </c>
      <c r="F28" s="44">
        <v>42146.056863425925</v>
      </c>
      <c r="G28" s="40" t="s">
        <v>1009</v>
      </c>
      <c r="H28" s="40" t="s">
        <v>1104</v>
      </c>
      <c r="I28" s="45">
        <v>80764</v>
      </c>
    </row>
    <row r="29" spans="2:17" x14ac:dyDescent="0.3">
      <c r="C29" t="str" cm="1">
        <f t="array" ref="C29">_xlfn.CHOOSEROWS(_xlfn.CHOOSECOLS(_xlfn._xlws.SORT(_xlfn._xlws.FILTER($F$7:$G$1006,MONTH($F$7:$F$1006)=B16),1,1),2),1)</f>
        <v>Adnan Soukat</v>
      </c>
      <c r="E29" s="43" t="s">
        <v>30</v>
      </c>
      <c r="F29" s="44">
        <v>42095.735335648147</v>
      </c>
      <c r="G29" s="40" t="s">
        <v>1010</v>
      </c>
      <c r="H29" s="40" t="s">
        <v>1105</v>
      </c>
      <c r="I29" s="45">
        <v>48249</v>
      </c>
    </row>
    <row r="30" spans="2:17" x14ac:dyDescent="0.3">
      <c r="C30" t="str" cm="1">
        <f t="array" ref="C30">_xlfn.CHOOSEROWS(_xlfn.CHOOSECOLS(_xlfn._xlws.SORT(_xlfn._xlws.FILTER($F$7:$G$1006,MONTH($F$7:$F$1006)=B17),1,1),2),1)</f>
        <v>Jitender Kumar</v>
      </c>
      <c r="E30" s="43" t="s">
        <v>31</v>
      </c>
      <c r="F30" s="44">
        <v>42082.030231481483</v>
      </c>
      <c r="G30" s="40" t="s">
        <v>1011</v>
      </c>
      <c r="H30" s="40" t="s">
        <v>1106</v>
      </c>
      <c r="I30" s="45">
        <v>12801</v>
      </c>
    </row>
    <row r="31" spans="2:17" x14ac:dyDescent="0.3">
      <c r="C31" t="str" cm="1">
        <f t="array" ref="C31">_xlfn.CHOOSEROWS(_xlfn.CHOOSECOLS(_xlfn._xlws.SORT(_xlfn._xlws.FILTER($F$7:$G$1006,MONTH($F$7:$F$1006)=B18),1,1),2),1)</f>
        <v>Sheetal Nishad</v>
      </c>
      <c r="E31" s="43" t="s">
        <v>32</v>
      </c>
      <c r="F31" s="44">
        <v>42074.135046296295</v>
      </c>
      <c r="G31" s="40" t="s">
        <v>1012</v>
      </c>
      <c r="H31" s="40" t="s">
        <v>1107</v>
      </c>
      <c r="I31" s="45">
        <v>33523</v>
      </c>
    </row>
    <row r="32" spans="2:17" x14ac:dyDescent="0.3">
      <c r="E32" s="43" t="s">
        <v>33</v>
      </c>
      <c r="F32" s="44">
        <v>42127.935023148151</v>
      </c>
      <c r="G32" s="40" t="s">
        <v>1013</v>
      </c>
      <c r="H32" s="40" t="s">
        <v>1108</v>
      </c>
      <c r="I32" s="45">
        <v>10986</v>
      </c>
    </row>
    <row r="33" spans="5:9" x14ac:dyDescent="0.3">
      <c r="E33" s="43" t="s">
        <v>34</v>
      </c>
      <c r="F33" s="44">
        <v>42247.669039351851</v>
      </c>
      <c r="G33" s="40" t="s">
        <v>1014</v>
      </c>
      <c r="H33" s="40" t="s">
        <v>1109</v>
      </c>
      <c r="I33" s="45">
        <v>8504</v>
      </c>
    </row>
    <row r="34" spans="5:9" x14ac:dyDescent="0.3">
      <c r="E34" s="43" t="s">
        <v>35</v>
      </c>
      <c r="F34" s="44">
        <v>42209.15148148148</v>
      </c>
      <c r="G34" s="40" t="s">
        <v>1015</v>
      </c>
      <c r="H34" s="40" t="s">
        <v>1110</v>
      </c>
      <c r="I34" s="45">
        <v>18867</v>
      </c>
    </row>
    <row r="35" spans="5:9" x14ac:dyDescent="0.3">
      <c r="E35" s="43" t="s">
        <v>36</v>
      </c>
      <c r="F35" s="44">
        <v>42188.632789351854</v>
      </c>
      <c r="G35" s="40" t="s">
        <v>1016</v>
      </c>
      <c r="H35" s="40" t="s">
        <v>1111</v>
      </c>
      <c r="I35" s="45">
        <v>14151</v>
      </c>
    </row>
    <row r="36" spans="5:9" x14ac:dyDescent="0.3">
      <c r="E36" s="43" t="s">
        <v>37</v>
      </c>
      <c r="F36" s="44">
        <v>42064.76253472222</v>
      </c>
      <c r="G36" s="40" t="s">
        <v>1017</v>
      </c>
      <c r="H36" s="40" t="s">
        <v>1112</v>
      </c>
      <c r="I36" s="45">
        <v>87270</v>
      </c>
    </row>
    <row r="37" spans="5:9" x14ac:dyDescent="0.3">
      <c r="E37" s="43" t="s">
        <v>38</v>
      </c>
      <c r="F37" s="44">
        <v>42281.845914351848</v>
      </c>
      <c r="G37" s="40" t="s">
        <v>1018</v>
      </c>
      <c r="H37" s="40" t="s">
        <v>1113</v>
      </c>
      <c r="I37" s="45">
        <v>70592</v>
      </c>
    </row>
    <row r="38" spans="5:9" x14ac:dyDescent="0.3">
      <c r="E38" s="43" t="s">
        <v>39</v>
      </c>
      <c r="F38" s="44">
        <v>42172.347986111112</v>
      </c>
      <c r="G38" s="40" t="s">
        <v>1019</v>
      </c>
      <c r="H38" s="40" t="s">
        <v>1114</v>
      </c>
      <c r="I38" s="45">
        <v>31213</v>
      </c>
    </row>
    <row r="39" spans="5:9" x14ac:dyDescent="0.3">
      <c r="E39" s="43" t="s">
        <v>40</v>
      </c>
      <c r="F39" s="44">
        <v>42301.145567129628</v>
      </c>
      <c r="G39" s="40" t="s">
        <v>1020</v>
      </c>
      <c r="H39" s="40" t="s">
        <v>1083</v>
      </c>
      <c r="I39" s="45">
        <v>56185</v>
      </c>
    </row>
    <row r="40" spans="5:9" x14ac:dyDescent="0.3">
      <c r="E40" s="43" t="s">
        <v>41</v>
      </c>
      <c r="F40" s="44">
        <v>42343.193923611114</v>
      </c>
      <c r="G40" s="40" t="s">
        <v>1021</v>
      </c>
      <c r="H40" s="40" t="s">
        <v>1085</v>
      </c>
      <c r="I40" s="45">
        <v>4516</v>
      </c>
    </row>
    <row r="41" spans="5:9" x14ac:dyDescent="0.3">
      <c r="E41" s="43" t="s">
        <v>42</v>
      </c>
      <c r="F41" s="44">
        <v>42305.918703703705</v>
      </c>
      <c r="G41" s="40" t="s">
        <v>1022</v>
      </c>
      <c r="H41" s="40" t="s">
        <v>1083</v>
      </c>
      <c r="I41" s="45">
        <v>66305</v>
      </c>
    </row>
    <row r="42" spans="5:9" x14ac:dyDescent="0.3">
      <c r="E42" s="43" t="s">
        <v>43</v>
      </c>
      <c r="F42" s="44">
        <v>42200.667523148149</v>
      </c>
      <c r="G42" s="40" t="s">
        <v>1023</v>
      </c>
      <c r="H42" s="40" t="s">
        <v>1086</v>
      </c>
      <c r="I42" s="45">
        <v>69514</v>
      </c>
    </row>
    <row r="43" spans="5:9" x14ac:dyDescent="0.3">
      <c r="E43" s="43" t="s">
        <v>44</v>
      </c>
      <c r="F43" s="44">
        <v>42170.702557870369</v>
      </c>
      <c r="G43" s="40" t="s">
        <v>1024</v>
      </c>
      <c r="H43" s="40" t="s">
        <v>1087</v>
      </c>
      <c r="I43" s="45">
        <v>7549</v>
      </c>
    </row>
    <row r="44" spans="5:9" x14ac:dyDescent="0.3">
      <c r="E44" s="43" t="s">
        <v>45</v>
      </c>
      <c r="F44" s="44">
        <v>42042.140428240738</v>
      </c>
      <c r="G44" s="40" t="s">
        <v>1025</v>
      </c>
      <c r="H44" s="40" t="s">
        <v>1088</v>
      </c>
      <c r="I44" s="45">
        <v>93993</v>
      </c>
    </row>
    <row r="45" spans="5:9" x14ac:dyDescent="0.3">
      <c r="E45" s="43" t="s">
        <v>46</v>
      </c>
      <c r="F45" s="44">
        <v>42085.269212962965</v>
      </c>
      <c r="G45" s="40" t="s">
        <v>1026</v>
      </c>
      <c r="H45" s="40" t="s">
        <v>1089</v>
      </c>
      <c r="I45" s="45">
        <v>78004</v>
      </c>
    </row>
    <row r="46" spans="5:9" x14ac:dyDescent="0.3">
      <c r="E46" s="43" t="s">
        <v>47</v>
      </c>
      <c r="F46" s="44">
        <v>42098.170960648145</v>
      </c>
      <c r="G46" s="40" t="s">
        <v>1027</v>
      </c>
      <c r="H46" s="40" t="s">
        <v>1090</v>
      </c>
      <c r="I46" s="45">
        <v>33177</v>
      </c>
    </row>
    <row r="47" spans="5:9" x14ac:dyDescent="0.3">
      <c r="E47" s="43" t="s">
        <v>48</v>
      </c>
      <c r="F47" s="44">
        <v>42182.629699074074</v>
      </c>
      <c r="G47" s="40" t="s">
        <v>1008</v>
      </c>
      <c r="H47" s="40" t="s">
        <v>1091</v>
      </c>
      <c r="I47" s="45">
        <v>24064</v>
      </c>
    </row>
    <row r="48" spans="5:9" x14ac:dyDescent="0.3">
      <c r="E48" s="43" t="s">
        <v>49</v>
      </c>
      <c r="F48" s="44">
        <v>42099.852187500001</v>
      </c>
      <c r="G48" s="40" t="s">
        <v>1009</v>
      </c>
      <c r="H48" s="40" t="s">
        <v>1092</v>
      </c>
      <c r="I48" s="45">
        <v>80958</v>
      </c>
    </row>
    <row r="49" spans="5:9" x14ac:dyDescent="0.3">
      <c r="E49" s="43" t="s">
        <v>50</v>
      </c>
      <c r="F49" s="44">
        <v>42135.839884259258</v>
      </c>
      <c r="G49" s="40" t="s">
        <v>1010</v>
      </c>
      <c r="H49" s="40" t="s">
        <v>1093</v>
      </c>
      <c r="I49" s="45">
        <v>83468</v>
      </c>
    </row>
    <row r="50" spans="5:9" x14ac:dyDescent="0.3">
      <c r="E50" s="43" t="s">
        <v>51</v>
      </c>
      <c r="F50" s="44">
        <v>42117.301898148151</v>
      </c>
      <c r="G50" s="40" t="s">
        <v>1011</v>
      </c>
      <c r="H50" s="40" t="s">
        <v>1094</v>
      </c>
      <c r="I50" s="45">
        <v>69026</v>
      </c>
    </row>
    <row r="51" spans="5:9" x14ac:dyDescent="0.3">
      <c r="E51" s="43" t="s">
        <v>52</v>
      </c>
      <c r="F51" s="44">
        <v>42250.009641203702</v>
      </c>
      <c r="G51" s="40" t="s">
        <v>1012</v>
      </c>
      <c r="H51" s="40" t="s">
        <v>1095</v>
      </c>
      <c r="I51" s="45">
        <v>9678</v>
      </c>
    </row>
    <row r="52" spans="5:9" x14ac:dyDescent="0.3">
      <c r="E52" s="43" t="s">
        <v>53</v>
      </c>
      <c r="F52" s="44">
        <v>42223.367337962962</v>
      </c>
      <c r="G52" s="40" t="s">
        <v>1013</v>
      </c>
      <c r="H52" s="40" t="s">
        <v>1096</v>
      </c>
      <c r="I52" s="45">
        <v>57092</v>
      </c>
    </row>
    <row r="53" spans="5:9" x14ac:dyDescent="0.3">
      <c r="E53" s="43" t="s">
        <v>54</v>
      </c>
      <c r="F53" s="44">
        <v>42062.025266203702</v>
      </c>
      <c r="G53" s="40" t="s">
        <v>1014</v>
      </c>
      <c r="H53" s="40" t="s">
        <v>1097</v>
      </c>
      <c r="I53" s="45">
        <v>35691</v>
      </c>
    </row>
    <row r="54" spans="5:9" x14ac:dyDescent="0.3">
      <c r="E54" s="43" t="s">
        <v>55</v>
      </c>
      <c r="F54" s="44">
        <v>42189.578472222223</v>
      </c>
      <c r="G54" s="40" t="s">
        <v>1015</v>
      </c>
      <c r="H54" s="40" t="s">
        <v>1098</v>
      </c>
      <c r="I54" s="45">
        <v>62373</v>
      </c>
    </row>
    <row r="55" spans="5:9" x14ac:dyDescent="0.3">
      <c r="E55" s="43" t="s">
        <v>56</v>
      </c>
      <c r="F55" s="44">
        <v>42307.01457175926</v>
      </c>
      <c r="G55" s="40" t="s">
        <v>1016</v>
      </c>
      <c r="H55" s="40" t="s">
        <v>1099</v>
      </c>
      <c r="I55" s="45">
        <v>63575</v>
      </c>
    </row>
    <row r="56" spans="5:9" x14ac:dyDescent="0.3">
      <c r="E56" s="43" t="s">
        <v>57</v>
      </c>
      <c r="F56" s="44">
        <v>42355.584918981483</v>
      </c>
      <c r="G56" s="40" t="s">
        <v>1017</v>
      </c>
      <c r="H56" s="40" t="s">
        <v>1100</v>
      </c>
      <c r="I56" s="45">
        <v>89053</v>
      </c>
    </row>
    <row r="57" spans="5:9" x14ac:dyDescent="0.3">
      <c r="E57" s="43" t="s">
        <v>58</v>
      </c>
      <c r="F57" s="44">
        <v>42278.367256944446</v>
      </c>
      <c r="G57" s="40" t="s">
        <v>1018</v>
      </c>
      <c r="H57" s="40" t="s">
        <v>1101</v>
      </c>
      <c r="I57" s="45">
        <v>13664</v>
      </c>
    </row>
    <row r="58" spans="5:9" x14ac:dyDescent="0.3">
      <c r="E58" s="43" t="s">
        <v>59</v>
      </c>
      <c r="F58" s="44">
        <v>42180.183935185189</v>
      </c>
      <c r="G58" s="40" t="s">
        <v>1019</v>
      </c>
      <c r="H58" s="40" t="s">
        <v>1102</v>
      </c>
      <c r="I58" s="45">
        <v>94222</v>
      </c>
    </row>
    <row r="59" spans="5:9" x14ac:dyDescent="0.3">
      <c r="E59" s="43" t="s">
        <v>60</v>
      </c>
      <c r="F59" s="44">
        <v>42300.618842592594</v>
      </c>
      <c r="G59" s="40" t="s">
        <v>1020</v>
      </c>
      <c r="H59" s="40" t="s">
        <v>1103</v>
      </c>
      <c r="I59" s="45">
        <v>51981</v>
      </c>
    </row>
    <row r="60" spans="5:9" x14ac:dyDescent="0.3">
      <c r="E60" s="43" t="s">
        <v>61</v>
      </c>
      <c r="F60" s="44">
        <v>42347.688726851855</v>
      </c>
      <c r="G60" s="40" t="s">
        <v>1021</v>
      </c>
      <c r="H60" s="40" t="s">
        <v>1104</v>
      </c>
      <c r="I60" s="45">
        <v>43808</v>
      </c>
    </row>
    <row r="61" spans="5:9" x14ac:dyDescent="0.3">
      <c r="E61" s="43" t="s">
        <v>62</v>
      </c>
      <c r="F61" s="44">
        <v>42274.847511574073</v>
      </c>
      <c r="G61" s="40" t="s">
        <v>1022</v>
      </c>
      <c r="H61" s="40" t="s">
        <v>1105</v>
      </c>
      <c r="I61" s="45">
        <v>72604</v>
      </c>
    </row>
    <row r="62" spans="5:9" x14ac:dyDescent="0.3">
      <c r="E62" s="43" t="s">
        <v>63</v>
      </c>
      <c r="F62" s="44">
        <v>42143.738865740743</v>
      </c>
      <c r="G62" s="40" t="s">
        <v>1023</v>
      </c>
      <c r="H62" s="40" t="s">
        <v>1106</v>
      </c>
      <c r="I62" s="45">
        <v>91816</v>
      </c>
    </row>
    <row r="63" spans="5:9" x14ac:dyDescent="0.3">
      <c r="E63" s="43" t="s">
        <v>64</v>
      </c>
      <c r="F63" s="44">
        <v>42214.057858796295</v>
      </c>
      <c r="G63" s="40" t="s">
        <v>1024</v>
      </c>
      <c r="H63" s="40" t="s">
        <v>1107</v>
      </c>
      <c r="I63" s="45">
        <v>82608</v>
      </c>
    </row>
    <row r="64" spans="5:9" x14ac:dyDescent="0.3">
      <c r="E64" s="43" t="s">
        <v>65</v>
      </c>
      <c r="F64" s="44">
        <v>42262.941712962966</v>
      </c>
      <c r="G64" s="40" t="s">
        <v>1025</v>
      </c>
      <c r="H64" s="40" t="s">
        <v>1108</v>
      </c>
      <c r="I64" s="45">
        <v>39600</v>
      </c>
    </row>
    <row r="65" spans="5:9" x14ac:dyDescent="0.3">
      <c r="E65" s="43" t="s">
        <v>66</v>
      </c>
      <c r="F65" s="44">
        <v>42137.677245370367</v>
      </c>
      <c r="G65" s="40" t="s">
        <v>1026</v>
      </c>
      <c r="H65" s="40" t="s">
        <v>1109</v>
      </c>
      <c r="I65" s="45">
        <v>89456</v>
      </c>
    </row>
    <row r="66" spans="5:9" x14ac:dyDescent="0.3">
      <c r="E66" s="43" t="s">
        <v>67</v>
      </c>
      <c r="F66" s="44">
        <v>42132.023506944446</v>
      </c>
      <c r="G66" s="40" t="s">
        <v>1027</v>
      </c>
      <c r="H66" s="40" t="s">
        <v>1110</v>
      </c>
      <c r="I66" s="45">
        <v>36908</v>
      </c>
    </row>
    <row r="67" spans="5:9" x14ac:dyDescent="0.3">
      <c r="E67" s="43" t="s">
        <v>68</v>
      </c>
      <c r="F67" s="44">
        <v>42358.782962962963</v>
      </c>
      <c r="G67" s="40" t="s">
        <v>1008</v>
      </c>
      <c r="H67" s="40" t="s">
        <v>1111</v>
      </c>
      <c r="I67" s="45">
        <v>71734</v>
      </c>
    </row>
    <row r="68" spans="5:9" x14ac:dyDescent="0.3">
      <c r="E68" s="43" t="s">
        <v>69</v>
      </c>
      <c r="F68" s="44">
        <v>42263.651018518518</v>
      </c>
      <c r="G68" s="40" t="s">
        <v>1009</v>
      </c>
      <c r="H68" s="40" t="s">
        <v>1112</v>
      </c>
      <c r="I68" s="45">
        <v>93351</v>
      </c>
    </row>
    <row r="69" spans="5:9" x14ac:dyDescent="0.3">
      <c r="E69" s="43" t="s">
        <v>70</v>
      </c>
      <c r="F69" s="44">
        <v>42348.304583333331</v>
      </c>
      <c r="G69" s="40" t="s">
        <v>1010</v>
      </c>
      <c r="H69" s="40" t="s">
        <v>1113</v>
      </c>
      <c r="I69" s="45">
        <v>76881</v>
      </c>
    </row>
    <row r="70" spans="5:9" x14ac:dyDescent="0.3">
      <c r="E70" s="43" t="s">
        <v>71</v>
      </c>
      <c r="F70" s="44">
        <v>42120.777928240743</v>
      </c>
      <c r="G70" s="40" t="s">
        <v>1011</v>
      </c>
      <c r="H70" s="40" t="s">
        <v>1114</v>
      </c>
      <c r="I70" s="45">
        <v>99639</v>
      </c>
    </row>
    <row r="71" spans="5:9" x14ac:dyDescent="0.3">
      <c r="E71" s="43" t="s">
        <v>72</v>
      </c>
      <c r="F71" s="44">
        <v>42296.397199074076</v>
      </c>
      <c r="G71" s="40" t="s">
        <v>1012</v>
      </c>
      <c r="H71" s="40" t="s">
        <v>1083</v>
      </c>
      <c r="I71" s="45">
        <v>32555</v>
      </c>
    </row>
    <row r="72" spans="5:9" x14ac:dyDescent="0.3">
      <c r="E72" s="43" t="s">
        <v>73</v>
      </c>
      <c r="F72" s="44">
        <v>42281.083113425928</v>
      </c>
      <c r="G72" s="40" t="s">
        <v>1013</v>
      </c>
      <c r="H72" s="40" t="s">
        <v>1085</v>
      </c>
      <c r="I72" s="45">
        <v>99787</v>
      </c>
    </row>
    <row r="73" spans="5:9" x14ac:dyDescent="0.3">
      <c r="E73" s="43" t="s">
        <v>74</v>
      </c>
      <c r="F73" s="44">
        <v>42028.165636574071</v>
      </c>
      <c r="G73" s="40" t="s">
        <v>1014</v>
      </c>
      <c r="H73" s="40" t="s">
        <v>1083</v>
      </c>
      <c r="I73" s="45">
        <v>94217</v>
      </c>
    </row>
    <row r="74" spans="5:9" x14ac:dyDescent="0.3">
      <c r="E74" s="43" t="s">
        <v>75</v>
      </c>
      <c r="F74" s="44">
        <v>42289.1174537037</v>
      </c>
      <c r="G74" s="40" t="s">
        <v>1015</v>
      </c>
      <c r="H74" s="40" t="s">
        <v>1086</v>
      </c>
      <c r="I74" s="45">
        <v>5059</v>
      </c>
    </row>
    <row r="75" spans="5:9" x14ac:dyDescent="0.3">
      <c r="E75" s="43" t="s">
        <v>76</v>
      </c>
      <c r="F75" s="44">
        <v>42212.297731481478</v>
      </c>
      <c r="G75" s="40" t="s">
        <v>1016</v>
      </c>
      <c r="H75" s="40" t="s">
        <v>1087</v>
      </c>
      <c r="I75" s="45">
        <v>18390</v>
      </c>
    </row>
    <row r="76" spans="5:9" x14ac:dyDescent="0.3">
      <c r="E76" s="43" t="s">
        <v>77</v>
      </c>
      <c r="F76" s="44">
        <v>42185.610520833332</v>
      </c>
      <c r="G76" s="40" t="s">
        <v>1017</v>
      </c>
      <c r="H76" s="40" t="s">
        <v>1088</v>
      </c>
      <c r="I76" s="45">
        <v>44653</v>
      </c>
    </row>
    <row r="77" spans="5:9" x14ac:dyDescent="0.3">
      <c r="E77" s="43" t="s">
        <v>78</v>
      </c>
      <c r="F77" s="44">
        <v>42251.811782407407</v>
      </c>
      <c r="G77" s="40" t="s">
        <v>1018</v>
      </c>
      <c r="H77" s="40" t="s">
        <v>1089</v>
      </c>
      <c r="I77" s="45">
        <v>36900</v>
      </c>
    </row>
    <row r="78" spans="5:9" x14ac:dyDescent="0.3">
      <c r="E78" s="43" t="s">
        <v>79</v>
      </c>
      <c r="F78" s="44">
        <v>42168.831886574073</v>
      </c>
      <c r="G78" s="40" t="s">
        <v>1019</v>
      </c>
      <c r="H78" s="40" t="s">
        <v>1090</v>
      </c>
      <c r="I78" s="45">
        <v>41024</v>
      </c>
    </row>
    <row r="79" spans="5:9" x14ac:dyDescent="0.3">
      <c r="E79" s="43" t="s">
        <v>80</v>
      </c>
      <c r="F79" s="44">
        <v>42319.504120370373</v>
      </c>
      <c r="G79" s="40" t="s">
        <v>1020</v>
      </c>
      <c r="H79" s="40" t="s">
        <v>1091</v>
      </c>
      <c r="I79" s="45">
        <v>95088</v>
      </c>
    </row>
    <row r="80" spans="5:9" x14ac:dyDescent="0.3">
      <c r="E80" s="43" t="s">
        <v>81</v>
      </c>
      <c r="F80" s="44">
        <v>42354.470347222225</v>
      </c>
      <c r="G80" s="40" t="s">
        <v>1021</v>
      </c>
      <c r="H80" s="40" t="s">
        <v>1092</v>
      </c>
      <c r="I80" s="45">
        <v>23656</v>
      </c>
    </row>
    <row r="81" spans="5:9" x14ac:dyDescent="0.3">
      <c r="E81" s="43" t="s">
        <v>82</v>
      </c>
      <c r="F81" s="44">
        <v>42081.575925925928</v>
      </c>
      <c r="G81" s="40" t="s">
        <v>1022</v>
      </c>
      <c r="H81" s="40" t="s">
        <v>1093</v>
      </c>
      <c r="I81" s="45">
        <v>41795</v>
      </c>
    </row>
    <row r="82" spans="5:9" x14ac:dyDescent="0.3">
      <c r="E82" s="43" t="s">
        <v>83</v>
      </c>
      <c r="F82" s="44">
        <v>42327.58148148148</v>
      </c>
      <c r="G82" s="40" t="s">
        <v>1023</v>
      </c>
      <c r="H82" s="40" t="s">
        <v>1094</v>
      </c>
      <c r="I82" s="45">
        <v>17667</v>
      </c>
    </row>
    <row r="83" spans="5:9" x14ac:dyDescent="0.3">
      <c r="E83" s="43" t="s">
        <v>84</v>
      </c>
      <c r="F83" s="44">
        <v>42258.626539351855</v>
      </c>
      <c r="G83" s="40" t="s">
        <v>1024</v>
      </c>
      <c r="H83" s="40" t="s">
        <v>1095</v>
      </c>
      <c r="I83" s="45">
        <v>12415</v>
      </c>
    </row>
    <row r="84" spans="5:9" x14ac:dyDescent="0.3">
      <c r="E84" s="43" t="s">
        <v>85</v>
      </c>
      <c r="F84" s="44">
        <v>42190.350289351853</v>
      </c>
      <c r="G84" s="40" t="s">
        <v>1025</v>
      </c>
      <c r="H84" s="40" t="s">
        <v>1096</v>
      </c>
      <c r="I84" s="45">
        <v>64521</v>
      </c>
    </row>
    <row r="85" spans="5:9" x14ac:dyDescent="0.3">
      <c r="E85" s="43" t="s">
        <v>86</v>
      </c>
      <c r="F85" s="44">
        <v>42276.61550925926</v>
      </c>
      <c r="G85" s="40" t="s">
        <v>1026</v>
      </c>
      <c r="H85" s="40" t="s">
        <v>1097</v>
      </c>
      <c r="I85" s="45">
        <v>32586</v>
      </c>
    </row>
    <row r="86" spans="5:9" x14ac:dyDescent="0.3">
      <c r="E86" s="43" t="s">
        <v>87</v>
      </c>
      <c r="F86" s="44">
        <v>42214.074467592596</v>
      </c>
      <c r="G86" s="40" t="s">
        <v>1027</v>
      </c>
      <c r="H86" s="40" t="s">
        <v>1098</v>
      </c>
      <c r="I86" s="45">
        <v>67673</v>
      </c>
    </row>
    <row r="87" spans="5:9" x14ac:dyDescent="0.3">
      <c r="E87" s="43" t="s">
        <v>88</v>
      </c>
      <c r="F87" s="44">
        <v>42067.946006944447</v>
      </c>
      <c r="G87" s="40" t="s">
        <v>1008</v>
      </c>
      <c r="H87" s="40" t="s">
        <v>1099</v>
      </c>
      <c r="I87" s="45">
        <v>94263</v>
      </c>
    </row>
    <row r="88" spans="5:9" x14ac:dyDescent="0.3">
      <c r="E88" s="43" t="s">
        <v>89</v>
      </c>
      <c r="F88" s="44">
        <v>42104.710543981484</v>
      </c>
      <c r="G88" s="40" t="s">
        <v>1009</v>
      </c>
      <c r="H88" s="40" t="s">
        <v>1100</v>
      </c>
      <c r="I88" s="45">
        <v>47231</v>
      </c>
    </row>
    <row r="89" spans="5:9" x14ac:dyDescent="0.3">
      <c r="E89" s="43" t="s">
        <v>90</v>
      </c>
      <c r="F89" s="44">
        <v>42039.271921296298</v>
      </c>
      <c r="G89" s="40" t="s">
        <v>1010</v>
      </c>
      <c r="H89" s="40" t="s">
        <v>1101</v>
      </c>
      <c r="I89" s="45">
        <v>86424</v>
      </c>
    </row>
    <row r="90" spans="5:9" x14ac:dyDescent="0.3">
      <c r="E90" s="43" t="s">
        <v>91</v>
      </c>
      <c r="F90" s="44">
        <v>42069.024571759262</v>
      </c>
      <c r="G90" s="40" t="s">
        <v>1011</v>
      </c>
      <c r="H90" s="40" t="s">
        <v>1102</v>
      </c>
      <c r="I90" s="45">
        <v>88477</v>
      </c>
    </row>
    <row r="91" spans="5:9" x14ac:dyDescent="0.3">
      <c r="E91" s="43" t="s">
        <v>92</v>
      </c>
      <c r="F91" s="44">
        <v>42362.816493055558</v>
      </c>
      <c r="G91" s="40" t="s">
        <v>1012</v>
      </c>
      <c r="H91" s="40" t="s">
        <v>1103</v>
      </c>
      <c r="I91" s="45">
        <v>14017</v>
      </c>
    </row>
    <row r="92" spans="5:9" x14ac:dyDescent="0.3">
      <c r="E92" s="43" t="s">
        <v>93</v>
      </c>
      <c r="F92" s="44">
        <v>42341.00509259259</v>
      </c>
      <c r="G92" s="40" t="s">
        <v>1013</v>
      </c>
      <c r="H92" s="40" t="s">
        <v>1104</v>
      </c>
      <c r="I92" s="45">
        <v>42933</v>
      </c>
    </row>
    <row r="93" spans="5:9" x14ac:dyDescent="0.3">
      <c r="E93" s="43" t="s">
        <v>94</v>
      </c>
      <c r="F93" s="44">
        <v>42028.134363425925</v>
      </c>
      <c r="G93" s="40" t="s">
        <v>1014</v>
      </c>
      <c r="H93" s="40" t="s">
        <v>1105</v>
      </c>
      <c r="I93" s="45">
        <v>34113</v>
      </c>
    </row>
    <row r="94" spans="5:9" x14ac:dyDescent="0.3">
      <c r="E94" s="43" t="s">
        <v>95</v>
      </c>
      <c r="F94" s="44">
        <v>42225.368287037039</v>
      </c>
      <c r="G94" s="40" t="s">
        <v>1015</v>
      </c>
      <c r="H94" s="40" t="s">
        <v>1106</v>
      </c>
      <c r="I94" s="45">
        <v>28866</v>
      </c>
    </row>
    <row r="95" spans="5:9" x14ac:dyDescent="0.3">
      <c r="E95" s="43" t="s">
        <v>96</v>
      </c>
      <c r="F95" s="44">
        <v>42357.33425925926</v>
      </c>
      <c r="G95" s="40" t="s">
        <v>1016</v>
      </c>
      <c r="H95" s="40" t="s">
        <v>1107</v>
      </c>
      <c r="I95" s="45">
        <v>91381</v>
      </c>
    </row>
    <row r="96" spans="5:9" x14ac:dyDescent="0.3">
      <c r="E96" s="43" t="s">
        <v>97</v>
      </c>
      <c r="F96" s="44">
        <v>42128.623518518521</v>
      </c>
      <c r="G96" s="40" t="s">
        <v>1017</v>
      </c>
      <c r="H96" s="40" t="s">
        <v>1108</v>
      </c>
      <c r="I96" s="45">
        <v>9254</v>
      </c>
    </row>
    <row r="97" spans="5:9" x14ac:dyDescent="0.3">
      <c r="E97" s="43" t="s">
        <v>98</v>
      </c>
      <c r="F97" s="44">
        <v>42351.988009259258</v>
      </c>
      <c r="G97" s="40" t="s">
        <v>1018</v>
      </c>
      <c r="H97" s="40" t="s">
        <v>1109</v>
      </c>
      <c r="I97" s="45">
        <v>51088</v>
      </c>
    </row>
    <row r="98" spans="5:9" x14ac:dyDescent="0.3">
      <c r="E98" s="43" t="s">
        <v>99</v>
      </c>
      <c r="F98" s="44">
        <v>42043.303310185183</v>
      </c>
      <c r="G98" s="40" t="s">
        <v>1019</v>
      </c>
      <c r="H98" s="40" t="s">
        <v>1110</v>
      </c>
      <c r="I98" s="45">
        <v>72999</v>
      </c>
    </row>
    <row r="99" spans="5:9" x14ac:dyDescent="0.3">
      <c r="E99" s="43" t="s">
        <v>100</v>
      </c>
      <c r="F99" s="44">
        <v>42234.260266203702</v>
      </c>
      <c r="G99" s="40" t="s">
        <v>1020</v>
      </c>
      <c r="H99" s="40" t="s">
        <v>1111</v>
      </c>
      <c r="I99" s="45">
        <v>63875</v>
      </c>
    </row>
    <row r="100" spans="5:9" x14ac:dyDescent="0.3">
      <c r="E100" s="43" t="s">
        <v>101</v>
      </c>
      <c r="F100" s="44">
        <v>42180.852627314816</v>
      </c>
      <c r="G100" s="40" t="s">
        <v>1021</v>
      </c>
      <c r="H100" s="40" t="s">
        <v>1112</v>
      </c>
      <c r="I100" s="45">
        <v>65783</v>
      </c>
    </row>
    <row r="101" spans="5:9" x14ac:dyDescent="0.3">
      <c r="E101" s="43" t="s">
        <v>102</v>
      </c>
      <c r="F101" s="44">
        <v>42073.686886574076</v>
      </c>
      <c r="G101" s="40" t="s">
        <v>1022</v>
      </c>
      <c r="H101" s="40" t="s">
        <v>1113</v>
      </c>
      <c r="I101" s="45">
        <v>95827</v>
      </c>
    </row>
    <row r="102" spans="5:9" x14ac:dyDescent="0.3">
      <c r="E102" s="43" t="s">
        <v>103</v>
      </c>
      <c r="F102" s="44">
        <v>42070.144965277781</v>
      </c>
      <c r="G102" s="40" t="s">
        <v>1023</v>
      </c>
      <c r="H102" s="40" t="s">
        <v>1114</v>
      </c>
      <c r="I102" s="45">
        <v>89084</v>
      </c>
    </row>
    <row r="103" spans="5:9" x14ac:dyDescent="0.3">
      <c r="E103" s="43" t="s">
        <v>104</v>
      </c>
      <c r="F103" s="44">
        <v>42285.280393518522</v>
      </c>
      <c r="G103" s="40" t="s">
        <v>1024</v>
      </c>
      <c r="H103" s="40" t="s">
        <v>1083</v>
      </c>
      <c r="I103" s="45">
        <v>3162</v>
      </c>
    </row>
    <row r="104" spans="5:9" x14ac:dyDescent="0.3">
      <c r="E104" s="43" t="s">
        <v>105</v>
      </c>
      <c r="F104" s="44">
        <v>42292.463379629633</v>
      </c>
      <c r="G104" s="40" t="s">
        <v>1025</v>
      </c>
      <c r="H104" s="40" t="s">
        <v>1085</v>
      </c>
      <c r="I104" s="45">
        <v>97615</v>
      </c>
    </row>
    <row r="105" spans="5:9" x14ac:dyDescent="0.3">
      <c r="E105" s="43" t="s">
        <v>106</v>
      </c>
      <c r="F105" s="44">
        <v>42252.387615740743</v>
      </c>
      <c r="G105" s="40" t="s">
        <v>1026</v>
      </c>
      <c r="H105" s="40" t="s">
        <v>1083</v>
      </c>
      <c r="I105" s="45">
        <v>53429</v>
      </c>
    </row>
    <row r="106" spans="5:9" x14ac:dyDescent="0.3">
      <c r="E106" s="43" t="s">
        <v>107</v>
      </c>
      <c r="F106" s="44">
        <v>42186.050474537034</v>
      </c>
      <c r="G106" s="40" t="s">
        <v>1027</v>
      </c>
      <c r="H106" s="40" t="s">
        <v>1086</v>
      </c>
      <c r="I106" s="45">
        <v>34707</v>
      </c>
    </row>
    <row r="107" spans="5:9" x14ac:dyDescent="0.3">
      <c r="E107" s="43" t="s">
        <v>108</v>
      </c>
      <c r="F107" s="44">
        <v>42026.064884259256</v>
      </c>
      <c r="G107" s="40" t="s">
        <v>1008</v>
      </c>
      <c r="H107" s="40" t="s">
        <v>1087</v>
      </c>
      <c r="I107" s="45">
        <v>4012</v>
      </c>
    </row>
    <row r="108" spans="5:9" x14ac:dyDescent="0.3">
      <c r="E108" s="43" t="s">
        <v>109</v>
      </c>
      <c r="F108" s="44">
        <v>42187.426099537035</v>
      </c>
      <c r="G108" s="40" t="s">
        <v>1009</v>
      </c>
      <c r="H108" s="40" t="s">
        <v>1088</v>
      </c>
      <c r="I108" s="45">
        <v>60239</v>
      </c>
    </row>
    <row r="109" spans="5:9" x14ac:dyDescent="0.3">
      <c r="E109" s="43" t="s">
        <v>110</v>
      </c>
      <c r="F109" s="44">
        <v>42155.008587962962</v>
      </c>
      <c r="G109" s="40" t="s">
        <v>1010</v>
      </c>
      <c r="H109" s="40" t="s">
        <v>1089</v>
      </c>
      <c r="I109" s="45">
        <v>68720</v>
      </c>
    </row>
    <row r="110" spans="5:9" x14ac:dyDescent="0.3">
      <c r="E110" s="43" t="s">
        <v>111</v>
      </c>
      <c r="F110" s="44">
        <v>42192.378622685188</v>
      </c>
      <c r="G110" s="40" t="s">
        <v>1011</v>
      </c>
      <c r="H110" s="40" t="s">
        <v>1090</v>
      </c>
      <c r="I110" s="45">
        <v>29456</v>
      </c>
    </row>
    <row r="111" spans="5:9" x14ac:dyDescent="0.3">
      <c r="E111" s="43" t="s">
        <v>112</v>
      </c>
      <c r="F111" s="44">
        <v>42282.884259259263</v>
      </c>
      <c r="G111" s="40" t="s">
        <v>1012</v>
      </c>
      <c r="H111" s="40" t="s">
        <v>1091</v>
      </c>
      <c r="I111" s="45">
        <v>96040</v>
      </c>
    </row>
    <row r="112" spans="5:9" x14ac:dyDescent="0.3">
      <c r="E112" s="43" t="s">
        <v>113</v>
      </c>
      <c r="F112" s="44">
        <v>42297.378692129627</v>
      </c>
      <c r="G112" s="40" t="s">
        <v>1013</v>
      </c>
      <c r="H112" s="40" t="s">
        <v>1092</v>
      </c>
      <c r="I112" s="45">
        <v>94875</v>
      </c>
    </row>
    <row r="113" spans="5:9" x14ac:dyDescent="0.3">
      <c r="E113" s="43" t="s">
        <v>114</v>
      </c>
      <c r="F113" s="44">
        <v>42019.933703703704</v>
      </c>
      <c r="G113" s="40" t="s">
        <v>1014</v>
      </c>
      <c r="H113" s="40" t="s">
        <v>1093</v>
      </c>
      <c r="I113" s="45">
        <v>5948</v>
      </c>
    </row>
    <row r="114" spans="5:9" x14ac:dyDescent="0.3">
      <c r="E114" s="43" t="s">
        <v>115</v>
      </c>
      <c r="F114" s="44">
        <v>42025.980162037034</v>
      </c>
      <c r="G114" s="40" t="s">
        <v>1015</v>
      </c>
      <c r="H114" s="40" t="s">
        <v>1094</v>
      </c>
      <c r="I114" s="45">
        <v>75563</v>
      </c>
    </row>
    <row r="115" spans="5:9" x14ac:dyDescent="0.3">
      <c r="E115" s="43" t="s">
        <v>116</v>
      </c>
      <c r="F115" s="44">
        <v>42165.922800925924</v>
      </c>
      <c r="G115" s="40" t="s">
        <v>1016</v>
      </c>
      <c r="H115" s="40" t="s">
        <v>1095</v>
      </c>
      <c r="I115" s="45">
        <v>69049</v>
      </c>
    </row>
    <row r="116" spans="5:9" x14ac:dyDescent="0.3">
      <c r="E116" s="43" t="s">
        <v>117</v>
      </c>
      <c r="F116" s="44">
        <v>42345.608715277776</v>
      </c>
      <c r="G116" s="40" t="s">
        <v>1017</v>
      </c>
      <c r="H116" s="40" t="s">
        <v>1096</v>
      </c>
      <c r="I116" s="45">
        <v>96278</v>
      </c>
    </row>
    <row r="117" spans="5:9" x14ac:dyDescent="0.3">
      <c r="E117" s="43" t="s">
        <v>118</v>
      </c>
      <c r="F117" s="44">
        <v>42365.077175925922</v>
      </c>
      <c r="G117" s="40" t="s">
        <v>1018</v>
      </c>
      <c r="H117" s="40" t="s">
        <v>1097</v>
      </c>
      <c r="I117" s="45">
        <v>93479</v>
      </c>
    </row>
    <row r="118" spans="5:9" x14ac:dyDescent="0.3">
      <c r="E118" s="43" t="s">
        <v>119</v>
      </c>
      <c r="F118" s="44">
        <v>42046.952465277776</v>
      </c>
      <c r="G118" s="40" t="s">
        <v>1019</v>
      </c>
      <c r="H118" s="40" t="s">
        <v>1098</v>
      </c>
      <c r="I118" s="45">
        <v>67569</v>
      </c>
    </row>
    <row r="119" spans="5:9" x14ac:dyDescent="0.3">
      <c r="E119" s="43" t="s">
        <v>120</v>
      </c>
      <c r="F119" s="44">
        <v>42332.710358796299</v>
      </c>
      <c r="G119" s="40" t="s">
        <v>1020</v>
      </c>
      <c r="H119" s="40" t="s">
        <v>1099</v>
      </c>
      <c r="I119" s="45">
        <v>68505</v>
      </c>
    </row>
    <row r="120" spans="5:9" x14ac:dyDescent="0.3">
      <c r="E120" s="43" t="s">
        <v>121</v>
      </c>
      <c r="F120" s="44">
        <v>42037.872615740744</v>
      </c>
      <c r="G120" s="40" t="s">
        <v>1021</v>
      </c>
      <c r="H120" s="40" t="s">
        <v>1100</v>
      </c>
      <c r="I120" s="45">
        <v>57623</v>
      </c>
    </row>
    <row r="121" spans="5:9" x14ac:dyDescent="0.3">
      <c r="E121" s="43" t="s">
        <v>122</v>
      </c>
      <c r="F121" s="44">
        <v>42348.927430555559</v>
      </c>
      <c r="G121" s="40" t="s">
        <v>1022</v>
      </c>
      <c r="H121" s="40" t="s">
        <v>1101</v>
      </c>
      <c r="I121" s="45">
        <v>80061</v>
      </c>
    </row>
    <row r="122" spans="5:9" x14ac:dyDescent="0.3">
      <c r="E122" s="43" t="s">
        <v>123</v>
      </c>
      <c r="F122" s="44">
        <v>42206.706377314818</v>
      </c>
      <c r="G122" s="40" t="s">
        <v>1023</v>
      </c>
      <c r="H122" s="40" t="s">
        <v>1102</v>
      </c>
      <c r="I122" s="45">
        <v>61453</v>
      </c>
    </row>
    <row r="123" spans="5:9" x14ac:dyDescent="0.3">
      <c r="E123" s="43" t="s">
        <v>124</v>
      </c>
      <c r="F123" s="44">
        <v>42233.145324074074</v>
      </c>
      <c r="G123" s="40" t="s">
        <v>1024</v>
      </c>
      <c r="H123" s="40" t="s">
        <v>1103</v>
      </c>
      <c r="I123" s="45">
        <v>99730</v>
      </c>
    </row>
    <row r="124" spans="5:9" x14ac:dyDescent="0.3">
      <c r="E124" s="43" t="s">
        <v>125</v>
      </c>
      <c r="F124" s="44">
        <v>42227.479641203703</v>
      </c>
      <c r="G124" s="40" t="s">
        <v>1025</v>
      </c>
      <c r="H124" s="40" t="s">
        <v>1104</v>
      </c>
      <c r="I124" s="45">
        <v>4715</v>
      </c>
    </row>
    <row r="125" spans="5:9" x14ac:dyDescent="0.3">
      <c r="E125" s="43" t="s">
        <v>126</v>
      </c>
      <c r="F125" s="44">
        <v>42326.942256944443</v>
      </c>
      <c r="G125" s="40" t="s">
        <v>1026</v>
      </c>
      <c r="H125" s="40" t="s">
        <v>1105</v>
      </c>
      <c r="I125" s="45">
        <v>38606</v>
      </c>
    </row>
    <row r="126" spans="5:9" x14ac:dyDescent="0.3">
      <c r="E126" s="43" t="s">
        <v>127</v>
      </c>
      <c r="F126" s="44">
        <v>42144.780810185184</v>
      </c>
      <c r="G126" s="40" t="s">
        <v>1027</v>
      </c>
      <c r="H126" s="40" t="s">
        <v>1106</v>
      </c>
      <c r="I126" s="45">
        <v>97857</v>
      </c>
    </row>
    <row r="127" spans="5:9" x14ac:dyDescent="0.3">
      <c r="E127" s="43" t="s">
        <v>128</v>
      </c>
      <c r="F127" s="44">
        <v>42323.21603009259</v>
      </c>
      <c r="G127" s="40" t="s">
        <v>1008</v>
      </c>
      <c r="H127" s="40" t="s">
        <v>1107</v>
      </c>
      <c r="I127" s="45">
        <v>82824</v>
      </c>
    </row>
    <row r="128" spans="5:9" x14ac:dyDescent="0.3">
      <c r="E128" s="43" t="s">
        <v>129</v>
      </c>
      <c r="F128" s="44">
        <v>42128.832083333335</v>
      </c>
      <c r="G128" s="40" t="s">
        <v>1009</v>
      </c>
      <c r="H128" s="40" t="s">
        <v>1108</v>
      </c>
      <c r="I128" s="45">
        <v>50170</v>
      </c>
    </row>
    <row r="129" spans="5:9" x14ac:dyDescent="0.3">
      <c r="E129" s="43" t="s">
        <v>130</v>
      </c>
      <c r="F129" s="44">
        <v>42006.784166666665</v>
      </c>
      <c r="G129" s="40" t="s">
        <v>1010</v>
      </c>
      <c r="H129" s="40" t="s">
        <v>1109</v>
      </c>
      <c r="I129" s="45">
        <v>18044</v>
      </c>
    </row>
    <row r="130" spans="5:9" x14ac:dyDescent="0.3">
      <c r="E130" s="43" t="s">
        <v>131</v>
      </c>
      <c r="F130" s="44">
        <v>42129.010995370372</v>
      </c>
      <c r="G130" s="40" t="s">
        <v>1011</v>
      </c>
      <c r="H130" s="40" t="s">
        <v>1110</v>
      </c>
      <c r="I130" s="45">
        <v>80850</v>
      </c>
    </row>
    <row r="131" spans="5:9" x14ac:dyDescent="0.3">
      <c r="E131" s="43" t="s">
        <v>132</v>
      </c>
      <c r="F131" s="44">
        <v>42290.804155092592</v>
      </c>
      <c r="G131" s="40" t="s">
        <v>1012</v>
      </c>
      <c r="H131" s="40" t="s">
        <v>1111</v>
      </c>
      <c r="I131" s="45">
        <v>19991</v>
      </c>
    </row>
    <row r="132" spans="5:9" x14ac:dyDescent="0.3">
      <c r="E132" s="43" t="s">
        <v>133</v>
      </c>
      <c r="F132" s="44">
        <v>42276.449837962966</v>
      </c>
      <c r="G132" s="40" t="s">
        <v>1013</v>
      </c>
      <c r="H132" s="40" t="s">
        <v>1112</v>
      </c>
      <c r="I132" s="45">
        <v>58953</v>
      </c>
    </row>
    <row r="133" spans="5:9" x14ac:dyDescent="0.3">
      <c r="E133" s="43" t="s">
        <v>134</v>
      </c>
      <c r="F133" s="44">
        <v>42339.974895833337</v>
      </c>
      <c r="G133" s="40" t="s">
        <v>1014</v>
      </c>
      <c r="H133" s="40" t="s">
        <v>1113</v>
      </c>
      <c r="I133" s="45">
        <v>9328</v>
      </c>
    </row>
    <row r="134" spans="5:9" x14ac:dyDescent="0.3">
      <c r="E134" s="43" t="s">
        <v>135</v>
      </c>
      <c r="F134" s="44">
        <v>42145.642256944448</v>
      </c>
      <c r="G134" s="40" t="s">
        <v>1015</v>
      </c>
      <c r="H134" s="40" t="s">
        <v>1114</v>
      </c>
      <c r="I134" s="45">
        <v>11487</v>
      </c>
    </row>
    <row r="135" spans="5:9" x14ac:dyDescent="0.3">
      <c r="E135" s="43" t="s">
        <v>136</v>
      </c>
      <c r="F135" s="44">
        <v>42056.562337962961</v>
      </c>
      <c r="G135" s="40" t="s">
        <v>1016</v>
      </c>
      <c r="H135" s="40" t="s">
        <v>1083</v>
      </c>
      <c r="I135" s="45">
        <v>45136</v>
      </c>
    </row>
    <row r="136" spans="5:9" x14ac:dyDescent="0.3">
      <c r="E136" s="43" t="s">
        <v>137</v>
      </c>
      <c r="F136" s="44">
        <v>42284.983263888891</v>
      </c>
      <c r="G136" s="40" t="s">
        <v>1017</v>
      </c>
      <c r="H136" s="40" t="s">
        <v>1085</v>
      </c>
      <c r="I136" s="45">
        <v>68694</v>
      </c>
    </row>
    <row r="137" spans="5:9" x14ac:dyDescent="0.3">
      <c r="E137" s="43" t="s">
        <v>138</v>
      </c>
      <c r="F137" s="44">
        <v>42039.070706018516</v>
      </c>
      <c r="G137" s="40" t="s">
        <v>1018</v>
      </c>
      <c r="H137" s="40" t="s">
        <v>1083</v>
      </c>
      <c r="I137" s="45">
        <v>67508</v>
      </c>
    </row>
    <row r="138" spans="5:9" x14ac:dyDescent="0.3">
      <c r="E138" s="43" t="s">
        <v>139</v>
      </c>
      <c r="F138" s="44">
        <v>42358.32644675926</v>
      </c>
      <c r="G138" s="40" t="s">
        <v>1019</v>
      </c>
      <c r="H138" s="40" t="s">
        <v>1086</v>
      </c>
      <c r="I138" s="45">
        <v>28497</v>
      </c>
    </row>
    <row r="139" spans="5:9" x14ac:dyDescent="0.3">
      <c r="E139" s="43" t="s">
        <v>140</v>
      </c>
      <c r="F139" s="44">
        <v>42062.985335648147</v>
      </c>
      <c r="G139" s="40" t="s">
        <v>1020</v>
      </c>
      <c r="H139" s="40" t="s">
        <v>1087</v>
      </c>
      <c r="I139" s="45">
        <v>28902</v>
      </c>
    </row>
    <row r="140" spans="5:9" x14ac:dyDescent="0.3">
      <c r="E140" s="43" t="s">
        <v>141</v>
      </c>
      <c r="F140" s="44">
        <v>42141.296354166669</v>
      </c>
      <c r="G140" s="40" t="s">
        <v>1021</v>
      </c>
      <c r="H140" s="40" t="s">
        <v>1088</v>
      </c>
      <c r="I140" s="45">
        <v>40268</v>
      </c>
    </row>
    <row r="141" spans="5:9" x14ac:dyDescent="0.3">
      <c r="E141" s="43" t="s">
        <v>142</v>
      </c>
      <c r="F141" s="44">
        <v>42087.552048611113</v>
      </c>
      <c r="G141" s="40" t="s">
        <v>1022</v>
      </c>
      <c r="H141" s="40" t="s">
        <v>1089</v>
      </c>
      <c r="I141" s="45">
        <v>89945</v>
      </c>
    </row>
    <row r="142" spans="5:9" x14ac:dyDescent="0.3">
      <c r="E142" s="43" t="s">
        <v>143</v>
      </c>
      <c r="F142" s="44">
        <v>42037.802083333336</v>
      </c>
      <c r="G142" s="40" t="s">
        <v>1023</v>
      </c>
      <c r="H142" s="40" t="s">
        <v>1090</v>
      </c>
      <c r="I142" s="45">
        <v>17766</v>
      </c>
    </row>
    <row r="143" spans="5:9" x14ac:dyDescent="0.3">
      <c r="E143" s="43" t="s">
        <v>144</v>
      </c>
      <c r="F143" s="44">
        <v>42208.430763888886</v>
      </c>
      <c r="G143" s="40" t="s">
        <v>1024</v>
      </c>
      <c r="H143" s="40" t="s">
        <v>1091</v>
      </c>
      <c r="I143" s="45">
        <v>62318</v>
      </c>
    </row>
    <row r="144" spans="5:9" x14ac:dyDescent="0.3">
      <c r="E144" s="43" t="s">
        <v>145</v>
      </c>
      <c r="F144" s="44">
        <v>42146.975810185184</v>
      </c>
      <c r="G144" s="40" t="s">
        <v>1025</v>
      </c>
      <c r="H144" s="40" t="s">
        <v>1092</v>
      </c>
      <c r="I144" s="45">
        <v>59730</v>
      </c>
    </row>
    <row r="145" spans="5:9" x14ac:dyDescent="0.3">
      <c r="E145" s="43" t="s">
        <v>146</v>
      </c>
      <c r="F145" s="44">
        <v>42069.499641203707</v>
      </c>
      <c r="G145" s="40" t="s">
        <v>1026</v>
      </c>
      <c r="H145" s="40" t="s">
        <v>1093</v>
      </c>
      <c r="I145" s="45">
        <v>74058</v>
      </c>
    </row>
    <row r="146" spans="5:9" x14ac:dyDescent="0.3">
      <c r="E146" s="43" t="s">
        <v>147</v>
      </c>
      <c r="F146" s="44">
        <v>42117.169525462959</v>
      </c>
      <c r="G146" s="40" t="s">
        <v>1027</v>
      </c>
      <c r="H146" s="40" t="s">
        <v>1094</v>
      </c>
      <c r="I146" s="45">
        <v>93174</v>
      </c>
    </row>
    <row r="147" spans="5:9" x14ac:dyDescent="0.3">
      <c r="E147" s="43" t="s">
        <v>148</v>
      </c>
      <c r="F147" s="44">
        <v>42107.288773148146</v>
      </c>
      <c r="G147" s="40" t="s">
        <v>1008</v>
      </c>
      <c r="H147" s="40" t="s">
        <v>1095</v>
      </c>
      <c r="I147" s="45">
        <v>33525</v>
      </c>
    </row>
    <row r="148" spans="5:9" x14ac:dyDescent="0.3">
      <c r="E148" s="43" t="s">
        <v>149</v>
      </c>
      <c r="F148" s="44">
        <v>42028.034189814818</v>
      </c>
      <c r="G148" s="40" t="s">
        <v>1009</v>
      </c>
      <c r="H148" s="40" t="s">
        <v>1096</v>
      </c>
      <c r="I148" s="45">
        <v>46657</v>
      </c>
    </row>
    <row r="149" spans="5:9" x14ac:dyDescent="0.3">
      <c r="E149" s="43" t="s">
        <v>150</v>
      </c>
      <c r="F149" s="44">
        <v>42136.310787037037</v>
      </c>
      <c r="G149" s="40" t="s">
        <v>1010</v>
      </c>
      <c r="H149" s="40" t="s">
        <v>1097</v>
      </c>
      <c r="I149" s="45">
        <v>18761</v>
      </c>
    </row>
    <row r="150" spans="5:9" x14ac:dyDescent="0.3">
      <c r="E150" s="43" t="s">
        <v>151</v>
      </c>
      <c r="F150" s="44">
        <v>42054.364849537036</v>
      </c>
      <c r="G150" s="40" t="s">
        <v>1011</v>
      </c>
      <c r="H150" s="40" t="s">
        <v>1098</v>
      </c>
      <c r="I150" s="45">
        <v>23913</v>
      </c>
    </row>
    <row r="151" spans="5:9" x14ac:dyDescent="0.3">
      <c r="E151" s="43" t="s">
        <v>152</v>
      </c>
      <c r="F151" s="44">
        <v>42271.113449074073</v>
      </c>
      <c r="G151" s="40" t="s">
        <v>1012</v>
      </c>
      <c r="H151" s="40" t="s">
        <v>1099</v>
      </c>
      <c r="I151" s="45">
        <v>16996</v>
      </c>
    </row>
    <row r="152" spans="5:9" x14ac:dyDescent="0.3">
      <c r="E152" s="43" t="s">
        <v>153</v>
      </c>
      <c r="F152" s="44">
        <v>42067.472546296296</v>
      </c>
      <c r="G152" s="40" t="s">
        <v>1013</v>
      </c>
      <c r="H152" s="40" t="s">
        <v>1100</v>
      </c>
      <c r="I152" s="45">
        <v>30270</v>
      </c>
    </row>
    <row r="153" spans="5:9" x14ac:dyDescent="0.3">
      <c r="E153" s="43" t="s">
        <v>154</v>
      </c>
      <c r="F153" s="44">
        <v>42017.940694444442</v>
      </c>
      <c r="G153" s="40" t="s">
        <v>1014</v>
      </c>
      <c r="H153" s="40" t="s">
        <v>1101</v>
      </c>
      <c r="I153" s="45">
        <v>77274</v>
      </c>
    </row>
    <row r="154" spans="5:9" x14ac:dyDescent="0.3">
      <c r="E154" s="43" t="s">
        <v>155</v>
      </c>
      <c r="F154" s="44">
        <v>42130.316550925927</v>
      </c>
      <c r="G154" s="40" t="s">
        <v>1015</v>
      </c>
      <c r="H154" s="40" t="s">
        <v>1102</v>
      </c>
      <c r="I154" s="45">
        <v>64856</v>
      </c>
    </row>
    <row r="155" spans="5:9" x14ac:dyDescent="0.3">
      <c r="E155" s="43" t="s">
        <v>156</v>
      </c>
      <c r="F155" s="44">
        <v>42351.664918981478</v>
      </c>
      <c r="G155" s="40" t="s">
        <v>1016</v>
      </c>
      <c r="H155" s="40" t="s">
        <v>1103</v>
      </c>
      <c r="I155" s="45">
        <v>72395</v>
      </c>
    </row>
    <row r="156" spans="5:9" x14ac:dyDescent="0.3">
      <c r="E156" s="43" t="s">
        <v>157</v>
      </c>
      <c r="F156" s="44">
        <v>42162.050925925927</v>
      </c>
      <c r="G156" s="40" t="s">
        <v>1017</v>
      </c>
      <c r="H156" s="40" t="s">
        <v>1104</v>
      </c>
      <c r="I156" s="45">
        <v>44323</v>
      </c>
    </row>
    <row r="157" spans="5:9" x14ac:dyDescent="0.3">
      <c r="E157" s="43" t="s">
        <v>158</v>
      </c>
      <c r="F157" s="44">
        <v>42137.294282407405</v>
      </c>
      <c r="G157" s="40" t="s">
        <v>1018</v>
      </c>
      <c r="H157" s="40" t="s">
        <v>1105</v>
      </c>
      <c r="I157" s="45">
        <v>41676</v>
      </c>
    </row>
    <row r="158" spans="5:9" x14ac:dyDescent="0.3">
      <c r="E158" s="43" t="s">
        <v>159</v>
      </c>
      <c r="F158" s="44">
        <v>42291.441041666665</v>
      </c>
      <c r="G158" s="40" t="s">
        <v>1019</v>
      </c>
      <c r="H158" s="40" t="s">
        <v>1106</v>
      </c>
      <c r="I158" s="45">
        <v>17055</v>
      </c>
    </row>
    <row r="159" spans="5:9" x14ac:dyDescent="0.3">
      <c r="E159" s="43" t="s">
        <v>160</v>
      </c>
      <c r="F159" s="44">
        <v>42158.099675925929</v>
      </c>
      <c r="G159" s="40" t="s">
        <v>1020</v>
      </c>
      <c r="H159" s="40" t="s">
        <v>1107</v>
      </c>
      <c r="I159" s="45">
        <v>64155</v>
      </c>
    </row>
    <row r="160" spans="5:9" x14ac:dyDescent="0.3">
      <c r="E160" s="43" t="s">
        <v>161</v>
      </c>
      <c r="F160" s="44">
        <v>42321.933981481481</v>
      </c>
      <c r="G160" s="40" t="s">
        <v>1021</v>
      </c>
      <c r="H160" s="40" t="s">
        <v>1108</v>
      </c>
      <c r="I160" s="45">
        <v>30434</v>
      </c>
    </row>
    <row r="161" spans="5:9" x14ac:dyDescent="0.3">
      <c r="E161" s="43" t="s">
        <v>162</v>
      </c>
      <c r="F161" s="44">
        <v>42044.270624999997</v>
      </c>
      <c r="G161" s="40" t="s">
        <v>1022</v>
      </c>
      <c r="H161" s="40" t="s">
        <v>1109</v>
      </c>
      <c r="I161" s="45">
        <v>18443</v>
      </c>
    </row>
    <row r="162" spans="5:9" x14ac:dyDescent="0.3">
      <c r="E162" s="43" t="s">
        <v>163</v>
      </c>
      <c r="F162" s="44">
        <v>42090.084305555552</v>
      </c>
      <c r="G162" s="40" t="s">
        <v>1023</v>
      </c>
      <c r="H162" s="40" t="s">
        <v>1110</v>
      </c>
      <c r="I162" s="45">
        <v>55403</v>
      </c>
    </row>
    <row r="163" spans="5:9" x14ac:dyDescent="0.3">
      <c r="E163" s="43" t="s">
        <v>164</v>
      </c>
      <c r="F163" s="44">
        <v>42351.063449074078</v>
      </c>
      <c r="G163" s="40" t="s">
        <v>1024</v>
      </c>
      <c r="H163" s="40" t="s">
        <v>1111</v>
      </c>
      <c r="I163" s="45">
        <v>8437</v>
      </c>
    </row>
    <row r="164" spans="5:9" x14ac:dyDescent="0.3">
      <c r="E164" s="43" t="s">
        <v>165</v>
      </c>
      <c r="F164" s="44">
        <v>42361.803738425922</v>
      </c>
      <c r="G164" s="40" t="s">
        <v>1025</v>
      </c>
      <c r="H164" s="40" t="s">
        <v>1112</v>
      </c>
      <c r="I164" s="45">
        <v>94485</v>
      </c>
    </row>
    <row r="165" spans="5:9" x14ac:dyDescent="0.3">
      <c r="E165" s="43" t="s">
        <v>166</v>
      </c>
      <c r="F165" s="44">
        <v>42339.435486111113</v>
      </c>
      <c r="G165" s="40" t="s">
        <v>1026</v>
      </c>
      <c r="H165" s="40" t="s">
        <v>1113</v>
      </c>
      <c r="I165" s="45">
        <v>89774</v>
      </c>
    </row>
    <row r="166" spans="5:9" x14ac:dyDescent="0.3">
      <c r="E166" s="43" t="s">
        <v>167</v>
      </c>
      <c r="F166" s="44">
        <v>42277.457557870373</v>
      </c>
      <c r="G166" s="40" t="s">
        <v>1027</v>
      </c>
      <c r="H166" s="40" t="s">
        <v>1114</v>
      </c>
      <c r="I166" s="45">
        <v>95895</v>
      </c>
    </row>
    <row r="167" spans="5:9" x14ac:dyDescent="0.3">
      <c r="E167" s="43" t="s">
        <v>168</v>
      </c>
      <c r="F167" s="44">
        <v>42179.616527777776</v>
      </c>
      <c r="G167" s="40" t="s">
        <v>1008</v>
      </c>
      <c r="H167" s="40" t="s">
        <v>1083</v>
      </c>
      <c r="I167" s="45">
        <v>55061</v>
      </c>
    </row>
    <row r="168" spans="5:9" x14ac:dyDescent="0.3">
      <c r="E168" s="43" t="s">
        <v>169</v>
      </c>
      <c r="F168" s="44">
        <v>42274.562222222223</v>
      </c>
      <c r="G168" s="40" t="s">
        <v>1009</v>
      </c>
      <c r="H168" s="40" t="s">
        <v>1085</v>
      </c>
      <c r="I168" s="45">
        <v>10396</v>
      </c>
    </row>
    <row r="169" spans="5:9" x14ac:dyDescent="0.3">
      <c r="E169" s="43" t="s">
        <v>170</v>
      </c>
      <c r="F169" s="44">
        <v>42277.311550925922</v>
      </c>
      <c r="G169" s="40" t="s">
        <v>1010</v>
      </c>
      <c r="H169" s="40" t="s">
        <v>1083</v>
      </c>
      <c r="I169" s="45">
        <v>47584</v>
      </c>
    </row>
    <row r="170" spans="5:9" x14ac:dyDescent="0.3">
      <c r="E170" s="43" t="s">
        <v>171</v>
      </c>
      <c r="F170" s="44">
        <v>42324.313935185186</v>
      </c>
      <c r="G170" s="40" t="s">
        <v>1011</v>
      </c>
      <c r="H170" s="40" t="s">
        <v>1086</v>
      </c>
      <c r="I170" s="45">
        <v>62275</v>
      </c>
    </row>
    <row r="171" spans="5:9" x14ac:dyDescent="0.3">
      <c r="E171" s="43" t="s">
        <v>172</v>
      </c>
      <c r="F171" s="44">
        <v>42111.629131944443</v>
      </c>
      <c r="G171" s="40" t="s">
        <v>1012</v>
      </c>
      <c r="H171" s="40" t="s">
        <v>1087</v>
      </c>
      <c r="I171" s="45">
        <v>57310</v>
      </c>
    </row>
    <row r="172" spans="5:9" x14ac:dyDescent="0.3">
      <c r="E172" s="43" t="s">
        <v>173</v>
      </c>
      <c r="F172" s="44">
        <v>42014.671851851854</v>
      </c>
      <c r="G172" s="40" t="s">
        <v>1013</v>
      </c>
      <c r="H172" s="40" t="s">
        <v>1088</v>
      </c>
      <c r="I172" s="45">
        <v>30141</v>
      </c>
    </row>
    <row r="173" spans="5:9" x14ac:dyDescent="0.3">
      <c r="E173" s="43" t="s">
        <v>174</v>
      </c>
      <c r="F173" s="44">
        <v>42309.72383101852</v>
      </c>
      <c r="G173" s="40" t="s">
        <v>1014</v>
      </c>
      <c r="H173" s="40" t="s">
        <v>1089</v>
      </c>
      <c r="I173" s="45">
        <v>59664</v>
      </c>
    </row>
    <row r="174" spans="5:9" x14ac:dyDescent="0.3">
      <c r="E174" s="43" t="s">
        <v>175</v>
      </c>
      <c r="F174" s="44">
        <v>42278.423321759263</v>
      </c>
      <c r="G174" s="40" t="s">
        <v>1015</v>
      </c>
      <c r="H174" s="40" t="s">
        <v>1090</v>
      </c>
      <c r="I174" s="45">
        <v>69516</v>
      </c>
    </row>
    <row r="175" spans="5:9" x14ac:dyDescent="0.3">
      <c r="E175" s="43" t="s">
        <v>176</v>
      </c>
      <c r="F175" s="44">
        <v>42053.289826388886</v>
      </c>
      <c r="G175" s="40" t="s">
        <v>1016</v>
      </c>
      <c r="H175" s="40" t="s">
        <v>1091</v>
      </c>
      <c r="I175" s="45">
        <v>42261</v>
      </c>
    </row>
    <row r="176" spans="5:9" x14ac:dyDescent="0.3">
      <c r="E176" s="43" t="s">
        <v>177</v>
      </c>
      <c r="F176" s="44">
        <v>42205.134687500002</v>
      </c>
      <c r="G176" s="40" t="s">
        <v>1017</v>
      </c>
      <c r="H176" s="40" t="s">
        <v>1092</v>
      </c>
      <c r="I176" s="45">
        <v>59205</v>
      </c>
    </row>
    <row r="177" spans="5:9" x14ac:dyDescent="0.3">
      <c r="E177" s="43" t="s">
        <v>178</v>
      </c>
      <c r="F177" s="44">
        <v>42235.853136574071</v>
      </c>
      <c r="G177" s="40" t="s">
        <v>1018</v>
      </c>
      <c r="H177" s="40" t="s">
        <v>1093</v>
      </c>
      <c r="I177" s="45">
        <v>58563</v>
      </c>
    </row>
    <row r="178" spans="5:9" x14ac:dyDescent="0.3">
      <c r="E178" s="43" t="s">
        <v>179</v>
      </c>
      <c r="F178" s="44">
        <v>42168.68167824074</v>
      </c>
      <c r="G178" s="40" t="s">
        <v>1019</v>
      </c>
      <c r="H178" s="40" t="s">
        <v>1094</v>
      </c>
      <c r="I178" s="45">
        <v>71628</v>
      </c>
    </row>
    <row r="179" spans="5:9" x14ac:dyDescent="0.3">
      <c r="E179" s="43" t="s">
        <v>180</v>
      </c>
      <c r="F179" s="44">
        <v>42171.761307870373</v>
      </c>
      <c r="G179" s="40" t="s">
        <v>1020</v>
      </c>
      <c r="H179" s="40" t="s">
        <v>1095</v>
      </c>
      <c r="I179" s="45">
        <v>56838</v>
      </c>
    </row>
    <row r="180" spans="5:9" x14ac:dyDescent="0.3">
      <c r="E180" s="43" t="s">
        <v>181</v>
      </c>
      <c r="F180" s="44">
        <v>42256.295613425929</v>
      </c>
      <c r="G180" s="40" t="s">
        <v>1021</v>
      </c>
      <c r="H180" s="40" t="s">
        <v>1096</v>
      </c>
      <c r="I180" s="45">
        <v>58586</v>
      </c>
    </row>
    <row r="181" spans="5:9" x14ac:dyDescent="0.3">
      <c r="E181" s="43" t="s">
        <v>182</v>
      </c>
      <c r="F181" s="44">
        <v>42012.030844907407</v>
      </c>
      <c r="G181" s="40" t="s">
        <v>1022</v>
      </c>
      <c r="H181" s="40" t="s">
        <v>1097</v>
      </c>
      <c r="I181" s="45">
        <v>44537</v>
      </c>
    </row>
    <row r="182" spans="5:9" x14ac:dyDescent="0.3">
      <c r="E182" s="43" t="s">
        <v>183</v>
      </c>
      <c r="F182" s="44">
        <v>42364.742118055554</v>
      </c>
      <c r="G182" s="40" t="s">
        <v>1023</v>
      </c>
      <c r="H182" s="40" t="s">
        <v>1098</v>
      </c>
      <c r="I182" s="45">
        <v>45301</v>
      </c>
    </row>
    <row r="183" spans="5:9" x14ac:dyDescent="0.3">
      <c r="E183" s="43" t="s">
        <v>184</v>
      </c>
      <c r="F183" s="44">
        <v>42357.362083333333</v>
      </c>
      <c r="G183" s="40" t="s">
        <v>1024</v>
      </c>
      <c r="H183" s="40" t="s">
        <v>1099</v>
      </c>
      <c r="I183" s="45">
        <v>16184</v>
      </c>
    </row>
    <row r="184" spans="5:9" x14ac:dyDescent="0.3">
      <c r="E184" s="43" t="s">
        <v>185</v>
      </c>
      <c r="F184" s="44">
        <v>42123.773877314816</v>
      </c>
      <c r="G184" s="40" t="s">
        <v>1025</v>
      </c>
      <c r="H184" s="40" t="s">
        <v>1100</v>
      </c>
      <c r="I184" s="45">
        <v>32486</v>
      </c>
    </row>
    <row r="185" spans="5:9" x14ac:dyDescent="0.3">
      <c r="E185" s="43" t="s">
        <v>186</v>
      </c>
      <c r="F185" s="44">
        <v>42083.867523148147</v>
      </c>
      <c r="G185" s="40" t="s">
        <v>1026</v>
      </c>
      <c r="H185" s="40" t="s">
        <v>1101</v>
      </c>
      <c r="I185" s="45">
        <v>78841</v>
      </c>
    </row>
    <row r="186" spans="5:9" x14ac:dyDescent="0.3">
      <c r="E186" s="43" t="s">
        <v>187</v>
      </c>
      <c r="F186" s="44">
        <v>42063.014884259261</v>
      </c>
      <c r="G186" s="40" t="s">
        <v>1027</v>
      </c>
      <c r="H186" s="40" t="s">
        <v>1102</v>
      </c>
      <c r="I186" s="45">
        <v>34209</v>
      </c>
    </row>
    <row r="187" spans="5:9" x14ac:dyDescent="0.3">
      <c r="E187" s="43" t="s">
        <v>188</v>
      </c>
      <c r="F187" s="44">
        <v>42207.56113425926</v>
      </c>
      <c r="G187" s="40" t="s">
        <v>1008</v>
      </c>
      <c r="H187" s="40" t="s">
        <v>1103</v>
      </c>
      <c r="I187" s="45">
        <v>50682</v>
      </c>
    </row>
    <row r="188" spans="5:9" x14ac:dyDescent="0.3">
      <c r="E188" s="43" t="s">
        <v>189</v>
      </c>
      <c r="F188" s="44">
        <v>42322.786574074074</v>
      </c>
      <c r="G188" s="40" t="s">
        <v>1009</v>
      </c>
      <c r="H188" s="40" t="s">
        <v>1104</v>
      </c>
      <c r="I188" s="45">
        <v>33919</v>
      </c>
    </row>
    <row r="189" spans="5:9" x14ac:dyDescent="0.3">
      <c r="E189" s="43" t="s">
        <v>190</v>
      </c>
      <c r="F189" s="44">
        <v>42160.836041666669</v>
      </c>
      <c r="G189" s="40" t="s">
        <v>1010</v>
      </c>
      <c r="H189" s="40" t="s">
        <v>1105</v>
      </c>
      <c r="I189" s="45">
        <v>78889</v>
      </c>
    </row>
    <row r="190" spans="5:9" x14ac:dyDescent="0.3">
      <c r="E190" s="43" t="s">
        <v>191</v>
      </c>
      <c r="F190" s="44">
        <v>42172.350162037037</v>
      </c>
      <c r="G190" s="40" t="s">
        <v>1011</v>
      </c>
      <c r="H190" s="40" t="s">
        <v>1106</v>
      </c>
      <c r="I190" s="45">
        <v>41316</v>
      </c>
    </row>
    <row r="191" spans="5:9" x14ac:dyDescent="0.3">
      <c r="E191" s="43" t="s">
        <v>192</v>
      </c>
      <c r="F191" s="44">
        <v>42151.985185185185</v>
      </c>
      <c r="G191" s="40" t="s">
        <v>1012</v>
      </c>
      <c r="H191" s="40" t="s">
        <v>1107</v>
      </c>
      <c r="I191" s="45">
        <v>1187</v>
      </c>
    </row>
    <row r="192" spans="5:9" x14ac:dyDescent="0.3">
      <c r="E192" s="43" t="s">
        <v>193</v>
      </c>
      <c r="F192" s="44">
        <v>42256.632071759261</v>
      </c>
      <c r="G192" s="40" t="s">
        <v>1013</v>
      </c>
      <c r="H192" s="40" t="s">
        <v>1108</v>
      </c>
      <c r="I192" s="45">
        <v>47383</v>
      </c>
    </row>
    <row r="193" spans="5:9" x14ac:dyDescent="0.3">
      <c r="E193" s="43" t="s">
        <v>194</v>
      </c>
      <c r="F193" s="44">
        <v>42311.420960648145</v>
      </c>
      <c r="G193" s="40" t="s">
        <v>1014</v>
      </c>
      <c r="H193" s="40" t="s">
        <v>1109</v>
      </c>
      <c r="I193" s="45">
        <v>84839</v>
      </c>
    </row>
    <row r="194" spans="5:9" x14ac:dyDescent="0.3">
      <c r="E194" s="43" t="s">
        <v>195</v>
      </c>
      <c r="F194" s="44">
        <v>42361.497071759259</v>
      </c>
      <c r="G194" s="40" t="s">
        <v>1015</v>
      </c>
      <c r="H194" s="40" t="s">
        <v>1110</v>
      </c>
      <c r="I194" s="45">
        <v>69017</v>
      </c>
    </row>
    <row r="195" spans="5:9" x14ac:dyDescent="0.3">
      <c r="E195" s="43" t="s">
        <v>196</v>
      </c>
      <c r="F195" s="44">
        <v>42333.170324074075</v>
      </c>
      <c r="G195" s="40" t="s">
        <v>1016</v>
      </c>
      <c r="H195" s="40" t="s">
        <v>1111</v>
      </c>
      <c r="I195" s="45">
        <v>60274</v>
      </c>
    </row>
    <row r="196" spans="5:9" x14ac:dyDescent="0.3">
      <c r="E196" s="43" t="s">
        <v>197</v>
      </c>
      <c r="F196" s="44">
        <v>42005.96402777778</v>
      </c>
      <c r="G196" s="40" t="s">
        <v>1017</v>
      </c>
      <c r="H196" s="40" t="s">
        <v>1112</v>
      </c>
      <c r="I196" s="45">
        <v>66773</v>
      </c>
    </row>
    <row r="197" spans="5:9" x14ac:dyDescent="0.3">
      <c r="E197" s="43" t="s">
        <v>198</v>
      </c>
      <c r="F197" s="44">
        <v>42354.061157407406</v>
      </c>
      <c r="G197" s="40" t="s">
        <v>1018</v>
      </c>
      <c r="H197" s="40" t="s">
        <v>1113</v>
      </c>
      <c r="I197" s="45">
        <v>40176</v>
      </c>
    </row>
    <row r="198" spans="5:9" x14ac:dyDescent="0.3">
      <c r="E198" s="43" t="s">
        <v>199</v>
      </c>
      <c r="F198" s="44">
        <v>42062.26358796296</v>
      </c>
      <c r="G198" s="40" t="s">
        <v>1019</v>
      </c>
      <c r="H198" s="40" t="s">
        <v>1114</v>
      </c>
      <c r="I198" s="45">
        <v>94987</v>
      </c>
    </row>
    <row r="199" spans="5:9" x14ac:dyDescent="0.3">
      <c r="E199" s="43" t="s">
        <v>200</v>
      </c>
      <c r="F199" s="44">
        <v>42200.719976851855</v>
      </c>
      <c r="G199" s="40" t="s">
        <v>1020</v>
      </c>
      <c r="H199" s="40" t="s">
        <v>1083</v>
      </c>
      <c r="I199" s="45">
        <v>93951</v>
      </c>
    </row>
    <row r="200" spans="5:9" x14ac:dyDescent="0.3">
      <c r="E200" s="43" t="s">
        <v>201</v>
      </c>
      <c r="F200" s="44">
        <v>42264.27140046296</v>
      </c>
      <c r="G200" s="40" t="s">
        <v>1021</v>
      </c>
      <c r="H200" s="40" t="s">
        <v>1085</v>
      </c>
      <c r="I200" s="45">
        <v>49073</v>
      </c>
    </row>
    <row r="201" spans="5:9" x14ac:dyDescent="0.3">
      <c r="E201" s="43" t="s">
        <v>202</v>
      </c>
      <c r="F201" s="44">
        <v>42158.353344907409</v>
      </c>
      <c r="G201" s="40" t="s">
        <v>1022</v>
      </c>
      <c r="H201" s="40" t="s">
        <v>1083</v>
      </c>
      <c r="I201" s="45">
        <v>3666</v>
      </c>
    </row>
    <row r="202" spans="5:9" x14ac:dyDescent="0.3">
      <c r="E202" s="43" t="s">
        <v>203</v>
      </c>
      <c r="F202" s="44">
        <v>42206.888796296298</v>
      </c>
      <c r="G202" s="40" t="s">
        <v>1023</v>
      </c>
      <c r="H202" s="40" t="s">
        <v>1086</v>
      </c>
      <c r="I202" s="45">
        <v>3584</v>
      </c>
    </row>
    <row r="203" spans="5:9" x14ac:dyDescent="0.3">
      <c r="E203" s="43" t="s">
        <v>204</v>
      </c>
      <c r="F203" s="44">
        <v>42074.874212962961</v>
      </c>
      <c r="G203" s="40" t="s">
        <v>1024</v>
      </c>
      <c r="H203" s="40" t="s">
        <v>1087</v>
      </c>
      <c r="I203" s="45">
        <v>86839</v>
      </c>
    </row>
    <row r="204" spans="5:9" x14ac:dyDescent="0.3">
      <c r="E204" s="43" t="s">
        <v>205</v>
      </c>
      <c r="F204" s="44">
        <v>42281.239074074074</v>
      </c>
      <c r="G204" s="40" t="s">
        <v>1025</v>
      </c>
      <c r="H204" s="40" t="s">
        <v>1088</v>
      </c>
      <c r="I204" s="45">
        <v>10733</v>
      </c>
    </row>
    <row r="205" spans="5:9" x14ac:dyDescent="0.3">
      <c r="E205" s="43" t="s">
        <v>206</v>
      </c>
      <c r="F205" s="44">
        <v>42030.84474537037</v>
      </c>
      <c r="G205" s="40" t="s">
        <v>1026</v>
      </c>
      <c r="H205" s="40" t="s">
        <v>1089</v>
      </c>
      <c r="I205" s="45">
        <v>15232</v>
      </c>
    </row>
    <row r="206" spans="5:9" x14ac:dyDescent="0.3">
      <c r="E206" s="43" t="s">
        <v>207</v>
      </c>
      <c r="F206" s="44">
        <v>42342.320231481484</v>
      </c>
      <c r="G206" s="40" t="s">
        <v>1027</v>
      </c>
      <c r="H206" s="40" t="s">
        <v>1090</v>
      </c>
      <c r="I206" s="45">
        <v>16240</v>
      </c>
    </row>
    <row r="207" spans="5:9" x14ac:dyDescent="0.3">
      <c r="E207" s="43" t="s">
        <v>208</v>
      </c>
      <c r="F207" s="44">
        <v>42101.101307870369</v>
      </c>
      <c r="G207" s="40" t="s">
        <v>1008</v>
      </c>
      <c r="H207" s="40" t="s">
        <v>1091</v>
      </c>
      <c r="I207" s="45">
        <v>86935</v>
      </c>
    </row>
    <row r="208" spans="5:9" x14ac:dyDescent="0.3">
      <c r="E208" s="43" t="s">
        <v>209</v>
      </c>
      <c r="F208" s="44">
        <v>42080.640439814815</v>
      </c>
      <c r="G208" s="40" t="s">
        <v>1009</v>
      </c>
      <c r="H208" s="40" t="s">
        <v>1092</v>
      </c>
      <c r="I208" s="45">
        <v>73411</v>
      </c>
    </row>
    <row r="209" spans="5:9" x14ac:dyDescent="0.3">
      <c r="E209" s="43" t="s">
        <v>210</v>
      </c>
      <c r="F209" s="44">
        <v>42317.394074074073</v>
      </c>
      <c r="G209" s="40" t="s">
        <v>1010</v>
      </c>
      <c r="H209" s="40" t="s">
        <v>1093</v>
      </c>
      <c r="I209" s="45">
        <v>71017</v>
      </c>
    </row>
    <row r="210" spans="5:9" x14ac:dyDescent="0.3">
      <c r="E210" s="43" t="s">
        <v>211</v>
      </c>
      <c r="F210" s="44">
        <v>42320.52511574074</v>
      </c>
      <c r="G210" s="40" t="s">
        <v>1011</v>
      </c>
      <c r="H210" s="40" t="s">
        <v>1094</v>
      </c>
      <c r="I210" s="45">
        <v>97874</v>
      </c>
    </row>
    <row r="211" spans="5:9" x14ac:dyDescent="0.3">
      <c r="E211" s="43" t="s">
        <v>212</v>
      </c>
      <c r="F211" s="44">
        <v>42137.448344907411</v>
      </c>
      <c r="G211" s="40" t="s">
        <v>1012</v>
      </c>
      <c r="H211" s="40" t="s">
        <v>1095</v>
      </c>
      <c r="I211" s="45">
        <v>12890</v>
      </c>
    </row>
    <row r="212" spans="5:9" x14ac:dyDescent="0.3">
      <c r="E212" s="43" t="s">
        <v>213</v>
      </c>
      <c r="F212" s="44">
        <v>42331.425324074073</v>
      </c>
      <c r="G212" s="40" t="s">
        <v>1013</v>
      </c>
      <c r="H212" s="40" t="s">
        <v>1096</v>
      </c>
      <c r="I212" s="45">
        <v>4416</v>
      </c>
    </row>
    <row r="213" spans="5:9" x14ac:dyDescent="0.3">
      <c r="E213" s="43" t="s">
        <v>214</v>
      </c>
      <c r="F213" s="44">
        <v>42211.965486111112</v>
      </c>
      <c r="G213" s="40" t="s">
        <v>1014</v>
      </c>
      <c r="H213" s="40" t="s">
        <v>1097</v>
      </c>
      <c r="I213" s="45">
        <v>78891</v>
      </c>
    </row>
    <row r="214" spans="5:9" x14ac:dyDescent="0.3">
      <c r="E214" s="43" t="s">
        <v>215</v>
      </c>
      <c r="F214" s="44">
        <v>42170.725254629629</v>
      </c>
      <c r="G214" s="40" t="s">
        <v>1015</v>
      </c>
      <c r="H214" s="40" t="s">
        <v>1098</v>
      </c>
      <c r="I214" s="45">
        <v>53180</v>
      </c>
    </row>
    <row r="215" spans="5:9" x14ac:dyDescent="0.3">
      <c r="E215" s="43" t="s">
        <v>216</v>
      </c>
      <c r="F215" s="44">
        <v>42309.134085648147</v>
      </c>
      <c r="G215" s="40" t="s">
        <v>1016</v>
      </c>
      <c r="H215" s="40" t="s">
        <v>1099</v>
      </c>
      <c r="I215" s="45">
        <v>68167</v>
      </c>
    </row>
    <row r="216" spans="5:9" x14ac:dyDescent="0.3">
      <c r="E216" s="43" t="s">
        <v>217</v>
      </c>
      <c r="F216" s="44">
        <v>42186.803749999999</v>
      </c>
      <c r="G216" s="40" t="s">
        <v>1017</v>
      </c>
      <c r="H216" s="40" t="s">
        <v>1100</v>
      </c>
      <c r="I216" s="45">
        <v>3501</v>
      </c>
    </row>
    <row r="217" spans="5:9" x14ac:dyDescent="0.3">
      <c r="E217" s="43" t="s">
        <v>218</v>
      </c>
      <c r="F217" s="44">
        <v>42261.528379629628</v>
      </c>
      <c r="G217" s="40" t="s">
        <v>1018</v>
      </c>
      <c r="H217" s="40" t="s">
        <v>1101</v>
      </c>
      <c r="I217" s="45">
        <v>40692</v>
      </c>
    </row>
    <row r="218" spans="5:9" x14ac:dyDescent="0.3">
      <c r="E218" s="43" t="s">
        <v>219</v>
      </c>
      <c r="F218" s="44">
        <v>42220.998935185184</v>
      </c>
      <c r="G218" s="40" t="s">
        <v>1019</v>
      </c>
      <c r="H218" s="40" t="s">
        <v>1102</v>
      </c>
      <c r="I218" s="45">
        <v>13736</v>
      </c>
    </row>
    <row r="219" spans="5:9" x14ac:dyDescent="0.3">
      <c r="E219" s="43" t="s">
        <v>220</v>
      </c>
      <c r="F219" s="44">
        <v>42300.559791666667</v>
      </c>
      <c r="G219" s="40" t="s">
        <v>1020</v>
      </c>
      <c r="H219" s="40" t="s">
        <v>1103</v>
      </c>
      <c r="I219" s="45">
        <v>80358</v>
      </c>
    </row>
    <row r="220" spans="5:9" x14ac:dyDescent="0.3">
      <c r="E220" s="43" t="s">
        <v>221</v>
      </c>
      <c r="F220" s="44">
        <v>42250.655798611115</v>
      </c>
      <c r="G220" s="40" t="s">
        <v>1021</v>
      </c>
      <c r="H220" s="40" t="s">
        <v>1104</v>
      </c>
      <c r="I220" s="45">
        <v>59200</v>
      </c>
    </row>
    <row r="221" spans="5:9" x14ac:dyDescent="0.3">
      <c r="E221" s="43" t="s">
        <v>222</v>
      </c>
      <c r="F221" s="44">
        <v>42298.591145833336</v>
      </c>
      <c r="G221" s="40" t="s">
        <v>1022</v>
      </c>
      <c r="H221" s="40" t="s">
        <v>1105</v>
      </c>
      <c r="I221" s="45">
        <v>86607</v>
      </c>
    </row>
    <row r="222" spans="5:9" x14ac:dyDescent="0.3">
      <c r="E222" s="43" t="s">
        <v>223</v>
      </c>
      <c r="F222" s="44">
        <v>42152.261435185188</v>
      </c>
      <c r="G222" s="40" t="s">
        <v>1023</v>
      </c>
      <c r="H222" s="40" t="s">
        <v>1106</v>
      </c>
      <c r="I222" s="45">
        <v>28477</v>
      </c>
    </row>
    <row r="223" spans="5:9" x14ac:dyDescent="0.3">
      <c r="E223" s="43" t="s">
        <v>224</v>
      </c>
      <c r="F223" s="44">
        <v>42071.718518518515</v>
      </c>
      <c r="G223" s="40" t="s">
        <v>1024</v>
      </c>
      <c r="H223" s="40" t="s">
        <v>1107</v>
      </c>
      <c r="I223" s="45">
        <v>98933</v>
      </c>
    </row>
    <row r="224" spans="5:9" x14ac:dyDescent="0.3">
      <c r="E224" s="43" t="s">
        <v>225</v>
      </c>
      <c r="F224" s="44">
        <v>42028.006898148145</v>
      </c>
      <c r="G224" s="40" t="s">
        <v>1025</v>
      </c>
      <c r="H224" s="40" t="s">
        <v>1108</v>
      </c>
      <c r="I224" s="45">
        <v>94401</v>
      </c>
    </row>
    <row r="225" spans="5:9" x14ac:dyDescent="0.3">
      <c r="E225" s="43" t="s">
        <v>226</v>
      </c>
      <c r="F225" s="44">
        <v>42048.839895833335</v>
      </c>
      <c r="G225" s="40" t="s">
        <v>1026</v>
      </c>
      <c r="H225" s="40" t="s">
        <v>1109</v>
      </c>
      <c r="I225" s="45">
        <v>59696</v>
      </c>
    </row>
    <row r="226" spans="5:9" x14ac:dyDescent="0.3">
      <c r="E226" s="43" t="s">
        <v>227</v>
      </c>
      <c r="F226" s="44">
        <v>42296.840613425928</v>
      </c>
      <c r="G226" s="40" t="s">
        <v>1027</v>
      </c>
      <c r="H226" s="40" t="s">
        <v>1110</v>
      </c>
      <c r="I226" s="45">
        <v>61465</v>
      </c>
    </row>
    <row r="227" spans="5:9" x14ac:dyDescent="0.3">
      <c r="E227" s="43" t="s">
        <v>228</v>
      </c>
      <c r="F227" s="44">
        <v>42270.705335648148</v>
      </c>
      <c r="G227" s="40" t="s">
        <v>1008</v>
      </c>
      <c r="H227" s="40" t="s">
        <v>1111</v>
      </c>
      <c r="I227" s="45">
        <v>20322</v>
      </c>
    </row>
    <row r="228" spans="5:9" x14ac:dyDescent="0.3">
      <c r="E228" s="43" t="s">
        <v>229</v>
      </c>
      <c r="F228" s="44">
        <v>42267.943611111114</v>
      </c>
      <c r="G228" s="40" t="s">
        <v>1009</v>
      </c>
      <c r="H228" s="40" t="s">
        <v>1112</v>
      </c>
      <c r="I228" s="45">
        <v>68364</v>
      </c>
    </row>
    <row r="229" spans="5:9" x14ac:dyDescent="0.3">
      <c r="E229" s="43" t="s">
        <v>230</v>
      </c>
      <c r="F229" s="44">
        <v>42322.211076388892</v>
      </c>
      <c r="G229" s="40" t="s">
        <v>1010</v>
      </c>
      <c r="H229" s="40" t="s">
        <v>1113</v>
      </c>
      <c r="I229" s="45">
        <v>42278</v>
      </c>
    </row>
    <row r="230" spans="5:9" x14ac:dyDescent="0.3">
      <c r="E230" s="43" t="s">
        <v>231</v>
      </c>
      <c r="F230" s="44">
        <v>42024.640324074076</v>
      </c>
      <c r="G230" s="40" t="s">
        <v>1011</v>
      </c>
      <c r="H230" s="40" t="s">
        <v>1114</v>
      </c>
      <c r="I230" s="45">
        <v>49425</v>
      </c>
    </row>
    <row r="231" spans="5:9" x14ac:dyDescent="0.3">
      <c r="E231" s="43" t="s">
        <v>232</v>
      </c>
      <c r="F231" s="44">
        <v>42096.952824074076</v>
      </c>
      <c r="G231" s="40" t="s">
        <v>1012</v>
      </c>
      <c r="H231" s="40" t="s">
        <v>1083</v>
      </c>
      <c r="I231" s="45">
        <v>73585</v>
      </c>
    </row>
    <row r="232" spans="5:9" x14ac:dyDescent="0.3">
      <c r="E232" s="43" t="s">
        <v>233</v>
      </c>
      <c r="F232" s="44">
        <v>42014.241527777776</v>
      </c>
      <c r="G232" s="40" t="s">
        <v>1013</v>
      </c>
      <c r="H232" s="40" t="s">
        <v>1085</v>
      </c>
      <c r="I232" s="45">
        <v>93029</v>
      </c>
    </row>
    <row r="233" spans="5:9" x14ac:dyDescent="0.3">
      <c r="E233" s="43" t="s">
        <v>234</v>
      </c>
      <c r="F233" s="44">
        <v>42310.725324074076</v>
      </c>
      <c r="G233" s="40" t="s">
        <v>1014</v>
      </c>
      <c r="H233" s="40" t="s">
        <v>1083</v>
      </c>
      <c r="I233" s="45">
        <v>41359</v>
      </c>
    </row>
    <row r="234" spans="5:9" x14ac:dyDescent="0.3">
      <c r="E234" s="43" t="s">
        <v>235</v>
      </c>
      <c r="F234" s="44">
        <v>42102.441076388888</v>
      </c>
      <c r="G234" s="40" t="s">
        <v>1015</v>
      </c>
      <c r="H234" s="40" t="s">
        <v>1086</v>
      </c>
      <c r="I234" s="45">
        <v>21294</v>
      </c>
    </row>
    <row r="235" spans="5:9" x14ac:dyDescent="0.3">
      <c r="E235" s="43" t="s">
        <v>236</v>
      </c>
      <c r="F235" s="44">
        <v>42075.875092592592</v>
      </c>
      <c r="G235" s="40" t="s">
        <v>1016</v>
      </c>
      <c r="H235" s="40" t="s">
        <v>1087</v>
      </c>
      <c r="I235" s="45">
        <v>56837</v>
      </c>
    </row>
    <row r="236" spans="5:9" x14ac:dyDescent="0.3">
      <c r="E236" s="43" t="s">
        <v>237</v>
      </c>
      <c r="F236" s="44">
        <v>42159.768993055557</v>
      </c>
      <c r="G236" s="40" t="s">
        <v>1017</v>
      </c>
      <c r="H236" s="40" t="s">
        <v>1088</v>
      </c>
      <c r="I236" s="45">
        <v>92027</v>
      </c>
    </row>
    <row r="237" spans="5:9" x14ac:dyDescent="0.3">
      <c r="E237" s="43" t="s">
        <v>238</v>
      </c>
      <c r="F237" s="44">
        <v>42304.578634259262</v>
      </c>
      <c r="G237" s="40" t="s">
        <v>1018</v>
      </c>
      <c r="H237" s="40" t="s">
        <v>1089</v>
      </c>
      <c r="I237" s="45">
        <v>98757</v>
      </c>
    </row>
    <row r="238" spans="5:9" x14ac:dyDescent="0.3">
      <c r="E238" s="43" t="s">
        <v>239</v>
      </c>
      <c r="F238" s="44">
        <v>42043.957071759258</v>
      </c>
      <c r="G238" s="40" t="s">
        <v>1019</v>
      </c>
      <c r="H238" s="40" t="s">
        <v>1090</v>
      </c>
      <c r="I238" s="45">
        <v>50019</v>
      </c>
    </row>
    <row r="239" spans="5:9" x14ac:dyDescent="0.3">
      <c r="E239" s="43" t="s">
        <v>240</v>
      </c>
      <c r="F239" s="44">
        <v>42033.090486111112</v>
      </c>
      <c r="G239" s="40" t="s">
        <v>1020</v>
      </c>
      <c r="H239" s="40" t="s">
        <v>1091</v>
      </c>
      <c r="I239" s="45">
        <v>18166</v>
      </c>
    </row>
    <row r="240" spans="5:9" x14ac:dyDescent="0.3">
      <c r="E240" s="43" t="s">
        <v>241</v>
      </c>
      <c r="F240" s="44">
        <v>42079.133738425924</v>
      </c>
      <c r="G240" s="40" t="s">
        <v>1021</v>
      </c>
      <c r="H240" s="40" t="s">
        <v>1092</v>
      </c>
      <c r="I240" s="45">
        <v>45623</v>
      </c>
    </row>
    <row r="241" spans="5:9" x14ac:dyDescent="0.3">
      <c r="E241" s="43" t="s">
        <v>242</v>
      </c>
      <c r="F241" s="44">
        <v>42078.232361111113</v>
      </c>
      <c r="G241" s="40" t="s">
        <v>1022</v>
      </c>
      <c r="H241" s="40" t="s">
        <v>1093</v>
      </c>
      <c r="I241" s="45">
        <v>60627</v>
      </c>
    </row>
    <row r="242" spans="5:9" x14ac:dyDescent="0.3">
      <c r="E242" s="43" t="s">
        <v>243</v>
      </c>
      <c r="F242" s="44">
        <v>42117.427453703705</v>
      </c>
      <c r="G242" s="40" t="s">
        <v>1023</v>
      </c>
      <c r="H242" s="40" t="s">
        <v>1094</v>
      </c>
      <c r="I242" s="45">
        <v>40769</v>
      </c>
    </row>
    <row r="243" spans="5:9" x14ac:dyDescent="0.3">
      <c r="E243" s="43" t="s">
        <v>244</v>
      </c>
      <c r="F243" s="44">
        <v>42152.436284722222</v>
      </c>
      <c r="G243" s="40" t="s">
        <v>1024</v>
      </c>
      <c r="H243" s="40" t="s">
        <v>1095</v>
      </c>
      <c r="I243" s="45">
        <v>15757</v>
      </c>
    </row>
    <row r="244" spans="5:9" x14ac:dyDescent="0.3">
      <c r="E244" s="43" t="s">
        <v>245</v>
      </c>
      <c r="F244" s="44">
        <v>42032.453449074077</v>
      </c>
      <c r="G244" s="40" t="s">
        <v>1025</v>
      </c>
      <c r="H244" s="40" t="s">
        <v>1096</v>
      </c>
      <c r="I244" s="45">
        <v>60022</v>
      </c>
    </row>
    <row r="245" spans="5:9" x14ac:dyDescent="0.3">
      <c r="E245" s="43" t="s">
        <v>246</v>
      </c>
      <c r="F245" s="44">
        <v>42068.855902777781</v>
      </c>
      <c r="G245" s="40" t="s">
        <v>1026</v>
      </c>
      <c r="H245" s="40" t="s">
        <v>1097</v>
      </c>
      <c r="I245" s="45">
        <v>59875</v>
      </c>
    </row>
    <row r="246" spans="5:9" x14ac:dyDescent="0.3">
      <c r="E246" s="43" t="s">
        <v>247</v>
      </c>
      <c r="F246" s="44">
        <v>42208.392997685187</v>
      </c>
      <c r="G246" s="40" t="s">
        <v>1027</v>
      </c>
      <c r="H246" s="40" t="s">
        <v>1098</v>
      </c>
      <c r="I246" s="45">
        <v>97990</v>
      </c>
    </row>
    <row r="247" spans="5:9" x14ac:dyDescent="0.3">
      <c r="E247" s="43" t="s">
        <v>248</v>
      </c>
      <c r="F247" s="44">
        <v>42170.149212962962</v>
      </c>
      <c r="G247" s="40" t="s">
        <v>1008</v>
      </c>
      <c r="H247" s="40" t="s">
        <v>1099</v>
      </c>
      <c r="I247" s="45">
        <v>59651</v>
      </c>
    </row>
    <row r="248" spans="5:9" x14ac:dyDescent="0.3">
      <c r="E248" s="43" t="s">
        <v>249</v>
      </c>
      <c r="F248" s="44">
        <v>42325.558576388888</v>
      </c>
      <c r="G248" s="40" t="s">
        <v>1009</v>
      </c>
      <c r="H248" s="40" t="s">
        <v>1100</v>
      </c>
      <c r="I248" s="45">
        <v>74862</v>
      </c>
    </row>
    <row r="249" spans="5:9" x14ac:dyDescent="0.3">
      <c r="E249" s="43" t="s">
        <v>250</v>
      </c>
      <c r="F249" s="44">
        <v>42141.338900462964</v>
      </c>
      <c r="G249" s="40" t="s">
        <v>1010</v>
      </c>
      <c r="H249" s="40" t="s">
        <v>1101</v>
      </c>
      <c r="I249" s="45">
        <v>68307</v>
      </c>
    </row>
    <row r="250" spans="5:9" x14ac:dyDescent="0.3">
      <c r="E250" s="43" t="s">
        <v>251</v>
      </c>
      <c r="F250" s="44">
        <v>42163.588252314818</v>
      </c>
      <c r="G250" s="40" t="s">
        <v>1011</v>
      </c>
      <c r="H250" s="40" t="s">
        <v>1102</v>
      </c>
      <c r="I250" s="45">
        <v>27886</v>
      </c>
    </row>
    <row r="251" spans="5:9" x14ac:dyDescent="0.3">
      <c r="E251" s="43" t="s">
        <v>252</v>
      </c>
      <c r="F251" s="44">
        <v>42281.839502314811</v>
      </c>
      <c r="G251" s="40" t="s">
        <v>1012</v>
      </c>
      <c r="H251" s="40" t="s">
        <v>1103</v>
      </c>
      <c r="I251" s="45">
        <v>32037</v>
      </c>
    </row>
    <row r="252" spans="5:9" x14ac:dyDescent="0.3">
      <c r="E252" s="43" t="s">
        <v>253</v>
      </c>
      <c r="F252" s="44">
        <v>42305.965914351851</v>
      </c>
      <c r="G252" s="40" t="s">
        <v>1013</v>
      </c>
      <c r="H252" s="40" t="s">
        <v>1104</v>
      </c>
      <c r="I252" s="45">
        <v>39657</v>
      </c>
    </row>
    <row r="253" spans="5:9" x14ac:dyDescent="0.3">
      <c r="E253" s="43" t="s">
        <v>254</v>
      </c>
      <c r="F253" s="44">
        <v>42286.89806712963</v>
      </c>
      <c r="G253" s="40" t="s">
        <v>1014</v>
      </c>
      <c r="H253" s="40" t="s">
        <v>1105</v>
      </c>
      <c r="I253" s="45">
        <v>30218</v>
      </c>
    </row>
    <row r="254" spans="5:9" x14ac:dyDescent="0.3">
      <c r="E254" s="43" t="s">
        <v>255</v>
      </c>
      <c r="F254" s="44">
        <v>42117.056122685186</v>
      </c>
      <c r="G254" s="40" t="s">
        <v>1015</v>
      </c>
      <c r="H254" s="40" t="s">
        <v>1106</v>
      </c>
      <c r="I254" s="45">
        <v>87012</v>
      </c>
    </row>
    <row r="255" spans="5:9" x14ac:dyDescent="0.3">
      <c r="E255" s="43" t="s">
        <v>256</v>
      </c>
      <c r="F255" s="44">
        <v>42115.652430555558</v>
      </c>
      <c r="G255" s="40" t="s">
        <v>1016</v>
      </c>
      <c r="H255" s="40" t="s">
        <v>1107</v>
      </c>
      <c r="I255" s="45">
        <v>15049</v>
      </c>
    </row>
    <row r="256" spans="5:9" x14ac:dyDescent="0.3">
      <c r="E256" s="43" t="s">
        <v>257</v>
      </c>
      <c r="F256" s="44">
        <v>42329.222719907404</v>
      </c>
      <c r="G256" s="40" t="s">
        <v>1017</v>
      </c>
      <c r="H256" s="40" t="s">
        <v>1108</v>
      </c>
      <c r="I256" s="45">
        <v>65064</v>
      </c>
    </row>
    <row r="257" spans="5:9" x14ac:dyDescent="0.3">
      <c r="E257" s="43" t="s">
        <v>258</v>
      </c>
      <c r="F257" s="44">
        <v>42248.221701388888</v>
      </c>
      <c r="G257" s="40" t="s">
        <v>1018</v>
      </c>
      <c r="H257" s="40" t="s">
        <v>1109</v>
      </c>
      <c r="I257" s="45">
        <v>55354</v>
      </c>
    </row>
    <row r="258" spans="5:9" x14ac:dyDescent="0.3">
      <c r="E258" s="43" t="s">
        <v>259</v>
      </c>
      <c r="F258" s="44">
        <v>42088.522604166668</v>
      </c>
      <c r="G258" s="40" t="s">
        <v>1019</v>
      </c>
      <c r="H258" s="40" t="s">
        <v>1110</v>
      </c>
      <c r="I258" s="45">
        <v>7320</v>
      </c>
    </row>
    <row r="259" spans="5:9" x14ac:dyDescent="0.3">
      <c r="E259" s="43" t="s">
        <v>260</v>
      </c>
      <c r="F259" s="44">
        <v>42348.246724537035</v>
      </c>
      <c r="G259" s="40" t="s">
        <v>1020</v>
      </c>
      <c r="H259" s="40" t="s">
        <v>1111</v>
      </c>
      <c r="I259" s="45">
        <v>99096</v>
      </c>
    </row>
    <row r="260" spans="5:9" x14ac:dyDescent="0.3">
      <c r="E260" s="43" t="s">
        <v>261</v>
      </c>
      <c r="F260" s="44">
        <v>42029.56355324074</v>
      </c>
      <c r="G260" s="40" t="s">
        <v>1021</v>
      </c>
      <c r="H260" s="40" t="s">
        <v>1112</v>
      </c>
      <c r="I260" s="45">
        <v>79227</v>
      </c>
    </row>
    <row r="261" spans="5:9" x14ac:dyDescent="0.3">
      <c r="E261" s="43" t="s">
        <v>262</v>
      </c>
      <c r="F261" s="44">
        <v>42311.213680555556</v>
      </c>
      <c r="G261" s="40" t="s">
        <v>1022</v>
      </c>
      <c r="H261" s="40" t="s">
        <v>1113</v>
      </c>
      <c r="I261" s="45">
        <v>7619</v>
      </c>
    </row>
    <row r="262" spans="5:9" x14ac:dyDescent="0.3">
      <c r="E262" s="43" t="s">
        <v>263</v>
      </c>
      <c r="F262" s="44">
        <v>42013.605219907404</v>
      </c>
      <c r="G262" s="40" t="s">
        <v>1023</v>
      </c>
      <c r="H262" s="40" t="s">
        <v>1114</v>
      </c>
      <c r="I262" s="45">
        <v>72888</v>
      </c>
    </row>
    <row r="263" spans="5:9" x14ac:dyDescent="0.3">
      <c r="E263" s="43" t="s">
        <v>264</v>
      </c>
      <c r="F263" s="44">
        <v>42336.390659722223</v>
      </c>
      <c r="G263" s="40" t="s">
        <v>1024</v>
      </c>
      <c r="H263" s="40" t="s">
        <v>1083</v>
      </c>
      <c r="I263" s="45">
        <v>34227</v>
      </c>
    </row>
    <row r="264" spans="5:9" x14ac:dyDescent="0.3">
      <c r="E264" s="43" t="s">
        <v>265</v>
      </c>
      <c r="F264" s="44">
        <v>42300.707303240742</v>
      </c>
      <c r="G264" s="40" t="s">
        <v>1025</v>
      </c>
      <c r="H264" s="40" t="s">
        <v>1085</v>
      </c>
      <c r="I264" s="45">
        <v>24099</v>
      </c>
    </row>
    <row r="265" spans="5:9" x14ac:dyDescent="0.3">
      <c r="E265" s="43" t="s">
        <v>266</v>
      </c>
      <c r="F265" s="44">
        <v>42107.148599537039</v>
      </c>
      <c r="G265" s="40" t="s">
        <v>1026</v>
      </c>
      <c r="H265" s="40" t="s">
        <v>1083</v>
      </c>
      <c r="I265" s="45">
        <v>45059</v>
      </c>
    </row>
    <row r="266" spans="5:9" x14ac:dyDescent="0.3">
      <c r="E266" s="43" t="s">
        <v>267</v>
      </c>
      <c r="F266" s="44">
        <v>42093.150810185187</v>
      </c>
      <c r="G266" s="40" t="s">
        <v>1027</v>
      </c>
      <c r="H266" s="40" t="s">
        <v>1086</v>
      </c>
      <c r="I266" s="45">
        <v>67543</v>
      </c>
    </row>
    <row r="267" spans="5:9" x14ac:dyDescent="0.3">
      <c r="E267" s="43" t="s">
        <v>268</v>
      </c>
      <c r="F267" s="44">
        <v>42340.909351851849</v>
      </c>
      <c r="G267" s="40" t="s">
        <v>1008</v>
      </c>
      <c r="H267" s="40" t="s">
        <v>1087</v>
      </c>
      <c r="I267" s="45">
        <v>25129</v>
      </c>
    </row>
    <row r="268" spans="5:9" x14ac:dyDescent="0.3">
      <c r="E268" s="43" t="s">
        <v>269</v>
      </c>
      <c r="F268" s="44">
        <v>42044.311608796299</v>
      </c>
      <c r="G268" s="40" t="s">
        <v>1009</v>
      </c>
      <c r="H268" s="40" t="s">
        <v>1088</v>
      </c>
      <c r="I268" s="45">
        <v>67761</v>
      </c>
    </row>
    <row r="269" spans="5:9" x14ac:dyDescent="0.3">
      <c r="E269" s="43" t="s">
        <v>270</v>
      </c>
      <c r="F269" s="44">
        <v>42363.976909722223</v>
      </c>
      <c r="G269" s="40" t="s">
        <v>1010</v>
      </c>
      <c r="H269" s="40" t="s">
        <v>1089</v>
      </c>
      <c r="I269" s="45">
        <v>53053</v>
      </c>
    </row>
    <row r="270" spans="5:9" x14ac:dyDescent="0.3">
      <c r="E270" s="43" t="s">
        <v>271</v>
      </c>
      <c r="F270" s="44">
        <v>42132.565312500003</v>
      </c>
      <c r="G270" s="40" t="s">
        <v>1011</v>
      </c>
      <c r="H270" s="40" t="s">
        <v>1090</v>
      </c>
      <c r="I270" s="45">
        <v>18203</v>
      </c>
    </row>
    <row r="271" spans="5:9" x14ac:dyDescent="0.3">
      <c r="E271" s="43" t="s">
        <v>272</v>
      </c>
      <c r="F271" s="44">
        <v>42239.64366898148</v>
      </c>
      <c r="G271" s="40" t="s">
        <v>1012</v>
      </c>
      <c r="H271" s="40" t="s">
        <v>1091</v>
      </c>
      <c r="I271" s="45">
        <v>72550</v>
      </c>
    </row>
    <row r="272" spans="5:9" x14ac:dyDescent="0.3">
      <c r="E272" s="43" t="s">
        <v>273</v>
      </c>
      <c r="F272" s="44">
        <v>42114.604398148149</v>
      </c>
      <c r="G272" s="40" t="s">
        <v>1013</v>
      </c>
      <c r="H272" s="40" t="s">
        <v>1092</v>
      </c>
      <c r="I272" s="45">
        <v>32107</v>
      </c>
    </row>
    <row r="273" spans="5:9" x14ac:dyDescent="0.3">
      <c r="E273" s="43" t="s">
        <v>274</v>
      </c>
      <c r="F273" s="44">
        <v>42227.081921296296</v>
      </c>
      <c r="G273" s="40" t="s">
        <v>1014</v>
      </c>
      <c r="H273" s="40" t="s">
        <v>1093</v>
      </c>
      <c r="I273" s="45">
        <v>54910</v>
      </c>
    </row>
    <row r="274" spans="5:9" x14ac:dyDescent="0.3">
      <c r="E274" s="43" t="s">
        <v>275</v>
      </c>
      <c r="F274" s="44">
        <v>42037.713750000003</v>
      </c>
      <c r="G274" s="40" t="s">
        <v>1015</v>
      </c>
      <c r="H274" s="40" t="s">
        <v>1094</v>
      </c>
      <c r="I274" s="45">
        <v>45765</v>
      </c>
    </row>
    <row r="275" spans="5:9" x14ac:dyDescent="0.3">
      <c r="E275" s="43" t="s">
        <v>276</v>
      </c>
      <c r="F275" s="44">
        <v>42282.825462962966</v>
      </c>
      <c r="G275" s="40" t="s">
        <v>1016</v>
      </c>
      <c r="H275" s="40" t="s">
        <v>1095</v>
      </c>
      <c r="I275" s="45">
        <v>38192</v>
      </c>
    </row>
    <row r="276" spans="5:9" x14ac:dyDescent="0.3">
      <c r="E276" s="43" t="s">
        <v>277</v>
      </c>
      <c r="F276" s="44">
        <v>42259.152662037035</v>
      </c>
      <c r="G276" s="40" t="s">
        <v>1017</v>
      </c>
      <c r="H276" s="40" t="s">
        <v>1096</v>
      </c>
      <c r="I276" s="45">
        <v>97045</v>
      </c>
    </row>
    <row r="277" spans="5:9" x14ac:dyDescent="0.3">
      <c r="E277" s="43" t="s">
        <v>278</v>
      </c>
      <c r="F277" s="44">
        <v>42151.075995370367</v>
      </c>
      <c r="G277" s="40" t="s">
        <v>1018</v>
      </c>
      <c r="H277" s="40" t="s">
        <v>1097</v>
      </c>
      <c r="I277" s="45">
        <v>53950</v>
      </c>
    </row>
    <row r="278" spans="5:9" x14ac:dyDescent="0.3">
      <c r="E278" s="43" t="s">
        <v>279</v>
      </c>
      <c r="F278" s="44">
        <v>42221.901319444441</v>
      </c>
      <c r="G278" s="40" t="s">
        <v>1019</v>
      </c>
      <c r="H278" s="40" t="s">
        <v>1098</v>
      </c>
      <c r="I278" s="45">
        <v>47987</v>
      </c>
    </row>
    <row r="279" spans="5:9" x14ac:dyDescent="0.3">
      <c r="E279" s="43" t="s">
        <v>280</v>
      </c>
      <c r="F279" s="44">
        <v>42233.791608796295</v>
      </c>
      <c r="G279" s="40" t="s">
        <v>1020</v>
      </c>
      <c r="H279" s="40" t="s">
        <v>1099</v>
      </c>
      <c r="I279" s="45">
        <v>75009</v>
      </c>
    </row>
    <row r="280" spans="5:9" x14ac:dyDescent="0.3">
      <c r="E280" s="43" t="s">
        <v>281</v>
      </c>
      <c r="F280" s="44">
        <v>42214.276550925926</v>
      </c>
      <c r="G280" s="40" t="s">
        <v>1021</v>
      </c>
      <c r="H280" s="40" t="s">
        <v>1100</v>
      </c>
      <c r="I280" s="45">
        <v>73063</v>
      </c>
    </row>
    <row r="281" spans="5:9" x14ac:dyDescent="0.3">
      <c r="E281" s="43" t="s">
        <v>282</v>
      </c>
      <c r="F281" s="44">
        <v>42312.717037037037</v>
      </c>
      <c r="G281" s="40" t="s">
        <v>1022</v>
      </c>
      <c r="H281" s="40" t="s">
        <v>1101</v>
      </c>
      <c r="I281" s="45">
        <v>32378</v>
      </c>
    </row>
    <row r="282" spans="5:9" x14ac:dyDescent="0.3">
      <c r="E282" s="43" t="s">
        <v>283</v>
      </c>
      <c r="F282" s="44">
        <v>42045.121006944442</v>
      </c>
      <c r="G282" s="40" t="s">
        <v>1023</v>
      </c>
      <c r="H282" s="40" t="s">
        <v>1102</v>
      </c>
      <c r="I282" s="45">
        <v>93025</v>
      </c>
    </row>
    <row r="283" spans="5:9" x14ac:dyDescent="0.3">
      <c r="E283" s="43" t="s">
        <v>284</v>
      </c>
      <c r="F283" s="44">
        <v>42346.142048611109</v>
      </c>
      <c r="G283" s="40" t="s">
        <v>1024</v>
      </c>
      <c r="H283" s="40" t="s">
        <v>1103</v>
      </c>
      <c r="I283" s="45">
        <v>77409</v>
      </c>
    </row>
    <row r="284" spans="5:9" x14ac:dyDescent="0.3">
      <c r="E284" s="43" t="s">
        <v>285</v>
      </c>
      <c r="F284" s="44">
        <v>42091.243356481478</v>
      </c>
      <c r="G284" s="40" t="s">
        <v>1025</v>
      </c>
      <c r="H284" s="40" t="s">
        <v>1104</v>
      </c>
      <c r="I284" s="45">
        <v>90461</v>
      </c>
    </row>
    <row r="285" spans="5:9" x14ac:dyDescent="0.3">
      <c r="E285" s="43" t="s">
        <v>286</v>
      </c>
      <c r="F285" s="44">
        <v>42239.767962962964</v>
      </c>
      <c r="G285" s="40" t="s">
        <v>1026</v>
      </c>
      <c r="H285" s="40" t="s">
        <v>1105</v>
      </c>
      <c r="I285" s="45">
        <v>90549</v>
      </c>
    </row>
    <row r="286" spans="5:9" x14ac:dyDescent="0.3">
      <c r="E286" s="43" t="s">
        <v>287</v>
      </c>
      <c r="F286" s="44">
        <v>42229.380185185182</v>
      </c>
      <c r="G286" s="40" t="s">
        <v>1027</v>
      </c>
      <c r="H286" s="40" t="s">
        <v>1106</v>
      </c>
      <c r="I286" s="45">
        <v>38712</v>
      </c>
    </row>
    <row r="287" spans="5:9" x14ac:dyDescent="0.3">
      <c r="E287" s="43" t="s">
        <v>288</v>
      </c>
      <c r="F287" s="44">
        <v>42157.600393518522</v>
      </c>
      <c r="G287" s="40" t="s">
        <v>1008</v>
      </c>
      <c r="H287" s="40" t="s">
        <v>1107</v>
      </c>
      <c r="I287" s="45">
        <v>9793</v>
      </c>
    </row>
    <row r="288" spans="5:9" x14ac:dyDescent="0.3">
      <c r="E288" s="43" t="s">
        <v>289</v>
      </c>
      <c r="F288" s="44">
        <v>42025.141250000001</v>
      </c>
      <c r="G288" s="40" t="s">
        <v>1009</v>
      </c>
      <c r="H288" s="40" t="s">
        <v>1108</v>
      </c>
      <c r="I288" s="45">
        <v>23873</v>
      </c>
    </row>
    <row r="289" spans="5:9" x14ac:dyDescent="0.3">
      <c r="E289" s="43" t="s">
        <v>290</v>
      </c>
      <c r="F289" s="44">
        <v>42209.98537037037</v>
      </c>
      <c r="G289" s="40" t="s">
        <v>1010</v>
      </c>
      <c r="H289" s="40" t="s">
        <v>1109</v>
      </c>
      <c r="I289" s="45">
        <v>25251</v>
      </c>
    </row>
    <row r="290" spans="5:9" x14ac:dyDescent="0.3">
      <c r="E290" s="43" t="s">
        <v>291</v>
      </c>
      <c r="F290" s="44">
        <v>42108.579756944448</v>
      </c>
      <c r="G290" s="40" t="s">
        <v>1011</v>
      </c>
      <c r="H290" s="40" t="s">
        <v>1110</v>
      </c>
      <c r="I290" s="45">
        <v>20482</v>
      </c>
    </row>
    <row r="291" spans="5:9" x14ac:dyDescent="0.3">
      <c r="E291" s="43" t="s">
        <v>292</v>
      </c>
      <c r="F291" s="44">
        <v>42267.816504629627</v>
      </c>
      <c r="G291" s="40" t="s">
        <v>1012</v>
      </c>
      <c r="H291" s="40" t="s">
        <v>1111</v>
      </c>
      <c r="I291" s="45">
        <v>38260</v>
      </c>
    </row>
    <row r="292" spans="5:9" x14ac:dyDescent="0.3">
      <c r="E292" s="43" t="s">
        <v>293</v>
      </c>
      <c r="F292" s="44">
        <v>42094.447731481479</v>
      </c>
      <c r="G292" s="40" t="s">
        <v>1013</v>
      </c>
      <c r="H292" s="40" t="s">
        <v>1112</v>
      </c>
      <c r="I292" s="45">
        <v>83958</v>
      </c>
    </row>
    <row r="293" spans="5:9" x14ac:dyDescent="0.3">
      <c r="E293" s="43" t="s">
        <v>294</v>
      </c>
      <c r="F293" s="44">
        <v>42234.742002314815</v>
      </c>
      <c r="G293" s="40" t="s">
        <v>1014</v>
      </c>
      <c r="H293" s="40" t="s">
        <v>1113</v>
      </c>
      <c r="I293" s="45">
        <v>58990</v>
      </c>
    </row>
    <row r="294" spans="5:9" x14ac:dyDescent="0.3">
      <c r="E294" s="43" t="s">
        <v>295</v>
      </c>
      <c r="F294" s="44">
        <v>42236.37709490741</v>
      </c>
      <c r="G294" s="40" t="s">
        <v>1015</v>
      </c>
      <c r="H294" s="40" t="s">
        <v>1114</v>
      </c>
      <c r="I294" s="45">
        <v>69438</v>
      </c>
    </row>
    <row r="295" spans="5:9" x14ac:dyDescent="0.3">
      <c r="E295" s="43" t="s">
        <v>296</v>
      </c>
      <c r="F295" s="44">
        <v>42037.476307870369</v>
      </c>
      <c r="G295" s="40" t="s">
        <v>1016</v>
      </c>
      <c r="H295" s="40" t="s">
        <v>1083</v>
      </c>
      <c r="I295" s="45">
        <v>28466</v>
      </c>
    </row>
    <row r="296" spans="5:9" x14ac:dyDescent="0.3">
      <c r="E296" s="43" t="s">
        <v>297</v>
      </c>
      <c r="F296" s="44">
        <v>42006.394548611112</v>
      </c>
      <c r="G296" s="40" t="s">
        <v>1017</v>
      </c>
      <c r="H296" s="40" t="s">
        <v>1085</v>
      </c>
      <c r="I296" s="45">
        <v>90972</v>
      </c>
    </row>
    <row r="297" spans="5:9" x14ac:dyDescent="0.3">
      <c r="E297" s="43" t="s">
        <v>298</v>
      </c>
      <c r="F297" s="44">
        <v>42178.881493055553</v>
      </c>
      <c r="G297" s="40" t="s">
        <v>1018</v>
      </c>
      <c r="H297" s="40" t="s">
        <v>1083</v>
      </c>
      <c r="I297" s="45">
        <v>45094</v>
      </c>
    </row>
    <row r="298" spans="5:9" x14ac:dyDescent="0.3">
      <c r="E298" s="43" t="s">
        <v>299</v>
      </c>
      <c r="F298" s="44">
        <v>42043.670914351853</v>
      </c>
      <c r="G298" s="40" t="s">
        <v>1019</v>
      </c>
      <c r="H298" s="40" t="s">
        <v>1086</v>
      </c>
      <c r="I298" s="45">
        <v>8907</v>
      </c>
    </row>
    <row r="299" spans="5:9" x14ac:dyDescent="0.3">
      <c r="E299" s="43" t="s">
        <v>300</v>
      </c>
      <c r="F299" s="44">
        <v>42215.362013888887</v>
      </c>
      <c r="G299" s="40" t="s">
        <v>1020</v>
      </c>
      <c r="H299" s="40" t="s">
        <v>1087</v>
      </c>
      <c r="I299" s="45">
        <v>23771</v>
      </c>
    </row>
    <row r="300" spans="5:9" x14ac:dyDescent="0.3">
      <c r="E300" s="43" t="s">
        <v>301</v>
      </c>
      <c r="F300" s="44">
        <v>42089.886979166666</v>
      </c>
      <c r="G300" s="40" t="s">
        <v>1021</v>
      </c>
      <c r="H300" s="40" t="s">
        <v>1088</v>
      </c>
      <c r="I300" s="45">
        <v>98844</v>
      </c>
    </row>
    <row r="301" spans="5:9" x14ac:dyDescent="0.3">
      <c r="E301" s="43" t="s">
        <v>302</v>
      </c>
      <c r="F301" s="44">
        <v>42036.932962962965</v>
      </c>
      <c r="G301" s="40" t="s">
        <v>1022</v>
      </c>
      <c r="H301" s="40" t="s">
        <v>1089</v>
      </c>
      <c r="I301" s="45">
        <v>83987</v>
      </c>
    </row>
    <row r="302" spans="5:9" x14ac:dyDescent="0.3">
      <c r="E302" s="43" t="s">
        <v>303</v>
      </c>
      <c r="F302" s="44">
        <v>42057.406597222223</v>
      </c>
      <c r="G302" s="40" t="s">
        <v>1023</v>
      </c>
      <c r="H302" s="40" t="s">
        <v>1090</v>
      </c>
      <c r="I302" s="45">
        <v>86455</v>
      </c>
    </row>
    <row r="303" spans="5:9" x14ac:dyDescent="0.3">
      <c r="E303" s="43" t="s">
        <v>304</v>
      </c>
      <c r="F303" s="44">
        <v>42229.116539351853</v>
      </c>
      <c r="G303" s="40" t="s">
        <v>1024</v>
      </c>
      <c r="H303" s="40" t="s">
        <v>1091</v>
      </c>
      <c r="I303" s="45">
        <v>81820</v>
      </c>
    </row>
    <row r="304" spans="5:9" x14ac:dyDescent="0.3">
      <c r="E304" s="43" t="s">
        <v>305</v>
      </c>
      <c r="F304" s="44">
        <v>42034.841307870367</v>
      </c>
      <c r="G304" s="40" t="s">
        <v>1025</v>
      </c>
      <c r="H304" s="40" t="s">
        <v>1092</v>
      </c>
      <c r="I304" s="45">
        <v>90399</v>
      </c>
    </row>
    <row r="305" spans="5:9" x14ac:dyDescent="0.3">
      <c r="E305" s="43" t="s">
        <v>306</v>
      </c>
      <c r="F305" s="44">
        <v>42143.946469907409</v>
      </c>
      <c r="G305" s="40" t="s">
        <v>1026</v>
      </c>
      <c r="H305" s="40" t="s">
        <v>1093</v>
      </c>
      <c r="I305" s="45">
        <v>20856</v>
      </c>
    </row>
    <row r="306" spans="5:9" x14ac:dyDescent="0.3">
      <c r="E306" s="43" t="s">
        <v>307</v>
      </c>
      <c r="F306" s="44">
        <v>42337.681516203702</v>
      </c>
      <c r="G306" s="40" t="s">
        <v>1027</v>
      </c>
      <c r="H306" s="40" t="s">
        <v>1094</v>
      </c>
      <c r="I306" s="45">
        <v>35531</v>
      </c>
    </row>
    <row r="307" spans="5:9" x14ac:dyDescent="0.3">
      <c r="E307" s="43" t="s">
        <v>308</v>
      </c>
      <c r="F307" s="44">
        <v>42245.04787037037</v>
      </c>
      <c r="G307" s="40" t="s">
        <v>1008</v>
      </c>
      <c r="H307" s="40" t="s">
        <v>1095</v>
      </c>
      <c r="I307" s="45">
        <v>31127</v>
      </c>
    </row>
    <row r="308" spans="5:9" x14ac:dyDescent="0.3">
      <c r="E308" s="43" t="s">
        <v>309</v>
      </c>
      <c r="F308" s="44">
        <v>42303.804479166669</v>
      </c>
      <c r="G308" s="40" t="s">
        <v>1009</v>
      </c>
      <c r="H308" s="40" t="s">
        <v>1096</v>
      </c>
      <c r="I308" s="45">
        <v>51824</v>
      </c>
    </row>
    <row r="309" spans="5:9" x14ac:dyDescent="0.3">
      <c r="E309" s="43" t="s">
        <v>310</v>
      </c>
      <c r="F309" s="44">
        <v>42186.452523148146</v>
      </c>
      <c r="G309" s="40" t="s">
        <v>1010</v>
      </c>
      <c r="H309" s="40" t="s">
        <v>1097</v>
      </c>
      <c r="I309" s="45">
        <v>74374</v>
      </c>
    </row>
    <row r="310" spans="5:9" x14ac:dyDescent="0.3">
      <c r="E310" s="43" t="s">
        <v>311</v>
      </c>
      <c r="F310" s="44">
        <v>42098.792291666665</v>
      </c>
      <c r="G310" s="40" t="s">
        <v>1011</v>
      </c>
      <c r="H310" s="40" t="s">
        <v>1098</v>
      </c>
      <c r="I310" s="45">
        <v>83973</v>
      </c>
    </row>
    <row r="311" spans="5:9" x14ac:dyDescent="0.3">
      <c r="E311" s="43" t="s">
        <v>312</v>
      </c>
      <c r="F311" s="44">
        <v>42351.888599537036</v>
      </c>
      <c r="G311" s="40" t="s">
        <v>1012</v>
      </c>
      <c r="H311" s="40" t="s">
        <v>1099</v>
      </c>
      <c r="I311" s="45">
        <v>38684</v>
      </c>
    </row>
    <row r="312" spans="5:9" x14ac:dyDescent="0.3">
      <c r="E312" s="43" t="s">
        <v>313</v>
      </c>
      <c r="F312" s="44">
        <v>42067.334826388891</v>
      </c>
      <c r="G312" s="40" t="s">
        <v>1013</v>
      </c>
      <c r="H312" s="40" t="s">
        <v>1100</v>
      </c>
      <c r="I312" s="45">
        <v>45760</v>
      </c>
    </row>
    <row r="313" spans="5:9" x14ac:dyDescent="0.3">
      <c r="E313" s="43" t="s">
        <v>314</v>
      </c>
      <c r="F313" s="44">
        <v>42223.568298611113</v>
      </c>
      <c r="G313" s="40" t="s">
        <v>1014</v>
      </c>
      <c r="H313" s="40" t="s">
        <v>1101</v>
      </c>
      <c r="I313" s="45">
        <v>67343</v>
      </c>
    </row>
    <row r="314" spans="5:9" x14ac:dyDescent="0.3">
      <c r="E314" s="43" t="s">
        <v>315</v>
      </c>
      <c r="F314" s="44">
        <v>42187.463368055556</v>
      </c>
      <c r="G314" s="40" t="s">
        <v>1015</v>
      </c>
      <c r="H314" s="40" t="s">
        <v>1102</v>
      </c>
      <c r="I314" s="45">
        <v>52287</v>
      </c>
    </row>
    <row r="315" spans="5:9" x14ac:dyDescent="0.3">
      <c r="E315" s="43" t="s">
        <v>316</v>
      </c>
      <c r="F315" s="44">
        <v>42144.449675925927</v>
      </c>
      <c r="G315" s="40" t="s">
        <v>1016</v>
      </c>
      <c r="H315" s="40" t="s">
        <v>1103</v>
      </c>
      <c r="I315" s="45">
        <v>62655</v>
      </c>
    </row>
    <row r="316" spans="5:9" x14ac:dyDescent="0.3">
      <c r="E316" s="43" t="s">
        <v>317</v>
      </c>
      <c r="F316" s="44">
        <v>42051.077800925923</v>
      </c>
      <c r="G316" s="40" t="s">
        <v>1017</v>
      </c>
      <c r="H316" s="40" t="s">
        <v>1104</v>
      </c>
      <c r="I316" s="45">
        <v>98182</v>
      </c>
    </row>
    <row r="317" spans="5:9" x14ac:dyDescent="0.3">
      <c r="E317" s="43" t="s">
        <v>318</v>
      </c>
      <c r="F317" s="44">
        <v>42267.273449074077</v>
      </c>
      <c r="G317" s="40" t="s">
        <v>1018</v>
      </c>
      <c r="H317" s="40" t="s">
        <v>1105</v>
      </c>
      <c r="I317" s="45">
        <v>95571</v>
      </c>
    </row>
    <row r="318" spans="5:9" x14ac:dyDescent="0.3">
      <c r="E318" s="43" t="s">
        <v>319</v>
      </c>
      <c r="F318" s="44">
        <v>42319.850381944445</v>
      </c>
      <c r="G318" s="40" t="s">
        <v>1019</v>
      </c>
      <c r="H318" s="40" t="s">
        <v>1106</v>
      </c>
      <c r="I318" s="45">
        <v>6406</v>
      </c>
    </row>
    <row r="319" spans="5:9" x14ac:dyDescent="0.3">
      <c r="E319" s="43" t="s">
        <v>320</v>
      </c>
      <c r="F319" s="44">
        <v>42207.626516203702</v>
      </c>
      <c r="G319" s="40" t="s">
        <v>1020</v>
      </c>
      <c r="H319" s="40" t="s">
        <v>1107</v>
      </c>
      <c r="I319" s="45">
        <v>89647</v>
      </c>
    </row>
    <row r="320" spans="5:9" x14ac:dyDescent="0.3">
      <c r="E320" s="43" t="s">
        <v>321</v>
      </c>
      <c r="F320" s="44">
        <v>42082.029293981483</v>
      </c>
      <c r="G320" s="40" t="s">
        <v>1021</v>
      </c>
      <c r="H320" s="40" t="s">
        <v>1108</v>
      </c>
      <c r="I320" s="45">
        <v>17277</v>
      </c>
    </row>
    <row r="321" spans="5:9" x14ac:dyDescent="0.3">
      <c r="E321" s="43" t="s">
        <v>322</v>
      </c>
      <c r="F321" s="44">
        <v>42239.722222222219</v>
      </c>
      <c r="G321" s="40" t="s">
        <v>1022</v>
      </c>
      <c r="H321" s="40" t="s">
        <v>1109</v>
      </c>
      <c r="I321" s="45">
        <v>9155</v>
      </c>
    </row>
    <row r="322" spans="5:9" x14ac:dyDescent="0.3">
      <c r="E322" s="43" t="s">
        <v>323</v>
      </c>
      <c r="F322" s="44">
        <v>42169.502581018518</v>
      </c>
      <c r="G322" s="40" t="s">
        <v>1023</v>
      </c>
      <c r="H322" s="40" t="s">
        <v>1110</v>
      </c>
      <c r="I322" s="45">
        <v>26348</v>
      </c>
    </row>
    <row r="323" spans="5:9" x14ac:dyDescent="0.3">
      <c r="E323" s="43" t="s">
        <v>324</v>
      </c>
      <c r="F323" s="44">
        <v>42261.751886574071</v>
      </c>
      <c r="G323" s="40" t="s">
        <v>1024</v>
      </c>
      <c r="H323" s="40" t="s">
        <v>1111</v>
      </c>
      <c r="I323" s="45">
        <v>85895</v>
      </c>
    </row>
    <row r="324" spans="5:9" x14ac:dyDescent="0.3">
      <c r="E324" s="43" t="s">
        <v>325</v>
      </c>
      <c r="F324" s="44">
        <v>42132.030798611115</v>
      </c>
      <c r="G324" s="40" t="s">
        <v>1025</v>
      </c>
      <c r="H324" s="40" t="s">
        <v>1112</v>
      </c>
      <c r="I324" s="45">
        <v>88616</v>
      </c>
    </row>
    <row r="325" spans="5:9" x14ac:dyDescent="0.3">
      <c r="E325" s="43" t="s">
        <v>326</v>
      </c>
      <c r="F325" s="44">
        <v>42032.516446759262</v>
      </c>
      <c r="G325" s="40" t="s">
        <v>1026</v>
      </c>
      <c r="H325" s="40" t="s">
        <v>1113</v>
      </c>
      <c r="I325" s="45">
        <v>4794</v>
      </c>
    </row>
    <row r="326" spans="5:9" x14ac:dyDescent="0.3">
      <c r="E326" s="43" t="s">
        <v>327</v>
      </c>
      <c r="F326" s="44">
        <v>42205.212488425925</v>
      </c>
      <c r="G326" s="40" t="s">
        <v>1027</v>
      </c>
      <c r="H326" s="40" t="s">
        <v>1114</v>
      </c>
      <c r="I326" s="45">
        <v>16697</v>
      </c>
    </row>
    <row r="327" spans="5:9" x14ac:dyDescent="0.3">
      <c r="E327" s="43" t="s">
        <v>328</v>
      </c>
      <c r="F327" s="44">
        <v>42131.514513888891</v>
      </c>
      <c r="G327" s="40" t="s">
        <v>1008</v>
      </c>
      <c r="H327" s="40" t="s">
        <v>1083</v>
      </c>
      <c r="I327" s="45">
        <v>89111</v>
      </c>
    </row>
    <row r="328" spans="5:9" x14ac:dyDescent="0.3">
      <c r="E328" s="43" t="s">
        <v>329</v>
      </c>
      <c r="F328" s="44">
        <v>42120.94358796296</v>
      </c>
      <c r="G328" s="40" t="s">
        <v>1009</v>
      </c>
      <c r="H328" s="40" t="s">
        <v>1085</v>
      </c>
      <c r="I328" s="45">
        <v>13338</v>
      </c>
    </row>
    <row r="329" spans="5:9" x14ac:dyDescent="0.3">
      <c r="E329" s="43" t="s">
        <v>330</v>
      </c>
      <c r="F329" s="44">
        <v>42242.196817129632</v>
      </c>
      <c r="G329" s="40" t="s">
        <v>1010</v>
      </c>
      <c r="H329" s="40" t="s">
        <v>1083</v>
      </c>
      <c r="I329" s="45">
        <v>40135</v>
      </c>
    </row>
    <row r="330" spans="5:9" x14ac:dyDescent="0.3">
      <c r="E330" s="43" t="s">
        <v>331</v>
      </c>
      <c r="F330" s="44">
        <v>42248.183553240742</v>
      </c>
      <c r="G330" s="40" t="s">
        <v>1011</v>
      </c>
      <c r="H330" s="40" t="s">
        <v>1086</v>
      </c>
      <c r="I330" s="45">
        <v>17817</v>
      </c>
    </row>
    <row r="331" spans="5:9" x14ac:dyDescent="0.3">
      <c r="E331" s="43" t="s">
        <v>332</v>
      </c>
      <c r="F331" s="44">
        <v>42175.941192129627</v>
      </c>
      <c r="G331" s="40" t="s">
        <v>1012</v>
      </c>
      <c r="H331" s="40" t="s">
        <v>1087</v>
      </c>
      <c r="I331" s="45">
        <v>39378</v>
      </c>
    </row>
    <row r="332" spans="5:9" x14ac:dyDescent="0.3">
      <c r="E332" s="43" t="s">
        <v>333</v>
      </c>
      <c r="F332" s="44">
        <v>42315.63417824074</v>
      </c>
      <c r="G332" s="40" t="s">
        <v>1013</v>
      </c>
      <c r="H332" s="40" t="s">
        <v>1088</v>
      </c>
      <c r="I332" s="45">
        <v>60011</v>
      </c>
    </row>
    <row r="333" spans="5:9" x14ac:dyDescent="0.3">
      <c r="E333" s="43" t="s">
        <v>334</v>
      </c>
      <c r="F333" s="44">
        <v>42032.772511574076</v>
      </c>
      <c r="G333" s="40" t="s">
        <v>1014</v>
      </c>
      <c r="H333" s="40" t="s">
        <v>1089</v>
      </c>
      <c r="I333" s="45">
        <v>31200</v>
      </c>
    </row>
    <row r="334" spans="5:9" x14ac:dyDescent="0.3">
      <c r="E334" s="43" t="s">
        <v>335</v>
      </c>
      <c r="F334" s="44">
        <v>42049.911307870374</v>
      </c>
      <c r="G334" s="40" t="s">
        <v>1015</v>
      </c>
      <c r="H334" s="40" t="s">
        <v>1090</v>
      </c>
      <c r="I334" s="45">
        <v>34478</v>
      </c>
    </row>
    <row r="335" spans="5:9" x14ac:dyDescent="0.3">
      <c r="E335" s="43" t="s">
        <v>336</v>
      </c>
      <c r="F335" s="44">
        <v>42098.893622685187</v>
      </c>
      <c r="G335" s="40" t="s">
        <v>1016</v>
      </c>
      <c r="H335" s="40" t="s">
        <v>1091</v>
      </c>
      <c r="I335" s="45">
        <v>82403</v>
      </c>
    </row>
    <row r="336" spans="5:9" x14ac:dyDescent="0.3">
      <c r="E336" s="43" t="s">
        <v>337</v>
      </c>
      <c r="F336" s="44">
        <v>42298.919849537036</v>
      </c>
      <c r="G336" s="40" t="s">
        <v>1017</v>
      </c>
      <c r="H336" s="40" t="s">
        <v>1092</v>
      </c>
      <c r="I336" s="45">
        <v>3609</v>
      </c>
    </row>
    <row r="337" spans="5:9" x14ac:dyDescent="0.3">
      <c r="E337" s="43" t="s">
        <v>338</v>
      </c>
      <c r="F337" s="44">
        <v>42316.010231481479</v>
      </c>
      <c r="G337" s="40" t="s">
        <v>1018</v>
      </c>
      <c r="H337" s="40" t="s">
        <v>1093</v>
      </c>
      <c r="I337" s="45">
        <v>41931</v>
      </c>
    </row>
    <row r="338" spans="5:9" x14ac:dyDescent="0.3">
      <c r="E338" s="43" t="s">
        <v>339</v>
      </c>
      <c r="F338" s="44">
        <v>42359.916087962964</v>
      </c>
      <c r="G338" s="40" t="s">
        <v>1019</v>
      </c>
      <c r="H338" s="40" t="s">
        <v>1094</v>
      </c>
      <c r="I338" s="45">
        <v>56920</v>
      </c>
    </row>
    <row r="339" spans="5:9" x14ac:dyDescent="0.3">
      <c r="E339" s="43" t="s">
        <v>340</v>
      </c>
      <c r="F339" s="44">
        <v>42274.066111111111</v>
      </c>
      <c r="G339" s="40" t="s">
        <v>1020</v>
      </c>
      <c r="H339" s="40" t="s">
        <v>1095</v>
      </c>
      <c r="I339" s="45">
        <v>35441</v>
      </c>
    </row>
    <row r="340" spans="5:9" x14ac:dyDescent="0.3">
      <c r="E340" s="43" t="s">
        <v>341</v>
      </c>
      <c r="F340" s="44">
        <v>42019.96675925926</v>
      </c>
      <c r="G340" s="40" t="s">
        <v>1021</v>
      </c>
      <c r="H340" s="40" t="s">
        <v>1096</v>
      </c>
      <c r="I340" s="45">
        <v>31798</v>
      </c>
    </row>
    <row r="341" spans="5:9" x14ac:dyDescent="0.3">
      <c r="E341" s="43" t="s">
        <v>342</v>
      </c>
      <c r="F341" s="44">
        <v>42246.436168981483</v>
      </c>
      <c r="G341" s="40" t="s">
        <v>1022</v>
      </c>
      <c r="H341" s="40" t="s">
        <v>1097</v>
      </c>
      <c r="I341" s="45">
        <v>27358</v>
      </c>
    </row>
    <row r="342" spans="5:9" x14ac:dyDescent="0.3">
      <c r="E342" s="43" t="s">
        <v>343</v>
      </c>
      <c r="F342" s="44">
        <v>42031.547627314816</v>
      </c>
      <c r="G342" s="40" t="s">
        <v>1023</v>
      </c>
      <c r="H342" s="40" t="s">
        <v>1098</v>
      </c>
      <c r="I342" s="45">
        <v>92403</v>
      </c>
    </row>
    <row r="343" spans="5:9" x14ac:dyDescent="0.3">
      <c r="E343" s="43" t="s">
        <v>344</v>
      </c>
      <c r="F343" s="44">
        <v>42113.466516203705</v>
      </c>
      <c r="G343" s="40" t="s">
        <v>1024</v>
      </c>
      <c r="H343" s="40" t="s">
        <v>1099</v>
      </c>
      <c r="I343" s="45">
        <v>31852</v>
      </c>
    </row>
    <row r="344" spans="5:9" x14ac:dyDescent="0.3">
      <c r="E344" s="43" t="s">
        <v>345</v>
      </c>
      <c r="F344" s="44">
        <v>42305.594328703701</v>
      </c>
      <c r="G344" s="40" t="s">
        <v>1025</v>
      </c>
      <c r="H344" s="40" t="s">
        <v>1100</v>
      </c>
      <c r="I344" s="45">
        <v>83112</v>
      </c>
    </row>
    <row r="345" spans="5:9" x14ac:dyDescent="0.3">
      <c r="E345" s="43" t="s">
        <v>346</v>
      </c>
      <c r="F345" s="44">
        <v>42239.503460648149</v>
      </c>
      <c r="G345" s="40" t="s">
        <v>1026</v>
      </c>
      <c r="H345" s="40" t="s">
        <v>1101</v>
      </c>
      <c r="I345" s="45">
        <v>9087</v>
      </c>
    </row>
    <row r="346" spans="5:9" x14ac:dyDescent="0.3">
      <c r="E346" s="43" t="s">
        <v>347</v>
      </c>
      <c r="F346" s="44">
        <v>42141.814305555556</v>
      </c>
      <c r="G346" s="40" t="s">
        <v>1027</v>
      </c>
      <c r="H346" s="40" t="s">
        <v>1102</v>
      </c>
      <c r="I346" s="45">
        <v>60338</v>
      </c>
    </row>
    <row r="347" spans="5:9" x14ac:dyDescent="0.3">
      <c r="E347" s="43" t="s">
        <v>348</v>
      </c>
      <c r="F347" s="44">
        <v>42344.66673611111</v>
      </c>
      <c r="G347" s="40" t="s">
        <v>1008</v>
      </c>
      <c r="H347" s="40" t="s">
        <v>1103</v>
      </c>
      <c r="I347" s="45">
        <v>72426</v>
      </c>
    </row>
    <row r="348" spans="5:9" x14ac:dyDescent="0.3">
      <c r="E348" s="43" t="s">
        <v>349</v>
      </c>
      <c r="F348" s="44">
        <v>42331.08326388889</v>
      </c>
      <c r="G348" s="40" t="s">
        <v>1009</v>
      </c>
      <c r="H348" s="40" t="s">
        <v>1104</v>
      </c>
      <c r="I348" s="45">
        <v>61137</v>
      </c>
    </row>
    <row r="349" spans="5:9" x14ac:dyDescent="0.3">
      <c r="E349" s="43" t="s">
        <v>350</v>
      </c>
      <c r="F349" s="44">
        <v>42236.245694444442</v>
      </c>
      <c r="G349" s="40" t="s">
        <v>1010</v>
      </c>
      <c r="H349" s="40" t="s">
        <v>1105</v>
      </c>
      <c r="I349" s="45">
        <v>64362</v>
      </c>
    </row>
    <row r="350" spans="5:9" x14ac:dyDescent="0.3">
      <c r="E350" s="43" t="s">
        <v>351</v>
      </c>
      <c r="F350" s="44">
        <v>42051.798333333332</v>
      </c>
      <c r="G350" s="40" t="s">
        <v>1011</v>
      </c>
      <c r="H350" s="40" t="s">
        <v>1106</v>
      </c>
      <c r="I350" s="45">
        <v>34469</v>
      </c>
    </row>
    <row r="351" spans="5:9" x14ac:dyDescent="0.3">
      <c r="E351" s="43" t="s">
        <v>352</v>
      </c>
      <c r="F351" s="44">
        <v>42225.981851851851</v>
      </c>
      <c r="G351" s="40" t="s">
        <v>1012</v>
      </c>
      <c r="H351" s="40" t="s">
        <v>1107</v>
      </c>
      <c r="I351" s="45">
        <v>3413</v>
      </c>
    </row>
    <row r="352" spans="5:9" x14ac:dyDescent="0.3">
      <c r="E352" s="43" t="s">
        <v>353</v>
      </c>
      <c r="F352" s="44">
        <v>42228.736956018518</v>
      </c>
      <c r="G352" s="40" t="s">
        <v>1013</v>
      </c>
      <c r="H352" s="40" t="s">
        <v>1108</v>
      </c>
      <c r="I352" s="45">
        <v>80485</v>
      </c>
    </row>
    <row r="353" spans="5:9" x14ac:dyDescent="0.3">
      <c r="E353" s="43" t="s">
        <v>354</v>
      </c>
      <c r="F353" s="44">
        <v>42151.961354166669</v>
      </c>
      <c r="G353" s="40" t="s">
        <v>1014</v>
      </c>
      <c r="H353" s="40" t="s">
        <v>1109</v>
      </c>
      <c r="I353" s="45">
        <v>23577</v>
      </c>
    </row>
    <row r="354" spans="5:9" x14ac:dyDescent="0.3">
      <c r="E354" s="43" t="s">
        <v>355</v>
      </c>
      <c r="F354" s="44">
        <v>42238.132002314815</v>
      </c>
      <c r="G354" s="40" t="s">
        <v>1015</v>
      </c>
      <c r="H354" s="40" t="s">
        <v>1110</v>
      </c>
      <c r="I354" s="45">
        <v>68997</v>
      </c>
    </row>
    <row r="355" spans="5:9" x14ac:dyDescent="0.3">
      <c r="E355" s="43" t="s">
        <v>356</v>
      </c>
      <c r="F355" s="44">
        <v>42021.654027777775</v>
      </c>
      <c r="G355" s="40" t="s">
        <v>1016</v>
      </c>
      <c r="H355" s="40" t="s">
        <v>1111</v>
      </c>
      <c r="I355" s="45">
        <v>75513</v>
      </c>
    </row>
    <row r="356" spans="5:9" x14ac:dyDescent="0.3">
      <c r="E356" s="43" t="s">
        <v>357</v>
      </c>
      <c r="F356" s="44">
        <v>42051.291250000002</v>
      </c>
      <c r="G356" s="40" t="s">
        <v>1017</v>
      </c>
      <c r="H356" s="40" t="s">
        <v>1112</v>
      </c>
      <c r="I356" s="45">
        <v>31844</v>
      </c>
    </row>
    <row r="357" spans="5:9" x14ac:dyDescent="0.3">
      <c r="E357" s="43" t="s">
        <v>358</v>
      </c>
      <c r="F357" s="44">
        <v>42039.623553240737</v>
      </c>
      <c r="G357" s="40" t="s">
        <v>1018</v>
      </c>
      <c r="H357" s="40" t="s">
        <v>1113</v>
      </c>
      <c r="I357" s="45">
        <v>6120</v>
      </c>
    </row>
    <row r="358" spans="5:9" x14ac:dyDescent="0.3">
      <c r="E358" s="43" t="s">
        <v>359</v>
      </c>
      <c r="F358" s="44">
        <v>42284.329155092593</v>
      </c>
      <c r="G358" s="40" t="s">
        <v>1019</v>
      </c>
      <c r="H358" s="40" t="s">
        <v>1114</v>
      </c>
      <c r="I358" s="45">
        <v>78703</v>
      </c>
    </row>
    <row r="359" spans="5:9" x14ac:dyDescent="0.3">
      <c r="E359" s="43" t="s">
        <v>360</v>
      </c>
      <c r="F359" s="44">
        <v>42202.109826388885</v>
      </c>
      <c r="G359" s="40" t="s">
        <v>1020</v>
      </c>
      <c r="H359" s="40" t="s">
        <v>1083</v>
      </c>
      <c r="I359" s="45">
        <v>8709</v>
      </c>
    </row>
    <row r="360" spans="5:9" x14ac:dyDescent="0.3">
      <c r="E360" s="43" t="s">
        <v>361</v>
      </c>
      <c r="F360" s="44">
        <v>42127.537685185183</v>
      </c>
      <c r="G360" s="40" t="s">
        <v>1021</v>
      </c>
      <c r="H360" s="40" t="s">
        <v>1085</v>
      </c>
      <c r="I360" s="45">
        <v>45553</v>
      </c>
    </row>
    <row r="361" spans="5:9" x14ac:dyDescent="0.3">
      <c r="E361" s="43" t="s">
        <v>362</v>
      </c>
      <c r="F361" s="44">
        <v>42144.661030092589</v>
      </c>
      <c r="G361" s="40" t="s">
        <v>1022</v>
      </c>
      <c r="H361" s="40" t="s">
        <v>1083</v>
      </c>
      <c r="I361" s="45">
        <v>79134</v>
      </c>
    </row>
    <row r="362" spans="5:9" x14ac:dyDescent="0.3">
      <c r="E362" s="43" t="s">
        <v>363</v>
      </c>
      <c r="F362" s="44">
        <v>42131.294328703705</v>
      </c>
      <c r="G362" s="40" t="s">
        <v>1023</v>
      </c>
      <c r="H362" s="40" t="s">
        <v>1086</v>
      </c>
      <c r="I362" s="45">
        <v>3147</v>
      </c>
    </row>
    <row r="363" spans="5:9" x14ac:dyDescent="0.3">
      <c r="E363" s="43" t="s">
        <v>364</v>
      </c>
      <c r="F363" s="44">
        <v>42271.787858796299</v>
      </c>
      <c r="G363" s="40" t="s">
        <v>1024</v>
      </c>
      <c r="H363" s="40" t="s">
        <v>1087</v>
      </c>
      <c r="I363" s="45">
        <v>96206</v>
      </c>
    </row>
    <row r="364" spans="5:9" x14ac:dyDescent="0.3">
      <c r="E364" s="43" t="s">
        <v>365</v>
      </c>
      <c r="F364" s="44">
        <v>42209.08421296296</v>
      </c>
      <c r="G364" s="40" t="s">
        <v>1025</v>
      </c>
      <c r="H364" s="40" t="s">
        <v>1088</v>
      </c>
      <c r="I364" s="45">
        <v>44394</v>
      </c>
    </row>
    <row r="365" spans="5:9" x14ac:dyDescent="0.3">
      <c r="E365" s="43" t="s">
        <v>366</v>
      </c>
      <c r="F365" s="44">
        <v>42080.167696759258</v>
      </c>
      <c r="G365" s="40" t="s">
        <v>1026</v>
      </c>
      <c r="H365" s="40" t="s">
        <v>1089</v>
      </c>
      <c r="I365" s="45">
        <v>53386</v>
      </c>
    </row>
    <row r="366" spans="5:9" x14ac:dyDescent="0.3">
      <c r="E366" s="43" t="s">
        <v>367</v>
      </c>
      <c r="F366" s="44">
        <v>42280.184976851851</v>
      </c>
      <c r="G366" s="40" t="s">
        <v>1027</v>
      </c>
      <c r="H366" s="40" t="s">
        <v>1090</v>
      </c>
      <c r="I366" s="45">
        <v>97562</v>
      </c>
    </row>
    <row r="367" spans="5:9" x14ac:dyDescent="0.3">
      <c r="E367" s="43" t="s">
        <v>368</v>
      </c>
      <c r="F367" s="44">
        <v>42200.079710648148</v>
      </c>
      <c r="G367" s="40" t="s">
        <v>1008</v>
      </c>
      <c r="H367" s="40" t="s">
        <v>1091</v>
      </c>
      <c r="I367" s="45">
        <v>87470</v>
      </c>
    </row>
    <row r="368" spans="5:9" x14ac:dyDescent="0.3">
      <c r="E368" s="43" t="s">
        <v>369</v>
      </c>
      <c r="F368" s="44">
        <v>42293.788298611114</v>
      </c>
      <c r="G368" s="40" t="s">
        <v>1009</v>
      </c>
      <c r="H368" s="40" t="s">
        <v>1092</v>
      </c>
      <c r="I368" s="45">
        <v>63559</v>
      </c>
    </row>
    <row r="369" spans="5:9" x14ac:dyDescent="0.3">
      <c r="E369" s="43" t="s">
        <v>370</v>
      </c>
      <c r="F369" s="44">
        <v>42340.233576388891</v>
      </c>
      <c r="G369" s="40" t="s">
        <v>1010</v>
      </c>
      <c r="H369" s="40" t="s">
        <v>1093</v>
      </c>
      <c r="I369" s="45">
        <v>5971</v>
      </c>
    </row>
    <row r="370" spans="5:9" x14ac:dyDescent="0.3">
      <c r="E370" s="43" t="s">
        <v>371</v>
      </c>
      <c r="F370" s="44">
        <v>42257.825208333335</v>
      </c>
      <c r="G370" s="40" t="s">
        <v>1011</v>
      </c>
      <c r="H370" s="40" t="s">
        <v>1094</v>
      </c>
      <c r="I370" s="45">
        <v>41786</v>
      </c>
    </row>
    <row r="371" spans="5:9" x14ac:dyDescent="0.3">
      <c r="E371" s="43" t="s">
        <v>372</v>
      </c>
      <c r="F371" s="44">
        <v>42274.77789351852</v>
      </c>
      <c r="G371" s="40" t="s">
        <v>1012</v>
      </c>
      <c r="H371" s="40" t="s">
        <v>1095</v>
      </c>
      <c r="I371" s="45">
        <v>68796</v>
      </c>
    </row>
    <row r="372" spans="5:9" x14ac:dyDescent="0.3">
      <c r="E372" s="43" t="s">
        <v>373</v>
      </c>
      <c r="F372" s="44">
        <v>42324.370196759257</v>
      </c>
      <c r="G372" s="40" t="s">
        <v>1013</v>
      </c>
      <c r="H372" s="40" t="s">
        <v>1096</v>
      </c>
      <c r="I372" s="45">
        <v>84369</v>
      </c>
    </row>
    <row r="373" spans="5:9" x14ac:dyDescent="0.3">
      <c r="E373" s="43" t="s">
        <v>374</v>
      </c>
      <c r="F373" s="44">
        <v>42244.327870370369</v>
      </c>
      <c r="G373" s="40" t="s">
        <v>1014</v>
      </c>
      <c r="H373" s="40" t="s">
        <v>1097</v>
      </c>
      <c r="I373" s="45">
        <v>57411</v>
      </c>
    </row>
    <row r="374" spans="5:9" x14ac:dyDescent="0.3">
      <c r="E374" s="43" t="s">
        <v>375</v>
      </c>
      <c r="F374" s="44">
        <v>42112.594328703701</v>
      </c>
      <c r="G374" s="40" t="s">
        <v>1015</v>
      </c>
      <c r="H374" s="40" t="s">
        <v>1098</v>
      </c>
      <c r="I374" s="45">
        <v>34561</v>
      </c>
    </row>
    <row r="375" spans="5:9" x14ac:dyDescent="0.3">
      <c r="E375" s="43" t="s">
        <v>376</v>
      </c>
      <c r="F375" s="44">
        <v>42187.284826388888</v>
      </c>
      <c r="G375" s="40" t="s">
        <v>1016</v>
      </c>
      <c r="H375" s="40" t="s">
        <v>1099</v>
      </c>
      <c r="I375" s="45">
        <v>89253</v>
      </c>
    </row>
    <row r="376" spans="5:9" x14ac:dyDescent="0.3">
      <c r="E376" s="43" t="s">
        <v>377</v>
      </c>
      <c r="F376" s="44">
        <v>42105.311863425923</v>
      </c>
      <c r="G376" s="40" t="s">
        <v>1017</v>
      </c>
      <c r="H376" s="40" t="s">
        <v>1100</v>
      </c>
      <c r="I376" s="45">
        <v>12187</v>
      </c>
    </row>
    <row r="377" spans="5:9" x14ac:dyDescent="0.3">
      <c r="E377" s="43" t="s">
        <v>378</v>
      </c>
      <c r="F377" s="44">
        <v>42080.775497685187</v>
      </c>
      <c r="G377" s="40" t="s">
        <v>1018</v>
      </c>
      <c r="H377" s="40" t="s">
        <v>1101</v>
      </c>
      <c r="I377" s="45">
        <v>48846</v>
      </c>
    </row>
    <row r="378" spans="5:9" x14ac:dyDescent="0.3">
      <c r="E378" s="43" t="s">
        <v>379</v>
      </c>
      <c r="F378" s="44">
        <v>42109.045104166667</v>
      </c>
      <c r="G378" s="40" t="s">
        <v>1019</v>
      </c>
      <c r="H378" s="40" t="s">
        <v>1102</v>
      </c>
      <c r="I378" s="45">
        <v>21421</v>
      </c>
    </row>
    <row r="379" spans="5:9" x14ac:dyDescent="0.3">
      <c r="E379" s="43" t="s">
        <v>380</v>
      </c>
      <c r="F379" s="44">
        <v>42026.04247685185</v>
      </c>
      <c r="G379" s="40" t="s">
        <v>1020</v>
      </c>
      <c r="H379" s="40" t="s">
        <v>1103</v>
      </c>
      <c r="I379" s="45">
        <v>25120</v>
      </c>
    </row>
    <row r="380" spans="5:9" x14ac:dyDescent="0.3">
      <c r="E380" s="43" t="s">
        <v>381</v>
      </c>
      <c r="F380" s="44">
        <v>42283.96974537037</v>
      </c>
      <c r="G380" s="40" t="s">
        <v>1021</v>
      </c>
      <c r="H380" s="40" t="s">
        <v>1104</v>
      </c>
      <c r="I380" s="45">
        <v>85122</v>
      </c>
    </row>
    <row r="381" spans="5:9" x14ac:dyDescent="0.3">
      <c r="E381" s="43" t="s">
        <v>382</v>
      </c>
      <c r="F381" s="44">
        <v>42054.44158564815</v>
      </c>
      <c r="G381" s="40" t="s">
        <v>1022</v>
      </c>
      <c r="H381" s="40" t="s">
        <v>1105</v>
      </c>
      <c r="I381" s="45">
        <v>75732</v>
      </c>
    </row>
    <row r="382" spans="5:9" x14ac:dyDescent="0.3">
      <c r="E382" s="43" t="s">
        <v>383</v>
      </c>
      <c r="F382" s="44">
        <v>42096.235300925924</v>
      </c>
      <c r="G382" s="40" t="s">
        <v>1023</v>
      </c>
      <c r="H382" s="40" t="s">
        <v>1106</v>
      </c>
      <c r="I382" s="45">
        <v>47763</v>
      </c>
    </row>
    <row r="383" spans="5:9" x14ac:dyDescent="0.3">
      <c r="E383" s="43" t="s">
        <v>384</v>
      </c>
      <c r="F383" s="44">
        <v>42078.126134259262</v>
      </c>
      <c r="G383" s="40" t="s">
        <v>1024</v>
      </c>
      <c r="H383" s="40" t="s">
        <v>1107</v>
      </c>
      <c r="I383" s="45">
        <v>75080</v>
      </c>
    </row>
    <row r="384" spans="5:9" x14ac:dyDescent="0.3">
      <c r="E384" s="43" t="s">
        <v>385</v>
      </c>
      <c r="F384" s="44">
        <v>42175.604131944441</v>
      </c>
      <c r="G384" s="40" t="s">
        <v>1025</v>
      </c>
      <c r="H384" s="40" t="s">
        <v>1108</v>
      </c>
      <c r="I384" s="45">
        <v>87540</v>
      </c>
    </row>
    <row r="385" spans="5:9" x14ac:dyDescent="0.3">
      <c r="E385" s="43" t="s">
        <v>386</v>
      </c>
      <c r="F385" s="44">
        <v>42361.557858796295</v>
      </c>
      <c r="G385" s="40" t="s">
        <v>1026</v>
      </c>
      <c r="H385" s="40" t="s">
        <v>1109</v>
      </c>
      <c r="I385" s="45">
        <v>39032</v>
      </c>
    </row>
    <row r="386" spans="5:9" x14ac:dyDescent="0.3">
      <c r="E386" s="43" t="s">
        <v>387</v>
      </c>
      <c r="F386" s="44">
        <v>42021.931851851848</v>
      </c>
      <c r="G386" s="40" t="s">
        <v>1027</v>
      </c>
      <c r="H386" s="40" t="s">
        <v>1110</v>
      </c>
      <c r="I386" s="45">
        <v>70232</v>
      </c>
    </row>
    <row r="387" spans="5:9" x14ac:dyDescent="0.3">
      <c r="E387" s="43" t="s">
        <v>388</v>
      </c>
      <c r="F387" s="44">
        <v>42265.856296296297</v>
      </c>
      <c r="G387" s="40" t="s">
        <v>1008</v>
      </c>
      <c r="H387" s="40" t="s">
        <v>1111</v>
      </c>
      <c r="I387" s="45">
        <v>4980</v>
      </c>
    </row>
    <row r="388" spans="5:9" x14ac:dyDescent="0.3">
      <c r="E388" s="43" t="s">
        <v>389</v>
      </c>
      <c r="F388" s="44">
        <v>42158.412789351853</v>
      </c>
      <c r="G388" s="40" t="s">
        <v>1009</v>
      </c>
      <c r="H388" s="40" t="s">
        <v>1112</v>
      </c>
      <c r="I388" s="45">
        <v>92172</v>
      </c>
    </row>
    <row r="389" spans="5:9" x14ac:dyDescent="0.3">
      <c r="E389" s="43" t="s">
        <v>390</v>
      </c>
      <c r="F389" s="44">
        <v>42107.376620370371</v>
      </c>
      <c r="G389" s="40" t="s">
        <v>1010</v>
      </c>
      <c r="H389" s="40" t="s">
        <v>1113</v>
      </c>
      <c r="I389" s="45">
        <v>29742</v>
      </c>
    </row>
    <row r="390" spans="5:9" x14ac:dyDescent="0.3">
      <c r="E390" s="43" t="s">
        <v>391</v>
      </c>
      <c r="F390" s="44">
        <v>42024.511273148149</v>
      </c>
      <c r="G390" s="40" t="s">
        <v>1011</v>
      </c>
      <c r="H390" s="40" t="s">
        <v>1114</v>
      </c>
      <c r="I390" s="45">
        <v>77552</v>
      </c>
    </row>
    <row r="391" spans="5:9" x14ac:dyDescent="0.3">
      <c r="E391" s="43" t="s">
        <v>392</v>
      </c>
      <c r="F391" s="44">
        <v>42101.673576388886</v>
      </c>
      <c r="G391" s="40" t="s">
        <v>1012</v>
      </c>
      <c r="H391" s="40" t="s">
        <v>1083</v>
      </c>
      <c r="I391" s="45">
        <v>46688</v>
      </c>
    </row>
    <row r="392" spans="5:9" x14ac:dyDescent="0.3">
      <c r="E392" s="43" t="s">
        <v>393</v>
      </c>
      <c r="F392" s="44">
        <v>42258.438472222224</v>
      </c>
      <c r="G392" s="40" t="s">
        <v>1013</v>
      </c>
      <c r="H392" s="40" t="s">
        <v>1085</v>
      </c>
      <c r="I392" s="45">
        <v>61352</v>
      </c>
    </row>
    <row r="393" spans="5:9" x14ac:dyDescent="0.3">
      <c r="E393" s="43" t="s">
        <v>394</v>
      </c>
      <c r="F393" s="44">
        <v>42053.91982638889</v>
      </c>
      <c r="G393" s="40" t="s">
        <v>1014</v>
      </c>
      <c r="H393" s="40" t="s">
        <v>1083</v>
      </c>
      <c r="I393" s="45">
        <v>45570</v>
      </c>
    </row>
    <row r="394" spans="5:9" x14ac:dyDescent="0.3">
      <c r="E394" s="43" t="s">
        <v>395</v>
      </c>
      <c r="F394" s="44">
        <v>42243.392731481479</v>
      </c>
      <c r="G394" s="40" t="s">
        <v>1015</v>
      </c>
      <c r="H394" s="40" t="s">
        <v>1086</v>
      </c>
      <c r="I394" s="45">
        <v>62095</v>
      </c>
    </row>
    <row r="395" spans="5:9" x14ac:dyDescent="0.3">
      <c r="E395" s="43" t="s">
        <v>396</v>
      </c>
      <c r="F395" s="44">
        <v>42347.495555555557</v>
      </c>
      <c r="G395" s="40" t="s">
        <v>1016</v>
      </c>
      <c r="H395" s="40" t="s">
        <v>1087</v>
      </c>
      <c r="I395" s="45">
        <v>68794</v>
      </c>
    </row>
    <row r="396" spans="5:9" x14ac:dyDescent="0.3">
      <c r="E396" s="43" t="s">
        <v>397</v>
      </c>
      <c r="F396" s="44">
        <v>42359.648634259262</v>
      </c>
      <c r="G396" s="40" t="s">
        <v>1017</v>
      </c>
      <c r="H396" s="40" t="s">
        <v>1088</v>
      </c>
      <c r="I396" s="45">
        <v>4533</v>
      </c>
    </row>
    <row r="397" spans="5:9" x14ac:dyDescent="0.3">
      <c r="E397" s="43" t="s">
        <v>398</v>
      </c>
      <c r="F397" s="44">
        <v>42030.251863425925</v>
      </c>
      <c r="G397" s="40" t="s">
        <v>1018</v>
      </c>
      <c r="H397" s="40" t="s">
        <v>1089</v>
      </c>
      <c r="I397" s="45">
        <v>64714</v>
      </c>
    </row>
    <row r="398" spans="5:9" x14ac:dyDescent="0.3">
      <c r="E398" s="43" t="s">
        <v>399</v>
      </c>
      <c r="F398" s="44">
        <v>42234.293749999997</v>
      </c>
      <c r="G398" s="40" t="s">
        <v>1019</v>
      </c>
      <c r="H398" s="40" t="s">
        <v>1090</v>
      </c>
      <c r="I398" s="45">
        <v>81427</v>
      </c>
    </row>
    <row r="399" spans="5:9" x14ac:dyDescent="0.3">
      <c r="E399" s="43" t="s">
        <v>400</v>
      </c>
      <c r="F399" s="44">
        <v>42266.458136574074</v>
      </c>
      <c r="G399" s="40" t="s">
        <v>1020</v>
      </c>
      <c r="H399" s="40" t="s">
        <v>1091</v>
      </c>
      <c r="I399" s="45">
        <v>39681</v>
      </c>
    </row>
    <row r="400" spans="5:9" x14ac:dyDescent="0.3">
      <c r="E400" s="43" t="s">
        <v>401</v>
      </c>
      <c r="F400" s="44">
        <v>42090.170023148145</v>
      </c>
      <c r="G400" s="40" t="s">
        <v>1021</v>
      </c>
      <c r="H400" s="40" t="s">
        <v>1092</v>
      </c>
      <c r="I400" s="45">
        <v>40755</v>
      </c>
    </row>
    <row r="401" spans="5:9" x14ac:dyDescent="0.3">
      <c r="E401" s="43" t="s">
        <v>402</v>
      </c>
      <c r="F401" s="44">
        <v>42306.405243055553</v>
      </c>
      <c r="G401" s="40" t="s">
        <v>1022</v>
      </c>
      <c r="H401" s="40" t="s">
        <v>1093</v>
      </c>
      <c r="I401" s="45">
        <v>62629</v>
      </c>
    </row>
    <row r="402" spans="5:9" x14ac:dyDescent="0.3">
      <c r="E402" s="43" t="s">
        <v>403</v>
      </c>
      <c r="F402" s="44">
        <v>42129.276030092595</v>
      </c>
      <c r="G402" s="40" t="s">
        <v>1023</v>
      </c>
      <c r="H402" s="40" t="s">
        <v>1094</v>
      </c>
      <c r="I402" s="45">
        <v>83217</v>
      </c>
    </row>
    <row r="403" spans="5:9" x14ac:dyDescent="0.3">
      <c r="E403" s="43" t="s">
        <v>404</v>
      </c>
      <c r="F403" s="44">
        <v>42241.802430555559</v>
      </c>
      <c r="G403" s="40" t="s">
        <v>1024</v>
      </c>
      <c r="H403" s="40" t="s">
        <v>1095</v>
      </c>
      <c r="I403" s="45">
        <v>33744</v>
      </c>
    </row>
    <row r="404" spans="5:9" x14ac:dyDescent="0.3">
      <c r="E404" s="43" t="s">
        <v>405</v>
      </c>
      <c r="F404" s="44">
        <v>42109.227303240739</v>
      </c>
      <c r="G404" s="40" t="s">
        <v>1025</v>
      </c>
      <c r="H404" s="40" t="s">
        <v>1096</v>
      </c>
      <c r="I404" s="45">
        <v>67167</v>
      </c>
    </row>
    <row r="405" spans="5:9" x14ac:dyDescent="0.3">
      <c r="E405" s="43" t="s">
        <v>406</v>
      </c>
      <c r="F405" s="44">
        <v>42116.63386574074</v>
      </c>
      <c r="G405" s="40" t="s">
        <v>1026</v>
      </c>
      <c r="H405" s="40" t="s">
        <v>1097</v>
      </c>
      <c r="I405" s="45">
        <v>29729</v>
      </c>
    </row>
    <row r="406" spans="5:9" x14ac:dyDescent="0.3">
      <c r="E406" s="43" t="s">
        <v>407</v>
      </c>
      <c r="F406" s="44">
        <v>42249.035173611112</v>
      </c>
      <c r="G406" s="40" t="s">
        <v>1027</v>
      </c>
      <c r="H406" s="40" t="s">
        <v>1098</v>
      </c>
      <c r="I406" s="45">
        <v>55414</v>
      </c>
    </row>
    <row r="407" spans="5:9" x14ac:dyDescent="0.3">
      <c r="E407" s="43" t="s">
        <v>408</v>
      </c>
      <c r="F407" s="44">
        <v>42219.920740740738</v>
      </c>
      <c r="G407" s="40" t="s">
        <v>1008</v>
      </c>
      <c r="H407" s="40" t="s">
        <v>1099</v>
      </c>
      <c r="I407" s="45">
        <v>94724</v>
      </c>
    </row>
    <row r="408" spans="5:9" x14ac:dyDescent="0.3">
      <c r="E408" s="43" t="s">
        <v>409</v>
      </c>
      <c r="F408" s="44">
        <v>42083.04115740741</v>
      </c>
      <c r="G408" s="40" t="s">
        <v>1009</v>
      </c>
      <c r="H408" s="40" t="s">
        <v>1100</v>
      </c>
      <c r="I408" s="45">
        <v>40580</v>
      </c>
    </row>
    <row r="409" spans="5:9" x14ac:dyDescent="0.3">
      <c r="E409" s="43" t="s">
        <v>410</v>
      </c>
      <c r="F409" s="44">
        <v>42206.038055555553</v>
      </c>
      <c r="G409" s="40" t="s">
        <v>1010</v>
      </c>
      <c r="H409" s="40" t="s">
        <v>1101</v>
      </c>
      <c r="I409" s="45">
        <v>9117</v>
      </c>
    </row>
    <row r="410" spans="5:9" x14ac:dyDescent="0.3">
      <c r="E410" s="43" t="s">
        <v>411</v>
      </c>
      <c r="F410" s="44">
        <v>42321.079131944447</v>
      </c>
      <c r="G410" s="40" t="s">
        <v>1011</v>
      </c>
      <c r="H410" s="40" t="s">
        <v>1102</v>
      </c>
      <c r="I410" s="45">
        <v>71500</v>
      </c>
    </row>
    <row r="411" spans="5:9" x14ac:dyDescent="0.3">
      <c r="E411" s="43" t="s">
        <v>412</v>
      </c>
      <c r="F411" s="44">
        <v>42088.917847222219</v>
      </c>
      <c r="G411" s="40" t="s">
        <v>1012</v>
      </c>
      <c r="H411" s="40" t="s">
        <v>1103</v>
      </c>
      <c r="I411" s="45">
        <v>43060</v>
      </c>
    </row>
    <row r="412" spans="5:9" x14ac:dyDescent="0.3">
      <c r="E412" s="43" t="s">
        <v>413</v>
      </c>
      <c r="F412" s="44">
        <v>42341.992071759261</v>
      </c>
      <c r="G412" s="40" t="s">
        <v>1013</v>
      </c>
      <c r="H412" s="40" t="s">
        <v>1104</v>
      </c>
      <c r="I412" s="45">
        <v>24379</v>
      </c>
    </row>
    <row r="413" spans="5:9" x14ac:dyDescent="0.3">
      <c r="E413" s="43" t="s">
        <v>414</v>
      </c>
      <c r="F413" s="44">
        <v>42194.467997685184</v>
      </c>
      <c r="G413" s="40" t="s">
        <v>1014</v>
      </c>
      <c r="H413" s="40" t="s">
        <v>1105</v>
      </c>
      <c r="I413" s="45">
        <v>35169</v>
      </c>
    </row>
    <row r="414" spans="5:9" x14ac:dyDescent="0.3">
      <c r="E414" s="43" t="s">
        <v>415</v>
      </c>
      <c r="F414" s="44">
        <v>42111.09642361111</v>
      </c>
      <c r="G414" s="40" t="s">
        <v>1015</v>
      </c>
      <c r="H414" s="40" t="s">
        <v>1106</v>
      </c>
      <c r="I414" s="45">
        <v>95281</v>
      </c>
    </row>
    <row r="415" spans="5:9" x14ac:dyDescent="0.3">
      <c r="E415" s="43" t="s">
        <v>416</v>
      </c>
      <c r="F415" s="44">
        <v>42269.091840277775</v>
      </c>
      <c r="G415" s="40" t="s">
        <v>1016</v>
      </c>
      <c r="H415" s="40" t="s">
        <v>1107</v>
      </c>
      <c r="I415" s="45">
        <v>77728</v>
      </c>
    </row>
    <row r="416" spans="5:9" x14ac:dyDescent="0.3">
      <c r="E416" s="43" t="s">
        <v>417</v>
      </c>
      <c r="F416" s="44">
        <v>42265.382465277777</v>
      </c>
      <c r="G416" s="40" t="s">
        <v>1017</v>
      </c>
      <c r="H416" s="40" t="s">
        <v>1108</v>
      </c>
      <c r="I416" s="45">
        <v>29452</v>
      </c>
    </row>
    <row r="417" spans="5:9" x14ac:dyDescent="0.3">
      <c r="E417" s="43" t="s">
        <v>418</v>
      </c>
      <c r="F417" s="44">
        <v>42054.121238425927</v>
      </c>
      <c r="G417" s="40" t="s">
        <v>1018</v>
      </c>
      <c r="H417" s="40" t="s">
        <v>1109</v>
      </c>
      <c r="I417" s="45">
        <v>60313</v>
      </c>
    </row>
    <row r="418" spans="5:9" x14ac:dyDescent="0.3">
      <c r="E418" s="43" t="s">
        <v>419</v>
      </c>
      <c r="F418" s="44">
        <v>42115.466689814813</v>
      </c>
      <c r="G418" s="40" t="s">
        <v>1019</v>
      </c>
      <c r="H418" s="40" t="s">
        <v>1110</v>
      </c>
      <c r="I418" s="45">
        <v>9260</v>
      </c>
    </row>
    <row r="419" spans="5:9" x14ac:dyDescent="0.3">
      <c r="E419" s="43" t="s">
        <v>420</v>
      </c>
      <c r="F419" s="44">
        <v>42077.873252314814</v>
      </c>
      <c r="G419" s="40" t="s">
        <v>1020</v>
      </c>
      <c r="H419" s="40" t="s">
        <v>1111</v>
      </c>
      <c r="I419" s="45">
        <v>98823</v>
      </c>
    </row>
    <row r="420" spans="5:9" x14ac:dyDescent="0.3">
      <c r="E420" s="43" t="s">
        <v>421</v>
      </c>
      <c r="F420" s="44">
        <v>42060.796435185184</v>
      </c>
      <c r="G420" s="40" t="s">
        <v>1021</v>
      </c>
      <c r="H420" s="40" t="s">
        <v>1112</v>
      </c>
      <c r="I420" s="45">
        <v>90468</v>
      </c>
    </row>
    <row r="421" spans="5:9" x14ac:dyDescent="0.3">
      <c r="E421" s="43" t="s">
        <v>422</v>
      </c>
      <c r="F421" s="44">
        <v>42263.684594907405</v>
      </c>
      <c r="G421" s="40" t="s">
        <v>1022</v>
      </c>
      <c r="H421" s="40" t="s">
        <v>1113</v>
      </c>
      <c r="I421" s="45">
        <v>21491</v>
      </c>
    </row>
    <row r="422" spans="5:9" x14ac:dyDescent="0.3">
      <c r="E422" s="43" t="s">
        <v>423</v>
      </c>
      <c r="F422" s="44">
        <v>42211.993495370371</v>
      </c>
      <c r="G422" s="40" t="s">
        <v>1023</v>
      </c>
      <c r="H422" s="40" t="s">
        <v>1114</v>
      </c>
      <c r="I422" s="45">
        <v>12742</v>
      </c>
    </row>
    <row r="423" spans="5:9" x14ac:dyDescent="0.3">
      <c r="E423" s="43" t="s">
        <v>424</v>
      </c>
      <c r="F423" s="44">
        <v>42036.015393518515</v>
      </c>
      <c r="G423" s="40" t="s">
        <v>1024</v>
      </c>
      <c r="H423" s="40" t="s">
        <v>1083</v>
      </c>
      <c r="I423" s="45">
        <v>55608</v>
      </c>
    </row>
    <row r="424" spans="5:9" x14ac:dyDescent="0.3">
      <c r="E424" s="43" t="s">
        <v>425</v>
      </c>
      <c r="F424" s="44">
        <v>42236.646597222221</v>
      </c>
      <c r="G424" s="40" t="s">
        <v>1025</v>
      </c>
      <c r="H424" s="40" t="s">
        <v>1085</v>
      </c>
      <c r="I424" s="45">
        <v>62436</v>
      </c>
    </row>
    <row r="425" spans="5:9" x14ac:dyDescent="0.3">
      <c r="E425" s="43" t="s">
        <v>426</v>
      </c>
      <c r="F425" s="44">
        <v>42017.544444444444</v>
      </c>
      <c r="G425" s="40" t="s">
        <v>1026</v>
      </c>
      <c r="H425" s="40" t="s">
        <v>1083</v>
      </c>
      <c r="I425" s="45">
        <v>32221</v>
      </c>
    </row>
    <row r="426" spans="5:9" x14ac:dyDescent="0.3">
      <c r="E426" s="43" t="s">
        <v>427</v>
      </c>
      <c r="F426" s="44">
        <v>42127.09175925926</v>
      </c>
      <c r="G426" s="40" t="s">
        <v>1027</v>
      </c>
      <c r="H426" s="40" t="s">
        <v>1086</v>
      </c>
      <c r="I426" s="45">
        <v>29631</v>
      </c>
    </row>
    <row r="427" spans="5:9" x14ac:dyDescent="0.3">
      <c r="E427" s="43" t="s">
        <v>428</v>
      </c>
      <c r="F427" s="44">
        <v>42229.294456018521</v>
      </c>
      <c r="G427" s="40" t="s">
        <v>1008</v>
      </c>
      <c r="H427" s="40" t="s">
        <v>1087</v>
      </c>
      <c r="I427" s="45">
        <v>16710</v>
      </c>
    </row>
    <row r="428" spans="5:9" x14ac:dyDescent="0.3">
      <c r="E428" s="43" t="s">
        <v>429</v>
      </c>
      <c r="F428" s="44">
        <v>42204.499918981484</v>
      </c>
      <c r="G428" s="40" t="s">
        <v>1009</v>
      </c>
      <c r="H428" s="40" t="s">
        <v>1088</v>
      </c>
      <c r="I428" s="45">
        <v>17461</v>
      </c>
    </row>
    <row r="429" spans="5:9" x14ac:dyDescent="0.3">
      <c r="E429" s="43" t="s">
        <v>430</v>
      </c>
      <c r="F429" s="44">
        <v>42073.586273148147</v>
      </c>
      <c r="G429" s="40" t="s">
        <v>1010</v>
      </c>
      <c r="H429" s="40" t="s">
        <v>1089</v>
      </c>
      <c r="I429" s="45">
        <v>13028</v>
      </c>
    </row>
    <row r="430" spans="5:9" x14ac:dyDescent="0.3">
      <c r="E430" s="43" t="s">
        <v>431</v>
      </c>
      <c r="F430" s="44">
        <v>42062.398032407407</v>
      </c>
      <c r="G430" s="40" t="s">
        <v>1011</v>
      </c>
      <c r="H430" s="40" t="s">
        <v>1090</v>
      </c>
      <c r="I430" s="45">
        <v>55709</v>
      </c>
    </row>
    <row r="431" spans="5:9" x14ac:dyDescent="0.3">
      <c r="E431" s="43" t="s">
        <v>432</v>
      </c>
      <c r="F431" s="44">
        <v>42242.965682870374</v>
      </c>
      <c r="G431" s="40" t="s">
        <v>1012</v>
      </c>
      <c r="H431" s="40" t="s">
        <v>1091</v>
      </c>
      <c r="I431" s="45">
        <v>42341</v>
      </c>
    </row>
    <row r="432" spans="5:9" x14ac:dyDescent="0.3">
      <c r="E432" s="43" t="s">
        <v>433</v>
      </c>
      <c r="F432" s="44">
        <v>42123.838912037034</v>
      </c>
      <c r="G432" s="40" t="s">
        <v>1013</v>
      </c>
      <c r="H432" s="40" t="s">
        <v>1092</v>
      </c>
      <c r="I432" s="45">
        <v>55008</v>
      </c>
    </row>
    <row r="433" spans="5:9" x14ac:dyDescent="0.3">
      <c r="E433" s="43" t="s">
        <v>434</v>
      </c>
      <c r="F433" s="44">
        <v>42261.878993055558</v>
      </c>
      <c r="G433" s="40" t="s">
        <v>1014</v>
      </c>
      <c r="H433" s="40" t="s">
        <v>1093</v>
      </c>
      <c r="I433" s="45">
        <v>44389</v>
      </c>
    </row>
    <row r="434" spans="5:9" x14ac:dyDescent="0.3">
      <c r="E434" s="43" t="s">
        <v>435</v>
      </c>
      <c r="F434" s="44">
        <v>42173.779108796298</v>
      </c>
      <c r="G434" s="40" t="s">
        <v>1015</v>
      </c>
      <c r="H434" s="40" t="s">
        <v>1094</v>
      </c>
      <c r="I434" s="45">
        <v>54767</v>
      </c>
    </row>
    <row r="435" spans="5:9" x14ac:dyDescent="0.3">
      <c r="E435" s="43" t="s">
        <v>436</v>
      </c>
      <c r="F435" s="44">
        <v>42219.254328703704</v>
      </c>
      <c r="G435" s="40" t="s">
        <v>1016</v>
      </c>
      <c r="H435" s="40" t="s">
        <v>1095</v>
      </c>
      <c r="I435" s="45">
        <v>10622</v>
      </c>
    </row>
    <row r="436" spans="5:9" x14ac:dyDescent="0.3">
      <c r="E436" s="43" t="s">
        <v>437</v>
      </c>
      <c r="F436" s="44">
        <v>42187.311493055553</v>
      </c>
      <c r="G436" s="40" t="s">
        <v>1017</v>
      </c>
      <c r="H436" s="40" t="s">
        <v>1096</v>
      </c>
      <c r="I436" s="45">
        <v>37123</v>
      </c>
    </row>
    <row r="437" spans="5:9" x14ac:dyDescent="0.3">
      <c r="E437" s="43" t="s">
        <v>438</v>
      </c>
      <c r="F437" s="44">
        <v>42036.950416666667</v>
      </c>
      <c r="G437" s="40" t="s">
        <v>1018</v>
      </c>
      <c r="H437" s="40" t="s">
        <v>1097</v>
      </c>
      <c r="I437" s="45">
        <v>15231</v>
      </c>
    </row>
    <row r="438" spans="5:9" x14ac:dyDescent="0.3">
      <c r="E438" s="43" t="s">
        <v>439</v>
      </c>
      <c r="F438" s="44">
        <v>42123.356446759259</v>
      </c>
      <c r="G438" s="40" t="s">
        <v>1019</v>
      </c>
      <c r="H438" s="40" t="s">
        <v>1098</v>
      </c>
      <c r="I438" s="45">
        <v>68310</v>
      </c>
    </row>
    <row r="439" spans="5:9" x14ac:dyDescent="0.3">
      <c r="E439" s="43" t="s">
        <v>440</v>
      </c>
      <c r="F439" s="44">
        <v>42152.242731481485</v>
      </c>
      <c r="G439" s="40" t="s">
        <v>1020</v>
      </c>
      <c r="H439" s="40" t="s">
        <v>1099</v>
      </c>
      <c r="I439" s="45">
        <v>68331</v>
      </c>
    </row>
    <row r="440" spans="5:9" x14ac:dyDescent="0.3">
      <c r="E440" s="43" t="s">
        <v>441</v>
      </c>
      <c r="F440" s="44">
        <v>42121.057256944441</v>
      </c>
      <c r="G440" s="40" t="s">
        <v>1021</v>
      </c>
      <c r="H440" s="40" t="s">
        <v>1100</v>
      </c>
      <c r="I440" s="45">
        <v>11739</v>
      </c>
    </row>
    <row r="441" spans="5:9" x14ac:dyDescent="0.3">
      <c r="E441" s="43" t="s">
        <v>442</v>
      </c>
      <c r="F441" s="44">
        <v>42137.258460648147</v>
      </c>
      <c r="G441" s="40" t="s">
        <v>1022</v>
      </c>
      <c r="H441" s="40" t="s">
        <v>1101</v>
      </c>
      <c r="I441" s="45">
        <v>86741</v>
      </c>
    </row>
    <row r="442" spans="5:9" x14ac:dyDescent="0.3">
      <c r="E442" s="43" t="s">
        <v>443</v>
      </c>
      <c r="F442" s="44">
        <v>42347.546388888892</v>
      </c>
      <c r="G442" s="40" t="s">
        <v>1023</v>
      </c>
      <c r="H442" s="40" t="s">
        <v>1102</v>
      </c>
      <c r="I442" s="45">
        <v>57448</v>
      </c>
    </row>
    <row r="443" spans="5:9" x14ac:dyDescent="0.3">
      <c r="E443" s="43" t="s">
        <v>444</v>
      </c>
      <c r="F443" s="44">
        <v>42323.192037037035</v>
      </c>
      <c r="G443" s="40" t="s">
        <v>1024</v>
      </c>
      <c r="H443" s="40" t="s">
        <v>1103</v>
      </c>
      <c r="I443" s="45">
        <v>95905</v>
      </c>
    </row>
    <row r="444" spans="5:9" x14ac:dyDescent="0.3">
      <c r="E444" s="43" t="s">
        <v>445</v>
      </c>
      <c r="F444" s="44">
        <v>42158.08489583333</v>
      </c>
      <c r="G444" s="40" t="s">
        <v>1025</v>
      </c>
      <c r="H444" s="40" t="s">
        <v>1104</v>
      </c>
      <c r="I444" s="45">
        <v>82874</v>
      </c>
    </row>
    <row r="445" spans="5:9" x14ac:dyDescent="0.3">
      <c r="E445" s="43" t="s">
        <v>446</v>
      </c>
      <c r="F445" s="44">
        <v>42010.99527777778</v>
      </c>
      <c r="G445" s="40" t="s">
        <v>1026</v>
      </c>
      <c r="H445" s="40" t="s">
        <v>1105</v>
      </c>
      <c r="I445" s="45">
        <v>80539</v>
      </c>
    </row>
    <row r="446" spans="5:9" x14ac:dyDescent="0.3">
      <c r="E446" s="43" t="s">
        <v>447</v>
      </c>
      <c r="F446" s="44">
        <v>42107.441747685189</v>
      </c>
      <c r="G446" s="40" t="s">
        <v>1027</v>
      </c>
      <c r="H446" s="40" t="s">
        <v>1106</v>
      </c>
      <c r="I446" s="45">
        <v>13989</v>
      </c>
    </row>
    <row r="447" spans="5:9" x14ac:dyDescent="0.3">
      <c r="E447" s="43" t="s">
        <v>448</v>
      </c>
      <c r="F447" s="44">
        <v>42300.403726851851</v>
      </c>
      <c r="G447" s="40" t="s">
        <v>1008</v>
      </c>
      <c r="H447" s="40" t="s">
        <v>1107</v>
      </c>
      <c r="I447" s="45">
        <v>70599</v>
      </c>
    </row>
    <row r="448" spans="5:9" x14ac:dyDescent="0.3">
      <c r="E448" s="43" t="s">
        <v>449</v>
      </c>
      <c r="F448" s="44">
        <v>42077.240081018521</v>
      </c>
      <c r="G448" s="40" t="s">
        <v>1009</v>
      </c>
      <c r="H448" s="40" t="s">
        <v>1108</v>
      </c>
      <c r="I448" s="45">
        <v>1471</v>
      </c>
    </row>
    <row r="449" spans="5:9" x14ac:dyDescent="0.3">
      <c r="E449" s="43" t="s">
        <v>450</v>
      </c>
      <c r="F449" s="44">
        <v>42240.717777777776</v>
      </c>
      <c r="G449" s="40" t="s">
        <v>1010</v>
      </c>
      <c r="H449" s="40" t="s">
        <v>1109</v>
      </c>
      <c r="I449" s="45">
        <v>61674</v>
      </c>
    </row>
    <row r="450" spans="5:9" x14ac:dyDescent="0.3">
      <c r="E450" s="43" t="s">
        <v>451</v>
      </c>
      <c r="F450" s="44">
        <v>42119.364386574074</v>
      </c>
      <c r="G450" s="40" t="s">
        <v>1011</v>
      </c>
      <c r="H450" s="40" t="s">
        <v>1110</v>
      </c>
      <c r="I450" s="45">
        <v>98751</v>
      </c>
    </row>
    <row r="451" spans="5:9" x14ac:dyDescent="0.3">
      <c r="E451" s="43" t="s">
        <v>452</v>
      </c>
      <c r="F451" s="44">
        <v>42220.477256944447</v>
      </c>
      <c r="G451" s="40" t="s">
        <v>1012</v>
      </c>
      <c r="H451" s="40" t="s">
        <v>1111</v>
      </c>
      <c r="I451" s="45">
        <v>24260</v>
      </c>
    </row>
    <row r="452" spans="5:9" x14ac:dyDescent="0.3">
      <c r="E452" s="43" t="s">
        <v>453</v>
      </c>
      <c r="F452" s="44">
        <v>42098.340451388889</v>
      </c>
      <c r="G452" s="40" t="s">
        <v>1013</v>
      </c>
      <c r="H452" s="40" t="s">
        <v>1112</v>
      </c>
      <c r="I452" s="45">
        <v>75378</v>
      </c>
    </row>
    <row r="453" spans="5:9" x14ac:dyDescent="0.3">
      <c r="E453" s="43" t="s">
        <v>454</v>
      </c>
      <c r="F453" s="44">
        <v>42005.64398148148</v>
      </c>
      <c r="G453" s="40" t="s">
        <v>1014</v>
      </c>
      <c r="H453" s="40" t="s">
        <v>1113</v>
      </c>
      <c r="I453" s="45">
        <v>89028</v>
      </c>
    </row>
    <row r="454" spans="5:9" x14ac:dyDescent="0.3">
      <c r="E454" s="43" t="s">
        <v>455</v>
      </c>
      <c r="F454" s="44">
        <v>42037.836817129632</v>
      </c>
      <c r="G454" s="40" t="s">
        <v>1015</v>
      </c>
      <c r="H454" s="40" t="s">
        <v>1114</v>
      </c>
      <c r="I454" s="45">
        <v>46607</v>
      </c>
    </row>
    <row r="455" spans="5:9" x14ac:dyDescent="0.3">
      <c r="E455" s="43" t="s">
        <v>456</v>
      </c>
      <c r="F455" s="44">
        <v>42074.741631944446</v>
      </c>
      <c r="G455" s="40" t="s">
        <v>1016</v>
      </c>
      <c r="H455" s="40" t="s">
        <v>1083</v>
      </c>
      <c r="I455" s="45">
        <v>11123</v>
      </c>
    </row>
    <row r="456" spans="5:9" x14ac:dyDescent="0.3">
      <c r="E456" s="43" t="s">
        <v>457</v>
      </c>
      <c r="F456" s="44">
        <v>42239.030405092592</v>
      </c>
      <c r="G456" s="40" t="s">
        <v>1017</v>
      </c>
      <c r="H456" s="40" t="s">
        <v>1085</v>
      </c>
      <c r="I456" s="45">
        <v>38022</v>
      </c>
    </row>
    <row r="457" spans="5:9" x14ac:dyDescent="0.3">
      <c r="E457" s="43" t="s">
        <v>458</v>
      </c>
      <c r="F457" s="44">
        <v>42111.821643518517</v>
      </c>
      <c r="G457" s="40" t="s">
        <v>1018</v>
      </c>
      <c r="H457" s="40" t="s">
        <v>1083</v>
      </c>
      <c r="I457" s="45">
        <v>95711</v>
      </c>
    </row>
    <row r="458" spans="5:9" x14ac:dyDescent="0.3">
      <c r="E458" s="43" t="s">
        <v>459</v>
      </c>
      <c r="F458" s="44">
        <v>42182.827187499999</v>
      </c>
      <c r="G458" s="40" t="s">
        <v>1019</v>
      </c>
      <c r="H458" s="40" t="s">
        <v>1086</v>
      </c>
      <c r="I458" s="45">
        <v>46372</v>
      </c>
    </row>
    <row r="459" spans="5:9" x14ac:dyDescent="0.3">
      <c r="E459" s="43" t="s">
        <v>460</v>
      </c>
      <c r="F459" s="44">
        <v>42143.643738425926</v>
      </c>
      <c r="G459" s="40" t="s">
        <v>1020</v>
      </c>
      <c r="H459" s="40" t="s">
        <v>1087</v>
      </c>
      <c r="I459" s="45">
        <v>45050</v>
      </c>
    </row>
    <row r="460" spans="5:9" x14ac:dyDescent="0.3">
      <c r="E460" s="43" t="s">
        <v>461</v>
      </c>
      <c r="F460" s="44">
        <v>42335.594155092593</v>
      </c>
      <c r="G460" s="40" t="s">
        <v>1021</v>
      </c>
      <c r="H460" s="40" t="s">
        <v>1088</v>
      </c>
      <c r="I460" s="45">
        <v>50193</v>
      </c>
    </row>
    <row r="461" spans="5:9" x14ac:dyDescent="0.3">
      <c r="E461" s="43" t="s">
        <v>462</v>
      </c>
      <c r="F461" s="44">
        <v>42237.303032407406</v>
      </c>
      <c r="G461" s="40" t="s">
        <v>1022</v>
      </c>
      <c r="H461" s="40" t="s">
        <v>1089</v>
      </c>
      <c r="I461" s="45">
        <v>18362</v>
      </c>
    </row>
    <row r="462" spans="5:9" x14ac:dyDescent="0.3">
      <c r="E462" s="43" t="s">
        <v>463</v>
      </c>
      <c r="F462" s="44">
        <v>42365.389814814815</v>
      </c>
      <c r="G462" s="40" t="s">
        <v>1023</v>
      </c>
      <c r="H462" s="40" t="s">
        <v>1090</v>
      </c>
      <c r="I462" s="45">
        <v>43823</v>
      </c>
    </row>
    <row r="463" spans="5:9" x14ac:dyDescent="0.3">
      <c r="E463" s="43" t="s">
        <v>464</v>
      </c>
      <c r="F463" s="44">
        <v>42186.307395833333</v>
      </c>
      <c r="G463" s="40" t="s">
        <v>1024</v>
      </c>
      <c r="H463" s="40" t="s">
        <v>1091</v>
      </c>
      <c r="I463" s="45">
        <v>6294</v>
      </c>
    </row>
    <row r="464" spans="5:9" x14ac:dyDescent="0.3">
      <c r="E464" s="43" t="s">
        <v>465</v>
      </c>
      <c r="F464" s="44">
        <v>42105.488865740743</v>
      </c>
      <c r="G464" s="40" t="s">
        <v>1025</v>
      </c>
      <c r="H464" s="40" t="s">
        <v>1092</v>
      </c>
      <c r="I464" s="45">
        <v>49847</v>
      </c>
    </row>
    <row r="465" spans="5:9" x14ac:dyDescent="0.3">
      <c r="E465" s="43" t="s">
        <v>466</v>
      </c>
      <c r="F465" s="44">
        <v>42165.897407407407</v>
      </c>
      <c r="G465" s="40" t="s">
        <v>1026</v>
      </c>
      <c r="H465" s="40" t="s">
        <v>1093</v>
      </c>
      <c r="I465" s="45">
        <v>68685</v>
      </c>
    </row>
    <row r="466" spans="5:9" x14ac:dyDescent="0.3">
      <c r="E466" s="43" t="s">
        <v>467</v>
      </c>
      <c r="F466" s="44">
        <v>42075.897719907407</v>
      </c>
      <c r="G466" s="40" t="s">
        <v>1027</v>
      </c>
      <c r="H466" s="40" t="s">
        <v>1094</v>
      </c>
      <c r="I466" s="45">
        <v>91913</v>
      </c>
    </row>
    <row r="467" spans="5:9" x14ac:dyDescent="0.3">
      <c r="E467" s="43" t="s">
        <v>468</v>
      </c>
      <c r="F467" s="44">
        <v>42104.522928240738</v>
      </c>
      <c r="G467" s="40" t="s">
        <v>1008</v>
      </c>
      <c r="H467" s="40" t="s">
        <v>1095</v>
      </c>
      <c r="I467" s="45">
        <v>84834</v>
      </c>
    </row>
    <row r="468" spans="5:9" x14ac:dyDescent="0.3">
      <c r="E468" s="43" t="s">
        <v>469</v>
      </c>
      <c r="F468" s="44">
        <v>42115.758194444446</v>
      </c>
      <c r="G468" s="40" t="s">
        <v>1009</v>
      </c>
      <c r="H468" s="40" t="s">
        <v>1096</v>
      </c>
      <c r="I468" s="45">
        <v>47788</v>
      </c>
    </row>
    <row r="469" spans="5:9" x14ac:dyDescent="0.3">
      <c r="E469" s="43" t="s">
        <v>470</v>
      </c>
      <c r="F469" s="44">
        <v>42108.358356481483</v>
      </c>
      <c r="G469" s="40" t="s">
        <v>1010</v>
      </c>
      <c r="H469" s="40" t="s">
        <v>1097</v>
      </c>
      <c r="I469" s="45">
        <v>80086</v>
      </c>
    </row>
    <row r="470" spans="5:9" x14ac:dyDescent="0.3">
      <c r="E470" s="43" t="s">
        <v>471</v>
      </c>
      <c r="F470" s="44">
        <v>42107.699166666665</v>
      </c>
      <c r="G470" s="40" t="s">
        <v>1011</v>
      </c>
      <c r="H470" s="40" t="s">
        <v>1098</v>
      </c>
      <c r="I470" s="45">
        <v>26141</v>
      </c>
    </row>
    <row r="471" spans="5:9" x14ac:dyDescent="0.3">
      <c r="E471" s="43" t="s">
        <v>472</v>
      </c>
      <c r="F471" s="44">
        <v>42011.257754629631</v>
      </c>
      <c r="G471" s="40" t="s">
        <v>1012</v>
      </c>
      <c r="H471" s="40" t="s">
        <v>1099</v>
      </c>
      <c r="I471" s="45">
        <v>5878</v>
      </c>
    </row>
    <row r="472" spans="5:9" x14ac:dyDescent="0.3">
      <c r="E472" s="43" t="s">
        <v>473</v>
      </c>
      <c r="F472" s="44">
        <v>42248.093425925923</v>
      </c>
      <c r="G472" s="40" t="s">
        <v>1013</v>
      </c>
      <c r="H472" s="40" t="s">
        <v>1100</v>
      </c>
      <c r="I472" s="45">
        <v>33298</v>
      </c>
    </row>
    <row r="473" spans="5:9" x14ac:dyDescent="0.3">
      <c r="E473" s="43" t="s">
        <v>474</v>
      </c>
      <c r="F473" s="44">
        <v>42188.443159722221</v>
      </c>
      <c r="G473" s="40" t="s">
        <v>1014</v>
      </c>
      <c r="H473" s="40" t="s">
        <v>1101</v>
      </c>
      <c r="I473" s="45">
        <v>74662</v>
      </c>
    </row>
    <row r="474" spans="5:9" x14ac:dyDescent="0.3">
      <c r="E474" s="43" t="s">
        <v>475</v>
      </c>
      <c r="F474" s="44">
        <v>42069.366562499999</v>
      </c>
      <c r="G474" s="40" t="s">
        <v>1015</v>
      </c>
      <c r="H474" s="40" t="s">
        <v>1102</v>
      </c>
      <c r="I474" s="45">
        <v>58741</v>
      </c>
    </row>
    <row r="475" spans="5:9" x14ac:dyDescent="0.3">
      <c r="E475" s="43" t="s">
        <v>476</v>
      </c>
      <c r="F475" s="44">
        <v>42263.566550925927</v>
      </c>
      <c r="G475" s="40" t="s">
        <v>1016</v>
      </c>
      <c r="H475" s="40" t="s">
        <v>1103</v>
      </c>
      <c r="I475" s="45">
        <v>37605</v>
      </c>
    </row>
    <row r="476" spans="5:9" x14ac:dyDescent="0.3">
      <c r="E476" s="43" t="s">
        <v>477</v>
      </c>
      <c r="F476" s="44">
        <v>42042.97997685185</v>
      </c>
      <c r="G476" s="40" t="s">
        <v>1017</v>
      </c>
      <c r="H476" s="40" t="s">
        <v>1104</v>
      </c>
      <c r="I476" s="45">
        <v>98580</v>
      </c>
    </row>
    <row r="477" spans="5:9" x14ac:dyDescent="0.3">
      <c r="E477" s="43" t="s">
        <v>478</v>
      </c>
      <c r="F477" s="44">
        <v>42252.531886574077</v>
      </c>
      <c r="G477" s="40" t="s">
        <v>1018</v>
      </c>
      <c r="H477" s="40" t="s">
        <v>1105</v>
      </c>
      <c r="I477" s="45">
        <v>82085</v>
      </c>
    </row>
    <row r="478" spans="5:9" x14ac:dyDescent="0.3">
      <c r="E478" s="43" t="s">
        <v>479</v>
      </c>
      <c r="F478" s="44">
        <v>42356.892824074072</v>
      </c>
      <c r="G478" s="40" t="s">
        <v>1019</v>
      </c>
      <c r="H478" s="40" t="s">
        <v>1106</v>
      </c>
      <c r="I478" s="45">
        <v>74046</v>
      </c>
    </row>
    <row r="479" spans="5:9" x14ac:dyDescent="0.3">
      <c r="E479" s="43" t="s">
        <v>480</v>
      </c>
      <c r="F479" s="44">
        <v>42365.190798611111</v>
      </c>
      <c r="G479" s="40" t="s">
        <v>1020</v>
      </c>
      <c r="H479" s="40" t="s">
        <v>1107</v>
      </c>
      <c r="I479" s="45">
        <v>27941</v>
      </c>
    </row>
    <row r="480" spans="5:9" x14ac:dyDescent="0.3">
      <c r="E480" s="43" t="s">
        <v>481</v>
      </c>
      <c r="F480" s="44">
        <v>42132.704965277779</v>
      </c>
      <c r="G480" s="40" t="s">
        <v>1021</v>
      </c>
      <c r="H480" s="40" t="s">
        <v>1108</v>
      </c>
      <c r="I480" s="45">
        <v>39743</v>
      </c>
    </row>
    <row r="481" spans="5:9" x14ac:dyDescent="0.3">
      <c r="E481" s="43" t="s">
        <v>482</v>
      </c>
      <c r="F481" s="44">
        <v>42216.680868055555</v>
      </c>
      <c r="G481" s="40" t="s">
        <v>1022</v>
      </c>
      <c r="H481" s="40" t="s">
        <v>1109</v>
      </c>
      <c r="I481" s="45">
        <v>99773</v>
      </c>
    </row>
    <row r="482" spans="5:9" x14ac:dyDescent="0.3">
      <c r="E482" s="43" t="s">
        <v>483</v>
      </c>
      <c r="F482" s="44">
        <v>42281.325752314813</v>
      </c>
      <c r="G482" s="40" t="s">
        <v>1023</v>
      </c>
      <c r="H482" s="40" t="s">
        <v>1110</v>
      </c>
      <c r="I482" s="45">
        <v>97816</v>
      </c>
    </row>
    <row r="483" spans="5:9" x14ac:dyDescent="0.3">
      <c r="E483" s="43" t="s">
        <v>484</v>
      </c>
      <c r="F483" s="44">
        <v>42166.218252314815</v>
      </c>
      <c r="G483" s="40" t="s">
        <v>1024</v>
      </c>
      <c r="H483" s="40" t="s">
        <v>1111</v>
      </c>
      <c r="I483" s="45">
        <v>22516</v>
      </c>
    </row>
    <row r="484" spans="5:9" x14ac:dyDescent="0.3">
      <c r="E484" s="43" t="s">
        <v>485</v>
      </c>
      <c r="F484" s="44">
        <v>42079.757025462961</v>
      </c>
      <c r="G484" s="40" t="s">
        <v>1025</v>
      </c>
      <c r="H484" s="40" t="s">
        <v>1112</v>
      </c>
      <c r="I484" s="45">
        <v>7098</v>
      </c>
    </row>
    <row r="485" spans="5:9" x14ac:dyDescent="0.3">
      <c r="E485" s="43" t="s">
        <v>486</v>
      </c>
      <c r="F485" s="44">
        <v>42343.174201388887</v>
      </c>
      <c r="G485" s="40" t="s">
        <v>1026</v>
      </c>
      <c r="H485" s="40" t="s">
        <v>1113</v>
      </c>
      <c r="I485" s="45">
        <v>69671</v>
      </c>
    </row>
    <row r="486" spans="5:9" x14ac:dyDescent="0.3">
      <c r="E486" s="43" t="s">
        <v>487</v>
      </c>
      <c r="F486" s="44">
        <v>42226.481689814813</v>
      </c>
      <c r="G486" s="40" t="s">
        <v>1027</v>
      </c>
      <c r="H486" s="40" t="s">
        <v>1114</v>
      </c>
      <c r="I486" s="45">
        <v>4235</v>
      </c>
    </row>
    <row r="487" spans="5:9" x14ac:dyDescent="0.3">
      <c r="E487" s="43" t="s">
        <v>488</v>
      </c>
      <c r="F487" s="44">
        <v>42328.685185185182</v>
      </c>
      <c r="G487" s="40" t="s">
        <v>1015</v>
      </c>
      <c r="H487" s="40" t="s">
        <v>1083</v>
      </c>
      <c r="I487" s="45">
        <v>30059</v>
      </c>
    </row>
    <row r="488" spans="5:9" x14ac:dyDescent="0.3">
      <c r="E488" s="43" t="s">
        <v>489</v>
      </c>
      <c r="F488" s="44">
        <v>42288.264467592591</v>
      </c>
      <c r="G488" s="40" t="s">
        <v>1023</v>
      </c>
      <c r="H488" s="40" t="s">
        <v>1085</v>
      </c>
      <c r="I488" s="45">
        <v>26750</v>
      </c>
    </row>
    <row r="489" spans="5:9" x14ac:dyDescent="0.3">
      <c r="E489" s="43" t="s">
        <v>490</v>
      </c>
      <c r="F489" s="44">
        <v>42251.465879629628</v>
      </c>
      <c r="G489" s="40" t="s">
        <v>1028</v>
      </c>
      <c r="H489" s="40" t="s">
        <v>1083</v>
      </c>
      <c r="I489" s="45">
        <v>50749</v>
      </c>
    </row>
    <row r="490" spans="5:9" x14ac:dyDescent="0.3">
      <c r="E490" s="43" t="s">
        <v>491</v>
      </c>
      <c r="F490" s="44">
        <v>42277.720902777779</v>
      </c>
      <c r="G490" s="40" t="s">
        <v>1029</v>
      </c>
      <c r="H490" s="40" t="s">
        <v>1086</v>
      </c>
      <c r="I490" s="45">
        <v>59663</v>
      </c>
    </row>
    <row r="491" spans="5:9" x14ac:dyDescent="0.3">
      <c r="E491" s="43" t="s">
        <v>492</v>
      </c>
      <c r="F491" s="44">
        <v>42211.085960648146</v>
      </c>
      <c r="G491" s="40" t="s">
        <v>1030</v>
      </c>
      <c r="H491" s="40" t="s">
        <v>1087</v>
      </c>
      <c r="I491" s="45">
        <v>92093</v>
      </c>
    </row>
    <row r="492" spans="5:9" x14ac:dyDescent="0.3">
      <c r="E492" s="43" t="s">
        <v>493</v>
      </c>
      <c r="F492" s="44">
        <v>42335.733611111114</v>
      </c>
      <c r="G492" s="40" t="s">
        <v>1031</v>
      </c>
      <c r="H492" s="40" t="s">
        <v>1088</v>
      </c>
      <c r="I492" s="45">
        <v>32177</v>
      </c>
    </row>
    <row r="493" spans="5:9" x14ac:dyDescent="0.3">
      <c r="E493" s="43" t="s">
        <v>494</v>
      </c>
      <c r="F493" s="44">
        <v>42230.297037037039</v>
      </c>
      <c r="G493" s="40" t="s">
        <v>1032</v>
      </c>
      <c r="H493" s="40" t="s">
        <v>1089</v>
      </c>
      <c r="I493" s="45">
        <v>72551</v>
      </c>
    </row>
    <row r="494" spans="5:9" x14ac:dyDescent="0.3">
      <c r="E494" s="43" t="s">
        <v>495</v>
      </c>
      <c r="F494" s="44">
        <v>42364.652638888889</v>
      </c>
      <c r="G494" s="40" t="s">
        <v>1033</v>
      </c>
      <c r="H494" s="40" t="s">
        <v>1090</v>
      </c>
      <c r="I494" s="45">
        <v>79292</v>
      </c>
    </row>
    <row r="495" spans="5:9" x14ac:dyDescent="0.3">
      <c r="E495" s="43" t="s">
        <v>496</v>
      </c>
      <c r="F495" s="44">
        <v>42294.724733796298</v>
      </c>
      <c r="G495" s="40" t="s">
        <v>1034</v>
      </c>
      <c r="H495" s="40" t="s">
        <v>1091</v>
      </c>
      <c r="I495" s="45">
        <v>96963</v>
      </c>
    </row>
    <row r="496" spans="5:9" x14ac:dyDescent="0.3">
      <c r="E496" s="43" t="s">
        <v>497</v>
      </c>
      <c r="F496" s="44">
        <v>42312.526516203703</v>
      </c>
      <c r="G496" s="40" t="s">
        <v>1035</v>
      </c>
      <c r="H496" s="40" t="s">
        <v>1092</v>
      </c>
      <c r="I496" s="45">
        <v>17182</v>
      </c>
    </row>
    <row r="497" spans="5:9" x14ac:dyDescent="0.3">
      <c r="E497" s="43" t="s">
        <v>498</v>
      </c>
      <c r="F497" s="44">
        <v>42264.22111111111</v>
      </c>
      <c r="G497" s="40" t="s">
        <v>1014</v>
      </c>
      <c r="H497" s="40" t="s">
        <v>1093</v>
      </c>
      <c r="I497" s="45">
        <v>74899</v>
      </c>
    </row>
    <row r="498" spans="5:9" x14ac:dyDescent="0.3">
      <c r="E498" s="43" t="s">
        <v>499</v>
      </c>
      <c r="F498" s="44">
        <v>42175.303252314814</v>
      </c>
      <c r="G498" s="40" t="s">
        <v>1022</v>
      </c>
      <c r="H498" s="40" t="s">
        <v>1094</v>
      </c>
      <c r="I498" s="45">
        <v>88300</v>
      </c>
    </row>
    <row r="499" spans="5:9" x14ac:dyDescent="0.3">
      <c r="E499" s="43" t="s">
        <v>500</v>
      </c>
      <c r="F499" s="44">
        <v>42207.483842592592</v>
      </c>
      <c r="G499" s="40" t="s">
        <v>1036</v>
      </c>
      <c r="H499" s="40" t="s">
        <v>1095</v>
      </c>
      <c r="I499" s="45">
        <v>36126</v>
      </c>
    </row>
    <row r="500" spans="5:9" x14ac:dyDescent="0.3">
      <c r="E500" s="43" t="s">
        <v>501</v>
      </c>
      <c r="F500" s="44">
        <v>42135.921458333331</v>
      </c>
      <c r="G500" s="40" t="s">
        <v>1037</v>
      </c>
      <c r="H500" s="40" t="s">
        <v>1096</v>
      </c>
      <c r="I500" s="45">
        <v>18100</v>
      </c>
    </row>
    <row r="501" spans="5:9" x14ac:dyDescent="0.3">
      <c r="E501" s="43" t="s">
        <v>502</v>
      </c>
      <c r="F501" s="44">
        <v>42229.404861111114</v>
      </c>
      <c r="G501" s="40" t="s">
        <v>1038</v>
      </c>
      <c r="H501" s="40" t="s">
        <v>1097</v>
      </c>
      <c r="I501" s="45">
        <v>57653</v>
      </c>
    </row>
    <row r="502" spans="5:9" x14ac:dyDescent="0.3">
      <c r="E502" s="43" t="s">
        <v>503</v>
      </c>
      <c r="F502" s="44">
        <v>42041.93372685185</v>
      </c>
      <c r="G502" s="40" t="s">
        <v>1039</v>
      </c>
      <c r="H502" s="40" t="s">
        <v>1098</v>
      </c>
      <c r="I502" s="45">
        <v>86076</v>
      </c>
    </row>
    <row r="503" spans="5:9" x14ac:dyDescent="0.3">
      <c r="E503" s="43" t="s">
        <v>504</v>
      </c>
      <c r="F503" s="44">
        <v>42237.439710648148</v>
      </c>
      <c r="G503" s="40" t="s">
        <v>1040</v>
      </c>
      <c r="H503" s="40" t="s">
        <v>1099</v>
      </c>
      <c r="I503" s="45">
        <v>18292</v>
      </c>
    </row>
    <row r="504" spans="5:9" x14ac:dyDescent="0.3">
      <c r="E504" s="43" t="s">
        <v>505</v>
      </c>
      <c r="F504" s="44">
        <v>42181.107777777775</v>
      </c>
      <c r="G504" s="40" t="s">
        <v>1041</v>
      </c>
      <c r="H504" s="40" t="s">
        <v>1100</v>
      </c>
      <c r="I504" s="45">
        <v>39995</v>
      </c>
    </row>
    <row r="505" spans="5:9" x14ac:dyDescent="0.3">
      <c r="E505" s="43" t="s">
        <v>506</v>
      </c>
      <c r="F505" s="44">
        <v>42097.899016203701</v>
      </c>
      <c r="G505" s="40" t="s">
        <v>1042</v>
      </c>
      <c r="H505" s="40" t="s">
        <v>1101</v>
      </c>
      <c r="I505" s="45">
        <v>38678</v>
      </c>
    </row>
    <row r="506" spans="5:9" x14ac:dyDescent="0.3">
      <c r="E506" s="43" t="s">
        <v>507</v>
      </c>
      <c r="F506" s="44">
        <v>42080.013437499998</v>
      </c>
      <c r="G506" s="40" t="s">
        <v>1043</v>
      </c>
      <c r="H506" s="40" t="s">
        <v>1102</v>
      </c>
      <c r="I506" s="45">
        <v>96482</v>
      </c>
    </row>
    <row r="507" spans="5:9" x14ac:dyDescent="0.3">
      <c r="E507" s="43" t="s">
        <v>508</v>
      </c>
      <c r="F507" s="44">
        <v>42141.116805555554</v>
      </c>
      <c r="G507" s="40" t="s">
        <v>1013</v>
      </c>
      <c r="H507" s="40" t="s">
        <v>1103</v>
      </c>
      <c r="I507" s="45">
        <v>99458</v>
      </c>
    </row>
    <row r="508" spans="5:9" x14ac:dyDescent="0.3">
      <c r="E508" s="43" t="s">
        <v>509</v>
      </c>
      <c r="F508" s="44">
        <v>42081.327870370369</v>
      </c>
      <c r="G508" s="40" t="s">
        <v>1021</v>
      </c>
      <c r="H508" s="40" t="s">
        <v>1104</v>
      </c>
      <c r="I508" s="45">
        <v>71138</v>
      </c>
    </row>
    <row r="509" spans="5:9" x14ac:dyDescent="0.3">
      <c r="E509" s="43" t="s">
        <v>510</v>
      </c>
      <c r="F509" s="44">
        <v>42104.171249999999</v>
      </c>
      <c r="G509" s="40" t="s">
        <v>1044</v>
      </c>
      <c r="H509" s="40" t="s">
        <v>1105</v>
      </c>
      <c r="I509" s="45">
        <v>37340</v>
      </c>
    </row>
    <row r="510" spans="5:9" x14ac:dyDescent="0.3">
      <c r="E510" s="43" t="s">
        <v>511</v>
      </c>
      <c r="F510" s="44">
        <v>42161.122037037036</v>
      </c>
      <c r="G510" s="40" t="s">
        <v>1045</v>
      </c>
      <c r="H510" s="40" t="s">
        <v>1106</v>
      </c>
      <c r="I510" s="45">
        <v>74398</v>
      </c>
    </row>
    <row r="511" spans="5:9" x14ac:dyDescent="0.3">
      <c r="E511" s="43" t="s">
        <v>512</v>
      </c>
      <c r="F511" s="44">
        <v>42053.969953703701</v>
      </c>
      <c r="G511" s="40" t="s">
        <v>1046</v>
      </c>
      <c r="H511" s="40" t="s">
        <v>1107</v>
      </c>
      <c r="I511" s="45">
        <v>32391</v>
      </c>
    </row>
    <row r="512" spans="5:9" x14ac:dyDescent="0.3">
      <c r="E512" s="43" t="s">
        <v>513</v>
      </c>
      <c r="F512" s="44">
        <v>42195.658946759257</v>
      </c>
      <c r="G512" s="40" t="s">
        <v>1047</v>
      </c>
      <c r="H512" s="40" t="s">
        <v>1108</v>
      </c>
      <c r="I512" s="45">
        <v>61975</v>
      </c>
    </row>
    <row r="513" spans="5:9" x14ac:dyDescent="0.3">
      <c r="E513" s="43" t="s">
        <v>514</v>
      </c>
      <c r="F513" s="44">
        <v>42325.125069444446</v>
      </c>
      <c r="G513" s="40" t="s">
        <v>1048</v>
      </c>
      <c r="H513" s="40" t="s">
        <v>1109</v>
      </c>
      <c r="I513" s="45">
        <v>50218</v>
      </c>
    </row>
    <row r="514" spans="5:9" x14ac:dyDescent="0.3">
      <c r="E514" s="43" t="s">
        <v>515</v>
      </c>
      <c r="F514" s="44">
        <v>42310.533877314818</v>
      </c>
      <c r="G514" s="40" t="s">
        <v>1049</v>
      </c>
      <c r="H514" s="40" t="s">
        <v>1110</v>
      </c>
      <c r="I514" s="45">
        <v>38291</v>
      </c>
    </row>
    <row r="515" spans="5:9" x14ac:dyDescent="0.3">
      <c r="E515" s="43" t="s">
        <v>516</v>
      </c>
      <c r="F515" s="44">
        <v>42149.14267361111</v>
      </c>
      <c r="G515" s="40" t="s">
        <v>1050</v>
      </c>
      <c r="H515" s="40" t="s">
        <v>1111</v>
      </c>
      <c r="I515" s="45">
        <v>63130</v>
      </c>
    </row>
    <row r="516" spans="5:9" x14ac:dyDescent="0.3">
      <c r="E516" s="43" t="s">
        <v>517</v>
      </c>
      <c r="F516" s="44">
        <v>42247.768159722225</v>
      </c>
      <c r="G516" s="40" t="s">
        <v>1051</v>
      </c>
      <c r="H516" s="40" t="s">
        <v>1112</v>
      </c>
      <c r="I516" s="45">
        <v>60257</v>
      </c>
    </row>
    <row r="517" spans="5:9" x14ac:dyDescent="0.3">
      <c r="E517" s="43" t="s">
        <v>518</v>
      </c>
      <c r="F517" s="44">
        <v>42082.708252314813</v>
      </c>
      <c r="G517" s="40" t="s">
        <v>1012</v>
      </c>
      <c r="H517" s="40" t="s">
        <v>1113</v>
      </c>
      <c r="I517" s="45">
        <v>45371</v>
      </c>
    </row>
    <row r="518" spans="5:9" x14ac:dyDescent="0.3">
      <c r="E518" s="43" t="s">
        <v>519</v>
      </c>
      <c r="F518" s="44">
        <v>42201.515335648146</v>
      </c>
      <c r="G518" s="40" t="s">
        <v>1020</v>
      </c>
      <c r="H518" s="40" t="s">
        <v>1114</v>
      </c>
      <c r="I518" s="45">
        <v>84075</v>
      </c>
    </row>
    <row r="519" spans="5:9" x14ac:dyDescent="0.3">
      <c r="E519" s="43" t="s">
        <v>520</v>
      </c>
      <c r="F519" s="44">
        <v>42344.508310185185</v>
      </c>
      <c r="G519" s="40" t="s">
        <v>1052</v>
      </c>
      <c r="H519" s="40" t="s">
        <v>1083</v>
      </c>
      <c r="I519" s="45">
        <v>28401</v>
      </c>
    </row>
    <row r="520" spans="5:9" x14ac:dyDescent="0.3">
      <c r="E520" s="43" t="s">
        <v>521</v>
      </c>
      <c r="F520" s="44">
        <v>42236.217905092592</v>
      </c>
      <c r="G520" s="40" t="s">
        <v>1053</v>
      </c>
      <c r="H520" s="40" t="s">
        <v>1085</v>
      </c>
      <c r="I520" s="45">
        <v>98358</v>
      </c>
    </row>
    <row r="521" spans="5:9" x14ac:dyDescent="0.3">
      <c r="E521" s="43" t="s">
        <v>522</v>
      </c>
      <c r="F521" s="44">
        <v>42231.493333333332</v>
      </c>
      <c r="G521" s="40" t="s">
        <v>1054</v>
      </c>
      <c r="H521" s="40" t="s">
        <v>1083</v>
      </c>
      <c r="I521" s="45">
        <v>61398</v>
      </c>
    </row>
    <row r="522" spans="5:9" x14ac:dyDescent="0.3">
      <c r="E522" s="43" t="s">
        <v>523</v>
      </c>
      <c r="F522" s="44">
        <v>42199.016840277778</v>
      </c>
      <c r="G522" s="40" t="s">
        <v>1055</v>
      </c>
      <c r="H522" s="40" t="s">
        <v>1086</v>
      </c>
      <c r="I522" s="45">
        <v>30024</v>
      </c>
    </row>
    <row r="523" spans="5:9" x14ac:dyDescent="0.3">
      <c r="E523" s="43" t="s">
        <v>524</v>
      </c>
      <c r="F523" s="44">
        <v>42211.902696759258</v>
      </c>
      <c r="G523" s="40" t="s">
        <v>1056</v>
      </c>
      <c r="H523" s="40" t="s">
        <v>1087</v>
      </c>
      <c r="I523" s="45">
        <v>95209</v>
      </c>
    </row>
    <row r="524" spans="5:9" x14ac:dyDescent="0.3">
      <c r="E524" s="43" t="s">
        <v>525</v>
      </c>
      <c r="F524" s="44">
        <v>42143.522291666668</v>
      </c>
      <c r="G524" s="40" t="s">
        <v>1057</v>
      </c>
      <c r="H524" s="40" t="s">
        <v>1088</v>
      </c>
      <c r="I524" s="45">
        <v>98049</v>
      </c>
    </row>
    <row r="525" spans="5:9" x14ac:dyDescent="0.3">
      <c r="E525" s="43" t="s">
        <v>526</v>
      </c>
      <c r="F525" s="44">
        <v>42061.283020833333</v>
      </c>
      <c r="G525" s="40" t="s">
        <v>1058</v>
      </c>
      <c r="H525" s="40" t="s">
        <v>1089</v>
      </c>
      <c r="I525" s="45">
        <v>24029</v>
      </c>
    </row>
    <row r="526" spans="5:9" x14ac:dyDescent="0.3">
      <c r="E526" s="43" t="s">
        <v>527</v>
      </c>
      <c r="F526" s="44">
        <v>42291.73578703704</v>
      </c>
      <c r="G526" s="40" t="s">
        <v>1059</v>
      </c>
      <c r="H526" s="40" t="s">
        <v>1090</v>
      </c>
      <c r="I526" s="45">
        <v>47132</v>
      </c>
    </row>
    <row r="527" spans="5:9" x14ac:dyDescent="0.3">
      <c r="E527" s="43" t="s">
        <v>528</v>
      </c>
      <c r="F527" s="44">
        <v>42287.128703703704</v>
      </c>
      <c r="G527" s="40" t="s">
        <v>1011</v>
      </c>
      <c r="H527" s="40" t="s">
        <v>1091</v>
      </c>
      <c r="I527" s="45">
        <v>64420</v>
      </c>
    </row>
    <row r="528" spans="5:9" x14ac:dyDescent="0.3">
      <c r="E528" s="43" t="s">
        <v>529</v>
      </c>
      <c r="F528" s="44">
        <v>42339.091817129629</v>
      </c>
      <c r="G528" s="40" t="s">
        <v>1019</v>
      </c>
      <c r="H528" s="40" t="s">
        <v>1092</v>
      </c>
      <c r="I528" s="45">
        <v>7800</v>
      </c>
    </row>
    <row r="529" spans="5:9" x14ac:dyDescent="0.3">
      <c r="E529" s="43" t="s">
        <v>530</v>
      </c>
      <c r="F529" s="44">
        <v>42005.760266203702</v>
      </c>
      <c r="G529" s="40" t="s">
        <v>1027</v>
      </c>
      <c r="H529" s="40" t="s">
        <v>1093</v>
      </c>
      <c r="I529" s="45">
        <v>35151</v>
      </c>
    </row>
    <row r="530" spans="5:9" x14ac:dyDescent="0.3">
      <c r="E530" s="43" t="s">
        <v>531</v>
      </c>
      <c r="F530" s="44">
        <v>42204.100706018522</v>
      </c>
      <c r="G530" s="40" t="s">
        <v>1060</v>
      </c>
      <c r="H530" s="40" t="s">
        <v>1094</v>
      </c>
      <c r="I530" s="45">
        <v>11981</v>
      </c>
    </row>
    <row r="531" spans="5:9" x14ac:dyDescent="0.3">
      <c r="E531" s="43" t="s">
        <v>532</v>
      </c>
      <c r="F531" s="44">
        <v>42301.460868055554</v>
      </c>
      <c r="G531" s="40" t="s">
        <v>1061</v>
      </c>
      <c r="H531" s="40" t="s">
        <v>1095</v>
      </c>
      <c r="I531" s="45">
        <v>4586</v>
      </c>
    </row>
    <row r="532" spans="5:9" x14ac:dyDescent="0.3">
      <c r="E532" s="43" t="s">
        <v>533</v>
      </c>
      <c r="F532" s="44">
        <v>42164.477303240739</v>
      </c>
      <c r="G532" s="40" t="s">
        <v>1062</v>
      </c>
      <c r="H532" s="40" t="s">
        <v>1096</v>
      </c>
      <c r="I532" s="45">
        <v>32991</v>
      </c>
    </row>
    <row r="533" spans="5:9" x14ac:dyDescent="0.3">
      <c r="E533" s="43" t="s">
        <v>534</v>
      </c>
      <c r="F533" s="44">
        <v>42201.833935185183</v>
      </c>
      <c r="G533" s="40" t="s">
        <v>1063</v>
      </c>
      <c r="H533" s="40" t="s">
        <v>1097</v>
      </c>
      <c r="I533" s="45">
        <v>1449</v>
      </c>
    </row>
    <row r="534" spans="5:9" x14ac:dyDescent="0.3">
      <c r="E534" s="43" t="s">
        <v>535</v>
      </c>
      <c r="F534" s="44">
        <v>42140.555590277778</v>
      </c>
      <c r="G534" s="40" t="s">
        <v>1064</v>
      </c>
      <c r="H534" s="40" t="s">
        <v>1098</v>
      </c>
      <c r="I534" s="45">
        <v>17926</v>
      </c>
    </row>
    <row r="535" spans="5:9" x14ac:dyDescent="0.3">
      <c r="E535" s="43" t="s">
        <v>536</v>
      </c>
      <c r="F535" s="44">
        <v>42160.086539351854</v>
      </c>
      <c r="G535" s="40" t="s">
        <v>1065</v>
      </c>
      <c r="H535" s="40" t="s">
        <v>1099</v>
      </c>
      <c r="I535" s="45">
        <v>7839</v>
      </c>
    </row>
    <row r="536" spans="5:9" x14ac:dyDescent="0.3">
      <c r="E536" s="43" t="s">
        <v>537</v>
      </c>
      <c r="F536" s="44">
        <v>42127.923506944448</v>
      </c>
      <c r="G536" s="40" t="s">
        <v>1066</v>
      </c>
      <c r="H536" s="40" t="s">
        <v>1100</v>
      </c>
      <c r="I536" s="45">
        <v>76888</v>
      </c>
    </row>
    <row r="537" spans="5:9" x14ac:dyDescent="0.3">
      <c r="E537" s="43" t="s">
        <v>538</v>
      </c>
      <c r="F537" s="44">
        <v>42131.252523148149</v>
      </c>
      <c r="G537" s="40" t="s">
        <v>1010</v>
      </c>
      <c r="H537" s="40" t="s">
        <v>1101</v>
      </c>
      <c r="I537" s="45">
        <v>46773</v>
      </c>
    </row>
    <row r="538" spans="5:9" x14ac:dyDescent="0.3">
      <c r="E538" s="43" t="s">
        <v>539</v>
      </c>
      <c r="F538" s="44">
        <v>42203.495034722226</v>
      </c>
      <c r="G538" s="40" t="s">
        <v>1018</v>
      </c>
      <c r="H538" s="40" t="s">
        <v>1102</v>
      </c>
      <c r="I538" s="45">
        <v>94929</v>
      </c>
    </row>
    <row r="539" spans="5:9" x14ac:dyDescent="0.3">
      <c r="E539" s="43" t="s">
        <v>540</v>
      </c>
      <c r="F539" s="44">
        <v>42028.484375</v>
      </c>
      <c r="G539" s="40" t="s">
        <v>1026</v>
      </c>
      <c r="H539" s="40" t="s">
        <v>1103</v>
      </c>
      <c r="I539" s="45">
        <v>82537</v>
      </c>
    </row>
    <row r="540" spans="5:9" x14ac:dyDescent="0.3">
      <c r="E540" s="43" t="s">
        <v>541</v>
      </c>
      <c r="F540" s="44">
        <v>42173.450104166666</v>
      </c>
      <c r="G540" s="40" t="s">
        <v>1067</v>
      </c>
      <c r="H540" s="40" t="s">
        <v>1104</v>
      </c>
      <c r="I540" s="45">
        <v>91041</v>
      </c>
    </row>
    <row r="541" spans="5:9" x14ac:dyDescent="0.3">
      <c r="E541" s="43" t="s">
        <v>542</v>
      </c>
      <c r="F541" s="44">
        <v>42228.856631944444</v>
      </c>
      <c r="G541" s="40" t="s">
        <v>1068</v>
      </c>
      <c r="H541" s="40" t="s">
        <v>1105</v>
      </c>
      <c r="I541" s="45">
        <v>34154</v>
      </c>
    </row>
    <row r="542" spans="5:9" x14ac:dyDescent="0.3">
      <c r="E542" s="43" t="s">
        <v>543</v>
      </c>
      <c r="F542" s="44">
        <v>42169.149259259262</v>
      </c>
      <c r="G542" s="40" t="s">
        <v>1069</v>
      </c>
      <c r="H542" s="40" t="s">
        <v>1106</v>
      </c>
      <c r="I542" s="45">
        <v>12513</v>
      </c>
    </row>
    <row r="543" spans="5:9" x14ac:dyDescent="0.3">
      <c r="E543" s="43" t="s">
        <v>544</v>
      </c>
      <c r="F543" s="44">
        <v>42316.953553240739</v>
      </c>
      <c r="G543" s="40" t="s">
        <v>1070</v>
      </c>
      <c r="H543" s="40" t="s">
        <v>1107</v>
      </c>
      <c r="I543" s="45">
        <v>35742</v>
      </c>
    </row>
    <row r="544" spans="5:9" x14ac:dyDescent="0.3">
      <c r="E544" s="43" t="s">
        <v>545</v>
      </c>
      <c r="F544" s="44">
        <v>42231.201828703706</v>
      </c>
      <c r="G544" s="40" t="s">
        <v>1071</v>
      </c>
      <c r="H544" s="40" t="s">
        <v>1108</v>
      </c>
      <c r="I544" s="45">
        <v>42880</v>
      </c>
    </row>
    <row r="545" spans="5:9" x14ac:dyDescent="0.3">
      <c r="E545" s="43" t="s">
        <v>546</v>
      </c>
      <c r="F545" s="44">
        <v>42085.906886574077</v>
      </c>
      <c r="G545" s="40" t="s">
        <v>1072</v>
      </c>
      <c r="H545" s="40" t="s">
        <v>1109</v>
      </c>
      <c r="I545" s="45">
        <v>46890</v>
      </c>
    </row>
    <row r="546" spans="5:9" x14ac:dyDescent="0.3">
      <c r="E546" s="43" t="s">
        <v>547</v>
      </c>
      <c r="F546" s="44">
        <v>42092.516608796293</v>
      </c>
      <c r="G546" s="40" t="s">
        <v>1073</v>
      </c>
      <c r="H546" s="40" t="s">
        <v>1110</v>
      </c>
      <c r="I546" s="45">
        <v>92589</v>
      </c>
    </row>
    <row r="547" spans="5:9" x14ac:dyDescent="0.3">
      <c r="E547" s="43" t="s">
        <v>548</v>
      </c>
      <c r="F547" s="44">
        <v>42331.021724537037</v>
      </c>
      <c r="G547" s="40" t="s">
        <v>1009</v>
      </c>
      <c r="H547" s="40" t="s">
        <v>1111</v>
      </c>
      <c r="I547" s="45">
        <v>19657</v>
      </c>
    </row>
    <row r="548" spans="5:9" x14ac:dyDescent="0.3">
      <c r="E548" s="43" t="s">
        <v>549</v>
      </c>
      <c r="F548" s="44">
        <v>42022.184583333335</v>
      </c>
      <c r="G548" s="40" t="s">
        <v>1017</v>
      </c>
      <c r="H548" s="40" t="s">
        <v>1112</v>
      </c>
      <c r="I548" s="45">
        <v>75865</v>
      </c>
    </row>
    <row r="549" spans="5:9" x14ac:dyDescent="0.3">
      <c r="E549" s="43" t="s">
        <v>550</v>
      </c>
      <c r="F549" s="44">
        <v>42248.563715277778</v>
      </c>
      <c r="G549" s="40" t="s">
        <v>1025</v>
      </c>
      <c r="H549" s="40" t="s">
        <v>1113</v>
      </c>
      <c r="I549" s="45">
        <v>77409</v>
      </c>
    </row>
    <row r="550" spans="5:9" x14ac:dyDescent="0.3">
      <c r="E550" s="43" t="s">
        <v>551</v>
      </c>
      <c r="F550" s="44">
        <v>42300.517083333332</v>
      </c>
      <c r="G550" s="40" t="s">
        <v>1074</v>
      </c>
      <c r="H550" s="40" t="s">
        <v>1114</v>
      </c>
      <c r="I550" s="45">
        <v>40376</v>
      </c>
    </row>
    <row r="551" spans="5:9" x14ac:dyDescent="0.3">
      <c r="E551" s="43" t="s">
        <v>552</v>
      </c>
      <c r="F551" s="44">
        <v>42271.772812499999</v>
      </c>
      <c r="G551" s="40" t="s">
        <v>1075</v>
      </c>
      <c r="H551" s="40" t="s">
        <v>1083</v>
      </c>
      <c r="I551" s="45">
        <v>47246</v>
      </c>
    </row>
    <row r="552" spans="5:9" x14ac:dyDescent="0.3">
      <c r="E552" s="43" t="s">
        <v>553</v>
      </c>
      <c r="F552" s="44">
        <v>42049.337754629632</v>
      </c>
      <c r="G552" s="40" t="s">
        <v>1076</v>
      </c>
      <c r="H552" s="40" t="s">
        <v>1085</v>
      </c>
      <c r="I552" s="45">
        <v>51426</v>
      </c>
    </row>
    <row r="553" spans="5:9" x14ac:dyDescent="0.3">
      <c r="E553" s="43" t="s">
        <v>554</v>
      </c>
      <c r="F553" s="44">
        <v>42296.431180555555</v>
      </c>
      <c r="G553" s="40" t="s">
        <v>1077</v>
      </c>
      <c r="H553" s="40" t="s">
        <v>1083</v>
      </c>
      <c r="I553" s="45">
        <v>15951</v>
      </c>
    </row>
    <row r="554" spans="5:9" x14ac:dyDescent="0.3">
      <c r="E554" s="43" t="s">
        <v>555</v>
      </c>
      <c r="F554" s="44">
        <v>42337.08457175926</v>
      </c>
      <c r="G554" s="40" t="s">
        <v>1078</v>
      </c>
      <c r="H554" s="40" t="s">
        <v>1086</v>
      </c>
      <c r="I554" s="45">
        <v>26750</v>
      </c>
    </row>
    <row r="555" spans="5:9" x14ac:dyDescent="0.3">
      <c r="E555" s="43" t="s">
        <v>556</v>
      </c>
      <c r="F555" s="44">
        <v>42206.493888888886</v>
      </c>
      <c r="G555" s="40" t="s">
        <v>1079</v>
      </c>
      <c r="H555" s="40" t="s">
        <v>1087</v>
      </c>
      <c r="I555" s="45">
        <v>83797</v>
      </c>
    </row>
    <row r="556" spans="5:9" x14ac:dyDescent="0.3">
      <c r="E556" s="43" t="s">
        <v>557</v>
      </c>
      <c r="F556" s="44">
        <v>42106.717430555553</v>
      </c>
      <c r="G556" s="40" t="s">
        <v>1080</v>
      </c>
      <c r="H556" s="40" t="s">
        <v>1088</v>
      </c>
      <c r="I556" s="45">
        <v>9736</v>
      </c>
    </row>
    <row r="557" spans="5:9" x14ac:dyDescent="0.3">
      <c r="E557" s="43" t="s">
        <v>558</v>
      </c>
      <c r="F557" s="44">
        <v>42019.46434027778</v>
      </c>
      <c r="G557" s="40" t="s">
        <v>1008</v>
      </c>
      <c r="H557" s="40" t="s">
        <v>1089</v>
      </c>
      <c r="I557" s="45">
        <v>3138</v>
      </c>
    </row>
    <row r="558" spans="5:9" x14ac:dyDescent="0.3">
      <c r="E558" s="43" t="s">
        <v>559</v>
      </c>
      <c r="F558" s="44">
        <v>42291.157962962963</v>
      </c>
      <c r="G558" s="40" t="s">
        <v>1016</v>
      </c>
      <c r="H558" s="40" t="s">
        <v>1090</v>
      </c>
      <c r="I558" s="45">
        <v>29768</v>
      </c>
    </row>
    <row r="559" spans="5:9" x14ac:dyDescent="0.3">
      <c r="E559" s="43" t="s">
        <v>560</v>
      </c>
      <c r="F559" s="44">
        <v>42329.067164351851</v>
      </c>
      <c r="G559" s="40" t="s">
        <v>1024</v>
      </c>
      <c r="H559" s="40" t="s">
        <v>1091</v>
      </c>
      <c r="I559" s="45">
        <v>79638</v>
      </c>
    </row>
    <row r="560" spans="5:9" x14ac:dyDescent="0.3">
      <c r="E560" s="43" t="s">
        <v>561</v>
      </c>
      <c r="F560" s="44">
        <v>42038.469085648147</v>
      </c>
      <c r="G560" s="40" t="s">
        <v>1081</v>
      </c>
      <c r="H560" s="40" t="s">
        <v>1092</v>
      </c>
      <c r="I560" s="45">
        <v>51660</v>
      </c>
    </row>
    <row r="561" spans="5:9" x14ac:dyDescent="0.3">
      <c r="E561" s="43" t="s">
        <v>562</v>
      </c>
      <c r="F561" s="44">
        <v>42074.240833333337</v>
      </c>
      <c r="G561" s="40" t="s">
        <v>1082</v>
      </c>
      <c r="H561" s="40" t="s">
        <v>1093</v>
      </c>
      <c r="I561" s="45">
        <v>98294</v>
      </c>
    </row>
    <row r="562" spans="5:9" x14ac:dyDescent="0.3">
      <c r="E562" s="43" t="s">
        <v>563</v>
      </c>
      <c r="F562" s="44">
        <v>42079.331238425926</v>
      </c>
      <c r="G562" s="40" t="s">
        <v>1015</v>
      </c>
      <c r="H562" s="40" t="s">
        <v>1094</v>
      </c>
      <c r="I562" s="45">
        <v>58334</v>
      </c>
    </row>
    <row r="563" spans="5:9" x14ac:dyDescent="0.3">
      <c r="E563" s="43" t="s">
        <v>564</v>
      </c>
      <c r="F563" s="44">
        <v>42351.505312499998</v>
      </c>
      <c r="G563" s="40" t="s">
        <v>1023</v>
      </c>
      <c r="H563" s="40" t="s">
        <v>1095</v>
      </c>
      <c r="I563" s="45">
        <v>42872</v>
      </c>
    </row>
    <row r="564" spans="5:9" x14ac:dyDescent="0.3">
      <c r="E564" s="43" t="s">
        <v>565</v>
      </c>
      <c r="F564" s="44">
        <v>42028.001354166663</v>
      </c>
      <c r="G564" s="40" t="s">
        <v>1028</v>
      </c>
      <c r="H564" s="40" t="s">
        <v>1096</v>
      </c>
      <c r="I564" s="45">
        <v>95914</v>
      </c>
    </row>
    <row r="565" spans="5:9" x14ac:dyDescent="0.3">
      <c r="E565" s="43" t="s">
        <v>566</v>
      </c>
      <c r="F565" s="44">
        <v>42176.302858796298</v>
      </c>
      <c r="G565" s="40" t="s">
        <v>1029</v>
      </c>
      <c r="H565" s="40" t="s">
        <v>1097</v>
      </c>
      <c r="I565" s="45">
        <v>94297</v>
      </c>
    </row>
    <row r="566" spans="5:9" x14ac:dyDescent="0.3">
      <c r="E566" s="43" t="s">
        <v>567</v>
      </c>
      <c r="F566" s="44">
        <v>42048.221192129633</v>
      </c>
      <c r="G566" s="40" t="s">
        <v>1030</v>
      </c>
      <c r="H566" s="40" t="s">
        <v>1098</v>
      </c>
      <c r="I566" s="45">
        <v>58267</v>
      </c>
    </row>
    <row r="567" spans="5:9" x14ac:dyDescent="0.3">
      <c r="E567" s="43" t="s">
        <v>568</v>
      </c>
      <c r="F567" s="44">
        <v>42165.377928240741</v>
      </c>
      <c r="G567" s="40" t="s">
        <v>1031</v>
      </c>
      <c r="H567" s="40" t="s">
        <v>1099</v>
      </c>
      <c r="I567" s="45">
        <v>71515</v>
      </c>
    </row>
    <row r="568" spans="5:9" x14ac:dyDescent="0.3">
      <c r="E568" s="43" t="s">
        <v>569</v>
      </c>
      <c r="F568" s="44">
        <v>42192.677673611113</v>
      </c>
      <c r="G568" s="40" t="s">
        <v>1032</v>
      </c>
      <c r="H568" s="40" t="s">
        <v>1100</v>
      </c>
      <c r="I568" s="45">
        <v>58928</v>
      </c>
    </row>
    <row r="569" spans="5:9" x14ac:dyDescent="0.3">
      <c r="E569" s="43" t="s">
        <v>570</v>
      </c>
      <c r="F569" s="44">
        <v>42251.60434027778</v>
      </c>
      <c r="G569" s="40" t="s">
        <v>1033</v>
      </c>
      <c r="H569" s="40" t="s">
        <v>1101</v>
      </c>
      <c r="I569" s="45">
        <v>92390</v>
      </c>
    </row>
    <row r="570" spans="5:9" x14ac:dyDescent="0.3">
      <c r="E570" s="43" t="s">
        <v>571</v>
      </c>
      <c r="F570" s="44">
        <v>42141.341192129628</v>
      </c>
      <c r="G570" s="40" t="s">
        <v>1034</v>
      </c>
      <c r="H570" s="40" t="s">
        <v>1102</v>
      </c>
      <c r="I570" s="45">
        <v>84038</v>
      </c>
    </row>
    <row r="571" spans="5:9" x14ac:dyDescent="0.3">
      <c r="E571" s="43" t="s">
        <v>572</v>
      </c>
      <c r="F571" s="44">
        <v>42313.846724537034</v>
      </c>
      <c r="G571" s="40" t="s">
        <v>1035</v>
      </c>
      <c r="H571" s="40" t="s">
        <v>1103</v>
      </c>
      <c r="I571" s="45">
        <v>23638</v>
      </c>
    </row>
    <row r="572" spans="5:9" x14ac:dyDescent="0.3">
      <c r="E572" s="43" t="s">
        <v>573</v>
      </c>
      <c r="F572" s="44">
        <v>42349.509826388887</v>
      </c>
      <c r="G572" s="40" t="s">
        <v>1014</v>
      </c>
      <c r="H572" s="40" t="s">
        <v>1104</v>
      </c>
      <c r="I572" s="45">
        <v>72938</v>
      </c>
    </row>
    <row r="573" spans="5:9" x14ac:dyDescent="0.3">
      <c r="E573" s="43" t="s">
        <v>574</v>
      </c>
      <c r="F573" s="44">
        <v>42150.688020833331</v>
      </c>
      <c r="G573" s="40" t="s">
        <v>1022</v>
      </c>
      <c r="H573" s="40" t="s">
        <v>1105</v>
      </c>
      <c r="I573" s="45">
        <v>48893</v>
      </c>
    </row>
    <row r="574" spans="5:9" x14ac:dyDescent="0.3">
      <c r="E574" s="43" t="s">
        <v>575</v>
      </c>
      <c r="F574" s="44">
        <v>42034.152881944443</v>
      </c>
      <c r="G574" s="40" t="s">
        <v>1036</v>
      </c>
      <c r="H574" s="40" t="s">
        <v>1106</v>
      </c>
      <c r="I574" s="45">
        <v>29882</v>
      </c>
    </row>
    <row r="575" spans="5:9" x14ac:dyDescent="0.3">
      <c r="E575" s="43" t="s">
        <v>576</v>
      </c>
      <c r="F575" s="44">
        <v>42018.09002314815</v>
      </c>
      <c r="G575" s="40" t="s">
        <v>1037</v>
      </c>
      <c r="H575" s="40" t="s">
        <v>1107</v>
      </c>
      <c r="I575" s="45">
        <v>2093</v>
      </c>
    </row>
    <row r="576" spans="5:9" x14ac:dyDescent="0.3">
      <c r="E576" s="43" t="s">
        <v>577</v>
      </c>
      <c r="F576" s="44">
        <v>42261.655266203707</v>
      </c>
      <c r="G576" s="40" t="s">
        <v>1038</v>
      </c>
      <c r="H576" s="40" t="s">
        <v>1108</v>
      </c>
      <c r="I576" s="45">
        <v>67056</v>
      </c>
    </row>
    <row r="577" spans="5:9" x14ac:dyDescent="0.3">
      <c r="E577" s="43" t="s">
        <v>578</v>
      </c>
      <c r="F577" s="44">
        <v>42107.527592592596</v>
      </c>
      <c r="G577" s="40" t="s">
        <v>1039</v>
      </c>
      <c r="H577" s="40" t="s">
        <v>1109</v>
      </c>
      <c r="I577" s="45">
        <v>89281</v>
      </c>
    </row>
    <row r="578" spans="5:9" x14ac:dyDescent="0.3">
      <c r="E578" s="43" t="s">
        <v>579</v>
      </c>
      <c r="F578" s="44">
        <v>42035.753784722219</v>
      </c>
      <c r="G578" s="40" t="s">
        <v>1040</v>
      </c>
      <c r="H578" s="40" t="s">
        <v>1110</v>
      </c>
      <c r="I578" s="45">
        <v>51966</v>
      </c>
    </row>
    <row r="579" spans="5:9" x14ac:dyDescent="0.3">
      <c r="E579" s="43" t="s">
        <v>580</v>
      </c>
      <c r="F579" s="44">
        <v>42261.770636574074</v>
      </c>
      <c r="G579" s="40" t="s">
        <v>1041</v>
      </c>
      <c r="H579" s="40" t="s">
        <v>1111</v>
      </c>
      <c r="I579" s="45">
        <v>74912</v>
      </c>
    </row>
    <row r="580" spans="5:9" x14ac:dyDescent="0.3">
      <c r="E580" s="43" t="s">
        <v>581</v>
      </c>
      <c r="F580" s="44">
        <v>42196.460474537038</v>
      </c>
      <c r="G580" s="40" t="s">
        <v>1042</v>
      </c>
      <c r="H580" s="40" t="s">
        <v>1112</v>
      </c>
      <c r="I580" s="45">
        <v>10054</v>
      </c>
    </row>
    <row r="581" spans="5:9" x14ac:dyDescent="0.3">
      <c r="E581" s="43" t="s">
        <v>582</v>
      </c>
      <c r="F581" s="44">
        <v>42058.418263888889</v>
      </c>
      <c r="G581" s="40" t="s">
        <v>1043</v>
      </c>
      <c r="H581" s="40" t="s">
        <v>1113</v>
      </c>
      <c r="I581" s="45">
        <v>87796</v>
      </c>
    </row>
    <row r="582" spans="5:9" x14ac:dyDescent="0.3">
      <c r="E582" s="43" t="s">
        <v>583</v>
      </c>
      <c r="F582" s="44">
        <v>42261.549780092595</v>
      </c>
      <c r="G582" s="40" t="s">
        <v>1013</v>
      </c>
      <c r="H582" s="40" t="s">
        <v>1114</v>
      </c>
      <c r="I582" s="45">
        <v>96662</v>
      </c>
    </row>
    <row r="583" spans="5:9" x14ac:dyDescent="0.3">
      <c r="E583" s="43" t="s">
        <v>584</v>
      </c>
      <c r="F583" s="44">
        <v>42324.060740740744</v>
      </c>
      <c r="G583" s="40" t="s">
        <v>1021</v>
      </c>
      <c r="H583" s="40" t="s">
        <v>1083</v>
      </c>
      <c r="I583" s="45">
        <v>45800</v>
      </c>
    </row>
    <row r="584" spans="5:9" x14ac:dyDescent="0.3">
      <c r="E584" s="43" t="s">
        <v>585</v>
      </c>
      <c r="F584" s="44">
        <v>42239.862592592595</v>
      </c>
      <c r="G584" s="40" t="s">
        <v>1044</v>
      </c>
      <c r="H584" s="40" t="s">
        <v>1085</v>
      </c>
      <c r="I584" s="45">
        <v>56972</v>
      </c>
    </row>
    <row r="585" spans="5:9" x14ac:dyDescent="0.3">
      <c r="E585" s="43" t="s">
        <v>586</v>
      </c>
      <c r="F585" s="44">
        <v>42270.64025462963</v>
      </c>
      <c r="G585" s="40" t="s">
        <v>1045</v>
      </c>
      <c r="H585" s="40" t="s">
        <v>1083</v>
      </c>
      <c r="I585" s="45">
        <v>85128</v>
      </c>
    </row>
    <row r="586" spans="5:9" x14ac:dyDescent="0.3">
      <c r="E586" s="43" t="s">
        <v>587</v>
      </c>
      <c r="F586" s="44">
        <v>42270.357245370367</v>
      </c>
      <c r="G586" s="40" t="s">
        <v>1046</v>
      </c>
      <c r="H586" s="40" t="s">
        <v>1086</v>
      </c>
      <c r="I586" s="45">
        <v>55183</v>
      </c>
    </row>
    <row r="587" spans="5:9" x14ac:dyDescent="0.3">
      <c r="E587" s="43" t="s">
        <v>588</v>
      </c>
      <c r="F587" s="44">
        <v>42044.005902777775</v>
      </c>
      <c r="G587" s="40" t="s">
        <v>1047</v>
      </c>
      <c r="H587" s="40" t="s">
        <v>1087</v>
      </c>
      <c r="I587" s="45">
        <v>36065</v>
      </c>
    </row>
    <row r="588" spans="5:9" x14ac:dyDescent="0.3">
      <c r="E588" s="43" t="s">
        <v>589</v>
      </c>
      <c r="F588" s="44">
        <v>42073.705972222226</v>
      </c>
      <c r="G588" s="40" t="s">
        <v>1048</v>
      </c>
      <c r="H588" s="40" t="s">
        <v>1088</v>
      </c>
      <c r="I588" s="45">
        <v>44345</v>
      </c>
    </row>
    <row r="589" spans="5:9" x14ac:dyDescent="0.3">
      <c r="E589" s="43" t="s">
        <v>590</v>
      </c>
      <c r="F589" s="44">
        <v>42023.462858796294</v>
      </c>
      <c r="G589" s="40" t="s">
        <v>1049</v>
      </c>
      <c r="H589" s="40" t="s">
        <v>1089</v>
      </c>
      <c r="I589" s="45">
        <v>40036</v>
      </c>
    </row>
    <row r="590" spans="5:9" x14ac:dyDescent="0.3">
      <c r="E590" s="43" t="s">
        <v>591</v>
      </c>
      <c r="F590" s="44">
        <v>42123.113009259258</v>
      </c>
      <c r="G590" s="40" t="s">
        <v>1050</v>
      </c>
      <c r="H590" s="40" t="s">
        <v>1090</v>
      </c>
      <c r="I590" s="45">
        <v>39030</v>
      </c>
    </row>
    <row r="591" spans="5:9" x14ac:dyDescent="0.3">
      <c r="E591" s="43" t="s">
        <v>592</v>
      </c>
      <c r="F591" s="44">
        <v>42283.047893518517</v>
      </c>
      <c r="G591" s="40" t="s">
        <v>1051</v>
      </c>
      <c r="H591" s="40" t="s">
        <v>1091</v>
      </c>
      <c r="I591" s="45">
        <v>45998</v>
      </c>
    </row>
    <row r="592" spans="5:9" x14ac:dyDescent="0.3">
      <c r="E592" s="43" t="s">
        <v>593</v>
      </c>
      <c r="F592" s="44">
        <v>42061.28261574074</v>
      </c>
      <c r="G592" s="40" t="s">
        <v>1012</v>
      </c>
      <c r="H592" s="40" t="s">
        <v>1092</v>
      </c>
      <c r="I592" s="45">
        <v>45705</v>
      </c>
    </row>
    <row r="593" spans="5:9" x14ac:dyDescent="0.3">
      <c r="E593" s="43" t="s">
        <v>594</v>
      </c>
      <c r="F593" s="44">
        <v>42238.441064814811</v>
      </c>
      <c r="G593" s="40" t="s">
        <v>1020</v>
      </c>
      <c r="H593" s="40" t="s">
        <v>1093</v>
      </c>
      <c r="I593" s="45">
        <v>19879</v>
      </c>
    </row>
    <row r="594" spans="5:9" x14ac:dyDescent="0.3">
      <c r="E594" s="43" t="s">
        <v>595</v>
      </c>
      <c r="F594" s="44">
        <v>42311.541030092594</v>
      </c>
      <c r="G594" s="40" t="s">
        <v>1052</v>
      </c>
      <c r="H594" s="40" t="s">
        <v>1094</v>
      </c>
      <c r="I594" s="45">
        <v>97050</v>
      </c>
    </row>
    <row r="595" spans="5:9" x14ac:dyDescent="0.3">
      <c r="E595" s="43" t="s">
        <v>596</v>
      </c>
      <c r="F595" s="44">
        <v>42344.491307870368</v>
      </c>
      <c r="G595" s="40" t="s">
        <v>1053</v>
      </c>
      <c r="H595" s="40" t="s">
        <v>1095</v>
      </c>
      <c r="I595" s="45">
        <v>72759</v>
      </c>
    </row>
    <row r="596" spans="5:9" x14ac:dyDescent="0.3">
      <c r="E596" s="43" t="s">
        <v>597</v>
      </c>
      <c r="F596" s="44">
        <v>42108.854305555556</v>
      </c>
      <c r="G596" s="40" t="s">
        <v>1054</v>
      </c>
      <c r="H596" s="40" t="s">
        <v>1096</v>
      </c>
      <c r="I596" s="45">
        <v>85024</v>
      </c>
    </row>
    <row r="597" spans="5:9" x14ac:dyDescent="0.3">
      <c r="E597" s="43" t="s">
        <v>598</v>
      </c>
      <c r="F597" s="44">
        <v>42322.819398148145</v>
      </c>
      <c r="G597" s="40" t="s">
        <v>1055</v>
      </c>
      <c r="H597" s="40" t="s">
        <v>1097</v>
      </c>
      <c r="I597" s="45">
        <v>78707</v>
      </c>
    </row>
    <row r="598" spans="5:9" x14ac:dyDescent="0.3">
      <c r="E598" s="43" t="s">
        <v>599</v>
      </c>
      <c r="F598" s="44">
        <v>42305.5937037037</v>
      </c>
      <c r="G598" s="40" t="s">
        <v>1056</v>
      </c>
      <c r="H598" s="40" t="s">
        <v>1098</v>
      </c>
      <c r="I598" s="45">
        <v>35264</v>
      </c>
    </row>
    <row r="599" spans="5:9" x14ac:dyDescent="0.3">
      <c r="E599" s="43" t="s">
        <v>600</v>
      </c>
      <c r="F599" s="44">
        <v>42309.683333333334</v>
      </c>
      <c r="G599" s="40" t="s">
        <v>1057</v>
      </c>
      <c r="H599" s="40" t="s">
        <v>1099</v>
      </c>
      <c r="I599" s="45">
        <v>8332</v>
      </c>
    </row>
    <row r="600" spans="5:9" x14ac:dyDescent="0.3">
      <c r="E600" s="43" t="s">
        <v>601</v>
      </c>
      <c r="F600" s="44">
        <v>42072.645567129628</v>
      </c>
      <c r="G600" s="40" t="s">
        <v>1058</v>
      </c>
      <c r="H600" s="40" t="s">
        <v>1100</v>
      </c>
      <c r="I600" s="45">
        <v>91852</v>
      </c>
    </row>
    <row r="601" spans="5:9" x14ac:dyDescent="0.3">
      <c r="E601" s="43" t="s">
        <v>602</v>
      </c>
      <c r="F601" s="44">
        <v>42061.198263888888</v>
      </c>
      <c r="G601" s="40" t="s">
        <v>1059</v>
      </c>
      <c r="H601" s="40" t="s">
        <v>1101</v>
      </c>
      <c r="I601" s="45">
        <v>31239</v>
      </c>
    </row>
    <row r="602" spans="5:9" x14ac:dyDescent="0.3">
      <c r="E602" s="43" t="s">
        <v>603</v>
      </c>
      <c r="F602" s="44">
        <v>42222.887384259258</v>
      </c>
      <c r="G602" s="40" t="s">
        <v>1011</v>
      </c>
      <c r="H602" s="40" t="s">
        <v>1102</v>
      </c>
      <c r="I602" s="45">
        <v>23433</v>
      </c>
    </row>
    <row r="603" spans="5:9" x14ac:dyDescent="0.3">
      <c r="E603" s="43" t="s">
        <v>604</v>
      </c>
      <c r="F603" s="44">
        <v>42212.559027777781</v>
      </c>
      <c r="G603" s="40" t="s">
        <v>1019</v>
      </c>
      <c r="H603" s="40" t="s">
        <v>1103</v>
      </c>
      <c r="I603" s="45">
        <v>40025</v>
      </c>
    </row>
    <row r="604" spans="5:9" x14ac:dyDescent="0.3">
      <c r="E604" s="43" t="s">
        <v>605</v>
      </c>
      <c r="F604" s="44">
        <v>42163.662465277775</v>
      </c>
      <c r="G604" s="40" t="s">
        <v>1027</v>
      </c>
      <c r="H604" s="40" t="s">
        <v>1104</v>
      </c>
      <c r="I604" s="45">
        <v>91155</v>
      </c>
    </row>
    <row r="605" spans="5:9" x14ac:dyDescent="0.3">
      <c r="E605" s="43" t="s">
        <v>606</v>
      </c>
      <c r="F605" s="44">
        <v>42360.923067129632</v>
      </c>
      <c r="G605" s="40" t="s">
        <v>1060</v>
      </c>
      <c r="H605" s="40" t="s">
        <v>1105</v>
      </c>
      <c r="I605" s="45">
        <v>32162</v>
      </c>
    </row>
    <row r="606" spans="5:9" x14ac:dyDescent="0.3">
      <c r="E606" s="43" t="s">
        <v>607</v>
      </c>
      <c r="F606" s="44">
        <v>42256.529791666668</v>
      </c>
      <c r="G606" s="40" t="s">
        <v>1061</v>
      </c>
      <c r="H606" s="40" t="s">
        <v>1106</v>
      </c>
      <c r="I606" s="45">
        <v>90535</v>
      </c>
    </row>
    <row r="607" spans="5:9" x14ac:dyDescent="0.3">
      <c r="E607" s="43" t="s">
        <v>608</v>
      </c>
      <c r="F607" s="44">
        <v>42294.123981481483</v>
      </c>
      <c r="G607" s="40" t="s">
        <v>1062</v>
      </c>
      <c r="H607" s="40" t="s">
        <v>1107</v>
      </c>
      <c r="I607" s="45">
        <v>93023</v>
      </c>
    </row>
    <row r="608" spans="5:9" x14ac:dyDescent="0.3">
      <c r="E608" s="43" t="s">
        <v>609</v>
      </c>
      <c r="F608" s="44">
        <v>42307.121701388889</v>
      </c>
      <c r="G608" s="40" t="s">
        <v>1063</v>
      </c>
      <c r="H608" s="40" t="s">
        <v>1108</v>
      </c>
      <c r="I608" s="45">
        <v>98665</v>
      </c>
    </row>
    <row r="609" spans="5:9" x14ac:dyDescent="0.3">
      <c r="E609" s="43" t="s">
        <v>610</v>
      </c>
      <c r="F609" s="44">
        <v>42253.006979166668</v>
      </c>
      <c r="G609" s="40" t="s">
        <v>1064</v>
      </c>
      <c r="H609" s="40" t="s">
        <v>1109</v>
      </c>
      <c r="I609" s="45">
        <v>72887</v>
      </c>
    </row>
    <row r="610" spans="5:9" x14ac:dyDescent="0.3">
      <c r="E610" s="43" t="s">
        <v>611</v>
      </c>
      <c r="F610" s="44">
        <v>42226.051608796297</v>
      </c>
      <c r="G610" s="40" t="s">
        <v>1065</v>
      </c>
      <c r="H610" s="40" t="s">
        <v>1110</v>
      </c>
      <c r="I610" s="45">
        <v>53565</v>
      </c>
    </row>
    <row r="611" spans="5:9" x14ac:dyDescent="0.3">
      <c r="E611" s="43" t="s">
        <v>612</v>
      </c>
      <c r="F611" s="44">
        <v>42189.204780092594</v>
      </c>
      <c r="G611" s="40" t="s">
        <v>1066</v>
      </c>
      <c r="H611" s="40" t="s">
        <v>1111</v>
      </c>
      <c r="I611" s="45">
        <v>11096</v>
      </c>
    </row>
    <row r="612" spans="5:9" x14ac:dyDescent="0.3">
      <c r="E612" s="43" t="s">
        <v>613</v>
      </c>
      <c r="F612" s="44">
        <v>42336.650254629632</v>
      </c>
      <c r="G612" s="40" t="s">
        <v>1010</v>
      </c>
      <c r="H612" s="40" t="s">
        <v>1112</v>
      </c>
      <c r="I612" s="45">
        <v>37744</v>
      </c>
    </row>
    <row r="613" spans="5:9" x14ac:dyDescent="0.3">
      <c r="E613" s="43" t="s">
        <v>614</v>
      </c>
      <c r="F613" s="44">
        <v>42152.441018518519</v>
      </c>
      <c r="G613" s="40" t="s">
        <v>1018</v>
      </c>
      <c r="H613" s="40" t="s">
        <v>1113</v>
      </c>
      <c r="I613" s="45">
        <v>68037</v>
      </c>
    </row>
    <row r="614" spans="5:9" x14ac:dyDescent="0.3">
      <c r="E614" s="43" t="s">
        <v>615</v>
      </c>
      <c r="F614" s="44">
        <v>42136.687604166669</v>
      </c>
      <c r="G614" s="40" t="s">
        <v>1026</v>
      </c>
      <c r="H614" s="40" t="s">
        <v>1114</v>
      </c>
      <c r="I614" s="45">
        <v>18116</v>
      </c>
    </row>
    <row r="615" spans="5:9" x14ac:dyDescent="0.3">
      <c r="E615" s="43" t="s">
        <v>616</v>
      </c>
      <c r="F615" s="44">
        <v>42220.00854166667</v>
      </c>
      <c r="G615" s="40" t="s">
        <v>1067</v>
      </c>
      <c r="H615" s="40" t="s">
        <v>1083</v>
      </c>
      <c r="I615" s="45">
        <v>89691</v>
      </c>
    </row>
    <row r="616" spans="5:9" x14ac:dyDescent="0.3">
      <c r="E616" s="43" t="s">
        <v>617</v>
      </c>
      <c r="F616" s="44">
        <v>42246.277685185189</v>
      </c>
      <c r="G616" s="40" t="s">
        <v>1068</v>
      </c>
      <c r="H616" s="40" t="s">
        <v>1085</v>
      </c>
      <c r="I616" s="45">
        <v>65557</v>
      </c>
    </row>
    <row r="617" spans="5:9" x14ac:dyDescent="0.3">
      <c r="E617" s="43" t="s">
        <v>618</v>
      </c>
      <c r="F617" s="44">
        <v>42102.352638888886</v>
      </c>
      <c r="G617" s="40" t="s">
        <v>1069</v>
      </c>
      <c r="H617" s="40" t="s">
        <v>1083</v>
      </c>
      <c r="I617" s="45">
        <v>18625</v>
      </c>
    </row>
    <row r="618" spans="5:9" x14ac:dyDescent="0.3">
      <c r="E618" s="43" t="s">
        <v>619</v>
      </c>
      <c r="F618" s="44">
        <v>42044.575011574074</v>
      </c>
      <c r="G618" s="40" t="s">
        <v>1070</v>
      </c>
      <c r="H618" s="40" t="s">
        <v>1086</v>
      </c>
      <c r="I618" s="45">
        <v>20579</v>
      </c>
    </row>
    <row r="619" spans="5:9" x14ac:dyDescent="0.3">
      <c r="E619" s="43" t="s">
        <v>620</v>
      </c>
      <c r="F619" s="44">
        <v>42048.53224537037</v>
      </c>
      <c r="G619" s="40" t="s">
        <v>1071</v>
      </c>
      <c r="H619" s="40" t="s">
        <v>1087</v>
      </c>
      <c r="I619" s="45">
        <v>93268</v>
      </c>
    </row>
    <row r="620" spans="5:9" x14ac:dyDescent="0.3">
      <c r="E620" s="43" t="s">
        <v>621</v>
      </c>
      <c r="F620" s="44">
        <v>42015.50037037037</v>
      </c>
      <c r="G620" s="40" t="s">
        <v>1072</v>
      </c>
      <c r="H620" s="40" t="s">
        <v>1088</v>
      </c>
      <c r="I620" s="45">
        <v>28828</v>
      </c>
    </row>
    <row r="621" spans="5:9" x14ac:dyDescent="0.3">
      <c r="E621" s="43" t="s">
        <v>622</v>
      </c>
      <c r="F621" s="44">
        <v>42109.207627314812</v>
      </c>
      <c r="G621" s="40" t="s">
        <v>1073</v>
      </c>
      <c r="H621" s="40" t="s">
        <v>1089</v>
      </c>
      <c r="I621" s="45">
        <v>11650</v>
      </c>
    </row>
    <row r="622" spans="5:9" x14ac:dyDescent="0.3">
      <c r="E622" s="43" t="s">
        <v>623</v>
      </c>
      <c r="F622" s="44">
        <v>42016.678043981483</v>
      </c>
      <c r="G622" s="40" t="s">
        <v>1009</v>
      </c>
      <c r="H622" s="40" t="s">
        <v>1090</v>
      </c>
      <c r="I622" s="45">
        <v>44237</v>
      </c>
    </row>
    <row r="623" spans="5:9" x14ac:dyDescent="0.3">
      <c r="E623" s="43" t="s">
        <v>624</v>
      </c>
      <c r="F623" s="44">
        <v>42006.988842592589</v>
      </c>
      <c r="G623" s="40" t="s">
        <v>1017</v>
      </c>
      <c r="H623" s="40" t="s">
        <v>1091</v>
      </c>
      <c r="I623" s="45">
        <v>21878</v>
      </c>
    </row>
    <row r="624" spans="5:9" x14ac:dyDescent="0.3">
      <c r="E624" s="43" t="s">
        <v>625</v>
      </c>
      <c r="F624" s="44">
        <v>42206.124895833331</v>
      </c>
      <c r="G624" s="40" t="s">
        <v>1025</v>
      </c>
      <c r="H624" s="40" t="s">
        <v>1092</v>
      </c>
      <c r="I624" s="45">
        <v>72551</v>
      </c>
    </row>
    <row r="625" spans="5:9" x14ac:dyDescent="0.3">
      <c r="E625" s="43" t="s">
        <v>626</v>
      </c>
      <c r="F625" s="44">
        <v>42364.711087962962</v>
      </c>
      <c r="G625" s="40" t="s">
        <v>1074</v>
      </c>
      <c r="H625" s="40" t="s">
        <v>1093</v>
      </c>
      <c r="I625" s="45">
        <v>93118</v>
      </c>
    </row>
    <row r="626" spans="5:9" x14ac:dyDescent="0.3">
      <c r="E626" s="43" t="s">
        <v>627</v>
      </c>
      <c r="F626" s="44">
        <v>42153.81486111111</v>
      </c>
      <c r="G626" s="40" t="s">
        <v>1075</v>
      </c>
      <c r="H626" s="40" t="s">
        <v>1094</v>
      </c>
      <c r="I626" s="45">
        <v>49803</v>
      </c>
    </row>
    <row r="627" spans="5:9" x14ac:dyDescent="0.3">
      <c r="E627" s="43" t="s">
        <v>628</v>
      </c>
      <c r="F627" s="44">
        <v>42184.143969907411</v>
      </c>
      <c r="G627" s="40" t="s">
        <v>1076</v>
      </c>
      <c r="H627" s="40" t="s">
        <v>1095</v>
      </c>
      <c r="I627" s="45">
        <v>11885</v>
      </c>
    </row>
    <row r="628" spans="5:9" x14ac:dyDescent="0.3">
      <c r="E628" s="43" t="s">
        <v>629</v>
      </c>
      <c r="F628" s="44">
        <v>42096.122337962966</v>
      </c>
      <c r="G628" s="40" t="s">
        <v>1077</v>
      </c>
      <c r="H628" s="40" t="s">
        <v>1096</v>
      </c>
      <c r="I628" s="45">
        <v>71510</v>
      </c>
    </row>
    <row r="629" spans="5:9" x14ac:dyDescent="0.3">
      <c r="E629" s="43" t="s">
        <v>630</v>
      </c>
      <c r="F629" s="44">
        <v>42288.900868055556</v>
      </c>
      <c r="G629" s="40" t="s">
        <v>1078</v>
      </c>
      <c r="H629" s="40" t="s">
        <v>1097</v>
      </c>
      <c r="I629" s="45">
        <v>34979</v>
      </c>
    </row>
    <row r="630" spans="5:9" x14ac:dyDescent="0.3">
      <c r="E630" s="43" t="s">
        <v>631</v>
      </c>
      <c r="F630" s="44">
        <v>42184.022465277776</v>
      </c>
      <c r="G630" s="40" t="s">
        <v>1079</v>
      </c>
      <c r="H630" s="40" t="s">
        <v>1098</v>
      </c>
      <c r="I630" s="45">
        <v>15379</v>
      </c>
    </row>
    <row r="631" spans="5:9" x14ac:dyDescent="0.3">
      <c r="E631" s="43" t="s">
        <v>632</v>
      </c>
      <c r="F631" s="44">
        <v>42356.899386574078</v>
      </c>
      <c r="G631" s="40" t="s">
        <v>1080</v>
      </c>
      <c r="H631" s="40" t="s">
        <v>1099</v>
      </c>
      <c r="I631" s="45">
        <v>61049</v>
      </c>
    </row>
    <row r="632" spans="5:9" x14ac:dyDescent="0.3">
      <c r="E632" s="43" t="s">
        <v>633</v>
      </c>
      <c r="F632" s="44">
        <v>42310.569432870368</v>
      </c>
      <c r="G632" s="40" t="s">
        <v>1008</v>
      </c>
      <c r="H632" s="40" t="s">
        <v>1100</v>
      </c>
      <c r="I632" s="45">
        <v>87137</v>
      </c>
    </row>
    <row r="633" spans="5:9" x14ac:dyDescent="0.3">
      <c r="E633" s="43" t="s">
        <v>634</v>
      </c>
      <c r="F633" s="44">
        <v>42083.107627314814</v>
      </c>
      <c r="G633" s="40" t="s">
        <v>1016</v>
      </c>
      <c r="H633" s="40" t="s">
        <v>1101</v>
      </c>
      <c r="I633" s="45">
        <v>21265</v>
      </c>
    </row>
    <row r="634" spans="5:9" x14ac:dyDescent="0.3">
      <c r="E634" s="43" t="s">
        <v>635</v>
      </c>
      <c r="F634" s="44">
        <v>42242.152557870373</v>
      </c>
      <c r="G634" s="40" t="s">
        <v>1024</v>
      </c>
      <c r="H634" s="40" t="s">
        <v>1102</v>
      </c>
      <c r="I634" s="45">
        <v>16502</v>
      </c>
    </row>
    <row r="635" spans="5:9" x14ac:dyDescent="0.3">
      <c r="E635" s="43" t="s">
        <v>636</v>
      </c>
      <c r="F635" s="44">
        <v>42231.617905092593</v>
      </c>
      <c r="G635" s="40" t="s">
        <v>1081</v>
      </c>
      <c r="H635" s="40" t="s">
        <v>1103</v>
      </c>
      <c r="I635" s="45">
        <v>13638</v>
      </c>
    </row>
    <row r="636" spans="5:9" x14ac:dyDescent="0.3">
      <c r="E636" s="43" t="s">
        <v>637</v>
      </c>
      <c r="F636" s="44">
        <v>42239.794074074074</v>
      </c>
      <c r="G636" s="40" t="s">
        <v>1082</v>
      </c>
      <c r="H636" s="40" t="s">
        <v>1104</v>
      </c>
      <c r="I636" s="45">
        <v>94169</v>
      </c>
    </row>
    <row r="637" spans="5:9" x14ac:dyDescent="0.3">
      <c r="E637" s="43" t="s">
        <v>638</v>
      </c>
      <c r="F637" s="44">
        <v>42111.664490740739</v>
      </c>
      <c r="G637" s="40" t="s">
        <v>1054</v>
      </c>
      <c r="H637" s="40" t="s">
        <v>1105</v>
      </c>
      <c r="I637" s="45">
        <v>59205</v>
      </c>
    </row>
    <row r="638" spans="5:9" x14ac:dyDescent="0.3">
      <c r="E638" s="43" t="s">
        <v>639</v>
      </c>
      <c r="F638" s="44">
        <v>42034.233217592591</v>
      </c>
      <c r="G638" s="40" t="s">
        <v>1055</v>
      </c>
      <c r="H638" s="40" t="s">
        <v>1106</v>
      </c>
      <c r="I638" s="45">
        <v>76558</v>
      </c>
    </row>
    <row r="639" spans="5:9" x14ac:dyDescent="0.3">
      <c r="E639" s="43" t="s">
        <v>640</v>
      </c>
      <c r="F639" s="44">
        <v>42029.286481481482</v>
      </c>
      <c r="G639" s="40" t="s">
        <v>1056</v>
      </c>
      <c r="H639" s="40" t="s">
        <v>1107</v>
      </c>
      <c r="I639" s="45">
        <v>52164</v>
      </c>
    </row>
    <row r="640" spans="5:9" x14ac:dyDescent="0.3">
      <c r="E640" s="43" t="s">
        <v>641</v>
      </c>
      <c r="F640" s="44">
        <v>42237.842546296299</v>
      </c>
      <c r="G640" s="40" t="s">
        <v>1057</v>
      </c>
      <c r="H640" s="40" t="s">
        <v>1108</v>
      </c>
      <c r="I640" s="45">
        <v>76244</v>
      </c>
    </row>
    <row r="641" spans="5:9" x14ac:dyDescent="0.3">
      <c r="E641" s="43" t="s">
        <v>642</v>
      </c>
      <c r="F641" s="44">
        <v>42332.874537037038</v>
      </c>
      <c r="G641" s="40" t="s">
        <v>1058</v>
      </c>
      <c r="H641" s="40" t="s">
        <v>1109</v>
      </c>
      <c r="I641" s="45">
        <v>28082</v>
      </c>
    </row>
    <row r="642" spans="5:9" x14ac:dyDescent="0.3">
      <c r="E642" s="43" t="s">
        <v>643</v>
      </c>
      <c r="F642" s="44">
        <v>42254.805277777778</v>
      </c>
      <c r="G642" s="40" t="s">
        <v>1059</v>
      </c>
      <c r="H642" s="40" t="s">
        <v>1110</v>
      </c>
      <c r="I642" s="45">
        <v>93605</v>
      </c>
    </row>
    <row r="643" spans="5:9" x14ac:dyDescent="0.3">
      <c r="E643" s="43" t="s">
        <v>644</v>
      </c>
      <c r="F643" s="44">
        <v>42270.494004629632</v>
      </c>
      <c r="G643" s="40" t="s">
        <v>1011</v>
      </c>
      <c r="H643" s="40" t="s">
        <v>1111</v>
      </c>
      <c r="I643" s="45">
        <v>17879</v>
      </c>
    </row>
    <row r="644" spans="5:9" x14ac:dyDescent="0.3">
      <c r="E644" s="43" t="s">
        <v>645</v>
      </c>
      <c r="F644" s="44">
        <v>42142.703449074077</v>
      </c>
      <c r="G644" s="40" t="s">
        <v>1019</v>
      </c>
      <c r="H644" s="40" t="s">
        <v>1112</v>
      </c>
      <c r="I644" s="45">
        <v>39425</v>
      </c>
    </row>
    <row r="645" spans="5:9" x14ac:dyDescent="0.3">
      <c r="E645" s="43" t="s">
        <v>646</v>
      </c>
      <c r="F645" s="44">
        <v>42196.166701388887</v>
      </c>
      <c r="G645" s="40" t="s">
        <v>1027</v>
      </c>
      <c r="H645" s="40" t="s">
        <v>1113</v>
      </c>
      <c r="I645" s="45">
        <v>22679</v>
      </c>
    </row>
    <row r="646" spans="5:9" x14ac:dyDescent="0.3">
      <c r="E646" s="43" t="s">
        <v>647</v>
      </c>
      <c r="F646" s="44">
        <v>42023.389027777775</v>
      </c>
      <c r="G646" s="40" t="s">
        <v>1060</v>
      </c>
      <c r="H646" s="40" t="s">
        <v>1114</v>
      </c>
      <c r="I646" s="45">
        <v>45223</v>
      </c>
    </row>
    <row r="647" spans="5:9" x14ac:dyDescent="0.3">
      <c r="E647" s="43" t="s">
        <v>648</v>
      </c>
      <c r="F647" s="44">
        <v>42014.286631944444</v>
      </c>
      <c r="G647" s="40" t="s">
        <v>1061</v>
      </c>
      <c r="H647" s="40" t="s">
        <v>1083</v>
      </c>
      <c r="I647" s="45">
        <v>27067</v>
      </c>
    </row>
    <row r="648" spans="5:9" x14ac:dyDescent="0.3">
      <c r="E648" s="43" t="s">
        <v>649</v>
      </c>
      <c r="F648" s="44">
        <v>42057.001828703702</v>
      </c>
      <c r="G648" s="40" t="s">
        <v>1062</v>
      </c>
      <c r="H648" s="40" t="s">
        <v>1085</v>
      </c>
      <c r="I648" s="45">
        <v>29861</v>
      </c>
    </row>
    <row r="649" spans="5:9" x14ac:dyDescent="0.3">
      <c r="E649" s="43" t="s">
        <v>650</v>
      </c>
      <c r="F649" s="44">
        <v>42158.993622685186</v>
      </c>
      <c r="G649" s="40" t="s">
        <v>1063</v>
      </c>
      <c r="H649" s="40" t="s">
        <v>1083</v>
      </c>
      <c r="I649" s="45">
        <v>80406</v>
      </c>
    </row>
    <row r="650" spans="5:9" x14ac:dyDescent="0.3">
      <c r="E650" s="43" t="s">
        <v>651</v>
      </c>
      <c r="F650" s="44">
        <v>42123.987071759257</v>
      </c>
      <c r="G650" s="40" t="s">
        <v>1064</v>
      </c>
      <c r="H650" s="40" t="s">
        <v>1086</v>
      </c>
      <c r="I650" s="45">
        <v>85961</v>
      </c>
    </row>
    <row r="651" spans="5:9" x14ac:dyDescent="0.3">
      <c r="E651" s="43" t="s">
        <v>652</v>
      </c>
      <c r="F651" s="44">
        <v>42315.534432870372</v>
      </c>
      <c r="G651" s="40" t="s">
        <v>1065</v>
      </c>
      <c r="H651" s="40" t="s">
        <v>1087</v>
      </c>
      <c r="I651" s="45">
        <v>15797</v>
      </c>
    </row>
    <row r="652" spans="5:9" x14ac:dyDescent="0.3">
      <c r="E652" s="43" t="s">
        <v>653</v>
      </c>
      <c r="F652" s="44">
        <v>42306.573645833334</v>
      </c>
      <c r="G652" s="40" t="s">
        <v>1066</v>
      </c>
      <c r="H652" s="40" t="s">
        <v>1088</v>
      </c>
      <c r="I652" s="45">
        <v>42333</v>
      </c>
    </row>
    <row r="653" spans="5:9" x14ac:dyDescent="0.3">
      <c r="E653" s="43" t="s">
        <v>654</v>
      </c>
      <c r="F653" s="44">
        <v>42202.811168981483</v>
      </c>
      <c r="G653" s="40" t="s">
        <v>1010</v>
      </c>
      <c r="H653" s="40" t="s">
        <v>1089</v>
      </c>
      <c r="I653" s="45">
        <v>51219</v>
      </c>
    </row>
    <row r="654" spans="5:9" x14ac:dyDescent="0.3">
      <c r="E654" s="43" t="s">
        <v>655</v>
      </c>
      <c r="F654" s="44">
        <v>42159.936307870368</v>
      </c>
      <c r="G654" s="40" t="s">
        <v>1018</v>
      </c>
      <c r="H654" s="40" t="s">
        <v>1090</v>
      </c>
      <c r="I654" s="45">
        <v>82392</v>
      </c>
    </row>
    <row r="655" spans="5:9" x14ac:dyDescent="0.3">
      <c r="E655" s="43" t="s">
        <v>656</v>
      </c>
      <c r="F655" s="44">
        <v>42230.930532407408</v>
      </c>
      <c r="G655" s="40" t="s">
        <v>1026</v>
      </c>
      <c r="H655" s="40" t="s">
        <v>1091</v>
      </c>
      <c r="I655" s="45">
        <v>10536</v>
      </c>
    </row>
    <row r="656" spans="5:9" x14ac:dyDescent="0.3">
      <c r="E656" s="43" t="s">
        <v>657</v>
      </c>
      <c r="F656" s="44">
        <v>42254.010451388887</v>
      </c>
      <c r="G656" s="40" t="s">
        <v>1067</v>
      </c>
      <c r="H656" s="40" t="s">
        <v>1092</v>
      </c>
      <c r="I656" s="45">
        <v>89040</v>
      </c>
    </row>
    <row r="657" spans="5:9" x14ac:dyDescent="0.3">
      <c r="E657" s="43" t="s">
        <v>658</v>
      </c>
      <c r="F657" s="44">
        <v>42050.199930555558</v>
      </c>
      <c r="G657" s="40" t="s">
        <v>1068</v>
      </c>
      <c r="H657" s="40" t="s">
        <v>1093</v>
      </c>
      <c r="I657" s="45">
        <v>99401</v>
      </c>
    </row>
    <row r="658" spans="5:9" x14ac:dyDescent="0.3">
      <c r="E658" s="43" t="s">
        <v>659</v>
      </c>
      <c r="F658" s="44">
        <v>42107.087650462963</v>
      </c>
      <c r="G658" s="40" t="s">
        <v>1069</v>
      </c>
      <c r="H658" s="40" t="s">
        <v>1094</v>
      </c>
      <c r="I658" s="45">
        <v>35572</v>
      </c>
    </row>
    <row r="659" spans="5:9" x14ac:dyDescent="0.3">
      <c r="E659" s="43" t="s">
        <v>660</v>
      </c>
      <c r="F659" s="44">
        <v>42277.711840277778</v>
      </c>
      <c r="G659" s="40" t="s">
        <v>1070</v>
      </c>
      <c r="H659" s="40" t="s">
        <v>1095</v>
      </c>
      <c r="I659" s="45">
        <v>17702</v>
      </c>
    </row>
    <row r="660" spans="5:9" x14ac:dyDescent="0.3">
      <c r="E660" s="43" t="s">
        <v>661</v>
      </c>
      <c r="F660" s="44">
        <v>42303.412222222221</v>
      </c>
      <c r="G660" s="40" t="s">
        <v>1071</v>
      </c>
      <c r="H660" s="40" t="s">
        <v>1096</v>
      </c>
      <c r="I660" s="45">
        <v>70154</v>
      </c>
    </row>
    <row r="661" spans="5:9" x14ac:dyDescent="0.3">
      <c r="E661" s="43" t="s">
        <v>662</v>
      </c>
      <c r="F661" s="44">
        <v>42248.273159722223</v>
      </c>
      <c r="G661" s="40" t="s">
        <v>1072</v>
      </c>
      <c r="H661" s="40" t="s">
        <v>1097</v>
      </c>
      <c r="I661" s="45">
        <v>64071</v>
      </c>
    </row>
    <row r="662" spans="5:9" x14ac:dyDescent="0.3">
      <c r="E662" s="43" t="s">
        <v>663</v>
      </c>
      <c r="F662" s="44">
        <v>42336.301747685182</v>
      </c>
      <c r="G662" s="40" t="s">
        <v>1073</v>
      </c>
      <c r="H662" s="40" t="s">
        <v>1098</v>
      </c>
      <c r="I662" s="45">
        <v>83953</v>
      </c>
    </row>
    <row r="663" spans="5:9" x14ac:dyDescent="0.3">
      <c r="E663" s="43" t="s">
        <v>664</v>
      </c>
      <c r="F663" s="44">
        <v>42324.759872685187</v>
      </c>
      <c r="G663" s="40" t="s">
        <v>1009</v>
      </c>
      <c r="H663" s="40" t="s">
        <v>1099</v>
      </c>
      <c r="I663" s="45">
        <v>38908</v>
      </c>
    </row>
    <row r="664" spans="5:9" x14ac:dyDescent="0.3">
      <c r="E664" s="43" t="s">
        <v>665</v>
      </c>
      <c r="F664" s="44">
        <v>42228.273055555554</v>
      </c>
      <c r="G664" s="40" t="s">
        <v>1017</v>
      </c>
      <c r="H664" s="40" t="s">
        <v>1100</v>
      </c>
      <c r="I664" s="45">
        <v>81395</v>
      </c>
    </row>
    <row r="665" spans="5:9" x14ac:dyDescent="0.3">
      <c r="E665" s="43" t="s">
        <v>666</v>
      </c>
      <c r="F665" s="44">
        <v>42151.902395833335</v>
      </c>
      <c r="G665" s="40" t="s">
        <v>1025</v>
      </c>
      <c r="H665" s="40" t="s">
        <v>1101</v>
      </c>
      <c r="I665" s="45">
        <v>20411</v>
      </c>
    </row>
    <row r="666" spans="5:9" x14ac:dyDescent="0.3">
      <c r="E666" s="43" t="s">
        <v>667</v>
      </c>
      <c r="F666" s="44">
        <v>42119.482523148145</v>
      </c>
      <c r="G666" s="40" t="s">
        <v>1054</v>
      </c>
      <c r="H666" s="40" t="s">
        <v>1102</v>
      </c>
      <c r="I666" s="45">
        <v>29765</v>
      </c>
    </row>
    <row r="667" spans="5:9" x14ac:dyDescent="0.3">
      <c r="E667" s="43" t="s">
        <v>668</v>
      </c>
      <c r="F667" s="44">
        <v>42028.011122685188</v>
      </c>
      <c r="G667" s="40" t="s">
        <v>1055</v>
      </c>
      <c r="H667" s="40" t="s">
        <v>1103</v>
      </c>
      <c r="I667" s="45">
        <v>51720</v>
      </c>
    </row>
    <row r="668" spans="5:9" x14ac:dyDescent="0.3">
      <c r="E668" s="43" t="s">
        <v>669</v>
      </c>
      <c r="F668" s="44">
        <v>42073.797314814816</v>
      </c>
      <c r="G668" s="40" t="s">
        <v>1056</v>
      </c>
      <c r="H668" s="40" t="s">
        <v>1104</v>
      </c>
      <c r="I668" s="45">
        <v>88810</v>
      </c>
    </row>
    <row r="669" spans="5:9" x14ac:dyDescent="0.3">
      <c r="E669" s="43" t="s">
        <v>670</v>
      </c>
      <c r="F669" s="44">
        <v>42096.179097222222</v>
      </c>
      <c r="G669" s="40" t="s">
        <v>1057</v>
      </c>
      <c r="H669" s="40" t="s">
        <v>1105</v>
      </c>
      <c r="I669" s="45">
        <v>34518</v>
      </c>
    </row>
    <row r="670" spans="5:9" x14ac:dyDescent="0.3">
      <c r="E670" s="43" t="s">
        <v>671</v>
      </c>
      <c r="F670" s="44">
        <v>42057.039710648147</v>
      </c>
      <c r="G670" s="40" t="s">
        <v>1058</v>
      </c>
      <c r="H670" s="40" t="s">
        <v>1106</v>
      </c>
      <c r="I670" s="45">
        <v>47981</v>
      </c>
    </row>
    <row r="671" spans="5:9" x14ac:dyDescent="0.3">
      <c r="E671" s="43" t="s">
        <v>672</v>
      </c>
      <c r="F671" s="44">
        <v>42273.540462962963</v>
      </c>
      <c r="G671" s="40" t="s">
        <v>1059</v>
      </c>
      <c r="H671" s="40" t="s">
        <v>1107</v>
      </c>
      <c r="I671" s="45">
        <v>83832</v>
      </c>
    </row>
    <row r="672" spans="5:9" x14ac:dyDescent="0.3">
      <c r="E672" s="43" t="s">
        <v>673</v>
      </c>
      <c r="F672" s="44">
        <v>42261.134780092594</v>
      </c>
      <c r="G672" s="40" t="s">
        <v>1011</v>
      </c>
      <c r="H672" s="40" t="s">
        <v>1108</v>
      </c>
      <c r="I672" s="45">
        <v>86842</v>
      </c>
    </row>
    <row r="673" spans="5:9" x14ac:dyDescent="0.3">
      <c r="E673" s="43" t="s">
        <v>674</v>
      </c>
      <c r="F673" s="44">
        <v>42257.891655092593</v>
      </c>
      <c r="G673" s="40" t="s">
        <v>1019</v>
      </c>
      <c r="H673" s="40" t="s">
        <v>1109</v>
      </c>
      <c r="I673" s="45">
        <v>16670</v>
      </c>
    </row>
    <row r="674" spans="5:9" x14ac:dyDescent="0.3">
      <c r="E674" s="43" t="s">
        <v>675</v>
      </c>
      <c r="F674" s="44">
        <v>42062.059861111113</v>
      </c>
      <c r="G674" s="40" t="s">
        <v>1027</v>
      </c>
      <c r="H674" s="40" t="s">
        <v>1110</v>
      </c>
      <c r="I674" s="45">
        <v>32358</v>
      </c>
    </row>
    <row r="675" spans="5:9" x14ac:dyDescent="0.3">
      <c r="E675" s="43" t="s">
        <v>676</v>
      </c>
      <c r="F675" s="44">
        <v>42270.572384259256</v>
      </c>
      <c r="G675" s="40" t="s">
        <v>1060</v>
      </c>
      <c r="H675" s="40" t="s">
        <v>1111</v>
      </c>
      <c r="I675" s="45">
        <v>68154</v>
      </c>
    </row>
    <row r="676" spans="5:9" x14ac:dyDescent="0.3">
      <c r="E676" s="43" t="s">
        <v>677</v>
      </c>
      <c r="F676" s="44">
        <v>42223.143090277779</v>
      </c>
      <c r="G676" s="40" t="s">
        <v>1061</v>
      </c>
      <c r="H676" s="40" t="s">
        <v>1112</v>
      </c>
      <c r="I676" s="45">
        <v>30072</v>
      </c>
    </row>
    <row r="677" spans="5:9" x14ac:dyDescent="0.3">
      <c r="E677" s="43" t="s">
        <v>678</v>
      </c>
      <c r="F677" s="44">
        <v>42345.970532407409</v>
      </c>
      <c r="G677" s="40" t="s">
        <v>1062</v>
      </c>
      <c r="H677" s="40" t="s">
        <v>1113</v>
      </c>
      <c r="I677" s="45">
        <v>63207</v>
      </c>
    </row>
    <row r="678" spans="5:9" x14ac:dyDescent="0.3">
      <c r="E678" s="43" t="s">
        <v>679</v>
      </c>
      <c r="F678" s="44">
        <v>42061.61451388889</v>
      </c>
      <c r="G678" s="40" t="s">
        <v>1063</v>
      </c>
      <c r="H678" s="40" t="s">
        <v>1114</v>
      </c>
      <c r="I678" s="45">
        <v>75199</v>
      </c>
    </row>
    <row r="679" spans="5:9" x14ac:dyDescent="0.3">
      <c r="E679" s="43" t="s">
        <v>680</v>
      </c>
      <c r="F679" s="44">
        <v>42013.096365740741</v>
      </c>
      <c r="G679" s="40" t="s">
        <v>1064</v>
      </c>
      <c r="H679" s="40" t="s">
        <v>1083</v>
      </c>
      <c r="I679" s="45">
        <v>53923</v>
      </c>
    </row>
    <row r="680" spans="5:9" x14ac:dyDescent="0.3">
      <c r="E680" s="43" t="s">
        <v>681</v>
      </c>
      <c r="F680" s="44">
        <v>42200.745358796295</v>
      </c>
      <c r="G680" s="40" t="s">
        <v>1065</v>
      </c>
      <c r="H680" s="40" t="s">
        <v>1085</v>
      </c>
      <c r="I680" s="45">
        <v>37879</v>
      </c>
    </row>
    <row r="681" spans="5:9" x14ac:dyDescent="0.3">
      <c r="E681" s="43" t="s">
        <v>682</v>
      </c>
      <c r="F681" s="44">
        <v>42009.803773148145</v>
      </c>
      <c r="G681" s="40" t="s">
        <v>1066</v>
      </c>
      <c r="H681" s="40" t="s">
        <v>1083</v>
      </c>
      <c r="I681" s="45">
        <v>92855</v>
      </c>
    </row>
    <row r="682" spans="5:9" x14ac:dyDescent="0.3">
      <c r="E682" s="43" t="s">
        <v>683</v>
      </c>
      <c r="F682" s="44">
        <v>42155.168900462966</v>
      </c>
      <c r="G682" s="40" t="s">
        <v>1010</v>
      </c>
      <c r="H682" s="40" t="s">
        <v>1086</v>
      </c>
      <c r="I682" s="45">
        <v>89124</v>
      </c>
    </row>
    <row r="683" spans="5:9" x14ac:dyDescent="0.3">
      <c r="E683" s="43" t="s">
        <v>684</v>
      </c>
      <c r="F683" s="44">
        <v>42328.380949074075</v>
      </c>
      <c r="G683" s="40" t="s">
        <v>1018</v>
      </c>
      <c r="H683" s="40" t="s">
        <v>1087</v>
      </c>
      <c r="I683" s="45">
        <v>12202</v>
      </c>
    </row>
    <row r="684" spans="5:9" x14ac:dyDescent="0.3">
      <c r="E684" s="43" t="s">
        <v>685</v>
      </c>
      <c r="F684" s="44">
        <v>42046.206574074073</v>
      </c>
      <c r="G684" s="40" t="s">
        <v>1026</v>
      </c>
      <c r="H684" s="40" t="s">
        <v>1088</v>
      </c>
      <c r="I684" s="45">
        <v>4472</v>
      </c>
    </row>
    <row r="685" spans="5:9" x14ac:dyDescent="0.3">
      <c r="E685" s="43" t="s">
        <v>686</v>
      </c>
      <c r="F685" s="44">
        <v>42243.367002314815</v>
      </c>
      <c r="G685" s="40" t="s">
        <v>1067</v>
      </c>
      <c r="H685" s="40" t="s">
        <v>1089</v>
      </c>
      <c r="I685" s="45">
        <v>2241</v>
      </c>
    </row>
    <row r="686" spans="5:9" x14ac:dyDescent="0.3">
      <c r="E686" s="43" t="s">
        <v>687</v>
      </c>
      <c r="F686" s="44">
        <v>42014.961678240739</v>
      </c>
      <c r="G686" s="40" t="s">
        <v>1068</v>
      </c>
      <c r="H686" s="40" t="s">
        <v>1090</v>
      </c>
      <c r="I686" s="45">
        <v>18810</v>
      </c>
    </row>
    <row r="687" spans="5:9" x14ac:dyDescent="0.3">
      <c r="E687" s="43" t="s">
        <v>688</v>
      </c>
      <c r="F687" s="44">
        <v>42038.685439814813</v>
      </c>
      <c r="G687" s="40" t="s">
        <v>1069</v>
      </c>
      <c r="H687" s="40" t="s">
        <v>1091</v>
      </c>
      <c r="I687" s="45">
        <v>23347</v>
      </c>
    </row>
    <row r="688" spans="5:9" x14ac:dyDescent="0.3">
      <c r="E688" s="43" t="s">
        <v>689</v>
      </c>
      <c r="F688" s="44">
        <v>42149.719502314816</v>
      </c>
      <c r="G688" s="40" t="s">
        <v>1070</v>
      </c>
      <c r="H688" s="40" t="s">
        <v>1092</v>
      </c>
      <c r="I688" s="45">
        <v>5385</v>
      </c>
    </row>
    <row r="689" spans="5:9" x14ac:dyDescent="0.3">
      <c r="E689" s="43" t="s">
        <v>690</v>
      </c>
      <c r="F689" s="44">
        <v>42132.945752314816</v>
      </c>
      <c r="G689" s="40" t="s">
        <v>1071</v>
      </c>
      <c r="H689" s="40" t="s">
        <v>1093</v>
      </c>
      <c r="I689" s="45">
        <v>94608</v>
      </c>
    </row>
    <row r="690" spans="5:9" x14ac:dyDescent="0.3">
      <c r="E690" s="43" t="s">
        <v>691</v>
      </c>
      <c r="F690" s="44">
        <v>42020.202511574076</v>
      </c>
      <c r="G690" s="40" t="s">
        <v>1072</v>
      </c>
      <c r="H690" s="40" t="s">
        <v>1094</v>
      </c>
      <c r="I690" s="45">
        <v>62676</v>
      </c>
    </row>
    <row r="691" spans="5:9" x14ac:dyDescent="0.3">
      <c r="E691" s="43" t="s">
        <v>692</v>
      </c>
      <c r="F691" s="44">
        <v>42227.587766203702</v>
      </c>
      <c r="G691" s="40" t="s">
        <v>1073</v>
      </c>
      <c r="H691" s="40" t="s">
        <v>1095</v>
      </c>
      <c r="I691" s="45">
        <v>35766</v>
      </c>
    </row>
    <row r="692" spans="5:9" x14ac:dyDescent="0.3">
      <c r="E692" s="43" t="s">
        <v>693</v>
      </c>
      <c r="F692" s="44">
        <v>42168.11414351852</v>
      </c>
      <c r="G692" s="40" t="s">
        <v>1009</v>
      </c>
      <c r="H692" s="40" t="s">
        <v>1096</v>
      </c>
      <c r="I692" s="45">
        <v>43027</v>
      </c>
    </row>
    <row r="693" spans="5:9" x14ac:dyDescent="0.3">
      <c r="E693" s="43" t="s">
        <v>694</v>
      </c>
      <c r="F693" s="44">
        <v>42243.131145833337</v>
      </c>
      <c r="G693" s="40" t="s">
        <v>1017</v>
      </c>
      <c r="H693" s="40" t="s">
        <v>1097</v>
      </c>
      <c r="I693" s="45">
        <v>20528</v>
      </c>
    </row>
    <row r="694" spans="5:9" x14ac:dyDescent="0.3">
      <c r="E694" s="43" t="s">
        <v>695</v>
      </c>
      <c r="F694" s="44">
        <v>42336.165266203701</v>
      </c>
      <c r="G694" s="40" t="s">
        <v>1025</v>
      </c>
      <c r="H694" s="40" t="s">
        <v>1098</v>
      </c>
      <c r="I694" s="45">
        <v>57521</v>
      </c>
    </row>
    <row r="695" spans="5:9" x14ac:dyDescent="0.3">
      <c r="E695" s="43" t="s">
        <v>696</v>
      </c>
      <c r="F695" s="44">
        <v>42306.368113425924</v>
      </c>
      <c r="G695" s="40" t="s">
        <v>1054</v>
      </c>
      <c r="H695" s="40" t="s">
        <v>1099</v>
      </c>
      <c r="I695" s="45">
        <v>53087</v>
      </c>
    </row>
    <row r="696" spans="5:9" x14ac:dyDescent="0.3">
      <c r="E696" s="43" t="s">
        <v>697</v>
      </c>
      <c r="F696" s="44">
        <v>42024.952291666668</v>
      </c>
      <c r="G696" s="40" t="s">
        <v>1055</v>
      </c>
      <c r="H696" s="40" t="s">
        <v>1100</v>
      </c>
      <c r="I696" s="45">
        <v>96563</v>
      </c>
    </row>
    <row r="697" spans="5:9" x14ac:dyDescent="0.3">
      <c r="E697" s="43" t="s">
        <v>698</v>
      </c>
      <c r="F697" s="44">
        <v>42066.410902777781</v>
      </c>
      <c r="G697" s="40" t="s">
        <v>1056</v>
      </c>
      <c r="H697" s="40" t="s">
        <v>1101</v>
      </c>
      <c r="I697" s="45">
        <v>30210</v>
      </c>
    </row>
    <row r="698" spans="5:9" x14ac:dyDescent="0.3">
      <c r="E698" s="43" t="s">
        <v>699</v>
      </c>
      <c r="F698" s="44">
        <v>42040.606249999997</v>
      </c>
      <c r="G698" s="40" t="s">
        <v>1057</v>
      </c>
      <c r="H698" s="40" t="s">
        <v>1102</v>
      </c>
      <c r="I698" s="45">
        <v>65085</v>
      </c>
    </row>
    <row r="699" spans="5:9" x14ac:dyDescent="0.3">
      <c r="E699" s="43" t="s">
        <v>700</v>
      </c>
      <c r="F699" s="44">
        <v>42323.993819444448</v>
      </c>
      <c r="G699" s="40" t="s">
        <v>1058</v>
      </c>
      <c r="H699" s="40" t="s">
        <v>1103</v>
      </c>
      <c r="I699" s="45">
        <v>25509</v>
      </c>
    </row>
    <row r="700" spans="5:9" x14ac:dyDescent="0.3">
      <c r="E700" s="43" t="s">
        <v>701</v>
      </c>
      <c r="F700" s="44">
        <v>42184.546284722222</v>
      </c>
      <c r="G700" s="40" t="s">
        <v>1059</v>
      </c>
      <c r="H700" s="40" t="s">
        <v>1104</v>
      </c>
      <c r="I700" s="45">
        <v>89614</v>
      </c>
    </row>
    <row r="701" spans="5:9" x14ac:dyDescent="0.3">
      <c r="E701" s="43" t="s">
        <v>702</v>
      </c>
      <c r="F701" s="44">
        <v>42302.099652777775</v>
      </c>
      <c r="G701" s="40" t="s">
        <v>1011</v>
      </c>
      <c r="H701" s="40" t="s">
        <v>1105</v>
      </c>
      <c r="I701" s="45">
        <v>8170</v>
      </c>
    </row>
    <row r="702" spans="5:9" x14ac:dyDescent="0.3">
      <c r="E702" s="43" t="s">
        <v>703</v>
      </c>
      <c r="F702" s="44">
        <v>42291.360081018516</v>
      </c>
      <c r="G702" s="40" t="s">
        <v>1019</v>
      </c>
      <c r="H702" s="40" t="s">
        <v>1106</v>
      </c>
      <c r="I702" s="45">
        <v>66632</v>
      </c>
    </row>
    <row r="703" spans="5:9" x14ac:dyDescent="0.3">
      <c r="E703" s="43" t="s">
        <v>704</v>
      </c>
      <c r="F703" s="44">
        <v>42111.198206018518</v>
      </c>
      <c r="G703" s="40" t="s">
        <v>1027</v>
      </c>
      <c r="H703" s="40" t="s">
        <v>1107</v>
      </c>
      <c r="I703" s="45">
        <v>94428</v>
      </c>
    </row>
    <row r="704" spans="5:9" x14ac:dyDescent="0.3">
      <c r="E704" s="43" t="s">
        <v>705</v>
      </c>
      <c r="F704" s="44">
        <v>42115.610300925924</v>
      </c>
      <c r="G704" s="40" t="s">
        <v>1060</v>
      </c>
      <c r="H704" s="40" t="s">
        <v>1108</v>
      </c>
      <c r="I704" s="45">
        <v>1509</v>
      </c>
    </row>
    <row r="705" spans="5:9" x14ac:dyDescent="0.3">
      <c r="E705" s="43" t="s">
        <v>706</v>
      </c>
      <c r="F705" s="44">
        <v>42095.967002314814</v>
      </c>
      <c r="G705" s="40" t="s">
        <v>1061</v>
      </c>
      <c r="H705" s="40" t="s">
        <v>1109</v>
      </c>
      <c r="I705" s="45">
        <v>47442</v>
      </c>
    </row>
    <row r="706" spans="5:9" x14ac:dyDescent="0.3">
      <c r="E706" s="43" t="s">
        <v>707</v>
      </c>
      <c r="F706" s="44">
        <v>42060.614537037036</v>
      </c>
      <c r="G706" s="40" t="s">
        <v>1062</v>
      </c>
      <c r="H706" s="40" t="s">
        <v>1110</v>
      </c>
      <c r="I706" s="45">
        <v>19548</v>
      </c>
    </row>
    <row r="707" spans="5:9" x14ac:dyDescent="0.3">
      <c r="E707" s="43" t="s">
        <v>708</v>
      </c>
      <c r="F707" s="44">
        <v>42116.289641203701</v>
      </c>
      <c r="G707" s="40" t="s">
        <v>1063</v>
      </c>
      <c r="H707" s="40" t="s">
        <v>1111</v>
      </c>
      <c r="I707" s="45">
        <v>61462</v>
      </c>
    </row>
    <row r="708" spans="5:9" x14ac:dyDescent="0.3">
      <c r="E708" s="43" t="s">
        <v>709</v>
      </c>
      <c r="F708" s="44">
        <v>42106.467106481483</v>
      </c>
      <c r="G708" s="40" t="s">
        <v>1064</v>
      </c>
      <c r="H708" s="40" t="s">
        <v>1112</v>
      </c>
      <c r="I708" s="45">
        <v>55373</v>
      </c>
    </row>
    <row r="709" spans="5:9" x14ac:dyDescent="0.3">
      <c r="E709" s="43" t="s">
        <v>710</v>
      </c>
      <c r="F709" s="44">
        <v>42088.185636574075</v>
      </c>
      <c r="G709" s="40" t="s">
        <v>1065</v>
      </c>
      <c r="H709" s="40" t="s">
        <v>1113</v>
      </c>
      <c r="I709" s="45">
        <v>24444</v>
      </c>
    </row>
    <row r="710" spans="5:9" x14ac:dyDescent="0.3">
      <c r="E710" s="43" t="s">
        <v>711</v>
      </c>
      <c r="F710" s="44">
        <v>42328.500613425924</v>
      </c>
      <c r="G710" s="40" t="s">
        <v>1066</v>
      </c>
      <c r="H710" s="40" t="s">
        <v>1114</v>
      </c>
      <c r="I710" s="45">
        <v>96145</v>
      </c>
    </row>
    <row r="711" spans="5:9" x14ac:dyDescent="0.3">
      <c r="E711" s="43" t="s">
        <v>712</v>
      </c>
      <c r="F711" s="44">
        <v>42089.465127314812</v>
      </c>
      <c r="G711" s="40" t="s">
        <v>1010</v>
      </c>
      <c r="H711" s="40" t="s">
        <v>1083</v>
      </c>
      <c r="I711" s="45">
        <v>85844</v>
      </c>
    </row>
    <row r="712" spans="5:9" x14ac:dyDescent="0.3">
      <c r="E712" s="43" t="s">
        <v>713</v>
      </c>
      <c r="F712" s="44">
        <v>42015.06355324074</v>
      </c>
      <c r="G712" s="40" t="s">
        <v>1018</v>
      </c>
      <c r="H712" s="40" t="s">
        <v>1085</v>
      </c>
      <c r="I712" s="45">
        <v>13803</v>
      </c>
    </row>
    <row r="713" spans="5:9" x14ac:dyDescent="0.3">
      <c r="E713" s="43" t="s">
        <v>714</v>
      </c>
      <c r="F713" s="44">
        <v>42074.501516203702</v>
      </c>
      <c r="G713" s="40" t="s">
        <v>1026</v>
      </c>
      <c r="H713" s="40" t="s">
        <v>1083</v>
      </c>
      <c r="I713" s="45">
        <v>90513</v>
      </c>
    </row>
    <row r="714" spans="5:9" x14ac:dyDescent="0.3">
      <c r="E714" s="43" t="s">
        <v>715</v>
      </c>
      <c r="F714" s="44">
        <v>42031.904641203706</v>
      </c>
      <c r="G714" s="40" t="s">
        <v>1067</v>
      </c>
      <c r="H714" s="40" t="s">
        <v>1086</v>
      </c>
      <c r="I714" s="45">
        <v>62829</v>
      </c>
    </row>
    <row r="715" spans="5:9" x14ac:dyDescent="0.3">
      <c r="E715" s="43" t="s">
        <v>716</v>
      </c>
      <c r="F715" s="44">
        <v>42078.370150462964</v>
      </c>
      <c r="G715" s="40" t="s">
        <v>1068</v>
      </c>
      <c r="H715" s="40" t="s">
        <v>1087</v>
      </c>
      <c r="I715" s="45">
        <v>25551</v>
      </c>
    </row>
    <row r="716" spans="5:9" x14ac:dyDescent="0.3">
      <c r="E716" s="43" t="s">
        <v>717</v>
      </c>
      <c r="F716" s="44">
        <v>42125.607546296298</v>
      </c>
      <c r="G716" s="40" t="s">
        <v>1069</v>
      </c>
      <c r="H716" s="40" t="s">
        <v>1088</v>
      </c>
      <c r="I716" s="45">
        <v>55389</v>
      </c>
    </row>
    <row r="717" spans="5:9" x14ac:dyDescent="0.3">
      <c r="E717" s="43" t="s">
        <v>718</v>
      </c>
      <c r="F717" s="44">
        <v>42063.362719907411</v>
      </c>
      <c r="G717" s="40" t="s">
        <v>1070</v>
      </c>
      <c r="H717" s="40" t="s">
        <v>1089</v>
      </c>
      <c r="I717" s="45">
        <v>76046</v>
      </c>
    </row>
    <row r="718" spans="5:9" x14ac:dyDescent="0.3">
      <c r="E718" s="43" t="s">
        <v>719</v>
      </c>
      <c r="F718" s="44">
        <v>42257.193333333336</v>
      </c>
      <c r="G718" s="40" t="s">
        <v>1071</v>
      </c>
      <c r="H718" s="40" t="s">
        <v>1090</v>
      </c>
      <c r="I718" s="45">
        <v>45449</v>
      </c>
    </row>
    <row r="719" spans="5:9" x14ac:dyDescent="0.3">
      <c r="E719" s="43" t="s">
        <v>720</v>
      </c>
      <c r="F719" s="44">
        <v>42357.969282407408</v>
      </c>
      <c r="G719" s="40" t="s">
        <v>1072</v>
      </c>
      <c r="H719" s="40" t="s">
        <v>1091</v>
      </c>
      <c r="I719" s="45">
        <v>73040</v>
      </c>
    </row>
    <row r="720" spans="5:9" x14ac:dyDescent="0.3">
      <c r="E720" s="43" t="s">
        <v>721</v>
      </c>
      <c r="F720" s="44">
        <v>42045.484479166669</v>
      </c>
      <c r="G720" s="40" t="s">
        <v>1073</v>
      </c>
      <c r="H720" s="40" t="s">
        <v>1092</v>
      </c>
      <c r="I720" s="45">
        <v>11527</v>
      </c>
    </row>
    <row r="721" spans="5:9" x14ac:dyDescent="0.3">
      <c r="E721" s="43" t="s">
        <v>722</v>
      </c>
      <c r="F721" s="44">
        <v>42155.30773148148</v>
      </c>
      <c r="G721" s="40" t="s">
        <v>1009</v>
      </c>
      <c r="H721" s="40" t="s">
        <v>1093</v>
      </c>
      <c r="I721" s="45">
        <v>16987</v>
      </c>
    </row>
    <row r="722" spans="5:9" x14ac:dyDescent="0.3">
      <c r="E722" s="43" t="s">
        <v>723</v>
      </c>
      <c r="F722" s="44">
        <v>42271.14234953704</v>
      </c>
      <c r="G722" s="40" t="s">
        <v>1017</v>
      </c>
      <c r="H722" s="40" t="s">
        <v>1094</v>
      </c>
      <c r="I722" s="45">
        <v>52896</v>
      </c>
    </row>
    <row r="723" spans="5:9" x14ac:dyDescent="0.3">
      <c r="E723" s="43" t="s">
        <v>724</v>
      </c>
      <c r="F723" s="44">
        <v>42320.591087962966</v>
      </c>
      <c r="G723" s="40" t="s">
        <v>1025</v>
      </c>
      <c r="H723" s="40" t="s">
        <v>1095</v>
      </c>
      <c r="I723" s="45">
        <v>72040</v>
      </c>
    </row>
    <row r="724" spans="5:9" x14ac:dyDescent="0.3">
      <c r="E724" s="43" t="s">
        <v>725</v>
      </c>
      <c r="F724" s="44">
        <v>42088.835173611114</v>
      </c>
      <c r="G724" s="40" t="s">
        <v>1054</v>
      </c>
      <c r="H724" s="40" t="s">
        <v>1096</v>
      </c>
      <c r="I724" s="45">
        <v>78241</v>
      </c>
    </row>
    <row r="725" spans="5:9" x14ac:dyDescent="0.3">
      <c r="E725" s="43" t="s">
        <v>726</v>
      </c>
      <c r="F725" s="44">
        <v>42343.361527777779</v>
      </c>
      <c r="G725" s="40" t="s">
        <v>1055</v>
      </c>
      <c r="H725" s="40" t="s">
        <v>1097</v>
      </c>
      <c r="I725" s="45">
        <v>41270</v>
      </c>
    </row>
    <row r="726" spans="5:9" x14ac:dyDescent="0.3">
      <c r="E726" s="43" t="s">
        <v>727</v>
      </c>
      <c r="F726" s="44">
        <v>42170.055520833332</v>
      </c>
      <c r="G726" s="40" t="s">
        <v>1056</v>
      </c>
      <c r="H726" s="40" t="s">
        <v>1098</v>
      </c>
      <c r="I726" s="45">
        <v>72113</v>
      </c>
    </row>
    <row r="727" spans="5:9" x14ac:dyDescent="0.3">
      <c r="E727" s="43" t="s">
        <v>728</v>
      </c>
      <c r="F727" s="44">
        <v>42310.170254629629</v>
      </c>
      <c r="G727" s="40" t="s">
        <v>1057</v>
      </c>
      <c r="H727" s="40" t="s">
        <v>1099</v>
      </c>
      <c r="I727" s="45">
        <v>74716</v>
      </c>
    </row>
    <row r="728" spans="5:9" x14ac:dyDescent="0.3">
      <c r="E728" s="43" t="s">
        <v>729</v>
      </c>
      <c r="F728" s="44">
        <v>42352.953923611109</v>
      </c>
      <c r="G728" s="40" t="s">
        <v>1058</v>
      </c>
      <c r="H728" s="40" t="s">
        <v>1100</v>
      </c>
      <c r="I728" s="45">
        <v>53889</v>
      </c>
    </row>
    <row r="729" spans="5:9" x14ac:dyDescent="0.3">
      <c r="E729" s="43" t="s">
        <v>730</v>
      </c>
      <c r="F729" s="44">
        <v>42056.841377314813</v>
      </c>
      <c r="G729" s="40" t="s">
        <v>1059</v>
      </c>
      <c r="H729" s="40" t="s">
        <v>1101</v>
      </c>
      <c r="I729" s="45">
        <v>1277</v>
      </c>
    </row>
    <row r="730" spans="5:9" x14ac:dyDescent="0.3">
      <c r="E730" s="43" t="s">
        <v>731</v>
      </c>
      <c r="F730" s="44">
        <v>42015.226886574077</v>
      </c>
      <c r="G730" s="40" t="s">
        <v>1011</v>
      </c>
      <c r="H730" s="40" t="s">
        <v>1102</v>
      </c>
      <c r="I730" s="45">
        <v>39395</v>
      </c>
    </row>
    <row r="731" spans="5:9" x14ac:dyDescent="0.3">
      <c r="E731" s="43" t="s">
        <v>732</v>
      </c>
      <c r="F731" s="44">
        <v>42365.226747685185</v>
      </c>
      <c r="G731" s="40" t="s">
        <v>1019</v>
      </c>
      <c r="H731" s="40" t="s">
        <v>1103</v>
      </c>
      <c r="I731" s="45">
        <v>67947</v>
      </c>
    </row>
    <row r="732" spans="5:9" x14ac:dyDescent="0.3">
      <c r="E732" s="43" t="s">
        <v>733</v>
      </c>
      <c r="F732" s="44">
        <v>42044.944363425922</v>
      </c>
      <c r="G732" s="40" t="s">
        <v>1027</v>
      </c>
      <c r="H732" s="40" t="s">
        <v>1104</v>
      </c>
      <c r="I732" s="45">
        <v>59107</v>
      </c>
    </row>
    <row r="733" spans="5:9" x14ac:dyDescent="0.3">
      <c r="E733" s="43" t="s">
        <v>734</v>
      </c>
      <c r="F733" s="44">
        <v>42086.086261574077</v>
      </c>
      <c r="G733" s="40" t="s">
        <v>1060</v>
      </c>
      <c r="H733" s="40" t="s">
        <v>1105</v>
      </c>
      <c r="I733" s="45">
        <v>39266</v>
      </c>
    </row>
    <row r="734" spans="5:9" x14ac:dyDescent="0.3">
      <c r="E734" s="43" t="s">
        <v>735</v>
      </c>
      <c r="F734" s="44">
        <v>42210.409861111111</v>
      </c>
      <c r="G734" s="40" t="s">
        <v>1061</v>
      </c>
      <c r="H734" s="40" t="s">
        <v>1106</v>
      </c>
      <c r="I734" s="45">
        <v>42908</v>
      </c>
    </row>
    <row r="735" spans="5:9" x14ac:dyDescent="0.3">
      <c r="E735" s="43" t="s">
        <v>736</v>
      </c>
      <c r="F735" s="44">
        <v>42245.914872685185</v>
      </c>
      <c r="G735" s="40" t="s">
        <v>1062</v>
      </c>
      <c r="H735" s="40" t="s">
        <v>1107</v>
      </c>
      <c r="I735" s="45">
        <v>12395</v>
      </c>
    </row>
    <row r="736" spans="5:9" x14ac:dyDescent="0.3">
      <c r="E736" s="43" t="s">
        <v>737</v>
      </c>
      <c r="F736" s="44">
        <v>42162.549189814818</v>
      </c>
      <c r="G736" s="40" t="s">
        <v>1063</v>
      </c>
      <c r="H736" s="40" t="s">
        <v>1108</v>
      </c>
      <c r="I736" s="45">
        <v>2030</v>
      </c>
    </row>
    <row r="737" spans="5:9" x14ac:dyDescent="0.3">
      <c r="E737" s="43" t="s">
        <v>738</v>
      </c>
      <c r="F737" s="44">
        <v>42274.227847222224</v>
      </c>
      <c r="G737" s="40" t="s">
        <v>1064</v>
      </c>
      <c r="H737" s="40" t="s">
        <v>1109</v>
      </c>
      <c r="I737" s="45">
        <v>62426</v>
      </c>
    </row>
    <row r="738" spans="5:9" x14ac:dyDescent="0.3">
      <c r="E738" s="43" t="s">
        <v>739</v>
      </c>
      <c r="F738" s="44">
        <v>42048.11136574074</v>
      </c>
      <c r="G738" s="40" t="s">
        <v>1065</v>
      </c>
      <c r="H738" s="40" t="s">
        <v>1110</v>
      </c>
      <c r="I738" s="45">
        <v>6242</v>
      </c>
    </row>
    <row r="739" spans="5:9" x14ac:dyDescent="0.3">
      <c r="E739" s="43" t="s">
        <v>740</v>
      </c>
      <c r="F739" s="44">
        <v>42162.820706018516</v>
      </c>
      <c r="G739" s="40" t="s">
        <v>1066</v>
      </c>
      <c r="H739" s="40" t="s">
        <v>1111</v>
      </c>
      <c r="I739" s="45">
        <v>24509</v>
      </c>
    </row>
    <row r="740" spans="5:9" x14ac:dyDescent="0.3">
      <c r="E740" s="43" t="s">
        <v>741</v>
      </c>
      <c r="F740" s="44">
        <v>42125.198460648149</v>
      </c>
      <c r="G740" s="40" t="s">
        <v>1010</v>
      </c>
      <c r="H740" s="40" t="s">
        <v>1112</v>
      </c>
      <c r="I740" s="45">
        <v>10383</v>
      </c>
    </row>
    <row r="741" spans="5:9" x14ac:dyDescent="0.3">
      <c r="E741" s="43" t="s">
        <v>742</v>
      </c>
      <c r="F741" s="44">
        <v>42358.558506944442</v>
      </c>
      <c r="G741" s="40" t="s">
        <v>1018</v>
      </c>
      <c r="H741" s="40" t="s">
        <v>1113</v>
      </c>
      <c r="I741" s="45">
        <v>58923</v>
      </c>
    </row>
    <row r="742" spans="5:9" x14ac:dyDescent="0.3">
      <c r="E742" s="43" t="s">
        <v>743</v>
      </c>
      <c r="F742" s="44">
        <v>42018.435162037036</v>
      </c>
      <c r="G742" s="40" t="s">
        <v>1026</v>
      </c>
      <c r="H742" s="40" t="s">
        <v>1114</v>
      </c>
      <c r="I742" s="45">
        <v>33228</v>
      </c>
    </row>
    <row r="743" spans="5:9" x14ac:dyDescent="0.3">
      <c r="E743" s="43" t="s">
        <v>744</v>
      </c>
      <c r="F743" s="44">
        <v>42165.122175925928</v>
      </c>
      <c r="G743" s="40" t="s">
        <v>1067</v>
      </c>
      <c r="H743" s="40" t="s">
        <v>1083</v>
      </c>
      <c r="I743" s="45">
        <v>13151</v>
      </c>
    </row>
    <row r="744" spans="5:9" x14ac:dyDescent="0.3">
      <c r="E744" s="43" t="s">
        <v>745</v>
      </c>
      <c r="F744" s="44">
        <v>42136.105254629627</v>
      </c>
      <c r="G744" s="40" t="s">
        <v>1068</v>
      </c>
      <c r="H744" s="40" t="s">
        <v>1085</v>
      </c>
      <c r="I744" s="45">
        <v>66698</v>
      </c>
    </row>
    <row r="745" spans="5:9" x14ac:dyDescent="0.3">
      <c r="E745" s="43" t="s">
        <v>746</v>
      </c>
      <c r="F745" s="44">
        <v>42114.177395833336</v>
      </c>
      <c r="G745" s="40" t="s">
        <v>1069</v>
      </c>
      <c r="H745" s="40" t="s">
        <v>1083</v>
      </c>
      <c r="I745" s="45">
        <v>81841</v>
      </c>
    </row>
    <row r="746" spans="5:9" x14ac:dyDescent="0.3">
      <c r="E746" s="43" t="s">
        <v>747</v>
      </c>
      <c r="F746" s="44">
        <v>42303.955810185187</v>
      </c>
      <c r="G746" s="40" t="s">
        <v>1070</v>
      </c>
      <c r="H746" s="40" t="s">
        <v>1086</v>
      </c>
      <c r="I746" s="45">
        <v>78053</v>
      </c>
    </row>
    <row r="747" spans="5:9" x14ac:dyDescent="0.3">
      <c r="E747" s="43" t="s">
        <v>748</v>
      </c>
      <c r="F747" s="44">
        <v>42049.528715277775</v>
      </c>
      <c r="G747" s="40" t="s">
        <v>1071</v>
      </c>
      <c r="H747" s="40" t="s">
        <v>1087</v>
      </c>
      <c r="I747" s="45">
        <v>64539</v>
      </c>
    </row>
    <row r="748" spans="5:9" x14ac:dyDescent="0.3">
      <c r="E748" s="43" t="s">
        <v>749</v>
      </c>
      <c r="F748" s="44">
        <v>42046.238171296296</v>
      </c>
      <c r="G748" s="40" t="s">
        <v>1072</v>
      </c>
      <c r="H748" s="40" t="s">
        <v>1088</v>
      </c>
      <c r="I748" s="45">
        <v>20297</v>
      </c>
    </row>
    <row r="749" spans="5:9" x14ac:dyDescent="0.3">
      <c r="E749" s="43" t="s">
        <v>750</v>
      </c>
      <c r="F749" s="44">
        <v>42229.301238425927</v>
      </c>
      <c r="G749" s="40" t="s">
        <v>1073</v>
      </c>
      <c r="H749" s="40" t="s">
        <v>1089</v>
      </c>
      <c r="I749" s="45">
        <v>42404</v>
      </c>
    </row>
    <row r="750" spans="5:9" x14ac:dyDescent="0.3">
      <c r="E750" s="43" t="s">
        <v>751</v>
      </c>
      <c r="F750" s="44">
        <v>42280.969525462962</v>
      </c>
      <c r="G750" s="40" t="s">
        <v>1009</v>
      </c>
      <c r="H750" s="40" t="s">
        <v>1090</v>
      </c>
      <c r="I750" s="45">
        <v>3957</v>
      </c>
    </row>
    <row r="751" spans="5:9" x14ac:dyDescent="0.3">
      <c r="E751" s="43" t="s">
        <v>752</v>
      </c>
      <c r="F751" s="44">
        <v>42029.842349537037</v>
      </c>
      <c r="G751" s="40" t="s">
        <v>1017</v>
      </c>
      <c r="H751" s="40" t="s">
        <v>1091</v>
      </c>
      <c r="I751" s="45">
        <v>24530</v>
      </c>
    </row>
    <row r="752" spans="5:9" x14ac:dyDescent="0.3">
      <c r="E752" s="43" t="s">
        <v>753</v>
      </c>
      <c r="F752" s="44">
        <v>42363.836261574077</v>
      </c>
      <c r="G752" s="40" t="s">
        <v>1025</v>
      </c>
      <c r="H752" s="40" t="s">
        <v>1092</v>
      </c>
      <c r="I752" s="45">
        <v>65361</v>
      </c>
    </row>
    <row r="753" spans="5:9" x14ac:dyDescent="0.3">
      <c r="E753" s="43" t="s">
        <v>754</v>
      </c>
      <c r="F753" s="44">
        <v>42052.071550925924</v>
      </c>
      <c r="G753" s="40" t="s">
        <v>1054</v>
      </c>
      <c r="H753" s="40" t="s">
        <v>1093</v>
      </c>
      <c r="I753" s="45">
        <v>36917</v>
      </c>
    </row>
    <row r="754" spans="5:9" x14ac:dyDescent="0.3">
      <c r="E754" s="43" t="s">
        <v>755</v>
      </c>
      <c r="F754" s="44">
        <v>42316.61613425926</v>
      </c>
      <c r="G754" s="40" t="s">
        <v>1055</v>
      </c>
      <c r="H754" s="40" t="s">
        <v>1094</v>
      </c>
      <c r="I754" s="45">
        <v>96831</v>
      </c>
    </row>
    <row r="755" spans="5:9" x14ac:dyDescent="0.3">
      <c r="E755" s="43" t="s">
        <v>756</v>
      </c>
      <c r="F755" s="44">
        <v>42104.872199074074</v>
      </c>
      <c r="G755" s="40" t="s">
        <v>1056</v>
      </c>
      <c r="H755" s="40" t="s">
        <v>1095</v>
      </c>
      <c r="I755" s="45">
        <v>10425</v>
      </c>
    </row>
    <row r="756" spans="5:9" x14ac:dyDescent="0.3">
      <c r="E756" s="43" t="s">
        <v>757</v>
      </c>
      <c r="F756" s="44">
        <v>42060.569097222222</v>
      </c>
      <c r="G756" s="40" t="s">
        <v>1057</v>
      </c>
      <c r="H756" s="40" t="s">
        <v>1096</v>
      </c>
      <c r="I756" s="45">
        <v>73906</v>
      </c>
    </row>
    <row r="757" spans="5:9" x14ac:dyDescent="0.3">
      <c r="E757" s="43" t="s">
        <v>758</v>
      </c>
      <c r="F757" s="44">
        <v>42011.844039351854</v>
      </c>
      <c r="G757" s="40" t="s">
        <v>1058</v>
      </c>
      <c r="H757" s="40" t="s">
        <v>1097</v>
      </c>
      <c r="I757" s="45">
        <v>46258</v>
      </c>
    </row>
    <row r="758" spans="5:9" x14ac:dyDescent="0.3">
      <c r="E758" s="43" t="s">
        <v>759</v>
      </c>
      <c r="F758" s="44">
        <v>42157.871724537035</v>
      </c>
      <c r="G758" s="40" t="s">
        <v>1059</v>
      </c>
      <c r="H758" s="40" t="s">
        <v>1098</v>
      </c>
      <c r="I758" s="45">
        <v>93053</v>
      </c>
    </row>
    <row r="759" spans="5:9" x14ac:dyDescent="0.3">
      <c r="E759" s="43" t="s">
        <v>760</v>
      </c>
      <c r="F759" s="44">
        <v>42298.751712962963</v>
      </c>
      <c r="G759" s="40" t="s">
        <v>1011</v>
      </c>
      <c r="H759" s="40" t="s">
        <v>1099</v>
      </c>
      <c r="I759" s="45">
        <v>95280</v>
      </c>
    </row>
    <row r="760" spans="5:9" x14ac:dyDescent="0.3">
      <c r="E760" s="43" t="s">
        <v>761</v>
      </c>
      <c r="F760" s="44">
        <v>42245.78869212963</v>
      </c>
      <c r="G760" s="40" t="s">
        <v>1019</v>
      </c>
      <c r="H760" s="40" t="s">
        <v>1100</v>
      </c>
      <c r="I760" s="45">
        <v>60599</v>
      </c>
    </row>
    <row r="761" spans="5:9" x14ac:dyDescent="0.3">
      <c r="E761" s="43" t="s">
        <v>762</v>
      </c>
      <c r="F761" s="44">
        <v>42221.359178240738</v>
      </c>
      <c r="G761" s="40" t="s">
        <v>1027</v>
      </c>
      <c r="H761" s="40" t="s">
        <v>1101</v>
      </c>
      <c r="I761" s="45">
        <v>55611</v>
      </c>
    </row>
    <row r="762" spans="5:9" x14ac:dyDescent="0.3">
      <c r="E762" s="43" t="s">
        <v>763</v>
      </c>
      <c r="F762" s="44">
        <v>42007.679594907408</v>
      </c>
      <c r="G762" s="40" t="s">
        <v>1060</v>
      </c>
      <c r="H762" s="40" t="s">
        <v>1102</v>
      </c>
      <c r="I762" s="45">
        <v>3268</v>
      </c>
    </row>
    <row r="763" spans="5:9" x14ac:dyDescent="0.3">
      <c r="E763" s="43" t="s">
        <v>764</v>
      </c>
      <c r="F763" s="44">
        <v>42187.260405092595</v>
      </c>
      <c r="G763" s="40" t="s">
        <v>1061</v>
      </c>
      <c r="H763" s="40" t="s">
        <v>1103</v>
      </c>
      <c r="I763" s="45">
        <v>33276</v>
      </c>
    </row>
    <row r="764" spans="5:9" x14ac:dyDescent="0.3">
      <c r="E764" s="43" t="s">
        <v>765</v>
      </c>
      <c r="F764" s="44">
        <v>42043.164618055554</v>
      </c>
      <c r="G764" s="40" t="s">
        <v>1062</v>
      </c>
      <c r="H764" s="40" t="s">
        <v>1104</v>
      </c>
      <c r="I764" s="45">
        <v>76282</v>
      </c>
    </row>
    <row r="765" spans="5:9" x14ac:dyDescent="0.3">
      <c r="E765" s="43" t="s">
        <v>766</v>
      </c>
      <c r="F765" s="44">
        <v>42176.354398148149</v>
      </c>
      <c r="G765" s="40" t="s">
        <v>1063</v>
      </c>
      <c r="H765" s="40" t="s">
        <v>1105</v>
      </c>
      <c r="I765" s="45">
        <v>16929</v>
      </c>
    </row>
    <row r="766" spans="5:9" x14ac:dyDescent="0.3">
      <c r="E766" s="43" t="s">
        <v>767</v>
      </c>
      <c r="F766" s="44">
        <v>42164.732731481483</v>
      </c>
      <c r="G766" s="40" t="s">
        <v>1064</v>
      </c>
      <c r="H766" s="40" t="s">
        <v>1106</v>
      </c>
      <c r="I766" s="45">
        <v>31647</v>
      </c>
    </row>
    <row r="767" spans="5:9" x14ac:dyDescent="0.3">
      <c r="E767" s="43" t="s">
        <v>768</v>
      </c>
      <c r="F767" s="44">
        <v>42074.953009259261</v>
      </c>
      <c r="G767" s="40" t="s">
        <v>1065</v>
      </c>
      <c r="H767" s="40" t="s">
        <v>1107</v>
      </c>
      <c r="I767" s="45">
        <v>33922</v>
      </c>
    </row>
    <row r="768" spans="5:9" x14ac:dyDescent="0.3">
      <c r="E768" s="43" t="s">
        <v>769</v>
      </c>
      <c r="F768" s="44">
        <v>42217.288414351853</v>
      </c>
      <c r="G768" s="40" t="s">
        <v>1066</v>
      </c>
      <c r="H768" s="40" t="s">
        <v>1108</v>
      </c>
      <c r="I768" s="45">
        <v>46489</v>
      </c>
    </row>
    <row r="769" spans="5:9" x14ac:dyDescent="0.3">
      <c r="E769" s="43" t="s">
        <v>770</v>
      </c>
      <c r="F769" s="44">
        <v>42098.312858796293</v>
      </c>
      <c r="G769" s="40" t="s">
        <v>1010</v>
      </c>
      <c r="H769" s="40" t="s">
        <v>1109</v>
      </c>
      <c r="I769" s="45">
        <v>53681</v>
      </c>
    </row>
    <row r="770" spans="5:9" x14ac:dyDescent="0.3">
      <c r="E770" s="43" t="s">
        <v>771</v>
      </c>
      <c r="F770" s="44">
        <v>42162.851388888892</v>
      </c>
      <c r="G770" s="40" t="s">
        <v>1018</v>
      </c>
      <c r="H770" s="40" t="s">
        <v>1110</v>
      </c>
      <c r="I770" s="45">
        <v>88936</v>
      </c>
    </row>
    <row r="771" spans="5:9" x14ac:dyDescent="0.3">
      <c r="E771" s="43" t="s">
        <v>772</v>
      </c>
      <c r="F771" s="44">
        <v>42180.223414351851</v>
      </c>
      <c r="G771" s="40" t="s">
        <v>1026</v>
      </c>
      <c r="H771" s="40" t="s">
        <v>1111</v>
      </c>
      <c r="I771" s="45">
        <v>42542</v>
      </c>
    </row>
    <row r="772" spans="5:9" x14ac:dyDescent="0.3">
      <c r="E772" s="43" t="s">
        <v>773</v>
      </c>
      <c r="F772" s="44">
        <v>42128.069849537038</v>
      </c>
      <c r="G772" s="40" t="s">
        <v>1067</v>
      </c>
      <c r="H772" s="40" t="s">
        <v>1112</v>
      </c>
      <c r="I772" s="45">
        <v>89515</v>
      </c>
    </row>
    <row r="773" spans="5:9" x14ac:dyDescent="0.3">
      <c r="E773" s="43" t="s">
        <v>774</v>
      </c>
      <c r="F773" s="44">
        <v>42197.235567129632</v>
      </c>
      <c r="G773" s="40" t="s">
        <v>1068</v>
      </c>
      <c r="H773" s="40" t="s">
        <v>1113</v>
      </c>
      <c r="I773" s="45">
        <v>23582</v>
      </c>
    </row>
    <row r="774" spans="5:9" x14ac:dyDescent="0.3">
      <c r="E774" s="43" t="s">
        <v>775</v>
      </c>
      <c r="F774" s="44">
        <v>42223.444895833331</v>
      </c>
      <c r="G774" s="40" t="s">
        <v>1069</v>
      </c>
      <c r="H774" s="40" t="s">
        <v>1114</v>
      </c>
      <c r="I774" s="45">
        <v>42306</v>
      </c>
    </row>
    <row r="775" spans="5:9" x14ac:dyDescent="0.3">
      <c r="E775" s="43" t="s">
        <v>776</v>
      </c>
      <c r="F775" s="44">
        <v>42044.558194444442</v>
      </c>
      <c r="G775" s="40" t="s">
        <v>1070</v>
      </c>
      <c r="H775" s="40" t="s">
        <v>1083</v>
      </c>
      <c r="I775" s="45">
        <v>8351</v>
      </c>
    </row>
    <row r="776" spans="5:9" x14ac:dyDescent="0.3">
      <c r="E776" s="43" t="s">
        <v>777</v>
      </c>
      <c r="F776" s="44">
        <v>42159.476180555554</v>
      </c>
      <c r="G776" s="40" t="s">
        <v>1071</v>
      </c>
      <c r="H776" s="40" t="s">
        <v>1085</v>
      </c>
      <c r="I776" s="45">
        <v>38440</v>
      </c>
    </row>
    <row r="777" spans="5:9" x14ac:dyDescent="0.3">
      <c r="E777" s="43" t="s">
        <v>778</v>
      </c>
      <c r="F777" s="44">
        <v>42215.281377314815</v>
      </c>
      <c r="G777" s="40" t="s">
        <v>1072</v>
      </c>
      <c r="H777" s="40" t="s">
        <v>1083</v>
      </c>
      <c r="I777" s="45">
        <v>23218</v>
      </c>
    </row>
    <row r="778" spans="5:9" x14ac:dyDescent="0.3">
      <c r="E778" s="43" t="s">
        <v>779</v>
      </c>
      <c r="F778" s="44">
        <v>42323.824525462966</v>
      </c>
      <c r="G778" s="40" t="s">
        <v>1073</v>
      </c>
      <c r="H778" s="40" t="s">
        <v>1086</v>
      </c>
      <c r="I778" s="45">
        <v>28076</v>
      </c>
    </row>
    <row r="779" spans="5:9" x14ac:dyDescent="0.3">
      <c r="E779" s="43" t="s">
        <v>780</v>
      </c>
      <c r="F779" s="44">
        <v>42215.236076388886</v>
      </c>
      <c r="G779" s="40" t="s">
        <v>1009</v>
      </c>
      <c r="H779" s="40" t="s">
        <v>1087</v>
      </c>
      <c r="I779" s="45">
        <v>63029</v>
      </c>
    </row>
    <row r="780" spans="5:9" x14ac:dyDescent="0.3">
      <c r="E780" s="43" t="s">
        <v>781</v>
      </c>
      <c r="F780" s="44">
        <v>42157.152083333334</v>
      </c>
      <c r="G780" s="40" t="s">
        <v>1017</v>
      </c>
      <c r="H780" s="40" t="s">
        <v>1088</v>
      </c>
      <c r="I780" s="45">
        <v>4199</v>
      </c>
    </row>
    <row r="781" spans="5:9" x14ac:dyDescent="0.3">
      <c r="E781" s="43" t="s">
        <v>782</v>
      </c>
      <c r="F781" s="44">
        <v>42124.643437500003</v>
      </c>
      <c r="G781" s="40" t="s">
        <v>1054</v>
      </c>
      <c r="H781" s="40" t="s">
        <v>1089</v>
      </c>
      <c r="I781" s="45">
        <v>76365</v>
      </c>
    </row>
    <row r="782" spans="5:9" x14ac:dyDescent="0.3">
      <c r="E782" s="43" t="s">
        <v>783</v>
      </c>
      <c r="F782" s="44">
        <v>42235.810914351852</v>
      </c>
      <c r="G782" s="40" t="s">
        <v>1055</v>
      </c>
      <c r="H782" s="40" t="s">
        <v>1090</v>
      </c>
      <c r="I782" s="45">
        <v>79285</v>
      </c>
    </row>
    <row r="783" spans="5:9" x14ac:dyDescent="0.3">
      <c r="E783" s="43" t="s">
        <v>784</v>
      </c>
      <c r="F783" s="44">
        <v>42187.786180555559</v>
      </c>
      <c r="G783" s="40" t="s">
        <v>1056</v>
      </c>
      <c r="H783" s="40" t="s">
        <v>1091</v>
      </c>
      <c r="I783" s="45">
        <v>80870</v>
      </c>
    </row>
    <row r="784" spans="5:9" x14ac:dyDescent="0.3">
      <c r="E784" s="43" t="s">
        <v>785</v>
      </c>
      <c r="F784" s="44">
        <v>42170.822094907409</v>
      </c>
      <c r="G784" s="40" t="s">
        <v>1057</v>
      </c>
      <c r="H784" s="40" t="s">
        <v>1092</v>
      </c>
      <c r="I784" s="45">
        <v>1035</v>
      </c>
    </row>
    <row r="785" spans="5:9" x14ac:dyDescent="0.3">
      <c r="E785" s="43" t="s">
        <v>786</v>
      </c>
      <c r="F785" s="44">
        <v>42318.292268518519</v>
      </c>
      <c r="G785" s="40" t="s">
        <v>1058</v>
      </c>
      <c r="H785" s="40" t="s">
        <v>1093</v>
      </c>
      <c r="I785" s="45">
        <v>77173</v>
      </c>
    </row>
    <row r="786" spans="5:9" x14ac:dyDescent="0.3">
      <c r="E786" s="43" t="s">
        <v>787</v>
      </c>
      <c r="F786" s="44">
        <v>42025.169027777774</v>
      </c>
      <c r="G786" s="40" t="s">
        <v>1059</v>
      </c>
      <c r="H786" s="40" t="s">
        <v>1094</v>
      </c>
      <c r="I786" s="45">
        <v>30830</v>
      </c>
    </row>
    <row r="787" spans="5:9" x14ac:dyDescent="0.3">
      <c r="E787" s="43" t="s">
        <v>788</v>
      </c>
      <c r="F787" s="44">
        <v>42120.292013888888</v>
      </c>
      <c r="G787" s="40" t="s">
        <v>1011</v>
      </c>
      <c r="H787" s="40" t="s">
        <v>1095</v>
      </c>
      <c r="I787" s="45">
        <v>46415</v>
      </c>
    </row>
    <row r="788" spans="5:9" x14ac:dyDescent="0.3">
      <c r="E788" s="43" t="s">
        <v>789</v>
      </c>
      <c r="F788" s="44">
        <v>42199.313391203701</v>
      </c>
      <c r="G788" s="40" t="s">
        <v>1019</v>
      </c>
      <c r="H788" s="40" t="s">
        <v>1096</v>
      </c>
      <c r="I788" s="45">
        <v>57641</v>
      </c>
    </row>
    <row r="789" spans="5:9" x14ac:dyDescent="0.3">
      <c r="E789" s="43" t="s">
        <v>790</v>
      </c>
      <c r="F789" s="44">
        <v>42189.997731481482</v>
      </c>
      <c r="G789" s="40" t="s">
        <v>1027</v>
      </c>
      <c r="H789" s="40" t="s">
        <v>1097</v>
      </c>
      <c r="I789" s="45">
        <v>34258</v>
      </c>
    </row>
    <row r="790" spans="5:9" x14ac:dyDescent="0.3">
      <c r="E790" s="43" t="s">
        <v>791</v>
      </c>
      <c r="F790" s="44">
        <v>42046.753831018519</v>
      </c>
      <c r="G790" s="40" t="s">
        <v>1060</v>
      </c>
      <c r="H790" s="40" t="s">
        <v>1098</v>
      </c>
      <c r="I790" s="45">
        <v>60795</v>
      </c>
    </row>
    <row r="791" spans="5:9" x14ac:dyDescent="0.3">
      <c r="E791" s="43" t="s">
        <v>792</v>
      </c>
      <c r="F791" s="44">
        <v>42259.756215277775</v>
      </c>
      <c r="G791" s="40" t="s">
        <v>1061</v>
      </c>
      <c r="H791" s="40" t="s">
        <v>1099</v>
      </c>
      <c r="I791" s="45">
        <v>73455</v>
      </c>
    </row>
    <row r="792" spans="5:9" x14ac:dyDescent="0.3">
      <c r="E792" s="43" t="s">
        <v>793</v>
      </c>
      <c r="F792" s="44">
        <v>42025.324467592596</v>
      </c>
      <c r="G792" s="40" t="s">
        <v>1062</v>
      </c>
      <c r="H792" s="40" t="s">
        <v>1100</v>
      </c>
      <c r="I792" s="45">
        <v>39810</v>
      </c>
    </row>
    <row r="793" spans="5:9" x14ac:dyDescent="0.3">
      <c r="E793" s="43" t="s">
        <v>794</v>
      </c>
      <c r="F793" s="44">
        <v>42274.999618055554</v>
      </c>
      <c r="G793" s="40" t="s">
        <v>1063</v>
      </c>
      <c r="H793" s="40" t="s">
        <v>1101</v>
      </c>
      <c r="I793" s="45">
        <v>74954</v>
      </c>
    </row>
    <row r="794" spans="5:9" x14ac:dyDescent="0.3">
      <c r="E794" s="43" t="s">
        <v>795</v>
      </c>
      <c r="F794" s="44">
        <v>42322.271319444444</v>
      </c>
      <c r="G794" s="40" t="s">
        <v>1064</v>
      </c>
      <c r="H794" s="40" t="s">
        <v>1102</v>
      </c>
      <c r="I794" s="45">
        <v>4300</v>
      </c>
    </row>
    <row r="795" spans="5:9" x14ac:dyDescent="0.3">
      <c r="E795" s="43" t="s">
        <v>796</v>
      </c>
      <c r="F795" s="44">
        <v>42157.507951388892</v>
      </c>
      <c r="G795" s="40" t="s">
        <v>1065</v>
      </c>
      <c r="H795" s="40" t="s">
        <v>1103</v>
      </c>
      <c r="I795" s="45">
        <v>90179</v>
      </c>
    </row>
    <row r="796" spans="5:9" x14ac:dyDescent="0.3">
      <c r="E796" s="43" t="s">
        <v>797</v>
      </c>
      <c r="F796" s="44">
        <v>42365.936307870368</v>
      </c>
      <c r="G796" s="40" t="s">
        <v>1066</v>
      </c>
      <c r="H796" s="40" t="s">
        <v>1104</v>
      </c>
      <c r="I796" s="45">
        <v>23821</v>
      </c>
    </row>
    <row r="797" spans="5:9" x14ac:dyDescent="0.3">
      <c r="E797" s="43" t="s">
        <v>798</v>
      </c>
      <c r="F797" s="44">
        <v>42267.297384259262</v>
      </c>
      <c r="G797" s="40" t="s">
        <v>1010</v>
      </c>
      <c r="H797" s="40" t="s">
        <v>1105</v>
      </c>
      <c r="I797" s="45">
        <v>7806</v>
      </c>
    </row>
    <row r="798" spans="5:9" x14ac:dyDescent="0.3">
      <c r="E798" s="43" t="s">
        <v>799</v>
      </c>
      <c r="F798" s="44">
        <v>42296.979768518519</v>
      </c>
      <c r="G798" s="40" t="s">
        <v>1018</v>
      </c>
      <c r="H798" s="40" t="s">
        <v>1106</v>
      </c>
      <c r="I798" s="45">
        <v>98958</v>
      </c>
    </row>
    <row r="799" spans="5:9" x14ac:dyDescent="0.3">
      <c r="E799" s="43" t="s">
        <v>800</v>
      </c>
      <c r="F799" s="44">
        <v>42363.791238425925</v>
      </c>
      <c r="G799" s="40" t="s">
        <v>1026</v>
      </c>
      <c r="H799" s="40" t="s">
        <v>1107</v>
      </c>
      <c r="I799" s="45">
        <v>77387</v>
      </c>
    </row>
    <row r="800" spans="5:9" x14ac:dyDescent="0.3">
      <c r="E800" s="43" t="s">
        <v>801</v>
      </c>
      <c r="F800" s="44">
        <v>42220.088159722225</v>
      </c>
      <c r="G800" s="40" t="s">
        <v>1067</v>
      </c>
      <c r="H800" s="40" t="s">
        <v>1108</v>
      </c>
      <c r="I800" s="45">
        <v>89222</v>
      </c>
    </row>
    <row r="801" spans="5:9" x14ac:dyDescent="0.3">
      <c r="E801" s="43" t="s">
        <v>802</v>
      </c>
      <c r="F801" s="44">
        <v>42172.314444444448</v>
      </c>
      <c r="G801" s="40" t="s">
        <v>1068</v>
      </c>
      <c r="H801" s="40" t="s">
        <v>1109</v>
      </c>
      <c r="I801" s="45">
        <v>8413</v>
      </c>
    </row>
    <row r="802" spans="5:9" x14ac:dyDescent="0.3">
      <c r="E802" s="43" t="s">
        <v>803</v>
      </c>
      <c r="F802" s="44">
        <v>42308.440613425926</v>
      </c>
      <c r="G802" s="40" t="s">
        <v>1069</v>
      </c>
      <c r="H802" s="40" t="s">
        <v>1110</v>
      </c>
      <c r="I802" s="45">
        <v>84184</v>
      </c>
    </row>
    <row r="803" spans="5:9" x14ac:dyDescent="0.3">
      <c r="E803" s="43" t="s">
        <v>804</v>
      </c>
      <c r="F803" s="44">
        <v>42158.443888888891</v>
      </c>
      <c r="G803" s="40" t="s">
        <v>1070</v>
      </c>
      <c r="H803" s="40" t="s">
        <v>1111</v>
      </c>
      <c r="I803" s="45">
        <v>27137</v>
      </c>
    </row>
    <row r="804" spans="5:9" x14ac:dyDescent="0.3">
      <c r="E804" s="43" t="s">
        <v>805</v>
      </c>
      <c r="F804" s="44">
        <v>42172.683506944442</v>
      </c>
      <c r="G804" s="40" t="s">
        <v>1071</v>
      </c>
      <c r="H804" s="40" t="s">
        <v>1112</v>
      </c>
      <c r="I804" s="45">
        <v>77099</v>
      </c>
    </row>
    <row r="805" spans="5:9" x14ac:dyDescent="0.3">
      <c r="E805" s="43" t="s">
        <v>806</v>
      </c>
      <c r="F805" s="44">
        <v>42106.326192129629</v>
      </c>
      <c r="G805" s="40" t="s">
        <v>1072</v>
      </c>
      <c r="H805" s="40" t="s">
        <v>1113</v>
      </c>
      <c r="I805" s="45">
        <v>11322</v>
      </c>
    </row>
    <row r="806" spans="5:9" x14ac:dyDescent="0.3">
      <c r="E806" s="43" t="s">
        <v>807</v>
      </c>
      <c r="F806" s="44">
        <v>42083.051053240742</v>
      </c>
      <c r="G806" s="40" t="s">
        <v>1073</v>
      </c>
      <c r="H806" s="40" t="s">
        <v>1114</v>
      </c>
      <c r="I806" s="45">
        <v>16478</v>
      </c>
    </row>
    <row r="807" spans="5:9" x14ac:dyDescent="0.3">
      <c r="E807" s="43" t="s">
        <v>808</v>
      </c>
      <c r="F807" s="44">
        <v>42246.088888888888</v>
      </c>
      <c r="G807" s="40" t="s">
        <v>1009</v>
      </c>
      <c r="H807" s="40" t="s">
        <v>1083</v>
      </c>
      <c r="I807" s="45">
        <v>2790</v>
      </c>
    </row>
    <row r="808" spans="5:9" x14ac:dyDescent="0.3">
      <c r="E808" s="43" t="s">
        <v>809</v>
      </c>
      <c r="F808" s="44">
        <v>42006.176527777781</v>
      </c>
      <c r="G808" s="40" t="s">
        <v>1017</v>
      </c>
      <c r="H808" s="40" t="s">
        <v>1085</v>
      </c>
      <c r="I808" s="45">
        <v>12477</v>
      </c>
    </row>
    <row r="809" spans="5:9" x14ac:dyDescent="0.3">
      <c r="E809" s="43" t="s">
        <v>810</v>
      </c>
      <c r="F809" s="44">
        <v>42057.996886574074</v>
      </c>
      <c r="G809" s="40" t="s">
        <v>1025</v>
      </c>
      <c r="H809" s="40" t="s">
        <v>1083</v>
      </c>
      <c r="I809" s="45">
        <v>35155</v>
      </c>
    </row>
    <row r="810" spans="5:9" x14ac:dyDescent="0.3">
      <c r="E810" s="43" t="s">
        <v>811</v>
      </c>
      <c r="F810" s="44">
        <v>42228.907199074078</v>
      </c>
      <c r="G810" s="40" t="s">
        <v>1054</v>
      </c>
      <c r="H810" s="40" t="s">
        <v>1086</v>
      </c>
      <c r="I810" s="45">
        <v>49335</v>
      </c>
    </row>
    <row r="811" spans="5:9" x14ac:dyDescent="0.3">
      <c r="E811" s="43" t="s">
        <v>812</v>
      </c>
      <c r="F811" s="44">
        <v>42355.907500000001</v>
      </c>
      <c r="G811" s="40" t="s">
        <v>1055</v>
      </c>
      <c r="H811" s="40" t="s">
        <v>1087</v>
      </c>
      <c r="I811" s="45">
        <v>12915</v>
      </c>
    </row>
    <row r="812" spans="5:9" x14ac:dyDescent="0.3">
      <c r="E812" s="43" t="s">
        <v>813</v>
      </c>
      <c r="F812" s="44">
        <v>42198.452928240738</v>
      </c>
      <c r="G812" s="40" t="s">
        <v>1056</v>
      </c>
      <c r="H812" s="40" t="s">
        <v>1088</v>
      </c>
      <c r="I812" s="45">
        <v>71757</v>
      </c>
    </row>
    <row r="813" spans="5:9" x14ac:dyDescent="0.3">
      <c r="E813" s="43" t="s">
        <v>814</v>
      </c>
      <c r="F813" s="44">
        <v>42293.729074074072</v>
      </c>
      <c r="G813" s="40" t="s">
        <v>1057</v>
      </c>
      <c r="H813" s="40" t="s">
        <v>1089</v>
      </c>
      <c r="I813" s="45">
        <v>62944</v>
      </c>
    </row>
    <row r="814" spans="5:9" x14ac:dyDescent="0.3">
      <c r="E814" s="43" t="s">
        <v>815</v>
      </c>
      <c r="F814" s="44">
        <v>42055.85533564815</v>
      </c>
      <c r="G814" s="40" t="s">
        <v>1058</v>
      </c>
      <c r="H814" s="40" t="s">
        <v>1090</v>
      </c>
      <c r="I814" s="45">
        <v>4865</v>
      </c>
    </row>
    <row r="815" spans="5:9" x14ac:dyDescent="0.3">
      <c r="E815" s="43" t="s">
        <v>816</v>
      </c>
      <c r="F815" s="44">
        <v>42212.536238425928</v>
      </c>
      <c r="G815" s="40" t="s">
        <v>1059</v>
      </c>
      <c r="H815" s="40" t="s">
        <v>1091</v>
      </c>
      <c r="I815" s="45">
        <v>7784</v>
      </c>
    </row>
    <row r="816" spans="5:9" x14ac:dyDescent="0.3">
      <c r="E816" s="43" t="s">
        <v>817</v>
      </c>
      <c r="F816" s="44">
        <v>42023.644270833334</v>
      </c>
      <c r="G816" s="40" t="s">
        <v>1011</v>
      </c>
      <c r="H816" s="40" t="s">
        <v>1092</v>
      </c>
      <c r="I816" s="45">
        <v>42400</v>
      </c>
    </row>
    <row r="817" spans="5:9" x14ac:dyDescent="0.3">
      <c r="E817" s="43" t="s">
        <v>818</v>
      </c>
      <c r="F817" s="44">
        <v>42259.672071759262</v>
      </c>
      <c r="G817" s="40" t="s">
        <v>1019</v>
      </c>
      <c r="H817" s="40" t="s">
        <v>1093</v>
      </c>
      <c r="I817" s="45">
        <v>92303</v>
      </c>
    </row>
    <row r="818" spans="5:9" x14ac:dyDescent="0.3">
      <c r="E818" s="43" t="s">
        <v>819</v>
      </c>
      <c r="F818" s="44">
        <v>42343.511319444442</v>
      </c>
      <c r="G818" s="40" t="s">
        <v>1027</v>
      </c>
      <c r="H818" s="40" t="s">
        <v>1094</v>
      </c>
      <c r="I818" s="45">
        <v>23449</v>
      </c>
    </row>
    <row r="819" spans="5:9" x14ac:dyDescent="0.3">
      <c r="E819" s="43" t="s">
        <v>820</v>
      </c>
      <c r="F819" s="44">
        <v>42175.951631944445</v>
      </c>
      <c r="G819" s="40" t="s">
        <v>1060</v>
      </c>
      <c r="H819" s="40" t="s">
        <v>1095</v>
      </c>
      <c r="I819" s="45">
        <v>38033</v>
      </c>
    </row>
    <row r="820" spans="5:9" x14ac:dyDescent="0.3">
      <c r="E820" s="43" t="s">
        <v>821</v>
      </c>
      <c r="F820" s="44">
        <v>42320.803587962961</v>
      </c>
      <c r="G820" s="40" t="s">
        <v>1061</v>
      </c>
      <c r="H820" s="40" t="s">
        <v>1096</v>
      </c>
      <c r="I820" s="45">
        <v>86116</v>
      </c>
    </row>
    <row r="821" spans="5:9" x14ac:dyDescent="0.3">
      <c r="E821" s="43" t="s">
        <v>822</v>
      </c>
      <c r="F821" s="44">
        <v>42109.874479166669</v>
      </c>
      <c r="G821" s="40" t="s">
        <v>1062</v>
      </c>
      <c r="H821" s="40" t="s">
        <v>1097</v>
      </c>
      <c r="I821" s="45">
        <v>56069</v>
      </c>
    </row>
    <row r="822" spans="5:9" x14ac:dyDescent="0.3">
      <c r="E822" s="43" t="s">
        <v>823</v>
      </c>
      <c r="F822" s="44">
        <v>42166.072002314817</v>
      </c>
      <c r="G822" s="40" t="s">
        <v>1063</v>
      </c>
      <c r="H822" s="40" t="s">
        <v>1098</v>
      </c>
      <c r="I822" s="45">
        <v>17339</v>
      </c>
    </row>
    <row r="823" spans="5:9" x14ac:dyDescent="0.3">
      <c r="E823" s="43" t="s">
        <v>824</v>
      </c>
      <c r="F823" s="44">
        <v>42249.544999999998</v>
      </c>
      <c r="G823" s="40" t="s">
        <v>1064</v>
      </c>
      <c r="H823" s="40" t="s">
        <v>1099</v>
      </c>
      <c r="I823" s="45">
        <v>18884</v>
      </c>
    </row>
    <row r="824" spans="5:9" x14ac:dyDescent="0.3">
      <c r="E824" s="43" t="s">
        <v>825</v>
      </c>
      <c r="F824" s="44">
        <v>42204.107546296298</v>
      </c>
      <c r="G824" s="40" t="s">
        <v>1065</v>
      </c>
      <c r="H824" s="40" t="s">
        <v>1100</v>
      </c>
      <c r="I824" s="45">
        <v>85159</v>
      </c>
    </row>
    <row r="825" spans="5:9" x14ac:dyDescent="0.3">
      <c r="E825" s="43" t="s">
        <v>826</v>
      </c>
      <c r="F825" s="44">
        <v>42259.177106481482</v>
      </c>
      <c r="G825" s="40" t="s">
        <v>1066</v>
      </c>
      <c r="H825" s="40" t="s">
        <v>1101</v>
      </c>
      <c r="I825" s="45">
        <v>86480</v>
      </c>
    </row>
    <row r="826" spans="5:9" x14ac:dyDescent="0.3">
      <c r="E826" s="43" t="s">
        <v>827</v>
      </c>
      <c r="F826" s="44">
        <v>42091.701886574076</v>
      </c>
      <c r="G826" s="40" t="s">
        <v>1010</v>
      </c>
      <c r="H826" s="40" t="s">
        <v>1102</v>
      </c>
      <c r="I826" s="45">
        <v>33692</v>
      </c>
    </row>
    <row r="827" spans="5:9" x14ac:dyDescent="0.3">
      <c r="E827" s="43" t="s">
        <v>828</v>
      </c>
      <c r="F827" s="44">
        <v>42219.223101851851</v>
      </c>
      <c r="G827" s="40" t="s">
        <v>1018</v>
      </c>
      <c r="H827" s="40" t="s">
        <v>1103</v>
      </c>
      <c r="I827" s="45">
        <v>74694</v>
      </c>
    </row>
    <row r="828" spans="5:9" x14ac:dyDescent="0.3">
      <c r="E828" s="43" t="s">
        <v>829</v>
      </c>
      <c r="F828" s="44">
        <v>42334.290555555555</v>
      </c>
      <c r="G828" s="40" t="s">
        <v>1026</v>
      </c>
      <c r="H828" s="40" t="s">
        <v>1104</v>
      </c>
      <c r="I828" s="45">
        <v>76086</v>
      </c>
    </row>
    <row r="829" spans="5:9" x14ac:dyDescent="0.3">
      <c r="E829" s="43" t="s">
        <v>830</v>
      </c>
      <c r="F829" s="44">
        <v>42083.360115740739</v>
      </c>
      <c r="G829" s="40" t="s">
        <v>1067</v>
      </c>
      <c r="H829" s="40" t="s">
        <v>1105</v>
      </c>
      <c r="I829" s="45">
        <v>78758</v>
      </c>
    </row>
    <row r="830" spans="5:9" x14ac:dyDescent="0.3">
      <c r="E830" s="43" t="s">
        <v>831</v>
      </c>
      <c r="F830" s="44">
        <v>42154.770624999997</v>
      </c>
      <c r="G830" s="40" t="s">
        <v>1068</v>
      </c>
      <c r="H830" s="40" t="s">
        <v>1106</v>
      </c>
      <c r="I830" s="45">
        <v>12265</v>
      </c>
    </row>
    <row r="831" spans="5:9" x14ac:dyDescent="0.3">
      <c r="E831" s="43" t="s">
        <v>832</v>
      </c>
      <c r="F831" s="44">
        <v>42328.828055555554</v>
      </c>
      <c r="G831" s="40" t="s">
        <v>1069</v>
      </c>
      <c r="H831" s="40" t="s">
        <v>1107</v>
      </c>
      <c r="I831" s="45">
        <v>52639</v>
      </c>
    </row>
    <row r="832" spans="5:9" x14ac:dyDescent="0.3">
      <c r="E832" s="43" t="s">
        <v>833</v>
      </c>
      <c r="F832" s="44">
        <v>42199.190798611111</v>
      </c>
      <c r="G832" s="40" t="s">
        <v>1070</v>
      </c>
      <c r="H832" s="40" t="s">
        <v>1108</v>
      </c>
      <c r="I832" s="45">
        <v>51409</v>
      </c>
    </row>
    <row r="833" spans="5:9" x14ac:dyDescent="0.3">
      <c r="E833" s="43" t="s">
        <v>834</v>
      </c>
      <c r="F833" s="44">
        <v>42131.842939814815</v>
      </c>
      <c r="G833" s="40" t="s">
        <v>1071</v>
      </c>
      <c r="H833" s="40" t="s">
        <v>1109</v>
      </c>
      <c r="I833" s="45">
        <v>78958</v>
      </c>
    </row>
    <row r="834" spans="5:9" x14ac:dyDescent="0.3">
      <c r="E834" s="43" t="s">
        <v>835</v>
      </c>
      <c r="F834" s="44">
        <v>42165.628912037035</v>
      </c>
      <c r="G834" s="40" t="s">
        <v>1072</v>
      </c>
      <c r="H834" s="40" t="s">
        <v>1110</v>
      </c>
      <c r="I834" s="45">
        <v>48957</v>
      </c>
    </row>
    <row r="835" spans="5:9" x14ac:dyDescent="0.3">
      <c r="E835" s="43" t="s">
        <v>836</v>
      </c>
      <c r="F835" s="44">
        <v>42063.821180555555</v>
      </c>
      <c r="G835" s="40" t="s">
        <v>1073</v>
      </c>
      <c r="H835" s="40" t="s">
        <v>1111</v>
      </c>
      <c r="I835" s="45">
        <v>4374</v>
      </c>
    </row>
    <row r="836" spans="5:9" x14ac:dyDescent="0.3">
      <c r="E836" s="43" t="s">
        <v>837</v>
      </c>
      <c r="F836" s="44">
        <v>42130.974942129629</v>
      </c>
      <c r="G836" s="40" t="s">
        <v>1009</v>
      </c>
      <c r="H836" s="40" t="s">
        <v>1112</v>
      </c>
      <c r="I836" s="45">
        <v>92150</v>
      </c>
    </row>
    <row r="837" spans="5:9" x14ac:dyDescent="0.3">
      <c r="E837" s="43" t="s">
        <v>838</v>
      </c>
      <c r="F837" s="44">
        <v>42261.352858796294</v>
      </c>
      <c r="G837" s="40" t="s">
        <v>1017</v>
      </c>
      <c r="H837" s="40" t="s">
        <v>1113</v>
      </c>
      <c r="I837" s="45">
        <v>1060</v>
      </c>
    </row>
    <row r="838" spans="5:9" x14ac:dyDescent="0.3">
      <c r="E838" s="43" t="s">
        <v>839</v>
      </c>
      <c r="F838" s="44">
        <v>42050.49763888889</v>
      </c>
      <c r="G838" s="40" t="s">
        <v>1025</v>
      </c>
      <c r="H838" s="40" t="s">
        <v>1114</v>
      </c>
      <c r="I838" s="45">
        <v>70237</v>
      </c>
    </row>
    <row r="839" spans="5:9" x14ac:dyDescent="0.3">
      <c r="E839" s="43" t="s">
        <v>840</v>
      </c>
      <c r="F839" s="44">
        <v>42051.249386574076</v>
      </c>
      <c r="G839" s="40" t="s">
        <v>1054</v>
      </c>
      <c r="H839" s="40" t="s">
        <v>1083</v>
      </c>
      <c r="I839" s="45">
        <v>85471</v>
      </c>
    </row>
    <row r="840" spans="5:9" x14ac:dyDescent="0.3">
      <c r="E840" s="43" t="s">
        <v>841</v>
      </c>
      <c r="F840" s="44">
        <v>42332.536817129629</v>
      </c>
      <c r="G840" s="40" t="s">
        <v>1055</v>
      </c>
      <c r="H840" s="40" t="s">
        <v>1085</v>
      </c>
      <c r="I840" s="45">
        <v>20002</v>
      </c>
    </row>
    <row r="841" spans="5:9" x14ac:dyDescent="0.3">
      <c r="E841" s="43" t="s">
        <v>842</v>
      </c>
      <c r="F841" s="44">
        <v>42084.03974537037</v>
      </c>
      <c r="G841" s="40" t="s">
        <v>1056</v>
      </c>
      <c r="H841" s="40" t="s">
        <v>1083</v>
      </c>
      <c r="I841" s="45">
        <v>20174</v>
      </c>
    </row>
    <row r="842" spans="5:9" x14ac:dyDescent="0.3">
      <c r="E842" s="43" t="s">
        <v>843</v>
      </c>
      <c r="F842" s="44">
        <v>42332.444837962961</v>
      </c>
      <c r="G842" s="40" t="s">
        <v>1057</v>
      </c>
      <c r="H842" s="40" t="s">
        <v>1086</v>
      </c>
      <c r="I842" s="45">
        <v>39543</v>
      </c>
    </row>
    <row r="843" spans="5:9" x14ac:dyDescent="0.3">
      <c r="E843" s="43" t="s">
        <v>844</v>
      </c>
      <c r="F843" s="44">
        <v>42227.05096064815</v>
      </c>
      <c r="G843" s="40" t="s">
        <v>1058</v>
      </c>
      <c r="H843" s="40" t="s">
        <v>1087</v>
      </c>
      <c r="I843" s="45">
        <v>56755</v>
      </c>
    </row>
    <row r="844" spans="5:9" x14ac:dyDescent="0.3">
      <c r="E844" s="43" t="s">
        <v>845</v>
      </c>
      <c r="F844" s="44">
        <v>42056.70648148148</v>
      </c>
      <c r="G844" s="40" t="s">
        <v>1059</v>
      </c>
      <c r="H844" s="40" t="s">
        <v>1088</v>
      </c>
      <c r="I844" s="45">
        <v>4329</v>
      </c>
    </row>
    <row r="845" spans="5:9" x14ac:dyDescent="0.3">
      <c r="E845" s="43" t="s">
        <v>846</v>
      </c>
      <c r="F845" s="44">
        <v>42329.207175925927</v>
      </c>
      <c r="G845" s="40" t="s">
        <v>1011</v>
      </c>
      <c r="H845" s="40" t="s">
        <v>1089</v>
      </c>
      <c r="I845" s="45">
        <v>58731</v>
      </c>
    </row>
    <row r="846" spans="5:9" x14ac:dyDescent="0.3">
      <c r="E846" s="43" t="s">
        <v>847</v>
      </c>
      <c r="F846" s="44">
        <v>42062.065358796295</v>
      </c>
      <c r="G846" s="40" t="s">
        <v>1019</v>
      </c>
      <c r="H846" s="40" t="s">
        <v>1090</v>
      </c>
      <c r="I846" s="45">
        <v>93645</v>
      </c>
    </row>
    <row r="847" spans="5:9" x14ac:dyDescent="0.3">
      <c r="E847" s="43" t="s">
        <v>848</v>
      </c>
      <c r="F847" s="44">
        <v>42233.244097222225</v>
      </c>
      <c r="G847" s="40" t="s">
        <v>1027</v>
      </c>
      <c r="H847" s="40" t="s">
        <v>1091</v>
      </c>
      <c r="I847" s="45">
        <v>69709</v>
      </c>
    </row>
    <row r="848" spans="5:9" x14ac:dyDescent="0.3">
      <c r="E848" s="43" t="s">
        <v>849</v>
      </c>
      <c r="F848" s="44">
        <v>42175.694363425922</v>
      </c>
      <c r="G848" s="40" t="s">
        <v>1060</v>
      </c>
      <c r="H848" s="40" t="s">
        <v>1092</v>
      </c>
      <c r="I848" s="45">
        <v>20062</v>
      </c>
    </row>
    <row r="849" spans="5:9" x14ac:dyDescent="0.3">
      <c r="E849" s="43" t="s">
        <v>850</v>
      </c>
      <c r="F849" s="44">
        <v>42310.570868055554</v>
      </c>
      <c r="G849" s="40" t="s">
        <v>1061</v>
      </c>
      <c r="H849" s="40" t="s">
        <v>1093</v>
      </c>
      <c r="I849" s="45">
        <v>75329</v>
      </c>
    </row>
    <row r="850" spans="5:9" x14ac:dyDescent="0.3">
      <c r="E850" s="43" t="s">
        <v>851</v>
      </c>
      <c r="F850" s="44">
        <v>42119.137037037035</v>
      </c>
      <c r="G850" s="40" t="s">
        <v>1062</v>
      </c>
      <c r="H850" s="40" t="s">
        <v>1094</v>
      </c>
      <c r="I850" s="45">
        <v>69313</v>
      </c>
    </row>
    <row r="851" spans="5:9" x14ac:dyDescent="0.3">
      <c r="E851" s="43" t="s">
        <v>852</v>
      </c>
      <c r="F851" s="44">
        <v>42284.54546296296</v>
      </c>
      <c r="G851" s="40" t="s">
        <v>1063</v>
      </c>
      <c r="H851" s="40" t="s">
        <v>1095</v>
      </c>
      <c r="I851" s="45">
        <v>87035</v>
      </c>
    </row>
    <row r="852" spans="5:9" x14ac:dyDescent="0.3">
      <c r="E852" s="43" t="s">
        <v>853</v>
      </c>
      <c r="F852" s="44">
        <v>42257.058599537035</v>
      </c>
      <c r="G852" s="40" t="s">
        <v>1064</v>
      </c>
      <c r="H852" s="40" t="s">
        <v>1096</v>
      </c>
      <c r="I852" s="45">
        <v>25963</v>
      </c>
    </row>
    <row r="853" spans="5:9" x14ac:dyDescent="0.3">
      <c r="E853" s="43" t="s">
        <v>854</v>
      </c>
      <c r="F853" s="44">
        <v>42279.297627314816</v>
      </c>
      <c r="G853" s="40" t="s">
        <v>1065</v>
      </c>
      <c r="H853" s="40" t="s">
        <v>1097</v>
      </c>
      <c r="I853" s="45">
        <v>17363</v>
      </c>
    </row>
    <row r="854" spans="5:9" x14ac:dyDescent="0.3">
      <c r="E854" s="43" t="s">
        <v>855</v>
      </c>
      <c r="F854" s="44">
        <v>42363.193703703706</v>
      </c>
      <c r="G854" s="40" t="s">
        <v>1066</v>
      </c>
      <c r="H854" s="40" t="s">
        <v>1098</v>
      </c>
      <c r="I854" s="45">
        <v>78186</v>
      </c>
    </row>
    <row r="855" spans="5:9" x14ac:dyDescent="0.3">
      <c r="E855" s="43" t="s">
        <v>856</v>
      </c>
      <c r="F855" s="44">
        <v>42257.544270833336</v>
      </c>
      <c r="G855" s="40" t="s">
        <v>1010</v>
      </c>
      <c r="H855" s="40" t="s">
        <v>1099</v>
      </c>
      <c r="I855" s="45">
        <v>35194</v>
      </c>
    </row>
    <row r="856" spans="5:9" x14ac:dyDescent="0.3">
      <c r="E856" s="43" t="s">
        <v>857</v>
      </c>
      <c r="F856" s="44">
        <v>42106.660196759258</v>
      </c>
      <c r="G856" s="40" t="s">
        <v>1018</v>
      </c>
      <c r="H856" s="40" t="s">
        <v>1100</v>
      </c>
      <c r="I856" s="45">
        <v>4275</v>
      </c>
    </row>
    <row r="857" spans="5:9" x14ac:dyDescent="0.3">
      <c r="E857" s="43" t="s">
        <v>858</v>
      </c>
      <c r="F857" s="44">
        <v>42359.724386574075</v>
      </c>
      <c r="G857" s="40" t="s">
        <v>1026</v>
      </c>
      <c r="H857" s="40" t="s">
        <v>1101</v>
      </c>
      <c r="I857" s="45">
        <v>15156</v>
      </c>
    </row>
    <row r="858" spans="5:9" x14ac:dyDescent="0.3">
      <c r="E858" s="43" t="s">
        <v>859</v>
      </c>
      <c r="F858" s="44">
        <v>42363.302291666667</v>
      </c>
      <c r="G858" s="40" t="s">
        <v>1067</v>
      </c>
      <c r="H858" s="40" t="s">
        <v>1102</v>
      </c>
      <c r="I858" s="45">
        <v>73453</v>
      </c>
    </row>
    <row r="859" spans="5:9" x14ac:dyDescent="0.3">
      <c r="E859" s="43" t="s">
        <v>860</v>
      </c>
      <c r="F859" s="44">
        <v>42072.415636574071</v>
      </c>
      <c r="G859" s="40" t="s">
        <v>1068</v>
      </c>
      <c r="H859" s="40" t="s">
        <v>1103</v>
      </c>
      <c r="I859" s="45">
        <v>15121</v>
      </c>
    </row>
    <row r="860" spans="5:9" x14ac:dyDescent="0.3">
      <c r="E860" s="43" t="s">
        <v>861</v>
      </c>
      <c r="F860" s="44">
        <v>42153.420266203706</v>
      </c>
      <c r="G860" s="40" t="s">
        <v>1069</v>
      </c>
      <c r="H860" s="40" t="s">
        <v>1104</v>
      </c>
      <c r="I860" s="45">
        <v>11362</v>
      </c>
    </row>
    <row r="861" spans="5:9" x14ac:dyDescent="0.3">
      <c r="E861" s="43" t="s">
        <v>862</v>
      </c>
      <c r="F861" s="44">
        <v>42028.383067129631</v>
      </c>
      <c r="G861" s="40" t="s">
        <v>1070</v>
      </c>
      <c r="H861" s="40" t="s">
        <v>1105</v>
      </c>
      <c r="I861" s="45">
        <v>59719</v>
      </c>
    </row>
    <row r="862" spans="5:9" x14ac:dyDescent="0.3">
      <c r="E862" s="43" t="s">
        <v>863</v>
      </c>
      <c r="F862" s="44">
        <v>42148.248611111114</v>
      </c>
      <c r="G862" s="40" t="s">
        <v>1071</v>
      </c>
      <c r="H862" s="40" t="s">
        <v>1106</v>
      </c>
      <c r="I862" s="45">
        <v>24708</v>
      </c>
    </row>
    <row r="863" spans="5:9" x14ac:dyDescent="0.3">
      <c r="E863" s="43" t="s">
        <v>864</v>
      </c>
      <c r="F863" s="44">
        <v>42112.282777777778</v>
      </c>
      <c r="G863" s="40" t="s">
        <v>1072</v>
      </c>
      <c r="H863" s="40" t="s">
        <v>1107</v>
      </c>
      <c r="I863" s="45">
        <v>19132</v>
      </c>
    </row>
    <row r="864" spans="5:9" x14ac:dyDescent="0.3">
      <c r="E864" s="43" t="s">
        <v>865</v>
      </c>
      <c r="F864" s="44">
        <v>42152.148032407407</v>
      </c>
      <c r="G864" s="40" t="s">
        <v>1073</v>
      </c>
      <c r="H864" s="40" t="s">
        <v>1108</v>
      </c>
      <c r="I864" s="45">
        <v>75176</v>
      </c>
    </row>
    <row r="865" spans="5:9" x14ac:dyDescent="0.3">
      <c r="E865" s="43" t="s">
        <v>866</v>
      </c>
      <c r="F865" s="44">
        <v>42125.043414351851</v>
      </c>
      <c r="G865" s="40" t="s">
        <v>1009</v>
      </c>
      <c r="H865" s="40" t="s">
        <v>1109</v>
      </c>
      <c r="I865" s="45">
        <v>21077</v>
      </c>
    </row>
    <row r="866" spans="5:9" x14ac:dyDescent="0.3">
      <c r="E866" s="43" t="s">
        <v>867</v>
      </c>
      <c r="F866" s="44">
        <v>42193.712164351855</v>
      </c>
      <c r="G866" s="40" t="s">
        <v>1017</v>
      </c>
      <c r="H866" s="40" t="s">
        <v>1110</v>
      </c>
      <c r="I866" s="45">
        <v>4598</v>
      </c>
    </row>
    <row r="867" spans="5:9" x14ac:dyDescent="0.3">
      <c r="E867" s="43" t="s">
        <v>868</v>
      </c>
      <c r="F867" s="44">
        <v>42350.552627314813</v>
      </c>
      <c r="G867" s="40" t="s">
        <v>1025</v>
      </c>
      <c r="H867" s="40" t="s">
        <v>1111</v>
      </c>
      <c r="I867" s="45">
        <v>73231</v>
      </c>
    </row>
    <row r="868" spans="5:9" x14ac:dyDescent="0.3">
      <c r="E868" s="43" t="s">
        <v>869</v>
      </c>
      <c r="F868" s="44">
        <v>42286.071342592593</v>
      </c>
      <c r="G868" s="40" t="s">
        <v>1054</v>
      </c>
      <c r="H868" s="40" t="s">
        <v>1112</v>
      </c>
      <c r="I868" s="45">
        <v>6142</v>
      </c>
    </row>
    <row r="869" spans="5:9" x14ac:dyDescent="0.3">
      <c r="E869" s="43" t="s">
        <v>870</v>
      </c>
      <c r="F869" s="44">
        <v>42201.211053240739</v>
      </c>
      <c r="G869" s="40" t="s">
        <v>1055</v>
      </c>
      <c r="H869" s="40" t="s">
        <v>1113</v>
      </c>
      <c r="I869" s="45">
        <v>45238</v>
      </c>
    </row>
    <row r="870" spans="5:9" x14ac:dyDescent="0.3">
      <c r="E870" s="43" t="s">
        <v>871</v>
      </c>
      <c r="F870" s="44">
        <v>42143.635879629626</v>
      </c>
      <c r="G870" s="40" t="s">
        <v>1056</v>
      </c>
      <c r="H870" s="40" t="s">
        <v>1114</v>
      </c>
      <c r="I870" s="45">
        <v>43279</v>
      </c>
    </row>
    <row r="871" spans="5:9" x14ac:dyDescent="0.3">
      <c r="E871" s="43" t="s">
        <v>872</v>
      </c>
      <c r="F871" s="44">
        <v>42183.118333333332</v>
      </c>
      <c r="G871" s="40" t="s">
        <v>1057</v>
      </c>
      <c r="H871" s="40" t="s">
        <v>1083</v>
      </c>
      <c r="I871" s="45">
        <v>74168</v>
      </c>
    </row>
    <row r="872" spans="5:9" x14ac:dyDescent="0.3">
      <c r="E872" s="43" t="s">
        <v>873</v>
      </c>
      <c r="F872" s="44">
        <v>42326.587523148148</v>
      </c>
      <c r="G872" s="40" t="s">
        <v>1058</v>
      </c>
      <c r="H872" s="40" t="s">
        <v>1085</v>
      </c>
      <c r="I872" s="45">
        <v>42179</v>
      </c>
    </row>
    <row r="873" spans="5:9" x14ac:dyDescent="0.3">
      <c r="E873" s="43" t="s">
        <v>874</v>
      </c>
      <c r="F873" s="44">
        <v>42106.549293981479</v>
      </c>
      <c r="G873" s="40" t="s">
        <v>1059</v>
      </c>
      <c r="H873" s="40" t="s">
        <v>1083</v>
      </c>
      <c r="I873" s="45">
        <v>24012</v>
      </c>
    </row>
    <row r="874" spans="5:9" x14ac:dyDescent="0.3">
      <c r="E874" s="43" t="s">
        <v>875</v>
      </c>
      <c r="F874" s="44">
        <v>42155.1721875</v>
      </c>
      <c r="G874" s="40" t="s">
        <v>1011</v>
      </c>
      <c r="H874" s="40" t="s">
        <v>1086</v>
      </c>
      <c r="I874" s="45">
        <v>20282</v>
      </c>
    </row>
    <row r="875" spans="5:9" x14ac:dyDescent="0.3">
      <c r="E875" s="43" t="s">
        <v>876</v>
      </c>
      <c r="F875" s="44">
        <v>42136.90247685185</v>
      </c>
      <c r="G875" s="40" t="s">
        <v>1019</v>
      </c>
      <c r="H875" s="40" t="s">
        <v>1087</v>
      </c>
      <c r="I875" s="45">
        <v>59407</v>
      </c>
    </row>
    <row r="876" spans="5:9" x14ac:dyDescent="0.3">
      <c r="E876" s="43" t="s">
        <v>877</v>
      </c>
      <c r="F876" s="44">
        <v>42205.568148148152</v>
      </c>
      <c r="G876" s="40" t="s">
        <v>1027</v>
      </c>
      <c r="H876" s="40" t="s">
        <v>1088</v>
      </c>
      <c r="I876" s="45">
        <v>98443</v>
      </c>
    </row>
    <row r="877" spans="5:9" x14ac:dyDescent="0.3">
      <c r="E877" s="43" t="s">
        <v>878</v>
      </c>
      <c r="F877" s="44">
        <v>42063.542534722219</v>
      </c>
      <c r="G877" s="40" t="s">
        <v>1060</v>
      </c>
      <c r="H877" s="40" t="s">
        <v>1089</v>
      </c>
      <c r="I877" s="45">
        <v>57703</v>
      </c>
    </row>
    <row r="878" spans="5:9" x14ac:dyDescent="0.3">
      <c r="E878" s="43" t="s">
        <v>879</v>
      </c>
      <c r="F878" s="44">
        <v>42110.389907407407</v>
      </c>
      <c r="G878" s="40" t="s">
        <v>1061</v>
      </c>
      <c r="H878" s="40" t="s">
        <v>1090</v>
      </c>
      <c r="I878" s="45">
        <v>85098</v>
      </c>
    </row>
    <row r="879" spans="5:9" x14ac:dyDescent="0.3">
      <c r="E879" s="43" t="s">
        <v>880</v>
      </c>
      <c r="F879" s="44">
        <v>42319.835532407407</v>
      </c>
      <c r="G879" s="40" t="s">
        <v>1062</v>
      </c>
      <c r="H879" s="40" t="s">
        <v>1091</v>
      </c>
      <c r="I879" s="45">
        <v>78214</v>
      </c>
    </row>
    <row r="880" spans="5:9" x14ac:dyDescent="0.3">
      <c r="E880" s="43" t="s">
        <v>881</v>
      </c>
      <c r="F880" s="44">
        <v>42228.816365740742</v>
      </c>
      <c r="G880" s="40" t="s">
        <v>1063</v>
      </c>
      <c r="H880" s="40" t="s">
        <v>1092</v>
      </c>
      <c r="I880" s="45">
        <v>32487</v>
      </c>
    </row>
    <row r="881" spans="5:9" x14ac:dyDescent="0.3">
      <c r="E881" s="43" t="s">
        <v>882</v>
      </c>
      <c r="F881" s="44">
        <v>42014.298703703702</v>
      </c>
      <c r="G881" s="40" t="s">
        <v>1064</v>
      </c>
      <c r="H881" s="40" t="s">
        <v>1093</v>
      </c>
      <c r="I881" s="45">
        <v>3022</v>
      </c>
    </row>
    <row r="882" spans="5:9" x14ac:dyDescent="0.3">
      <c r="E882" s="43" t="s">
        <v>883</v>
      </c>
      <c r="F882" s="44">
        <v>42081.444513888891</v>
      </c>
      <c r="G882" s="40" t="s">
        <v>1065</v>
      </c>
      <c r="H882" s="40" t="s">
        <v>1094</v>
      </c>
      <c r="I882" s="45">
        <v>65988</v>
      </c>
    </row>
    <row r="883" spans="5:9" x14ac:dyDescent="0.3">
      <c r="E883" s="43" t="s">
        <v>884</v>
      </c>
      <c r="F883" s="44">
        <v>42208.917083333334</v>
      </c>
      <c r="G883" s="40" t="s">
        <v>1066</v>
      </c>
      <c r="H883" s="40" t="s">
        <v>1095</v>
      </c>
      <c r="I883" s="45">
        <v>70573</v>
      </c>
    </row>
    <row r="884" spans="5:9" x14ac:dyDescent="0.3">
      <c r="E884" s="43" t="s">
        <v>885</v>
      </c>
      <c r="F884" s="44">
        <v>42115.323055555556</v>
      </c>
      <c r="G884" s="40" t="s">
        <v>1010</v>
      </c>
      <c r="H884" s="40" t="s">
        <v>1096</v>
      </c>
      <c r="I884" s="45">
        <v>16460</v>
      </c>
    </row>
    <row r="885" spans="5:9" x14ac:dyDescent="0.3">
      <c r="E885" s="43" t="s">
        <v>886</v>
      </c>
      <c r="F885" s="44">
        <v>42284.23778935185</v>
      </c>
      <c r="G885" s="40" t="s">
        <v>1018</v>
      </c>
      <c r="H885" s="40" t="s">
        <v>1097</v>
      </c>
      <c r="I885" s="45">
        <v>87951</v>
      </c>
    </row>
    <row r="886" spans="5:9" x14ac:dyDescent="0.3">
      <c r="E886" s="43" t="s">
        <v>887</v>
      </c>
      <c r="F886" s="44">
        <v>42026.418090277781</v>
      </c>
      <c r="G886" s="40" t="s">
        <v>1026</v>
      </c>
      <c r="H886" s="40" t="s">
        <v>1098</v>
      </c>
      <c r="I886" s="45">
        <v>2306</v>
      </c>
    </row>
    <row r="887" spans="5:9" x14ac:dyDescent="0.3">
      <c r="E887" s="43" t="s">
        <v>888</v>
      </c>
      <c r="F887" s="44">
        <v>42224.689108796294</v>
      </c>
      <c r="G887" s="40" t="s">
        <v>1067</v>
      </c>
      <c r="H887" s="40" t="s">
        <v>1099</v>
      </c>
      <c r="I887" s="45">
        <v>23863</v>
      </c>
    </row>
    <row r="888" spans="5:9" x14ac:dyDescent="0.3">
      <c r="E888" s="43" t="s">
        <v>889</v>
      </c>
      <c r="F888" s="44">
        <v>42010.285810185182</v>
      </c>
      <c r="G888" s="40" t="s">
        <v>1068</v>
      </c>
      <c r="H888" s="40" t="s">
        <v>1100</v>
      </c>
      <c r="I888" s="45">
        <v>21629</v>
      </c>
    </row>
    <row r="889" spans="5:9" x14ac:dyDescent="0.3">
      <c r="E889" s="43" t="s">
        <v>890</v>
      </c>
      <c r="F889" s="44">
        <v>42247.249652777777</v>
      </c>
      <c r="G889" s="40" t="s">
        <v>1069</v>
      </c>
      <c r="H889" s="40" t="s">
        <v>1101</v>
      </c>
      <c r="I889" s="45">
        <v>28201</v>
      </c>
    </row>
    <row r="890" spans="5:9" x14ac:dyDescent="0.3">
      <c r="E890" s="43" t="s">
        <v>891</v>
      </c>
      <c r="F890" s="44">
        <v>42300.786446759259</v>
      </c>
      <c r="G890" s="40" t="s">
        <v>1070</v>
      </c>
      <c r="H890" s="40" t="s">
        <v>1102</v>
      </c>
      <c r="I890" s="45">
        <v>28463</v>
      </c>
    </row>
    <row r="891" spans="5:9" x14ac:dyDescent="0.3">
      <c r="E891" s="43" t="s">
        <v>892</v>
      </c>
      <c r="F891" s="44">
        <v>42336.121504629627</v>
      </c>
      <c r="G891" s="40" t="s">
        <v>1071</v>
      </c>
      <c r="H891" s="40" t="s">
        <v>1103</v>
      </c>
      <c r="I891" s="45">
        <v>54764</v>
      </c>
    </row>
    <row r="892" spans="5:9" x14ac:dyDescent="0.3">
      <c r="E892" s="43" t="s">
        <v>893</v>
      </c>
      <c r="F892" s="44">
        <v>42175.040960648148</v>
      </c>
      <c r="G892" s="40" t="s">
        <v>1072</v>
      </c>
      <c r="H892" s="40" t="s">
        <v>1104</v>
      </c>
      <c r="I892" s="45">
        <v>98266</v>
      </c>
    </row>
    <row r="893" spans="5:9" x14ac:dyDescent="0.3">
      <c r="E893" s="43" t="s">
        <v>894</v>
      </c>
      <c r="F893" s="44">
        <v>42222.952453703707</v>
      </c>
      <c r="G893" s="40" t="s">
        <v>1073</v>
      </c>
      <c r="H893" s="40" t="s">
        <v>1105</v>
      </c>
      <c r="I893" s="45">
        <v>51790</v>
      </c>
    </row>
    <row r="894" spans="5:9" x14ac:dyDescent="0.3">
      <c r="E894" s="43" t="s">
        <v>895</v>
      </c>
      <c r="F894" s="44">
        <v>42322.968958333331</v>
      </c>
      <c r="G894" s="40" t="s">
        <v>1009</v>
      </c>
      <c r="H894" s="40" t="s">
        <v>1106</v>
      </c>
      <c r="I894" s="45">
        <v>34402</v>
      </c>
    </row>
    <row r="895" spans="5:9" x14ac:dyDescent="0.3">
      <c r="E895" s="43" t="s">
        <v>896</v>
      </c>
      <c r="F895" s="44">
        <v>42048.295115740744</v>
      </c>
      <c r="G895" s="40" t="s">
        <v>1017</v>
      </c>
      <c r="H895" s="40" t="s">
        <v>1107</v>
      </c>
      <c r="I895" s="45">
        <v>20069</v>
      </c>
    </row>
    <row r="896" spans="5:9" x14ac:dyDescent="0.3">
      <c r="E896" s="43" t="s">
        <v>897</v>
      </c>
      <c r="F896" s="44">
        <v>42006.052268518521</v>
      </c>
      <c r="G896" s="40" t="s">
        <v>1025</v>
      </c>
      <c r="H896" s="40" t="s">
        <v>1108</v>
      </c>
      <c r="I896" s="45">
        <v>14897</v>
      </c>
    </row>
    <row r="897" spans="5:9" x14ac:dyDescent="0.3">
      <c r="E897" s="43" t="s">
        <v>898</v>
      </c>
      <c r="F897" s="44">
        <v>42161.587881944448</v>
      </c>
      <c r="G897" s="40" t="s">
        <v>1054</v>
      </c>
      <c r="H897" s="40" t="s">
        <v>1109</v>
      </c>
      <c r="I897" s="45">
        <v>85796</v>
      </c>
    </row>
    <row r="898" spans="5:9" x14ac:dyDescent="0.3">
      <c r="E898" s="43" t="s">
        <v>899</v>
      </c>
      <c r="F898" s="44">
        <v>42327.522013888891</v>
      </c>
      <c r="G898" s="40" t="s">
        <v>1055</v>
      </c>
      <c r="H898" s="40" t="s">
        <v>1110</v>
      </c>
      <c r="I898" s="45">
        <v>25763</v>
      </c>
    </row>
    <row r="899" spans="5:9" x14ac:dyDescent="0.3">
      <c r="E899" s="43" t="s">
        <v>900</v>
      </c>
      <c r="F899" s="44">
        <v>42302.019490740742</v>
      </c>
      <c r="G899" s="40" t="s">
        <v>1056</v>
      </c>
      <c r="H899" s="40" t="s">
        <v>1111</v>
      </c>
      <c r="I899" s="45">
        <v>95396</v>
      </c>
    </row>
    <row r="900" spans="5:9" x14ac:dyDescent="0.3">
      <c r="E900" s="43" t="s">
        <v>901</v>
      </c>
      <c r="F900" s="44">
        <v>42117.391805555555</v>
      </c>
      <c r="G900" s="40" t="s">
        <v>1057</v>
      </c>
      <c r="H900" s="40" t="s">
        <v>1112</v>
      </c>
      <c r="I900" s="45">
        <v>97359</v>
      </c>
    </row>
    <row r="901" spans="5:9" x14ac:dyDescent="0.3">
      <c r="E901" s="43" t="s">
        <v>902</v>
      </c>
      <c r="F901" s="44">
        <v>42114.103530092594</v>
      </c>
      <c r="G901" s="40" t="s">
        <v>1058</v>
      </c>
      <c r="H901" s="40" t="s">
        <v>1113</v>
      </c>
      <c r="I901" s="45">
        <v>91101</v>
      </c>
    </row>
    <row r="902" spans="5:9" x14ac:dyDescent="0.3">
      <c r="E902" s="43" t="s">
        <v>903</v>
      </c>
      <c r="F902" s="44">
        <v>42111.5940162037</v>
      </c>
      <c r="G902" s="40" t="s">
        <v>1059</v>
      </c>
      <c r="H902" s="40" t="s">
        <v>1114</v>
      </c>
      <c r="I902" s="45">
        <v>5435</v>
      </c>
    </row>
    <row r="903" spans="5:9" x14ac:dyDescent="0.3">
      <c r="E903" s="43" t="s">
        <v>904</v>
      </c>
      <c r="F903" s="44">
        <v>42207.512013888889</v>
      </c>
      <c r="G903" s="40" t="s">
        <v>1011</v>
      </c>
      <c r="H903" s="40" t="s">
        <v>1083</v>
      </c>
      <c r="I903" s="45">
        <v>35657</v>
      </c>
    </row>
    <row r="904" spans="5:9" x14ac:dyDescent="0.3">
      <c r="E904" s="43" t="s">
        <v>905</v>
      </c>
      <c r="F904" s="44">
        <v>42020.428263888891</v>
      </c>
      <c r="G904" s="40" t="s">
        <v>1019</v>
      </c>
      <c r="H904" s="40" t="s">
        <v>1085</v>
      </c>
      <c r="I904" s="45">
        <v>58079</v>
      </c>
    </row>
    <row r="905" spans="5:9" x14ac:dyDescent="0.3">
      <c r="E905" s="43" t="s">
        <v>906</v>
      </c>
      <c r="F905" s="44">
        <v>42085.120358796295</v>
      </c>
      <c r="G905" s="40" t="s">
        <v>1027</v>
      </c>
      <c r="H905" s="40" t="s">
        <v>1083</v>
      </c>
      <c r="I905" s="45">
        <v>82670</v>
      </c>
    </row>
    <row r="906" spans="5:9" x14ac:dyDescent="0.3">
      <c r="E906" s="43" t="s">
        <v>907</v>
      </c>
      <c r="F906" s="44">
        <v>42272.801365740743</v>
      </c>
      <c r="G906" s="40" t="s">
        <v>1060</v>
      </c>
      <c r="H906" s="40" t="s">
        <v>1086</v>
      </c>
      <c r="I906" s="45">
        <v>47819</v>
      </c>
    </row>
    <row r="907" spans="5:9" x14ac:dyDescent="0.3">
      <c r="E907" s="43" t="s">
        <v>908</v>
      </c>
      <c r="F907" s="44">
        <v>42051.22216435185</v>
      </c>
      <c r="G907" s="40" t="s">
        <v>1061</v>
      </c>
      <c r="H907" s="40" t="s">
        <v>1087</v>
      </c>
      <c r="I907" s="45">
        <v>5485</v>
      </c>
    </row>
    <row r="908" spans="5:9" x14ac:dyDescent="0.3">
      <c r="E908" s="43" t="s">
        <v>909</v>
      </c>
      <c r="F908" s="44">
        <v>42090.809386574074</v>
      </c>
      <c r="G908" s="40" t="s">
        <v>1062</v>
      </c>
      <c r="H908" s="40" t="s">
        <v>1088</v>
      </c>
      <c r="I908" s="45">
        <v>63184</v>
      </c>
    </row>
    <row r="909" spans="5:9" x14ac:dyDescent="0.3">
      <c r="E909" s="43" t="s">
        <v>910</v>
      </c>
      <c r="F909" s="44">
        <v>42122.078043981484</v>
      </c>
      <c r="G909" s="40" t="s">
        <v>1063</v>
      </c>
      <c r="H909" s="40" t="s">
        <v>1089</v>
      </c>
      <c r="I909" s="45">
        <v>27874</v>
      </c>
    </row>
    <row r="910" spans="5:9" x14ac:dyDescent="0.3">
      <c r="E910" s="43" t="s">
        <v>911</v>
      </c>
      <c r="F910" s="44">
        <v>42126.303784722222</v>
      </c>
      <c r="G910" s="40" t="s">
        <v>1064</v>
      </c>
      <c r="H910" s="40" t="s">
        <v>1090</v>
      </c>
      <c r="I910" s="45">
        <v>27784</v>
      </c>
    </row>
    <row r="911" spans="5:9" x14ac:dyDescent="0.3">
      <c r="E911" s="43" t="s">
        <v>912</v>
      </c>
      <c r="F911" s="44">
        <v>42328.969074074077</v>
      </c>
      <c r="G911" s="40" t="s">
        <v>1065</v>
      </c>
      <c r="H911" s="40" t="s">
        <v>1091</v>
      </c>
      <c r="I911" s="45">
        <v>79829</v>
      </c>
    </row>
    <row r="912" spans="5:9" x14ac:dyDescent="0.3">
      <c r="E912" s="43" t="s">
        <v>913</v>
      </c>
      <c r="F912" s="44">
        <v>42259.747245370374</v>
      </c>
      <c r="G912" s="40" t="s">
        <v>1066</v>
      </c>
      <c r="H912" s="40" t="s">
        <v>1092</v>
      </c>
      <c r="I912" s="45">
        <v>58359</v>
      </c>
    </row>
    <row r="913" spans="5:9" x14ac:dyDescent="0.3">
      <c r="E913" s="43" t="s">
        <v>914</v>
      </c>
      <c r="F913" s="44">
        <v>42201.66510416667</v>
      </c>
      <c r="G913" s="40" t="s">
        <v>1010</v>
      </c>
      <c r="H913" s="40" t="s">
        <v>1093</v>
      </c>
      <c r="I913" s="45">
        <v>11090</v>
      </c>
    </row>
    <row r="914" spans="5:9" x14ac:dyDescent="0.3">
      <c r="E914" s="43" t="s">
        <v>915</v>
      </c>
      <c r="F914" s="44">
        <v>42058.736631944441</v>
      </c>
      <c r="G914" s="40" t="s">
        <v>1018</v>
      </c>
      <c r="H914" s="40" t="s">
        <v>1094</v>
      </c>
      <c r="I914" s="45">
        <v>33606</v>
      </c>
    </row>
    <row r="915" spans="5:9" x14ac:dyDescent="0.3">
      <c r="E915" s="43" t="s">
        <v>916</v>
      </c>
      <c r="F915" s="44">
        <v>42045.771874999999</v>
      </c>
      <c r="G915" s="40" t="s">
        <v>1026</v>
      </c>
      <c r="H915" s="40" t="s">
        <v>1095</v>
      </c>
      <c r="I915" s="45">
        <v>27455</v>
      </c>
    </row>
    <row r="916" spans="5:9" x14ac:dyDescent="0.3">
      <c r="E916" s="43" t="s">
        <v>917</v>
      </c>
      <c r="F916" s="44">
        <v>42027.001481481479</v>
      </c>
      <c r="G916" s="40" t="s">
        <v>1067</v>
      </c>
      <c r="H916" s="40" t="s">
        <v>1096</v>
      </c>
      <c r="I916" s="45">
        <v>32645</v>
      </c>
    </row>
    <row r="917" spans="5:9" x14ac:dyDescent="0.3">
      <c r="E917" s="43" t="s">
        <v>918</v>
      </c>
      <c r="F917" s="44">
        <v>42314.607951388891</v>
      </c>
      <c r="G917" s="40" t="s">
        <v>1068</v>
      </c>
      <c r="H917" s="40" t="s">
        <v>1097</v>
      </c>
      <c r="I917" s="45">
        <v>48293</v>
      </c>
    </row>
    <row r="918" spans="5:9" x14ac:dyDescent="0.3">
      <c r="E918" s="43" t="s">
        <v>919</v>
      </c>
      <c r="F918" s="44">
        <v>42248.667708333334</v>
      </c>
      <c r="G918" s="40" t="s">
        <v>1069</v>
      </c>
      <c r="H918" s="40" t="s">
        <v>1098</v>
      </c>
      <c r="I918" s="45">
        <v>89493</v>
      </c>
    </row>
    <row r="919" spans="5:9" x14ac:dyDescent="0.3">
      <c r="E919" s="43" t="s">
        <v>920</v>
      </c>
      <c r="F919" s="44">
        <v>42275.489560185182</v>
      </c>
      <c r="G919" s="40" t="s">
        <v>1070</v>
      </c>
      <c r="H919" s="40" t="s">
        <v>1099</v>
      </c>
      <c r="I919" s="45">
        <v>64181</v>
      </c>
    </row>
    <row r="920" spans="5:9" x14ac:dyDescent="0.3">
      <c r="E920" s="43" t="s">
        <v>921</v>
      </c>
      <c r="F920" s="44">
        <v>42344.972870370373</v>
      </c>
      <c r="G920" s="40" t="s">
        <v>1071</v>
      </c>
      <c r="H920" s="40" t="s">
        <v>1100</v>
      </c>
      <c r="I920" s="45">
        <v>7132</v>
      </c>
    </row>
    <row r="921" spans="5:9" x14ac:dyDescent="0.3">
      <c r="E921" s="43" t="s">
        <v>922</v>
      </c>
      <c r="F921" s="44">
        <v>42085.05678240741</v>
      </c>
      <c r="G921" s="40" t="s">
        <v>1072</v>
      </c>
      <c r="H921" s="40" t="s">
        <v>1101</v>
      </c>
      <c r="I921" s="45">
        <v>91861</v>
      </c>
    </row>
    <row r="922" spans="5:9" x14ac:dyDescent="0.3">
      <c r="E922" s="43" t="s">
        <v>923</v>
      </c>
      <c r="F922" s="44">
        <v>42318.750057870369</v>
      </c>
      <c r="G922" s="40" t="s">
        <v>1073</v>
      </c>
      <c r="H922" s="40" t="s">
        <v>1102</v>
      </c>
      <c r="I922" s="45">
        <v>33415</v>
      </c>
    </row>
    <row r="923" spans="5:9" x14ac:dyDescent="0.3">
      <c r="E923" s="43" t="s">
        <v>924</v>
      </c>
      <c r="F923" s="44">
        <v>42059.25136574074</v>
      </c>
      <c r="G923" s="40" t="s">
        <v>1009</v>
      </c>
      <c r="H923" s="40" t="s">
        <v>1103</v>
      </c>
      <c r="I923" s="45">
        <v>7848</v>
      </c>
    </row>
    <row r="924" spans="5:9" x14ac:dyDescent="0.3">
      <c r="E924" s="43" t="s">
        <v>925</v>
      </c>
      <c r="F924" s="44">
        <v>42228.075416666667</v>
      </c>
      <c r="G924" s="40" t="s">
        <v>1017</v>
      </c>
      <c r="H924" s="40" t="s">
        <v>1104</v>
      </c>
      <c r="I924" s="45">
        <v>93071</v>
      </c>
    </row>
    <row r="925" spans="5:9" x14ac:dyDescent="0.3">
      <c r="E925" s="43" t="s">
        <v>926</v>
      </c>
      <c r="F925" s="44">
        <v>42059.733553240738</v>
      </c>
      <c r="G925" s="40" t="s">
        <v>1025</v>
      </c>
      <c r="H925" s="40" t="s">
        <v>1105</v>
      </c>
      <c r="I925" s="45">
        <v>5054</v>
      </c>
    </row>
    <row r="926" spans="5:9" x14ac:dyDescent="0.3">
      <c r="E926" s="43" t="s">
        <v>927</v>
      </c>
      <c r="F926" s="44">
        <v>42122.726863425924</v>
      </c>
      <c r="G926" s="40" t="s">
        <v>1054</v>
      </c>
      <c r="H926" s="40" t="s">
        <v>1106</v>
      </c>
      <c r="I926" s="45">
        <v>84494</v>
      </c>
    </row>
    <row r="927" spans="5:9" x14ac:dyDescent="0.3">
      <c r="E927" s="43" t="s">
        <v>928</v>
      </c>
      <c r="F927" s="44">
        <v>42172.931504629632</v>
      </c>
      <c r="G927" s="40" t="s">
        <v>1055</v>
      </c>
      <c r="H927" s="40" t="s">
        <v>1107</v>
      </c>
      <c r="I927" s="45">
        <v>6105</v>
      </c>
    </row>
    <row r="928" spans="5:9" x14ac:dyDescent="0.3">
      <c r="E928" s="43" t="s">
        <v>929</v>
      </c>
      <c r="F928" s="44">
        <v>42354.491006944445</v>
      </c>
      <c r="G928" s="40" t="s">
        <v>1056</v>
      </c>
      <c r="H928" s="40" t="s">
        <v>1108</v>
      </c>
      <c r="I928" s="45">
        <v>96030</v>
      </c>
    </row>
    <row r="929" spans="5:9" x14ac:dyDescent="0.3">
      <c r="E929" s="43" t="s">
        <v>930</v>
      </c>
      <c r="F929" s="44">
        <v>42202.122777777775</v>
      </c>
      <c r="G929" s="40" t="s">
        <v>1057</v>
      </c>
      <c r="H929" s="40" t="s">
        <v>1109</v>
      </c>
      <c r="I929" s="45">
        <v>34819</v>
      </c>
    </row>
    <row r="930" spans="5:9" x14ac:dyDescent="0.3">
      <c r="E930" s="43" t="s">
        <v>931</v>
      </c>
      <c r="F930" s="44">
        <v>42105.721898148149</v>
      </c>
      <c r="G930" s="40" t="s">
        <v>1058</v>
      </c>
      <c r="H930" s="40" t="s">
        <v>1110</v>
      </c>
      <c r="I930" s="45">
        <v>63128</v>
      </c>
    </row>
    <row r="931" spans="5:9" x14ac:dyDescent="0.3">
      <c r="E931" s="43" t="s">
        <v>932</v>
      </c>
      <c r="F931" s="44">
        <v>42127.819687499999</v>
      </c>
      <c r="G931" s="40" t="s">
        <v>1059</v>
      </c>
      <c r="H931" s="40" t="s">
        <v>1111</v>
      </c>
      <c r="I931" s="45">
        <v>42300</v>
      </c>
    </row>
    <row r="932" spans="5:9" x14ac:dyDescent="0.3">
      <c r="E932" s="43" t="s">
        <v>933</v>
      </c>
      <c r="F932" s="44">
        <v>42217.7112037037</v>
      </c>
      <c r="G932" s="40" t="s">
        <v>1011</v>
      </c>
      <c r="H932" s="40" t="s">
        <v>1112</v>
      </c>
      <c r="I932" s="45">
        <v>31058</v>
      </c>
    </row>
    <row r="933" spans="5:9" x14ac:dyDescent="0.3">
      <c r="E933" s="43" t="s">
        <v>934</v>
      </c>
      <c r="F933" s="44">
        <v>42122.878865740742</v>
      </c>
      <c r="G933" s="40" t="s">
        <v>1019</v>
      </c>
      <c r="H933" s="40" t="s">
        <v>1113</v>
      </c>
      <c r="I933" s="45">
        <v>81720</v>
      </c>
    </row>
    <row r="934" spans="5:9" x14ac:dyDescent="0.3">
      <c r="E934" s="43" t="s">
        <v>935</v>
      </c>
      <c r="F934" s="44">
        <v>42347.179583333331</v>
      </c>
      <c r="G934" s="40" t="s">
        <v>1027</v>
      </c>
      <c r="H934" s="40" t="s">
        <v>1114</v>
      </c>
      <c r="I934" s="45">
        <v>77351</v>
      </c>
    </row>
    <row r="935" spans="5:9" x14ac:dyDescent="0.3">
      <c r="E935" s="43" t="s">
        <v>936</v>
      </c>
      <c r="F935" s="44">
        <v>42131.164004629631</v>
      </c>
      <c r="G935" s="40" t="s">
        <v>1060</v>
      </c>
      <c r="H935" s="40" t="s">
        <v>1083</v>
      </c>
      <c r="I935" s="45">
        <v>28694</v>
      </c>
    </row>
    <row r="936" spans="5:9" x14ac:dyDescent="0.3">
      <c r="E936" s="43" t="s">
        <v>937</v>
      </c>
      <c r="F936" s="44">
        <v>42305.771423611113</v>
      </c>
      <c r="G936" s="40" t="s">
        <v>1061</v>
      </c>
      <c r="H936" s="40" t="s">
        <v>1085</v>
      </c>
      <c r="I936" s="45">
        <v>94747</v>
      </c>
    </row>
    <row r="937" spans="5:9" x14ac:dyDescent="0.3">
      <c r="E937" s="43" t="s">
        <v>938</v>
      </c>
      <c r="F937" s="44">
        <v>42141.36446759259</v>
      </c>
      <c r="G937" s="40" t="s">
        <v>1062</v>
      </c>
      <c r="H937" s="40" t="s">
        <v>1083</v>
      </c>
      <c r="I937" s="45">
        <v>47606</v>
      </c>
    </row>
    <row r="938" spans="5:9" x14ac:dyDescent="0.3">
      <c r="E938" s="43" t="s">
        <v>939</v>
      </c>
      <c r="F938" s="44">
        <v>42338.081400462965</v>
      </c>
      <c r="G938" s="40" t="s">
        <v>1063</v>
      </c>
      <c r="H938" s="40" t="s">
        <v>1086</v>
      </c>
      <c r="I938" s="45">
        <v>57625</v>
      </c>
    </row>
    <row r="939" spans="5:9" x14ac:dyDescent="0.3">
      <c r="E939" s="43" t="s">
        <v>940</v>
      </c>
      <c r="F939" s="44">
        <v>42043.549120370371</v>
      </c>
      <c r="G939" s="40" t="s">
        <v>1064</v>
      </c>
      <c r="H939" s="40" t="s">
        <v>1087</v>
      </c>
      <c r="I939" s="45">
        <v>3492</v>
      </c>
    </row>
    <row r="940" spans="5:9" x14ac:dyDescent="0.3">
      <c r="E940" s="43" t="s">
        <v>941</v>
      </c>
      <c r="F940" s="44">
        <v>42064.659525462965</v>
      </c>
      <c r="G940" s="40" t="s">
        <v>1065</v>
      </c>
      <c r="H940" s="40" t="s">
        <v>1088</v>
      </c>
      <c r="I940" s="45">
        <v>17225</v>
      </c>
    </row>
    <row r="941" spans="5:9" x14ac:dyDescent="0.3">
      <c r="E941" s="43" t="s">
        <v>942</v>
      </c>
      <c r="F941" s="44">
        <v>42328.741527777776</v>
      </c>
      <c r="G941" s="40" t="s">
        <v>1066</v>
      </c>
      <c r="H941" s="40" t="s">
        <v>1089</v>
      </c>
      <c r="I941" s="45">
        <v>74211</v>
      </c>
    </row>
    <row r="942" spans="5:9" x14ac:dyDescent="0.3">
      <c r="E942" s="43" t="s">
        <v>943</v>
      </c>
      <c r="F942" s="44">
        <v>42261.098877314813</v>
      </c>
      <c r="G942" s="40" t="s">
        <v>1010</v>
      </c>
      <c r="H942" s="40" t="s">
        <v>1090</v>
      </c>
      <c r="I942" s="45">
        <v>78080</v>
      </c>
    </row>
    <row r="943" spans="5:9" x14ac:dyDescent="0.3">
      <c r="E943" s="43" t="s">
        <v>944</v>
      </c>
      <c r="F943" s="44">
        <v>42268.786238425928</v>
      </c>
      <c r="G943" s="40" t="s">
        <v>1018</v>
      </c>
      <c r="H943" s="40" t="s">
        <v>1091</v>
      </c>
      <c r="I943" s="45">
        <v>24510</v>
      </c>
    </row>
    <row r="944" spans="5:9" x14ac:dyDescent="0.3">
      <c r="E944" s="43" t="s">
        <v>945</v>
      </c>
      <c r="F944" s="44">
        <v>42149.739305555559</v>
      </c>
      <c r="G944" s="40" t="s">
        <v>1026</v>
      </c>
      <c r="H944" s="40" t="s">
        <v>1092</v>
      </c>
      <c r="I944" s="45">
        <v>48598</v>
      </c>
    </row>
    <row r="945" spans="5:9" x14ac:dyDescent="0.3">
      <c r="E945" s="43" t="s">
        <v>946</v>
      </c>
      <c r="F945" s="44">
        <v>42311.8984837963</v>
      </c>
      <c r="G945" s="40" t="s">
        <v>1067</v>
      </c>
      <c r="H945" s="40" t="s">
        <v>1093</v>
      </c>
      <c r="I945" s="45">
        <v>82837</v>
      </c>
    </row>
    <row r="946" spans="5:9" x14ac:dyDescent="0.3">
      <c r="E946" s="43" t="s">
        <v>947</v>
      </c>
      <c r="F946" s="44">
        <v>42347.277604166666</v>
      </c>
      <c r="G946" s="40" t="s">
        <v>1068</v>
      </c>
      <c r="H946" s="40" t="s">
        <v>1094</v>
      </c>
      <c r="I946" s="45">
        <v>64544</v>
      </c>
    </row>
    <row r="947" spans="5:9" x14ac:dyDescent="0.3">
      <c r="E947" s="43" t="s">
        <v>948</v>
      </c>
      <c r="F947" s="44">
        <v>42121.986655092594</v>
      </c>
      <c r="G947" s="40" t="s">
        <v>1069</v>
      </c>
      <c r="H947" s="40" t="s">
        <v>1095</v>
      </c>
      <c r="I947" s="45">
        <v>64071</v>
      </c>
    </row>
    <row r="948" spans="5:9" x14ac:dyDescent="0.3">
      <c r="E948" s="43" t="s">
        <v>949</v>
      </c>
      <c r="F948" s="44">
        <v>42308.718043981484</v>
      </c>
      <c r="G948" s="40" t="s">
        <v>1070</v>
      </c>
      <c r="H948" s="40" t="s">
        <v>1096</v>
      </c>
      <c r="I948" s="45">
        <v>42166</v>
      </c>
    </row>
    <row r="949" spans="5:9" x14ac:dyDescent="0.3">
      <c r="E949" s="43" t="s">
        <v>950</v>
      </c>
      <c r="F949" s="44">
        <v>42112.108495370368</v>
      </c>
      <c r="G949" s="40" t="s">
        <v>1071</v>
      </c>
      <c r="H949" s="40" t="s">
        <v>1097</v>
      </c>
      <c r="I949" s="45">
        <v>21516</v>
      </c>
    </row>
    <row r="950" spans="5:9" x14ac:dyDescent="0.3">
      <c r="E950" s="43" t="s">
        <v>951</v>
      </c>
      <c r="F950" s="44">
        <v>42037.924907407411</v>
      </c>
      <c r="G950" s="40" t="s">
        <v>1072</v>
      </c>
      <c r="H950" s="40" t="s">
        <v>1098</v>
      </c>
      <c r="I950" s="45">
        <v>85581</v>
      </c>
    </row>
    <row r="951" spans="5:9" x14ac:dyDescent="0.3">
      <c r="E951" s="43" t="s">
        <v>952</v>
      </c>
      <c r="F951" s="44">
        <v>42166.468344907407</v>
      </c>
      <c r="G951" s="40" t="s">
        <v>1073</v>
      </c>
      <c r="H951" s="40" t="s">
        <v>1099</v>
      </c>
      <c r="I951" s="45">
        <v>88949</v>
      </c>
    </row>
    <row r="952" spans="5:9" x14ac:dyDescent="0.3">
      <c r="E952" s="43" t="s">
        <v>953</v>
      </c>
      <c r="F952" s="44">
        <v>42101.899270833332</v>
      </c>
      <c r="G952" s="40" t="s">
        <v>1009</v>
      </c>
      <c r="H952" s="40" t="s">
        <v>1100</v>
      </c>
      <c r="I952" s="45">
        <v>6251</v>
      </c>
    </row>
    <row r="953" spans="5:9" x14ac:dyDescent="0.3">
      <c r="E953" s="43" t="s">
        <v>954</v>
      </c>
      <c r="F953" s="44">
        <v>42249.693472222221</v>
      </c>
      <c r="G953" s="40" t="s">
        <v>1017</v>
      </c>
      <c r="H953" s="40" t="s">
        <v>1101</v>
      </c>
      <c r="I953" s="45">
        <v>66192</v>
      </c>
    </row>
    <row r="954" spans="5:9" x14ac:dyDescent="0.3">
      <c r="E954" s="43" t="s">
        <v>955</v>
      </c>
      <c r="F954" s="44">
        <v>42319.092824074076</v>
      </c>
      <c r="G954" s="40" t="s">
        <v>1025</v>
      </c>
      <c r="H954" s="40" t="s">
        <v>1102</v>
      </c>
      <c r="I954" s="45">
        <v>92354</v>
      </c>
    </row>
    <row r="955" spans="5:9" x14ac:dyDescent="0.3">
      <c r="E955" s="43" t="s">
        <v>956</v>
      </c>
      <c r="F955" s="44">
        <v>42048.830787037034</v>
      </c>
      <c r="G955" s="40" t="s">
        <v>1054</v>
      </c>
      <c r="H955" s="40" t="s">
        <v>1103</v>
      </c>
      <c r="I955" s="45">
        <v>60894</v>
      </c>
    </row>
    <row r="956" spans="5:9" x14ac:dyDescent="0.3">
      <c r="E956" s="43" t="s">
        <v>957</v>
      </c>
      <c r="F956" s="44">
        <v>42357.91070601852</v>
      </c>
      <c r="G956" s="40" t="s">
        <v>1055</v>
      </c>
      <c r="H956" s="40" t="s">
        <v>1104</v>
      </c>
      <c r="I956" s="45">
        <v>49176</v>
      </c>
    </row>
    <row r="957" spans="5:9" x14ac:dyDescent="0.3">
      <c r="E957" s="43" t="s">
        <v>958</v>
      </c>
      <c r="F957" s="44">
        <v>42078.964513888888</v>
      </c>
      <c r="G957" s="40" t="s">
        <v>1056</v>
      </c>
      <c r="H957" s="40" t="s">
        <v>1105</v>
      </c>
      <c r="I957" s="45">
        <v>47268</v>
      </c>
    </row>
    <row r="958" spans="5:9" x14ac:dyDescent="0.3">
      <c r="E958" s="43" t="s">
        <v>959</v>
      </c>
      <c r="F958" s="44">
        <v>42203.317615740743</v>
      </c>
      <c r="G958" s="40" t="s">
        <v>1057</v>
      </c>
      <c r="H958" s="40" t="s">
        <v>1106</v>
      </c>
      <c r="I958" s="45">
        <v>68306</v>
      </c>
    </row>
    <row r="959" spans="5:9" x14ac:dyDescent="0.3">
      <c r="E959" s="43" t="s">
        <v>960</v>
      </c>
      <c r="F959" s="44">
        <v>42275.128275462965</v>
      </c>
      <c r="G959" s="40" t="s">
        <v>1058</v>
      </c>
      <c r="H959" s="40" t="s">
        <v>1107</v>
      </c>
      <c r="I959" s="45">
        <v>78431</v>
      </c>
    </row>
    <row r="960" spans="5:9" x14ac:dyDescent="0.3">
      <c r="E960" s="43" t="s">
        <v>961</v>
      </c>
      <c r="F960" s="44">
        <v>42032.422685185185</v>
      </c>
      <c r="G960" s="40" t="s">
        <v>1059</v>
      </c>
      <c r="H960" s="40" t="s">
        <v>1108</v>
      </c>
      <c r="I960" s="45">
        <v>24854</v>
      </c>
    </row>
    <row r="961" spans="5:9" x14ac:dyDescent="0.3">
      <c r="E961" s="43" t="s">
        <v>962</v>
      </c>
      <c r="F961" s="44">
        <v>42123.237615740742</v>
      </c>
      <c r="G961" s="40" t="s">
        <v>1011</v>
      </c>
      <c r="H961" s="40" t="s">
        <v>1109</v>
      </c>
      <c r="I961" s="45">
        <v>3072</v>
      </c>
    </row>
    <row r="962" spans="5:9" x14ac:dyDescent="0.3">
      <c r="E962" s="43" t="s">
        <v>963</v>
      </c>
      <c r="F962" s="44">
        <v>42314.091168981482</v>
      </c>
      <c r="G962" s="40" t="s">
        <v>1019</v>
      </c>
      <c r="H962" s="40" t="s">
        <v>1110</v>
      </c>
      <c r="I962" s="45">
        <v>58691</v>
      </c>
    </row>
    <row r="963" spans="5:9" x14ac:dyDescent="0.3">
      <c r="E963" s="43" t="s">
        <v>964</v>
      </c>
      <c r="F963" s="44">
        <v>42067.660277777781</v>
      </c>
      <c r="G963" s="40" t="s">
        <v>1027</v>
      </c>
      <c r="H963" s="40" t="s">
        <v>1111</v>
      </c>
      <c r="I963" s="45">
        <v>38791</v>
      </c>
    </row>
    <row r="964" spans="5:9" x14ac:dyDescent="0.3">
      <c r="E964" s="43" t="s">
        <v>965</v>
      </c>
      <c r="F964" s="44">
        <v>42239.080821759257</v>
      </c>
      <c r="G964" s="40" t="s">
        <v>1060</v>
      </c>
      <c r="H964" s="40" t="s">
        <v>1112</v>
      </c>
      <c r="I964" s="45">
        <v>96164</v>
      </c>
    </row>
    <row r="965" spans="5:9" x14ac:dyDescent="0.3">
      <c r="E965" s="43" t="s">
        <v>966</v>
      </c>
      <c r="F965" s="44">
        <v>42038.763182870367</v>
      </c>
      <c r="G965" s="40" t="s">
        <v>1061</v>
      </c>
      <c r="H965" s="40" t="s">
        <v>1113</v>
      </c>
      <c r="I965" s="45">
        <v>2216</v>
      </c>
    </row>
    <row r="966" spans="5:9" x14ac:dyDescent="0.3">
      <c r="E966" s="43" t="s">
        <v>967</v>
      </c>
      <c r="F966" s="44">
        <v>42177.200219907405</v>
      </c>
      <c r="G966" s="40" t="s">
        <v>1062</v>
      </c>
      <c r="H966" s="40" t="s">
        <v>1114</v>
      </c>
      <c r="I966" s="45">
        <v>7454</v>
      </c>
    </row>
    <row r="967" spans="5:9" x14ac:dyDescent="0.3">
      <c r="E967" s="43" t="s">
        <v>968</v>
      </c>
      <c r="F967" s="44">
        <v>42108.457314814812</v>
      </c>
      <c r="G967" s="40" t="s">
        <v>1063</v>
      </c>
      <c r="H967" s="40" t="s">
        <v>1083</v>
      </c>
      <c r="I967" s="45">
        <v>3262</v>
      </c>
    </row>
    <row r="968" spans="5:9" x14ac:dyDescent="0.3">
      <c r="E968" s="43" t="s">
        <v>969</v>
      </c>
      <c r="F968" s="44">
        <v>42191.324456018519</v>
      </c>
      <c r="G968" s="40" t="s">
        <v>1064</v>
      </c>
      <c r="H968" s="40" t="s">
        <v>1085</v>
      </c>
      <c r="I968" s="45">
        <v>9405</v>
      </c>
    </row>
    <row r="969" spans="5:9" x14ac:dyDescent="0.3">
      <c r="E969" s="43" t="s">
        <v>970</v>
      </c>
      <c r="F969" s="44">
        <v>42077.869722222225</v>
      </c>
      <c r="G969" s="40" t="s">
        <v>1065</v>
      </c>
      <c r="H969" s="40" t="s">
        <v>1083</v>
      </c>
      <c r="I969" s="45">
        <v>11566</v>
      </c>
    </row>
    <row r="970" spans="5:9" x14ac:dyDescent="0.3">
      <c r="E970" s="43" t="s">
        <v>971</v>
      </c>
      <c r="F970" s="44">
        <v>42351.827962962961</v>
      </c>
      <c r="G970" s="40" t="s">
        <v>1066</v>
      </c>
      <c r="H970" s="40" t="s">
        <v>1086</v>
      </c>
      <c r="I970" s="45">
        <v>38467</v>
      </c>
    </row>
    <row r="971" spans="5:9" x14ac:dyDescent="0.3">
      <c r="E971" s="43" t="s">
        <v>972</v>
      </c>
      <c r="F971" s="44">
        <v>42124.542025462964</v>
      </c>
      <c r="G971" s="40" t="s">
        <v>1010</v>
      </c>
      <c r="H971" s="40" t="s">
        <v>1087</v>
      </c>
      <c r="I971" s="45">
        <v>90481</v>
      </c>
    </row>
    <row r="972" spans="5:9" x14ac:dyDescent="0.3">
      <c r="E972" s="43" t="s">
        <v>973</v>
      </c>
      <c r="F972" s="44">
        <v>42279.759664351855</v>
      </c>
      <c r="G972" s="40" t="s">
        <v>1018</v>
      </c>
      <c r="H972" s="40" t="s">
        <v>1088</v>
      </c>
      <c r="I972" s="45">
        <v>36137</v>
      </c>
    </row>
    <row r="973" spans="5:9" x14ac:dyDescent="0.3">
      <c r="E973" s="43" t="s">
        <v>974</v>
      </c>
      <c r="F973" s="44">
        <v>42042.766365740739</v>
      </c>
      <c r="G973" s="40" t="s">
        <v>1026</v>
      </c>
      <c r="H973" s="40" t="s">
        <v>1089</v>
      </c>
      <c r="I973" s="45">
        <v>98062</v>
      </c>
    </row>
    <row r="974" spans="5:9" x14ac:dyDescent="0.3">
      <c r="E974" s="43" t="s">
        <v>975</v>
      </c>
      <c r="F974" s="44">
        <v>42267.298275462963</v>
      </c>
      <c r="G974" s="40" t="s">
        <v>1067</v>
      </c>
      <c r="H974" s="40" t="s">
        <v>1090</v>
      </c>
      <c r="I974" s="45">
        <v>83312</v>
      </c>
    </row>
    <row r="975" spans="5:9" x14ac:dyDescent="0.3">
      <c r="E975" s="43" t="s">
        <v>976</v>
      </c>
      <c r="F975" s="44">
        <v>42060.725358796299</v>
      </c>
      <c r="G975" s="40" t="s">
        <v>1068</v>
      </c>
      <c r="H975" s="40" t="s">
        <v>1091</v>
      </c>
      <c r="I975" s="45">
        <v>44884</v>
      </c>
    </row>
    <row r="976" spans="5:9" x14ac:dyDescent="0.3">
      <c r="E976" s="43" t="s">
        <v>977</v>
      </c>
      <c r="F976" s="44">
        <v>42315.40042824074</v>
      </c>
      <c r="G976" s="40" t="s">
        <v>1069</v>
      </c>
      <c r="H976" s="40" t="s">
        <v>1092</v>
      </c>
      <c r="I976" s="45">
        <v>15653</v>
      </c>
    </row>
    <row r="977" spans="5:9" x14ac:dyDescent="0.3">
      <c r="E977" s="43" t="s">
        <v>978</v>
      </c>
      <c r="F977" s="44">
        <v>42276.793263888889</v>
      </c>
      <c r="G977" s="40" t="s">
        <v>1070</v>
      </c>
      <c r="H977" s="40" t="s">
        <v>1093</v>
      </c>
      <c r="I977" s="45">
        <v>55302</v>
      </c>
    </row>
    <row r="978" spans="5:9" x14ac:dyDescent="0.3">
      <c r="E978" s="43" t="s">
        <v>979</v>
      </c>
      <c r="F978" s="44">
        <v>42035.672997685186</v>
      </c>
      <c r="G978" s="40" t="s">
        <v>1071</v>
      </c>
      <c r="H978" s="40" t="s">
        <v>1094</v>
      </c>
      <c r="I978" s="45">
        <v>54961</v>
      </c>
    </row>
    <row r="979" spans="5:9" x14ac:dyDescent="0.3">
      <c r="E979" s="43" t="s">
        <v>980</v>
      </c>
      <c r="F979" s="44">
        <v>42227.030162037037</v>
      </c>
      <c r="G979" s="40" t="s">
        <v>1072</v>
      </c>
      <c r="H979" s="40" t="s">
        <v>1095</v>
      </c>
      <c r="I979" s="45">
        <v>92814</v>
      </c>
    </row>
    <row r="980" spans="5:9" x14ac:dyDescent="0.3">
      <c r="E980" s="43" t="s">
        <v>981</v>
      </c>
      <c r="F980" s="44">
        <v>42141.513703703706</v>
      </c>
      <c r="G980" s="40" t="s">
        <v>1073</v>
      </c>
      <c r="H980" s="40" t="s">
        <v>1096</v>
      </c>
      <c r="I980" s="45">
        <v>41652</v>
      </c>
    </row>
    <row r="981" spans="5:9" x14ac:dyDescent="0.3">
      <c r="E981" s="43" t="s">
        <v>982</v>
      </c>
      <c r="F981" s="44">
        <v>42178.17627314815</v>
      </c>
      <c r="G981" s="40" t="s">
        <v>1009</v>
      </c>
      <c r="H981" s="40" t="s">
        <v>1097</v>
      </c>
      <c r="I981" s="45">
        <v>4943</v>
      </c>
    </row>
    <row r="982" spans="5:9" x14ac:dyDescent="0.3">
      <c r="E982" s="43" t="s">
        <v>983</v>
      </c>
      <c r="F982" s="44">
        <v>42048.127291666664</v>
      </c>
      <c r="G982" s="40" t="s">
        <v>1017</v>
      </c>
      <c r="H982" s="40" t="s">
        <v>1098</v>
      </c>
      <c r="I982" s="45">
        <v>83326</v>
      </c>
    </row>
    <row r="983" spans="5:9" x14ac:dyDescent="0.3">
      <c r="E983" s="43" t="s">
        <v>984</v>
      </c>
      <c r="F983" s="44">
        <v>42257.05300925926</v>
      </c>
      <c r="G983" s="40" t="s">
        <v>1025</v>
      </c>
      <c r="H983" s="40" t="s">
        <v>1099</v>
      </c>
      <c r="I983" s="45">
        <v>79249</v>
      </c>
    </row>
    <row r="984" spans="5:9" x14ac:dyDescent="0.3">
      <c r="E984" s="43" t="s">
        <v>985</v>
      </c>
      <c r="F984" s="44">
        <v>42213.012384259258</v>
      </c>
      <c r="G984" s="40" t="s">
        <v>1054</v>
      </c>
      <c r="H984" s="40" t="s">
        <v>1100</v>
      </c>
      <c r="I984" s="45">
        <v>62978</v>
      </c>
    </row>
    <row r="985" spans="5:9" x14ac:dyDescent="0.3">
      <c r="E985" s="43" t="s">
        <v>986</v>
      </c>
      <c r="F985" s="44">
        <v>42079.976736111108</v>
      </c>
      <c r="G985" s="40" t="s">
        <v>1055</v>
      </c>
      <c r="H985" s="40" t="s">
        <v>1101</v>
      </c>
      <c r="I985" s="45">
        <v>94303</v>
      </c>
    </row>
    <row r="986" spans="5:9" x14ac:dyDescent="0.3">
      <c r="E986" s="43" t="s">
        <v>987</v>
      </c>
      <c r="F986" s="44">
        <v>42343.5856712963</v>
      </c>
      <c r="G986" s="40" t="s">
        <v>1056</v>
      </c>
      <c r="H986" s="40" t="s">
        <v>1102</v>
      </c>
      <c r="I986" s="45">
        <v>46718</v>
      </c>
    </row>
    <row r="987" spans="5:9" x14ac:dyDescent="0.3">
      <c r="E987" s="43" t="s">
        <v>988</v>
      </c>
      <c r="F987" s="44">
        <v>42135.07403935185</v>
      </c>
      <c r="G987" s="40" t="s">
        <v>1057</v>
      </c>
      <c r="H987" s="40" t="s">
        <v>1103</v>
      </c>
      <c r="I987" s="45">
        <v>48571</v>
      </c>
    </row>
    <row r="988" spans="5:9" x14ac:dyDescent="0.3">
      <c r="E988" s="43" t="s">
        <v>989</v>
      </c>
      <c r="F988" s="44">
        <v>42136.074456018519</v>
      </c>
      <c r="G988" s="40" t="s">
        <v>1058</v>
      </c>
      <c r="H988" s="40" t="s">
        <v>1104</v>
      </c>
      <c r="I988" s="45">
        <v>88039</v>
      </c>
    </row>
    <row r="989" spans="5:9" x14ac:dyDescent="0.3">
      <c r="E989" s="43" t="s">
        <v>990</v>
      </c>
      <c r="F989" s="44">
        <v>42197.412951388891</v>
      </c>
      <c r="G989" s="40" t="s">
        <v>1059</v>
      </c>
      <c r="H989" s="40" t="s">
        <v>1105</v>
      </c>
      <c r="I989" s="45">
        <v>36135</v>
      </c>
    </row>
    <row r="990" spans="5:9" x14ac:dyDescent="0.3">
      <c r="E990" s="43" t="s">
        <v>991</v>
      </c>
      <c r="F990" s="44">
        <v>42100.757951388892</v>
      </c>
      <c r="G990" s="40" t="s">
        <v>1011</v>
      </c>
      <c r="H990" s="40" t="s">
        <v>1106</v>
      </c>
      <c r="I990" s="45">
        <v>13595</v>
      </c>
    </row>
    <row r="991" spans="5:9" x14ac:dyDescent="0.3">
      <c r="E991" s="43" t="s">
        <v>992</v>
      </c>
      <c r="F991" s="44">
        <v>42319.262372685182</v>
      </c>
      <c r="G991" s="40" t="s">
        <v>1019</v>
      </c>
      <c r="H991" s="40" t="s">
        <v>1107</v>
      </c>
      <c r="I991" s="45">
        <v>73419</v>
      </c>
    </row>
    <row r="992" spans="5:9" x14ac:dyDescent="0.3">
      <c r="E992" s="43" t="s">
        <v>993</v>
      </c>
      <c r="F992" s="44">
        <v>42225.163495370369</v>
      </c>
      <c r="G992" s="40" t="s">
        <v>1027</v>
      </c>
      <c r="H992" s="40" t="s">
        <v>1108</v>
      </c>
      <c r="I992" s="45">
        <v>13762</v>
      </c>
    </row>
    <row r="993" spans="5:9" x14ac:dyDescent="0.3">
      <c r="E993" s="43" t="s">
        <v>994</v>
      </c>
      <c r="F993" s="44">
        <v>42163.231261574074</v>
      </c>
      <c r="G993" s="40" t="s">
        <v>1060</v>
      </c>
      <c r="H993" s="40" t="s">
        <v>1109</v>
      </c>
      <c r="I993" s="45">
        <v>11981</v>
      </c>
    </row>
    <row r="994" spans="5:9" x14ac:dyDescent="0.3">
      <c r="E994" s="43" t="s">
        <v>995</v>
      </c>
      <c r="F994" s="44">
        <v>42027.446759259263</v>
      </c>
      <c r="G994" s="40" t="s">
        <v>1061</v>
      </c>
      <c r="H994" s="40" t="s">
        <v>1110</v>
      </c>
      <c r="I994" s="45">
        <v>25386</v>
      </c>
    </row>
    <row r="995" spans="5:9" x14ac:dyDescent="0.3">
      <c r="E995" s="43" t="s">
        <v>996</v>
      </c>
      <c r="F995" s="44">
        <v>42346.154502314814</v>
      </c>
      <c r="G995" s="40" t="s">
        <v>1062</v>
      </c>
      <c r="H995" s="40" t="s">
        <v>1111</v>
      </c>
      <c r="I995" s="45">
        <v>49700</v>
      </c>
    </row>
    <row r="996" spans="5:9" x14ac:dyDescent="0.3">
      <c r="E996" s="43" t="s">
        <v>997</v>
      </c>
      <c r="F996" s="44">
        <v>42359.843877314815</v>
      </c>
      <c r="G996" s="40" t="s">
        <v>1063</v>
      </c>
      <c r="H996" s="40" t="s">
        <v>1112</v>
      </c>
      <c r="I996" s="45">
        <v>7711</v>
      </c>
    </row>
    <row r="997" spans="5:9" x14ac:dyDescent="0.3">
      <c r="E997" s="43" t="s">
        <v>998</v>
      </c>
      <c r="F997" s="44">
        <v>42165.991724537038</v>
      </c>
      <c r="G997" s="40" t="s">
        <v>1064</v>
      </c>
      <c r="H997" s="40" t="s">
        <v>1113</v>
      </c>
      <c r="I997" s="45">
        <v>65887</v>
      </c>
    </row>
    <row r="998" spans="5:9" x14ac:dyDescent="0.3">
      <c r="E998" s="43" t="s">
        <v>999</v>
      </c>
      <c r="F998" s="44">
        <v>42205.770925925928</v>
      </c>
      <c r="G998" s="40" t="s">
        <v>1065</v>
      </c>
      <c r="H998" s="40" t="s">
        <v>1114</v>
      </c>
      <c r="I998" s="45">
        <v>85368</v>
      </c>
    </row>
    <row r="999" spans="5:9" x14ac:dyDescent="0.3">
      <c r="E999" s="43" t="s">
        <v>1000</v>
      </c>
      <c r="F999" s="44">
        <v>42279.390740740739</v>
      </c>
      <c r="G999" s="40" t="s">
        <v>1066</v>
      </c>
      <c r="H999" s="40" t="s">
        <v>1083</v>
      </c>
      <c r="I999" s="45">
        <v>41061</v>
      </c>
    </row>
    <row r="1000" spans="5:9" x14ac:dyDescent="0.3">
      <c r="E1000" s="43" t="s">
        <v>1001</v>
      </c>
      <c r="F1000" s="44">
        <v>42353.763854166667</v>
      </c>
      <c r="G1000" s="40" t="s">
        <v>1010</v>
      </c>
      <c r="H1000" s="40" t="s">
        <v>1085</v>
      </c>
      <c r="I1000" s="45">
        <v>38787</v>
      </c>
    </row>
    <row r="1001" spans="5:9" x14ac:dyDescent="0.3">
      <c r="E1001" s="43" t="s">
        <v>1002</v>
      </c>
      <c r="F1001" s="44">
        <v>42127.213506944441</v>
      </c>
      <c r="G1001" s="40" t="s">
        <v>1018</v>
      </c>
      <c r="H1001" s="40" t="s">
        <v>1083</v>
      </c>
      <c r="I1001" s="45">
        <v>27944</v>
      </c>
    </row>
    <row r="1002" spans="5:9" x14ac:dyDescent="0.3">
      <c r="E1002" s="43" t="s">
        <v>1003</v>
      </c>
      <c r="F1002" s="44">
        <v>42009.290173611109</v>
      </c>
      <c r="G1002" s="40" t="s">
        <v>1026</v>
      </c>
      <c r="H1002" s="40" t="s">
        <v>1086</v>
      </c>
      <c r="I1002" s="45">
        <v>19349</v>
      </c>
    </row>
    <row r="1003" spans="5:9" x14ac:dyDescent="0.3">
      <c r="E1003" s="43" t="s">
        <v>1004</v>
      </c>
      <c r="F1003" s="44">
        <v>42154.006215277775</v>
      </c>
      <c r="G1003" s="40" t="s">
        <v>1067</v>
      </c>
      <c r="H1003" s="40" t="s">
        <v>1087</v>
      </c>
      <c r="I1003" s="45">
        <v>9577</v>
      </c>
    </row>
    <row r="1004" spans="5:9" x14ac:dyDescent="0.3">
      <c r="E1004" s="43" t="s">
        <v>1005</v>
      </c>
      <c r="F1004" s="44">
        <v>42355.913622685184</v>
      </c>
      <c r="G1004" s="40" t="s">
        <v>1068</v>
      </c>
      <c r="H1004" s="40" t="s">
        <v>1088</v>
      </c>
      <c r="I1004" s="45">
        <v>58174</v>
      </c>
    </row>
    <row r="1005" spans="5:9" x14ac:dyDescent="0.3">
      <c r="E1005" s="43" t="s">
        <v>1006</v>
      </c>
      <c r="F1005" s="44">
        <v>42140.343981481485</v>
      </c>
      <c r="G1005" s="40" t="s">
        <v>1069</v>
      </c>
      <c r="H1005" s="40" t="s">
        <v>1089</v>
      </c>
      <c r="I1005" s="45">
        <v>12288</v>
      </c>
    </row>
    <row r="1006" spans="5:9" x14ac:dyDescent="0.3">
      <c r="E1006" s="46" t="s">
        <v>1007</v>
      </c>
      <c r="F1006" s="47">
        <v>42089.397870370369</v>
      </c>
      <c r="G1006" s="42" t="s">
        <v>1070</v>
      </c>
      <c r="H1006" s="42" t="s">
        <v>1090</v>
      </c>
      <c r="I1006" s="48">
        <v>30827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AA53-DA82-492E-B3C1-5BB53DCFDFEC}">
  <dimension ref="A1:E11"/>
  <sheetViews>
    <sheetView workbookViewId="0">
      <selection activeCell="C8" sqref="C8"/>
    </sheetView>
  </sheetViews>
  <sheetFormatPr defaultColWidth="9.109375" defaultRowHeight="14.4" x14ac:dyDescent="0.3"/>
  <cols>
    <col min="1" max="1" width="26.33203125" style="10" customWidth="1"/>
    <col min="257" max="257" width="20.6640625" customWidth="1"/>
    <col min="513" max="513" width="20.6640625" customWidth="1"/>
    <col min="769" max="769" width="20.6640625" customWidth="1"/>
    <col min="1025" max="1025" width="20.6640625" customWidth="1"/>
    <col min="1281" max="1281" width="20.6640625" customWidth="1"/>
    <col min="1537" max="1537" width="20.6640625" customWidth="1"/>
    <col min="1793" max="1793" width="20.6640625" customWidth="1"/>
    <col min="2049" max="2049" width="20.6640625" customWidth="1"/>
    <col min="2305" max="2305" width="20.6640625" customWidth="1"/>
    <col min="2561" max="2561" width="20.6640625" customWidth="1"/>
    <col min="2817" max="2817" width="20.6640625" customWidth="1"/>
    <col min="3073" max="3073" width="20.6640625" customWidth="1"/>
    <col min="3329" max="3329" width="20.6640625" customWidth="1"/>
    <col min="3585" max="3585" width="20.6640625" customWidth="1"/>
    <col min="3841" max="3841" width="20.6640625" customWidth="1"/>
    <col min="4097" max="4097" width="20.6640625" customWidth="1"/>
    <col min="4353" max="4353" width="20.6640625" customWidth="1"/>
    <col min="4609" max="4609" width="20.6640625" customWidth="1"/>
    <col min="4865" max="4865" width="20.6640625" customWidth="1"/>
    <col min="5121" max="5121" width="20.6640625" customWidth="1"/>
    <col min="5377" max="5377" width="20.6640625" customWidth="1"/>
    <col min="5633" max="5633" width="20.6640625" customWidth="1"/>
    <col min="5889" max="5889" width="20.6640625" customWidth="1"/>
    <col min="6145" max="6145" width="20.6640625" customWidth="1"/>
    <col min="6401" max="6401" width="20.6640625" customWidth="1"/>
    <col min="6657" max="6657" width="20.6640625" customWidth="1"/>
    <col min="6913" max="6913" width="20.6640625" customWidth="1"/>
    <col min="7169" max="7169" width="20.6640625" customWidth="1"/>
    <col min="7425" max="7425" width="20.6640625" customWidth="1"/>
    <col min="7681" max="7681" width="20.6640625" customWidth="1"/>
    <col min="7937" max="7937" width="20.6640625" customWidth="1"/>
    <col min="8193" max="8193" width="20.6640625" customWidth="1"/>
    <col min="8449" max="8449" width="20.6640625" customWidth="1"/>
    <col min="8705" max="8705" width="20.6640625" customWidth="1"/>
    <col min="8961" max="8961" width="20.6640625" customWidth="1"/>
    <col min="9217" max="9217" width="20.6640625" customWidth="1"/>
    <col min="9473" max="9473" width="20.6640625" customWidth="1"/>
    <col min="9729" max="9729" width="20.6640625" customWidth="1"/>
    <col min="9985" max="9985" width="20.6640625" customWidth="1"/>
    <col min="10241" max="10241" width="20.6640625" customWidth="1"/>
    <col min="10497" max="10497" width="20.6640625" customWidth="1"/>
    <col min="10753" max="10753" width="20.6640625" customWidth="1"/>
    <col min="11009" max="11009" width="20.6640625" customWidth="1"/>
    <col min="11265" max="11265" width="20.6640625" customWidth="1"/>
    <col min="11521" max="11521" width="20.6640625" customWidth="1"/>
    <col min="11777" max="11777" width="20.6640625" customWidth="1"/>
    <col min="12033" max="12033" width="20.6640625" customWidth="1"/>
    <col min="12289" max="12289" width="20.6640625" customWidth="1"/>
    <col min="12545" max="12545" width="20.6640625" customWidth="1"/>
    <col min="12801" max="12801" width="20.6640625" customWidth="1"/>
    <col min="13057" max="13057" width="20.6640625" customWidth="1"/>
    <col min="13313" max="13313" width="20.6640625" customWidth="1"/>
    <col min="13569" max="13569" width="20.6640625" customWidth="1"/>
    <col min="13825" max="13825" width="20.6640625" customWidth="1"/>
    <col min="14081" max="14081" width="20.6640625" customWidth="1"/>
    <col min="14337" max="14337" width="20.6640625" customWidth="1"/>
    <col min="14593" max="14593" width="20.6640625" customWidth="1"/>
    <col min="14849" max="14849" width="20.6640625" customWidth="1"/>
    <col min="15105" max="15105" width="20.6640625" customWidth="1"/>
    <col min="15361" max="15361" width="20.6640625" customWidth="1"/>
    <col min="15617" max="15617" width="20.6640625" customWidth="1"/>
    <col min="15873" max="15873" width="20.6640625" customWidth="1"/>
    <col min="16129" max="16129" width="20.6640625" customWidth="1"/>
  </cols>
  <sheetData>
    <row r="1" spans="1:5" x14ac:dyDescent="0.3">
      <c r="A1" s="3" t="s">
        <v>1115</v>
      </c>
      <c r="B1" s="3" t="s">
        <v>1116</v>
      </c>
      <c r="C1" s="3" t="s">
        <v>1117</v>
      </c>
      <c r="D1" s="3" t="s">
        <v>1118</v>
      </c>
    </row>
    <row r="2" spans="1:5" x14ac:dyDescent="0.3">
      <c r="A2" s="4" t="s">
        <v>1119</v>
      </c>
      <c r="B2" s="5">
        <v>5000</v>
      </c>
      <c r="C2" s="5">
        <v>6000</v>
      </c>
      <c r="D2" s="5">
        <v>4500</v>
      </c>
    </row>
    <row r="3" spans="1:5" x14ac:dyDescent="0.3">
      <c r="A3" s="4" t="s">
        <v>1120</v>
      </c>
      <c r="B3" s="5">
        <v>5800</v>
      </c>
      <c r="C3" s="5">
        <v>7000</v>
      </c>
      <c r="D3" s="5">
        <v>3000</v>
      </c>
    </row>
    <row r="4" spans="1:5" x14ac:dyDescent="0.3">
      <c r="A4" s="4" t="s">
        <v>1121</v>
      </c>
      <c r="B4" s="5">
        <v>3500</v>
      </c>
      <c r="C4" s="5">
        <v>2000</v>
      </c>
      <c r="D4" s="5">
        <v>10000</v>
      </c>
    </row>
    <row r="5" spans="1:5" x14ac:dyDescent="0.3">
      <c r="A5" s="4" t="s">
        <v>1122</v>
      </c>
      <c r="B5" s="5">
        <v>12000</v>
      </c>
      <c r="C5" s="5">
        <v>4000</v>
      </c>
      <c r="D5" s="5">
        <v>6000</v>
      </c>
    </row>
    <row r="7" spans="1:5" x14ac:dyDescent="0.3">
      <c r="A7" s="6"/>
      <c r="B7" s="7" t="s">
        <v>1143</v>
      </c>
      <c r="C7" s="8" cm="1">
        <f t="array" ref="C7">SUM(COUNTIF(B2:D5,{"&gt;4000","&gt;6000"})*{1,-1})</f>
        <v>5</v>
      </c>
      <c r="E7" s="9"/>
    </row>
    <row r="8" spans="1:5" x14ac:dyDescent="0.3">
      <c r="E8">
        <f>COUNTIFS(B2:D5,"&gt;4000",B2:D5,"&lt;=6000")</f>
        <v>5</v>
      </c>
    </row>
    <row r="9" spans="1:5" x14ac:dyDescent="0.3">
      <c r="C9" cm="1">
        <f t="array" ref="C9">SUMPRODUCT((B2:D5&gt;4000)*(B2:D5&lt;=6000))</f>
        <v>5</v>
      </c>
    </row>
    <row r="11" spans="1:5" x14ac:dyDescent="0.3">
      <c r="C11" cm="1">
        <f t="array" ref="C11">SUM(IF((B2:D5&gt;4000)*(B2:D5&lt;6001),1,0))</f>
        <v>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9DBD-C945-464A-9E83-EC3AEA88B57A}">
  <dimension ref="A1:E28"/>
  <sheetViews>
    <sheetView workbookViewId="0">
      <selection activeCell="E5" sqref="E5"/>
    </sheetView>
  </sheetViews>
  <sheetFormatPr defaultRowHeight="14.4" x14ac:dyDescent="0.3"/>
  <cols>
    <col min="1" max="1" width="41" bestFit="1" customWidth="1"/>
    <col min="2" max="2" width="18.44140625" bestFit="1" customWidth="1"/>
    <col min="3" max="3" width="9.6640625" customWidth="1"/>
  </cols>
  <sheetData>
    <row r="1" spans="1:5" x14ac:dyDescent="0.3">
      <c r="A1" s="1" t="s">
        <v>1140</v>
      </c>
    </row>
    <row r="2" spans="1:5" x14ac:dyDescent="0.3">
      <c r="B2" s="1" t="s">
        <v>1141</v>
      </c>
    </row>
    <row r="3" spans="1:5" x14ac:dyDescent="0.3">
      <c r="A3" t="s">
        <v>1014</v>
      </c>
      <c r="B3" t="str">
        <f ca="1">INDEX(A3:A14,RANDBETWEEN(1,COUNTA(A3:A14)))</f>
        <v>Sheetal Nishad</v>
      </c>
      <c r="C3" t="str" cm="1">
        <f t="array" aca="1" ref="C3" ca="1">INDEX(A3:A14,RANDBETWEEN(1,COUNTA(A3:A14)))</f>
        <v>Krutika Shelar</v>
      </c>
      <c r="E3" t="str" cm="1">
        <f t="array" aca="1" ref="E3" ca="1">INDEX(A3:A14,RANDBETWEEN(1,COUNTA(A3:A14)))</f>
        <v>Dharmendar Rana</v>
      </c>
    </row>
    <row r="4" spans="1:5" x14ac:dyDescent="0.3">
      <c r="A4" t="s">
        <v>1024</v>
      </c>
    </row>
    <row r="5" spans="1:5" x14ac:dyDescent="0.3">
      <c r="A5" t="s">
        <v>1065</v>
      </c>
    </row>
    <row r="6" spans="1:5" x14ac:dyDescent="0.3">
      <c r="A6" t="s">
        <v>1025</v>
      </c>
    </row>
    <row r="7" spans="1:5" x14ac:dyDescent="0.3">
      <c r="A7" t="s">
        <v>1009</v>
      </c>
      <c r="B7" t="str" cm="1">
        <f t="array" aca="1" ref="B7" ca="1">INDEX(A3:A14, RANDBETWEEN(1,COUNTA(A3:A14)))</f>
        <v>Vini Saini</v>
      </c>
      <c r="C7" t="str">
        <f>INDEX(A3:A14,1)</f>
        <v>Arjun Shaw</v>
      </c>
    </row>
    <row r="8" spans="1:5" x14ac:dyDescent="0.3">
      <c r="A8" t="s">
        <v>1017</v>
      </c>
      <c r="B8" t="s">
        <v>1145</v>
      </c>
    </row>
    <row r="9" spans="1:5" x14ac:dyDescent="0.3">
      <c r="A9" t="s">
        <v>1027</v>
      </c>
      <c r="B9" t="s">
        <v>1144</v>
      </c>
    </row>
    <row r="10" spans="1:5" x14ac:dyDescent="0.3">
      <c r="A10" t="s">
        <v>1066</v>
      </c>
      <c r="B10" t="s">
        <v>1144</v>
      </c>
    </row>
    <row r="11" spans="1:5" x14ac:dyDescent="0.3">
      <c r="A11" t="s">
        <v>1013</v>
      </c>
      <c r="B11" t="s">
        <v>1144</v>
      </c>
    </row>
    <row r="12" spans="1:5" x14ac:dyDescent="0.3">
      <c r="A12" t="s">
        <v>1018</v>
      </c>
      <c r="B12" t="s">
        <v>1144</v>
      </c>
    </row>
    <row r="13" spans="1:5" x14ac:dyDescent="0.3">
      <c r="A13" t="s">
        <v>1016</v>
      </c>
      <c r="B13" t="s">
        <v>1144</v>
      </c>
    </row>
    <row r="14" spans="1:5" x14ac:dyDescent="0.3">
      <c r="A14" t="s">
        <v>1019</v>
      </c>
      <c r="B14" t="s">
        <v>1144</v>
      </c>
    </row>
    <row r="15" spans="1:5" x14ac:dyDescent="0.3">
      <c r="B15" t="s">
        <v>1145</v>
      </c>
    </row>
    <row r="16" spans="1:5" x14ac:dyDescent="0.3">
      <c r="B16" t="s">
        <v>1144</v>
      </c>
    </row>
    <row r="17" spans="2:2" x14ac:dyDescent="0.3">
      <c r="B17" t="s">
        <v>1144</v>
      </c>
    </row>
    <row r="18" spans="2:2" x14ac:dyDescent="0.3">
      <c r="B18" t="s">
        <v>1144</v>
      </c>
    </row>
    <row r="19" spans="2:2" x14ac:dyDescent="0.3">
      <c r="B19" t="s">
        <v>1144</v>
      </c>
    </row>
    <row r="20" spans="2:2" x14ac:dyDescent="0.3">
      <c r="B20" t="s">
        <v>1144</v>
      </c>
    </row>
    <row r="21" spans="2:2" x14ac:dyDescent="0.3">
      <c r="B21" t="s">
        <v>1144</v>
      </c>
    </row>
    <row r="22" spans="2:2" x14ac:dyDescent="0.3">
      <c r="B22" t="s">
        <v>1144</v>
      </c>
    </row>
    <row r="23" spans="2:2" x14ac:dyDescent="0.3">
      <c r="B23" t="s">
        <v>1144</v>
      </c>
    </row>
    <row r="24" spans="2:2" x14ac:dyDescent="0.3">
      <c r="B24" t="s">
        <v>1144</v>
      </c>
    </row>
    <row r="25" spans="2:2" x14ac:dyDescent="0.3">
      <c r="B25" t="s">
        <v>1144</v>
      </c>
    </row>
    <row r="26" spans="2:2" x14ac:dyDescent="0.3">
      <c r="B26" t="s">
        <v>1144</v>
      </c>
    </row>
    <row r="27" spans="2:2" x14ac:dyDescent="0.3">
      <c r="B27" t="s">
        <v>1144</v>
      </c>
    </row>
    <row r="28" spans="2:2" x14ac:dyDescent="0.3">
      <c r="B28" t="s">
        <v>1145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5FB9-6722-4B29-AF9D-3B17034700E6}">
  <dimension ref="A1:H16"/>
  <sheetViews>
    <sheetView showGridLines="0" zoomScaleNormal="100" workbookViewId="0">
      <selection activeCell="G9" sqref="G9"/>
    </sheetView>
  </sheetViews>
  <sheetFormatPr defaultRowHeight="14.4" x14ac:dyDescent="0.3"/>
  <cols>
    <col min="1" max="1" width="1.6640625" customWidth="1"/>
    <col min="2" max="2" width="11.5546875" customWidth="1"/>
    <col min="3" max="3" width="9.109375" customWidth="1"/>
    <col min="4" max="4" width="6.6640625" customWidth="1"/>
    <col min="5" max="5" width="4.6640625" customWidth="1"/>
    <col min="6" max="6" width="9" customWidth="1"/>
    <col min="7" max="7" width="8.5546875" customWidth="1"/>
    <col min="8" max="8" width="13.88671875" customWidth="1"/>
    <col min="9" max="9" width="11.5546875" bestFit="1" customWidth="1"/>
    <col min="10" max="10" width="10.88671875" bestFit="1" customWidth="1"/>
  </cols>
  <sheetData>
    <row r="1" spans="1:8" ht="15.6" x14ac:dyDescent="0.3">
      <c r="A1" s="23"/>
      <c r="B1" s="31" t="s">
        <v>1142</v>
      </c>
    </row>
    <row r="2" spans="1:8" x14ac:dyDescent="0.3">
      <c r="B2" s="2"/>
      <c r="D2" s="11"/>
    </row>
    <row r="4" spans="1:8" x14ac:dyDescent="0.3">
      <c r="B4" s="19" t="s">
        <v>6</v>
      </c>
      <c r="C4" s="20" t="s">
        <v>1123</v>
      </c>
      <c r="D4" s="21" t="s">
        <v>1124</v>
      </c>
      <c r="F4" s="12" t="s">
        <v>1125</v>
      </c>
      <c r="G4" s="13">
        <f t="array" ref="G4">MIN(IF(F4=$C$5:$C$16,$D$5:$D$16))</f>
        <v>525</v>
      </c>
      <c r="H4" cm="1">
        <f t="array" ref="H4">SMALL(IF(C5:C16=F4,D5:D16),1)</f>
        <v>525</v>
      </c>
    </row>
    <row r="5" spans="1:8" x14ac:dyDescent="0.3">
      <c r="B5" s="24">
        <v>43115</v>
      </c>
      <c r="C5" s="22" t="s">
        <v>1126</v>
      </c>
      <c r="D5" s="25">
        <v>4164</v>
      </c>
      <c r="F5">
        <f>_xlfn.MAXIFS(D5:D16,C5:C16,F4)</f>
        <v>3033</v>
      </c>
    </row>
    <row r="6" spans="1:8" x14ac:dyDescent="0.3">
      <c r="B6" s="24">
        <v>43115</v>
      </c>
      <c r="C6" s="26" t="s">
        <v>1125</v>
      </c>
      <c r="D6" s="25">
        <v>712</v>
      </c>
    </row>
    <row r="7" spans="1:8" x14ac:dyDescent="0.3">
      <c r="B7" s="24">
        <v>43116</v>
      </c>
      <c r="C7" s="26" t="s">
        <v>1125</v>
      </c>
      <c r="D7" s="25">
        <v>630</v>
      </c>
    </row>
    <row r="8" spans="1:8" x14ac:dyDescent="0.3">
      <c r="B8" s="24">
        <v>43116</v>
      </c>
      <c r="C8" s="22" t="s">
        <v>1127</v>
      </c>
      <c r="D8" s="25">
        <v>406</v>
      </c>
      <c r="G8" cm="1">
        <f t="array" ref="G8">MIN(IF(C5:C16=F4,D5:D16,""))</f>
        <v>525</v>
      </c>
    </row>
    <row r="9" spans="1:8" x14ac:dyDescent="0.3">
      <c r="B9" s="24">
        <v>43116</v>
      </c>
      <c r="C9" s="22" t="s">
        <v>1126</v>
      </c>
      <c r="D9" s="25">
        <v>1050</v>
      </c>
    </row>
    <row r="10" spans="1:8" x14ac:dyDescent="0.3">
      <c r="B10" s="24">
        <v>43117</v>
      </c>
      <c r="C10" s="22" t="s">
        <v>1127</v>
      </c>
      <c r="D10" s="25">
        <v>1451</v>
      </c>
    </row>
    <row r="11" spans="1:8" x14ac:dyDescent="0.3">
      <c r="B11" s="24">
        <v>43117</v>
      </c>
      <c r="C11" s="22" t="s">
        <v>1126</v>
      </c>
      <c r="D11" s="25">
        <v>3928</v>
      </c>
    </row>
    <row r="12" spans="1:8" x14ac:dyDescent="0.3">
      <c r="B12" s="24">
        <v>43117</v>
      </c>
      <c r="C12" s="26" t="s">
        <v>1125</v>
      </c>
      <c r="D12" s="27">
        <v>525</v>
      </c>
    </row>
    <row r="13" spans="1:8" x14ac:dyDescent="0.3">
      <c r="B13" s="24">
        <v>43117</v>
      </c>
      <c r="C13" s="26" t="s">
        <v>1125</v>
      </c>
      <c r="D13" s="25">
        <v>1953</v>
      </c>
    </row>
    <row r="14" spans="1:8" x14ac:dyDescent="0.3">
      <c r="B14" s="24">
        <v>43117</v>
      </c>
      <c r="C14" s="22" t="s">
        <v>1127</v>
      </c>
      <c r="D14" s="25">
        <v>3617</v>
      </c>
    </row>
    <row r="15" spans="1:8" x14ac:dyDescent="0.3">
      <c r="B15" s="24">
        <v>43117</v>
      </c>
      <c r="C15" s="26" t="s">
        <v>1125</v>
      </c>
      <c r="D15" s="25">
        <v>3033</v>
      </c>
    </row>
    <row r="16" spans="1:8" x14ac:dyDescent="0.3">
      <c r="B16" s="28">
        <v>43117</v>
      </c>
      <c r="C16" s="29" t="s">
        <v>1125</v>
      </c>
      <c r="D16" s="30">
        <v>2967</v>
      </c>
    </row>
  </sheetData>
  <conditionalFormatting sqref="D5:D16">
    <cfRule type="expression" dxfId="0" priority="1">
      <formula>(C5:C16=$F$4)*(D5:D16=$F$5)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B47E-F431-4BDB-BB99-604458E39F18}">
  <dimension ref="B2:K34"/>
  <sheetViews>
    <sheetView tabSelected="1" workbookViewId="0">
      <selection activeCell="K15" sqref="K15:K16"/>
    </sheetView>
  </sheetViews>
  <sheetFormatPr defaultColWidth="9.109375" defaultRowHeight="19.8" x14ac:dyDescent="0.4"/>
  <cols>
    <col min="1" max="1" width="9.109375" style="14"/>
    <col min="2" max="2" width="15.109375" style="14" bestFit="1" customWidth="1"/>
    <col min="3" max="3" width="48.109375" style="14" bestFit="1" customWidth="1"/>
    <col min="4" max="6" width="9.109375" style="14"/>
    <col min="7" max="7" width="15.44140625" style="14" bestFit="1" customWidth="1"/>
    <col min="8" max="9" width="9.109375" style="14"/>
    <col min="10" max="10" width="15.44140625" style="14" bestFit="1" customWidth="1"/>
    <col min="11" max="16384" width="9.109375" style="14"/>
  </cols>
  <sheetData>
    <row r="2" spans="2:11" x14ac:dyDescent="0.4">
      <c r="C2" s="32" t="s">
        <v>1139</v>
      </c>
    </row>
    <row r="3" spans="2:11" x14ac:dyDescent="0.4">
      <c r="B3" s="16" t="s">
        <v>6</v>
      </c>
      <c r="C3" s="16" t="s">
        <v>1138</v>
      </c>
      <c r="F3" s="14" t="s">
        <v>1137</v>
      </c>
    </row>
    <row r="4" spans="2:11" x14ac:dyDescent="0.4">
      <c r="B4" s="15">
        <v>44185</v>
      </c>
      <c r="C4" s="17" t="str">
        <f>_xlfn.IFS(WEEKDAY(B4)=$F$7,$G$7,WEEKDAY(B4)=$F$8,$G$8,WEEKDAY(B4)=$F$9,$G$9,WEEKDAY(B4)=$F$10,$G$10,WEEKDAY(B4)=$F$11,$G$11,WEEKDAY(B4)=$F$12,$G$12,WEEKDAY(B4)=$F$13,$G$13)</f>
        <v>Sunday</v>
      </c>
      <c r="D4" s="14" t="str" cm="1">
        <f t="array" ref="D4">_xlfn.IFS(WEEKDAY(B4) = 1, "Sunday", WEEKDAY(B4) = 2, "Monday", WEEKDAY(B4) = 3, "Tuesday", WEEKDAY(B4) = 4, "Wednesday", WEEKDAY(B4) = 5, "Thursday",WEEKDAY(B4) = 6, "Friday", WEEKDAY(B4) = 7, "Saturday")</f>
        <v>Sunday</v>
      </c>
      <c r="F4" s="18" t="s">
        <v>1136</v>
      </c>
    </row>
    <row r="5" spans="2:11" x14ac:dyDescent="0.4">
      <c r="B5" s="15">
        <v>44186</v>
      </c>
      <c r="C5" s="17" t="str">
        <f t="shared" ref="C5:C33" si="0">_xlfn.IFS(WEEKDAY(B5)=$F$7,$G$7,WEEKDAY(B5)=$F$8,$G$8,WEEKDAY(B5)=$F$9,$G$9,WEEKDAY(B5)=$F$10,$G$10,WEEKDAY(B5)=$F$11,$G$11,WEEKDAY(B5)=$F$12,$G$12,WEEKDAY(B5)=$F$13,$G$13)</f>
        <v>Monday</v>
      </c>
      <c r="D5" s="14" t="str" cm="1">
        <f t="array" ref="D5">_xlfn.IFS(WEEKDAY(B5) = 1, "Sunday", WEEKDAY(B5) = 2, "Monday", WEEKDAY(B5) = 3, "Tuesday", WEEKDAY(B5) = 4, "Wednesday", WEEKDAY(B5) = 5, "Thursday",WEEKDAY(B5) = 6, "Friday", WEEKDAY(B5) = 7, "Saturday")</f>
        <v>Monday</v>
      </c>
      <c r="F5" s="14" t="s">
        <v>1135</v>
      </c>
    </row>
    <row r="6" spans="2:11" x14ac:dyDescent="0.4">
      <c r="B6" s="15">
        <v>44187</v>
      </c>
      <c r="C6" s="17" t="str">
        <f t="shared" si="0"/>
        <v>Tuesday</v>
      </c>
      <c r="D6" s="14" t="str" cm="1">
        <f t="array" ref="D6">_xlfn.IFS(WEEKDAY(B6) = 1, "Sunday", WEEKDAY(B6) = 2, "Monday", WEEKDAY(B6) = 3, "Tuesday", WEEKDAY(B6) = 4, "Wednesday", WEEKDAY(B6) = 5, "Thursday",WEEKDAY(B6) = 6, "Friday", WEEKDAY(B6) = 7, "Saturday")</f>
        <v>Tuesday</v>
      </c>
    </row>
    <row r="7" spans="2:11" x14ac:dyDescent="0.4">
      <c r="B7" s="15">
        <v>44188</v>
      </c>
      <c r="C7" s="17" t="str">
        <f t="shared" si="0"/>
        <v>Wednesday</v>
      </c>
      <c r="D7" s="14" t="str" cm="1">
        <f t="array" ref="D7">_xlfn.IFS(WEEKDAY(B7) = 1, "Sunday", WEEKDAY(B7) = 2, "Monday", WEEKDAY(B7) = 3, "Tuesday", WEEKDAY(B7) = 4, "Wednesday", WEEKDAY(B7) = 5, "Thursday",WEEKDAY(B7) = 6, "Friday", WEEKDAY(B7) = 7, "Saturday")</f>
        <v>Wednesday</v>
      </c>
      <c r="F7" s="14">
        <v>1</v>
      </c>
      <c r="G7" s="14" t="s">
        <v>1134</v>
      </c>
      <c r="I7" s="14" t="str" cm="1">
        <f t="array" ref="I7">_xlfn.LET(_xlpm.w, WEEKDAY(B4,2), _xlfn.IFS(_xlpm.w=1,"mon", _xlpm.w=2, "tues", _xlpm.w=3, "Wednesday", _xlpm.w=4, "Thursday", _xlpm.w=5, "Friday", _xlpm.w=6, "Saturday", _xlpm.w=7, "Sunday"))</f>
        <v>Sunday</v>
      </c>
    </row>
    <row r="8" spans="2:11" x14ac:dyDescent="0.4">
      <c r="B8" s="15">
        <v>44189</v>
      </c>
      <c r="C8" s="17" t="str">
        <f t="shared" si="0"/>
        <v>Thursday</v>
      </c>
      <c r="D8" s="14" t="str" cm="1">
        <f t="array" ref="D8">_xlfn.IFS(WEEKDAY(B8) = 1, "Sunday", WEEKDAY(B8) = 2, "Monday", WEEKDAY(B8) = 3, "Tuesday", WEEKDAY(B8) = 4, "Wednesday", WEEKDAY(B8) = 5, "Thursday",WEEKDAY(B8) = 6, "Friday", WEEKDAY(B8) = 7, "Saturday")</f>
        <v>Thursday</v>
      </c>
      <c r="F8" s="14">
        <v>2</v>
      </c>
      <c r="G8" s="14" t="s">
        <v>1133</v>
      </c>
      <c r="I8" s="14" t="str" cm="1">
        <f t="array" ref="I8">_xlfn.LET(_xlpm.w, WEEKDAY(B5,2), _xlfn.IFS(_xlpm.w=1,"mon", _xlpm.w=2, "tues", _xlpm.w=3, "Wednesday", _xlpm.w=4, "Thursday", _xlpm.w=5, "Friday", _xlpm.w=6, "Saturday", _xlpm.w=7, "Sunday"))</f>
        <v>mon</v>
      </c>
    </row>
    <row r="9" spans="2:11" x14ac:dyDescent="0.4">
      <c r="B9" s="15">
        <v>44190</v>
      </c>
      <c r="C9" s="17" t="str">
        <f t="shared" si="0"/>
        <v>Friday</v>
      </c>
      <c r="D9" s="14" t="str" cm="1">
        <f t="array" ref="D9">_xlfn.IFS(WEEKDAY(B9) = 1, "Sunday", WEEKDAY(B9) = 2, "Monday", WEEKDAY(B9) = 3, "Tuesday", WEEKDAY(B9) = 4, "Wednesday", WEEKDAY(B9) = 5, "Thursday",WEEKDAY(B9) = 6, "Friday", WEEKDAY(B9) = 7, "Saturday")</f>
        <v>Friday</v>
      </c>
      <c r="F9" s="14">
        <v>3</v>
      </c>
      <c r="G9" s="14" t="s">
        <v>1132</v>
      </c>
      <c r="I9" s="14" t="str" cm="1">
        <f t="array" ref="I9">_xlfn.LET(_xlpm.w, WEEKDAY(B6,2), _xlfn.IFS(_xlpm.w=1,"mon", _xlpm.w=2, "tues", _xlpm.w=3, "Wednesday", _xlpm.w=4, "Thursday", _xlpm.w=5, "Friday", _xlpm.w=6, "Saturday", _xlpm.w=7, "Sunday"))</f>
        <v>tues</v>
      </c>
    </row>
    <row r="10" spans="2:11" x14ac:dyDescent="0.4">
      <c r="B10" s="15">
        <v>44191</v>
      </c>
      <c r="C10" s="17" t="str">
        <f t="shared" si="0"/>
        <v>Saturday</v>
      </c>
      <c r="D10" s="14" t="str" cm="1">
        <f t="array" ref="D10">_xlfn.IFS(WEEKDAY(B10) = 1, "Sunday", WEEKDAY(B10) = 2, "Monday", WEEKDAY(B10) = 3, "Tuesday", WEEKDAY(B10) = 4, "Wednesday", WEEKDAY(B10) = 5, "Thursday",WEEKDAY(B10) = 6, "Friday", WEEKDAY(B10) = 7, "Saturday")</f>
        <v>Saturday</v>
      </c>
      <c r="F10" s="14">
        <v>4</v>
      </c>
      <c r="G10" s="14" t="s">
        <v>1131</v>
      </c>
      <c r="I10" s="14" t="str" cm="1">
        <f t="array" ref="I10">_xlfn.LET(_xlpm.w, WEEKDAY(B7,2), _xlfn.IFS(_xlpm.w=1,"mon", _xlpm.w=2, "tues", _xlpm.w=3, "Wednesday", _xlpm.w=4, "Thursday", _xlpm.w=5, "Friday", _xlpm.w=6, "Saturday", _xlpm.w=7, "Sunday"))</f>
        <v>Wednesday</v>
      </c>
    </row>
    <row r="11" spans="2:11" x14ac:dyDescent="0.4">
      <c r="B11" s="15">
        <v>44192</v>
      </c>
      <c r="C11" s="17" t="str">
        <f t="shared" si="0"/>
        <v>Sunday</v>
      </c>
      <c r="D11" s="14" t="str" cm="1">
        <f t="array" ref="D11">_xlfn.IFS(WEEKDAY(B11) = 1, "Sunday", WEEKDAY(B11) = 2, "Monday", WEEKDAY(B11) = 3, "Tuesday", WEEKDAY(B11) = 4, "Wednesday", WEEKDAY(B11) = 5, "Thursday",WEEKDAY(B11) = 6, "Friday", WEEKDAY(B11) = 7, "Saturday")</f>
        <v>Sunday</v>
      </c>
      <c r="F11" s="14">
        <v>5</v>
      </c>
      <c r="G11" s="14" t="s">
        <v>1130</v>
      </c>
      <c r="I11" s="14" t="str" cm="1">
        <f t="array" ref="I11">_xlfn.LET(_xlpm.w, WEEKDAY(B8,2), _xlfn.IFS(_xlpm.w=1,"mon", _xlpm.w=2, "tues", _xlpm.w=3, "Wednesday", _xlpm.w=4, "Thursday", _xlpm.w=5, "Friday", _xlpm.w=6, "Saturday", _xlpm.w=7, "Sunday"))</f>
        <v>Thursday</v>
      </c>
    </row>
    <row r="12" spans="2:11" x14ac:dyDescent="0.4">
      <c r="B12" s="15">
        <v>44193</v>
      </c>
      <c r="C12" s="17" t="str">
        <f>_xlfn.IFS(WEEKDAY(B12)=$F$7,$G$7,WEEKDAY(B12)=$F$8,$G$8,WEEKDAY(B12)=$F$9,$G$9,WEEKDAY(B12)=$F$10,$G$10,WEEKDAY(B12)=$F$11,$G$11,WEEKDAY(B12)=$F$12,$G$12,WEEKDAY(B12)=$F$13,$G$13)</f>
        <v>Monday</v>
      </c>
      <c r="D12" s="14" t="str" cm="1">
        <f t="array" ref="D12">_xlfn.IFS(WEEKDAY(B12) = 1, "Sunday", WEEKDAY(B12) = 2, "Monday", WEEKDAY(B12) = 3, "Tuesday", WEEKDAY(B12) = 4, "Wednesday", WEEKDAY(B12) = 5, "Thursday",WEEKDAY(B12) = 6, "Friday", WEEKDAY(B12) = 7, "Saturday")</f>
        <v>Monday</v>
      </c>
      <c r="F12" s="14">
        <v>6</v>
      </c>
      <c r="G12" s="14" t="s">
        <v>1129</v>
      </c>
      <c r="I12" s="14" t="str" cm="1">
        <f t="array" ref="I12">_xlfn.LET(_xlpm.w, WEEKDAY(B9,2), _xlfn.IFS(_xlpm.w=1,"mon", _xlpm.w=2, "tues", _xlpm.w=3, "Wednesday", _xlpm.w=4, "Thursday", _xlpm.w=5, "Friday", _xlpm.w=6, "Saturday", _xlpm.w=7, "Sunday"))</f>
        <v>Friday</v>
      </c>
      <c r="K12" s="14" t="str" cm="1">
        <f t="array" ref="K12">_xlfn.LET(_xlpm.a,WEEKDAY(B4),_xlfn.IFS(_xlpm.a=1,"Sunday",_xlpm.a=2,"Monday",_xlpm.a=3,"Tuesday",_xlpm.a=4,"Wednesday",_xlpm.a=5,"Thursday",_xlpm.a=6,"Friday",_xlpm.a=7,"Saturday"))</f>
        <v>Sunday</v>
      </c>
    </row>
    <row r="13" spans="2:11" x14ac:dyDescent="0.4">
      <c r="B13" s="15">
        <v>44194</v>
      </c>
      <c r="C13" s="17" t="str">
        <f t="shared" si="0"/>
        <v>Tuesday</v>
      </c>
      <c r="D13" s="14" t="str" cm="1">
        <f t="array" ref="D13">_xlfn.IFS(WEEKDAY(B13) = 1, "Sunday", WEEKDAY(B13) = 2, "Monday", WEEKDAY(B13) = 3, "Tuesday", WEEKDAY(B13) = 4, "Wednesday", WEEKDAY(B13) = 5, "Thursday",WEEKDAY(B13) = 6, "Friday", WEEKDAY(B13) = 7, "Saturday")</f>
        <v>Tuesday</v>
      </c>
      <c r="F13" s="14">
        <v>7</v>
      </c>
      <c r="G13" s="14" t="s">
        <v>1128</v>
      </c>
      <c r="I13" s="14" t="str" cm="1">
        <f t="array" ref="I13">_xlfn.LET(_xlpm.w, WEEKDAY(B10,2), _xlfn.IFS(_xlpm.w=1,"mon", _xlpm.w=2, "tues", _xlpm.w=3, "Wednesday", _xlpm.w=4, "Thursday", _xlpm.w=5, "Friday", _xlpm.w=6, "Saturday", _xlpm.w=7, "Sunday"))</f>
        <v>Saturday</v>
      </c>
      <c r="K13" s="14" t="str" cm="1">
        <f t="array" ref="K13">_xlfn.LET(_xlpm.a,WEEKDAY(B5),_xlfn.IFS(_xlpm.a=1,"Sunday",_xlpm.a=2,"Monday",_xlpm.a=3,"Tuesday",_xlpm.a=4,"Wednesday",_xlpm.a=5,"Thursday",_xlpm.a=6,"Friday",_xlpm.a=7,"Saturday"))</f>
        <v>Monday</v>
      </c>
    </row>
    <row r="14" spans="2:11" x14ac:dyDescent="0.4">
      <c r="B14" s="15">
        <v>44195</v>
      </c>
      <c r="C14" s="17" t="str">
        <f t="shared" si="0"/>
        <v>Wednesday</v>
      </c>
      <c r="D14" s="14" t="str" cm="1">
        <f t="array" ref="D14">_xlfn.IFS(WEEKDAY(B14) = 1, "Sunday", WEEKDAY(B14) = 2, "Monday", WEEKDAY(B14) = 3, "Tuesday", WEEKDAY(B14) = 4, "Wednesday", WEEKDAY(B14) = 5, "Thursday",WEEKDAY(B14) = 6, "Friday", WEEKDAY(B14) = 7, "Saturday")</f>
        <v>Wednesday</v>
      </c>
      <c r="I14" s="14" t="str" cm="1">
        <f t="array" ref="I14">_xlfn.LET(_xlpm.w, WEEKDAY(B11,2), _xlfn.IFS(_xlpm.w=1,"mon", _xlpm.w=2, "tues", _xlpm.w=3, "Wednesday", _xlpm.w=4, "Thursday", _xlpm.w=5, "Friday", _xlpm.w=6, "Saturday", _xlpm.w=7, "Sunday"))</f>
        <v>Sunday</v>
      </c>
      <c r="K14" s="14" t="str" cm="1">
        <f t="array" ref="K14">_xlfn.LET(_xlpm.a,WEEKDAY(B6),_xlfn.IFS(_xlpm.a=1,"Sunday",_xlpm.a=2,"Monday",_xlpm.a=3,"Tuesday",_xlpm.a=4,"Wednesday",_xlpm.a=5,"Thursday",_xlpm.a=6,"Friday",_xlpm.a=7,"Saturday"))</f>
        <v>Tuesday</v>
      </c>
    </row>
    <row r="15" spans="2:11" x14ac:dyDescent="0.4">
      <c r="B15" s="15">
        <v>44196</v>
      </c>
      <c r="C15" s="17" t="str">
        <f t="shared" si="0"/>
        <v>Thursday</v>
      </c>
      <c r="D15" s="14" t="str" cm="1">
        <f t="array" ref="D15">_xlfn.IFS(WEEKDAY(B15) = 1, "Sunday", WEEKDAY(B15) = 2, "Monday", WEEKDAY(B15) = 3, "Tuesday", WEEKDAY(B15) = 4, "Wednesday", WEEKDAY(B15) = 5, "Thursday",WEEKDAY(B15) = 6, "Friday", WEEKDAY(B15) = 7, "Saturday")</f>
        <v>Thursday</v>
      </c>
      <c r="I15" s="14" t="str" cm="1">
        <f t="array" ref="I15">_xlfn.LET(_xlpm.w, WEEKDAY(B12,2), _xlfn.IFS(_xlpm.w=1,"mon", _xlpm.w=2, "tues", _xlpm.w=3, "Wednesday", _xlpm.w=4, "Thursday", _xlpm.w=5, "Friday", _xlpm.w=6, "Saturday", _xlpm.w=7, "Sunday"))</f>
        <v>mon</v>
      </c>
      <c r="K15" s="14" t="str" cm="1">
        <f t="array" ref="K15">_xlfn.LET(_xlpm.a,WEEKDAY(B7),_xlfn.IFS(_xlpm.a=1,"Sunday",_xlpm.a=2,"Monday",_xlpm.a=3,"Tuesday",_xlpm.a=4,"Wednesday",_xlpm.a=5,"Thursday",_xlpm.a=6,"Friday",_xlpm.a=7,"Saturday"))</f>
        <v>Wednesday</v>
      </c>
    </row>
    <row r="16" spans="2:11" x14ac:dyDescent="0.4">
      <c r="B16" s="15">
        <v>44197</v>
      </c>
      <c r="C16" s="17" t="str">
        <f t="shared" si="0"/>
        <v>Friday</v>
      </c>
      <c r="D16" s="14" t="str" cm="1">
        <f t="array" ref="D16">_xlfn.IFS(WEEKDAY(B16) = 1, "Sunday", WEEKDAY(B16) = 2, "Monday", WEEKDAY(B16) = 3, "Tuesday", WEEKDAY(B16) = 4, "Wednesday", WEEKDAY(B16) = 5, "Thursday",WEEKDAY(B16) = 6, "Friday", WEEKDAY(B16) = 7, "Saturday")</f>
        <v>Friday</v>
      </c>
      <c r="K16" s="14" t="str" cm="1">
        <f t="array" ref="K16">_xlfn.LET(_xlpm.a,WEEKDAY(B8),_xlfn.IFS(_xlpm.a=1,"Sunday",_xlpm.a=2,"Monday",_xlpm.a=3,"Tuesday",_xlpm.a=4,"Wednesday",_xlpm.a=5,"Thursday",_xlpm.a=6,"Friday",_xlpm.a=7,"Saturday"))</f>
        <v>Thursday</v>
      </c>
    </row>
    <row r="17" spans="2:4" x14ac:dyDescent="0.4">
      <c r="B17" s="15">
        <v>44198</v>
      </c>
      <c r="C17" s="17" t="str">
        <f t="shared" si="0"/>
        <v>Saturday</v>
      </c>
      <c r="D17" s="14" t="str" cm="1">
        <f t="array" ref="D17">_xlfn.IFS(WEEKDAY(B17) = 1, "Sunday", WEEKDAY(B17) = 2, "Monday", WEEKDAY(B17) = 3, "Tuesday", WEEKDAY(B17) = 4, "Wednesday", WEEKDAY(B17) = 5, "Thursday",WEEKDAY(B17) = 6, "Friday", WEEKDAY(B17) = 7, "Saturday")</f>
        <v>Saturday</v>
      </c>
    </row>
    <row r="18" spans="2:4" x14ac:dyDescent="0.4">
      <c r="B18" s="15">
        <v>44199</v>
      </c>
      <c r="C18" s="17" t="str">
        <f t="shared" si="0"/>
        <v>Sunday</v>
      </c>
      <c r="D18" s="14" t="str" cm="1">
        <f t="array" ref="D18">_xlfn.IFS(WEEKDAY(B18) = 1, "Sunday", WEEKDAY(B18) = 2, "Monday", WEEKDAY(B18) = 3, "Tuesday", WEEKDAY(B18) = 4, "Wednesday", WEEKDAY(B18) = 5, "Thursday",WEEKDAY(B18) = 6, "Friday", WEEKDAY(B18) = 7, "Saturday")</f>
        <v>Sunday</v>
      </c>
    </row>
    <row r="19" spans="2:4" x14ac:dyDescent="0.4">
      <c r="B19" s="15">
        <v>44200</v>
      </c>
      <c r="C19" s="17" t="str">
        <f t="shared" si="0"/>
        <v>Monday</v>
      </c>
      <c r="D19" s="14" t="str" cm="1">
        <f t="array" ref="D19">_xlfn.IFS(WEEKDAY(B19) = 1, "Sunday", WEEKDAY(B19) = 2, "Monday", WEEKDAY(B19) = 3, "Tuesday", WEEKDAY(B19) = 4, "Wednesday", WEEKDAY(B19) = 5, "Thursday",WEEKDAY(B19) = 6, "Friday", WEEKDAY(B19) = 7, "Saturday")</f>
        <v>Monday</v>
      </c>
    </row>
    <row r="20" spans="2:4" x14ac:dyDescent="0.4">
      <c r="B20" s="15">
        <v>44201</v>
      </c>
      <c r="C20" s="17" t="str">
        <f t="shared" si="0"/>
        <v>Tuesday</v>
      </c>
      <c r="D20" s="14" t="str" cm="1">
        <f t="array" ref="D20">_xlfn.IFS(WEEKDAY(B20) = 1, "Sunday", WEEKDAY(B20) = 2, "Monday", WEEKDAY(B20) = 3, "Tuesday", WEEKDAY(B20) = 4, "Wednesday", WEEKDAY(B20) = 5, "Thursday",WEEKDAY(B20) = 6, "Friday", WEEKDAY(B20) = 7, "Saturday")</f>
        <v>Tuesday</v>
      </c>
    </row>
    <row r="21" spans="2:4" x14ac:dyDescent="0.4">
      <c r="B21" s="15">
        <v>44202</v>
      </c>
      <c r="C21" s="17" t="str">
        <f t="shared" si="0"/>
        <v>Wednesday</v>
      </c>
      <c r="D21" s="14" t="str" cm="1">
        <f t="array" ref="D21">_xlfn.IFS(WEEKDAY(B21) = 1, "Sunday", WEEKDAY(B21) = 2, "Monday", WEEKDAY(B21) = 3, "Tuesday", WEEKDAY(B21) = 4, "Wednesday", WEEKDAY(B21) = 5, "Thursday",WEEKDAY(B21) = 6, "Friday", WEEKDAY(B21) = 7, "Saturday")</f>
        <v>Wednesday</v>
      </c>
    </row>
    <row r="22" spans="2:4" x14ac:dyDescent="0.4">
      <c r="B22" s="15">
        <v>44203</v>
      </c>
      <c r="C22" s="17" t="str">
        <f t="shared" si="0"/>
        <v>Thursday</v>
      </c>
      <c r="D22" s="14" t="str" cm="1">
        <f t="array" ref="D22">_xlfn.IFS(WEEKDAY(B22) = 1, "Sunday", WEEKDAY(B22) = 2, "Monday", WEEKDAY(B22) = 3, "Tuesday", WEEKDAY(B22) = 4, "Wednesday", WEEKDAY(B22) = 5, "Thursday",WEEKDAY(B22) = 6, "Friday", WEEKDAY(B22) = 7, "Saturday")</f>
        <v>Thursday</v>
      </c>
    </row>
    <row r="23" spans="2:4" x14ac:dyDescent="0.4">
      <c r="B23" s="15">
        <v>44204</v>
      </c>
      <c r="C23" s="17" t="str">
        <f t="shared" si="0"/>
        <v>Friday</v>
      </c>
      <c r="D23" s="14" t="str" cm="1">
        <f t="array" ref="D23">_xlfn.IFS(WEEKDAY(B23) = 1, "Sunday", WEEKDAY(B23) = 2, "Monday", WEEKDAY(B23) = 3, "Tuesday", WEEKDAY(B23) = 4, "Wednesday", WEEKDAY(B23) = 5, "Thursday",WEEKDAY(B23) = 6, "Friday", WEEKDAY(B23) = 7, "Saturday")</f>
        <v>Friday</v>
      </c>
    </row>
    <row r="24" spans="2:4" x14ac:dyDescent="0.4">
      <c r="B24" s="15">
        <v>44205</v>
      </c>
      <c r="C24" s="17" t="str">
        <f t="shared" si="0"/>
        <v>Saturday</v>
      </c>
      <c r="D24" s="14" t="str" cm="1">
        <f t="array" ref="D24">_xlfn.IFS(WEEKDAY(B24) = 1, "Sunday", WEEKDAY(B24) = 2, "Monday", WEEKDAY(B24) = 3, "Tuesday", WEEKDAY(B24) = 4, "Wednesday", WEEKDAY(B24) = 5, "Thursday",WEEKDAY(B24) = 6, "Friday", WEEKDAY(B24) = 7, "Saturday")</f>
        <v>Saturday</v>
      </c>
    </row>
    <row r="25" spans="2:4" x14ac:dyDescent="0.4">
      <c r="B25" s="15">
        <v>44206</v>
      </c>
      <c r="C25" s="17" t="str">
        <f t="shared" si="0"/>
        <v>Sunday</v>
      </c>
      <c r="D25" s="14" t="str" cm="1">
        <f t="array" ref="D25">_xlfn.IFS(WEEKDAY(B25) = 1, "Sunday", WEEKDAY(B25) = 2, "Monday", WEEKDAY(B25) = 3, "Tuesday", WEEKDAY(B25) = 4, "Wednesday", WEEKDAY(B25) = 5, "Thursday",WEEKDAY(B25) = 6, "Friday", WEEKDAY(B25) = 7, "Saturday")</f>
        <v>Sunday</v>
      </c>
    </row>
    <row r="26" spans="2:4" x14ac:dyDescent="0.4">
      <c r="B26" s="15">
        <v>44207</v>
      </c>
      <c r="C26" s="17" t="str">
        <f t="shared" si="0"/>
        <v>Monday</v>
      </c>
      <c r="D26" s="14" t="str" cm="1">
        <f t="array" ref="D26">_xlfn.IFS(WEEKDAY(B26) = 1, "Sunday", WEEKDAY(B26) = 2, "Monday", WEEKDAY(B26) = 3, "Tuesday", WEEKDAY(B26) = 4, "Wednesday", WEEKDAY(B26) = 5, "Thursday",WEEKDAY(B26) = 6, "Friday", WEEKDAY(B26) = 7, "Saturday")</f>
        <v>Monday</v>
      </c>
    </row>
    <row r="27" spans="2:4" x14ac:dyDescent="0.4">
      <c r="B27" s="15">
        <v>44208</v>
      </c>
      <c r="C27" s="17" t="str">
        <f t="shared" si="0"/>
        <v>Tuesday</v>
      </c>
      <c r="D27" s="14" t="str" cm="1">
        <f t="array" ref="D27">_xlfn.IFS(WEEKDAY(B27) = 1, "Sunday", WEEKDAY(B27) = 2, "Monday", WEEKDAY(B27) = 3, "Tuesday", WEEKDAY(B27) = 4, "Wednesday", WEEKDAY(B27) = 5, "Thursday",WEEKDAY(B27) = 6, "Friday", WEEKDAY(B27) = 7, "Saturday")</f>
        <v>Tuesday</v>
      </c>
    </row>
    <row r="28" spans="2:4" x14ac:dyDescent="0.4">
      <c r="B28" s="15">
        <v>44209</v>
      </c>
      <c r="C28" s="17" t="str">
        <f t="shared" si="0"/>
        <v>Wednesday</v>
      </c>
      <c r="D28" s="14" t="str" cm="1">
        <f t="array" ref="D28">_xlfn.IFS(WEEKDAY(B28) = 1, "Sunday", WEEKDAY(B28) = 2, "Monday", WEEKDAY(B28) = 3, "Tuesday", WEEKDAY(B28) = 4, "Wednesday", WEEKDAY(B28) = 5, "Thursday",WEEKDAY(B28) = 6, "Friday", WEEKDAY(B28) = 7, "Saturday")</f>
        <v>Wednesday</v>
      </c>
    </row>
    <row r="29" spans="2:4" x14ac:dyDescent="0.4">
      <c r="B29" s="15">
        <v>44210</v>
      </c>
      <c r="C29" s="17" t="str">
        <f t="shared" si="0"/>
        <v>Thursday</v>
      </c>
      <c r="D29" s="14" t="str" cm="1">
        <f t="array" ref="D29">_xlfn.IFS(WEEKDAY(B29) = 1, "Sunday", WEEKDAY(B29) = 2, "Monday", WEEKDAY(B29) = 3, "Tuesday", WEEKDAY(B29) = 4, "Wednesday", WEEKDAY(B29) = 5, "Thursday",WEEKDAY(B29) = 6, "Friday", WEEKDAY(B29) = 7, "Saturday")</f>
        <v>Thursday</v>
      </c>
    </row>
    <row r="30" spans="2:4" x14ac:dyDescent="0.4">
      <c r="B30" s="15">
        <v>44211</v>
      </c>
      <c r="C30" s="17" t="str">
        <f t="shared" si="0"/>
        <v>Friday</v>
      </c>
      <c r="D30" s="14" t="str" cm="1">
        <f t="array" ref="D30">_xlfn.IFS(WEEKDAY(B30) = 1, "Sunday", WEEKDAY(B30) = 2, "Monday", WEEKDAY(B30) = 3, "Tuesday", WEEKDAY(B30) = 4, "Wednesday", WEEKDAY(B30) = 5, "Thursday",WEEKDAY(B30) = 6, "Friday", WEEKDAY(B30) = 7, "Saturday")</f>
        <v>Friday</v>
      </c>
    </row>
    <row r="31" spans="2:4" x14ac:dyDescent="0.4">
      <c r="B31" s="15">
        <v>44212</v>
      </c>
      <c r="C31" s="17" t="str">
        <f t="shared" si="0"/>
        <v>Saturday</v>
      </c>
      <c r="D31" s="14" t="str" cm="1">
        <f t="array" ref="D31">_xlfn.IFS(WEEKDAY(B31) = 1, "Sunday", WEEKDAY(B31) = 2, "Monday", WEEKDAY(B31) = 3, "Tuesday", WEEKDAY(B31) = 4, "Wednesday", WEEKDAY(B31) = 5, "Thursday",WEEKDAY(B31) = 6, "Friday", WEEKDAY(B31) = 7, "Saturday")</f>
        <v>Saturday</v>
      </c>
    </row>
    <row r="32" spans="2:4" x14ac:dyDescent="0.4">
      <c r="B32" s="15">
        <v>44213</v>
      </c>
      <c r="C32" s="17" t="str">
        <f t="shared" si="0"/>
        <v>Sunday</v>
      </c>
      <c r="D32" s="14" t="str" cm="1">
        <f t="array" ref="D32">_xlfn.IFS(WEEKDAY(B32) = 1, "Sunday", WEEKDAY(B32) = 2, "Monday", WEEKDAY(B32) = 3, "Tuesday", WEEKDAY(B32) = 4, "Wednesday", WEEKDAY(B32) = 5, "Thursday",WEEKDAY(B32) = 6, "Friday", WEEKDAY(B32) = 7, "Saturday")</f>
        <v>Sunday</v>
      </c>
    </row>
    <row r="33" spans="2:4" x14ac:dyDescent="0.4">
      <c r="B33" s="15">
        <v>44214</v>
      </c>
      <c r="C33" s="17" t="str">
        <f t="shared" si="0"/>
        <v>Monday</v>
      </c>
      <c r="D33" s="14" t="str" cm="1">
        <f t="array" ref="D33">_xlfn.IFS(WEEKDAY(B33) = 1, "Sunday", WEEKDAY(B33) = 2, "Monday", WEEKDAY(B33) = 3, "Tuesday", WEEKDAY(B33) = 4, "Wednesday", WEEKDAY(B33) = 5, "Thursday",WEEKDAY(B33) = 6, "Friday", WEEKDAY(B33) = 7, "Saturday")</f>
        <v>Monday</v>
      </c>
    </row>
    <row r="34" spans="2:4" x14ac:dyDescent="0.4">
      <c r="B34" s="15">
        <v>44215</v>
      </c>
      <c r="C34" s="17" t="str">
        <f>_xlfn.IFS(WEEKDAY(B34)=$F$7,$G$7,WEEKDAY(B34)=$F$8,$G$8,WEEKDAY(B34)=$F$9,$G$9,WEEKDAY(B34)=$F$10,$G$10,WEEKDAY(B34)=$F$11,$G$11,WEEKDAY(B34)=$F$12,$G$12,WEEKDAY(B34)=$F$13,$G$13)</f>
        <v>Tuesday</v>
      </c>
      <c r="D34" s="14" t="str" cm="1">
        <f t="array" ref="D34">_xlfn.IFS(WEEKDAY(B34) = 1, "Sunday", WEEKDAY(B34) = 2, "Monday", WEEKDAY(B34) = 3, "Tuesday", WEEKDAY(B34) = 4, "Wednesday", WEEKDAY(B34) = 5, "Thursday",WEEKDAY(B34) = 6, "Friday", WEEKDAY(B34) = 7, "Saturday")</f>
        <v>Tuesday</v>
      </c>
    </row>
  </sheetData>
  <protectedRanges>
    <protectedRange sqref="C4:C34" name="Range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2026-01-27T16:35:23Z</dcterms:modified>
</cp:coreProperties>
</file>