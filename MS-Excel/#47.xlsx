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BE86CC0D-53DA-4632-A015-CAEE5A5DAF87}" xr6:coauthVersionLast="47" xr6:coauthVersionMax="47" xr10:uidLastSave="{00000000-0000-0000-0000-000000000000}"/>
  <bookViews>
    <workbookView xWindow="-108" yWindow="-108" windowWidth="23256" windowHeight="12456" activeTab="4" xr2:uid="{CDBD70F1-A0B8-4183-8D49-A9B43FA2E4E9}"/>
  </bookViews>
  <sheets>
    <sheet name="Q1" sheetId="1" r:id="rId1"/>
    <sheet name="Q2" sheetId="5" r:id="rId2"/>
    <sheet name="Q3" sheetId="2" r:id="rId3"/>
    <sheet name="Q4" sheetId="3" r:id="rId4"/>
    <sheet name="Q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4" l="1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A14" i="4"/>
  <c r="H3" i="3"/>
  <c r="H4" i="3"/>
  <c r="H5" i="3"/>
  <c r="H6" i="3"/>
  <c r="H7" i="3"/>
  <c r="H2" i="3"/>
  <c r="G8" i="2" a="1"/>
  <c r="G8" i="2" s="1"/>
  <c r="E11" i="2" a="1"/>
  <c r="E11" i="2" s="1"/>
  <c r="M4" i="5" a="1"/>
  <c r="M4" i="5"/>
  <c r="M5" i="5" a="1"/>
  <c r="M5" i="5"/>
  <c r="M6" i="5" a="1"/>
  <c r="M6" i="5"/>
  <c r="M3" i="5" a="1"/>
  <c r="M3" i="5" s="1"/>
  <c r="L4" i="1"/>
  <c r="L3" i="1" a="1"/>
  <c r="L3" i="1" s="1"/>
  <c r="G2" i="3"/>
  <c r="E13" i="5" a="1"/>
  <c r="E13" i="5" s="1"/>
  <c r="E14" i="5" a="1"/>
  <c r="E14" i="5" s="1"/>
  <c r="E15" i="5" a="1"/>
  <c r="E15" i="5" s="1"/>
  <c r="E12" i="5" a="1"/>
  <c r="E12" i="5" s="1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A12" i="4"/>
  <c r="C12" i="3"/>
  <c r="C13" i="3"/>
  <c r="C14" i="3"/>
  <c r="C15" i="3"/>
  <c r="C16" i="3"/>
  <c r="C11" i="3"/>
  <c r="F3" i="2"/>
  <c r="E3" i="2"/>
  <c r="E8" i="2"/>
  <c r="J4" i="1"/>
  <c r="J3" i="1" a="1"/>
  <c r="J3" i="1" s="1"/>
  <c r="F3" i="3"/>
  <c r="F4" i="3"/>
  <c r="F5" i="3"/>
  <c r="F6" i="3"/>
  <c r="F7" i="3"/>
  <c r="F2" i="3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A9" i="4"/>
  <c r="F6" i="2"/>
  <c r="E6" i="2"/>
  <c r="E5" i="2"/>
  <c r="C10" i="5"/>
  <c r="D10" i="5" s="1"/>
  <c r="D9" i="5"/>
  <c r="C9" i="5"/>
  <c r="C8" i="5"/>
  <c r="D8" i="5" s="1"/>
  <c r="D7" i="5"/>
  <c r="C7" i="5"/>
  <c r="D6" i="5"/>
  <c r="C6" i="5"/>
  <c r="D5" i="5"/>
  <c r="C5" i="5"/>
  <c r="C4" i="5"/>
  <c r="D4" i="5" s="1"/>
  <c r="C3" i="5"/>
  <c r="D3" i="5" s="1"/>
  <c r="F3" i="5" s="1" a="1"/>
  <c r="F3" i="5" s="1"/>
  <c r="K4" i="5" a="1"/>
  <c r="K5" i="5" a="1"/>
  <c r="K6" i="5" a="1"/>
  <c r="K3" i="5" a="1"/>
  <c r="D11" i="2" a="1"/>
  <c r="G5" i="5" a="1"/>
  <c r="G4" i="5" a="1"/>
  <c r="G3" i="5" a="1"/>
  <c r="G6" i="5" a="1"/>
  <c r="I7" i="5" a="1"/>
  <c r="I5" i="5" a="1"/>
  <c r="I4" i="5" a="1"/>
  <c r="I3" i="5" a="1"/>
  <c r="I6" i="5" a="1"/>
  <c r="K6" i="5" l="1"/>
  <c r="K5" i="5"/>
  <c r="K4" i="5"/>
  <c r="K3" i="5"/>
  <c r="D11" i="2"/>
  <c r="I4" i="5"/>
  <c r="I6" i="5"/>
  <c r="I7" i="5"/>
  <c r="I5" i="5"/>
  <c r="I3" i="5"/>
  <c r="G6" i="5"/>
  <c r="G5" i="5"/>
  <c r="G4" i="5"/>
  <c r="G3" i="5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M10" i="3" l="1"/>
  <c r="L10" i="3"/>
  <c r="M9" i="3"/>
  <c r="L9" i="3"/>
  <c r="M8" i="3"/>
  <c r="L8" i="3"/>
  <c r="D7" i="3"/>
  <c r="E7" i="3" s="1"/>
  <c r="D6" i="3"/>
  <c r="E6" i="3" s="1"/>
  <c r="D5" i="3"/>
  <c r="E5" i="3" s="1"/>
  <c r="D4" i="3"/>
  <c r="E4" i="3" s="1"/>
  <c r="D3" i="3"/>
  <c r="E3" i="3" s="1"/>
  <c r="D2" i="3"/>
  <c r="E2" i="3" s="1"/>
  <c r="F4" i="1" l="1" a="1"/>
  <c r="F4" i="1" s="1"/>
  <c r="F3" i="1" a="1"/>
  <c r="F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<sst xmlns="http://schemas.openxmlformats.org/spreadsheetml/2006/main" count="164" uniqueCount="106">
  <si>
    <t>Customer</t>
  </si>
  <si>
    <t>Product</t>
  </si>
  <si>
    <t>Amount</t>
  </si>
  <si>
    <t>Apples</t>
  </si>
  <si>
    <t>Array formula</t>
  </si>
  <si>
    <t>Non-array formula</t>
  </si>
  <si>
    <t xml:space="preserve"> </t>
  </si>
  <si>
    <t>Month</t>
  </si>
  <si>
    <t>Bonus</t>
  </si>
  <si>
    <t>SUM/COUNT formula</t>
  </si>
  <si>
    <t>SUM/COUNTA formula</t>
  </si>
  <si>
    <t>Jan</t>
  </si>
  <si>
    <t>Last N months:</t>
  </si>
  <si>
    <t>Feb</t>
  </si>
  <si>
    <t>Bonuses:</t>
  </si>
  <si>
    <t>Mar</t>
  </si>
  <si>
    <t>Apr</t>
  </si>
  <si>
    <t>May</t>
  </si>
  <si>
    <t>Jun</t>
  </si>
  <si>
    <t>Jul</t>
  </si>
  <si>
    <t>`</t>
  </si>
  <si>
    <t>Name</t>
  </si>
  <si>
    <t>Shift</t>
  </si>
  <si>
    <t>IN Time</t>
  </si>
  <si>
    <t>Real IN Time</t>
  </si>
  <si>
    <t>Late</t>
  </si>
  <si>
    <t>Start Time</t>
  </si>
  <si>
    <t>End Time</t>
  </si>
  <si>
    <t>A</t>
  </si>
  <si>
    <t>Day</t>
  </si>
  <si>
    <t xml:space="preserve"> 8:22:09 AM</t>
  </si>
  <si>
    <t xml:space="preserve"> 8:40:00 AM</t>
  </si>
  <si>
    <t xml:space="preserve"> 5:30:00 PM</t>
  </si>
  <si>
    <t>R</t>
  </si>
  <si>
    <t xml:space="preserve"> 8:52:19 AM</t>
  </si>
  <si>
    <t>Night</t>
  </si>
  <si>
    <t xml:space="preserve"> 7:10:00 PM</t>
  </si>
  <si>
    <t xml:space="preserve"> 4:00:00 AM</t>
  </si>
  <si>
    <t>B</t>
  </si>
  <si>
    <t>Straddle</t>
  </si>
  <si>
    <t xml:space="preserve"> 9:28:28 AM</t>
  </si>
  <si>
    <t xml:space="preserve"> 3:00:00 PM</t>
  </si>
  <si>
    <t xml:space="preserve"> 12:00:00 AM</t>
  </si>
  <si>
    <t>C</t>
  </si>
  <si>
    <t xml:space="preserve"> 3:28:12 PM</t>
  </si>
  <si>
    <t>D</t>
  </si>
  <si>
    <t xml:space="preserve"> 6:57:09 PM</t>
  </si>
  <si>
    <t xml:space="preserve">Real time table </t>
  </si>
  <si>
    <t>E</t>
  </si>
  <si>
    <t xml:space="preserve"> 7:21:56 PM</t>
  </si>
  <si>
    <t>Need a formula to identify late arrival entries</t>
  </si>
  <si>
    <t>Ç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</si>
  <si>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</si>
  <si>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</si>
  <si>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</si>
  <si>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</si>
  <si>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</si>
  <si>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</si>
  <si>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</si>
  <si>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</si>
  <si>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</si>
  <si>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</si>
  <si>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</si>
  <si>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</si>
  <si>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</si>
  <si>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T</t>
  </si>
  <si>
    <t>U</t>
  </si>
  <si>
    <t>V</t>
  </si>
  <si>
    <t>W</t>
  </si>
  <si>
    <t>X</t>
  </si>
  <si>
    <t>Y</t>
  </si>
  <si>
    <t>Z</t>
  </si>
  <si>
    <t>'+2</t>
  </si>
  <si>
    <t>`X2</t>
  </si>
  <si>
    <t>..X2</t>
  </si>
  <si>
    <t>~+3</t>
  </si>
  <si>
    <t>^+7</t>
  </si>
  <si>
    <t>º+7</t>
  </si>
  <si>
    <t>o</t>
  </si>
  <si>
    <t>ITEM</t>
  </si>
  <si>
    <t>No.</t>
  </si>
  <si>
    <t>=concatenate</t>
  </si>
  <si>
    <t>Find APPLES only</t>
  </si>
  <si>
    <t>using "If, then"</t>
  </si>
  <si>
    <t>But, I want it to look like this</t>
  </si>
  <si>
    <t>001</t>
  </si>
  <si>
    <t>Apples-001</t>
  </si>
  <si>
    <t>002</t>
  </si>
  <si>
    <t>Apples-002</t>
  </si>
  <si>
    <t>Banana</t>
  </si>
  <si>
    <t>003</t>
  </si>
  <si>
    <t>Apples-006</t>
  </si>
  <si>
    <t>004</t>
  </si>
  <si>
    <t>Apples-008</t>
  </si>
  <si>
    <t>005</t>
  </si>
  <si>
    <t>006</t>
  </si>
  <si>
    <t>007</t>
  </si>
  <si>
    <t>008</t>
  </si>
  <si>
    <t>Sheetal</t>
  </si>
  <si>
    <t>Reyansh</t>
  </si>
  <si>
    <t>Binni</t>
  </si>
  <si>
    <t>Samsung</t>
  </si>
  <si>
    <t>Nokia</t>
  </si>
  <si>
    <t>Oppo</t>
  </si>
  <si>
    <t>Vivo</t>
  </si>
  <si>
    <t xml:space="preserve">ON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</si>
</sst>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F400]h:mm:ss\ AM/PM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8" tint="-0.249977111117893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141414"/>
      <name val="Consolas"/>
      <family val="3"/>
    </font>
    <font>
      <sz val="11"/>
      <color rgb="FF202124"/>
      <name val="Calibri"/>
      <family val="2"/>
      <scheme val="minor"/>
    </font>
    <font>
      <b/>
      <sz val="11"/>
      <color rgb="FF2969B0"/>
      <name val="Segoe UI"/>
      <family val="2"/>
    </font>
    <font>
      <b/>
      <sz val="11"/>
      <color rgb="FF141414"/>
      <name val="Segoe UI"/>
      <family val="2"/>
    </font>
    <font>
      <b/>
      <sz val="11"/>
      <color theme="1"/>
      <name val="Segoe UI"/>
      <family val="2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0" fontId="0" fillId="3" borderId="2" xfId="0" applyFill="1" applyBorder="1"/>
    <xf numFmtId="164" fontId="0" fillId="0" borderId="0" xfId="0" applyNumberFormat="1"/>
    <xf numFmtId="0" fontId="1" fillId="0" borderId="3" xfId="0" applyFont="1" applyBorder="1"/>
    <xf numFmtId="0" fontId="0" fillId="3" borderId="4" xfId="0" applyFill="1" applyBorder="1"/>
    <xf numFmtId="0" fontId="2" fillId="0" borderId="0" xfId="0" applyFont="1"/>
    <xf numFmtId="0" fontId="1" fillId="0" borderId="5" xfId="0" applyFont="1" applyBorder="1"/>
    <xf numFmtId="0" fontId="3" fillId="4" borderId="7" xfId="0" applyFont="1" applyFill="1" applyBorder="1"/>
    <xf numFmtId="0" fontId="3" fillId="4" borderId="8" xfId="0" applyFont="1" applyFill="1" applyBorder="1"/>
    <xf numFmtId="0" fontId="4" fillId="0" borderId="0" xfId="0" applyFont="1"/>
    <xf numFmtId="0" fontId="0" fillId="0" borderId="7" xfId="0" applyBorder="1"/>
    <xf numFmtId="0" fontId="4" fillId="0" borderId="9" xfId="0" applyFont="1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5" borderId="13" xfId="0" applyFill="1" applyBorder="1"/>
    <xf numFmtId="0" fontId="0" fillId="5" borderId="14" xfId="0" applyFill="1" applyBorder="1" applyAlignment="1">
      <alignment vertical="center"/>
    </xf>
    <xf numFmtId="0" fontId="0" fillId="0" borderId="15" xfId="0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6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left"/>
    </xf>
    <xf numFmtId="0" fontId="5" fillId="0" borderId="17" xfId="0" applyFont="1" applyBorder="1"/>
    <xf numFmtId="165" fontId="5" fillId="0" borderId="0" xfId="0" applyNumberFormat="1" applyFont="1"/>
    <xf numFmtId="0" fontId="5" fillId="0" borderId="17" xfId="0" applyFont="1" applyBorder="1" applyAlignment="1">
      <alignment horizontal="center"/>
    </xf>
    <xf numFmtId="0" fontId="5" fillId="0" borderId="18" xfId="0" applyFont="1" applyBorder="1"/>
    <xf numFmtId="0" fontId="6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6" fillId="0" borderId="19" xfId="0" quotePrefix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8" fillId="0" borderId="19" xfId="0" applyFont="1" applyBorder="1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49" fontId="0" fillId="0" borderId="0" xfId="0" applyNumberFormat="1"/>
    <xf numFmtId="0" fontId="10" fillId="0" borderId="0" xfId="0" applyFont="1"/>
    <xf numFmtId="3" fontId="0" fillId="0" borderId="4" xfId="0" applyNumberFormat="1" applyBorder="1"/>
    <xf numFmtId="3" fontId="0" fillId="0" borderId="6" xfId="0" applyNumberFormat="1" applyBorder="1"/>
    <xf numFmtId="0" fontId="1" fillId="2" borderId="19" xfId="0" applyFont="1" applyFill="1" applyBorder="1"/>
    <xf numFmtId="0" fontId="0" fillId="0" borderId="19" xfId="0" applyBorder="1"/>
    <xf numFmtId="3" fontId="0" fillId="0" borderId="19" xfId="0" applyNumberFormat="1" applyBorder="1"/>
    <xf numFmtId="0" fontId="4" fillId="7" borderId="0" xfId="0" applyFont="1" applyFill="1" applyAlignment="1">
      <alignment horizontal="center"/>
    </xf>
    <xf numFmtId="0" fontId="0" fillId="7" borderId="0" xfId="0" applyFill="1"/>
    <xf numFmtId="3" fontId="0" fillId="0" borderId="8" xfId="0" applyNumberFormat="1" applyBorder="1"/>
    <xf numFmtId="3" fontId="0" fillId="0" borderId="16" xfId="0" applyNumberFormat="1" applyBorder="1"/>
    <xf numFmtId="0" fontId="11" fillId="0" borderId="0" xfId="0" applyFont="1"/>
    <xf numFmtId="0" fontId="12" fillId="0" borderId="0" xfId="0" applyFont="1"/>
    <xf numFmtId="0" fontId="3" fillId="8" borderId="0" xfId="0" applyFont="1" applyFill="1"/>
    <xf numFmtId="3" fontId="0" fillId="0" borderId="0" xfId="0" applyNumberFormat="1"/>
    <xf numFmtId="0" fontId="13" fillId="9" borderId="0" xfId="0" applyFont="1" applyFill="1"/>
    <xf numFmtId="0" fontId="13" fillId="10" borderId="0" xfId="0" applyFont="1" applyFill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F2C6-C456-4D0A-8861-CAC7F607B19A}">
  <dimension ref="A1:L25"/>
  <sheetViews>
    <sheetView workbookViewId="0">
      <selection activeCell="L5" sqref="L5"/>
    </sheetView>
  </sheetViews>
  <sheetFormatPr defaultRowHeight="14.4" x14ac:dyDescent="0.3"/>
  <cols>
    <col min="1" max="1" width="11.5546875" customWidth="1"/>
    <col min="3" max="3" width="10.33203125" customWidth="1"/>
    <col min="5" max="5" width="10.5546875" customWidth="1"/>
    <col min="6" max="6" width="10.109375" customWidth="1"/>
  </cols>
  <sheetData>
    <row r="1" spans="1:12" x14ac:dyDescent="0.3">
      <c r="A1" s="42" t="s">
        <v>0</v>
      </c>
      <c r="B1" s="42" t="s">
        <v>1</v>
      </c>
      <c r="C1" s="42" t="s">
        <v>2</v>
      </c>
      <c r="E1" s="1" t="s">
        <v>0</v>
      </c>
      <c r="F1" s="2" t="s">
        <v>98</v>
      </c>
    </row>
    <row r="2" spans="1:12" x14ac:dyDescent="0.3">
      <c r="A2" s="43" t="s">
        <v>98</v>
      </c>
      <c r="B2" s="43" t="s">
        <v>101</v>
      </c>
      <c r="C2" s="44">
        <v>286</v>
      </c>
      <c r="E2" s="4" t="s">
        <v>1</v>
      </c>
      <c r="F2" s="5" t="s">
        <v>103</v>
      </c>
    </row>
    <row r="3" spans="1:12" x14ac:dyDescent="0.3">
      <c r="A3" s="43" t="s">
        <v>98</v>
      </c>
      <c r="B3" s="43" t="s">
        <v>102</v>
      </c>
      <c r="C3" s="44">
        <v>216</v>
      </c>
      <c r="E3" s="4" t="s">
        <v>2</v>
      </c>
      <c r="F3" s="40">
        <f t="array" ref="F3">INDEX(C2:C10, MATCH(1, (F1=A2:A10) * (F2=B2:B10), 0))</f>
        <v>301</v>
      </c>
      <c r="G3" s="6" t="s">
        <v>4</v>
      </c>
      <c r="J3" s="51" cm="1">
        <f t="array" ref="J3">SUMPRODUCT((A2:A10=F1)*(B2:B10=F2)*(C2:C10))</f>
        <v>301</v>
      </c>
      <c r="L3" cm="1">
        <f t="array" ref="L3">SUMPRODUCT((A2:A10=F1)*(B2:B10=F2)*(C2:C10))</f>
        <v>301</v>
      </c>
    </row>
    <row r="4" spans="1:12" x14ac:dyDescent="0.3">
      <c r="A4" s="43" t="s">
        <v>98</v>
      </c>
      <c r="B4" s="43" t="s">
        <v>103</v>
      </c>
      <c r="C4" s="44">
        <v>301</v>
      </c>
      <c r="E4" s="7" t="s">
        <v>2</v>
      </c>
      <c r="F4" s="41" cm="1">
        <f t="array" ref="F4">INDEX(C2:C10, MATCH(1, INDEX((F1=A2:A10) * (F2=B2:B10), 0, 1), 0))</f>
        <v>301</v>
      </c>
      <c r="G4" s="6" t="s">
        <v>5</v>
      </c>
      <c r="J4" s="51">
        <f>SUMIFS(C2:C10,A2:A10,F1,B2:B10,F2)</f>
        <v>301</v>
      </c>
      <c r="L4">
        <f>SUMIFS(C2:C10,A2:A10,F1,B2:B10,F2)</f>
        <v>301</v>
      </c>
    </row>
    <row r="5" spans="1:12" x14ac:dyDescent="0.3">
      <c r="A5" s="43" t="s">
        <v>99</v>
      </c>
      <c r="B5" s="43" t="s">
        <v>102</v>
      </c>
      <c r="C5" s="44">
        <v>374</v>
      </c>
    </row>
    <row r="6" spans="1:12" x14ac:dyDescent="0.3">
      <c r="A6" s="43" t="s">
        <v>99</v>
      </c>
      <c r="B6" s="43" t="s">
        <v>104</v>
      </c>
      <c r="C6" s="44">
        <v>219</v>
      </c>
    </row>
    <row r="7" spans="1:12" x14ac:dyDescent="0.3">
      <c r="A7" s="43" t="s">
        <v>99</v>
      </c>
      <c r="B7" s="43" t="s">
        <v>103</v>
      </c>
      <c r="C7" s="44">
        <v>267</v>
      </c>
    </row>
    <row r="8" spans="1:12" x14ac:dyDescent="0.3">
      <c r="A8" s="43" t="s">
        <v>100</v>
      </c>
      <c r="B8" s="43" t="s">
        <v>101</v>
      </c>
      <c r="C8" s="44">
        <v>318</v>
      </c>
    </row>
    <row r="9" spans="1:12" x14ac:dyDescent="0.3">
      <c r="A9" s="43" t="s">
        <v>100</v>
      </c>
      <c r="B9" s="43" t="s">
        <v>102</v>
      </c>
      <c r="C9" s="44">
        <v>363</v>
      </c>
    </row>
    <row r="10" spans="1:12" x14ac:dyDescent="0.3">
      <c r="A10" s="43" t="s">
        <v>100</v>
      </c>
      <c r="B10" s="43" t="s">
        <v>104</v>
      </c>
      <c r="C10" s="44">
        <v>410</v>
      </c>
    </row>
    <row r="25" spans="8:8" x14ac:dyDescent="0.3">
      <c r="H25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C6D0-0DBC-461C-85B0-8FC22907E533}">
  <dimension ref="A1:M15"/>
  <sheetViews>
    <sheetView workbookViewId="0">
      <selection activeCell="M3" sqref="M3:M6"/>
    </sheetView>
  </sheetViews>
  <sheetFormatPr defaultRowHeight="14.4" x14ac:dyDescent="0.3"/>
  <cols>
    <col min="1" max="1" width="12.5546875" customWidth="1"/>
    <col min="2" max="2" width="14" style="38" customWidth="1"/>
    <col min="3" max="3" width="15.5546875" customWidth="1"/>
    <col min="4" max="4" width="19.6640625" customWidth="1"/>
    <col min="5" max="5" width="26.6640625" customWidth="1"/>
    <col min="6" max="6" width="21.44140625" customWidth="1"/>
    <col min="7" max="7" width="12" bestFit="1" customWidth="1"/>
    <col min="9" max="9" width="11.88671875" customWidth="1"/>
  </cols>
  <sheetData>
    <row r="1" spans="1:13" s="37" customFormat="1" x14ac:dyDescent="0.3">
      <c r="A1" s="55" t="s">
        <v>79</v>
      </c>
      <c r="B1" s="56" t="s">
        <v>80</v>
      </c>
      <c r="C1" s="57" t="s">
        <v>81</v>
      </c>
      <c r="D1" s="58" t="s">
        <v>82</v>
      </c>
      <c r="E1" s="58"/>
    </row>
    <row r="2" spans="1:13" s="37" customFormat="1" x14ac:dyDescent="0.3">
      <c r="A2" s="55"/>
      <c r="B2" s="56"/>
      <c r="C2" s="57"/>
      <c r="D2" s="37" t="s">
        <v>83</v>
      </c>
      <c r="E2" s="45" t="s">
        <v>84</v>
      </c>
    </row>
    <row r="3" spans="1:13" ht="16.8" x14ac:dyDescent="0.4">
      <c r="A3" t="s">
        <v>3</v>
      </c>
      <c r="B3" s="38" t="s">
        <v>85</v>
      </c>
      <c r="C3" t="str">
        <f>CONCATENATE(A3,"-",B3)</f>
        <v>Apples-001</v>
      </c>
      <c r="D3" t="str">
        <f>IF(A3="Apples",C3,0)</f>
        <v>Apples-001</v>
      </c>
      <c r="E3" s="46" t="s">
        <v>86</v>
      </c>
      <c r="F3" s="50" t="str" cm="1">
        <f t="array" ref="F3:F6">_xlfn._xlws.FILTER(D3:D10,A3:A10="Apples")</f>
        <v>Apples-001</v>
      </c>
      <c r="G3" s="39" t="str" cm="1">
        <f t="array" aca="1" ref="G3" ca="1">"Apples-"&amp;INDIRECT("b"&amp;SMALL(IF($A$3:$A$10="apples",ROW($B$3:$B$10)),ROWS($H$3:H3)))</f>
        <v>Apples-001</v>
      </c>
      <c r="I3" s="51" t="str" cm="1">
        <f t="array" aca="1" ref="I3" ca="1">IFERROR("Apples-"&amp;INDIRECT("b"&amp;SMALL(IF($A$3:$A$10="apples",ROW($A$3:$A$10),""),ROWS($H$3:H3))),"")</f>
        <v>Apples-001</v>
      </c>
      <c r="K3" t="str" cm="1">
        <f t="array" aca="1" ref="K3" ca="1">INDIRECT("b"&amp;SMALL(IF($A$3:$A$10="Apples",ROW($A$3:$A$10),""),ROWS($J$3:J3)),TRUE)</f>
        <v>001</v>
      </c>
      <c r="M3" t="str" cm="1">
        <f t="array" ref="M3">_xlfn.CHOOSEROWS(_xlfn.CHOOSECOLS(_xlfn._xlws.FILTER($A$3:$B$10,$A$3:$A$10="Apples"),2), ROWS($L$3:L3))</f>
        <v>001</v>
      </c>
    </row>
    <row r="4" spans="1:13" ht="16.8" x14ac:dyDescent="0.4">
      <c r="A4" t="s">
        <v>3</v>
      </c>
      <c r="B4" s="38" t="s">
        <v>87</v>
      </c>
      <c r="C4" t="str">
        <f t="shared" ref="C4:C10" si="0">CONCATENATE(A4,"-",B4)</f>
        <v>Apples-002</v>
      </c>
      <c r="D4" t="str">
        <f t="shared" ref="D4:D10" si="1">IF(A4="Apples",C4,0)</f>
        <v>Apples-002</v>
      </c>
      <c r="E4" s="46" t="s">
        <v>88</v>
      </c>
      <c r="F4" t="str">
        <v>Apples-002</v>
      </c>
      <c r="G4" s="39" t="str" cm="1">
        <f t="array" aca="1" ref="G4" ca="1">"Apples-"&amp;INDIRECT("b"&amp;SMALL(IF($A$3:$A$10="apples",ROW($B$3:$B$10)),ROWS($H$3:H4)))</f>
        <v>Apples-002</v>
      </c>
      <c r="I4" s="51" t="str" cm="1">
        <f t="array" aca="1" ref="I4" ca="1">IFERROR("Apples-"&amp;INDIRECT("b"&amp;SMALL(IF($A$3:$A$10="apples",ROW($A$3:$A$10),""),ROWS($H$3:H4))),"")</f>
        <v>Apples-002</v>
      </c>
      <c r="K4" t="str" cm="1">
        <f t="array" aca="1" ref="K4" ca="1">INDIRECT("b"&amp;SMALL(IF($A$3:$A$10="Apples",ROW($A$3:$A$10),""),ROWS($J$3:J4)),TRUE)</f>
        <v>002</v>
      </c>
      <c r="M4" t="str" cm="1">
        <f t="array" ref="M4">_xlfn.CHOOSEROWS(_xlfn.CHOOSECOLS(_xlfn._xlws.FILTER($A$3:$B$10,$A$3:$A$10="Apples"),2), ROWS($L$3:L4))</f>
        <v>002</v>
      </c>
    </row>
    <row r="5" spans="1:13" ht="16.8" x14ac:dyDescent="0.4">
      <c r="A5" t="s">
        <v>89</v>
      </c>
      <c r="B5" s="38" t="s">
        <v>90</v>
      </c>
      <c r="C5" t="str">
        <f t="shared" si="0"/>
        <v>Banana-003</v>
      </c>
      <c r="D5">
        <f t="shared" si="1"/>
        <v>0</v>
      </c>
      <c r="E5" s="46" t="s">
        <v>91</v>
      </c>
      <c r="F5" t="str">
        <v>Apples-006</v>
      </c>
      <c r="G5" s="39" t="str" cm="1">
        <f t="array" aca="1" ref="G5" ca="1">"Apples-"&amp;INDIRECT("b"&amp;SMALL(IF($A$3:$A$10="apples",ROW($B$3:$B$10)),ROWS($H$3:H5)))</f>
        <v>Apples-006</v>
      </c>
      <c r="I5" s="51" t="str" cm="1">
        <f t="array" aca="1" ref="I5" ca="1">IFERROR("Apples-"&amp;INDIRECT("b"&amp;SMALL(IF($A$3:$A$10="apples",ROW($A$3:$A$10),""),ROWS($H$3:H5))),"")</f>
        <v>Apples-006</v>
      </c>
      <c r="K5" t="str" cm="1">
        <f t="array" aca="1" ref="K5" ca="1">INDIRECT("b"&amp;SMALL(IF($A$3:$A$10="Apples",ROW($A$3:$A$10),""),ROWS($J$3:J5)),TRUE)</f>
        <v>006</v>
      </c>
      <c r="M5" t="str" cm="1">
        <f t="array" ref="M5">_xlfn.CHOOSEROWS(_xlfn.CHOOSECOLS(_xlfn._xlws.FILTER($A$3:$B$10,$A$3:$A$10="Apples"),2), ROWS($L$3:L5))</f>
        <v>006</v>
      </c>
    </row>
    <row r="6" spans="1:13" ht="16.8" x14ac:dyDescent="0.4">
      <c r="A6" t="s">
        <v>89</v>
      </c>
      <c r="B6" s="38" t="s">
        <v>92</v>
      </c>
      <c r="C6" t="str">
        <f t="shared" si="0"/>
        <v>Banana-004</v>
      </c>
      <c r="D6">
        <f t="shared" si="1"/>
        <v>0</v>
      </c>
      <c r="E6" s="46" t="s">
        <v>93</v>
      </c>
      <c r="F6" t="str">
        <v>Apples-008</v>
      </c>
      <c r="G6" s="39" t="str" cm="1">
        <f t="array" aca="1" ref="G6" ca="1">"Apples-"&amp;INDIRECT("b"&amp;SMALL(IF($A$3:$A$10="apples",ROW($B$3:$B$10)),ROWS($H$3:H6)))</f>
        <v>Apples-008</v>
      </c>
      <c r="I6" s="51" t="str" cm="1">
        <f t="array" aca="1" ref="I6" ca="1">IFERROR("Apples-"&amp;INDIRECT("b"&amp;SMALL(IF($A$3:$A$10="apples",ROW($A$3:$A$10),""),ROWS($H$3:H6))),"")</f>
        <v>Apples-008</v>
      </c>
      <c r="K6" t="str" cm="1">
        <f t="array" aca="1" ref="K6" ca="1">INDIRECT("b"&amp;SMALL(IF($A$3:$A$10="Apples",ROW($A$3:$A$10),""),ROWS($J$3:J6)),TRUE)</f>
        <v>008</v>
      </c>
      <c r="M6" t="str" cm="1">
        <f t="array" ref="M6">_xlfn.CHOOSEROWS(_xlfn.CHOOSECOLS(_xlfn._xlws.FILTER($A$3:$B$10,$A$3:$A$10="Apples"),2), ROWS($L$3:L6))</f>
        <v>008</v>
      </c>
    </row>
    <row r="7" spans="1:13" x14ac:dyDescent="0.3">
      <c r="A7" t="s">
        <v>89</v>
      </c>
      <c r="B7" s="38" t="s">
        <v>94</v>
      </c>
      <c r="C7" t="str">
        <f t="shared" si="0"/>
        <v>Banana-005</v>
      </c>
      <c r="D7">
        <f t="shared" si="1"/>
        <v>0</v>
      </c>
      <c r="I7" t="str" cm="1">
        <f t="array" aca="1" ref="I7" ca="1">IFERROR("Apples-"&amp;INDIRECT("b"&amp;SMALL(IF($A$3:$A$10="apples",ROW($A$3:$A$10),""),ROWS($H$3:H7))),"")</f>
        <v/>
      </c>
    </row>
    <row r="8" spans="1:13" x14ac:dyDescent="0.3">
      <c r="A8" t="s">
        <v>3</v>
      </c>
      <c r="B8" s="38" t="s">
        <v>95</v>
      </c>
      <c r="C8" t="str">
        <f t="shared" si="0"/>
        <v>Apples-006</v>
      </c>
      <c r="D8" t="str">
        <f t="shared" si="1"/>
        <v>Apples-006</v>
      </c>
    </row>
    <row r="9" spans="1:13" x14ac:dyDescent="0.3">
      <c r="A9" t="s">
        <v>89</v>
      </c>
      <c r="B9" s="38" t="s">
        <v>96</v>
      </c>
      <c r="C9" t="str">
        <f t="shared" si="0"/>
        <v>Banana-007</v>
      </c>
      <c r="D9">
        <f t="shared" si="1"/>
        <v>0</v>
      </c>
    </row>
    <row r="10" spans="1:13" x14ac:dyDescent="0.3">
      <c r="A10" t="s">
        <v>3</v>
      </c>
      <c r="B10" s="38" t="s">
        <v>97</v>
      </c>
      <c r="C10" t="str">
        <f t="shared" si="0"/>
        <v>Apples-008</v>
      </c>
      <c r="D10" t="str">
        <f t="shared" si="1"/>
        <v>Apples-008</v>
      </c>
    </row>
    <row r="12" spans="1:13" x14ac:dyDescent="0.3">
      <c r="E12" cm="1">
        <f t="array" ref="E12">SMALL(IF($A$3:$A$10="apples", ROW($B$3:$B$10), ""), ROWS($D$12:D12))</f>
        <v>3</v>
      </c>
    </row>
    <row r="13" spans="1:13" x14ac:dyDescent="0.3">
      <c r="E13" cm="1">
        <f t="array" ref="E13">SMALL(IF($A$3:$A$10="apples", ROW($B$3:$B$10), ""), ROWS($D$12:D13))</f>
        <v>4</v>
      </c>
    </row>
    <row r="14" spans="1:13" x14ac:dyDescent="0.3">
      <c r="E14" cm="1">
        <f t="array" ref="E14">SMALL(IF($A$3:$A$10="apples", ROW($B$3:$B$10), ""), ROWS($D$12:D14))</f>
        <v>8</v>
      </c>
    </row>
    <row r="15" spans="1:13" x14ac:dyDescent="0.3">
      <c r="E15" cm="1">
        <f t="array" ref="E15">SMALL(IF($A$3:$A$10="apples", ROW($B$3:$B$10), ""), ROWS($D$12:D15))</f>
        <v>10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F0D1-D9EC-4403-8B02-21D283E42A6B}">
  <dimension ref="A1:G13"/>
  <sheetViews>
    <sheetView workbookViewId="0">
      <selection activeCell="G9" sqref="G9"/>
    </sheetView>
  </sheetViews>
  <sheetFormatPr defaultRowHeight="14.4" x14ac:dyDescent="0.3"/>
  <cols>
    <col min="4" max="4" width="18" customWidth="1"/>
    <col min="5" max="5" width="20.109375" customWidth="1"/>
    <col min="6" max="6" width="21" customWidth="1"/>
  </cols>
  <sheetData>
    <row r="1" spans="1:7" x14ac:dyDescent="0.3">
      <c r="A1" s="8" t="s">
        <v>7</v>
      </c>
      <c r="B1" s="9" t="s">
        <v>8</v>
      </c>
      <c r="E1" s="10" t="s">
        <v>9</v>
      </c>
      <c r="F1" s="10" t="s">
        <v>10</v>
      </c>
    </row>
    <row r="2" spans="1:7" x14ac:dyDescent="0.3">
      <c r="A2" s="11" t="s">
        <v>11</v>
      </c>
      <c r="B2" s="47">
        <v>30</v>
      </c>
      <c r="D2" s="12" t="s">
        <v>12</v>
      </c>
      <c r="E2" s="13">
        <v>3</v>
      </c>
      <c r="F2" s="14"/>
    </row>
    <row r="3" spans="1:7" x14ac:dyDescent="0.3">
      <c r="A3" s="11" t="s">
        <v>13</v>
      </c>
      <c r="B3" s="47">
        <v>30</v>
      </c>
      <c r="D3" s="15" t="s">
        <v>14</v>
      </c>
      <c r="E3" s="16">
        <f ca="1">SUM(OFFSET(B1,COUNT(B:B)-E2+1,0,E2,1))</f>
        <v>50</v>
      </c>
      <c r="F3" s="17">
        <f ca="1">SUM(OFFSET(B1,COUNTA(B:B)-E2,0,E2,1))</f>
        <v>50</v>
      </c>
    </row>
    <row r="4" spans="1:7" x14ac:dyDescent="0.3">
      <c r="A4" s="11" t="s">
        <v>15</v>
      </c>
      <c r="B4" s="47">
        <v>20</v>
      </c>
    </row>
    <row r="5" spans="1:7" x14ac:dyDescent="0.3">
      <c r="A5" s="11" t="s">
        <v>16</v>
      </c>
      <c r="B5" s="47">
        <v>45</v>
      </c>
      <c r="E5">
        <f ca="1">SUM(OFFSET(A9,-1,1,-E2))</f>
        <v>50</v>
      </c>
    </row>
    <row r="6" spans="1:7" x14ac:dyDescent="0.3">
      <c r="A6" s="11" t="s">
        <v>17</v>
      </c>
      <c r="B6" s="47">
        <v>10</v>
      </c>
      <c r="E6">
        <f ca="1">SUM(OFFSET(A1,(COUNT(B2:B8)-E2)+1,1,E2))</f>
        <v>50</v>
      </c>
      <c r="F6">
        <f ca="1">SUM(OFFSET(A1,(COUNTA(A2:A8)-E2)+1,1,E2))</f>
        <v>50</v>
      </c>
    </row>
    <row r="7" spans="1:7" x14ac:dyDescent="0.3">
      <c r="A7" s="11" t="s">
        <v>18</v>
      </c>
      <c r="B7" s="47">
        <v>15</v>
      </c>
    </row>
    <row r="8" spans="1:7" x14ac:dyDescent="0.3">
      <c r="A8" s="18" t="s">
        <v>19</v>
      </c>
      <c r="B8" s="48">
        <v>25</v>
      </c>
      <c r="C8" s="3"/>
      <c r="E8" s="51">
        <f ca="1">SUM(OFFSET($B$8,,,-$E$2))</f>
        <v>50</v>
      </c>
      <c r="G8" cm="1">
        <f t="array" aca="1" ref="G8:G10" ca="1">OFFSET(B1,COUNT(B2:B8)-E2+1,,E2)</f>
        <v>10</v>
      </c>
    </row>
    <row r="9" spans="1:7" x14ac:dyDescent="0.3">
      <c r="G9">
        <f ca="1"/>
        <v>15</v>
      </c>
    </row>
    <row r="10" spans="1:7" x14ac:dyDescent="0.3">
      <c r="E10" s="52"/>
      <c r="G10">
        <f ca="1"/>
        <v>25</v>
      </c>
    </row>
    <row r="11" spans="1:7" x14ac:dyDescent="0.3">
      <c r="D11" t="str" cm="1">
        <f t="array" aca="1" ref="D11:D13" ca="1">OFFSET(INDIRECT("a8"),,,-3)</f>
        <v>May</v>
      </c>
      <c r="E11" s="59" cm="1">
        <f t="array" ref="E11">SUM(B2:B8*(--DATEVALUE("01-"&amp;A2:A8&amp;"2026")&gt;DATEVALUE("01-"&amp;COUNT(B2:B8)-E2&amp;"-2026")))</f>
        <v>50</v>
      </c>
    </row>
    <row r="12" spans="1:7" x14ac:dyDescent="0.3">
      <c r="D12" t="str">
        <f ca="1"/>
        <v>Jun</v>
      </c>
      <c r="F12" t="s">
        <v>20</v>
      </c>
    </row>
    <row r="13" spans="1:7" x14ac:dyDescent="0.3">
      <c r="C13" t="s">
        <v>6</v>
      </c>
      <c r="D13" t="str">
        <f ca="1"/>
        <v>Jul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C4B3-21A6-42C7-9901-C4295954EDB7}">
  <dimension ref="A1:M16"/>
  <sheetViews>
    <sheetView zoomScale="120" zoomScaleNormal="120" workbookViewId="0">
      <selection activeCell="H2" sqref="H2:H7"/>
    </sheetView>
  </sheetViews>
  <sheetFormatPr defaultColWidth="8.88671875" defaultRowHeight="12" x14ac:dyDescent="0.25"/>
  <cols>
    <col min="1" max="1" width="8.88671875" style="19"/>
    <col min="2" max="2" width="8.88671875" style="20"/>
    <col min="3" max="3" width="14.6640625" style="19" customWidth="1"/>
    <col min="4" max="5" width="8.88671875" style="19"/>
    <col min="6" max="6" width="10.6640625" style="19" bestFit="1" customWidth="1"/>
    <col min="7" max="11" width="8.88671875" style="19"/>
    <col min="12" max="12" width="11" style="19" customWidth="1"/>
    <col min="13" max="13" width="13.109375" style="19" customWidth="1"/>
    <col min="14" max="16384" width="8.88671875" style="19"/>
  </cols>
  <sheetData>
    <row r="1" spans="1:13" x14ac:dyDescent="0.25">
      <c r="A1" s="19" t="s">
        <v>21</v>
      </c>
      <c r="B1" s="20" t="s">
        <v>22</v>
      </c>
      <c r="C1" s="19" t="s">
        <v>23</v>
      </c>
      <c r="D1" s="19" t="s">
        <v>24</v>
      </c>
      <c r="E1" s="21" t="s">
        <v>25</v>
      </c>
      <c r="L1" s="22" t="s">
        <v>26</v>
      </c>
      <c r="M1" s="22" t="s">
        <v>27</v>
      </c>
    </row>
    <row r="2" spans="1:13" x14ac:dyDescent="0.25">
      <c r="A2" s="19" t="s">
        <v>28</v>
      </c>
      <c r="B2" s="23" t="s">
        <v>29</v>
      </c>
      <c r="C2" s="24" t="s">
        <v>30</v>
      </c>
      <c r="D2" s="25">
        <f>TIMEVALUE(C2)</f>
        <v>0.34871527777777778</v>
      </c>
      <c r="E2" s="19" t="str">
        <f>IF(D2&lt;INDEX($K$8:$L$10,MATCH($B2,$K$8:$K$10,0),2),"no","yes")</f>
        <v>no</v>
      </c>
      <c r="F2" s="19" t="str">
        <f>IF(TIMEVALUE(VLOOKUP(B2,$K$2:$L$4,2,0))&gt;=TIMEVALUE(C2),"No", "Yes")</f>
        <v>No</v>
      </c>
      <c r="G2" s="19" t="b">
        <f>C2&gt;L2</f>
        <v>0</v>
      </c>
      <c r="H2" s="19" t="str">
        <f>IF(VLOOKUP(B2,$K$2:$M$4,2,0)&lt;C2,"Late","Ontime")</f>
        <v>Ontime</v>
      </c>
      <c r="K2" s="26" t="s">
        <v>29</v>
      </c>
      <c r="L2" s="27" t="s">
        <v>31</v>
      </c>
      <c r="M2" s="27" t="s">
        <v>32</v>
      </c>
    </row>
    <row r="3" spans="1:13" x14ac:dyDescent="0.25">
      <c r="A3" s="19" t="s">
        <v>33</v>
      </c>
      <c r="B3" s="23" t="s">
        <v>29</v>
      </c>
      <c r="C3" s="24" t="s">
        <v>34</v>
      </c>
      <c r="D3" s="25">
        <f t="shared" ref="D3:D7" si="0">TIMEVALUE(C3)</f>
        <v>0.36966435185185187</v>
      </c>
      <c r="E3" s="19" t="str">
        <f t="shared" ref="E3:E7" si="1">IF(D3&lt;INDEX($K$8:$L$10,MATCH($B3,$K$8:$K$10,0),2),"no","yes")</f>
        <v>yes</v>
      </c>
      <c r="F3" s="19" t="str">
        <f t="shared" ref="F3:F7" si="2">IF(TIMEVALUE(VLOOKUP(B3,$K$2:$L$4,2,0))&gt;=TIMEVALUE(C3),"No", "Yes")</f>
        <v>Yes</v>
      </c>
      <c r="H3" s="19" t="str">
        <f t="shared" ref="H3:H7" si="3">IF(VLOOKUP(B3,$K$2:$M$4,2,0)&lt;C3,"Late","Ontime")</f>
        <v>Late</v>
      </c>
      <c r="K3" s="26" t="s">
        <v>35</v>
      </c>
      <c r="L3" s="27" t="s">
        <v>36</v>
      </c>
      <c r="M3" s="27" t="s">
        <v>37</v>
      </c>
    </row>
    <row r="4" spans="1:13" x14ac:dyDescent="0.25">
      <c r="A4" s="19" t="s">
        <v>38</v>
      </c>
      <c r="B4" s="23" t="s">
        <v>39</v>
      </c>
      <c r="C4" s="24" t="s">
        <v>40</v>
      </c>
      <c r="D4" s="25">
        <f t="shared" si="0"/>
        <v>0.39476851851851852</v>
      </c>
      <c r="E4" s="19" t="str">
        <f t="shared" si="1"/>
        <v>no</v>
      </c>
      <c r="F4" s="19" t="str">
        <f t="shared" si="2"/>
        <v>No</v>
      </c>
      <c r="H4" s="19" t="str">
        <f t="shared" si="3"/>
        <v>Late</v>
      </c>
      <c r="K4" s="26" t="s">
        <v>39</v>
      </c>
      <c r="L4" s="27" t="s">
        <v>41</v>
      </c>
      <c r="M4" s="27" t="s">
        <v>42</v>
      </c>
    </row>
    <row r="5" spans="1:13" x14ac:dyDescent="0.25">
      <c r="A5" s="19" t="s">
        <v>43</v>
      </c>
      <c r="B5" s="23" t="s">
        <v>39</v>
      </c>
      <c r="C5" s="24" t="s">
        <v>44</v>
      </c>
      <c r="D5" s="25">
        <f t="shared" si="0"/>
        <v>0.6445833333333334</v>
      </c>
      <c r="E5" s="19" t="str">
        <f t="shared" si="1"/>
        <v>yes</v>
      </c>
      <c r="F5" s="19" t="str">
        <f t="shared" si="2"/>
        <v>Yes</v>
      </c>
      <c r="H5" s="19" t="str">
        <f t="shared" si="3"/>
        <v>Late</v>
      </c>
    </row>
    <row r="6" spans="1:13" x14ac:dyDescent="0.25">
      <c r="A6" s="19" t="s">
        <v>45</v>
      </c>
      <c r="B6" s="23" t="s">
        <v>35</v>
      </c>
      <c r="C6" s="24" t="s">
        <v>46</v>
      </c>
      <c r="D6" s="25">
        <f t="shared" si="0"/>
        <v>0.78968749999999999</v>
      </c>
      <c r="E6" s="19" t="str">
        <f t="shared" si="1"/>
        <v>no</v>
      </c>
      <c r="F6" s="19" t="str">
        <f t="shared" si="2"/>
        <v>No</v>
      </c>
      <c r="H6" s="19" t="str">
        <f t="shared" si="3"/>
        <v>Ontime</v>
      </c>
      <c r="K6" s="19" t="s">
        <v>47</v>
      </c>
    </row>
    <row r="7" spans="1:13" x14ac:dyDescent="0.25">
      <c r="A7" s="19" t="s">
        <v>48</v>
      </c>
      <c r="B7" s="23" t="s">
        <v>35</v>
      </c>
      <c r="C7" s="24" t="s">
        <v>49</v>
      </c>
      <c r="D7" s="25">
        <f t="shared" si="0"/>
        <v>0.8068981481481482</v>
      </c>
      <c r="E7" s="19" t="str">
        <f t="shared" si="1"/>
        <v>yes</v>
      </c>
      <c r="F7" s="19" t="str">
        <f t="shared" si="2"/>
        <v>Yes</v>
      </c>
      <c r="H7" s="19" t="str">
        <f t="shared" si="3"/>
        <v>Late</v>
      </c>
      <c r="L7" s="22" t="s">
        <v>26</v>
      </c>
      <c r="M7" s="22" t="s">
        <v>27</v>
      </c>
    </row>
    <row r="8" spans="1:13" x14ac:dyDescent="0.25">
      <c r="K8" s="26" t="s">
        <v>29</v>
      </c>
      <c r="L8" s="25">
        <f>TIMEVALUE(L2)</f>
        <v>0.3611111111111111</v>
      </c>
      <c r="M8" s="25">
        <f>TIMEVALUE(M2)</f>
        <v>0.72916666666666663</v>
      </c>
    </row>
    <row r="9" spans="1:13" ht="16.8" x14ac:dyDescent="0.4">
      <c r="A9" s="49" t="s">
        <v>50</v>
      </c>
      <c r="K9" s="26" t="s">
        <v>35</v>
      </c>
      <c r="L9" s="25">
        <f t="shared" ref="L9:M10" si="4">TIMEVALUE(L3)</f>
        <v>0.79861111111111116</v>
      </c>
      <c r="M9" s="25">
        <f t="shared" si="4"/>
        <v>0.16666666666666666</v>
      </c>
    </row>
    <row r="10" spans="1:13" x14ac:dyDescent="0.25">
      <c r="C10" s="53" t="s">
        <v>105</v>
      </c>
      <c r="K10" s="26" t="s">
        <v>39</v>
      </c>
      <c r="L10" s="25">
        <f t="shared" si="4"/>
        <v>0.625</v>
      </c>
      <c r="M10" s="25">
        <f t="shared" si="4"/>
        <v>0</v>
      </c>
    </row>
    <row r="11" spans="1:13" x14ac:dyDescent="0.25">
      <c r="C11" s="54" t="str">
        <f>IF(C2&lt;=VLOOKUP(B2,$K$2:$M$4,2,0), "YES","NO")</f>
        <v>YES</v>
      </c>
    </row>
    <row r="12" spans="1:13" x14ac:dyDescent="0.25">
      <c r="C12" s="54" t="str">
        <f t="shared" ref="C12:C16" si="5">IF(C3&lt;=VLOOKUP(B3,$K$2:$M$4,2,0), "YES","NO")</f>
        <v>NO</v>
      </c>
    </row>
    <row r="13" spans="1:13" x14ac:dyDescent="0.25">
      <c r="C13" s="54" t="str">
        <f t="shared" si="5"/>
        <v>NO</v>
      </c>
    </row>
    <row r="14" spans="1:13" x14ac:dyDescent="0.25">
      <c r="C14" s="54" t="str">
        <f t="shared" si="5"/>
        <v>NO</v>
      </c>
    </row>
    <row r="15" spans="1:13" x14ac:dyDescent="0.25">
      <c r="C15" s="54" t="str">
        <f t="shared" si="5"/>
        <v>YES</v>
      </c>
    </row>
    <row r="16" spans="1:13" x14ac:dyDescent="0.25">
      <c r="C16" s="54" t="str">
        <f t="shared" si="5"/>
        <v>NO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FE76-CD7E-44F7-A50F-273A2F107075}">
  <dimension ref="A2:AG14"/>
  <sheetViews>
    <sheetView tabSelected="1" workbookViewId="0">
      <selection activeCell="A14" sqref="A14:T14"/>
    </sheetView>
  </sheetViews>
  <sheetFormatPr defaultRowHeight="14.4" x14ac:dyDescent="0.3"/>
  <cols>
    <col min="1" max="33" width="5.6640625" customWidth="1"/>
  </cols>
  <sheetData>
    <row r="2" spans="1:33" x14ac:dyDescent="0.3">
      <c r="A2" s="28" t="s">
        <v>28</v>
      </c>
      <c r="B2" s="28" t="s">
        <v>38</v>
      </c>
      <c r="C2" s="28" t="s">
        <v>43</v>
      </c>
      <c r="D2" s="28" t="s">
        <v>51</v>
      </c>
      <c r="E2" s="28" t="s">
        <v>45</v>
      </c>
      <c r="F2" s="29" t="s">
        <v>48</v>
      </c>
      <c r="G2" s="28" t="s">
        <v>52</v>
      </c>
      <c r="H2" s="28" t="s">
        <v>53</v>
      </c>
      <c r="I2" s="28" t="s">
        <v>54</v>
      </c>
      <c r="J2" s="28" t="s">
        <v>55</v>
      </c>
      <c r="K2" s="28" t="s">
        <v>56</v>
      </c>
      <c r="L2" s="28" t="s">
        <v>57</v>
      </c>
      <c r="M2" s="28" t="s">
        <v>58</v>
      </c>
      <c r="N2" s="28" t="s">
        <v>59</v>
      </c>
      <c r="O2" s="28" t="s">
        <v>60</v>
      </c>
      <c r="P2" s="28" t="s">
        <v>61</v>
      </c>
      <c r="Q2" s="28" t="s">
        <v>62</v>
      </c>
      <c r="R2" s="28" t="s">
        <v>63</v>
      </c>
      <c r="S2" s="28" t="s">
        <v>33</v>
      </c>
      <c r="T2" s="28" t="s">
        <v>64</v>
      </c>
      <c r="U2" s="28" t="s">
        <v>65</v>
      </c>
      <c r="V2" s="28" t="s">
        <v>66</v>
      </c>
      <c r="W2" s="28" t="s">
        <v>67</v>
      </c>
      <c r="X2" s="28" t="s">
        <v>68</v>
      </c>
      <c r="Y2" s="28" t="s">
        <v>69</v>
      </c>
      <c r="Z2" s="28" t="s">
        <v>70</v>
      </c>
      <c r="AA2" s="28" t="s">
        <v>71</v>
      </c>
      <c r="AB2" s="30" t="s">
        <v>72</v>
      </c>
      <c r="AC2" s="28" t="s">
        <v>73</v>
      </c>
      <c r="AD2" s="28" t="s">
        <v>74</v>
      </c>
      <c r="AE2" s="28" t="s">
        <v>75</v>
      </c>
      <c r="AF2" s="28" t="s">
        <v>76</v>
      </c>
      <c r="AG2" s="28" t="s">
        <v>77</v>
      </c>
    </row>
    <row r="3" spans="1:33" x14ac:dyDescent="0.3">
      <c r="A3" s="31">
        <v>1</v>
      </c>
      <c r="B3" s="31">
        <v>2</v>
      </c>
      <c r="C3" s="31">
        <v>3</v>
      </c>
      <c r="D3" s="31">
        <v>6</v>
      </c>
      <c r="E3" s="31">
        <v>4</v>
      </c>
      <c r="F3" s="31">
        <v>5</v>
      </c>
      <c r="G3" s="31">
        <v>8</v>
      </c>
      <c r="H3" s="31">
        <v>3</v>
      </c>
      <c r="I3" s="31">
        <v>5</v>
      </c>
      <c r="J3" s="31">
        <v>1</v>
      </c>
      <c r="K3" s="31">
        <v>1</v>
      </c>
      <c r="L3" s="31">
        <v>2</v>
      </c>
      <c r="M3" s="31">
        <v>3</v>
      </c>
      <c r="N3" s="31">
        <v>4</v>
      </c>
      <c r="O3" s="31">
        <v>5</v>
      </c>
      <c r="P3" s="31">
        <v>7</v>
      </c>
      <c r="Q3" s="31">
        <v>8</v>
      </c>
      <c r="R3" s="31">
        <v>1</v>
      </c>
      <c r="S3" s="31">
        <v>2</v>
      </c>
      <c r="T3" s="31">
        <v>3</v>
      </c>
      <c r="U3" s="31" t="s">
        <v>78</v>
      </c>
      <c r="V3" s="31">
        <v>6</v>
      </c>
      <c r="W3" s="31">
        <v>6</v>
      </c>
      <c r="X3" s="31">
        <v>6</v>
      </c>
      <c r="Y3" s="31">
        <v>6</v>
      </c>
      <c r="Z3" s="31">
        <v>1</v>
      </c>
      <c r="AA3" s="31">
        <v>7</v>
      </c>
      <c r="AB3" s="31">
        <v>2</v>
      </c>
      <c r="AC3" s="31">
        <v>2</v>
      </c>
      <c r="AD3" s="31">
        <v>2</v>
      </c>
      <c r="AE3" s="31">
        <v>3</v>
      </c>
      <c r="AF3" s="31">
        <v>7</v>
      </c>
      <c r="AG3" s="31">
        <v>7</v>
      </c>
    </row>
    <row r="4" spans="1:33" x14ac:dyDescent="0.3">
      <c r="A4" s="32"/>
      <c r="B4" s="32"/>
      <c r="C4" s="32"/>
      <c r="D4" s="32"/>
      <c r="E4" s="32"/>
      <c r="F4" s="32"/>
      <c r="G4" s="32"/>
      <c r="H4" s="32"/>
      <c r="I4" s="32"/>
      <c r="J4" s="33"/>
      <c r="K4" s="32"/>
      <c r="L4" s="32"/>
      <c r="M4" s="32"/>
      <c r="N4" s="32"/>
      <c r="O4" s="32"/>
    </row>
    <row r="5" spans="1:33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33" x14ac:dyDescent="0.3">
      <c r="A6" s="34" t="s">
        <v>28</v>
      </c>
      <c r="B6" s="34" t="s">
        <v>66</v>
      </c>
      <c r="C6" s="34" t="s">
        <v>55</v>
      </c>
      <c r="D6" s="34" t="s">
        <v>64</v>
      </c>
      <c r="E6" s="34"/>
      <c r="F6" s="34" t="s">
        <v>38</v>
      </c>
      <c r="G6" s="34" t="s">
        <v>61</v>
      </c>
      <c r="H6" s="34" t="s">
        <v>59</v>
      </c>
      <c r="I6" s="34" t="s">
        <v>52</v>
      </c>
      <c r="J6" s="34" t="s">
        <v>55</v>
      </c>
      <c r="K6" s="34" t="s">
        <v>59</v>
      </c>
      <c r="L6" s="34"/>
      <c r="M6" s="34" t="s">
        <v>45</v>
      </c>
      <c r="N6" s="34" t="s">
        <v>28</v>
      </c>
      <c r="O6" s="34"/>
      <c r="P6" s="34" t="s">
        <v>64</v>
      </c>
      <c r="Q6" s="34" t="s">
        <v>55</v>
      </c>
      <c r="R6" s="34" t="s">
        <v>58</v>
      </c>
      <c r="S6" s="34" t="s">
        <v>67</v>
      </c>
      <c r="T6" s="34" t="s">
        <v>28</v>
      </c>
    </row>
    <row r="7" spans="1:33" x14ac:dyDescent="0.3">
      <c r="A7" s="35">
        <f>IF(A6="","",HLOOKUP(A6,$A$2:$AG$3,2,0))</f>
        <v>1</v>
      </c>
      <c r="B7" s="35">
        <f t="shared" ref="B7:T7" si="0">IF(B6="","",HLOOKUP(B6,$A$2:$AG$3,2,0))</f>
        <v>6</v>
      </c>
      <c r="C7" s="35">
        <f t="shared" si="0"/>
        <v>1</v>
      </c>
      <c r="D7" s="35">
        <f t="shared" si="0"/>
        <v>3</v>
      </c>
      <c r="E7" s="35" t="str">
        <f t="shared" si="0"/>
        <v/>
      </c>
      <c r="F7" s="35">
        <f t="shared" si="0"/>
        <v>2</v>
      </c>
      <c r="G7" s="35">
        <f t="shared" si="0"/>
        <v>7</v>
      </c>
      <c r="H7" s="35">
        <f t="shared" si="0"/>
        <v>4</v>
      </c>
      <c r="I7" s="35">
        <f t="shared" si="0"/>
        <v>8</v>
      </c>
      <c r="J7" s="35">
        <f t="shared" si="0"/>
        <v>1</v>
      </c>
      <c r="K7" s="35">
        <f t="shared" si="0"/>
        <v>4</v>
      </c>
      <c r="L7" s="35" t="str">
        <f t="shared" si="0"/>
        <v/>
      </c>
      <c r="M7" s="35">
        <f t="shared" si="0"/>
        <v>4</v>
      </c>
      <c r="N7" s="35">
        <f t="shared" si="0"/>
        <v>1</v>
      </c>
      <c r="O7" s="35" t="str">
        <f t="shared" si="0"/>
        <v/>
      </c>
      <c r="P7" s="35">
        <f t="shared" si="0"/>
        <v>3</v>
      </c>
      <c r="Q7" s="35">
        <f t="shared" si="0"/>
        <v>1</v>
      </c>
      <c r="R7" s="35">
        <f t="shared" si="0"/>
        <v>3</v>
      </c>
      <c r="S7" s="35">
        <f t="shared" si="0"/>
        <v>6</v>
      </c>
      <c r="T7" s="35">
        <f t="shared" si="0"/>
        <v>1</v>
      </c>
    </row>
    <row r="9" spans="1:33" x14ac:dyDescent="0.3">
      <c r="A9">
        <f>IFERROR(HLOOKUP(A6,$A$2:$AG$3,2,0), "")</f>
        <v>1</v>
      </c>
      <c r="B9">
        <f t="shared" ref="B9:T9" si="1">IFERROR(HLOOKUP(B6,$A$2:$AG$3,2,0), "")</f>
        <v>6</v>
      </c>
      <c r="C9">
        <f t="shared" si="1"/>
        <v>1</v>
      </c>
      <c r="D9">
        <f t="shared" si="1"/>
        <v>3</v>
      </c>
      <c r="E9" t="str">
        <f t="shared" si="1"/>
        <v/>
      </c>
      <c r="F9">
        <f t="shared" si="1"/>
        <v>2</v>
      </c>
      <c r="G9">
        <f t="shared" si="1"/>
        <v>7</v>
      </c>
      <c r="H9">
        <f t="shared" si="1"/>
        <v>4</v>
      </c>
      <c r="I9">
        <f t="shared" si="1"/>
        <v>8</v>
      </c>
      <c r="J9">
        <f t="shared" si="1"/>
        <v>1</v>
      </c>
      <c r="K9">
        <f t="shared" si="1"/>
        <v>4</v>
      </c>
      <c r="L9" t="str">
        <f t="shared" si="1"/>
        <v/>
      </c>
      <c r="M9">
        <f t="shared" si="1"/>
        <v>4</v>
      </c>
      <c r="N9">
        <f t="shared" si="1"/>
        <v>1</v>
      </c>
      <c r="O9" t="str">
        <f t="shared" si="1"/>
        <v/>
      </c>
      <c r="P9">
        <f t="shared" si="1"/>
        <v>3</v>
      </c>
      <c r="Q9">
        <f t="shared" si="1"/>
        <v>1</v>
      </c>
      <c r="R9">
        <f t="shared" si="1"/>
        <v>3</v>
      </c>
      <c r="S9">
        <f t="shared" si="1"/>
        <v>6</v>
      </c>
      <c r="T9">
        <f t="shared" si="1"/>
        <v>1</v>
      </c>
    </row>
    <row r="10" spans="1:33" x14ac:dyDescent="0.3">
      <c r="A10" s="36"/>
    </row>
    <row r="12" spans="1:33" x14ac:dyDescent="0.3">
      <c r="A12">
        <f>IFERROR(HLOOKUP(A6,$A$2:$AG$3,2,0),"")</f>
        <v>1</v>
      </c>
      <c r="B12">
        <f t="shared" ref="B12:T12" si="2">IFERROR(HLOOKUP(B6,$A$2:$AG$3,2,0),"")</f>
        <v>6</v>
      </c>
      <c r="C12">
        <f t="shared" si="2"/>
        <v>1</v>
      </c>
      <c r="D12">
        <f t="shared" si="2"/>
        <v>3</v>
      </c>
      <c r="E12" t="str">
        <f t="shared" si="2"/>
        <v/>
      </c>
      <c r="F12">
        <f t="shared" si="2"/>
        <v>2</v>
      </c>
      <c r="G12">
        <f t="shared" si="2"/>
        <v>7</v>
      </c>
      <c r="H12">
        <f t="shared" si="2"/>
        <v>4</v>
      </c>
      <c r="I12">
        <f t="shared" si="2"/>
        <v>8</v>
      </c>
      <c r="J12">
        <f t="shared" si="2"/>
        <v>1</v>
      </c>
      <c r="K12">
        <f t="shared" si="2"/>
        <v>4</v>
      </c>
      <c r="L12" t="str">
        <f t="shared" si="2"/>
        <v/>
      </c>
      <c r="M12">
        <f t="shared" si="2"/>
        <v>4</v>
      </c>
      <c r="N12">
        <f t="shared" si="2"/>
        <v>1</v>
      </c>
      <c r="O12" t="str">
        <f t="shared" si="2"/>
        <v/>
      </c>
      <c r="P12">
        <f t="shared" si="2"/>
        <v>3</v>
      </c>
      <c r="Q12">
        <f t="shared" si="2"/>
        <v>1</v>
      </c>
      <c r="R12">
        <f t="shared" si="2"/>
        <v>3</v>
      </c>
      <c r="S12">
        <f t="shared" si="2"/>
        <v>6</v>
      </c>
      <c r="T12">
        <f t="shared" si="2"/>
        <v>1</v>
      </c>
    </row>
    <row r="14" spans="1:33" x14ac:dyDescent="0.3">
      <c r="A14">
        <f>IF(ISBLANK(A6),"",HLOOKUP(A6,$A$2:$AG$3,2,0))</f>
        <v>1</v>
      </c>
      <c r="B14">
        <f t="shared" ref="B14:T14" si="3">IF(ISBLANK(B6),"",HLOOKUP(B6,$A$2:$AG$3,2,0))</f>
        <v>6</v>
      </c>
      <c r="C14">
        <f t="shared" si="3"/>
        <v>1</v>
      </c>
      <c r="D14">
        <f t="shared" si="3"/>
        <v>3</v>
      </c>
      <c r="E14" t="str">
        <f t="shared" si="3"/>
        <v/>
      </c>
      <c r="F14">
        <f t="shared" si="3"/>
        <v>2</v>
      </c>
      <c r="G14">
        <f t="shared" si="3"/>
        <v>7</v>
      </c>
      <c r="H14">
        <f t="shared" si="3"/>
        <v>4</v>
      </c>
      <c r="I14">
        <f t="shared" si="3"/>
        <v>8</v>
      </c>
      <c r="J14">
        <f t="shared" si="3"/>
        <v>1</v>
      </c>
      <c r="K14">
        <f t="shared" si="3"/>
        <v>4</v>
      </c>
      <c r="L14" t="str">
        <f t="shared" si="3"/>
        <v/>
      </c>
      <c r="M14">
        <f t="shared" si="3"/>
        <v>4</v>
      </c>
      <c r="N14">
        <f t="shared" si="3"/>
        <v>1</v>
      </c>
      <c r="O14" t="str">
        <f t="shared" si="3"/>
        <v/>
      </c>
      <c r="P14">
        <f t="shared" si="3"/>
        <v>3</v>
      </c>
      <c r="Q14">
        <f t="shared" si="3"/>
        <v>1</v>
      </c>
      <c r="R14">
        <f t="shared" si="3"/>
        <v>3</v>
      </c>
      <c r="S14">
        <f t="shared" si="3"/>
        <v>6</v>
      </c>
      <c r="T14">
        <f t="shared" si="3"/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2021-05-08T07:26:41Z</dcterms:created>
  <dcterms:modified xsi:type="dcterms:W3CDTF">2026-01-29T12:05:26Z</dcterms:modified>
</cp:coreProperties>
</file>