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3053B731-A1F7-4F67-853E-29F26CB39F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ack Jobs #39" sheetId="6" r:id="rId1"/>
  </sheets>
  <externalReferences>
    <externalReference r:id="rId2"/>
  </externalReferences>
  <definedNames>
    <definedName name="_xlcn.WorksheetConnection_PivotTableA1G6361" hidden="1">'[1]Pivot Table'!$A$1:$G$636</definedName>
    <definedName name="_xlcn.WorksheetConnection_PivotTableI1K6361" hidden="1">'[1]Pivot Table'!$I$1:$K$636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e-01a98da6-9a8f-4d25-8f2d-1e662ecd20df" name="Range" connection="WorksheetConnection_Pivot Table!$I$1:$K$636"/>
          <x15:modelTable id="Range1-c6dd4316-e0da-4d3f-9bba-747ea7f931f9" name="Range1" connection="WorksheetConnection_Pivot Table!$A$1:$G$63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5" i="6" l="1"/>
  <c r="G195" i="6"/>
  <c r="H183" i="6"/>
  <c r="I183" i="6"/>
  <c r="J183" i="6"/>
  <c r="H184" i="6"/>
  <c r="I184" i="6"/>
  <c r="J184" i="6"/>
  <c r="H185" i="6"/>
  <c r="I185" i="6"/>
  <c r="J185" i="6"/>
  <c r="G184" i="6"/>
  <c r="G185" i="6"/>
  <c r="G183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14" i="6"/>
  <c r="L22" i="6"/>
  <c r="K22" i="6"/>
  <c r="J22" i="6"/>
  <c r="J8" i="6"/>
  <c r="J9" i="6"/>
  <c r="J10" i="6"/>
  <c r="J11" i="6"/>
  <c r="J12" i="6"/>
  <c r="J13" i="6"/>
  <c r="J14" i="6"/>
  <c r="J15" i="6"/>
  <c r="J7" i="6"/>
  <c r="I7" i="6"/>
  <c r="I8" i="6"/>
  <c r="I9" i="6"/>
  <c r="I10" i="6"/>
  <c r="I11" i="6"/>
  <c r="I12" i="6"/>
  <c r="I13" i="6"/>
  <c r="I14" i="6"/>
  <c r="I15" i="6"/>
  <c r="F188" i="6"/>
  <c r="G188" i="6"/>
  <c r="L187" i="6"/>
  <c r="L188" i="6"/>
  <c r="L189" i="6"/>
  <c r="L190" i="6"/>
  <c r="L191" i="6"/>
  <c r="L192" i="6"/>
  <c r="L193" i="6"/>
  <c r="L194" i="6"/>
  <c r="K188" i="6"/>
  <c r="K189" i="6"/>
  <c r="K190" i="6"/>
  <c r="K191" i="6"/>
  <c r="K192" i="6"/>
  <c r="K193" i="6"/>
  <c r="K194" i="6"/>
  <c r="K187" i="6"/>
  <c r="F189" i="6"/>
  <c r="F190" i="6"/>
  <c r="F191" i="6"/>
  <c r="F192" i="6"/>
  <c r="F193" i="6"/>
  <c r="G175" i="6"/>
  <c r="G176" i="6"/>
  <c r="G177" i="6"/>
  <c r="G178" i="6"/>
  <c r="G179" i="6"/>
  <c r="G180" i="6"/>
  <c r="G181" i="6"/>
  <c r="G17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14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22" i="6"/>
  <c r="H8" i="6" a="1"/>
  <c r="H8" i="6" s="1"/>
  <c r="H9" i="6" a="1"/>
  <c r="H9" i="6" s="1"/>
  <c r="H10" i="6" a="1"/>
  <c r="H10" i="6"/>
  <c r="H11" i="6" a="1"/>
  <c r="H11" i="6"/>
  <c r="H12" i="6" a="1"/>
  <c r="H12" i="6" s="1"/>
  <c r="H13" i="6" a="1"/>
  <c r="H13" i="6"/>
  <c r="H14" i="6" a="1"/>
  <c r="H14" i="6" s="1"/>
  <c r="H15" i="6" a="1"/>
  <c r="H15" i="6" s="1"/>
  <c r="H7" i="6" a="1"/>
  <c r="H7" i="6" s="1"/>
  <c r="G7" i="6" a="1"/>
  <c r="G7" i="6" s="1"/>
  <c r="G8" i="6" a="1"/>
  <c r="G8" i="6" s="1"/>
  <c r="G9" i="6" a="1"/>
  <c r="G9" i="6" s="1"/>
  <c r="G10" i="6" a="1"/>
  <c r="G10" i="6"/>
  <c r="G11" i="6" a="1"/>
  <c r="G11" i="6"/>
  <c r="G12" i="6" a="1"/>
  <c r="G12" i="6"/>
  <c r="G13" i="6" a="1"/>
  <c r="G13" i="6"/>
  <c r="G14" i="6" a="1"/>
  <c r="G14" i="6"/>
  <c r="G15" i="6" a="1"/>
  <c r="G15" i="6"/>
  <c r="C189" i="6"/>
  <c r="C190" i="6"/>
  <c r="C191" i="6"/>
  <c r="C192" i="6"/>
  <c r="C193" i="6"/>
  <c r="C188" i="6"/>
  <c r="E174" i="6" l="1"/>
  <c r="F174" i="6"/>
  <c r="E175" i="6"/>
  <c r="F175" i="6"/>
  <c r="E176" i="6"/>
  <c r="F176" i="6"/>
  <c r="E177" i="6"/>
  <c r="F177" i="6"/>
  <c r="E178" i="6"/>
  <c r="F178" i="6"/>
  <c r="E179" i="6"/>
  <c r="F179" i="6"/>
  <c r="E180" i="6"/>
  <c r="F180" i="6"/>
  <c r="E181" i="6"/>
  <c r="F181" i="6"/>
  <c r="D175" i="6"/>
  <c r="D176" i="6"/>
  <c r="D177" i="6"/>
  <c r="D178" i="6"/>
  <c r="D179" i="6"/>
  <c r="D180" i="6"/>
  <c r="D181" i="6"/>
  <c r="D174" i="6"/>
  <c r="C175" i="6"/>
  <c r="C176" i="6"/>
  <c r="C177" i="6"/>
  <c r="C178" i="6"/>
  <c r="C179" i="6"/>
  <c r="C180" i="6"/>
  <c r="C181" i="6"/>
  <c r="C17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14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22" i="6"/>
  <c r="F8" i="6"/>
  <c r="F9" i="6"/>
  <c r="F10" i="6"/>
  <c r="F11" i="6"/>
  <c r="F12" i="6"/>
  <c r="F13" i="6"/>
  <c r="F14" i="6"/>
  <c r="F15" i="6"/>
  <c r="F7" i="6"/>
  <c r="D8" i="6"/>
  <c r="D9" i="6"/>
  <c r="D10" i="6"/>
  <c r="D11" i="6"/>
  <c r="D12" i="6"/>
  <c r="D13" i="6"/>
  <c r="D14" i="6"/>
  <c r="D15" i="6"/>
  <c r="D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Pivot Table!$A$1:$G$636" type="102" refreshedVersion="5" minRefreshableVersion="5">
    <extLst>
      <ext xmlns:x15="http://schemas.microsoft.com/office/spreadsheetml/2010/11/main" uri="{DE250136-89BD-433C-8126-D09CA5730AF9}">
        <x15:connection id="Range1-c6dd4316-e0da-4d3f-9bba-747ea7f931f9" autoDelete="1">
          <x15:rangePr sourceName="_xlcn.WorksheetConnection_PivotTableA1G6361"/>
        </x15:connection>
      </ext>
    </extLst>
  </connection>
  <connection id="3" xr16:uid="{00000000-0015-0000-FFFF-FFFF02000000}" name="WorksheetConnection_Pivot Table!$I$1:$K$636" type="102" refreshedVersion="5" minRefreshableVersion="5">
    <extLst>
      <ext xmlns:x15="http://schemas.microsoft.com/office/spreadsheetml/2010/11/main" uri="{DE250136-89BD-433C-8126-D09CA5730AF9}">
        <x15:connection id="Range-01a98da6-9a8f-4d25-8f2d-1e662ecd20df" autoDelete="1">
          <x15:rangePr sourceName="_xlcn.WorksheetConnection_PivotTableI1K636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<sst xmlns="http://schemas.openxmlformats.org/spreadsheetml/2006/main" count="88" uniqueCount="60">
  <si>
    <t>Product Name</t>
  </si>
  <si>
    <t>Date</t>
  </si>
  <si>
    <t>Amount</t>
  </si>
  <si>
    <t>Quarter(Jan-Dec)</t>
  </si>
  <si>
    <t>Year</t>
  </si>
  <si>
    <t>Quarter(Apr-Mar)</t>
  </si>
  <si>
    <t>Name</t>
  </si>
  <si>
    <t>Salary</t>
  </si>
  <si>
    <t>Hire
Date</t>
  </si>
  <si>
    <t xml:space="preserve">Service Days </t>
  </si>
  <si>
    <t>Service Months</t>
  </si>
  <si>
    <t>Service Years</t>
  </si>
  <si>
    <t>Job Rating</t>
  </si>
  <si>
    <t>New Salary</t>
  </si>
  <si>
    <t>State</t>
  </si>
  <si>
    <t>Pay Rate</t>
  </si>
  <si>
    <t>Hours</t>
  </si>
  <si>
    <t>Gross Pay</t>
  </si>
  <si>
    <t>reduction %</t>
  </si>
  <si>
    <t>Guwahati</t>
  </si>
  <si>
    <t>Bihar</t>
  </si>
  <si>
    <t>Chhattisgarh</t>
  </si>
  <si>
    <t>Delhi </t>
  </si>
  <si>
    <t>Goa</t>
  </si>
  <si>
    <t>Gujarat</t>
  </si>
  <si>
    <t>EMPL Code</t>
  </si>
  <si>
    <t>Asam</t>
  </si>
  <si>
    <t>Emp Code</t>
  </si>
  <si>
    <t>Please do not make any changes to the given raw data.</t>
  </si>
  <si>
    <t>1. Find Quarter from Date: : [Use Month(Date) Formula]</t>
  </si>
  <si>
    <t>Samsung</t>
  </si>
  <si>
    <t>Nokia</t>
  </si>
  <si>
    <t>Oppo</t>
  </si>
  <si>
    <t>2. Calculate Days, Months and Year from Hire Date To Till Date</t>
  </si>
  <si>
    <t xml:space="preserve">3. Find new salary after increase or decrease
1. If the job rating is equal or more than 3, then salary will increase by 7.5%
2. If the job rating is 1 or 2, the salary will be reduced by 7.5% </t>
  </si>
  <si>
    <t>INZ888</t>
  </si>
  <si>
    <t>INZ648</t>
  </si>
  <si>
    <t>INZ620</t>
  </si>
  <si>
    <t>INZ902</t>
  </si>
  <si>
    <t>INZ903</t>
  </si>
  <si>
    <t>INZ564</t>
  </si>
  <si>
    <t>INZ326</t>
  </si>
  <si>
    <t>INZ887</t>
  </si>
  <si>
    <t>Nishit Sarkar</t>
  </si>
  <si>
    <t>Prabha Saini</t>
  </si>
  <si>
    <t>Suhail Khan</t>
  </si>
  <si>
    <t>Karamjeet Kaur</t>
  </si>
  <si>
    <t>Mihir Parashar</t>
  </si>
  <si>
    <t>UP</t>
  </si>
  <si>
    <t>Aarti Awasthi</t>
  </si>
  <si>
    <t>Anika Sharma</t>
  </si>
  <si>
    <t>Papan Vats</t>
  </si>
  <si>
    <t>4. Find The State,Pay Rate, Hours,Dependents</t>
  </si>
  <si>
    <t>Start Date</t>
  </si>
  <si>
    <t>End Date</t>
  </si>
  <si>
    <t>Net Working Days</t>
  </si>
  <si>
    <t>Holidays</t>
  </si>
  <si>
    <t>Using Networkdays with Holiday</t>
  </si>
  <si>
    <t>Sample</t>
  </si>
  <si>
    <t>5. Find The  Net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</si>
</sst>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&quot;$&quot;#,##0.00"/>
    <numFmt numFmtId="166" formatCode="_(* #,##0_);_(* \(#,##0\);_(* &quot;-&quot;??_);_(@_)"/>
    <numFmt numFmtId="167" formatCode="0.00%;\(0.00%\)"/>
    <numFmt numFmtId="168" formatCode="000\-00\-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 tint="0.34998626667073579"/>
      <name val="Cambria"/>
      <family val="2"/>
      <scheme val="maj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name val="Calibri"/>
      <family val="2"/>
    </font>
    <font>
      <sz val="14"/>
      <name val="Arial"/>
      <family val="2"/>
    </font>
    <font>
      <sz val="11"/>
      <color theme="1"/>
      <name val="Cambria"/>
      <family val="2"/>
      <scheme val="major"/>
    </font>
    <font>
      <b/>
      <sz val="11"/>
      <color theme="1"/>
      <name val="Cambria"/>
      <family val="2"/>
      <scheme val="major"/>
    </font>
    <font>
      <b/>
      <sz val="11"/>
      <color theme="0"/>
      <name val="Calibri"/>
      <family val="2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3" fillId="0" borderId="0" applyFill="0" applyBorder="0">
      <alignment vertical="center"/>
    </xf>
    <xf numFmtId="0" fontId="4" fillId="0" borderId="0"/>
    <xf numFmtId="164" fontId="4" fillId="0" borderId="0" applyFont="0" applyFill="0" applyBorder="0" applyAlignment="0" applyProtection="0"/>
    <xf numFmtId="0" fontId="7" fillId="3" borderId="5"/>
    <xf numFmtId="9" fontId="4" fillId="0" borderId="0" applyFont="0" applyFill="0" applyBorder="0" applyAlignment="0" applyProtection="0"/>
    <xf numFmtId="0" fontId="12" fillId="0" borderId="0"/>
  </cellStyleXfs>
  <cellXfs count="48">
    <xf numFmtId="0" fontId="0" fillId="0" borderId="0" xfId="0"/>
    <xf numFmtId="0" fontId="0" fillId="0" borderId="0" xfId="0" applyAlignment="1">
      <alignment vertical="center" wrapText="1"/>
    </xf>
    <xf numFmtId="0" fontId="2" fillId="4" borderId="1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8" fillId="4" borderId="1" xfId="0" applyNumberFormat="1" applyFont="1" applyFill="1" applyBorder="1" applyAlignment="1">
      <alignment horizontal="center" vertical="center" wrapText="1"/>
    </xf>
    <xf numFmtId="15" fontId="11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15" fontId="11" fillId="0" borderId="1" xfId="4" applyNumberFormat="1" applyFont="1" applyBorder="1" applyAlignment="1" applyProtection="1">
      <alignment horizontal="center" vertical="center" wrapText="1"/>
    </xf>
    <xf numFmtId="166" fontId="5" fillId="4" borderId="1" xfId="4" applyNumberFormat="1" applyFont="1" applyFill="1" applyBorder="1" applyAlignment="1" applyProtection="1">
      <alignment horizontal="center" vertical="center" wrapText="1"/>
      <protection locked="0"/>
    </xf>
    <xf numFmtId="0" fontId="5" fillId="4" borderId="1" xfId="3" applyFont="1" applyFill="1" applyBorder="1" applyAlignment="1" applyProtection="1">
      <alignment horizontal="center" vertical="center" wrapText="1"/>
      <protection locked="0"/>
    </xf>
    <xf numFmtId="9" fontId="5" fillId="4" borderId="1" xfId="6" applyFont="1" applyFill="1" applyBorder="1" applyAlignment="1" applyProtection="1">
      <alignment horizontal="center" vertical="center" wrapText="1"/>
      <protection locked="0"/>
    </xf>
    <xf numFmtId="164" fontId="5" fillId="4" borderId="1" xfId="4" applyFont="1" applyFill="1" applyBorder="1" applyAlignment="1" applyProtection="1">
      <alignment horizontal="center" vertical="center" wrapText="1"/>
    </xf>
    <xf numFmtId="166" fontId="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3" applyFont="1" applyBorder="1" applyAlignment="1" applyProtection="1">
      <alignment horizontal="center" vertical="center" wrapText="1"/>
      <protection locked="0"/>
    </xf>
    <xf numFmtId="167" fontId="5" fillId="0" borderId="1" xfId="6" applyNumberFormat="1" applyFont="1" applyFill="1" applyBorder="1" applyAlignment="1" applyProtection="1">
      <alignment horizontal="center" vertical="center" wrapText="1"/>
      <protection locked="0"/>
    </xf>
    <xf numFmtId="166" fontId="6" fillId="0" borderId="1" xfId="1" applyNumberFormat="1" applyFont="1" applyBorder="1" applyAlignment="1" applyProtection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168" fontId="9" fillId="5" borderId="1" xfId="0" applyNumberFormat="1" applyFont="1" applyFill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3" fontId="10" fillId="0" borderId="1" xfId="4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5" fillId="0" borderId="1" xfId="2" applyNumberFormat="1" applyFont="1" applyBorder="1" applyAlignment="1">
      <alignment horizontal="center" vertical="center" wrapText="1"/>
    </xf>
    <xf numFmtId="15" fontId="15" fillId="0" borderId="1" xfId="2" applyNumberFormat="1" applyFont="1" applyBorder="1" applyAlignment="1">
      <alignment horizontal="center" vertical="center" wrapText="1"/>
    </xf>
    <xf numFmtId="0" fontId="16" fillId="0" borderId="1" xfId="2" applyFont="1" applyFill="1" applyBorder="1" applyAlignment="1">
      <alignment horizontal="center" vertical="center" wrapText="1"/>
    </xf>
    <xf numFmtId="0" fontId="16" fillId="0" borderId="1" xfId="2" applyFont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168" fontId="17" fillId="6" borderId="1" xfId="0" applyNumberFormat="1" applyFont="1" applyFill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" fontId="18" fillId="0" borderId="0" xfId="1" applyNumberFormat="1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14" fontId="10" fillId="0" borderId="1" xfId="3" applyNumberFormat="1" applyFont="1" applyBorder="1" applyAlignment="1">
      <alignment horizontal="center" vertical="center" wrapText="1"/>
    </xf>
    <xf numFmtId="14" fontId="10" fillId="0" borderId="1" xfId="4" applyNumberFormat="1" applyFont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7" fillId="6" borderId="2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 vertical="center" wrapText="1"/>
    </xf>
    <xf numFmtId="164" fontId="0" fillId="0" borderId="0" xfId="1" applyFont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7" borderId="0" xfId="0" applyFill="1" applyAlignment="1">
      <alignment vertical="center" wrapText="1"/>
    </xf>
  </cellXfs>
  <cellStyles count="8">
    <cellStyle name="Comma" xfId="1" builtinId="3"/>
    <cellStyle name="Comma 2" xfId="4" xr:uid="{00000000-0005-0000-0000-000001000000}"/>
    <cellStyle name="MyBlue" xfId="5" xr:uid="{00000000-0005-0000-0000-000002000000}"/>
    <cellStyle name="Normal" xfId="0" builtinId="0"/>
    <cellStyle name="Normal 2" xfId="3" xr:uid="{00000000-0005-0000-0000-000004000000}"/>
    <cellStyle name="Normal 27" xfId="2" xr:uid="{00000000-0005-0000-0000-000005000000}"/>
    <cellStyle name="Normal 3" xfId="7" xr:uid="{00000000-0005-0000-0000-000006000000}"/>
    <cellStyle name="Percent 2" xfId="6" xr:uid="{00000000-0005-0000-0000-000008000000}"/>
  </cellStyles>
  <dxfs count="1">
    <dxf>
      <fill>
        <patternFill>
          <bgColor theme="0" tint="-4.9989318521683403E-2"/>
        </patternFill>
      </fill>
      <border>
        <top style="thin">
          <color theme="0" tint="-0.14996795556505021"/>
        </top>
        <bottom style="thin">
          <color theme="0" tint="-0.149967955565050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175</xdr:row>
      <xdr:rowOff>0</xdr:rowOff>
    </xdr:from>
    <xdr:to>
      <xdr:col>8</xdr:col>
      <xdr:colOff>85725</xdr:colOff>
      <xdr:row>175</xdr:row>
      <xdr:rowOff>133350</xdr:rowOff>
    </xdr:to>
    <xdr:pic>
      <xdr:nvPicPr>
        <xdr:cNvPr id="2" name="Picture 1" descr="union territory">
          <a:extLst>
            <a:ext uri="{FF2B5EF4-FFF2-40B4-BE49-F238E27FC236}">
              <a16:creationId xmlns:a16="http://schemas.microsoft.com/office/drawing/2014/main" id="{F4543DC9-A5F2-4927-B0EE-E45E286DE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360545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177</xdr:row>
      <xdr:rowOff>0</xdr:rowOff>
    </xdr:from>
    <xdr:to>
      <xdr:col>8</xdr:col>
      <xdr:colOff>85725</xdr:colOff>
      <xdr:row>177</xdr:row>
      <xdr:rowOff>133350</xdr:rowOff>
    </xdr:to>
    <xdr:pic>
      <xdr:nvPicPr>
        <xdr:cNvPr id="3" name="Picture 2" descr="union territory">
          <a:extLst>
            <a:ext uri="{FF2B5EF4-FFF2-40B4-BE49-F238E27FC236}">
              <a16:creationId xmlns:a16="http://schemas.microsoft.com/office/drawing/2014/main" id="{D0CFE848-1988-4554-8CA0-857234950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408170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8</xdr:col>
      <xdr:colOff>85725</xdr:colOff>
      <xdr:row>178</xdr:row>
      <xdr:rowOff>133350</xdr:rowOff>
    </xdr:to>
    <xdr:pic>
      <xdr:nvPicPr>
        <xdr:cNvPr id="4" name="Picture 3" descr="union territory">
          <a:extLst>
            <a:ext uri="{FF2B5EF4-FFF2-40B4-BE49-F238E27FC236}">
              <a16:creationId xmlns:a16="http://schemas.microsoft.com/office/drawing/2014/main" id="{BBAFA214-D4CF-4127-9B36-AF23262B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3525" y="443198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85725</xdr:colOff>
      <xdr:row>175</xdr:row>
      <xdr:rowOff>133350</xdr:rowOff>
    </xdr:to>
    <xdr:pic>
      <xdr:nvPicPr>
        <xdr:cNvPr id="5" name="Picture 4" descr="union territory">
          <a:extLst>
            <a:ext uri="{FF2B5EF4-FFF2-40B4-BE49-F238E27FC236}">
              <a16:creationId xmlns:a16="http://schemas.microsoft.com/office/drawing/2014/main" id="{9A3F1B8E-2BC4-4D01-8EA4-EACA9ED17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360545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85725</xdr:colOff>
      <xdr:row>177</xdr:row>
      <xdr:rowOff>133350</xdr:rowOff>
    </xdr:to>
    <xdr:pic>
      <xdr:nvPicPr>
        <xdr:cNvPr id="6" name="Picture 5" descr="union territory">
          <a:extLst>
            <a:ext uri="{FF2B5EF4-FFF2-40B4-BE49-F238E27FC236}">
              <a16:creationId xmlns:a16="http://schemas.microsoft.com/office/drawing/2014/main" id="{09A50104-BD11-4477-AB72-7A93BF627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4081700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85725</xdr:colOff>
      <xdr:row>178</xdr:row>
      <xdr:rowOff>133350</xdr:rowOff>
    </xdr:to>
    <xdr:pic>
      <xdr:nvPicPr>
        <xdr:cNvPr id="7" name="Picture 6" descr="union territory">
          <a:extLst>
            <a:ext uri="{FF2B5EF4-FFF2-40B4-BE49-F238E27FC236}">
              <a16:creationId xmlns:a16="http://schemas.microsoft.com/office/drawing/2014/main" id="{0C8B1A1A-21CA-43D5-A4F2-C1ACF7A5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11875" y="44319825"/>
          <a:ext cx="85725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%20Tabl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 Tab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CFCFE-5C78-40C1-94F3-E68FCE94DED3}">
  <dimension ref="A1:O195"/>
  <sheetViews>
    <sheetView tabSelected="1" topLeftCell="A190" zoomScale="84" zoomScaleNormal="110" workbookViewId="0">
      <selection activeCell="N188" sqref="N188"/>
    </sheetView>
  </sheetViews>
  <sheetFormatPr defaultColWidth="42.88671875" defaultRowHeight="14.4" x14ac:dyDescent="0.3"/>
  <cols>
    <col min="1" max="1" width="49.5546875" style="1" bestFit="1" customWidth="1"/>
    <col min="2" max="2" width="14" style="1" bestFit="1" customWidth="1"/>
    <col min="3" max="3" width="16.21875" style="1" bestFit="1" customWidth="1"/>
    <col min="4" max="4" width="15.44140625" style="1" bestFit="1" customWidth="1"/>
    <col min="5" max="5" width="6" style="1" bestFit="1" customWidth="1"/>
    <col min="6" max="6" width="16" style="1" bestFit="1" customWidth="1"/>
    <col min="7" max="7" width="42.88671875" style="1"/>
    <col min="8" max="8" width="28.5546875" style="1" bestFit="1" customWidth="1"/>
    <col min="9" max="9" width="11.77734375" style="1" bestFit="1" customWidth="1"/>
    <col min="10" max="10" width="9.21875" style="1" bestFit="1" customWidth="1"/>
    <col min="11" max="11" width="15.21875" style="1" customWidth="1"/>
    <col min="12" max="12" width="14" style="1" bestFit="1" customWidth="1"/>
    <col min="13" max="13" width="6" style="1" bestFit="1" customWidth="1"/>
    <col min="14" max="14" width="8.33203125" style="1" bestFit="1" customWidth="1"/>
    <col min="15" max="15" width="9.6640625" style="1" bestFit="1" customWidth="1"/>
    <col min="16" max="16384" width="42.88671875" style="1"/>
  </cols>
  <sheetData>
    <row r="1" spans="1:10" x14ac:dyDescent="0.3">
      <c r="A1" s="43" t="s">
        <v>28</v>
      </c>
      <c r="B1" s="43"/>
      <c r="C1" s="43"/>
    </row>
    <row r="2" spans="1:10" x14ac:dyDescent="0.3">
      <c r="A2" s="43"/>
      <c r="B2" s="43"/>
      <c r="C2" s="43"/>
    </row>
    <row r="5" spans="1:10" x14ac:dyDescent="0.3">
      <c r="A5" s="30" t="s">
        <v>29</v>
      </c>
      <c r="B5" s="44"/>
      <c r="C5" s="45"/>
      <c r="D5" s="45"/>
      <c r="E5" s="45"/>
      <c r="F5" s="46"/>
    </row>
    <row r="6" spans="1:10" x14ac:dyDescent="0.3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</row>
    <row r="7" spans="1:10" x14ac:dyDescent="0.3">
      <c r="A7" s="26" t="s">
        <v>30</v>
      </c>
      <c r="B7" s="27">
        <v>42015</v>
      </c>
      <c r="C7" s="32">
        <v>30545</v>
      </c>
      <c r="D7" s="28" t="str">
        <f>IF(MONTH(B7)&lt;4,"1st Quarter",IF(MONTH(B7)&lt;7,"2nd Quarter",IF(MONTH(B7)&lt;10,"3rd Quarter","4th Quarter")))</f>
        <v>1st Quarter</v>
      </c>
      <c r="E7" s="29">
        <v>2015</v>
      </c>
      <c r="F7" s="28" t="str">
        <f>IF(AND(MONTH(B7)&gt;=4,MONTH(B7)&lt;=6),"1st Quarter",IF(AND(MONTH(B7)&gt;=7,MONTH(B7)&lt;=9),"2nd Quarter",IF(AND(MONTH(B7)&gt;=10,MONTH(B7)&lt;=12),"3rd Quarter","4th quarter")))</f>
        <v>4th quarter</v>
      </c>
      <c r="G7" s="1" t="str" cm="1">
        <f t="array" ref="G7">_xlfn.SWITCH(TRUE,MONTH(B7)&lt;4,"1st Quarter", MONTH(B7)&lt;7,"2nd Quarter",MONTH(B7)&lt;10, "3rd Quarter","4th Quarter")</f>
        <v>1st Quarter</v>
      </c>
      <c r="H7" s="1" t="str" cm="1">
        <f t="array" ref="H7">_xlfn.SWITCH(TRUE,MONTH(B7)&lt;4,"4th Quarter", MONTH(B7)&lt;7,"1st Quarter",MONTH(B7)&lt;10, "2nd Quarter","3rd Quarter")</f>
        <v>4th Quarter</v>
      </c>
      <c r="I7" s="1">
        <f>IF(MONTH(B7)&lt;=3,1,IF(MONTH(B7)&lt;=6,2,IF(MONTH(B7)&lt;=9,3,4)))</f>
        <v>1</v>
      </c>
      <c r="J7" s="1">
        <f>IF(MONTH(B7)&lt;=3,4,IF(MONTH(B7)&lt;=6,1,IF(MONTH(B7)&lt;=9,2,3)))</f>
        <v>4</v>
      </c>
    </row>
    <row r="8" spans="1:10" x14ac:dyDescent="0.3">
      <c r="A8" s="26" t="s">
        <v>31</v>
      </c>
      <c r="B8" s="27">
        <v>41764</v>
      </c>
      <c r="C8" s="32">
        <v>21873</v>
      </c>
      <c r="D8" s="28" t="str">
        <f t="shared" ref="D8:D15" si="0">IF(MONTH(B8)&lt;4,"1st Quarter",IF(MONTH(B8)&lt;7,"2nd Quarter",IF(MONTH(B8)&lt;10,"3rd Quarter","4th Quarter")))</f>
        <v>2nd Quarter</v>
      </c>
      <c r="E8" s="29">
        <v>2014</v>
      </c>
      <c r="F8" s="28" t="str">
        <f t="shared" ref="F8:F15" si="1">IF(AND(MONTH(B8)&gt;=4,MONTH(B8)&lt;=6),"1st Quarter",IF(AND(MONTH(B8)&gt;=7,MONTH(B8)&lt;=9),"2nd Quarter",IF(AND(MONTH(B8)&gt;=10,MONTH(B8)&lt;=12),"3rd Quarter","4th quarter")))</f>
        <v>1st Quarter</v>
      </c>
      <c r="G8" s="1" t="str" cm="1">
        <f t="array" ref="G8">_xlfn.SWITCH(TRUE,MONTH(B8)&lt;4,"1st Quarter", MONTH(B8)&lt;7,"2nd Quarter",MONTH(B8)&lt;10, "3rd Quarter","4th Quarter")</f>
        <v>2nd Quarter</v>
      </c>
      <c r="H8" s="1" t="str" cm="1">
        <f t="array" ref="H8">_xlfn.SWITCH(TRUE,MONTH(B8)&lt;4,"4th Quarter", MONTH(B8)&lt;7,"1st Quarter",MONTH(B8)&lt;10, "2nd Quarter","3rd Quarter")</f>
        <v>1st Quarter</v>
      </c>
      <c r="I8" s="1">
        <f t="shared" ref="I8:J15" si="2">IF(MONTH(B8)&lt;=3,1,IF(MONTH(B8)&lt;=6,2,IF(MONTH(B8)&lt;=9,3,4)))</f>
        <v>2</v>
      </c>
      <c r="J8" s="1">
        <f t="shared" ref="J8:J15" si="3">IF(MONTH(B8)&lt;=3,4,IF(MONTH(B8)&lt;=6,1,IF(MONTH(B8)&lt;=9,2,3)))</f>
        <v>1</v>
      </c>
    </row>
    <row r="9" spans="1:10" x14ac:dyDescent="0.3">
      <c r="A9" s="26" t="s">
        <v>32</v>
      </c>
      <c r="B9" s="27">
        <v>41145</v>
      </c>
      <c r="C9" s="32">
        <v>21872</v>
      </c>
      <c r="D9" s="28" t="str">
        <f t="shared" si="0"/>
        <v>3rd Quarter</v>
      </c>
      <c r="E9" s="29">
        <v>2012</v>
      </c>
      <c r="F9" s="28" t="str">
        <f t="shared" si="1"/>
        <v>2nd Quarter</v>
      </c>
      <c r="G9" s="1" t="str" cm="1">
        <f t="array" ref="G9">_xlfn.SWITCH(TRUE,MONTH(B9)&lt;4,"1st Quarter", MONTH(B9)&lt;7,"2nd Quarter",MONTH(B9)&lt;10, "3rd Quarter","4th Quarter")</f>
        <v>3rd Quarter</v>
      </c>
      <c r="H9" s="1" t="str" cm="1">
        <f t="array" ref="H9">_xlfn.SWITCH(TRUE,MONTH(B9)&lt;4,"4th Quarter", MONTH(B9)&lt;7,"1st Quarter",MONTH(B9)&lt;10, "2nd Quarter","3rd Quarter")</f>
        <v>2nd Quarter</v>
      </c>
      <c r="I9" s="1">
        <f t="shared" si="2"/>
        <v>3</v>
      </c>
      <c r="J9" s="1">
        <f t="shared" si="3"/>
        <v>2</v>
      </c>
    </row>
    <row r="10" spans="1:10" x14ac:dyDescent="0.3">
      <c r="A10" s="26" t="s">
        <v>31</v>
      </c>
      <c r="B10" s="27">
        <v>41777</v>
      </c>
      <c r="C10" s="32">
        <v>25357</v>
      </c>
      <c r="D10" s="28" t="str">
        <f t="shared" si="0"/>
        <v>2nd Quarter</v>
      </c>
      <c r="E10" s="29">
        <v>2014</v>
      </c>
      <c r="F10" s="28" t="str">
        <f t="shared" si="1"/>
        <v>1st Quarter</v>
      </c>
      <c r="G10" s="1" t="str" cm="1">
        <f t="array" ref="G10">_xlfn.SWITCH(TRUE,MONTH(B10)&lt;4,"1st Quarter", MONTH(B10)&lt;7,"2nd Quarter",MONTH(B10)&lt;10, "3rd Quarter","4th Quarter")</f>
        <v>2nd Quarter</v>
      </c>
      <c r="H10" s="1" t="str" cm="1">
        <f t="array" ref="H10">_xlfn.SWITCH(TRUE,MONTH(B10)&lt;4,"4th Quarter", MONTH(B10)&lt;7,"1st Quarter",MONTH(B10)&lt;10, "2nd Quarter","3rd Quarter")</f>
        <v>1st Quarter</v>
      </c>
      <c r="I10" s="1">
        <f t="shared" si="2"/>
        <v>2</v>
      </c>
      <c r="J10" s="1">
        <f t="shared" si="3"/>
        <v>1</v>
      </c>
    </row>
    <row r="11" spans="1:10" x14ac:dyDescent="0.3">
      <c r="A11" s="26" t="s">
        <v>32</v>
      </c>
      <c r="B11" s="27">
        <v>41591</v>
      </c>
      <c r="C11" s="32">
        <v>44430</v>
      </c>
      <c r="D11" s="28" t="str">
        <f t="shared" si="0"/>
        <v>4th Quarter</v>
      </c>
      <c r="E11" s="29">
        <v>2013</v>
      </c>
      <c r="F11" s="28" t="str">
        <f t="shared" si="1"/>
        <v>3rd Quarter</v>
      </c>
      <c r="G11" s="1" t="str" cm="1">
        <f t="array" ref="G11">_xlfn.SWITCH(TRUE,MONTH(B11)&lt;4,"1st Quarter", MONTH(B11)&lt;7,"2nd Quarter",MONTH(B11)&lt;10, "3rd Quarter","4th Quarter")</f>
        <v>4th Quarter</v>
      </c>
      <c r="H11" s="1" t="str" cm="1">
        <f t="array" ref="H11">_xlfn.SWITCH(TRUE,MONTH(B11)&lt;4,"4th Quarter", MONTH(B11)&lt;7,"1st Quarter",MONTH(B11)&lt;10, "2nd Quarter","3rd Quarter")</f>
        <v>3rd Quarter</v>
      </c>
      <c r="I11" s="1">
        <f t="shared" si="2"/>
        <v>4</v>
      </c>
      <c r="J11" s="1">
        <f t="shared" si="3"/>
        <v>3</v>
      </c>
    </row>
    <row r="12" spans="1:10" x14ac:dyDescent="0.3">
      <c r="A12" s="26" t="s">
        <v>30</v>
      </c>
      <c r="B12" s="27">
        <v>41061</v>
      </c>
      <c r="C12" s="32">
        <v>45523</v>
      </c>
      <c r="D12" s="28" t="str">
        <f t="shared" si="0"/>
        <v>2nd Quarter</v>
      </c>
      <c r="E12" s="29">
        <v>2012</v>
      </c>
      <c r="F12" s="28" t="str">
        <f t="shared" si="1"/>
        <v>1st Quarter</v>
      </c>
      <c r="G12" s="1" t="str" cm="1">
        <f t="array" ref="G12">_xlfn.SWITCH(TRUE,MONTH(B12)&lt;4,"1st Quarter", MONTH(B12)&lt;7,"2nd Quarter",MONTH(B12)&lt;10, "3rd Quarter","4th Quarter")</f>
        <v>2nd Quarter</v>
      </c>
      <c r="H12" s="1" t="str" cm="1">
        <f t="array" ref="H12">_xlfn.SWITCH(TRUE,MONTH(B12)&lt;4,"4th Quarter", MONTH(B12)&lt;7,"1st Quarter",MONTH(B12)&lt;10, "2nd Quarter","3rd Quarter")</f>
        <v>1st Quarter</v>
      </c>
      <c r="I12" s="1">
        <f t="shared" si="2"/>
        <v>2</v>
      </c>
      <c r="J12" s="1">
        <f t="shared" si="3"/>
        <v>1</v>
      </c>
    </row>
    <row r="13" spans="1:10" x14ac:dyDescent="0.3">
      <c r="A13" s="26" t="s">
        <v>31</v>
      </c>
      <c r="B13" s="27">
        <v>41353</v>
      </c>
      <c r="C13" s="32">
        <v>45565</v>
      </c>
      <c r="D13" s="28" t="str">
        <f t="shared" si="0"/>
        <v>1st Quarter</v>
      </c>
      <c r="E13" s="29">
        <v>2013</v>
      </c>
      <c r="F13" s="28" t="str">
        <f t="shared" si="1"/>
        <v>4th quarter</v>
      </c>
      <c r="G13" s="1" t="str" cm="1">
        <f t="array" ref="G13">_xlfn.SWITCH(TRUE,MONTH(B13)&lt;4,"1st Quarter", MONTH(B13)&lt;7,"2nd Quarter",MONTH(B13)&lt;10, "3rd Quarter","4th Quarter")</f>
        <v>1st Quarter</v>
      </c>
      <c r="H13" s="1" t="str" cm="1">
        <f t="array" ref="H13">_xlfn.SWITCH(TRUE,MONTH(B13)&lt;4,"4th Quarter", MONTH(B13)&lt;7,"1st Quarter",MONTH(B13)&lt;10, "2nd Quarter","3rd Quarter")</f>
        <v>4th Quarter</v>
      </c>
      <c r="I13" s="1">
        <f t="shared" si="2"/>
        <v>1</v>
      </c>
      <c r="J13" s="1">
        <f t="shared" si="3"/>
        <v>4</v>
      </c>
    </row>
    <row r="14" spans="1:10" x14ac:dyDescent="0.3">
      <c r="A14" s="26" t="s">
        <v>32</v>
      </c>
      <c r="B14" s="27">
        <v>41887</v>
      </c>
      <c r="C14" s="32">
        <v>29522</v>
      </c>
      <c r="D14" s="28" t="str">
        <f t="shared" si="0"/>
        <v>3rd Quarter</v>
      </c>
      <c r="E14" s="29">
        <v>2014</v>
      </c>
      <c r="F14" s="28" t="str">
        <f t="shared" si="1"/>
        <v>2nd Quarter</v>
      </c>
      <c r="G14" s="1" t="str" cm="1">
        <f t="array" ref="G14">_xlfn.SWITCH(TRUE,MONTH(B14)&lt;4,"1st Quarter", MONTH(B14)&lt;7,"2nd Quarter",MONTH(B14)&lt;10, "3rd Quarter","4th Quarter")</f>
        <v>3rd Quarter</v>
      </c>
      <c r="H14" s="1" t="str" cm="1">
        <f t="array" ref="H14">_xlfn.SWITCH(TRUE,MONTH(B14)&lt;4,"4th Quarter", MONTH(B14)&lt;7,"1st Quarter",MONTH(B14)&lt;10, "2nd Quarter","3rd Quarter")</f>
        <v>2nd Quarter</v>
      </c>
      <c r="I14" s="1">
        <f t="shared" si="2"/>
        <v>3</v>
      </c>
      <c r="J14" s="1">
        <f t="shared" si="3"/>
        <v>2</v>
      </c>
    </row>
    <row r="15" spans="1:10" x14ac:dyDescent="0.3">
      <c r="A15" s="26" t="s">
        <v>30</v>
      </c>
      <c r="B15" s="27">
        <v>41209</v>
      </c>
      <c r="C15" s="32">
        <v>39082</v>
      </c>
      <c r="D15" s="28" t="str">
        <f t="shared" si="0"/>
        <v>4th Quarter</v>
      </c>
      <c r="E15" s="29">
        <v>2012</v>
      </c>
      <c r="F15" s="28" t="str">
        <f t="shared" si="1"/>
        <v>3rd Quarter</v>
      </c>
      <c r="G15" s="1" t="str" cm="1">
        <f t="array" ref="G15">_xlfn.SWITCH(TRUE,MONTH(B15)&lt;4,"1st Quarter", MONTH(B15)&lt;7,"2nd Quarter",MONTH(B15)&lt;10, "3rd Quarter","4th Quarter")</f>
        <v>4th Quarter</v>
      </c>
      <c r="H15" s="1" t="str" cm="1">
        <f t="array" ref="H15">_xlfn.SWITCH(TRUE,MONTH(B15)&lt;4,"4th Quarter", MONTH(B15)&lt;7,"1st Quarter",MONTH(B15)&lt;10, "2nd Quarter","3rd Quarter")</f>
        <v>3rd Quarter</v>
      </c>
      <c r="I15" s="1">
        <f t="shared" si="2"/>
        <v>4</v>
      </c>
      <c r="J15" s="1">
        <f t="shared" si="3"/>
        <v>3</v>
      </c>
    </row>
    <row r="18" spans="1:12" ht="28.8" x14ac:dyDescent="0.3">
      <c r="A18" s="30" t="s">
        <v>33</v>
      </c>
    </row>
    <row r="21" spans="1:12" ht="31.2" x14ac:dyDescent="0.3">
      <c r="A21" s="4" t="s">
        <v>8</v>
      </c>
      <c r="B21" s="4" t="s">
        <v>9</v>
      </c>
      <c r="C21" s="4" t="s">
        <v>10</v>
      </c>
      <c r="D21" s="4" t="s">
        <v>11</v>
      </c>
    </row>
    <row r="22" spans="1:12" ht="15.6" x14ac:dyDescent="0.3">
      <c r="A22" s="5">
        <v>42030</v>
      </c>
      <c r="B22" s="6">
        <f ca="1">DATEDIF(A22,TODAY(),"D")</f>
        <v>4020</v>
      </c>
      <c r="C22" s="7">
        <f ca="1">DATEDIF(A22,TODAY(),"m")</f>
        <v>132</v>
      </c>
      <c r="D22" s="7">
        <f ca="1">DATEDIF(A22,TODAY(),"Y")</f>
        <v>11</v>
      </c>
      <c r="E22" s="8"/>
      <c r="F22" s="1">
        <f ca="1">DATEDIF(A22, TODAY(), "D")</f>
        <v>4020</v>
      </c>
      <c r="G22" s="1">
        <f ca="1">DATEDIF(A22,TODAY(), "M")</f>
        <v>132</v>
      </c>
      <c r="H22" s="1">
        <f ca="1">DATEDIF(A22,TODAY(),"y")</f>
        <v>11</v>
      </c>
      <c r="J22" s="1">
        <f ca="1">DATEDIF(A22,TODAY(),"d")</f>
        <v>4020</v>
      </c>
      <c r="K22" s="1">
        <f ca="1">DATEDIF(A22,TODAY(),"m")</f>
        <v>132</v>
      </c>
      <c r="L22" s="1">
        <f ca="1">DATEDIF(A22,TODAY(),"Y")</f>
        <v>11</v>
      </c>
    </row>
    <row r="23" spans="1:12" ht="15.6" x14ac:dyDescent="0.3">
      <c r="A23" s="5">
        <v>38137</v>
      </c>
      <c r="B23" s="6">
        <f t="shared" ref="B23:B86" ca="1" si="4">DATEDIF(A23,TODAY(),"D")</f>
        <v>7913</v>
      </c>
      <c r="C23" s="7">
        <f t="shared" ref="C23:C86" ca="1" si="5">DATEDIF(A23,TODAY(),"m")</f>
        <v>259</v>
      </c>
      <c r="D23" s="7">
        <f t="shared" ref="D23:D86" ca="1" si="6">DATEDIF(A23,TODAY(),"Y")</f>
        <v>21</v>
      </c>
      <c r="E23" s="8"/>
      <c r="F23" s="1">
        <f t="shared" ref="F23:F86" ca="1" si="7">DATEDIF(A23, TODAY(), "D")</f>
        <v>7913</v>
      </c>
      <c r="G23" s="1">
        <f t="shared" ref="G23:G86" ca="1" si="8">DATEDIF(A23,TODAY(), "M")</f>
        <v>259</v>
      </c>
      <c r="H23" s="1">
        <f t="shared" ref="H23:H86" ca="1" si="9">DATEDIF(A23,TODAY(),"y")</f>
        <v>21</v>
      </c>
    </row>
    <row r="24" spans="1:12" ht="15.6" x14ac:dyDescent="0.3">
      <c r="A24" s="5">
        <v>31980</v>
      </c>
      <c r="B24" s="6">
        <f t="shared" ca="1" si="4"/>
        <v>14070</v>
      </c>
      <c r="C24" s="7">
        <f t="shared" ca="1" si="5"/>
        <v>462</v>
      </c>
      <c r="D24" s="7">
        <f t="shared" ca="1" si="6"/>
        <v>38</v>
      </c>
      <c r="E24" s="8"/>
      <c r="F24" s="1">
        <f t="shared" ca="1" si="7"/>
        <v>14070</v>
      </c>
      <c r="G24" s="1">
        <f t="shared" ca="1" si="8"/>
        <v>462</v>
      </c>
      <c r="H24" s="1">
        <f t="shared" ca="1" si="9"/>
        <v>38</v>
      </c>
    </row>
    <row r="25" spans="1:12" ht="15.6" x14ac:dyDescent="0.3">
      <c r="A25" s="5">
        <v>39404</v>
      </c>
      <c r="B25" s="6">
        <f t="shared" ca="1" si="4"/>
        <v>6646</v>
      </c>
      <c r="C25" s="7">
        <f t="shared" ca="1" si="5"/>
        <v>218</v>
      </c>
      <c r="D25" s="7">
        <f t="shared" ca="1" si="6"/>
        <v>18</v>
      </c>
      <c r="E25" s="8"/>
      <c r="F25" s="1">
        <f t="shared" ca="1" si="7"/>
        <v>6646</v>
      </c>
      <c r="G25" s="1">
        <f t="shared" ca="1" si="8"/>
        <v>218</v>
      </c>
      <c r="H25" s="1">
        <f t="shared" ca="1" si="9"/>
        <v>18</v>
      </c>
    </row>
    <row r="26" spans="1:12" ht="15.6" x14ac:dyDescent="0.3">
      <c r="A26" s="5">
        <v>37107</v>
      </c>
      <c r="B26" s="6">
        <f t="shared" ca="1" si="4"/>
        <v>8943</v>
      </c>
      <c r="C26" s="7">
        <f t="shared" ca="1" si="5"/>
        <v>293</v>
      </c>
      <c r="D26" s="7">
        <f t="shared" ca="1" si="6"/>
        <v>24</v>
      </c>
      <c r="E26" s="8"/>
      <c r="F26" s="1">
        <f t="shared" ca="1" si="7"/>
        <v>8943</v>
      </c>
      <c r="G26" s="1">
        <f t="shared" ca="1" si="8"/>
        <v>293</v>
      </c>
      <c r="H26" s="1">
        <f t="shared" ca="1" si="9"/>
        <v>24</v>
      </c>
    </row>
    <row r="27" spans="1:12" ht="15.6" x14ac:dyDescent="0.3">
      <c r="A27" s="5">
        <v>32521</v>
      </c>
      <c r="B27" s="6">
        <f t="shared" ca="1" si="4"/>
        <v>13529</v>
      </c>
      <c r="C27" s="7">
        <f t="shared" ca="1" si="5"/>
        <v>444</v>
      </c>
      <c r="D27" s="7">
        <f t="shared" ca="1" si="6"/>
        <v>37</v>
      </c>
      <c r="E27" s="8"/>
      <c r="F27" s="1">
        <f t="shared" ca="1" si="7"/>
        <v>13529</v>
      </c>
      <c r="G27" s="1">
        <f t="shared" ca="1" si="8"/>
        <v>444</v>
      </c>
      <c r="H27" s="1">
        <f t="shared" ca="1" si="9"/>
        <v>37</v>
      </c>
    </row>
    <row r="28" spans="1:12" ht="15.6" x14ac:dyDescent="0.3">
      <c r="A28" s="5">
        <v>34154</v>
      </c>
      <c r="B28" s="6">
        <f t="shared" ca="1" si="4"/>
        <v>11896</v>
      </c>
      <c r="C28" s="7">
        <f t="shared" ca="1" si="5"/>
        <v>390</v>
      </c>
      <c r="D28" s="7">
        <f t="shared" ca="1" si="6"/>
        <v>32</v>
      </c>
      <c r="E28" s="8"/>
      <c r="F28" s="1">
        <f t="shared" ca="1" si="7"/>
        <v>11896</v>
      </c>
      <c r="G28" s="1">
        <f t="shared" ca="1" si="8"/>
        <v>390</v>
      </c>
      <c r="H28" s="1">
        <f t="shared" ca="1" si="9"/>
        <v>32</v>
      </c>
    </row>
    <row r="29" spans="1:12" ht="15.6" x14ac:dyDescent="0.3">
      <c r="A29" s="5">
        <v>34432</v>
      </c>
      <c r="B29" s="6">
        <f t="shared" ca="1" si="4"/>
        <v>11618</v>
      </c>
      <c r="C29" s="7">
        <f t="shared" ca="1" si="5"/>
        <v>381</v>
      </c>
      <c r="D29" s="7">
        <f t="shared" ca="1" si="6"/>
        <v>31</v>
      </c>
      <c r="E29" s="8"/>
      <c r="F29" s="1">
        <f t="shared" ca="1" si="7"/>
        <v>11618</v>
      </c>
      <c r="G29" s="1">
        <f t="shared" ca="1" si="8"/>
        <v>381</v>
      </c>
      <c r="H29" s="1">
        <f t="shared" ca="1" si="9"/>
        <v>31</v>
      </c>
    </row>
    <row r="30" spans="1:12" ht="15.6" x14ac:dyDescent="0.3">
      <c r="A30" s="5">
        <v>34833</v>
      </c>
      <c r="B30" s="6">
        <f t="shared" ca="1" si="4"/>
        <v>11217</v>
      </c>
      <c r="C30" s="7">
        <f t="shared" ca="1" si="5"/>
        <v>368</v>
      </c>
      <c r="D30" s="7">
        <f t="shared" ca="1" si="6"/>
        <v>30</v>
      </c>
      <c r="E30" s="8"/>
      <c r="F30" s="1">
        <f t="shared" ca="1" si="7"/>
        <v>11217</v>
      </c>
      <c r="G30" s="1">
        <f t="shared" ca="1" si="8"/>
        <v>368</v>
      </c>
      <c r="H30" s="1">
        <f t="shared" ca="1" si="9"/>
        <v>30</v>
      </c>
    </row>
    <row r="31" spans="1:12" ht="15.6" x14ac:dyDescent="0.3">
      <c r="A31" s="5">
        <v>34950</v>
      </c>
      <c r="B31" s="6">
        <f t="shared" ca="1" si="4"/>
        <v>11100</v>
      </c>
      <c r="C31" s="7">
        <f t="shared" ca="1" si="5"/>
        <v>364</v>
      </c>
      <c r="D31" s="7">
        <f t="shared" ca="1" si="6"/>
        <v>30</v>
      </c>
      <c r="E31" s="8"/>
      <c r="F31" s="1">
        <f t="shared" ca="1" si="7"/>
        <v>11100</v>
      </c>
      <c r="G31" s="1">
        <f t="shared" ca="1" si="8"/>
        <v>364</v>
      </c>
      <c r="H31" s="1">
        <f t="shared" ca="1" si="9"/>
        <v>30</v>
      </c>
    </row>
    <row r="32" spans="1:12" ht="15.6" x14ac:dyDescent="0.3">
      <c r="A32" s="5">
        <v>35454</v>
      </c>
      <c r="B32" s="6">
        <f t="shared" ca="1" si="4"/>
        <v>10596</v>
      </c>
      <c r="C32" s="7">
        <f t="shared" ca="1" si="5"/>
        <v>348</v>
      </c>
      <c r="D32" s="7">
        <f t="shared" ca="1" si="6"/>
        <v>29</v>
      </c>
      <c r="E32" s="8"/>
      <c r="F32" s="1">
        <f t="shared" ca="1" si="7"/>
        <v>10596</v>
      </c>
      <c r="G32" s="1">
        <f t="shared" ca="1" si="8"/>
        <v>348</v>
      </c>
      <c r="H32" s="1">
        <f t="shared" ca="1" si="9"/>
        <v>29</v>
      </c>
    </row>
    <row r="33" spans="1:8" ht="15.6" x14ac:dyDescent="0.3">
      <c r="A33" s="5">
        <v>36094</v>
      </c>
      <c r="B33" s="6">
        <f t="shared" ca="1" si="4"/>
        <v>9956</v>
      </c>
      <c r="C33" s="7">
        <f t="shared" ca="1" si="5"/>
        <v>327</v>
      </c>
      <c r="D33" s="7">
        <f t="shared" ca="1" si="6"/>
        <v>27</v>
      </c>
      <c r="E33" s="8"/>
      <c r="F33" s="1">
        <f t="shared" ca="1" si="7"/>
        <v>9956</v>
      </c>
      <c r="G33" s="1">
        <f t="shared" ca="1" si="8"/>
        <v>327</v>
      </c>
      <c r="H33" s="1">
        <f t="shared" ca="1" si="9"/>
        <v>27</v>
      </c>
    </row>
    <row r="34" spans="1:8" ht="15.6" x14ac:dyDescent="0.3">
      <c r="A34" s="5">
        <v>36832</v>
      </c>
      <c r="B34" s="6">
        <f t="shared" ca="1" si="4"/>
        <v>9218</v>
      </c>
      <c r="C34" s="7">
        <f t="shared" ca="1" si="5"/>
        <v>302</v>
      </c>
      <c r="D34" s="7">
        <f t="shared" ca="1" si="6"/>
        <v>25</v>
      </c>
      <c r="E34" s="8"/>
      <c r="F34" s="1">
        <f t="shared" ca="1" si="7"/>
        <v>9218</v>
      </c>
      <c r="G34" s="1">
        <f t="shared" ca="1" si="8"/>
        <v>302</v>
      </c>
      <c r="H34" s="1">
        <f t="shared" ca="1" si="9"/>
        <v>25</v>
      </c>
    </row>
    <row r="35" spans="1:8" ht="15.6" x14ac:dyDescent="0.3">
      <c r="A35" s="5">
        <v>37759</v>
      </c>
      <c r="B35" s="6">
        <f t="shared" ca="1" si="4"/>
        <v>8291</v>
      </c>
      <c r="C35" s="7">
        <f t="shared" ca="1" si="5"/>
        <v>272</v>
      </c>
      <c r="D35" s="7">
        <f t="shared" ca="1" si="6"/>
        <v>22</v>
      </c>
      <c r="E35" s="8"/>
      <c r="F35" s="1">
        <f t="shared" ca="1" si="7"/>
        <v>8291</v>
      </c>
      <c r="G35" s="1">
        <f t="shared" ca="1" si="8"/>
        <v>272</v>
      </c>
      <c r="H35" s="1">
        <f t="shared" ca="1" si="9"/>
        <v>22</v>
      </c>
    </row>
    <row r="36" spans="1:8" ht="15.6" x14ac:dyDescent="0.3">
      <c r="A36" s="5">
        <v>38394</v>
      </c>
      <c r="B36" s="6">
        <f t="shared" ca="1" si="4"/>
        <v>7656</v>
      </c>
      <c r="C36" s="7">
        <f t="shared" ca="1" si="5"/>
        <v>251</v>
      </c>
      <c r="D36" s="7">
        <f t="shared" ca="1" si="6"/>
        <v>20</v>
      </c>
      <c r="E36" s="8"/>
      <c r="F36" s="1">
        <f t="shared" ca="1" si="7"/>
        <v>7656</v>
      </c>
      <c r="G36" s="1">
        <f t="shared" ca="1" si="8"/>
        <v>251</v>
      </c>
      <c r="H36" s="1">
        <f t="shared" ca="1" si="9"/>
        <v>20</v>
      </c>
    </row>
    <row r="37" spans="1:8" ht="15.6" x14ac:dyDescent="0.3">
      <c r="A37" s="5">
        <v>32164</v>
      </c>
      <c r="B37" s="6">
        <f t="shared" ca="1" si="4"/>
        <v>13886</v>
      </c>
      <c r="C37" s="7">
        <f t="shared" ca="1" si="5"/>
        <v>456</v>
      </c>
      <c r="D37" s="7">
        <f t="shared" ca="1" si="6"/>
        <v>38</v>
      </c>
      <c r="E37" s="8"/>
      <c r="F37" s="1">
        <f t="shared" ca="1" si="7"/>
        <v>13886</v>
      </c>
      <c r="G37" s="1">
        <f t="shared" ca="1" si="8"/>
        <v>456</v>
      </c>
      <c r="H37" s="1">
        <f t="shared" ca="1" si="9"/>
        <v>38</v>
      </c>
    </row>
    <row r="38" spans="1:8" ht="15.6" x14ac:dyDescent="0.3">
      <c r="A38" s="5">
        <v>34907</v>
      </c>
      <c r="B38" s="6">
        <f t="shared" ca="1" si="4"/>
        <v>11143</v>
      </c>
      <c r="C38" s="7">
        <f t="shared" ca="1" si="5"/>
        <v>366</v>
      </c>
      <c r="D38" s="7">
        <f t="shared" ca="1" si="6"/>
        <v>30</v>
      </c>
      <c r="E38" s="8"/>
      <c r="F38" s="1">
        <f t="shared" ca="1" si="7"/>
        <v>11143</v>
      </c>
      <c r="G38" s="1">
        <f t="shared" ca="1" si="8"/>
        <v>366</v>
      </c>
      <c r="H38" s="1">
        <f t="shared" ca="1" si="9"/>
        <v>30</v>
      </c>
    </row>
    <row r="39" spans="1:8" ht="15.6" x14ac:dyDescent="0.3">
      <c r="A39" s="5">
        <v>36472</v>
      </c>
      <c r="B39" s="6">
        <f t="shared" ca="1" si="4"/>
        <v>9578</v>
      </c>
      <c r="C39" s="7">
        <f t="shared" ca="1" si="5"/>
        <v>314</v>
      </c>
      <c r="D39" s="7">
        <f t="shared" ca="1" si="6"/>
        <v>26</v>
      </c>
      <c r="E39" s="8"/>
      <c r="F39" s="1">
        <f t="shared" ca="1" si="7"/>
        <v>9578</v>
      </c>
      <c r="G39" s="1">
        <f t="shared" ca="1" si="8"/>
        <v>314</v>
      </c>
      <c r="H39" s="1">
        <f t="shared" ca="1" si="9"/>
        <v>26</v>
      </c>
    </row>
    <row r="40" spans="1:8" ht="15.6" x14ac:dyDescent="0.3">
      <c r="A40" s="5">
        <v>32172</v>
      </c>
      <c r="B40" s="6">
        <f t="shared" ca="1" si="4"/>
        <v>13878</v>
      </c>
      <c r="C40" s="7">
        <f t="shared" ca="1" si="5"/>
        <v>455</v>
      </c>
      <c r="D40" s="7">
        <f t="shared" ca="1" si="6"/>
        <v>37</v>
      </c>
      <c r="E40" s="8"/>
      <c r="F40" s="1">
        <f t="shared" ca="1" si="7"/>
        <v>13878</v>
      </c>
      <c r="G40" s="1">
        <f t="shared" ca="1" si="8"/>
        <v>455</v>
      </c>
      <c r="H40" s="1">
        <f t="shared" ca="1" si="9"/>
        <v>37</v>
      </c>
    </row>
    <row r="41" spans="1:8" ht="15.6" x14ac:dyDescent="0.3">
      <c r="A41" s="5">
        <v>38816</v>
      </c>
      <c r="B41" s="6">
        <f t="shared" ca="1" si="4"/>
        <v>7234</v>
      </c>
      <c r="C41" s="7">
        <f t="shared" ca="1" si="5"/>
        <v>237</v>
      </c>
      <c r="D41" s="7">
        <f t="shared" ca="1" si="6"/>
        <v>19</v>
      </c>
      <c r="E41" s="8"/>
      <c r="F41" s="1">
        <f t="shared" ca="1" si="7"/>
        <v>7234</v>
      </c>
      <c r="G41" s="1">
        <f t="shared" ca="1" si="8"/>
        <v>237</v>
      </c>
      <c r="H41" s="1">
        <f t="shared" ca="1" si="9"/>
        <v>19</v>
      </c>
    </row>
    <row r="42" spans="1:8" ht="15.6" x14ac:dyDescent="0.3">
      <c r="A42" s="5">
        <v>32766</v>
      </c>
      <c r="B42" s="6">
        <f t="shared" ca="1" si="4"/>
        <v>13284</v>
      </c>
      <c r="C42" s="7">
        <f t="shared" ca="1" si="5"/>
        <v>436</v>
      </c>
      <c r="D42" s="7">
        <f t="shared" ca="1" si="6"/>
        <v>36</v>
      </c>
      <c r="E42" s="8"/>
      <c r="F42" s="1">
        <f t="shared" ca="1" si="7"/>
        <v>13284</v>
      </c>
      <c r="G42" s="1">
        <f t="shared" ca="1" si="8"/>
        <v>436</v>
      </c>
      <c r="H42" s="1">
        <f t="shared" ca="1" si="9"/>
        <v>36</v>
      </c>
    </row>
    <row r="43" spans="1:8" ht="15.6" x14ac:dyDescent="0.3">
      <c r="A43" s="5">
        <v>35467</v>
      </c>
      <c r="B43" s="6">
        <f t="shared" ca="1" si="4"/>
        <v>10583</v>
      </c>
      <c r="C43" s="7">
        <f t="shared" ca="1" si="5"/>
        <v>347</v>
      </c>
      <c r="D43" s="7">
        <f t="shared" ca="1" si="6"/>
        <v>28</v>
      </c>
      <c r="E43" s="8"/>
      <c r="F43" s="1">
        <f t="shared" ca="1" si="7"/>
        <v>10583</v>
      </c>
      <c r="G43" s="1">
        <f t="shared" ca="1" si="8"/>
        <v>347</v>
      </c>
      <c r="H43" s="1">
        <f t="shared" ca="1" si="9"/>
        <v>28</v>
      </c>
    </row>
    <row r="44" spans="1:8" ht="15.6" x14ac:dyDescent="0.3">
      <c r="A44" s="5">
        <v>32241</v>
      </c>
      <c r="B44" s="6">
        <f t="shared" ca="1" si="4"/>
        <v>13809</v>
      </c>
      <c r="C44" s="7">
        <f t="shared" ca="1" si="5"/>
        <v>453</v>
      </c>
      <c r="D44" s="7">
        <f t="shared" ca="1" si="6"/>
        <v>37</v>
      </c>
      <c r="E44" s="8"/>
      <c r="F44" s="1">
        <f t="shared" ca="1" si="7"/>
        <v>13809</v>
      </c>
      <c r="G44" s="1">
        <f t="shared" ca="1" si="8"/>
        <v>453</v>
      </c>
      <c r="H44" s="1">
        <f t="shared" ca="1" si="9"/>
        <v>37</v>
      </c>
    </row>
    <row r="45" spans="1:8" ht="15.6" x14ac:dyDescent="0.3">
      <c r="A45" s="5">
        <v>32991</v>
      </c>
      <c r="B45" s="6">
        <f t="shared" ca="1" si="4"/>
        <v>13059</v>
      </c>
      <c r="C45" s="7">
        <f t="shared" ca="1" si="5"/>
        <v>429</v>
      </c>
      <c r="D45" s="7">
        <f t="shared" ca="1" si="6"/>
        <v>35</v>
      </c>
      <c r="E45" s="8"/>
      <c r="F45" s="1">
        <f t="shared" ca="1" si="7"/>
        <v>13059</v>
      </c>
      <c r="G45" s="1">
        <f t="shared" ca="1" si="8"/>
        <v>429</v>
      </c>
      <c r="H45" s="1">
        <f t="shared" ca="1" si="9"/>
        <v>35</v>
      </c>
    </row>
    <row r="46" spans="1:8" ht="15.6" x14ac:dyDescent="0.3">
      <c r="A46" s="5">
        <v>34149</v>
      </c>
      <c r="B46" s="6">
        <f t="shared" ca="1" si="4"/>
        <v>11901</v>
      </c>
      <c r="C46" s="7">
        <f t="shared" ca="1" si="5"/>
        <v>390</v>
      </c>
      <c r="D46" s="7">
        <f t="shared" ca="1" si="6"/>
        <v>32</v>
      </c>
      <c r="E46" s="8"/>
      <c r="F46" s="1">
        <f t="shared" ca="1" si="7"/>
        <v>11901</v>
      </c>
      <c r="G46" s="1">
        <f t="shared" ca="1" si="8"/>
        <v>390</v>
      </c>
      <c r="H46" s="1">
        <f t="shared" ca="1" si="9"/>
        <v>32</v>
      </c>
    </row>
    <row r="47" spans="1:8" ht="15.6" x14ac:dyDescent="0.3">
      <c r="A47" s="5">
        <v>34904</v>
      </c>
      <c r="B47" s="6">
        <f t="shared" ca="1" si="4"/>
        <v>11146</v>
      </c>
      <c r="C47" s="7">
        <f t="shared" ca="1" si="5"/>
        <v>366</v>
      </c>
      <c r="D47" s="7">
        <f t="shared" ca="1" si="6"/>
        <v>30</v>
      </c>
      <c r="E47" s="8"/>
      <c r="F47" s="1">
        <f t="shared" ca="1" si="7"/>
        <v>11146</v>
      </c>
      <c r="G47" s="1">
        <f t="shared" ca="1" si="8"/>
        <v>366</v>
      </c>
      <c r="H47" s="1">
        <f t="shared" ca="1" si="9"/>
        <v>30</v>
      </c>
    </row>
    <row r="48" spans="1:8" ht="15.6" x14ac:dyDescent="0.3">
      <c r="A48" s="5">
        <v>35309</v>
      </c>
      <c r="B48" s="6">
        <f t="shared" ca="1" si="4"/>
        <v>10741</v>
      </c>
      <c r="C48" s="7">
        <f t="shared" ca="1" si="5"/>
        <v>352</v>
      </c>
      <c r="D48" s="7">
        <f t="shared" ca="1" si="6"/>
        <v>29</v>
      </c>
      <c r="E48" s="8"/>
      <c r="F48" s="1">
        <f t="shared" ca="1" si="7"/>
        <v>10741</v>
      </c>
      <c r="G48" s="1">
        <f t="shared" ca="1" si="8"/>
        <v>352</v>
      </c>
      <c r="H48" s="1">
        <f t="shared" ca="1" si="9"/>
        <v>29</v>
      </c>
    </row>
    <row r="49" spans="1:8" ht="15.6" x14ac:dyDescent="0.3">
      <c r="A49" s="5">
        <v>35583</v>
      </c>
      <c r="B49" s="6">
        <f t="shared" ca="1" si="4"/>
        <v>10467</v>
      </c>
      <c r="C49" s="7">
        <f t="shared" ca="1" si="5"/>
        <v>343</v>
      </c>
      <c r="D49" s="7">
        <f t="shared" ca="1" si="6"/>
        <v>28</v>
      </c>
      <c r="E49" s="8"/>
      <c r="F49" s="1">
        <f t="shared" ca="1" si="7"/>
        <v>10467</v>
      </c>
      <c r="G49" s="1">
        <f t="shared" ca="1" si="8"/>
        <v>343</v>
      </c>
      <c r="H49" s="1">
        <f t="shared" ca="1" si="9"/>
        <v>28</v>
      </c>
    </row>
    <row r="50" spans="1:8" ht="15.6" x14ac:dyDescent="0.3">
      <c r="A50" s="5">
        <v>36741</v>
      </c>
      <c r="B50" s="6">
        <f t="shared" ca="1" si="4"/>
        <v>9309</v>
      </c>
      <c r="C50" s="7">
        <f t="shared" ca="1" si="5"/>
        <v>305</v>
      </c>
      <c r="D50" s="7">
        <f t="shared" ca="1" si="6"/>
        <v>25</v>
      </c>
      <c r="E50" s="8"/>
      <c r="F50" s="1">
        <f t="shared" ca="1" si="7"/>
        <v>9309</v>
      </c>
      <c r="G50" s="1">
        <f t="shared" ca="1" si="8"/>
        <v>305</v>
      </c>
      <c r="H50" s="1">
        <f t="shared" ca="1" si="9"/>
        <v>25</v>
      </c>
    </row>
    <row r="51" spans="1:8" ht="15.6" x14ac:dyDescent="0.3">
      <c r="A51" s="5">
        <v>38796</v>
      </c>
      <c r="B51" s="6">
        <f t="shared" ca="1" si="4"/>
        <v>7254</v>
      </c>
      <c r="C51" s="7">
        <f t="shared" ca="1" si="5"/>
        <v>238</v>
      </c>
      <c r="D51" s="7">
        <f t="shared" ca="1" si="6"/>
        <v>19</v>
      </c>
      <c r="E51" s="8"/>
      <c r="F51" s="1">
        <f t="shared" ca="1" si="7"/>
        <v>7254</v>
      </c>
      <c r="G51" s="1">
        <f t="shared" ca="1" si="8"/>
        <v>238</v>
      </c>
      <c r="H51" s="1">
        <f t="shared" ca="1" si="9"/>
        <v>19</v>
      </c>
    </row>
    <row r="52" spans="1:8" ht="15.6" x14ac:dyDescent="0.3">
      <c r="A52" s="5">
        <v>34254</v>
      </c>
      <c r="B52" s="6">
        <f t="shared" ca="1" si="4"/>
        <v>11796</v>
      </c>
      <c r="C52" s="7">
        <f t="shared" ca="1" si="5"/>
        <v>387</v>
      </c>
      <c r="D52" s="7">
        <f t="shared" ca="1" si="6"/>
        <v>32</v>
      </c>
      <c r="E52" s="8"/>
      <c r="F52" s="1">
        <f t="shared" ca="1" si="7"/>
        <v>11796</v>
      </c>
      <c r="G52" s="1">
        <f t="shared" ca="1" si="8"/>
        <v>387</v>
      </c>
      <c r="H52" s="1">
        <f t="shared" ca="1" si="9"/>
        <v>32</v>
      </c>
    </row>
    <row r="53" spans="1:8" ht="15.6" x14ac:dyDescent="0.3">
      <c r="A53" s="5">
        <v>34364</v>
      </c>
      <c r="B53" s="6">
        <f t="shared" ca="1" si="4"/>
        <v>11686</v>
      </c>
      <c r="C53" s="7">
        <f t="shared" ca="1" si="5"/>
        <v>383</v>
      </c>
      <c r="D53" s="7">
        <f t="shared" ca="1" si="6"/>
        <v>31</v>
      </c>
      <c r="E53" s="8"/>
      <c r="F53" s="1">
        <f t="shared" ca="1" si="7"/>
        <v>11686</v>
      </c>
      <c r="G53" s="1">
        <f t="shared" ca="1" si="8"/>
        <v>383</v>
      </c>
      <c r="H53" s="1">
        <f t="shared" ca="1" si="9"/>
        <v>31</v>
      </c>
    </row>
    <row r="54" spans="1:8" ht="15.6" x14ac:dyDescent="0.3">
      <c r="A54" s="5">
        <v>32403</v>
      </c>
      <c r="B54" s="6">
        <f t="shared" ca="1" si="4"/>
        <v>13647</v>
      </c>
      <c r="C54" s="7">
        <f t="shared" ca="1" si="5"/>
        <v>448</v>
      </c>
      <c r="D54" s="7">
        <f t="shared" ca="1" si="6"/>
        <v>37</v>
      </c>
      <c r="E54" s="8"/>
      <c r="F54" s="1">
        <f t="shared" ca="1" si="7"/>
        <v>13647</v>
      </c>
      <c r="G54" s="1">
        <f t="shared" ca="1" si="8"/>
        <v>448</v>
      </c>
      <c r="H54" s="1">
        <f t="shared" ca="1" si="9"/>
        <v>37</v>
      </c>
    </row>
    <row r="55" spans="1:8" ht="15.6" x14ac:dyDescent="0.3">
      <c r="A55" s="5">
        <v>38107</v>
      </c>
      <c r="B55" s="6">
        <f t="shared" ca="1" si="4"/>
        <v>7943</v>
      </c>
      <c r="C55" s="7">
        <f t="shared" ca="1" si="5"/>
        <v>260</v>
      </c>
      <c r="D55" s="7">
        <f t="shared" ca="1" si="6"/>
        <v>21</v>
      </c>
      <c r="E55" s="8"/>
      <c r="F55" s="1">
        <f t="shared" ca="1" si="7"/>
        <v>7943</v>
      </c>
      <c r="G55" s="1">
        <f t="shared" ca="1" si="8"/>
        <v>260</v>
      </c>
      <c r="H55" s="1">
        <f t="shared" ca="1" si="9"/>
        <v>21</v>
      </c>
    </row>
    <row r="56" spans="1:8" ht="15.6" x14ac:dyDescent="0.3">
      <c r="A56" s="5">
        <v>38842</v>
      </c>
      <c r="B56" s="6">
        <f t="shared" ca="1" si="4"/>
        <v>7208</v>
      </c>
      <c r="C56" s="7">
        <f t="shared" ca="1" si="5"/>
        <v>236</v>
      </c>
      <c r="D56" s="7">
        <f t="shared" ca="1" si="6"/>
        <v>19</v>
      </c>
      <c r="E56" s="8"/>
      <c r="F56" s="1">
        <f t="shared" ca="1" si="7"/>
        <v>7208</v>
      </c>
      <c r="G56" s="1">
        <f t="shared" ca="1" si="8"/>
        <v>236</v>
      </c>
      <c r="H56" s="1">
        <f t="shared" ca="1" si="9"/>
        <v>19</v>
      </c>
    </row>
    <row r="57" spans="1:8" ht="15.6" x14ac:dyDescent="0.3">
      <c r="A57" s="5">
        <v>34085</v>
      </c>
      <c r="B57" s="6">
        <f t="shared" ca="1" si="4"/>
        <v>11965</v>
      </c>
      <c r="C57" s="7">
        <f t="shared" ca="1" si="5"/>
        <v>393</v>
      </c>
      <c r="D57" s="7">
        <f t="shared" ca="1" si="6"/>
        <v>32</v>
      </c>
      <c r="E57" s="8"/>
      <c r="F57" s="1">
        <f t="shared" ca="1" si="7"/>
        <v>11965</v>
      </c>
      <c r="G57" s="1">
        <f t="shared" ca="1" si="8"/>
        <v>393</v>
      </c>
      <c r="H57" s="1">
        <f t="shared" ca="1" si="9"/>
        <v>32</v>
      </c>
    </row>
    <row r="58" spans="1:8" ht="15.6" x14ac:dyDescent="0.3">
      <c r="A58" s="5">
        <v>32038</v>
      </c>
      <c r="B58" s="6">
        <f t="shared" ca="1" si="4"/>
        <v>14012</v>
      </c>
      <c r="C58" s="7">
        <f t="shared" ca="1" si="5"/>
        <v>460</v>
      </c>
      <c r="D58" s="7">
        <f t="shared" ca="1" si="6"/>
        <v>38</v>
      </c>
      <c r="E58" s="8"/>
      <c r="F58" s="1">
        <f t="shared" ca="1" si="7"/>
        <v>14012</v>
      </c>
      <c r="G58" s="1">
        <f t="shared" ca="1" si="8"/>
        <v>460</v>
      </c>
      <c r="H58" s="1">
        <f t="shared" ca="1" si="9"/>
        <v>38</v>
      </c>
    </row>
    <row r="59" spans="1:8" ht="15.6" x14ac:dyDescent="0.3">
      <c r="A59" s="5">
        <v>32217</v>
      </c>
      <c r="B59" s="6">
        <f t="shared" ca="1" si="4"/>
        <v>13833</v>
      </c>
      <c r="C59" s="7">
        <f t="shared" ca="1" si="5"/>
        <v>454</v>
      </c>
      <c r="D59" s="7">
        <f t="shared" ca="1" si="6"/>
        <v>37</v>
      </c>
      <c r="E59" s="8"/>
      <c r="F59" s="1">
        <f t="shared" ca="1" si="7"/>
        <v>13833</v>
      </c>
      <c r="G59" s="1">
        <f t="shared" ca="1" si="8"/>
        <v>454</v>
      </c>
      <c r="H59" s="1">
        <f t="shared" ca="1" si="9"/>
        <v>37</v>
      </c>
    </row>
    <row r="60" spans="1:8" ht="15.6" x14ac:dyDescent="0.3">
      <c r="A60" s="5">
        <v>32265</v>
      </c>
      <c r="B60" s="6">
        <f t="shared" ca="1" si="4"/>
        <v>13785</v>
      </c>
      <c r="C60" s="7">
        <f t="shared" ca="1" si="5"/>
        <v>452</v>
      </c>
      <c r="D60" s="7">
        <f t="shared" ca="1" si="6"/>
        <v>37</v>
      </c>
      <c r="E60" s="8"/>
      <c r="F60" s="1">
        <f t="shared" ca="1" si="7"/>
        <v>13785</v>
      </c>
      <c r="G60" s="1">
        <f t="shared" ca="1" si="8"/>
        <v>452</v>
      </c>
      <c r="H60" s="1">
        <f t="shared" ca="1" si="9"/>
        <v>37</v>
      </c>
    </row>
    <row r="61" spans="1:8" ht="15.6" x14ac:dyDescent="0.3">
      <c r="A61" s="5">
        <v>32436</v>
      </c>
      <c r="B61" s="6">
        <f t="shared" ca="1" si="4"/>
        <v>13614</v>
      </c>
      <c r="C61" s="7">
        <f t="shared" ca="1" si="5"/>
        <v>447</v>
      </c>
      <c r="D61" s="7">
        <f t="shared" ca="1" si="6"/>
        <v>37</v>
      </c>
      <c r="E61" s="8"/>
      <c r="F61" s="1">
        <f t="shared" ca="1" si="7"/>
        <v>13614</v>
      </c>
      <c r="G61" s="1">
        <f t="shared" ca="1" si="8"/>
        <v>447</v>
      </c>
      <c r="H61" s="1">
        <f t="shared" ca="1" si="9"/>
        <v>37</v>
      </c>
    </row>
    <row r="62" spans="1:8" ht="15.6" x14ac:dyDescent="0.3">
      <c r="A62" s="5">
        <v>32476</v>
      </c>
      <c r="B62" s="6">
        <f t="shared" ca="1" si="4"/>
        <v>13574</v>
      </c>
      <c r="C62" s="7">
        <f t="shared" ca="1" si="5"/>
        <v>445</v>
      </c>
      <c r="D62" s="7">
        <f t="shared" ca="1" si="6"/>
        <v>37</v>
      </c>
      <c r="E62" s="8"/>
      <c r="F62" s="1">
        <f t="shared" ca="1" si="7"/>
        <v>13574</v>
      </c>
      <c r="G62" s="1">
        <f t="shared" ca="1" si="8"/>
        <v>445</v>
      </c>
      <c r="H62" s="1">
        <f t="shared" ca="1" si="9"/>
        <v>37</v>
      </c>
    </row>
    <row r="63" spans="1:8" ht="15.6" x14ac:dyDescent="0.3">
      <c r="A63" s="5">
        <v>32585</v>
      </c>
      <c r="B63" s="6">
        <f t="shared" ca="1" si="4"/>
        <v>13465</v>
      </c>
      <c r="C63" s="7">
        <f t="shared" ca="1" si="5"/>
        <v>442</v>
      </c>
      <c r="D63" s="7">
        <f t="shared" ca="1" si="6"/>
        <v>36</v>
      </c>
      <c r="E63" s="8"/>
      <c r="F63" s="1">
        <f t="shared" ca="1" si="7"/>
        <v>13465</v>
      </c>
      <c r="G63" s="1">
        <f t="shared" ca="1" si="8"/>
        <v>442</v>
      </c>
      <c r="H63" s="1">
        <f t="shared" ca="1" si="9"/>
        <v>36</v>
      </c>
    </row>
    <row r="64" spans="1:8" ht="15.6" x14ac:dyDescent="0.3">
      <c r="A64" s="5">
        <v>33164</v>
      </c>
      <c r="B64" s="6">
        <f t="shared" ca="1" si="4"/>
        <v>12886</v>
      </c>
      <c r="C64" s="7">
        <f t="shared" ca="1" si="5"/>
        <v>423</v>
      </c>
      <c r="D64" s="7">
        <f t="shared" ca="1" si="6"/>
        <v>35</v>
      </c>
      <c r="E64" s="8"/>
      <c r="F64" s="1">
        <f t="shared" ca="1" si="7"/>
        <v>12886</v>
      </c>
      <c r="G64" s="1">
        <f t="shared" ca="1" si="8"/>
        <v>423</v>
      </c>
      <c r="H64" s="1">
        <f t="shared" ca="1" si="9"/>
        <v>35</v>
      </c>
    </row>
    <row r="65" spans="1:8" ht="15.6" x14ac:dyDescent="0.3">
      <c r="A65" s="5">
        <v>33522</v>
      </c>
      <c r="B65" s="6">
        <f t="shared" ca="1" si="4"/>
        <v>12528</v>
      </c>
      <c r="C65" s="7">
        <f t="shared" ca="1" si="5"/>
        <v>411</v>
      </c>
      <c r="D65" s="7">
        <f t="shared" ca="1" si="6"/>
        <v>34</v>
      </c>
      <c r="E65" s="8"/>
      <c r="F65" s="1">
        <f t="shared" ca="1" si="7"/>
        <v>12528</v>
      </c>
      <c r="G65" s="1">
        <f t="shared" ca="1" si="8"/>
        <v>411</v>
      </c>
      <c r="H65" s="1">
        <f t="shared" ca="1" si="9"/>
        <v>34</v>
      </c>
    </row>
    <row r="66" spans="1:8" ht="15.6" x14ac:dyDescent="0.3">
      <c r="A66" s="5">
        <v>33686</v>
      </c>
      <c r="B66" s="6">
        <f t="shared" ca="1" si="4"/>
        <v>12364</v>
      </c>
      <c r="C66" s="7">
        <f t="shared" ca="1" si="5"/>
        <v>406</v>
      </c>
      <c r="D66" s="7">
        <f t="shared" ca="1" si="6"/>
        <v>33</v>
      </c>
      <c r="E66" s="8"/>
      <c r="F66" s="1">
        <f t="shared" ca="1" si="7"/>
        <v>12364</v>
      </c>
      <c r="G66" s="1">
        <f t="shared" ca="1" si="8"/>
        <v>406</v>
      </c>
      <c r="H66" s="1">
        <f t="shared" ca="1" si="9"/>
        <v>33</v>
      </c>
    </row>
    <row r="67" spans="1:8" ht="15.6" x14ac:dyDescent="0.3">
      <c r="A67" s="5">
        <v>33776</v>
      </c>
      <c r="B67" s="6">
        <f t="shared" ca="1" si="4"/>
        <v>12274</v>
      </c>
      <c r="C67" s="7">
        <f t="shared" ca="1" si="5"/>
        <v>403</v>
      </c>
      <c r="D67" s="7">
        <f t="shared" ca="1" si="6"/>
        <v>33</v>
      </c>
      <c r="E67" s="8"/>
      <c r="F67" s="1">
        <f t="shared" ca="1" si="7"/>
        <v>12274</v>
      </c>
      <c r="G67" s="1">
        <f t="shared" ca="1" si="8"/>
        <v>403</v>
      </c>
      <c r="H67" s="1">
        <f t="shared" ca="1" si="9"/>
        <v>33</v>
      </c>
    </row>
    <row r="68" spans="1:8" ht="15.6" x14ac:dyDescent="0.3">
      <c r="A68" s="5">
        <v>33887</v>
      </c>
      <c r="B68" s="6">
        <f t="shared" ca="1" si="4"/>
        <v>12163</v>
      </c>
      <c r="C68" s="7">
        <f t="shared" ca="1" si="5"/>
        <v>399</v>
      </c>
      <c r="D68" s="7">
        <f t="shared" ca="1" si="6"/>
        <v>33</v>
      </c>
      <c r="E68" s="8"/>
      <c r="F68" s="1">
        <f t="shared" ca="1" si="7"/>
        <v>12163</v>
      </c>
      <c r="G68" s="1">
        <f t="shared" ca="1" si="8"/>
        <v>399</v>
      </c>
      <c r="H68" s="1">
        <f t="shared" ca="1" si="9"/>
        <v>33</v>
      </c>
    </row>
    <row r="69" spans="1:8" ht="15.6" x14ac:dyDescent="0.3">
      <c r="A69" s="5">
        <v>33897</v>
      </c>
      <c r="B69" s="6">
        <f t="shared" ca="1" si="4"/>
        <v>12153</v>
      </c>
      <c r="C69" s="7">
        <f t="shared" ca="1" si="5"/>
        <v>399</v>
      </c>
      <c r="D69" s="7">
        <f t="shared" ca="1" si="6"/>
        <v>33</v>
      </c>
      <c r="E69" s="8"/>
      <c r="F69" s="1">
        <f t="shared" ca="1" si="7"/>
        <v>12153</v>
      </c>
      <c r="G69" s="1">
        <f t="shared" ca="1" si="8"/>
        <v>399</v>
      </c>
      <c r="H69" s="1">
        <f t="shared" ca="1" si="9"/>
        <v>33</v>
      </c>
    </row>
    <row r="70" spans="1:8" ht="15.6" x14ac:dyDescent="0.3">
      <c r="A70" s="5">
        <v>34357</v>
      </c>
      <c r="B70" s="6">
        <f t="shared" ca="1" si="4"/>
        <v>11693</v>
      </c>
      <c r="C70" s="7">
        <f t="shared" ca="1" si="5"/>
        <v>384</v>
      </c>
      <c r="D70" s="7">
        <f t="shared" ca="1" si="6"/>
        <v>32</v>
      </c>
      <c r="E70" s="8"/>
      <c r="F70" s="1">
        <f t="shared" ca="1" si="7"/>
        <v>11693</v>
      </c>
      <c r="G70" s="1">
        <f t="shared" ca="1" si="8"/>
        <v>384</v>
      </c>
      <c r="H70" s="1">
        <f t="shared" ca="1" si="9"/>
        <v>32</v>
      </c>
    </row>
    <row r="71" spans="1:8" ht="15.6" x14ac:dyDescent="0.3">
      <c r="A71" s="5">
        <v>34519</v>
      </c>
      <c r="B71" s="6">
        <f t="shared" ca="1" si="4"/>
        <v>11531</v>
      </c>
      <c r="C71" s="7">
        <f t="shared" ca="1" si="5"/>
        <v>378</v>
      </c>
      <c r="D71" s="7">
        <f t="shared" ca="1" si="6"/>
        <v>31</v>
      </c>
      <c r="E71" s="8"/>
      <c r="F71" s="1">
        <f t="shared" ca="1" si="7"/>
        <v>11531</v>
      </c>
      <c r="G71" s="1">
        <f t="shared" ca="1" si="8"/>
        <v>378</v>
      </c>
      <c r="H71" s="1">
        <f t="shared" ca="1" si="9"/>
        <v>31</v>
      </c>
    </row>
    <row r="72" spans="1:8" ht="15.6" x14ac:dyDescent="0.3">
      <c r="A72" s="5">
        <v>34655</v>
      </c>
      <c r="B72" s="6">
        <f t="shared" ca="1" si="4"/>
        <v>11395</v>
      </c>
      <c r="C72" s="7">
        <f t="shared" ca="1" si="5"/>
        <v>374</v>
      </c>
      <c r="D72" s="7">
        <f t="shared" ca="1" si="6"/>
        <v>31</v>
      </c>
      <c r="E72" s="8"/>
      <c r="F72" s="1">
        <f t="shared" ca="1" si="7"/>
        <v>11395</v>
      </c>
      <c r="G72" s="1">
        <f t="shared" ca="1" si="8"/>
        <v>374</v>
      </c>
      <c r="H72" s="1">
        <f t="shared" ca="1" si="9"/>
        <v>31</v>
      </c>
    </row>
    <row r="73" spans="1:8" ht="15.6" x14ac:dyDescent="0.3">
      <c r="A73" s="5">
        <v>35196</v>
      </c>
      <c r="B73" s="6">
        <f t="shared" ca="1" si="4"/>
        <v>10854</v>
      </c>
      <c r="C73" s="7">
        <f t="shared" ca="1" si="5"/>
        <v>356</v>
      </c>
      <c r="D73" s="7">
        <f t="shared" ca="1" si="6"/>
        <v>29</v>
      </c>
      <c r="E73" s="8"/>
      <c r="F73" s="1">
        <f t="shared" ca="1" si="7"/>
        <v>10854</v>
      </c>
      <c r="G73" s="1">
        <f t="shared" ca="1" si="8"/>
        <v>356</v>
      </c>
      <c r="H73" s="1">
        <f t="shared" ca="1" si="9"/>
        <v>29</v>
      </c>
    </row>
    <row r="74" spans="1:8" ht="15.6" x14ac:dyDescent="0.3">
      <c r="A74" s="5">
        <v>35698</v>
      </c>
      <c r="B74" s="6">
        <f t="shared" ca="1" si="4"/>
        <v>10352</v>
      </c>
      <c r="C74" s="7">
        <f t="shared" ca="1" si="5"/>
        <v>340</v>
      </c>
      <c r="D74" s="7">
        <f t="shared" ca="1" si="6"/>
        <v>28</v>
      </c>
      <c r="E74" s="8"/>
      <c r="F74" s="1">
        <f t="shared" ca="1" si="7"/>
        <v>10352</v>
      </c>
      <c r="G74" s="1">
        <f t="shared" ca="1" si="8"/>
        <v>340</v>
      </c>
      <c r="H74" s="1">
        <f t="shared" ca="1" si="9"/>
        <v>28</v>
      </c>
    </row>
    <row r="75" spans="1:8" ht="15.6" x14ac:dyDescent="0.3">
      <c r="A75" s="5">
        <v>35708</v>
      </c>
      <c r="B75" s="6">
        <f t="shared" ca="1" si="4"/>
        <v>10342</v>
      </c>
      <c r="C75" s="7">
        <f t="shared" ca="1" si="5"/>
        <v>339</v>
      </c>
      <c r="D75" s="7">
        <f t="shared" ca="1" si="6"/>
        <v>28</v>
      </c>
      <c r="E75" s="8"/>
      <c r="F75" s="1">
        <f t="shared" ca="1" si="7"/>
        <v>10342</v>
      </c>
      <c r="G75" s="1">
        <f t="shared" ca="1" si="8"/>
        <v>339</v>
      </c>
      <c r="H75" s="1">
        <f t="shared" ca="1" si="9"/>
        <v>28</v>
      </c>
    </row>
    <row r="76" spans="1:8" ht="15.6" x14ac:dyDescent="0.3">
      <c r="A76" s="5">
        <v>35866</v>
      </c>
      <c r="B76" s="6">
        <f t="shared" ca="1" si="4"/>
        <v>10184</v>
      </c>
      <c r="C76" s="7">
        <f t="shared" ca="1" si="5"/>
        <v>334</v>
      </c>
      <c r="D76" s="7">
        <f t="shared" ca="1" si="6"/>
        <v>27</v>
      </c>
      <c r="E76" s="8"/>
      <c r="F76" s="1">
        <f t="shared" ca="1" si="7"/>
        <v>10184</v>
      </c>
      <c r="G76" s="1">
        <f t="shared" ca="1" si="8"/>
        <v>334</v>
      </c>
      <c r="H76" s="1">
        <f t="shared" ca="1" si="9"/>
        <v>27</v>
      </c>
    </row>
    <row r="77" spans="1:8" ht="15.6" x14ac:dyDescent="0.3">
      <c r="A77" s="5">
        <v>35931</v>
      </c>
      <c r="B77" s="6">
        <f t="shared" ca="1" si="4"/>
        <v>10119</v>
      </c>
      <c r="C77" s="7">
        <f t="shared" ca="1" si="5"/>
        <v>332</v>
      </c>
      <c r="D77" s="7">
        <f t="shared" ca="1" si="6"/>
        <v>27</v>
      </c>
      <c r="E77" s="8"/>
      <c r="F77" s="1">
        <f t="shared" ca="1" si="7"/>
        <v>10119</v>
      </c>
      <c r="G77" s="1">
        <f t="shared" ca="1" si="8"/>
        <v>332</v>
      </c>
      <c r="H77" s="1">
        <f t="shared" ca="1" si="9"/>
        <v>27</v>
      </c>
    </row>
    <row r="78" spans="1:8" ht="15.6" x14ac:dyDescent="0.3">
      <c r="A78" s="5">
        <v>36038</v>
      </c>
      <c r="B78" s="6">
        <f t="shared" ca="1" si="4"/>
        <v>10012</v>
      </c>
      <c r="C78" s="7">
        <f t="shared" ca="1" si="5"/>
        <v>328</v>
      </c>
      <c r="D78" s="7">
        <f t="shared" ca="1" si="6"/>
        <v>27</v>
      </c>
      <c r="E78" s="8"/>
      <c r="F78" s="1">
        <f t="shared" ca="1" si="7"/>
        <v>10012</v>
      </c>
      <c r="G78" s="1">
        <f t="shared" ca="1" si="8"/>
        <v>328</v>
      </c>
      <c r="H78" s="1">
        <f t="shared" ca="1" si="9"/>
        <v>27</v>
      </c>
    </row>
    <row r="79" spans="1:8" ht="15.6" x14ac:dyDescent="0.3">
      <c r="A79" s="5">
        <v>36475</v>
      </c>
      <c r="B79" s="6">
        <f t="shared" ca="1" si="4"/>
        <v>9575</v>
      </c>
      <c r="C79" s="7">
        <f t="shared" ca="1" si="5"/>
        <v>314</v>
      </c>
      <c r="D79" s="7">
        <f t="shared" ca="1" si="6"/>
        <v>26</v>
      </c>
      <c r="E79" s="8"/>
      <c r="F79" s="1">
        <f t="shared" ca="1" si="7"/>
        <v>9575</v>
      </c>
      <c r="G79" s="1">
        <f t="shared" ca="1" si="8"/>
        <v>314</v>
      </c>
      <c r="H79" s="1">
        <f t="shared" ca="1" si="9"/>
        <v>26</v>
      </c>
    </row>
    <row r="80" spans="1:8" ht="15.6" x14ac:dyDescent="0.3">
      <c r="A80" s="5">
        <v>36650</v>
      </c>
      <c r="B80" s="6">
        <f t="shared" ca="1" si="4"/>
        <v>9400</v>
      </c>
      <c r="C80" s="7">
        <f t="shared" ca="1" si="5"/>
        <v>308</v>
      </c>
      <c r="D80" s="7">
        <f t="shared" ca="1" si="6"/>
        <v>25</v>
      </c>
      <c r="E80" s="8"/>
      <c r="F80" s="1">
        <f t="shared" ca="1" si="7"/>
        <v>9400</v>
      </c>
      <c r="G80" s="1">
        <f t="shared" ca="1" si="8"/>
        <v>308</v>
      </c>
      <c r="H80" s="1">
        <f t="shared" ca="1" si="9"/>
        <v>25</v>
      </c>
    </row>
    <row r="81" spans="1:8" ht="15.6" x14ac:dyDescent="0.3">
      <c r="A81" s="5">
        <v>38775</v>
      </c>
      <c r="B81" s="6">
        <f t="shared" ca="1" si="4"/>
        <v>7275</v>
      </c>
      <c r="C81" s="7">
        <f t="shared" ca="1" si="5"/>
        <v>239</v>
      </c>
      <c r="D81" s="7">
        <f t="shared" ca="1" si="6"/>
        <v>19</v>
      </c>
      <c r="E81" s="8"/>
      <c r="F81" s="1">
        <f t="shared" ca="1" si="7"/>
        <v>7275</v>
      </c>
      <c r="G81" s="1">
        <f t="shared" ca="1" si="8"/>
        <v>239</v>
      </c>
      <c r="H81" s="1">
        <f t="shared" ca="1" si="9"/>
        <v>19</v>
      </c>
    </row>
    <row r="82" spans="1:8" ht="15.6" x14ac:dyDescent="0.3">
      <c r="A82" s="5">
        <v>38964</v>
      </c>
      <c r="B82" s="6">
        <f t="shared" ca="1" si="4"/>
        <v>7086</v>
      </c>
      <c r="C82" s="7">
        <f t="shared" ca="1" si="5"/>
        <v>232</v>
      </c>
      <c r="D82" s="7">
        <f t="shared" ca="1" si="6"/>
        <v>19</v>
      </c>
      <c r="E82" s="8"/>
      <c r="F82" s="1">
        <f t="shared" ca="1" si="7"/>
        <v>7086</v>
      </c>
      <c r="G82" s="1">
        <f t="shared" ca="1" si="8"/>
        <v>232</v>
      </c>
      <c r="H82" s="1">
        <f t="shared" ca="1" si="9"/>
        <v>19</v>
      </c>
    </row>
    <row r="83" spans="1:8" ht="15.6" x14ac:dyDescent="0.3">
      <c r="A83" s="9">
        <v>38982</v>
      </c>
      <c r="B83" s="6">
        <f t="shared" ca="1" si="4"/>
        <v>7068</v>
      </c>
      <c r="C83" s="7">
        <f t="shared" ca="1" si="5"/>
        <v>232</v>
      </c>
      <c r="D83" s="7">
        <f t="shared" ca="1" si="6"/>
        <v>19</v>
      </c>
      <c r="E83" s="8"/>
      <c r="F83" s="1">
        <f t="shared" ca="1" si="7"/>
        <v>7068</v>
      </c>
      <c r="G83" s="1">
        <f t="shared" ca="1" si="8"/>
        <v>232</v>
      </c>
      <c r="H83" s="1">
        <f t="shared" ca="1" si="9"/>
        <v>19</v>
      </c>
    </row>
    <row r="84" spans="1:8" ht="15.6" x14ac:dyDescent="0.3">
      <c r="A84" s="5">
        <v>39191</v>
      </c>
      <c r="B84" s="6">
        <f t="shared" ca="1" si="4"/>
        <v>6859</v>
      </c>
      <c r="C84" s="7">
        <f t="shared" ca="1" si="5"/>
        <v>225</v>
      </c>
      <c r="D84" s="7">
        <f t="shared" ca="1" si="6"/>
        <v>18</v>
      </c>
      <c r="E84" s="8"/>
      <c r="F84" s="1">
        <f t="shared" ca="1" si="7"/>
        <v>6859</v>
      </c>
      <c r="G84" s="1">
        <f t="shared" ca="1" si="8"/>
        <v>225</v>
      </c>
      <c r="H84" s="1">
        <f t="shared" ca="1" si="9"/>
        <v>18</v>
      </c>
    </row>
    <row r="85" spans="1:8" ht="15.6" x14ac:dyDescent="0.3">
      <c r="A85" s="5">
        <v>39265</v>
      </c>
      <c r="B85" s="6">
        <f t="shared" ca="1" si="4"/>
        <v>6785</v>
      </c>
      <c r="C85" s="7">
        <f t="shared" ca="1" si="5"/>
        <v>222</v>
      </c>
      <c r="D85" s="7">
        <f t="shared" ca="1" si="6"/>
        <v>18</v>
      </c>
      <c r="E85" s="8"/>
      <c r="F85" s="1">
        <f t="shared" ca="1" si="7"/>
        <v>6785</v>
      </c>
      <c r="G85" s="1">
        <f t="shared" ca="1" si="8"/>
        <v>222</v>
      </c>
      <c r="H85" s="1">
        <f t="shared" ca="1" si="9"/>
        <v>18</v>
      </c>
    </row>
    <row r="86" spans="1:8" ht="15.6" x14ac:dyDescent="0.3">
      <c r="A86" s="5">
        <v>39286</v>
      </c>
      <c r="B86" s="6">
        <f t="shared" ca="1" si="4"/>
        <v>6764</v>
      </c>
      <c r="C86" s="7">
        <f t="shared" ca="1" si="5"/>
        <v>222</v>
      </c>
      <c r="D86" s="7">
        <f t="shared" ca="1" si="6"/>
        <v>18</v>
      </c>
      <c r="E86" s="8"/>
      <c r="F86" s="1">
        <f t="shared" ca="1" si="7"/>
        <v>6764</v>
      </c>
      <c r="G86" s="1">
        <f t="shared" ca="1" si="8"/>
        <v>222</v>
      </c>
      <c r="H86" s="1">
        <f t="shared" ca="1" si="9"/>
        <v>18</v>
      </c>
    </row>
    <row r="87" spans="1:8" ht="15.6" x14ac:dyDescent="0.3">
      <c r="A87" s="5">
        <v>32162</v>
      </c>
      <c r="B87" s="6">
        <f t="shared" ref="B87:B107" ca="1" si="10">DATEDIF(A87,TODAY(),"D")</f>
        <v>13888</v>
      </c>
      <c r="C87" s="7">
        <f t="shared" ref="C87:C107" ca="1" si="11">DATEDIF(A87,TODAY(),"m")</f>
        <v>456</v>
      </c>
      <c r="D87" s="7">
        <f t="shared" ref="D87:D107" ca="1" si="12">DATEDIF(A87,TODAY(),"Y")</f>
        <v>38</v>
      </c>
      <c r="E87" s="8"/>
      <c r="F87" s="1">
        <f t="shared" ref="F87:F107" ca="1" si="13">DATEDIF(A87, TODAY(), "D")</f>
        <v>13888</v>
      </c>
      <c r="G87" s="1">
        <f t="shared" ref="G87:G107" ca="1" si="14">DATEDIF(A87,TODAY(), "M")</f>
        <v>456</v>
      </c>
      <c r="H87" s="1">
        <f t="shared" ref="H87:H107" ca="1" si="15">DATEDIF(A87,TODAY(),"y")</f>
        <v>38</v>
      </c>
    </row>
    <row r="88" spans="1:8" ht="15.6" x14ac:dyDescent="0.3">
      <c r="A88" s="5">
        <v>32856</v>
      </c>
      <c r="B88" s="6">
        <f t="shared" ca="1" si="10"/>
        <v>13194</v>
      </c>
      <c r="C88" s="7">
        <f t="shared" ca="1" si="11"/>
        <v>433</v>
      </c>
      <c r="D88" s="7">
        <f t="shared" ca="1" si="12"/>
        <v>36</v>
      </c>
      <c r="E88" s="8"/>
      <c r="F88" s="1">
        <f t="shared" ca="1" si="13"/>
        <v>13194</v>
      </c>
      <c r="G88" s="1">
        <f t="shared" ca="1" si="14"/>
        <v>433</v>
      </c>
      <c r="H88" s="1">
        <f t="shared" ca="1" si="15"/>
        <v>36</v>
      </c>
    </row>
    <row r="89" spans="1:8" ht="15.6" x14ac:dyDescent="0.3">
      <c r="A89" s="5">
        <v>33238</v>
      </c>
      <c r="B89" s="6">
        <f t="shared" ca="1" si="10"/>
        <v>12812</v>
      </c>
      <c r="C89" s="7">
        <f t="shared" ca="1" si="11"/>
        <v>420</v>
      </c>
      <c r="D89" s="7">
        <f t="shared" ca="1" si="12"/>
        <v>35</v>
      </c>
      <c r="E89" s="8"/>
      <c r="F89" s="1">
        <f t="shared" ca="1" si="13"/>
        <v>12812</v>
      </c>
      <c r="G89" s="1">
        <f t="shared" ca="1" si="14"/>
        <v>420</v>
      </c>
      <c r="H89" s="1">
        <f t="shared" ca="1" si="15"/>
        <v>35</v>
      </c>
    </row>
    <row r="90" spans="1:8" ht="15.6" x14ac:dyDescent="0.3">
      <c r="A90" s="5">
        <v>34207</v>
      </c>
      <c r="B90" s="6">
        <f t="shared" ca="1" si="10"/>
        <v>11843</v>
      </c>
      <c r="C90" s="7">
        <f t="shared" ca="1" si="11"/>
        <v>389</v>
      </c>
      <c r="D90" s="7">
        <f t="shared" ca="1" si="12"/>
        <v>32</v>
      </c>
      <c r="E90" s="8"/>
      <c r="F90" s="1">
        <f t="shared" ca="1" si="13"/>
        <v>11843</v>
      </c>
      <c r="G90" s="1">
        <f t="shared" ca="1" si="14"/>
        <v>389</v>
      </c>
      <c r="H90" s="1">
        <f t="shared" ca="1" si="15"/>
        <v>32</v>
      </c>
    </row>
    <row r="91" spans="1:8" ht="15.6" x14ac:dyDescent="0.3">
      <c r="A91" s="5">
        <v>34532</v>
      </c>
      <c r="B91" s="6">
        <f t="shared" ca="1" si="10"/>
        <v>11518</v>
      </c>
      <c r="C91" s="7">
        <f t="shared" ca="1" si="11"/>
        <v>378</v>
      </c>
      <c r="D91" s="7">
        <f t="shared" ca="1" si="12"/>
        <v>31</v>
      </c>
      <c r="E91" s="8"/>
      <c r="F91" s="1">
        <f t="shared" ca="1" si="13"/>
        <v>11518</v>
      </c>
      <c r="G91" s="1">
        <f t="shared" ca="1" si="14"/>
        <v>378</v>
      </c>
      <c r="H91" s="1">
        <f t="shared" ca="1" si="15"/>
        <v>31</v>
      </c>
    </row>
    <row r="92" spans="1:8" ht="15.6" x14ac:dyDescent="0.3">
      <c r="A92" s="5">
        <v>35586</v>
      </c>
      <c r="B92" s="6">
        <f t="shared" ca="1" si="10"/>
        <v>10464</v>
      </c>
      <c r="C92" s="7">
        <f t="shared" ca="1" si="11"/>
        <v>343</v>
      </c>
      <c r="D92" s="7">
        <f t="shared" ca="1" si="12"/>
        <v>28</v>
      </c>
      <c r="E92" s="8"/>
      <c r="F92" s="1">
        <f t="shared" ca="1" si="13"/>
        <v>10464</v>
      </c>
      <c r="G92" s="1">
        <f t="shared" ca="1" si="14"/>
        <v>343</v>
      </c>
      <c r="H92" s="1">
        <f t="shared" ca="1" si="15"/>
        <v>28</v>
      </c>
    </row>
    <row r="93" spans="1:8" ht="15.6" x14ac:dyDescent="0.3">
      <c r="A93" s="5">
        <v>38492</v>
      </c>
      <c r="B93" s="6">
        <f t="shared" ca="1" si="10"/>
        <v>7558</v>
      </c>
      <c r="C93" s="7">
        <f t="shared" ca="1" si="11"/>
        <v>248</v>
      </c>
      <c r="D93" s="7">
        <f t="shared" ca="1" si="12"/>
        <v>20</v>
      </c>
      <c r="E93" s="8"/>
      <c r="F93" s="1">
        <f t="shared" ca="1" si="13"/>
        <v>7558</v>
      </c>
      <c r="G93" s="1">
        <f t="shared" ca="1" si="14"/>
        <v>248</v>
      </c>
      <c r="H93" s="1">
        <f t="shared" ca="1" si="15"/>
        <v>20</v>
      </c>
    </row>
    <row r="94" spans="1:8" ht="15.6" x14ac:dyDescent="0.3">
      <c r="A94" s="5">
        <v>32310</v>
      </c>
      <c r="B94" s="6">
        <f t="shared" ca="1" si="10"/>
        <v>13740</v>
      </c>
      <c r="C94" s="7">
        <f t="shared" ca="1" si="11"/>
        <v>451</v>
      </c>
      <c r="D94" s="7">
        <f t="shared" ca="1" si="12"/>
        <v>37</v>
      </c>
      <c r="E94" s="8"/>
      <c r="F94" s="1">
        <f t="shared" ca="1" si="13"/>
        <v>13740</v>
      </c>
      <c r="G94" s="1">
        <f t="shared" ca="1" si="14"/>
        <v>451</v>
      </c>
      <c r="H94" s="1">
        <f t="shared" ca="1" si="15"/>
        <v>37</v>
      </c>
    </row>
    <row r="95" spans="1:8" ht="15.6" x14ac:dyDescent="0.3">
      <c r="A95" s="5">
        <v>34749</v>
      </c>
      <c r="B95" s="6">
        <f t="shared" ca="1" si="10"/>
        <v>11301</v>
      </c>
      <c r="C95" s="7">
        <f t="shared" ca="1" si="11"/>
        <v>371</v>
      </c>
      <c r="D95" s="7">
        <f t="shared" ca="1" si="12"/>
        <v>30</v>
      </c>
      <c r="E95" s="8"/>
      <c r="F95" s="1">
        <f t="shared" ca="1" si="13"/>
        <v>11301</v>
      </c>
      <c r="G95" s="1">
        <f t="shared" ca="1" si="14"/>
        <v>371</v>
      </c>
      <c r="H95" s="1">
        <f t="shared" ca="1" si="15"/>
        <v>30</v>
      </c>
    </row>
    <row r="96" spans="1:8" ht="15.6" x14ac:dyDescent="0.3">
      <c r="A96" s="5">
        <v>35177</v>
      </c>
      <c r="B96" s="6">
        <f t="shared" ca="1" si="10"/>
        <v>10873</v>
      </c>
      <c r="C96" s="7">
        <f t="shared" ca="1" si="11"/>
        <v>357</v>
      </c>
      <c r="D96" s="7">
        <f t="shared" ca="1" si="12"/>
        <v>29</v>
      </c>
      <c r="E96" s="8"/>
      <c r="F96" s="1">
        <f t="shared" ca="1" si="13"/>
        <v>10873</v>
      </c>
      <c r="G96" s="1">
        <f t="shared" ca="1" si="14"/>
        <v>357</v>
      </c>
      <c r="H96" s="1">
        <f t="shared" ca="1" si="15"/>
        <v>29</v>
      </c>
    </row>
    <row r="97" spans="1:8" ht="15.6" x14ac:dyDescent="0.3">
      <c r="A97" s="5">
        <v>35292</v>
      </c>
      <c r="B97" s="6">
        <f t="shared" ca="1" si="10"/>
        <v>10758</v>
      </c>
      <c r="C97" s="7">
        <f t="shared" ca="1" si="11"/>
        <v>353</v>
      </c>
      <c r="D97" s="7">
        <f t="shared" ca="1" si="12"/>
        <v>29</v>
      </c>
      <c r="E97" s="8"/>
      <c r="F97" s="1">
        <f t="shared" ca="1" si="13"/>
        <v>10758</v>
      </c>
      <c r="G97" s="1">
        <f t="shared" ca="1" si="14"/>
        <v>353</v>
      </c>
      <c r="H97" s="1">
        <f t="shared" ca="1" si="15"/>
        <v>29</v>
      </c>
    </row>
    <row r="98" spans="1:8" ht="15.6" x14ac:dyDescent="0.3">
      <c r="A98" s="5">
        <v>31918</v>
      </c>
      <c r="B98" s="6">
        <f t="shared" ca="1" si="10"/>
        <v>14132</v>
      </c>
      <c r="C98" s="7">
        <f t="shared" ca="1" si="11"/>
        <v>464</v>
      </c>
      <c r="D98" s="7">
        <f t="shared" ca="1" si="12"/>
        <v>38</v>
      </c>
      <c r="E98" s="8"/>
      <c r="F98" s="1">
        <f t="shared" ca="1" si="13"/>
        <v>14132</v>
      </c>
      <c r="G98" s="1">
        <f t="shared" ca="1" si="14"/>
        <v>464</v>
      </c>
      <c r="H98" s="1">
        <f t="shared" ca="1" si="15"/>
        <v>38</v>
      </c>
    </row>
    <row r="99" spans="1:8" ht="15.6" x14ac:dyDescent="0.3">
      <c r="A99" s="5">
        <v>32368</v>
      </c>
      <c r="B99" s="6">
        <f t="shared" ca="1" si="10"/>
        <v>13682</v>
      </c>
      <c r="C99" s="7">
        <f t="shared" ca="1" si="11"/>
        <v>449</v>
      </c>
      <c r="D99" s="7">
        <f t="shared" ca="1" si="12"/>
        <v>37</v>
      </c>
      <c r="E99" s="8"/>
      <c r="F99" s="1">
        <f t="shared" ca="1" si="13"/>
        <v>13682</v>
      </c>
      <c r="G99" s="1">
        <f t="shared" ca="1" si="14"/>
        <v>449</v>
      </c>
      <c r="H99" s="1">
        <f t="shared" ca="1" si="15"/>
        <v>37</v>
      </c>
    </row>
    <row r="100" spans="1:8" ht="15.6" x14ac:dyDescent="0.3">
      <c r="A100" s="5">
        <v>32671</v>
      </c>
      <c r="B100" s="6">
        <f t="shared" ca="1" si="10"/>
        <v>13379</v>
      </c>
      <c r="C100" s="7">
        <f t="shared" ca="1" si="11"/>
        <v>439</v>
      </c>
      <c r="D100" s="7">
        <f t="shared" ca="1" si="12"/>
        <v>36</v>
      </c>
      <c r="E100" s="8"/>
      <c r="F100" s="1">
        <f t="shared" ca="1" si="13"/>
        <v>13379</v>
      </c>
      <c r="G100" s="1">
        <f t="shared" ca="1" si="14"/>
        <v>439</v>
      </c>
      <c r="H100" s="1">
        <f t="shared" ca="1" si="15"/>
        <v>36</v>
      </c>
    </row>
    <row r="101" spans="1:8" ht="15.6" x14ac:dyDescent="0.3">
      <c r="A101" s="5">
        <v>33341</v>
      </c>
      <c r="B101" s="6">
        <f t="shared" ca="1" si="10"/>
        <v>12709</v>
      </c>
      <c r="C101" s="7">
        <f t="shared" ca="1" si="11"/>
        <v>417</v>
      </c>
      <c r="D101" s="7">
        <f t="shared" ca="1" si="12"/>
        <v>34</v>
      </c>
      <c r="E101" s="8"/>
      <c r="F101" s="1">
        <f t="shared" ca="1" si="13"/>
        <v>12709</v>
      </c>
      <c r="G101" s="1">
        <f t="shared" ca="1" si="14"/>
        <v>417</v>
      </c>
      <c r="H101" s="1">
        <f t="shared" ca="1" si="15"/>
        <v>34</v>
      </c>
    </row>
    <row r="102" spans="1:8" ht="15.6" x14ac:dyDescent="0.3">
      <c r="A102" s="5">
        <v>33809</v>
      </c>
      <c r="B102" s="6">
        <f t="shared" ca="1" si="10"/>
        <v>12241</v>
      </c>
      <c r="C102" s="7">
        <f t="shared" ca="1" si="11"/>
        <v>402</v>
      </c>
      <c r="D102" s="7">
        <f t="shared" ca="1" si="12"/>
        <v>33</v>
      </c>
      <c r="E102" s="8"/>
      <c r="F102" s="1">
        <f t="shared" ca="1" si="13"/>
        <v>12241</v>
      </c>
      <c r="G102" s="1">
        <f t="shared" ca="1" si="14"/>
        <v>402</v>
      </c>
      <c r="H102" s="1">
        <f t="shared" ca="1" si="15"/>
        <v>33</v>
      </c>
    </row>
    <row r="103" spans="1:8" ht="15.6" x14ac:dyDescent="0.3">
      <c r="A103" s="5">
        <v>33850</v>
      </c>
      <c r="B103" s="6">
        <f t="shared" ca="1" si="10"/>
        <v>12200</v>
      </c>
      <c r="C103" s="7">
        <f t="shared" ca="1" si="11"/>
        <v>400</v>
      </c>
      <c r="D103" s="7">
        <f t="shared" ca="1" si="12"/>
        <v>33</v>
      </c>
      <c r="E103" s="8"/>
      <c r="F103" s="1">
        <f t="shared" ca="1" si="13"/>
        <v>12200</v>
      </c>
      <c r="G103" s="1">
        <f t="shared" ca="1" si="14"/>
        <v>400</v>
      </c>
      <c r="H103" s="1">
        <f t="shared" ca="1" si="15"/>
        <v>33</v>
      </c>
    </row>
    <row r="104" spans="1:8" ht="15.6" x14ac:dyDescent="0.3">
      <c r="A104" s="5">
        <v>33945</v>
      </c>
      <c r="B104" s="6">
        <f t="shared" ca="1" si="10"/>
        <v>12105</v>
      </c>
      <c r="C104" s="7">
        <f t="shared" ca="1" si="11"/>
        <v>397</v>
      </c>
      <c r="D104" s="7">
        <f t="shared" ca="1" si="12"/>
        <v>33</v>
      </c>
      <c r="E104" s="8"/>
      <c r="F104" s="1">
        <f t="shared" ca="1" si="13"/>
        <v>12105</v>
      </c>
      <c r="G104" s="1">
        <f t="shared" ca="1" si="14"/>
        <v>397</v>
      </c>
      <c r="H104" s="1">
        <f t="shared" ca="1" si="15"/>
        <v>33</v>
      </c>
    </row>
    <row r="105" spans="1:8" ht="15.6" x14ac:dyDescent="0.3">
      <c r="A105" s="5">
        <v>34195</v>
      </c>
      <c r="B105" s="6">
        <f t="shared" ca="1" si="10"/>
        <v>11855</v>
      </c>
      <c r="C105" s="7">
        <f t="shared" ca="1" si="11"/>
        <v>389</v>
      </c>
      <c r="D105" s="7">
        <f t="shared" ca="1" si="12"/>
        <v>32</v>
      </c>
      <c r="E105" s="8"/>
      <c r="F105" s="1">
        <f t="shared" ca="1" si="13"/>
        <v>11855</v>
      </c>
      <c r="G105" s="1">
        <f t="shared" ca="1" si="14"/>
        <v>389</v>
      </c>
      <c r="H105" s="1">
        <f t="shared" ca="1" si="15"/>
        <v>32</v>
      </c>
    </row>
    <row r="106" spans="1:8" ht="15.6" x14ac:dyDescent="0.3">
      <c r="A106" s="5">
        <v>34259</v>
      </c>
      <c r="B106" s="6">
        <f t="shared" ca="1" si="10"/>
        <v>11791</v>
      </c>
      <c r="C106" s="7">
        <f t="shared" ca="1" si="11"/>
        <v>387</v>
      </c>
      <c r="D106" s="7">
        <f t="shared" ca="1" si="12"/>
        <v>32</v>
      </c>
      <c r="E106" s="8"/>
      <c r="F106" s="1">
        <f t="shared" ca="1" si="13"/>
        <v>11791</v>
      </c>
      <c r="G106" s="1">
        <f t="shared" ca="1" si="14"/>
        <v>387</v>
      </c>
      <c r="H106" s="1">
        <f t="shared" ca="1" si="15"/>
        <v>32</v>
      </c>
    </row>
    <row r="107" spans="1:8" ht="15.6" x14ac:dyDescent="0.3">
      <c r="A107" s="5">
        <v>34538</v>
      </c>
      <c r="B107" s="6">
        <f t="shared" ca="1" si="10"/>
        <v>11512</v>
      </c>
      <c r="C107" s="7">
        <f t="shared" ca="1" si="11"/>
        <v>378</v>
      </c>
      <c r="D107" s="7">
        <f t="shared" ca="1" si="12"/>
        <v>31</v>
      </c>
      <c r="E107" s="8"/>
      <c r="F107" s="1">
        <f t="shared" ca="1" si="13"/>
        <v>11512</v>
      </c>
      <c r="G107" s="1">
        <f t="shared" ca="1" si="14"/>
        <v>378</v>
      </c>
      <c r="H107" s="1">
        <f t="shared" ca="1" si="15"/>
        <v>31</v>
      </c>
    </row>
    <row r="111" spans="1:8" ht="72" x14ac:dyDescent="0.3">
      <c r="A111" s="30" t="s">
        <v>34</v>
      </c>
    </row>
    <row r="113" spans="1:7" x14ac:dyDescent="0.3">
      <c r="A113" s="10" t="s">
        <v>7</v>
      </c>
      <c r="B113" s="11" t="s">
        <v>12</v>
      </c>
      <c r="C113" s="12" t="s">
        <v>18</v>
      </c>
      <c r="D113" s="13" t="s">
        <v>13</v>
      </c>
      <c r="E113" s="25"/>
      <c r="F113" s="25"/>
    </row>
    <row r="114" spans="1:7" x14ac:dyDescent="0.3">
      <c r="A114" s="14">
        <v>71204</v>
      </c>
      <c r="B114" s="15">
        <v>5</v>
      </c>
      <c r="C114" s="16">
        <v>7.4999999999999997E-2</v>
      </c>
      <c r="D114" s="17">
        <f>IF(B114&lt;=2,A114-A114*C114,A114+A114*C114)</f>
        <v>76544.3</v>
      </c>
      <c r="E114" s="25"/>
      <c r="F114" s="42">
        <f>IF(B114&lt;3,A114-(A114*(0.075)),(A114*(0.075))+A114)</f>
        <v>76544.3</v>
      </c>
      <c r="G114" s="1">
        <f>IF(B114&gt;=3,A114*1.075,A114*0.925)</f>
        <v>76544.3</v>
      </c>
    </row>
    <row r="115" spans="1:7" x14ac:dyDescent="0.3">
      <c r="A115" s="14">
        <v>39914</v>
      </c>
      <c r="B115" s="15">
        <v>5</v>
      </c>
      <c r="C115" s="16">
        <v>7.4999999999999997E-2</v>
      </c>
      <c r="D115" s="17">
        <f t="shared" ref="D115:D167" si="16">IF(B115&lt;=2,A115-A115*C115,A115+A115*C115)</f>
        <v>42907.55</v>
      </c>
      <c r="E115" s="25"/>
      <c r="F115" s="42">
        <f t="shared" ref="F115:F167" si="17">IF(B115&lt;3,A115-(A115*(0.075)),(A115*(0.075))+A115)</f>
        <v>42907.55</v>
      </c>
      <c r="G115" s="1">
        <f t="shared" ref="G115:G167" si="18">IF(B115&gt;=3,A115*1.075,A115*0.925)</f>
        <v>42907.549999999996</v>
      </c>
    </row>
    <row r="116" spans="1:7" x14ac:dyDescent="0.3">
      <c r="A116" s="14">
        <v>74321</v>
      </c>
      <c r="B116" s="15">
        <v>3</v>
      </c>
      <c r="C116" s="16">
        <v>7.4999999999999997E-2</v>
      </c>
      <c r="D116" s="17">
        <f t="shared" si="16"/>
        <v>79895.074999999997</v>
      </c>
      <c r="E116" s="25"/>
      <c r="F116" s="42">
        <f t="shared" si="17"/>
        <v>79895.074999999997</v>
      </c>
      <c r="G116" s="1">
        <f t="shared" si="18"/>
        <v>79895.074999999997</v>
      </c>
    </row>
    <row r="117" spans="1:7" x14ac:dyDescent="0.3">
      <c r="A117" s="14">
        <v>61227</v>
      </c>
      <c r="B117" s="15">
        <v>3</v>
      </c>
      <c r="C117" s="16">
        <v>7.4999999999999997E-2</v>
      </c>
      <c r="D117" s="17">
        <f t="shared" si="16"/>
        <v>65819.024999999994</v>
      </c>
      <c r="E117" s="25"/>
      <c r="F117" s="42">
        <f t="shared" si="17"/>
        <v>65819.024999999994</v>
      </c>
      <c r="G117" s="1">
        <f t="shared" si="18"/>
        <v>65819.024999999994</v>
      </c>
    </row>
    <row r="118" spans="1:7" x14ac:dyDescent="0.3">
      <c r="A118" s="14">
        <v>42993</v>
      </c>
      <c r="B118" s="15">
        <v>4</v>
      </c>
      <c r="C118" s="16">
        <v>7.4999999999999997E-2</v>
      </c>
      <c r="D118" s="17">
        <f t="shared" si="16"/>
        <v>46217.474999999999</v>
      </c>
      <c r="E118" s="25"/>
      <c r="F118" s="42">
        <f t="shared" si="17"/>
        <v>46217.474999999999</v>
      </c>
      <c r="G118" s="1">
        <f t="shared" si="18"/>
        <v>46217.474999999999</v>
      </c>
    </row>
    <row r="119" spans="1:7" x14ac:dyDescent="0.3">
      <c r="A119" s="14">
        <v>45317</v>
      </c>
      <c r="B119" s="15">
        <v>2</v>
      </c>
      <c r="C119" s="16">
        <v>7.4999999999999997E-2</v>
      </c>
      <c r="D119" s="17">
        <f t="shared" si="16"/>
        <v>41918.224999999999</v>
      </c>
      <c r="E119" s="25"/>
      <c r="F119" s="42">
        <f t="shared" si="17"/>
        <v>41918.224999999999</v>
      </c>
      <c r="G119" s="1">
        <f t="shared" si="18"/>
        <v>41918.224999999999</v>
      </c>
    </row>
    <row r="120" spans="1:7" x14ac:dyDescent="0.3">
      <c r="A120" s="14">
        <v>30852</v>
      </c>
      <c r="B120" s="15">
        <v>5</v>
      </c>
      <c r="C120" s="16">
        <v>7.4999999999999997E-2</v>
      </c>
      <c r="D120" s="17">
        <f t="shared" si="16"/>
        <v>33165.9</v>
      </c>
      <c r="E120" s="25"/>
      <c r="F120" s="42">
        <f t="shared" si="17"/>
        <v>33165.9</v>
      </c>
      <c r="G120" s="1">
        <f t="shared" si="18"/>
        <v>33165.9</v>
      </c>
    </row>
    <row r="121" spans="1:7" x14ac:dyDescent="0.3">
      <c r="A121" s="14">
        <v>33957</v>
      </c>
      <c r="B121" s="15">
        <v>1</v>
      </c>
      <c r="C121" s="16">
        <v>7.4999999999999997E-2</v>
      </c>
      <c r="D121" s="17">
        <f t="shared" si="16"/>
        <v>31410.224999999999</v>
      </c>
      <c r="E121" s="25"/>
      <c r="F121" s="42">
        <f t="shared" si="17"/>
        <v>31410.224999999999</v>
      </c>
      <c r="G121" s="1">
        <f t="shared" si="18"/>
        <v>31410.225000000002</v>
      </c>
    </row>
    <row r="122" spans="1:7" x14ac:dyDescent="0.3">
      <c r="A122" s="14">
        <v>57295</v>
      </c>
      <c r="B122" s="15">
        <v>5</v>
      </c>
      <c r="C122" s="16">
        <v>7.4999999999999997E-2</v>
      </c>
      <c r="D122" s="17">
        <f t="shared" si="16"/>
        <v>61592.125</v>
      </c>
      <c r="E122" s="25"/>
      <c r="F122" s="42">
        <f t="shared" si="17"/>
        <v>61592.125</v>
      </c>
      <c r="G122" s="1">
        <f t="shared" si="18"/>
        <v>61592.125</v>
      </c>
    </row>
    <row r="123" spans="1:7" x14ac:dyDescent="0.3">
      <c r="A123" s="14">
        <v>58132</v>
      </c>
      <c r="B123" s="15">
        <v>2</v>
      </c>
      <c r="C123" s="16">
        <v>7.4999999999999997E-2</v>
      </c>
      <c r="D123" s="17">
        <f t="shared" si="16"/>
        <v>53772.1</v>
      </c>
      <c r="E123" s="25"/>
      <c r="F123" s="42">
        <f t="shared" si="17"/>
        <v>53772.1</v>
      </c>
      <c r="G123" s="1">
        <f t="shared" si="18"/>
        <v>53772.100000000006</v>
      </c>
    </row>
    <row r="124" spans="1:7" x14ac:dyDescent="0.3">
      <c r="A124" s="14">
        <v>33923</v>
      </c>
      <c r="B124" s="15">
        <v>3</v>
      </c>
      <c r="C124" s="16">
        <v>7.4999999999999997E-2</v>
      </c>
      <c r="D124" s="17">
        <f t="shared" si="16"/>
        <v>36467.224999999999</v>
      </c>
      <c r="E124" s="25"/>
      <c r="F124" s="42">
        <f t="shared" si="17"/>
        <v>36467.224999999999</v>
      </c>
      <c r="G124" s="1">
        <f t="shared" si="18"/>
        <v>36467.224999999999</v>
      </c>
    </row>
    <row r="125" spans="1:7" x14ac:dyDescent="0.3">
      <c r="A125" s="14">
        <v>64428</v>
      </c>
      <c r="B125" s="15">
        <v>3</v>
      </c>
      <c r="C125" s="16">
        <v>7.4999999999999997E-2</v>
      </c>
      <c r="D125" s="17">
        <f t="shared" si="16"/>
        <v>69260.100000000006</v>
      </c>
      <c r="E125" s="25"/>
      <c r="F125" s="42">
        <f t="shared" si="17"/>
        <v>69260.100000000006</v>
      </c>
      <c r="G125" s="1">
        <f t="shared" si="18"/>
        <v>69260.099999999991</v>
      </c>
    </row>
    <row r="126" spans="1:7" x14ac:dyDescent="0.3">
      <c r="A126" s="14">
        <v>68077</v>
      </c>
      <c r="B126" s="15">
        <v>2</v>
      </c>
      <c r="C126" s="16">
        <v>7.4999999999999997E-2</v>
      </c>
      <c r="D126" s="17">
        <f t="shared" si="16"/>
        <v>62971.224999999999</v>
      </c>
      <c r="E126" s="25"/>
      <c r="F126" s="42">
        <f t="shared" si="17"/>
        <v>62971.224999999999</v>
      </c>
      <c r="G126" s="1">
        <f t="shared" si="18"/>
        <v>62971.225000000006</v>
      </c>
    </row>
    <row r="127" spans="1:7" x14ac:dyDescent="0.3">
      <c r="A127" s="14">
        <v>43326</v>
      </c>
      <c r="B127" s="15">
        <v>5</v>
      </c>
      <c r="C127" s="16">
        <v>7.4999999999999997E-2</v>
      </c>
      <c r="D127" s="17">
        <f t="shared" si="16"/>
        <v>46575.45</v>
      </c>
      <c r="E127" s="25"/>
      <c r="F127" s="42">
        <f t="shared" si="17"/>
        <v>46575.45</v>
      </c>
      <c r="G127" s="1">
        <f t="shared" si="18"/>
        <v>46575.45</v>
      </c>
    </row>
    <row r="128" spans="1:7" x14ac:dyDescent="0.3">
      <c r="A128" s="14">
        <v>38940</v>
      </c>
      <c r="B128" s="15">
        <v>5</v>
      </c>
      <c r="C128" s="16">
        <v>7.4999999999999997E-2</v>
      </c>
      <c r="D128" s="17">
        <f t="shared" si="16"/>
        <v>41860.5</v>
      </c>
      <c r="E128" s="25"/>
      <c r="F128" s="42">
        <f t="shared" si="17"/>
        <v>41860.5</v>
      </c>
      <c r="G128" s="1">
        <f t="shared" si="18"/>
        <v>41860.5</v>
      </c>
    </row>
    <row r="129" spans="1:7" x14ac:dyDescent="0.3">
      <c r="A129" s="14">
        <v>55725</v>
      </c>
      <c r="B129" s="15">
        <v>5</v>
      </c>
      <c r="C129" s="16">
        <v>7.4999999999999997E-2</v>
      </c>
      <c r="D129" s="17">
        <f t="shared" si="16"/>
        <v>59904.375</v>
      </c>
      <c r="E129" s="25"/>
      <c r="F129" s="42">
        <f t="shared" si="17"/>
        <v>59904.375</v>
      </c>
      <c r="G129" s="1">
        <f t="shared" si="18"/>
        <v>59904.375</v>
      </c>
    </row>
    <row r="130" spans="1:7" x14ac:dyDescent="0.3">
      <c r="A130" s="14">
        <v>64849</v>
      </c>
      <c r="B130" s="15">
        <v>3</v>
      </c>
      <c r="C130" s="16">
        <v>7.4999999999999997E-2</v>
      </c>
      <c r="D130" s="17">
        <f t="shared" si="16"/>
        <v>69712.675000000003</v>
      </c>
      <c r="E130" s="25"/>
      <c r="F130" s="42">
        <f t="shared" si="17"/>
        <v>69712.675000000003</v>
      </c>
      <c r="G130" s="1">
        <f t="shared" si="18"/>
        <v>69712.675000000003</v>
      </c>
    </row>
    <row r="131" spans="1:7" x14ac:dyDescent="0.3">
      <c r="A131" s="14">
        <v>72125</v>
      </c>
      <c r="B131" s="15">
        <v>3</v>
      </c>
      <c r="C131" s="16">
        <v>7.4999999999999997E-2</v>
      </c>
      <c r="D131" s="17">
        <f t="shared" si="16"/>
        <v>77534.375</v>
      </c>
      <c r="E131" s="25"/>
      <c r="F131" s="42">
        <f t="shared" si="17"/>
        <v>77534.375</v>
      </c>
      <c r="G131" s="1">
        <f t="shared" si="18"/>
        <v>77534.375</v>
      </c>
    </row>
    <row r="132" spans="1:7" x14ac:dyDescent="0.3">
      <c r="A132" s="14">
        <v>44689</v>
      </c>
      <c r="B132" s="15">
        <v>1</v>
      </c>
      <c r="C132" s="16">
        <v>7.4999999999999997E-2</v>
      </c>
      <c r="D132" s="17">
        <f t="shared" si="16"/>
        <v>41337.324999999997</v>
      </c>
      <c r="E132" s="25"/>
      <c r="F132" s="42">
        <f t="shared" si="17"/>
        <v>41337.324999999997</v>
      </c>
      <c r="G132" s="1">
        <f t="shared" si="18"/>
        <v>41337.325000000004</v>
      </c>
    </row>
    <row r="133" spans="1:7" x14ac:dyDescent="0.3">
      <c r="A133" s="14">
        <v>37839</v>
      </c>
      <c r="B133" s="15">
        <v>3</v>
      </c>
      <c r="C133" s="16">
        <v>7.4999999999999997E-2</v>
      </c>
      <c r="D133" s="17">
        <f t="shared" si="16"/>
        <v>40676.925000000003</v>
      </c>
      <c r="E133" s="25"/>
      <c r="F133" s="42">
        <f t="shared" si="17"/>
        <v>40676.925000000003</v>
      </c>
      <c r="G133" s="1">
        <f t="shared" si="18"/>
        <v>40676.924999999996</v>
      </c>
    </row>
    <row r="134" spans="1:7" x14ac:dyDescent="0.3">
      <c r="A134" s="14">
        <v>69401</v>
      </c>
      <c r="B134" s="15">
        <v>3</v>
      </c>
      <c r="C134" s="16">
        <v>7.4999999999999997E-2</v>
      </c>
      <c r="D134" s="17">
        <f t="shared" si="16"/>
        <v>74606.074999999997</v>
      </c>
      <c r="E134" s="25"/>
      <c r="F134" s="42">
        <f t="shared" si="17"/>
        <v>74606.074999999997</v>
      </c>
      <c r="G134" s="1">
        <f t="shared" si="18"/>
        <v>74606.074999999997</v>
      </c>
    </row>
    <row r="135" spans="1:7" x14ac:dyDescent="0.3">
      <c r="A135" s="14">
        <v>60130</v>
      </c>
      <c r="B135" s="15">
        <v>4</v>
      </c>
      <c r="C135" s="16">
        <v>7.4999999999999997E-2</v>
      </c>
      <c r="D135" s="17">
        <f t="shared" si="16"/>
        <v>64639.75</v>
      </c>
      <c r="E135" s="25"/>
      <c r="F135" s="42">
        <f t="shared" si="17"/>
        <v>64639.75</v>
      </c>
      <c r="G135" s="1">
        <f t="shared" si="18"/>
        <v>64639.75</v>
      </c>
    </row>
    <row r="136" spans="1:7" x14ac:dyDescent="0.3">
      <c r="A136" s="14">
        <v>51573</v>
      </c>
      <c r="B136" s="15">
        <v>1</v>
      </c>
      <c r="C136" s="16">
        <v>7.4999999999999997E-2</v>
      </c>
      <c r="D136" s="17">
        <f t="shared" si="16"/>
        <v>47705.025000000001</v>
      </c>
      <c r="E136" s="25"/>
      <c r="F136" s="42">
        <f t="shared" si="17"/>
        <v>47705.025000000001</v>
      </c>
      <c r="G136" s="1">
        <f t="shared" si="18"/>
        <v>47705.025000000001</v>
      </c>
    </row>
    <row r="137" spans="1:7" x14ac:dyDescent="0.3">
      <c r="A137" s="14">
        <v>52060</v>
      </c>
      <c r="B137" s="15">
        <v>2</v>
      </c>
      <c r="C137" s="16">
        <v>7.4999999999999997E-2</v>
      </c>
      <c r="D137" s="17">
        <f t="shared" si="16"/>
        <v>48155.5</v>
      </c>
      <c r="E137" s="25"/>
      <c r="F137" s="42">
        <f t="shared" si="17"/>
        <v>48155.5</v>
      </c>
      <c r="G137" s="1">
        <f t="shared" si="18"/>
        <v>48155.5</v>
      </c>
    </row>
    <row r="138" spans="1:7" x14ac:dyDescent="0.3">
      <c r="A138" s="14">
        <v>28986</v>
      </c>
      <c r="B138" s="15">
        <v>4</v>
      </c>
      <c r="C138" s="16">
        <v>7.4999999999999997E-2</v>
      </c>
      <c r="D138" s="17">
        <f t="shared" si="16"/>
        <v>31159.95</v>
      </c>
      <c r="E138" s="25"/>
      <c r="F138" s="42">
        <f t="shared" si="17"/>
        <v>31159.95</v>
      </c>
      <c r="G138" s="1">
        <f t="shared" si="18"/>
        <v>31159.949999999997</v>
      </c>
    </row>
    <row r="139" spans="1:7" x14ac:dyDescent="0.3">
      <c r="A139" s="14">
        <v>66561</v>
      </c>
      <c r="B139" s="15">
        <v>5</v>
      </c>
      <c r="C139" s="16">
        <v>7.4999999999999997E-2</v>
      </c>
      <c r="D139" s="17">
        <f t="shared" si="16"/>
        <v>71553.074999999997</v>
      </c>
      <c r="E139" s="25"/>
      <c r="F139" s="42">
        <f t="shared" si="17"/>
        <v>71553.074999999997</v>
      </c>
      <c r="G139" s="1">
        <f t="shared" si="18"/>
        <v>71553.074999999997</v>
      </c>
    </row>
    <row r="140" spans="1:7" x14ac:dyDescent="0.3">
      <c r="A140" s="14">
        <v>25792</v>
      </c>
      <c r="B140" s="15">
        <v>2</v>
      </c>
      <c r="C140" s="16">
        <v>7.4999999999999997E-2</v>
      </c>
      <c r="D140" s="17">
        <f t="shared" si="16"/>
        <v>23857.599999999999</v>
      </c>
      <c r="E140" s="25"/>
      <c r="F140" s="42">
        <f t="shared" si="17"/>
        <v>23857.599999999999</v>
      </c>
      <c r="G140" s="1">
        <f t="shared" si="18"/>
        <v>23857.600000000002</v>
      </c>
    </row>
    <row r="141" spans="1:7" x14ac:dyDescent="0.3">
      <c r="A141" s="14">
        <v>54069</v>
      </c>
      <c r="B141" s="15">
        <v>5</v>
      </c>
      <c r="C141" s="16">
        <v>7.4999999999999997E-2</v>
      </c>
      <c r="D141" s="17">
        <f t="shared" si="16"/>
        <v>58124.175000000003</v>
      </c>
      <c r="E141" s="25"/>
      <c r="F141" s="42">
        <f t="shared" si="17"/>
        <v>58124.175000000003</v>
      </c>
      <c r="G141" s="1">
        <f t="shared" si="18"/>
        <v>58124.174999999996</v>
      </c>
    </row>
    <row r="142" spans="1:7" x14ac:dyDescent="0.3">
      <c r="A142" s="14">
        <v>32187</v>
      </c>
      <c r="B142" s="15">
        <v>2</v>
      </c>
      <c r="C142" s="16">
        <v>7.4999999999999997E-2</v>
      </c>
      <c r="D142" s="17">
        <f t="shared" si="16"/>
        <v>29772.974999999999</v>
      </c>
      <c r="E142" s="25"/>
      <c r="F142" s="42">
        <f t="shared" si="17"/>
        <v>29772.974999999999</v>
      </c>
      <c r="G142" s="1">
        <f t="shared" si="18"/>
        <v>29772.975000000002</v>
      </c>
    </row>
    <row r="143" spans="1:7" x14ac:dyDescent="0.3">
      <c r="A143" s="14">
        <v>60484</v>
      </c>
      <c r="B143" s="15">
        <v>2</v>
      </c>
      <c r="C143" s="16">
        <v>7.4999999999999997E-2</v>
      </c>
      <c r="D143" s="17">
        <f t="shared" si="16"/>
        <v>55947.7</v>
      </c>
      <c r="E143" s="25"/>
      <c r="F143" s="42">
        <f t="shared" si="17"/>
        <v>55947.7</v>
      </c>
      <c r="G143" s="1">
        <f t="shared" si="18"/>
        <v>55947.700000000004</v>
      </c>
    </row>
    <row r="144" spans="1:7" x14ac:dyDescent="0.3">
      <c r="A144" s="14">
        <v>51931</v>
      </c>
      <c r="B144" s="15">
        <v>3</v>
      </c>
      <c r="C144" s="16">
        <v>7.4999999999999997E-2</v>
      </c>
      <c r="D144" s="17">
        <f t="shared" si="16"/>
        <v>55825.824999999997</v>
      </c>
      <c r="E144" s="25"/>
      <c r="F144" s="42">
        <f t="shared" si="17"/>
        <v>55825.824999999997</v>
      </c>
      <c r="G144" s="1">
        <f t="shared" si="18"/>
        <v>55825.824999999997</v>
      </c>
    </row>
    <row r="145" spans="1:7" x14ac:dyDescent="0.3">
      <c r="A145" s="14">
        <v>62899</v>
      </c>
      <c r="B145" s="15">
        <v>4</v>
      </c>
      <c r="C145" s="16">
        <v>7.4999999999999997E-2</v>
      </c>
      <c r="D145" s="17">
        <f t="shared" si="16"/>
        <v>67616.425000000003</v>
      </c>
      <c r="E145" s="25"/>
      <c r="F145" s="42">
        <f t="shared" si="17"/>
        <v>67616.425000000003</v>
      </c>
      <c r="G145" s="1">
        <f t="shared" si="18"/>
        <v>67616.425000000003</v>
      </c>
    </row>
    <row r="146" spans="1:7" x14ac:dyDescent="0.3">
      <c r="A146" s="14">
        <v>52180</v>
      </c>
      <c r="B146" s="15">
        <v>1</v>
      </c>
      <c r="C146" s="16">
        <v>7.4999999999999997E-2</v>
      </c>
      <c r="D146" s="17">
        <f t="shared" si="16"/>
        <v>48266.5</v>
      </c>
      <c r="E146" s="25"/>
      <c r="F146" s="42">
        <f t="shared" si="17"/>
        <v>48266.5</v>
      </c>
      <c r="G146" s="1">
        <f t="shared" si="18"/>
        <v>48266.5</v>
      </c>
    </row>
    <row r="147" spans="1:7" x14ac:dyDescent="0.3">
      <c r="A147" s="14">
        <v>29689</v>
      </c>
      <c r="B147" s="15">
        <v>2</v>
      </c>
      <c r="C147" s="16">
        <v>7.4999999999999997E-2</v>
      </c>
      <c r="D147" s="17">
        <f t="shared" si="16"/>
        <v>27462.325000000001</v>
      </c>
      <c r="E147" s="25"/>
      <c r="F147" s="42">
        <f t="shared" si="17"/>
        <v>27462.325000000001</v>
      </c>
      <c r="G147" s="1">
        <f t="shared" si="18"/>
        <v>27462.325000000001</v>
      </c>
    </row>
    <row r="148" spans="1:7" x14ac:dyDescent="0.3">
      <c r="A148" s="14">
        <v>34074</v>
      </c>
      <c r="B148" s="15">
        <v>5</v>
      </c>
      <c r="C148" s="16">
        <v>7.4999999999999997E-2</v>
      </c>
      <c r="D148" s="17">
        <f t="shared" si="16"/>
        <v>36629.550000000003</v>
      </c>
      <c r="E148" s="25"/>
      <c r="F148" s="42">
        <f t="shared" si="17"/>
        <v>36629.550000000003</v>
      </c>
      <c r="G148" s="1">
        <f t="shared" si="18"/>
        <v>36629.549999999996</v>
      </c>
    </row>
    <row r="149" spans="1:7" x14ac:dyDescent="0.3">
      <c r="A149" s="14">
        <v>57033</v>
      </c>
      <c r="B149" s="15">
        <v>4</v>
      </c>
      <c r="C149" s="16">
        <v>7.4999999999999997E-2</v>
      </c>
      <c r="D149" s="17">
        <f t="shared" si="16"/>
        <v>61310.474999999999</v>
      </c>
      <c r="E149" s="25"/>
      <c r="F149" s="42">
        <f t="shared" si="17"/>
        <v>61310.474999999999</v>
      </c>
      <c r="G149" s="1">
        <f t="shared" si="18"/>
        <v>61310.474999999999</v>
      </c>
    </row>
    <row r="150" spans="1:7" x14ac:dyDescent="0.3">
      <c r="A150" s="14">
        <v>44694</v>
      </c>
      <c r="B150" s="15">
        <v>5</v>
      </c>
      <c r="C150" s="16">
        <v>7.4999999999999997E-2</v>
      </c>
      <c r="D150" s="17">
        <f t="shared" si="16"/>
        <v>48046.05</v>
      </c>
      <c r="E150" s="25"/>
      <c r="F150" s="42">
        <f t="shared" si="17"/>
        <v>48046.05</v>
      </c>
      <c r="G150" s="1">
        <f t="shared" si="18"/>
        <v>48046.049999999996</v>
      </c>
    </row>
    <row r="151" spans="1:7" x14ac:dyDescent="0.3">
      <c r="A151" s="14">
        <v>50709</v>
      </c>
      <c r="B151" s="15">
        <v>4</v>
      </c>
      <c r="C151" s="16">
        <v>7.4999999999999997E-2</v>
      </c>
      <c r="D151" s="17">
        <f t="shared" si="16"/>
        <v>54512.175000000003</v>
      </c>
      <c r="E151" s="25"/>
      <c r="F151" s="42">
        <f t="shared" si="17"/>
        <v>54512.175000000003</v>
      </c>
      <c r="G151" s="1">
        <f t="shared" si="18"/>
        <v>54512.174999999996</v>
      </c>
    </row>
    <row r="152" spans="1:7" x14ac:dyDescent="0.3">
      <c r="A152" s="14">
        <v>37109</v>
      </c>
      <c r="B152" s="15">
        <v>3</v>
      </c>
      <c r="C152" s="16">
        <v>7.4999999999999997E-2</v>
      </c>
      <c r="D152" s="17">
        <f t="shared" si="16"/>
        <v>39892.175000000003</v>
      </c>
      <c r="E152" s="25"/>
      <c r="F152" s="42">
        <f t="shared" si="17"/>
        <v>39892.175000000003</v>
      </c>
      <c r="G152" s="1">
        <f t="shared" si="18"/>
        <v>39892.174999999996</v>
      </c>
    </row>
    <row r="153" spans="1:7" x14ac:dyDescent="0.3">
      <c r="A153" s="14">
        <v>35754</v>
      </c>
      <c r="B153" s="15">
        <v>5</v>
      </c>
      <c r="C153" s="16">
        <v>7.4999999999999997E-2</v>
      </c>
      <c r="D153" s="17">
        <f t="shared" si="16"/>
        <v>38435.550000000003</v>
      </c>
      <c r="E153" s="25"/>
      <c r="F153" s="42">
        <f t="shared" si="17"/>
        <v>38435.550000000003</v>
      </c>
      <c r="G153" s="1">
        <f t="shared" si="18"/>
        <v>38435.549999999996</v>
      </c>
    </row>
    <row r="154" spans="1:7" x14ac:dyDescent="0.3">
      <c r="A154" s="14">
        <v>40374</v>
      </c>
      <c r="B154" s="15">
        <v>2</v>
      </c>
      <c r="C154" s="16">
        <v>7.4999999999999997E-2</v>
      </c>
      <c r="D154" s="17">
        <f t="shared" si="16"/>
        <v>37345.949999999997</v>
      </c>
      <c r="E154" s="25"/>
      <c r="F154" s="42">
        <f t="shared" si="17"/>
        <v>37345.949999999997</v>
      </c>
      <c r="G154" s="1">
        <f t="shared" si="18"/>
        <v>37345.950000000004</v>
      </c>
    </row>
    <row r="155" spans="1:7" x14ac:dyDescent="0.3">
      <c r="A155" s="14">
        <v>43903</v>
      </c>
      <c r="B155" s="15">
        <v>2</v>
      </c>
      <c r="C155" s="16">
        <v>7.4999999999999997E-2</v>
      </c>
      <c r="D155" s="17">
        <f t="shared" si="16"/>
        <v>40610.275000000001</v>
      </c>
      <c r="E155" s="25"/>
      <c r="F155" s="42">
        <f t="shared" si="17"/>
        <v>40610.275000000001</v>
      </c>
      <c r="G155" s="1">
        <f t="shared" si="18"/>
        <v>40610.275000000001</v>
      </c>
    </row>
    <row r="156" spans="1:7" x14ac:dyDescent="0.3">
      <c r="A156" s="14">
        <v>46722</v>
      </c>
      <c r="B156" s="15">
        <v>5</v>
      </c>
      <c r="C156" s="16">
        <v>7.4999999999999997E-2</v>
      </c>
      <c r="D156" s="17">
        <f t="shared" si="16"/>
        <v>50226.15</v>
      </c>
      <c r="E156" s="25"/>
      <c r="F156" s="42">
        <f t="shared" si="17"/>
        <v>50226.15</v>
      </c>
      <c r="G156" s="1">
        <f t="shared" si="18"/>
        <v>50226.15</v>
      </c>
    </row>
    <row r="157" spans="1:7" x14ac:dyDescent="0.3">
      <c r="A157" s="14">
        <v>64735</v>
      </c>
      <c r="B157" s="15">
        <v>4</v>
      </c>
      <c r="C157" s="16">
        <v>7.4999999999999997E-2</v>
      </c>
      <c r="D157" s="17">
        <f t="shared" si="16"/>
        <v>69590.125</v>
      </c>
      <c r="E157" s="25"/>
      <c r="F157" s="42">
        <f t="shared" si="17"/>
        <v>69590.125</v>
      </c>
      <c r="G157" s="1">
        <f t="shared" si="18"/>
        <v>69590.125</v>
      </c>
    </row>
    <row r="158" spans="1:7" x14ac:dyDescent="0.3">
      <c r="A158" s="14">
        <v>26139</v>
      </c>
      <c r="B158" s="15">
        <v>5</v>
      </c>
      <c r="C158" s="16">
        <v>7.4999999999999997E-2</v>
      </c>
      <c r="D158" s="17">
        <f t="shared" si="16"/>
        <v>28099.424999999999</v>
      </c>
      <c r="E158" s="25"/>
      <c r="F158" s="42">
        <f t="shared" si="17"/>
        <v>28099.424999999999</v>
      </c>
      <c r="G158" s="1">
        <f t="shared" si="18"/>
        <v>28099.424999999999</v>
      </c>
    </row>
    <row r="159" spans="1:7" x14ac:dyDescent="0.3">
      <c r="A159" s="14">
        <v>38510</v>
      </c>
      <c r="B159" s="15">
        <v>4</v>
      </c>
      <c r="C159" s="16">
        <v>7.4999999999999997E-2</v>
      </c>
      <c r="D159" s="17">
        <f t="shared" si="16"/>
        <v>41398.25</v>
      </c>
      <c r="E159" s="25"/>
      <c r="F159" s="42">
        <f t="shared" si="17"/>
        <v>41398.25</v>
      </c>
      <c r="G159" s="1">
        <f t="shared" si="18"/>
        <v>41398.25</v>
      </c>
    </row>
    <row r="160" spans="1:7" x14ac:dyDescent="0.3">
      <c r="A160" s="14">
        <v>54240</v>
      </c>
      <c r="B160" s="15">
        <v>4</v>
      </c>
      <c r="C160" s="16">
        <v>7.4999999999999997E-2</v>
      </c>
      <c r="D160" s="17">
        <f t="shared" si="16"/>
        <v>58308</v>
      </c>
      <c r="E160" s="25"/>
      <c r="F160" s="42">
        <f t="shared" si="17"/>
        <v>58308</v>
      </c>
      <c r="G160" s="1">
        <f t="shared" si="18"/>
        <v>58308</v>
      </c>
    </row>
    <row r="161" spans="1:15" x14ac:dyDescent="0.3">
      <c r="A161" s="14">
        <v>70624</v>
      </c>
      <c r="B161" s="15">
        <v>3</v>
      </c>
      <c r="C161" s="16">
        <v>7.4999999999999997E-2</v>
      </c>
      <c r="D161" s="17">
        <f t="shared" si="16"/>
        <v>75920.800000000003</v>
      </c>
      <c r="E161" s="25"/>
      <c r="F161" s="42">
        <f t="shared" si="17"/>
        <v>75920.800000000003</v>
      </c>
      <c r="G161" s="1">
        <f t="shared" si="18"/>
        <v>75920.800000000003</v>
      </c>
    </row>
    <row r="162" spans="1:15" x14ac:dyDescent="0.3">
      <c r="A162" s="14">
        <v>74702</v>
      </c>
      <c r="B162" s="15">
        <v>5</v>
      </c>
      <c r="C162" s="16">
        <v>7.4999999999999997E-2</v>
      </c>
      <c r="D162" s="17">
        <f t="shared" si="16"/>
        <v>80304.649999999994</v>
      </c>
      <c r="E162" s="25"/>
      <c r="F162" s="42">
        <f t="shared" si="17"/>
        <v>80304.649999999994</v>
      </c>
      <c r="G162" s="1">
        <f t="shared" si="18"/>
        <v>80304.649999999994</v>
      </c>
    </row>
    <row r="163" spans="1:15" x14ac:dyDescent="0.3">
      <c r="A163" s="14">
        <v>40157</v>
      </c>
      <c r="B163" s="15">
        <v>3</v>
      </c>
      <c r="C163" s="16">
        <v>7.4999999999999997E-2</v>
      </c>
      <c r="D163" s="17">
        <f t="shared" si="16"/>
        <v>43168.775000000001</v>
      </c>
      <c r="E163" s="25"/>
      <c r="F163" s="42">
        <f t="shared" si="17"/>
        <v>43168.775000000001</v>
      </c>
      <c r="G163" s="1">
        <f t="shared" si="18"/>
        <v>43168.775000000001</v>
      </c>
    </row>
    <row r="164" spans="1:15" x14ac:dyDescent="0.3">
      <c r="A164" s="14">
        <v>46180</v>
      </c>
      <c r="B164" s="15">
        <v>5</v>
      </c>
      <c r="C164" s="16">
        <v>7.4999999999999997E-2</v>
      </c>
      <c r="D164" s="17">
        <f t="shared" si="16"/>
        <v>49643.5</v>
      </c>
      <c r="E164" s="25"/>
      <c r="F164" s="42">
        <f t="shared" si="17"/>
        <v>49643.5</v>
      </c>
      <c r="G164" s="1">
        <f t="shared" si="18"/>
        <v>49643.5</v>
      </c>
    </row>
    <row r="165" spans="1:15" x14ac:dyDescent="0.3">
      <c r="A165" s="14">
        <v>42798</v>
      </c>
      <c r="B165" s="15">
        <v>4</v>
      </c>
      <c r="C165" s="16">
        <v>7.4999999999999997E-2</v>
      </c>
      <c r="D165" s="17">
        <f t="shared" si="16"/>
        <v>46007.85</v>
      </c>
      <c r="E165" s="25"/>
      <c r="F165" s="42">
        <f t="shared" si="17"/>
        <v>46007.85</v>
      </c>
      <c r="G165" s="1">
        <f t="shared" si="18"/>
        <v>46007.85</v>
      </c>
    </row>
    <row r="166" spans="1:15" x14ac:dyDescent="0.3">
      <c r="A166" s="14">
        <v>35356</v>
      </c>
      <c r="B166" s="15">
        <v>2</v>
      </c>
      <c r="C166" s="16">
        <v>7.4999999999999997E-2</v>
      </c>
      <c r="D166" s="17">
        <f t="shared" si="16"/>
        <v>32704.3</v>
      </c>
      <c r="E166" s="25"/>
      <c r="F166" s="42">
        <f t="shared" si="17"/>
        <v>32704.3</v>
      </c>
      <c r="G166" s="1">
        <f t="shared" si="18"/>
        <v>32704.300000000003</v>
      </c>
    </row>
    <row r="167" spans="1:15" x14ac:dyDescent="0.3">
      <c r="A167" s="14">
        <v>47327</v>
      </c>
      <c r="B167" s="15">
        <v>4</v>
      </c>
      <c r="C167" s="16">
        <v>7.4999999999999997E-2</v>
      </c>
      <c r="D167" s="17">
        <f t="shared" si="16"/>
        <v>50876.525000000001</v>
      </c>
      <c r="E167" s="25"/>
      <c r="F167" s="42">
        <f t="shared" si="17"/>
        <v>50876.525000000001</v>
      </c>
      <c r="G167" s="1">
        <f t="shared" si="18"/>
        <v>50876.525000000001</v>
      </c>
    </row>
    <row r="171" spans="1:15" x14ac:dyDescent="0.3">
      <c r="A171" s="30" t="s">
        <v>52</v>
      </c>
    </row>
    <row r="173" spans="1:15" ht="18" x14ac:dyDescent="0.3">
      <c r="A173" s="31" t="s">
        <v>25</v>
      </c>
      <c r="B173" s="31" t="s">
        <v>6</v>
      </c>
      <c r="C173" s="31" t="s">
        <v>14</v>
      </c>
      <c r="D173" s="31" t="s">
        <v>15</v>
      </c>
      <c r="E173" s="31" t="s">
        <v>16</v>
      </c>
      <c r="F173" s="31" t="s">
        <v>12</v>
      </c>
      <c r="G173" s="19"/>
      <c r="H173" s="20"/>
      <c r="I173" s="21" t="s">
        <v>14</v>
      </c>
      <c r="J173" s="21" t="s">
        <v>17</v>
      </c>
      <c r="K173" s="21" t="s">
        <v>27</v>
      </c>
      <c r="L173" s="21" t="s">
        <v>6</v>
      </c>
      <c r="M173" s="21" t="s">
        <v>16</v>
      </c>
      <c r="N173" s="21" t="s">
        <v>15</v>
      </c>
      <c r="O173" s="21" t="s">
        <v>12</v>
      </c>
    </row>
    <row r="174" spans="1:15" ht="18" x14ac:dyDescent="0.3">
      <c r="A174" s="3" t="s">
        <v>35</v>
      </c>
      <c r="B174" s="3" t="s">
        <v>43</v>
      </c>
      <c r="C174" s="18" t="str">
        <f>INDEX($I$174:$I$181,MATCH(A174,$K$174:$K$181,0))</f>
        <v>Guwahati</v>
      </c>
      <c r="D174" s="22">
        <f>INDEX($M$174:$O$181,MATCH($A174,$K$174:$K$181,0),MATCH(D$173,$M$173:$O$173,0))</f>
        <v>46.010000000000005</v>
      </c>
      <c r="E174" s="22">
        <f t="shared" ref="E174:F174" si="19">INDEX($M$174:$O$181,MATCH($A174,$K$174:$K$181,0),MATCH(E$173,$M$173:$O$173,0))</f>
        <v>30</v>
      </c>
      <c r="F174" s="22">
        <f t="shared" si="19"/>
        <v>5</v>
      </c>
      <c r="G174" s="19" t="str">
        <f>INDEX(I174:I181,MATCH(A174,K174:K181,0))</f>
        <v>Guwahati</v>
      </c>
      <c r="I174" s="3" t="s">
        <v>19</v>
      </c>
      <c r="J174" s="23">
        <v>180.30000000000007</v>
      </c>
      <c r="K174" s="3" t="s">
        <v>35</v>
      </c>
      <c r="L174" s="3" t="s">
        <v>43</v>
      </c>
      <c r="M174" s="18">
        <v>30</v>
      </c>
      <c r="N174" s="23">
        <v>46.010000000000005</v>
      </c>
      <c r="O174" s="24">
        <v>5</v>
      </c>
    </row>
    <row r="175" spans="1:15" ht="18" x14ac:dyDescent="0.3">
      <c r="A175" s="3" t="s">
        <v>36</v>
      </c>
      <c r="B175" s="3" t="s">
        <v>44</v>
      </c>
      <c r="C175" s="18" t="str">
        <f t="shared" ref="C175:C181" si="20">INDEX($I$174:$I$181,MATCH(A175,$K$174:$K$181,0))</f>
        <v>Bihar</v>
      </c>
      <c r="D175" s="22">
        <f t="shared" ref="D175:F181" si="21">INDEX($M$174:$O$181,MATCH($A175,$K$174:$K$181,0),MATCH(D$173,$M$173:$O$173,0))</f>
        <v>59.32</v>
      </c>
      <c r="E175" s="22">
        <f t="shared" si="21"/>
        <v>44</v>
      </c>
      <c r="F175" s="22">
        <f t="shared" si="21"/>
        <v>2</v>
      </c>
      <c r="G175" s="19" t="str">
        <f t="shared" ref="G175:G179" si="22">INDEX(I175:I182,MATCH(A175,K175:K182,0))</f>
        <v>Bihar</v>
      </c>
      <c r="I175" s="3" t="s">
        <v>20</v>
      </c>
      <c r="J175" s="23">
        <v>1128.72</v>
      </c>
      <c r="K175" s="3" t="s">
        <v>36</v>
      </c>
      <c r="L175" s="3" t="s">
        <v>44</v>
      </c>
      <c r="M175" s="18">
        <v>44</v>
      </c>
      <c r="N175" s="23">
        <v>59.32</v>
      </c>
      <c r="O175" s="24">
        <v>2</v>
      </c>
    </row>
    <row r="176" spans="1:15" ht="18" x14ac:dyDescent="0.3">
      <c r="A176" s="3" t="s">
        <v>37</v>
      </c>
      <c r="B176" s="3" t="s">
        <v>45</v>
      </c>
      <c r="C176" s="18" t="str">
        <f t="shared" si="20"/>
        <v>Asam</v>
      </c>
      <c r="D176" s="22">
        <f t="shared" si="21"/>
        <v>64.039999999999992</v>
      </c>
      <c r="E176" s="22">
        <f t="shared" si="21"/>
        <v>31</v>
      </c>
      <c r="F176" s="22">
        <f t="shared" si="21"/>
        <v>1</v>
      </c>
      <c r="G176" s="19" t="str">
        <f t="shared" si="22"/>
        <v>Asam</v>
      </c>
      <c r="I176" s="3" t="s">
        <v>26</v>
      </c>
      <c r="J176" s="23">
        <v>760.24</v>
      </c>
      <c r="K176" s="3" t="s">
        <v>37</v>
      </c>
      <c r="L176" s="3" t="s">
        <v>45</v>
      </c>
      <c r="M176" s="18">
        <v>31</v>
      </c>
      <c r="N176" s="23">
        <v>64.039999999999992</v>
      </c>
      <c r="O176" s="24">
        <v>1</v>
      </c>
    </row>
    <row r="177" spans="1:15" ht="18" x14ac:dyDescent="0.3">
      <c r="A177" s="3" t="s">
        <v>38</v>
      </c>
      <c r="B177" s="3" t="s">
        <v>46</v>
      </c>
      <c r="C177" s="18" t="str">
        <f t="shared" si="20"/>
        <v>Chhattisgarh</v>
      </c>
      <c r="D177" s="22">
        <f t="shared" si="21"/>
        <v>43.89</v>
      </c>
      <c r="E177" s="22">
        <f t="shared" si="21"/>
        <v>35</v>
      </c>
      <c r="F177" s="22">
        <f t="shared" si="21"/>
        <v>5</v>
      </c>
      <c r="G177" s="19" t="str">
        <f t="shared" si="22"/>
        <v>Chhattisgarh</v>
      </c>
      <c r="I177" s="3" t="s">
        <v>21</v>
      </c>
      <c r="J177" s="23">
        <v>211.14999999999998</v>
      </c>
      <c r="K177" s="3" t="s">
        <v>38</v>
      </c>
      <c r="L177" s="3" t="s">
        <v>46</v>
      </c>
      <c r="M177" s="18">
        <v>35</v>
      </c>
      <c r="N177" s="23">
        <v>43.89</v>
      </c>
      <c r="O177" s="24">
        <v>5</v>
      </c>
    </row>
    <row r="178" spans="1:15" ht="18" x14ac:dyDescent="0.3">
      <c r="A178" s="3" t="s">
        <v>39</v>
      </c>
      <c r="B178" s="3" t="s">
        <v>47</v>
      </c>
      <c r="C178" s="18" t="str">
        <f t="shared" si="20"/>
        <v>UP</v>
      </c>
      <c r="D178" s="22">
        <f t="shared" si="21"/>
        <v>51.010000000000005</v>
      </c>
      <c r="E178" s="22">
        <f t="shared" si="21"/>
        <v>39</v>
      </c>
      <c r="F178" s="22">
        <f t="shared" si="21"/>
        <v>4</v>
      </c>
      <c r="G178" s="19" t="str">
        <f t="shared" si="22"/>
        <v>UP</v>
      </c>
      <c r="I178" s="3" t="s">
        <v>48</v>
      </c>
      <c r="J178" s="23">
        <v>564.3900000000001</v>
      </c>
      <c r="K178" s="3" t="s">
        <v>39</v>
      </c>
      <c r="L178" s="3" t="s">
        <v>47</v>
      </c>
      <c r="M178" s="18">
        <v>39</v>
      </c>
      <c r="N178" s="23">
        <v>51.010000000000005</v>
      </c>
      <c r="O178" s="24">
        <v>4</v>
      </c>
    </row>
    <row r="179" spans="1:15" ht="18" x14ac:dyDescent="0.3">
      <c r="A179" s="3" t="s">
        <v>40</v>
      </c>
      <c r="B179" s="3" t="s">
        <v>49</v>
      </c>
      <c r="C179" s="18" t="str">
        <f t="shared" si="20"/>
        <v>Delhi </v>
      </c>
      <c r="D179" s="22">
        <f t="shared" si="21"/>
        <v>48.91</v>
      </c>
      <c r="E179" s="22">
        <f t="shared" si="21"/>
        <v>30</v>
      </c>
      <c r="F179" s="22">
        <f t="shared" si="21"/>
        <v>4</v>
      </c>
      <c r="G179" s="19" t="str">
        <f t="shared" si="22"/>
        <v>Delhi </v>
      </c>
      <c r="I179" s="3" t="s">
        <v>22</v>
      </c>
      <c r="J179" s="23">
        <v>721.58999999999992</v>
      </c>
      <c r="K179" s="3" t="s">
        <v>40</v>
      </c>
      <c r="L179" s="3" t="s">
        <v>49</v>
      </c>
      <c r="M179" s="18">
        <v>30</v>
      </c>
      <c r="N179" s="23">
        <v>48.91</v>
      </c>
      <c r="O179" s="24">
        <v>4</v>
      </c>
    </row>
    <row r="180" spans="1:15" ht="18" x14ac:dyDescent="0.3">
      <c r="A180" s="3" t="s">
        <v>41</v>
      </c>
      <c r="B180" s="3" t="s">
        <v>50</v>
      </c>
      <c r="C180" s="18" t="str">
        <f t="shared" si="20"/>
        <v>Goa</v>
      </c>
      <c r="D180" s="22">
        <f t="shared" si="21"/>
        <v>52.2</v>
      </c>
      <c r="E180" s="22">
        <f t="shared" si="21"/>
        <v>41</v>
      </c>
      <c r="F180" s="22">
        <f t="shared" si="21"/>
        <v>4</v>
      </c>
      <c r="G180" s="19" t="str">
        <f>INDEX(I180:I187,MATCH(A180,K180:K186,0))</f>
        <v>Goa</v>
      </c>
      <c r="I180" s="3" t="s">
        <v>23</v>
      </c>
      <c r="J180" s="23">
        <v>678.8</v>
      </c>
      <c r="K180" s="3" t="s">
        <v>41</v>
      </c>
      <c r="L180" s="3" t="s">
        <v>50</v>
      </c>
      <c r="M180" s="18">
        <v>41</v>
      </c>
      <c r="N180" s="23">
        <v>52.2</v>
      </c>
      <c r="O180" s="24">
        <v>4</v>
      </c>
    </row>
    <row r="181" spans="1:15" ht="18" x14ac:dyDescent="0.3">
      <c r="A181" s="3" t="s">
        <v>42</v>
      </c>
      <c r="B181" s="3" t="s">
        <v>51</v>
      </c>
      <c r="C181" s="18" t="str">
        <f t="shared" si="20"/>
        <v>Gujarat</v>
      </c>
      <c r="D181" s="22">
        <f t="shared" si="21"/>
        <v>52</v>
      </c>
      <c r="E181" s="22">
        <f t="shared" si="21"/>
        <v>37</v>
      </c>
      <c r="F181" s="22">
        <f t="shared" si="21"/>
        <v>4</v>
      </c>
      <c r="G181" s="19" t="str">
        <f>INDEX(I181:I188,MATCH(A181,K181:K186,0))</f>
        <v>Gujarat</v>
      </c>
      <c r="I181" s="3" t="s">
        <v>24</v>
      </c>
      <c r="J181" s="23">
        <v>549</v>
      </c>
      <c r="K181" s="3" t="s">
        <v>42</v>
      </c>
      <c r="L181" s="3" t="s">
        <v>51</v>
      </c>
      <c r="M181" s="18">
        <v>37</v>
      </c>
      <c r="N181" s="23">
        <v>52</v>
      </c>
      <c r="O181" s="24">
        <v>4</v>
      </c>
    </row>
    <row r="183" spans="1:15" x14ac:dyDescent="0.3">
      <c r="G183" s="47" t="str">
        <f>INDEX($I$174:$O$181,MATCH($A174,$K$174:$K$181,0),MATCH(C$173,$I$173:$O$173,0))</f>
        <v>Guwahati</v>
      </c>
      <c r="H183" s="47">
        <f t="shared" ref="H183:J185" si="23">INDEX($I$174:$O$181,MATCH($A174,$K$174:$K$181,0),MATCH(D$173,$I$173:$O$173,0))</f>
        <v>46.010000000000005</v>
      </c>
      <c r="I183" s="47">
        <f t="shared" si="23"/>
        <v>30</v>
      </c>
      <c r="J183" s="47">
        <f t="shared" si="23"/>
        <v>5</v>
      </c>
    </row>
    <row r="184" spans="1:15" x14ac:dyDescent="0.3">
      <c r="G184" s="47" t="str">
        <f t="shared" ref="G184:G185" si="24">INDEX($I$174:$O$181,MATCH($A175,$K$174:$K$181,0),MATCH(C$173,$I$173:$O$173,0))</f>
        <v>Bihar</v>
      </c>
      <c r="H184" s="47">
        <f t="shared" si="23"/>
        <v>59.32</v>
      </c>
      <c r="I184" s="47">
        <f t="shared" si="23"/>
        <v>44</v>
      </c>
      <c r="J184" s="47">
        <f t="shared" si="23"/>
        <v>2</v>
      </c>
    </row>
    <row r="185" spans="1:15" x14ac:dyDescent="0.3">
      <c r="A185" s="30" t="s">
        <v>59</v>
      </c>
      <c r="B185" s="33"/>
      <c r="C185" s="34"/>
      <c r="D185" s="33"/>
      <c r="E185" s="33"/>
      <c r="F185" s="33"/>
      <c r="G185" s="47" t="str">
        <f t="shared" si="24"/>
        <v>Asam</v>
      </c>
      <c r="H185" s="47">
        <f t="shared" si="23"/>
        <v>64.039999999999992</v>
      </c>
      <c r="I185" s="47">
        <f t="shared" si="23"/>
        <v>31</v>
      </c>
      <c r="J185" s="47">
        <f t="shared" si="23"/>
        <v>1</v>
      </c>
    </row>
    <row r="187" spans="1:15" ht="34.799999999999997" x14ac:dyDescent="0.3">
      <c r="A187" s="39" t="s">
        <v>53</v>
      </c>
      <c r="B187" s="39" t="s">
        <v>54</v>
      </c>
      <c r="C187" s="40" t="s">
        <v>55</v>
      </c>
      <c r="D187" s="41"/>
      <c r="H187" s="36" t="s">
        <v>58</v>
      </c>
      <c r="I187" s="35" t="s">
        <v>56</v>
      </c>
      <c r="K187" s="20" t="str">
        <f>INDEX(CHOOSE(MATCH(B$173,$I$173:$O$173,0),$I$174:$I$181,$J$174:$J$181,$K$174:$K$181,$L$174:$L$181,$M$174:$M$181,$N$174:$N$181,$O$174:$O$181),MATCH($A174,$K$174:$K$181,0))</f>
        <v>Nishit Sarkar</v>
      </c>
      <c r="L187" s="20" t="str">
        <f>INDEX(CHOOSE(MATCH(C$173,$I$173:$O$173,0),$I$174:$I$181,$J$174:$J$181,$K$174:$K$181,$L$174:$L$181,$M$174:$M$181,$N$174:$N$181,$O$174:$O$181),MATCH($A174,$K$174:$K$181,0))</f>
        <v>Guwahati</v>
      </c>
    </row>
    <row r="188" spans="1:15" ht="34.799999999999997" x14ac:dyDescent="0.3">
      <c r="A188" s="37">
        <v>42130</v>
      </c>
      <c r="B188" s="37">
        <v>42256</v>
      </c>
      <c r="C188" s="36">
        <f>NETWORKDAYS(A188,B188,$I$189:$I$193)</f>
        <v>89</v>
      </c>
      <c r="D188" s="25"/>
      <c r="E188" s="25"/>
      <c r="F188" s="1">
        <f xml:space="preserve"> NETWORKDAYS(A188,B188,$I$189:$I$193)</f>
        <v>89</v>
      </c>
      <c r="G188" s="1">
        <f>NETWORKDAYS.INTL(A188,B188,1)</f>
        <v>91</v>
      </c>
      <c r="H188" s="36"/>
      <c r="I188" s="38"/>
      <c r="K188" s="20" t="str">
        <f t="shared" ref="K188:L194" si="25">INDEX(CHOOSE(MATCH(B$173,$I$173:$O$173,0),$I$174:$I$181,$J$174:$J$181,$K$174:$K$181,$L$174:$L$181,$M$174:$M$181,$N$174:$N$181,$O$174:$O$181),MATCH($A175,$K$174:$K$181,0))</f>
        <v>Prabha Saini</v>
      </c>
      <c r="L188" s="20" t="str">
        <f t="shared" si="25"/>
        <v>Bihar</v>
      </c>
    </row>
    <row r="189" spans="1:15" ht="34.799999999999997" x14ac:dyDescent="0.3">
      <c r="A189" s="37">
        <v>42497</v>
      </c>
      <c r="B189" s="37">
        <v>43718</v>
      </c>
      <c r="C189" s="36">
        <f t="shared" ref="C189:C193" si="26">NETWORKDAYS(A189,B189,$I$189:$I$193)</f>
        <v>872</v>
      </c>
      <c r="D189" s="25"/>
      <c r="E189" s="25"/>
      <c r="F189" s="1">
        <f t="shared" ref="F189:F193" si="27" xml:space="preserve"> NETWORKDAYS(A189,B189,$I$189:$I$193)</f>
        <v>872</v>
      </c>
      <c r="H189" s="36" t="s">
        <v>57</v>
      </c>
      <c r="I189" s="37">
        <v>42025</v>
      </c>
      <c r="K189" s="20" t="str">
        <f t="shared" si="25"/>
        <v>Suhail Khan</v>
      </c>
      <c r="L189" s="20" t="str">
        <f t="shared" si="25"/>
        <v>Asam</v>
      </c>
    </row>
    <row r="190" spans="1:15" ht="34.799999999999997" x14ac:dyDescent="0.3">
      <c r="A190" s="37">
        <v>42498</v>
      </c>
      <c r="B190" s="37">
        <v>43719</v>
      </c>
      <c r="C190" s="36">
        <f t="shared" si="26"/>
        <v>873</v>
      </c>
      <c r="D190" s="25"/>
      <c r="E190" s="25"/>
      <c r="F190" s="1">
        <f t="shared" si="27"/>
        <v>873</v>
      </c>
      <c r="I190" s="37">
        <v>42053</v>
      </c>
      <c r="K190" s="20" t="str">
        <f t="shared" si="25"/>
        <v>Karamjeet Kaur</v>
      </c>
      <c r="L190" s="20" t="str">
        <f t="shared" si="25"/>
        <v>Chhattisgarh</v>
      </c>
    </row>
    <row r="191" spans="1:15" ht="34.799999999999997" x14ac:dyDescent="0.3">
      <c r="A191" s="37">
        <v>42133</v>
      </c>
      <c r="B191" s="37">
        <v>42989</v>
      </c>
      <c r="C191" s="36">
        <f t="shared" si="26"/>
        <v>609</v>
      </c>
      <c r="D191" s="25"/>
      <c r="E191" s="25"/>
      <c r="F191" s="1">
        <f t="shared" si="27"/>
        <v>609</v>
      </c>
      <c r="I191" s="37">
        <v>42151</v>
      </c>
      <c r="K191" s="20" t="str">
        <f t="shared" si="25"/>
        <v>Mihir Parashar</v>
      </c>
      <c r="L191" s="20" t="str">
        <f t="shared" si="25"/>
        <v>UP</v>
      </c>
    </row>
    <row r="192" spans="1:15" ht="34.799999999999997" x14ac:dyDescent="0.3">
      <c r="A192" s="37">
        <v>42134</v>
      </c>
      <c r="B192" s="37">
        <v>42626</v>
      </c>
      <c r="C192" s="36">
        <f t="shared" si="26"/>
        <v>350</v>
      </c>
      <c r="D192" s="25"/>
      <c r="E192" s="25"/>
      <c r="F192" s="1">
        <f t="shared" si="27"/>
        <v>350</v>
      </c>
      <c r="I192" s="37">
        <v>42189</v>
      </c>
      <c r="K192" s="20" t="str">
        <f t="shared" si="25"/>
        <v>Aarti Awasthi</v>
      </c>
      <c r="L192" s="20" t="str">
        <f t="shared" si="25"/>
        <v>Delhi </v>
      </c>
    </row>
    <row r="193" spans="1:12" ht="34.799999999999997" x14ac:dyDescent="0.3">
      <c r="A193" s="37">
        <v>43231</v>
      </c>
      <c r="B193" s="37">
        <v>43875</v>
      </c>
      <c r="C193" s="36">
        <f t="shared" si="26"/>
        <v>461</v>
      </c>
      <c r="D193" s="25"/>
      <c r="E193" s="25"/>
      <c r="F193" s="1">
        <f t="shared" si="27"/>
        <v>461</v>
      </c>
      <c r="I193" s="37">
        <v>42249</v>
      </c>
      <c r="K193" s="20" t="str">
        <f t="shared" si="25"/>
        <v>Anika Sharma</v>
      </c>
      <c r="L193" s="20" t="str">
        <f t="shared" si="25"/>
        <v>Goa</v>
      </c>
    </row>
    <row r="194" spans="1:12" ht="34.799999999999997" x14ac:dyDescent="0.3">
      <c r="K194" s="20" t="str">
        <f t="shared" si="25"/>
        <v>Papan Vats</v>
      </c>
      <c r="L194" s="20" t="str">
        <f t="shared" si="25"/>
        <v>Gujarat</v>
      </c>
    </row>
    <row r="195" spans="1:12" x14ac:dyDescent="0.3">
      <c r="F195" s="1">
        <f>NETWORKDAYS(A188,B188,I189:I193)</f>
        <v>89</v>
      </c>
      <c r="G195" s="1">
        <f>NETWORKDAYS.INTL(A188,B188)</f>
        <v>91</v>
      </c>
    </row>
  </sheetData>
  <mergeCells count="2">
    <mergeCell ref="A1:C2"/>
    <mergeCell ref="B5:F5"/>
  </mergeCells>
  <conditionalFormatting sqref="A7:F15">
    <cfRule type="expression" dxfId="0" priority="1">
      <formula>MOD(ROW(),2)=0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Crack Jobs #39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Innozant</dc:creator>
  <cp:lastModifiedBy>Gursewak Singh</cp:lastModifiedBy>
  <dcterms:created xsi:type="dcterms:W3CDTF">2020-03-11T06:04:49Z</dcterms:created>
  <dcterms:modified xsi:type="dcterms:W3CDTF">2026-01-28T16:06:20Z</dcterms:modified>
</cp:coreProperties>
</file>