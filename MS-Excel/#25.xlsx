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992BF528-ECC0-476C-A0C9-2EF4F7BBED8A}" xr6:coauthVersionLast="47" xr6:coauthVersionMax="47" xr10:uidLastSave="{00000000-0000-0000-0000-000000000000}"/>
  <bookViews>
    <workbookView xWindow="-108" yWindow="-108" windowWidth="23256" windowHeight="12456" activeTab="4" xr2:uid="{4A2A25DE-0A33-46E5-9111-6F0310F278C1}"/>
  </bookViews>
  <sheets>
    <sheet name="Q1" sheetId="4" r:id="rId1"/>
    <sheet name="Q2" sheetId="3" r:id="rId2"/>
    <sheet name="Q3" sheetId="2" r:id="rId3"/>
    <sheet name="Q4" sheetId="1" r:id="rId4"/>
    <sheet name="Q5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" l="1" a="1"/>
  <c r="I10" i="2" s="1"/>
  <c r="I13" i="3" a="1"/>
  <c r="I13" i="3"/>
  <c r="J13" i="3" a="1"/>
  <c r="J13" i="3"/>
  <c r="K13" i="3" a="1"/>
  <c r="K13" i="3"/>
  <c r="H13" i="3" a="1"/>
  <c r="H13" i="3" s="1"/>
  <c r="I12" i="3" a="1"/>
  <c r="I12" i="3"/>
  <c r="J12" i="3" a="1"/>
  <c r="J12" i="3"/>
  <c r="H12" i="3" a="1"/>
  <c r="H12" i="3" s="1"/>
  <c r="J10" i="4" a="1"/>
  <c r="J10" i="4" s="1"/>
  <c r="I10" i="3" a="1"/>
  <c r="I10" i="3" s="1"/>
  <c r="J10" i="3" a="1"/>
  <c r="J10" i="3" s="1"/>
  <c r="H10" i="3" a="1"/>
  <c r="H10" i="3" s="1"/>
  <c r="L4" i="4" a="1"/>
  <c r="L4" i="4" s="1"/>
  <c r="I8" i="1" a="1"/>
  <c r="I8" i="1"/>
  <c r="J6" i="2" a="1"/>
  <c r="J6" i="2" s="1"/>
  <c r="I8" i="3" a="1"/>
  <c r="I8" i="3" s="1"/>
  <c r="J8" i="3" a="1"/>
  <c r="J8" i="3" s="1"/>
  <c r="H8" i="3" a="1"/>
  <c r="H8" i="3" s="1"/>
  <c r="J7" i="4" a="1"/>
  <c r="J7" i="4" s="1"/>
  <c r="J6" i="4"/>
  <c r="G8" i="1" a="1"/>
  <c r="G8" i="1" s="1"/>
  <c r="I6" i="3" a="1"/>
  <c r="I6" i="3" s="1"/>
  <c r="J6" i="3" a="1"/>
  <c r="J6" i="3" s="1"/>
  <c r="H6" i="3" a="1"/>
  <c r="H6" i="3" s="1"/>
  <c r="J4" i="4"/>
  <c r="G10" i="1" a="1"/>
  <c r="I11" i="2" a="1"/>
  <c r="I8" i="2" a="1"/>
  <c r="L8" i="1" a="1"/>
  <c r="G10" i="1" l="1"/>
  <c r="I11" i="2"/>
  <c r="L8" i="1"/>
  <c r="I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<sst xmlns="http://schemas.openxmlformats.org/spreadsheetml/2006/main" count="139" uniqueCount="59">
  <si>
    <t>Name</t>
  </si>
  <si>
    <t>Result</t>
  </si>
  <si>
    <t>City</t>
  </si>
  <si>
    <t>Delhi</t>
  </si>
  <si>
    <t>Goa</t>
  </si>
  <si>
    <t>Noida</t>
  </si>
  <si>
    <t>Mumbai</t>
  </si>
  <si>
    <t>Punjab</t>
  </si>
  <si>
    <t>Haryana</t>
  </si>
  <si>
    <t>Bihar</t>
  </si>
  <si>
    <t>New Delhi</t>
  </si>
  <si>
    <t>Uttar Pradesh</t>
  </si>
  <si>
    <t>Sale</t>
  </si>
  <si>
    <t>Top 1</t>
  </si>
  <si>
    <t>Top 2</t>
  </si>
  <si>
    <t>Top 3</t>
  </si>
  <si>
    <t>Q.1 Find out the entered number in cell are same or not using formula</t>
  </si>
  <si>
    <t>Formula</t>
  </si>
  <si>
    <t>Q. 2 Find out Top 3 Sale in Dropdown List</t>
  </si>
  <si>
    <t>Hemant Gusain</t>
  </si>
  <si>
    <t>Arjun Shaw</t>
  </si>
  <si>
    <t>Manpreet Kaur</t>
  </si>
  <si>
    <t>Ajinkya Shinde</t>
  </si>
  <si>
    <t>Sandeep Aswal</t>
  </si>
  <si>
    <t>Sourav Maity</t>
  </si>
  <si>
    <t>Ekanshika Kalra</t>
  </si>
  <si>
    <t>Shrikant Badge</t>
  </si>
  <si>
    <t>Harivansh Gautam</t>
  </si>
  <si>
    <t>Q3. Find location as per name with Exact lookup value</t>
  </si>
  <si>
    <t>manpreet Kaur</t>
  </si>
  <si>
    <t>manpreet kaur</t>
  </si>
  <si>
    <t>hemant Gusain</t>
  </si>
  <si>
    <t>hemant gusain</t>
  </si>
  <si>
    <t>Hemant gusain</t>
  </si>
  <si>
    <t>jaishri saxena</t>
  </si>
  <si>
    <t>jaishri Saxena</t>
  </si>
  <si>
    <t>Q4. Find employee name who have first positive value?</t>
  </si>
  <si>
    <t>Solution</t>
  </si>
  <si>
    <t>month</t>
  </si>
  <si>
    <t>fruits</t>
  </si>
  <si>
    <t>sales in qty</t>
  </si>
  <si>
    <t xml:space="preserve">Amount </t>
  </si>
  <si>
    <t>january</t>
  </si>
  <si>
    <t>Apple</t>
  </si>
  <si>
    <t>february</t>
  </si>
  <si>
    <t>Orange</t>
  </si>
  <si>
    <t>march</t>
  </si>
  <si>
    <t>Guava</t>
  </si>
  <si>
    <t>pineappple</t>
  </si>
  <si>
    <t>April</t>
  </si>
  <si>
    <t>november</t>
  </si>
  <si>
    <t>december</t>
  </si>
  <si>
    <t>july</t>
  </si>
  <si>
    <t>june</t>
  </si>
  <si>
    <t>Q. convert it into a pivot table and calculate Total sales amount without inserting extra column in source data</t>
  </si>
  <si>
    <t>Grand Total</t>
  </si>
  <si>
    <t xml:space="preserve">Sum of Amount </t>
  </si>
  <si>
    <t>Values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</si>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</sst>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4" borderId="1" xfId="0" applyFont="1" applyFill="1" applyBorder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2">
    <cellStyle name="Normal" xfId="0" builtinId="0"/>
    <cellStyle name="Normal 3" xfId="1" xr:uid="{2498FD93-2F2C-494E-B0E9-462B990B98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4150.625992361114" createdVersion="6" refreshedVersion="6" minRefreshableVersion="3" recordCount="10" xr:uid="{E66B0B13-C9C7-468A-B4DA-9CB548DA82B2}">
  <cacheSource type="worksheet">
    <worksheetSource ref="A3:D13" sheet="Q5"/>
  </cacheSource>
  <cacheFields count="5">
    <cacheField name="month" numFmtId="0">
      <sharedItems count="8">
        <s v="january"/>
        <s v="february"/>
        <s v="march"/>
        <s v="April"/>
        <s v="november"/>
        <s v="december"/>
        <s v="july"/>
        <s v="june"/>
      </sharedItems>
    </cacheField>
    <cacheField name="fruits" numFmtId="0">
      <sharedItems count="4">
        <s v="Apple"/>
        <s v="Orange"/>
        <s v="Guava"/>
        <s v="pineappple"/>
      </sharedItems>
    </cacheField>
    <cacheField name="sales in qty" numFmtId="0">
      <sharedItems containsSemiMixedTypes="0" containsString="0" containsNumber="1" containsInteger="1" minValue="400" maxValue="8000"/>
    </cacheField>
    <cacheField name="Amount " numFmtId="0">
      <sharedItems containsSemiMixedTypes="0" containsString="0" containsNumber="1" containsInteger="1" minValue="2000" maxValue="9000"/>
    </cacheField>
    <cacheField name="Total Sales" numFmtId="0" formula="'sales in qty'*'Amount 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1000"/>
    <n v="4000"/>
  </r>
  <r>
    <x v="1"/>
    <x v="1"/>
    <n v="2000"/>
    <n v="8000"/>
  </r>
  <r>
    <x v="2"/>
    <x v="2"/>
    <n v="500"/>
    <n v="6000"/>
  </r>
  <r>
    <x v="0"/>
    <x v="3"/>
    <n v="3000"/>
    <n v="9000"/>
  </r>
  <r>
    <x v="3"/>
    <x v="0"/>
    <n v="4000"/>
    <n v="5000"/>
  </r>
  <r>
    <x v="4"/>
    <x v="1"/>
    <n v="600"/>
    <n v="5000"/>
  </r>
  <r>
    <x v="5"/>
    <x v="2"/>
    <n v="8000"/>
    <n v="9000"/>
  </r>
  <r>
    <x v="6"/>
    <x v="0"/>
    <n v="400"/>
    <n v="2000"/>
  </r>
  <r>
    <x v="7"/>
    <x v="2"/>
    <n v="600"/>
    <n v="2000"/>
  </r>
  <r>
    <x v="0"/>
    <x v="3"/>
    <n v="700"/>
    <n v="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A9B79-7F91-4AAD-BDA6-E10F74E167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I3:L14" firstHeaderRow="1" firstDataRow="2" firstDataCol="2"/>
  <pivotFields count="5">
    <pivotField axis="axisRow" compact="0" outline="0" showAll="0" defaultSubtotal="0">
      <items count="8">
        <item x="0"/>
        <item x="1"/>
        <item x="2"/>
        <item x="3"/>
        <item x="7"/>
        <item x="6"/>
        <item x="4"/>
        <item x="5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dataField="1"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10">
    <i>
      <x/>
      <x/>
    </i>
    <i r="1">
      <x v="3"/>
    </i>
    <i>
      <x v="1"/>
      <x v="2"/>
    </i>
    <i>
      <x v="2"/>
      <x v="1"/>
    </i>
    <i>
      <x v="3"/>
      <x/>
    </i>
    <i>
      <x v="4"/>
      <x v="1"/>
    </i>
    <i>
      <x v="5"/>
      <x/>
    </i>
    <i>
      <x v="6"/>
      <x v="2"/>
    </i>
    <i>
      <x v="7"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 " fld="3" baseField="0" baseItem="0"/>
    <dataField name="Sum of Total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BCFF-438A-4090-8472-E87131AC4C55}">
  <dimension ref="A1:L17"/>
  <sheetViews>
    <sheetView workbookViewId="0">
      <selection activeCell="J11" sqref="J11"/>
    </sheetView>
  </sheetViews>
  <sheetFormatPr defaultRowHeight="14.4" x14ac:dyDescent="0.3"/>
  <sheetData>
    <row r="1" spans="1:12" x14ac:dyDescent="0.3">
      <c r="A1" s="7" t="s">
        <v>16</v>
      </c>
    </row>
    <row r="3" spans="1:12" x14ac:dyDescent="0.3">
      <c r="A3" s="8">
        <v>10</v>
      </c>
      <c r="B3" s="8">
        <v>10</v>
      </c>
      <c r="C3" s="8">
        <v>10</v>
      </c>
      <c r="D3" s="8">
        <v>10</v>
      </c>
      <c r="E3" s="8">
        <v>10</v>
      </c>
      <c r="F3" s="8">
        <v>10</v>
      </c>
      <c r="G3" s="8">
        <v>10</v>
      </c>
      <c r="J3" s="7" t="s">
        <v>17</v>
      </c>
    </row>
    <row r="4" spans="1:12" x14ac:dyDescent="0.3">
      <c r="A4" s="8">
        <v>10</v>
      </c>
      <c r="B4" s="8">
        <v>10</v>
      </c>
      <c r="C4" s="8">
        <v>10</v>
      </c>
      <c r="D4" s="8">
        <v>10</v>
      </c>
      <c r="E4" s="8">
        <v>10</v>
      </c>
      <c r="F4" s="8">
        <v>10</v>
      </c>
      <c r="G4" s="8">
        <v>10</v>
      </c>
      <c r="J4" s="7" t="b">
        <f>COUNT(A3:G17)=COUNTIF(A3:G17,A3)</f>
        <v>1</v>
      </c>
      <c r="L4" t="str" cm="1">
        <f t="array" ref="L4">IF(SUM(--(A3:G17=A3))=COUNT(A3:G17), "TRUE", "FALSE")</f>
        <v>TRUE</v>
      </c>
    </row>
    <row r="5" spans="1:12" x14ac:dyDescent="0.3">
      <c r="A5" s="8">
        <v>10</v>
      </c>
      <c r="B5" s="8">
        <v>10</v>
      </c>
      <c r="C5" s="8">
        <v>10</v>
      </c>
      <c r="D5" s="8">
        <v>10</v>
      </c>
      <c r="E5" s="8">
        <v>10</v>
      </c>
      <c r="F5" s="8">
        <v>10</v>
      </c>
      <c r="G5" s="8">
        <v>10</v>
      </c>
    </row>
    <row r="6" spans="1:12" x14ac:dyDescent="0.3">
      <c r="A6" s="8">
        <v>10</v>
      </c>
      <c r="B6" s="8">
        <v>10</v>
      </c>
      <c r="C6" s="8">
        <v>10</v>
      </c>
      <c r="D6" s="8">
        <v>10</v>
      </c>
      <c r="E6" s="8">
        <v>10</v>
      </c>
      <c r="F6" s="8">
        <v>10</v>
      </c>
      <c r="G6" s="8">
        <v>10</v>
      </c>
      <c r="J6" t="b">
        <f>COUNTIF(A3:G17,A3)=COUNTA(A3:G17)</f>
        <v>1</v>
      </c>
    </row>
    <row r="7" spans="1:12" x14ac:dyDescent="0.3">
      <c r="A7" s="8">
        <v>10</v>
      </c>
      <c r="B7" s="8">
        <v>10</v>
      </c>
      <c r="C7" s="8">
        <v>10</v>
      </c>
      <c r="D7" s="8">
        <v>10</v>
      </c>
      <c r="E7" s="8">
        <v>10</v>
      </c>
      <c r="F7" s="8">
        <v>10</v>
      </c>
      <c r="G7" s="8">
        <v>10</v>
      </c>
      <c r="J7" t="b" cm="1">
        <f t="array" ref="J7">AND(A3:G17=A3)</f>
        <v>1</v>
      </c>
    </row>
    <row r="8" spans="1:12" x14ac:dyDescent="0.3">
      <c r="A8" s="8">
        <v>10</v>
      </c>
      <c r="B8" s="8">
        <v>10</v>
      </c>
      <c r="C8" s="8">
        <v>10</v>
      </c>
      <c r="D8" s="8">
        <v>10</v>
      </c>
      <c r="E8" s="8">
        <v>10</v>
      </c>
      <c r="F8" s="8">
        <v>10</v>
      </c>
      <c r="G8" s="8">
        <v>10</v>
      </c>
    </row>
    <row r="9" spans="1:12" x14ac:dyDescent="0.3">
      <c r="A9" s="8">
        <v>10</v>
      </c>
      <c r="B9" s="8">
        <v>10</v>
      </c>
      <c r="C9" s="8">
        <v>10</v>
      </c>
      <c r="D9" s="8">
        <v>10</v>
      </c>
      <c r="E9" s="8">
        <v>10</v>
      </c>
      <c r="F9" s="8">
        <v>10</v>
      </c>
      <c r="G9" s="8">
        <v>10</v>
      </c>
    </row>
    <row r="10" spans="1:12" x14ac:dyDescent="0.3">
      <c r="A10" s="8">
        <v>10</v>
      </c>
      <c r="B10" s="8">
        <v>10</v>
      </c>
      <c r="C10" s="8">
        <v>10</v>
      </c>
      <c r="D10" s="8">
        <v>10</v>
      </c>
      <c r="E10" s="8">
        <v>10</v>
      </c>
      <c r="F10" s="8">
        <v>10</v>
      </c>
      <c r="G10" s="8">
        <v>10</v>
      </c>
      <c r="J10" cm="1">
        <f t="array" ref="J10">SUM(--(A3:G17&lt;&gt;A3))</f>
        <v>0</v>
      </c>
    </row>
    <row r="11" spans="1:12" x14ac:dyDescent="0.3">
      <c r="A11" s="8">
        <v>10</v>
      </c>
      <c r="B11" s="8">
        <v>10</v>
      </c>
      <c r="C11" s="8">
        <v>10</v>
      </c>
      <c r="D11" s="8">
        <v>10</v>
      </c>
      <c r="E11" s="8">
        <v>10</v>
      </c>
      <c r="F11" s="8">
        <v>10</v>
      </c>
      <c r="G11" s="8">
        <v>10</v>
      </c>
    </row>
    <row r="12" spans="1:12" x14ac:dyDescent="0.3">
      <c r="A12" s="8">
        <v>10</v>
      </c>
      <c r="B12" s="8">
        <v>10</v>
      </c>
      <c r="C12" s="8">
        <v>10</v>
      </c>
      <c r="D12" s="8">
        <v>10</v>
      </c>
      <c r="E12" s="8">
        <v>10</v>
      </c>
      <c r="F12" s="8">
        <v>10</v>
      </c>
      <c r="G12" s="8">
        <v>10</v>
      </c>
    </row>
    <row r="13" spans="1:12" x14ac:dyDescent="0.3">
      <c r="A13" s="8">
        <v>10</v>
      </c>
      <c r="B13" s="8">
        <v>10</v>
      </c>
      <c r="C13" s="8">
        <v>10</v>
      </c>
      <c r="D13" s="8">
        <v>10</v>
      </c>
      <c r="E13" s="8">
        <v>10</v>
      </c>
      <c r="F13" s="8">
        <v>10</v>
      </c>
      <c r="G13" s="8">
        <v>10</v>
      </c>
    </row>
    <row r="14" spans="1:12" x14ac:dyDescent="0.3">
      <c r="A14" s="8">
        <v>10</v>
      </c>
      <c r="B14" s="8">
        <v>10</v>
      </c>
      <c r="C14" s="8">
        <v>10</v>
      </c>
      <c r="D14" s="8">
        <v>10</v>
      </c>
      <c r="E14" s="8">
        <v>10</v>
      </c>
      <c r="F14" s="8">
        <v>10</v>
      </c>
      <c r="G14" s="8">
        <v>10</v>
      </c>
    </row>
    <row r="15" spans="1:12" x14ac:dyDescent="0.3">
      <c r="A15" s="8">
        <v>10</v>
      </c>
      <c r="B15" s="8">
        <v>10</v>
      </c>
      <c r="C15" s="8">
        <v>10</v>
      </c>
      <c r="D15" s="8">
        <v>10</v>
      </c>
      <c r="E15" s="8">
        <v>10</v>
      </c>
      <c r="F15" s="8">
        <v>10</v>
      </c>
      <c r="G15" s="8">
        <v>10</v>
      </c>
    </row>
    <row r="16" spans="1:12" x14ac:dyDescent="0.3">
      <c r="A16" s="8">
        <v>10</v>
      </c>
      <c r="B16" s="8">
        <v>10</v>
      </c>
      <c r="C16" s="8">
        <v>10</v>
      </c>
      <c r="D16" s="8">
        <v>10</v>
      </c>
      <c r="E16" s="8">
        <v>10</v>
      </c>
      <c r="F16" s="8">
        <v>10</v>
      </c>
      <c r="G16" s="8">
        <v>10</v>
      </c>
    </row>
    <row r="17" spans="1:7" x14ac:dyDescent="0.3">
      <c r="A17" s="8">
        <v>10</v>
      </c>
      <c r="B17" s="8">
        <v>10</v>
      </c>
      <c r="C17" s="8">
        <v>10</v>
      </c>
      <c r="D17" s="8">
        <v>10</v>
      </c>
      <c r="E17" s="8">
        <v>10</v>
      </c>
      <c r="F17" s="8">
        <v>10</v>
      </c>
      <c r="G17" s="8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070F-C9DC-4C13-B8B9-540E26F12AF6}">
  <dimension ref="A2:K47"/>
  <sheetViews>
    <sheetView showGridLines="0" workbookViewId="0">
      <selection activeCell="K14" sqref="K14"/>
    </sheetView>
  </sheetViews>
  <sheetFormatPr defaultRowHeight="14.4" x14ac:dyDescent="0.3"/>
  <cols>
    <col min="3" max="3" width="16.5546875" customWidth="1"/>
    <col min="7" max="7" width="14.5546875" bestFit="1" customWidth="1"/>
  </cols>
  <sheetData>
    <row r="2" spans="1:11" x14ac:dyDescent="0.3">
      <c r="A2" s="7"/>
      <c r="B2" s="7" t="s">
        <v>18</v>
      </c>
    </row>
    <row r="5" spans="1:11" x14ac:dyDescent="0.3">
      <c r="C5" s="5" t="s">
        <v>0</v>
      </c>
      <c r="D5" s="5" t="s">
        <v>12</v>
      </c>
      <c r="G5" s="5" t="s">
        <v>0</v>
      </c>
      <c r="H5" s="5" t="s">
        <v>13</v>
      </c>
      <c r="I5" s="5" t="s">
        <v>14</v>
      </c>
      <c r="J5" s="5" t="s">
        <v>15</v>
      </c>
    </row>
    <row r="6" spans="1:11" x14ac:dyDescent="0.3">
      <c r="C6" s="9" t="s">
        <v>20</v>
      </c>
      <c r="D6" s="6">
        <v>49</v>
      </c>
      <c r="G6" s="9" t="s">
        <v>22</v>
      </c>
      <c r="H6" s="6">
        <f t="array" ref="H6">LARGE(IF($C$6:$C$47=$G$6,$D$6:$D$47),COLUMNS($G$4:G4))</f>
        <v>88</v>
      </c>
      <c r="I6" s="6">
        <f t="array" ref="I6">LARGE(IF($C$6:$C$47=$G$6,$D$6:$D$47),COLUMNS($G$4:H4))</f>
        <v>56</v>
      </c>
      <c r="J6" s="6">
        <f t="array" ref="J6">LARGE(IF($C$6:$C$47=$G$6,$D$6:$D$47),COLUMNS($G$4:I4))</f>
        <v>41</v>
      </c>
    </row>
    <row r="7" spans="1:11" x14ac:dyDescent="0.3">
      <c r="C7" s="9" t="s">
        <v>21</v>
      </c>
      <c r="D7" s="6">
        <v>94</v>
      </c>
    </row>
    <row r="8" spans="1:11" x14ac:dyDescent="0.3">
      <c r="C8" s="9" t="s">
        <v>22</v>
      </c>
      <c r="D8" s="6">
        <v>56</v>
      </c>
      <c r="H8" cm="1">
        <f t="array" ref="H8">LARGE(IF(C6:$C$47=$G$6,$D$6:$D$47),COLUMNS($H$5:H5))</f>
        <v>88</v>
      </c>
      <c r="I8" cm="1">
        <f t="array" ref="I8">LARGE(IF($C6:D$47=$G$6,$D$6:$D$47),COLUMNS($H$5:I5))</f>
        <v>56</v>
      </c>
      <c r="J8" cm="1">
        <f t="array" ref="J8">LARGE(IF($C6:E$47=$G$6,$D$6:$D$47),COLUMNS($H$5:J5))</f>
        <v>41</v>
      </c>
    </row>
    <row r="9" spans="1:11" x14ac:dyDescent="0.3">
      <c r="C9" s="9" t="s">
        <v>23</v>
      </c>
      <c r="D9" s="6">
        <v>60</v>
      </c>
    </row>
    <row r="10" spans="1:11" x14ac:dyDescent="0.3">
      <c r="C10" s="9" t="s">
        <v>24</v>
      </c>
      <c r="D10" s="6">
        <v>87</v>
      </c>
      <c r="H10" cm="1">
        <f t="array" ref="H10">LARGE(IF($C$6:$C$47=$G$6, $D$6:$D$47, -1), COLUMNS($H$9:H9))</f>
        <v>88</v>
      </c>
      <c r="I10" cm="1">
        <f t="array" ref="I10">LARGE(IF($C$6:$C$47=$G$6, $D$6:$D$47, -1), COLUMNS($H$9:I9))</f>
        <v>56</v>
      </c>
      <c r="J10" cm="1">
        <f t="array" ref="J10">LARGE(IF($C$6:$C$47=$G$6, $D$6:$D$47, -1), COLUMNS($H$9:J9))</f>
        <v>41</v>
      </c>
    </row>
    <row r="11" spans="1:11" x14ac:dyDescent="0.3">
      <c r="C11" s="9" t="s">
        <v>25</v>
      </c>
      <c r="D11" s="6">
        <v>70</v>
      </c>
    </row>
    <row r="12" spans="1:11" x14ac:dyDescent="0.3">
      <c r="C12" s="9" t="s">
        <v>26</v>
      </c>
      <c r="D12" s="6">
        <v>92</v>
      </c>
      <c r="H12" cm="1">
        <f t="array" ref="H12">LARGE(_xlfn.CHOOSECOLS(_xlfn._xlws.FILTER($C$6:$D$47,$C$6:$C$47=$G$6),2), COLUMNS($H$11:H11))</f>
        <v>88</v>
      </c>
      <c r="I12" cm="1">
        <f t="array" ref="I12">LARGE(_xlfn.CHOOSECOLS(_xlfn._xlws.FILTER($C$6:$D$47,$C$6:$C$47=$G$6),2), COLUMNS($H$11:I11))</f>
        <v>56</v>
      </c>
      <c r="J12" cm="1">
        <f t="array" ref="J12">LARGE(_xlfn.CHOOSECOLS(_xlfn._xlws.FILTER($C$6:$D$47,$C$6:$C$47=$G$6),2), COLUMNS($H$11:J11))</f>
        <v>41</v>
      </c>
    </row>
    <row r="13" spans="1:11" x14ac:dyDescent="0.3">
      <c r="C13" s="9" t="s">
        <v>27</v>
      </c>
      <c r="D13" s="6">
        <v>82</v>
      </c>
      <c r="H13" cm="1">
        <f t="array" ref="H13">LARGE(IF($C$6:$C$47=$G$6,$D$6:$D$47,""), COLUMNS($H$12:H12))</f>
        <v>88</v>
      </c>
      <c r="I13" cm="1">
        <f t="array" ref="I13">LARGE(IF($C$6:$C$47=$G$6,$D$6:$D$47,""), COLUMNS($H$12:I12))</f>
        <v>56</v>
      </c>
      <c r="J13" cm="1">
        <f t="array" ref="J13">LARGE(IF($C$6:$C$47=$G$6,$D$6:$D$47,""), COLUMNS($H$12:J12))</f>
        <v>41</v>
      </c>
      <c r="K13" cm="1">
        <f t="array" ref="K13">LARGE(IF($C$6:$C$47=$G$6,$D$6:$D$47,""), COLUMNS($H$12:K12))</f>
        <v>39</v>
      </c>
    </row>
    <row r="14" spans="1:11" x14ac:dyDescent="0.3">
      <c r="C14" s="9" t="s">
        <v>19</v>
      </c>
      <c r="D14" s="6">
        <v>88</v>
      </c>
    </row>
    <row r="15" spans="1:11" x14ac:dyDescent="0.3">
      <c r="C15" s="9" t="s">
        <v>20</v>
      </c>
      <c r="D15" s="6">
        <v>73</v>
      </c>
    </row>
    <row r="16" spans="1:11" x14ac:dyDescent="0.3">
      <c r="C16" s="9" t="s">
        <v>21</v>
      </c>
      <c r="D16" s="6">
        <v>98</v>
      </c>
    </row>
    <row r="17" spans="3:4" x14ac:dyDescent="0.3">
      <c r="C17" s="9" t="s">
        <v>22</v>
      </c>
      <c r="D17" s="6">
        <v>41</v>
      </c>
    </row>
    <row r="18" spans="3:4" x14ac:dyDescent="0.3">
      <c r="C18" s="9" t="s">
        <v>23</v>
      </c>
      <c r="D18" s="6">
        <v>78</v>
      </c>
    </row>
    <row r="19" spans="3:4" x14ac:dyDescent="0.3">
      <c r="C19" s="9" t="s">
        <v>24</v>
      </c>
      <c r="D19" s="6">
        <v>51</v>
      </c>
    </row>
    <row r="20" spans="3:4" x14ac:dyDescent="0.3">
      <c r="C20" s="9" t="s">
        <v>25</v>
      </c>
      <c r="D20" s="6">
        <v>57</v>
      </c>
    </row>
    <row r="21" spans="3:4" x14ac:dyDescent="0.3">
      <c r="C21" s="9" t="s">
        <v>26</v>
      </c>
      <c r="D21" s="6">
        <v>74</v>
      </c>
    </row>
    <row r="22" spans="3:4" x14ac:dyDescent="0.3">
      <c r="C22" s="9" t="s">
        <v>27</v>
      </c>
      <c r="D22" s="6">
        <v>47</v>
      </c>
    </row>
    <row r="23" spans="3:4" x14ac:dyDescent="0.3">
      <c r="C23" s="9" t="s">
        <v>19</v>
      </c>
      <c r="D23" s="6">
        <v>39</v>
      </c>
    </row>
    <row r="24" spans="3:4" x14ac:dyDescent="0.3">
      <c r="C24" s="9" t="s">
        <v>23</v>
      </c>
      <c r="D24" s="6">
        <v>71</v>
      </c>
    </row>
    <row r="25" spans="3:4" x14ac:dyDescent="0.3">
      <c r="C25" s="9" t="s">
        <v>24</v>
      </c>
      <c r="D25" s="6">
        <v>87</v>
      </c>
    </row>
    <row r="26" spans="3:4" x14ac:dyDescent="0.3">
      <c r="C26" s="9" t="s">
        <v>25</v>
      </c>
      <c r="D26" s="6">
        <v>60</v>
      </c>
    </row>
    <row r="27" spans="3:4" x14ac:dyDescent="0.3">
      <c r="C27" s="9" t="s">
        <v>26</v>
      </c>
      <c r="D27" s="6">
        <v>80</v>
      </c>
    </row>
    <row r="28" spans="3:4" x14ac:dyDescent="0.3">
      <c r="C28" s="9" t="s">
        <v>27</v>
      </c>
      <c r="D28" s="6">
        <v>86</v>
      </c>
    </row>
    <row r="29" spans="3:4" x14ac:dyDescent="0.3">
      <c r="C29" s="9" t="s">
        <v>19</v>
      </c>
      <c r="D29" s="6">
        <v>47</v>
      </c>
    </row>
    <row r="30" spans="3:4" x14ac:dyDescent="0.3">
      <c r="C30" s="9" t="s">
        <v>20</v>
      </c>
      <c r="D30" s="6">
        <v>92</v>
      </c>
    </row>
    <row r="31" spans="3:4" x14ac:dyDescent="0.3">
      <c r="C31" s="9" t="s">
        <v>21</v>
      </c>
      <c r="D31" s="6">
        <v>82</v>
      </c>
    </row>
    <row r="32" spans="3:4" x14ac:dyDescent="0.3">
      <c r="C32" s="9" t="s">
        <v>22</v>
      </c>
      <c r="D32" s="6">
        <v>88</v>
      </c>
    </row>
    <row r="33" spans="3:4" x14ac:dyDescent="0.3">
      <c r="C33" s="9" t="s">
        <v>23</v>
      </c>
      <c r="D33" s="6">
        <v>73</v>
      </c>
    </row>
    <row r="34" spans="3:4" x14ac:dyDescent="0.3">
      <c r="C34" s="9" t="s">
        <v>24</v>
      </c>
      <c r="D34" s="6">
        <v>98</v>
      </c>
    </row>
    <row r="35" spans="3:4" x14ac:dyDescent="0.3">
      <c r="C35" s="9" t="s">
        <v>25</v>
      </c>
      <c r="D35" s="6">
        <v>41</v>
      </c>
    </row>
    <row r="36" spans="3:4" x14ac:dyDescent="0.3">
      <c r="C36" s="9" t="s">
        <v>26</v>
      </c>
      <c r="D36" s="6">
        <v>78</v>
      </c>
    </row>
    <row r="37" spans="3:4" x14ac:dyDescent="0.3">
      <c r="C37" s="9" t="s">
        <v>27</v>
      </c>
      <c r="D37" s="6">
        <v>51</v>
      </c>
    </row>
    <row r="38" spans="3:4" x14ac:dyDescent="0.3">
      <c r="C38" s="9" t="s">
        <v>19</v>
      </c>
      <c r="D38" s="6">
        <v>57</v>
      </c>
    </row>
    <row r="39" spans="3:4" x14ac:dyDescent="0.3">
      <c r="C39" s="9" t="s">
        <v>20</v>
      </c>
      <c r="D39" s="6">
        <v>74</v>
      </c>
    </row>
    <row r="40" spans="3:4" x14ac:dyDescent="0.3">
      <c r="C40" s="9" t="s">
        <v>21</v>
      </c>
      <c r="D40" s="6">
        <v>47</v>
      </c>
    </row>
    <row r="41" spans="3:4" x14ac:dyDescent="0.3">
      <c r="C41" s="9" t="s">
        <v>22</v>
      </c>
      <c r="D41" s="6">
        <v>39</v>
      </c>
    </row>
    <row r="42" spans="3:4" x14ac:dyDescent="0.3">
      <c r="C42" s="9" t="s">
        <v>23</v>
      </c>
      <c r="D42" s="6">
        <v>71</v>
      </c>
    </row>
    <row r="43" spans="3:4" x14ac:dyDescent="0.3">
      <c r="C43" s="9" t="s">
        <v>24</v>
      </c>
      <c r="D43" s="6">
        <v>87</v>
      </c>
    </row>
    <row r="44" spans="3:4" x14ac:dyDescent="0.3">
      <c r="C44" s="9" t="s">
        <v>25</v>
      </c>
      <c r="D44" s="6">
        <v>60</v>
      </c>
    </row>
    <row r="45" spans="3:4" x14ac:dyDescent="0.3">
      <c r="C45" s="9" t="s">
        <v>26</v>
      </c>
      <c r="D45" s="6">
        <v>80</v>
      </c>
    </row>
    <row r="46" spans="3:4" x14ac:dyDescent="0.3">
      <c r="C46" s="9" t="s">
        <v>27</v>
      </c>
      <c r="D46" s="6">
        <v>86</v>
      </c>
    </row>
    <row r="47" spans="3:4" x14ac:dyDescent="0.3">
      <c r="C47" s="9" t="s">
        <v>19</v>
      </c>
      <c r="D47" s="6">
        <v>47</v>
      </c>
    </row>
  </sheetData>
  <dataValidations count="1">
    <dataValidation type="list" allowBlank="1" showInputMessage="1" showErrorMessage="1" sqref="G6" xr:uid="{70F5CB6F-9909-4F97-BD93-064BE775C77D}">
      <formula1>$C$6:$C$14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D0CF-EA3F-4203-A884-CF2C253C9CDB}">
  <dimension ref="C2:J14"/>
  <sheetViews>
    <sheetView workbookViewId="0">
      <selection activeCell="I12" sqref="I12"/>
    </sheetView>
  </sheetViews>
  <sheetFormatPr defaultRowHeight="14.4" x14ac:dyDescent="0.3"/>
  <cols>
    <col min="5" max="5" width="27" customWidth="1"/>
    <col min="6" max="6" width="22.33203125" customWidth="1"/>
    <col min="7" max="7" width="9.33203125" customWidth="1"/>
    <col min="9" max="9" width="22.44140625" customWidth="1"/>
    <col min="10" max="10" width="60.5546875" customWidth="1"/>
  </cols>
  <sheetData>
    <row r="2" spans="3:10" x14ac:dyDescent="0.3">
      <c r="C2" s="7" t="s">
        <v>28</v>
      </c>
    </row>
    <row r="4" spans="3:10" ht="23.4" x14ac:dyDescent="0.45">
      <c r="E4" s="4" t="s">
        <v>0</v>
      </c>
      <c r="F4" s="4" t="s">
        <v>2</v>
      </c>
      <c r="G4" s="2"/>
      <c r="H4" s="2"/>
      <c r="I4" s="2"/>
      <c r="J4" s="2"/>
    </row>
    <row r="5" spans="3:10" ht="23.4" x14ac:dyDescent="0.45">
      <c r="E5" s="9" t="s">
        <v>21</v>
      </c>
      <c r="F5" s="9" t="s">
        <v>3</v>
      </c>
      <c r="G5" s="2"/>
      <c r="H5" s="2"/>
      <c r="I5" s="4" t="s">
        <v>0</v>
      </c>
      <c r="J5" s="4" t="s">
        <v>2</v>
      </c>
    </row>
    <row r="6" spans="3:10" ht="23.4" x14ac:dyDescent="0.45">
      <c r="E6" s="9" t="s">
        <v>29</v>
      </c>
      <c r="F6" s="9" t="s">
        <v>4</v>
      </c>
      <c r="G6" s="2"/>
      <c r="H6" s="2"/>
      <c r="I6" s="3" t="s">
        <v>31</v>
      </c>
      <c r="J6" s="3" t="str" cm="1">
        <f t="array" ref="J6">INDEX($E$5:$F$13,MATCH(TRUE,EXACT(I6,$E$5:$E$13),0),2)</f>
        <v>Mumbai</v>
      </c>
    </row>
    <row r="7" spans="3:10" ht="23.4" x14ac:dyDescent="0.45">
      <c r="E7" s="9" t="s">
        <v>30</v>
      </c>
      <c r="F7" s="9" t="s">
        <v>5</v>
      </c>
      <c r="G7" s="2"/>
      <c r="H7" s="2"/>
      <c r="I7" s="2"/>
      <c r="J7" s="2"/>
    </row>
    <row r="8" spans="3:10" ht="23.4" x14ac:dyDescent="0.45">
      <c r="E8" s="9" t="s">
        <v>31</v>
      </c>
      <c r="F8" s="9" t="s">
        <v>6</v>
      </c>
      <c r="G8" s="2"/>
      <c r="H8" s="2"/>
      <c r="I8" s="2" t="str" cm="1">
        <f t="array" aca="1" ref="I8" ca="1">INDIRECT("f"&amp;LARGE(IF(EXACT($E$5:$E$13,$I$6),ROW(F5:F13)),1))</f>
        <v>Mumbai</v>
      </c>
      <c r="J8" s="2"/>
    </row>
    <row r="9" spans="3:10" ht="23.4" x14ac:dyDescent="0.45">
      <c r="E9" s="9" t="s">
        <v>32</v>
      </c>
      <c r="F9" s="9" t="s">
        <v>7</v>
      </c>
      <c r="G9" s="2"/>
      <c r="H9" s="2"/>
      <c r="I9" s="2"/>
      <c r="J9" s="2"/>
    </row>
    <row r="10" spans="3:10" ht="23.4" x14ac:dyDescent="0.45">
      <c r="E10" s="9" t="s">
        <v>33</v>
      </c>
      <c r="F10" s="9" t="s">
        <v>8</v>
      </c>
      <c r="G10" s="2"/>
      <c r="H10" s="2"/>
      <c r="I10" s="2" t="str" cm="1">
        <f t="array" ref="I10">INDEX(F5:F13,MATCH(TRUE,EXACT($E$5:$E$13, $I$6),0))</f>
        <v>Mumbai</v>
      </c>
      <c r="J10" s="2"/>
    </row>
    <row r="11" spans="3:10" ht="23.4" x14ac:dyDescent="0.45">
      <c r="E11" s="9" t="s">
        <v>34</v>
      </c>
      <c r="F11" s="9" t="s">
        <v>9</v>
      </c>
      <c r="G11" s="2"/>
      <c r="H11" s="2"/>
      <c r="I11" s="2" t="str" cm="1">
        <f t="array" aca="1" ref="I11" ca="1">INDIRECT("F"&amp;MIN(IF(EXACT(E5:E13,I6), ROW(F5:F13),"")),TRUE)</f>
        <v>Mumbai</v>
      </c>
      <c r="J11" s="2"/>
    </row>
    <row r="12" spans="3:10" ht="23.4" x14ac:dyDescent="0.45">
      <c r="E12" s="9" t="s">
        <v>35</v>
      </c>
      <c r="F12" s="9" t="s">
        <v>10</v>
      </c>
      <c r="G12" s="2"/>
      <c r="H12" s="2"/>
      <c r="I12" s="2"/>
      <c r="J12" s="2"/>
    </row>
    <row r="13" spans="3:10" ht="23.4" x14ac:dyDescent="0.45">
      <c r="E13" s="9" t="s">
        <v>35</v>
      </c>
      <c r="F13" s="9" t="s">
        <v>11</v>
      </c>
      <c r="G13" s="2"/>
      <c r="H13" s="2"/>
      <c r="I13" s="2"/>
      <c r="J13" s="2"/>
    </row>
    <row r="14" spans="3:10" x14ac:dyDescent="0.3">
      <c r="F14" s="13"/>
    </row>
  </sheetData>
  <dataValidations count="1">
    <dataValidation type="list" allowBlank="1" showInputMessage="1" showErrorMessage="1" sqref="I6" xr:uid="{A8243E12-9057-4C55-A038-94C76633F148}">
      <formula1>$E$5:$E$13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DF82-5416-4F37-84E9-3E0477E9482E}">
  <dimension ref="B1:P15"/>
  <sheetViews>
    <sheetView workbookViewId="0">
      <selection activeCell="G11" sqref="G11"/>
    </sheetView>
  </sheetViews>
  <sheetFormatPr defaultRowHeight="14.4" x14ac:dyDescent="0.3"/>
  <cols>
    <col min="4" max="4" width="22.33203125" customWidth="1"/>
    <col min="5" max="5" width="18.88671875" customWidth="1"/>
    <col min="7" max="7" width="14.88671875" customWidth="1"/>
  </cols>
  <sheetData>
    <row r="1" spans="2:16" ht="2.25" customHeight="1" x14ac:dyDescent="0.3"/>
    <row r="2" spans="2:16" x14ac:dyDescent="0.3">
      <c r="B2" s="7" t="s">
        <v>36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spans="2:16" ht="23.4" x14ac:dyDescent="0.45">
      <c r="D4" s="1" t="s">
        <v>0</v>
      </c>
      <c r="E4" s="1" t="s">
        <v>1</v>
      </c>
      <c r="F4" s="2"/>
      <c r="G4" s="2"/>
      <c r="H4" s="2"/>
    </row>
    <row r="5" spans="2:16" ht="23.4" x14ac:dyDescent="0.45">
      <c r="D5" s="9" t="s">
        <v>20</v>
      </c>
      <c r="E5" s="3">
        <v>-6</v>
      </c>
      <c r="F5" s="2"/>
      <c r="G5" s="2"/>
      <c r="H5" s="2"/>
    </row>
    <row r="6" spans="2:16" ht="23.4" x14ac:dyDescent="0.45">
      <c r="D6" s="9" t="s">
        <v>21</v>
      </c>
      <c r="E6" s="3">
        <v>-7</v>
      </c>
      <c r="F6" s="2"/>
      <c r="G6" s="2"/>
      <c r="H6" s="2"/>
    </row>
    <row r="7" spans="2:16" ht="23.4" x14ac:dyDescent="0.45">
      <c r="D7" s="9" t="s">
        <v>22</v>
      </c>
      <c r="E7" s="3">
        <v>-8</v>
      </c>
      <c r="F7" s="2"/>
      <c r="G7" s="11" t="s">
        <v>37</v>
      </c>
      <c r="H7" s="2"/>
    </row>
    <row r="8" spans="2:16" ht="23.4" x14ac:dyDescent="0.45">
      <c r="D8" s="9" t="s">
        <v>23</v>
      </c>
      <c r="E8" s="3">
        <v>-7</v>
      </c>
      <c r="F8" s="2"/>
      <c r="G8" s="10" t="str">
        <f t="array" ref="G8">INDEX(D5:D15,MATCH(TRUE,E5:E15&gt;0,0))</f>
        <v>Shrikant Badge</v>
      </c>
      <c r="H8" s="2"/>
      <c r="I8" t="str" cm="1">
        <f t="array" ref="I8">INDEX(D5:D15,MATCH(TRUE,E5:E15&gt;0,0))</f>
        <v>Shrikant Badge</v>
      </c>
      <c r="L8" t="str" cm="1">
        <f t="array" aca="1" ref="L8" ca="1">INDIRECT("d"&amp;MIN(IF(E5:E15&gt;0, ROW(E5:E15))))</f>
        <v>Shrikant Badge</v>
      </c>
    </row>
    <row r="9" spans="2:16" ht="23.4" x14ac:dyDescent="0.45">
      <c r="D9" s="9" t="s">
        <v>24</v>
      </c>
      <c r="E9" s="3">
        <v>-8</v>
      </c>
      <c r="F9" s="2"/>
      <c r="G9" s="2"/>
      <c r="H9" s="2"/>
    </row>
    <row r="10" spans="2:16" ht="23.4" x14ac:dyDescent="0.45">
      <c r="D10" s="9" t="s">
        <v>25</v>
      </c>
      <c r="E10" s="3">
        <v>-3</v>
      </c>
      <c r="F10" s="2"/>
      <c r="G10" s="2" t="str" cm="1">
        <f t="array" aca="1" ref="G10" ca="1">INDIRECT("D"&amp;MIN(IF(E5:E15&gt;0,ROW(E5:E15),"")),TRUE)</f>
        <v>Shrikant Badge</v>
      </c>
      <c r="H10" s="2"/>
    </row>
    <row r="11" spans="2:16" ht="23.4" x14ac:dyDescent="0.45">
      <c r="D11" s="9" t="s">
        <v>26</v>
      </c>
      <c r="E11" s="3">
        <v>2</v>
      </c>
      <c r="F11" s="2"/>
      <c r="G11" s="2"/>
      <c r="H11" s="2"/>
    </row>
    <row r="12" spans="2:16" ht="23.4" x14ac:dyDescent="0.45">
      <c r="D12" s="9" t="s">
        <v>27</v>
      </c>
      <c r="E12" s="3">
        <v>8</v>
      </c>
      <c r="F12" s="2"/>
      <c r="G12" s="2"/>
      <c r="H12" s="2"/>
    </row>
    <row r="13" spans="2:16" ht="23.4" x14ac:dyDescent="0.45">
      <c r="D13" s="9" t="s">
        <v>19</v>
      </c>
      <c r="E13" s="3">
        <v>-4</v>
      </c>
      <c r="F13" s="2"/>
      <c r="G13" s="2"/>
      <c r="H13" s="2"/>
    </row>
    <row r="14" spans="2:16" ht="23.4" x14ac:dyDescent="0.45">
      <c r="D14" s="9" t="s">
        <v>20</v>
      </c>
      <c r="E14" s="3">
        <v>5</v>
      </c>
      <c r="F14" s="2"/>
      <c r="G14" s="2"/>
      <c r="H14" s="2"/>
    </row>
    <row r="15" spans="2:16" ht="23.4" x14ac:dyDescent="0.45">
      <c r="D15" s="9" t="s">
        <v>21</v>
      </c>
      <c r="E15" s="3">
        <v>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927E-69C4-4682-8DAC-AFAC086EBA67}">
  <dimension ref="A1:L14"/>
  <sheetViews>
    <sheetView tabSelected="1" workbookViewId="0">
      <selection activeCell="I3" sqref="I3"/>
    </sheetView>
  </sheetViews>
  <sheetFormatPr defaultRowHeight="14.4" x14ac:dyDescent="0.3"/>
  <cols>
    <col min="3" max="3" width="10.88671875" bestFit="1" customWidth="1"/>
    <col min="9" max="9" width="11.33203125" bestFit="1" customWidth="1"/>
    <col min="10" max="10" width="9.88671875" bestFit="1" customWidth="1"/>
    <col min="11" max="11" width="14.88671875" bestFit="1" customWidth="1"/>
    <col min="12" max="12" width="16.44140625" bestFit="1" customWidth="1"/>
    <col min="13" max="17" width="17.33203125" bestFit="1" customWidth="1"/>
    <col min="18" max="18" width="20.33203125" bestFit="1" customWidth="1"/>
    <col min="19" max="19" width="22.33203125" bestFit="1" customWidth="1"/>
  </cols>
  <sheetData>
    <row r="1" spans="1:12" x14ac:dyDescent="0.3">
      <c r="A1" s="7" t="s">
        <v>54</v>
      </c>
    </row>
    <row r="2" spans="1:12" x14ac:dyDescent="0.3">
      <c r="A2" s="7"/>
    </row>
    <row r="3" spans="1:12" x14ac:dyDescent="0.3">
      <c r="A3" s="12" t="s">
        <v>38</v>
      </c>
      <c r="B3" s="12" t="s">
        <v>39</v>
      </c>
      <c r="C3" s="12" t="s">
        <v>40</v>
      </c>
      <c r="D3" s="12" t="s">
        <v>41</v>
      </c>
      <c r="K3" s="14" t="s">
        <v>57</v>
      </c>
    </row>
    <row r="4" spans="1:12" x14ac:dyDescent="0.3">
      <c r="A4" s="8" t="s">
        <v>42</v>
      </c>
      <c r="B4" s="8" t="s">
        <v>43</v>
      </c>
      <c r="C4" s="8">
        <v>1000</v>
      </c>
      <c r="D4" s="8">
        <v>4000</v>
      </c>
      <c r="I4" s="14" t="s">
        <v>38</v>
      </c>
      <c r="J4" s="14" t="s">
        <v>39</v>
      </c>
      <c r="K4" t="s">
        <v>56</v>
      </c>
      <c r="L4" t="s">
        <v>58</v>
      </c>
    </row>
    <row r="5" spans="1:12" x14ac:dyDescent="0.3">
      <c r="A5" s="8" t="s">
        <v>44</v>
      </c>
      <c r="B5" s="8" t="s">
        <v>45</v>
      </c>
      <c r="C5" s="8">
        <v>2000</v>
      </c>
      <c r="D5" s="8">
        <v>8000</v>
      </c>
      <c r="I5" t="s">
        <v>42</v>
      </c>
      <c r="J5" t="s">
        <v>43</v>
      </c>
      <c r="K5" s="15">
        <v>4000</v>
      </c>
      <c r="L5" s="15">
        <v>4000000</v>
      </c>
    </row>
    <row r="6" spans="1:12" x14ac:dyDescent="0.3">
      <c r="A6" s="8" t="s">
        <v>46</v>
      </c>
      <c r="B6" s="8" t="s">
        <v>47</v>
      </c>
      <c r="C6" s="8">
        <v>500</v>
      </c>
      <c r="D6" s="8">
        <v>6000</v>
      </c>
      <c r="J6" t="s">
        <v>48</v>
      </c>
      <c r="K6" s="15">
        <v>16000</v>
      </c>
      <c r="L6" s="15">
        <v>59200000</v>
      </c>
    </row>
    <row r="7" spans="1:12" x14ac:dyDescent="0.3">
      <c r="A7" s="8" t="s">
        <v>42</v>
      </c>
      <c r="B7" s="8" t="s">
        <v>48</v>
      </c>
      <c r="C7" s="8">
        <v>3000</v>
      </c>
      <c r="D7" s="8">
        <v>9000</v>
      </c>
      <c r="I7" t="s">
        <v>44</v>
      </c>
      <c r="J7" t="s">
        <v>45</v>
      </c>
      <c r="K7" s="15">
        <v>8000</v>
      </c>
      <c r="L7" s="15">
        <v>16000000</v>
      </c>
    </row>
    <row r="8" spans="1:12" x14ac:dyDescent="0.3">
      <c r="A8" s="8" t="s">
        <v>49</v>
      </c>
      <c r="B8" s="8" t="s">
        <v>43</v>
      </c>
      <c r="C8" s="8">
        <v>4000</v>
      </c>
      <c r="D8" s="8">
        <v>5000</v>
      </c>
      <c r="I8" t="s">
        <v>46</v>
      </c>
      <c r="J8" t="s">
        <v>47</v>
      </c>
      <c r="K8" s="15">
        <v>6000</v>
      </c>
      <c r="L8" s="15">
        <v>3000000</v>
      </c>
    </row>
    <row r="9" spans="1:12" x14ac:dyDescent="0.3">
      <c r="A9" s="8" t="s">
        <v>50</v>
      </c>
      <c r="B9" s="8" t="s">
        <v>45</v>
      </c>
      <c r="C9" s="8">
        <v>600</v>
      </c>
      <c r="D9" s="8">
        <v>5000</v>
      </c>
      <c r="I9" t="s">
        <v>49</v>
      </c>
      <c r="J9" t="s">
        <v>43</v>
      </c>
      <c r="K9" s="15">
        <v>5000</v>
      </c>
      <c r="L9" s="15">
        <v>20000000</v>
      </c>
    </row>
    <row r="10" spans="1:12" x14ac:dyDescent="0.3">
      <c r="A10" s="8" t="s">
        <v>51</v>
      </c>
      <c r="B10" s="8" t="s">
        <v>47</v>
      </c>
      <c r="C10" s="8">
        <v>8000</v>
      </c>
      <c r="D10" s="8">
        <v>9000</v>
      </c>
      <c r="I10" t="s">
        <v>53</v>
      </c>
      <c r="J10" t="s">
        <v>47</v>
      </c>
      <c r="K10" s="15">
        <v>2000</v>
      </c>
      <c r="L10" s="15">
        <v>1200000</v>
      </c>
    </row>
    <row r="11" spans="1:12" x14ac:dyDescent="0.3">
      <c r="A11" s="8" t="s">
        <v>52</v>
      </c>
      <c r="B11" s="8" t="s">
        <v>43</v>
      </c>
      <c r="C11" s="8">
        <v>400</v>
      </c>
      <c r="D11" s="8">
        <v>2000</v>
      </c>
      <c r="I11" t="s">
        <v>52</v>
      </c>
      <c r="J11" t="s">
        <v>43</v>
      </c>
      <c r="K11" s="15">
        <v>2000</v>
      </c>
      <c r="L11" s="15">
        <v>800000</v>
      </c>
    </row>
    <row r="12" spans="1:12" x14ac:dyDescent="0.3">
      <c r="A12" s="8" t="s">
        <v>53</v>
      </c>
      <c r="B12" s="8" t="s">
        <v>47</v>
      </c>
      <c r="C12" s="8">
        <v>600</v>
      </c>
      <c r="D12" s="8">
        <v>2000</v>
      </c>
      <c r="I12" t="s">
        <v>50</v>
      </c>
      <c r="J12" t="s">
        <v>45</v>
      </c>
      <c r="K12" s="15">
        <v>5000</v>
      </c>
      <c r="L12" s="15">
        <v>3000000</v>
      </c>
    </row>
    <row r="13" spans="1:12" x14ac:dyDescent="0.3">
      <c r="A13" s="8" t="s">
        <v>42</v>
      </c>
      <c r="B13" s="8" t="s">
        <v>48</v>
      </c>
      <c r="C13" s="8">
        <v>700</v>
      </c>
      <c r="D13" s="8">
        <v>7000</v>
      </c>
      <c r="I13" t="s">
        <v>51</v>
      </c>
      <c r="J13" t="s">
        <v>47</v>
      </c>
      <c r="K13" s="15">
        <v>9000</v>
      </c>
      <c r="L13" s="15">
        <v>72000000</v>
      </c>
    </row>
    <row r="14" spans="1:12" x14ac:dyDescent="0.3">
      <c r="I14" t="s">
        <v>55</v>
      </c>
      <c r="K14" s="15">
        <v>57000</v>
      </c>
      <c r="L14" s="15">
        <v>1185600000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2020-11-15T08:03:43Z</dcterms:created>
  <dcterms:modified xsi:type="dcterms:W3CDTF">2026-01-27T08:42:01Z</dcterms:modified>
</cp:coreProperties>
</file>