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BBE4C6ED-A53B-4421-BF9E-A8C8D92C9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" sheetId="5" r:id="rId1"/>
    <sheet name="Q2" sheetId="1" r:id="rId2"/>
    <sheet name="Q3" sheetId="2" r:id="rId3"/>
    <sheet name="Q4" sheetId="3" r:id="rId4"/>
    <sheet name="Q5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 a="1"/>
  <c r="K3" i="5"/>
  <c r="K4" i="5" a="1"/>
  <c r="K4" i="5"/>
  <c r="K5" i="5" a="1"/>
  <c r="K5" i="5"/>
  <c r="K6" i="5" a="1"/>
  <c r="K6" i="5"/>
  <c r="K7" i="5" a="1"/>
  <c r="K7" i="5" s="1"/>
  <c r="K8" i="5" a="1"/>
  <c r="K8" i="5"/>
  <c r="K9" i="5" a="1"/>
  <c r="K9" i="5"/>
  <c r="K10" i="5" a="1"/>
  <c r="K10" i="5"/>
  <c r="K11" i="5" a="1"/>
  <c r="K11" i="5"/>
  <c r="K2" i="5" a="1"/>
  <c r="K2" i="5" s="1"/>
  <c r="E14" i="1"/>
  <c r="C6" i="2"/>
  <c r="B5" i="3" a="1"/>
  <c r="B5" i="3" s="1"/>
  <c r="E2" i="4" a="1"/>
  <c r="E2" i="4" s="1"/>
  <c r="H3" i="5"/>
  <c r="H4" i="5"/>
  <c r="H5" i="5"/>
  <c r="H6" i="5"/>
  <c r="H7" i="5"/>
  <c r="H8" i="5"/>
  <c r="H9" i="5"/>
  <c r="H10" i="5"/>
  <c r="H11" i="5"/>
  <c r="H2" i="5"/>
  <c r="C7" i="4" a="1"/>
  <c r="C7" i="4" s="1"/>
  <c r="F2" i="3" a="1"/>
  <c r="F2" i="3"/>
  <c r="C15" i="1" a="1"/>
  <c r="C15" i="1"/>
  <c r="C14" i="1"/>
  <c r="F3" i="5" a="1"/>
  <c r="F3" i="5" s="1"/>
  <c r="F4" i="5" a="1"/>
  <c r="F4" i="5" s="1"/>
  <c r="F5" i="5" a="1"/>
  <c r="F5" i="5"/>
  <c r="F6" i="5" a="1"/>
  <c r="F6" i="5"/>
  <c r="F7" i="5" a="1"/>
  <c r="F7" i="5"/>
  <c r="F8" i="5" a="1"/>
  <c r="F8" i="5"/>
  <c r="F9" i="5" a="1"/>
  <c r="F9" i="5"/>
  <c r="F10" i="5" a="1"/>
  <c r="F10" i="5"/>
  <c r="F11" i="5" a="1"/>
  <c r="F11" i="5"/>
  <c r="F2" i="5" a="1"/>
  <c r="F2" i="5" s="1"/>
  <c r="C4" i="4" a="1"/>
  <c r="C4" i="4" s="1"/>
  <c r="D2" i="3" a="1"/>
  <c r="D2" i="3" s="1"/>
  <c r="B3" i="2"/>
  <c r="E11" i="1" a="1"/>
  <c r="E11" i="1" s="1"/>
  <c r="E10" i="1" a="1"/>
  <c r="E10" i="1" s="1"/>
  <c r="E9" i="1"/>
  <c r="E8" i="1" a="1"/>
  <c r="E8" i="1" s="1"/>
  <c r="D3" i="5" a="1"/>
  <c r="D3" i="5"/>
  <c r="D4" i="5" a="1"/>
  <c r="D4" i="5"/>
  <c r="D5" i="5" a="1"/>
  <c r="D5" i="5"/>
  <c r="D6" i="5" a="1"/>
  <c r="D6" i="5"/>
  <c r="D7" i="5" a="1"/>
  <c r="D7" i="5"/>
  <c r="D8" i="5" a="1"/>
  <c r="D8" i="5"/>
  <c r="D9" i="5" a="1"/>
  <c r="D9" i="5"/>
  <c r="D10" i="5" a="1"/>
  <c r="D10" i="5" s="1"/>
  <c r="D11" i="5" a="1"/>
  <c r="D11" i="5"/>
  <c r="D2" i="5" a="1"/>
  <c r="D2" i="5" s="1"/>
  <c r="B2" i="5" a="1"/>
  <c r="B2" i="5" s="1"/>
  <c r="C2" i="4" a="1"/>
  <c r="C2" i="4" s="1"/>
  <c r="B2" i="2" a="1"/>
  <c r="B2" i="2" s="1"/>
  <c r="C10" i="1" a="1"/>
  <c r="C10" i="1" s="1"/>
  <c r="C9" i="1"/>
  <c r="C7" i="1" a="1"/>
  <c r="C7" i="1" s="1"/>
  <c r="C6" i="1"/>
  <c r="C4" i="1"/>
  <c r="E9" i="2" a="1"/>
  <c r="D9" i="2" a="1"/>
  <c r="C5" i="2" a="1"/>
  <c r="B2" i="3" a="1"/>
  <c r="E9" i="2" l="1"/>
  <c r="D9" i="2"/>
  <c r="C5" i="2"/>
  <c r="B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<sst xmlns="http://schemas.openxmlformats.org/spreadsheetml/2006/main" count="32" uniqueCount="25">
  <si>
    <t>Name</t>
  </si>
  <si>
    <t>Designation</t>
  </si>
  <si>
    <t>Salary</t>
  </si>
  <si>
    <t>Neha</t>
  </si>
  <si>
    <t>Mayur</t>
  </si>
  <si>
    <t>Richa</t>
  </si>
  <si>
    <t>Anirudh</t>
  </si>
  <si>
    <t>Vaibhawi</t>
  </si>
  <si>
    <t>Bhushan</t>
  </si>
  <si>
    <t>Bhawesh</t>
  </si>
  <si>
    <t>Supervisor</t>
  </si>
  <si>
    <t>Manager</t>
  </si>
  <si>
    <t>Mis Executive</t>
  </si>
  <si>
    <t>MIS Analyst</t>
  </si>
  <si>
    <t>Value</t>
  </si>
  <si>
    <t>Find the Minumum Negative value in the given range</t>
  </si>
  <si>
    <t>Reverse Order</t>
  </si>
  <si>
    <t>Dishita</t>
  </si>
  <si>
    <t>Ankit</t>
  </si>
  <si>
    <t>Mahesh</t>
  </si>
  <si>
    <t>Shradha</t>
  </si>
  <si>
    <t>Vipul</t>
  </si>
  <si>
    <t>Riddhima</t>
  </si>
  <si>
    <t>Sum of Numbers in a Cell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</si>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</sst>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E54B-DD0B-4983-BE53-62C53A73F058}">
  <dimension ref="A1:K11"/>
  <sheetViews>
    <sheetView tabSelected="1" workbookViewId="0">
      <selection activeCell="K2" sqref="K2:K11"/>
    </sheetView>
  </sheetViews>
  <sheetFormatPr defaultRowHeight="14.4" x14ac:dyDescent="0.3"/>
  <sheetData>
    <row r="1" spans="1:11" x14ac:dyDescent="0.3">
      <c r="A1" s="1" t="s">
        <v>16</v>
      </c>
    </row>
    <row r="2" spans="1:11" x14ac:dyDescent="0.3">
      <c r="A2" t="s">
        <v>4</v>
      </c>
      <c r="B2" t="str" cm="1">
        <f t="array" ref="B2">INDEX($A$2:$A$11,COUNTA($A$1:$A$11)-ROW(A1))</f>
        <v>Riddhima</v>
      </c>
      <c r="D2" t="str" cm="1">
        <f t="array" ref="D2">INDEX($A$2:$A$11,(COUNTA($A$2:$A$11)-ROWS($A$2:A2)+1))</f>
        <v>Riddhima</v>
      </c>
      <c r="F2" s="2" t="str" cm="1">
        <f t="array" ref="F2">INDEX($A$2:$A$11,11-ROWS($D$2:D2))</f>
        <v>Riddhima</v>
      </c>
      <c r="H2">
        <f>COUNTA($A$2:$A$11) - ROWS($G$2:G2) + 1</f>
        <v>10</v>
      </c>
      <c r="K2" t="str" cm="1">
        <f t="array" ref="K2">INDEX($A$2:$A$11,COUNTA($A$2:$A$11)-ROWS($J$2:J2)+1)</f>
        <v>Riddhima</v>
      </c>
    </row>
    <row r="3" spans="1:11" x14ac:dyDescent="0.3">
      <c r="A3" t="s">
        <v>3</v>
      </c>
      <c r="D3" t="str" cm="1">
        <f t="array" ref="D3">INDEX($A$2:$A$11,(COUNTA($A$2:$A$11)-ROWS($A$2:A3)+1))</f>
        <v>Vipul</v>
      </c>
      <c r="F3" s="2" t="str" cm="1">
        <f t="array" ref="F3">INDEX($A$2:$A$11,11-ROWS($D$2:D3))</f>
        <v>Vipul</v>
      </c>
      <c r="H3">
        <f>COUNTA($A$2:$A$11) - ROWS($G$2:G3) + 1</f>
        <v>9</v>
      </c>
      <c r="K3" t="str" cm="1">
        <f t="array" ref="K3">INDEX($A$2:$A$11,COUNTA($A$2:$A$11)-ROWS($J$2:J3)+1)</f>
        <v>Vipul</v>
      </c>
    </row>
    <row r="4" spans="1:11" x14ac:dyDescent="0.3">
      <c r="A4" t="s">
        <v>17</v>
      </c>
      <c r="D4" t="str" cm="1">
        <f t="array" ref="D4">INDEX($A$2:$A$11,(COUNTA($A$2:$A$11)-ROWS($A$2:A4)+1))</f>
        <v>Bhawesh</v>
      </c>
      <c r="F4" s="2" t="str" cm="1">
        <f t="array" ref="F4">INDEX($A$2:$A$11,11-ROWS($D$2:D4))</f>
        <v>Bhawesh</v>
      </c>
      <c r="H4">
        <f>COUNTA($A$2:$A$11) - ROWS($G$2:G4) + 1</f>
        <v>8</v>
      </c>
      <c r="K4" t="str" cm="1">
        <f t="array" ref="K4">INDEX($A$2:$A$11,COUNTA($A$2:$A$11)-ROWS($J$2:J4)+1)</f>
        <v>Bhawesh</v>
      </c>
    </row>
    <row r="5" spans="1:11" x14ac:dyDescent="0.3">
      <c r="A5" t="s">
        <v>18</v>
      </c>
      <c r="D5" t="str" cm="1">
        <f t="array" ref="D5">INDEX($A$2:$A$11,(COUNTA($A$2:$A$11)-ROWS($A$2:A5)+1))</f>
        <v>Shradha</v>
      </c>
      <c r="F5" s="2" t="str" cm="1">
        <f t="array" ref="F5">INDEX($A$2:$A$11,11-ROWS($D$2:D5))</f>
        <v>Shradha</v>
      </c>
      <c r="H5">
        <f>COUNTA($A$2:$A$11) - ROWS($G$2:G5) + 1</f>
        <v>7</v>
      </c>
      <c r="K5" t="str" cm="1">
        <f t="array" ref="K5">INDEX($A$2:$A$11,COUNTA($A$2:$A$11)-ROWS($J$2:J5)+1)</f>
        <v>Shradha</v>
      </c>
    </row>
    <row r="6" spans="1:11" x14ac:dyDescent="0.3">
      <c r="A6" t="s">
        <v>5</v>
      </c>
      <c r="D6" t="str" cm="1">
        <f t="array" ref="D6">INDEX($A$2:$A$11,(COUNTA($A$2:$A$11)-ROWS($A$2:A6)+1))</f>
        <v>Mahesh</v>
      </c>
      <c r="F6" s="2" t="str" cm="1">
        <f t="array" ref="F6">INDEX($A$2:$A$11,11-ROWS($D$2:D6))</f>
        <v>Mahesh</v>
      </c>
      <c r="H6">
        <f>COUNTA($A$2:$A$11) - ROWS($G$2:G6) + 1</f>
        <v>6</v>
      </c>
      <c r="K6" t="str" cm="1">
        <f t="array" ref="K6">INDEX($A$2:$A$11,COUNTA($A$2:$A$11)-ROWS($J$2:J6)+1)</f>
        <v>Mahesh</v>
      </c>
    </row>
    <row r="7" spans="1:11" x14ac:dyDescent="0.3">
      <c r="A7" t="s">
        <v>19</v>
      </c>
      <c r="D7" t="str" cm="1">
        <f t="array" ref="D7">INDEX($A$2:$A$11,(COUNTA($A$2:$A$11)-ROWS($A$2:A7)+1))</f>
        <v>Richa</v>
      </c>
      <c r="F7" s="2" t="str" cm="1">
        <f t="array" ref="F7">INDEX($A$2:$A$11,11-ROWS($D$2:D7))</f>
        <v>Richa</v>
      </c>
      <c r="H7">
        <f>COUNTA($A$2:$A$11) - ROWS($G$2:G7) + 1</f>
        <v>5</v>
      </c>
      <c r="K7" t="str" cm="1">
        <f t="array" ref="K7">INDEX($A$2:$A$11,COUNTA($A$2:$A$11)-ROWS($J$2:J7)+1)</f>
        <v>Richa</v>
      </c>
    </row>
    <row r="8" spans="1:11" x14ac:dyDescent="0.3">
      <c r="A8" t="s">
        <v>20</v>
      </c>
      <c r="D8" t="str" cm="1">
        <f t="array" ref="D8">INDEX($A$2:$A$11,(COUNTA($A$2:$A$11)-ROWS($A$2:A8)+1))</f>
        <v>Ankit</v>
      </c>
      <c r="F8" s="2" t="str" cm="1">
        <f t="array" ref="F8">INDEX($A$2:$A$11,11-ROWS($D$2:D8))</f>
        <v>Ankit</v>
      </c>
      <c r="H8">
        <f>COUNTA($A$2:$A$11) - ROWS($G$2:G8) + 1</f>
        <v>4</v>
      </c>
      <c r="K8" t="str" cm="1">
        <f t="array" ref="K8">INDEX($A$2:$A$11,COUNTA($A$2:$A$11)-ROWS($J$2:J8)+1)</f>
        <v>Ankit</v>
      </c>
    </row>
    <row r="9" spans="1:11" x14ac:dyDescent="0.3">
      <c r="A9" t="s">
        <v>9</v>
      </c>
      <c r="D9" t="str" cm="1">
        <f t="array" ref="D9">INDEX($A$2:$A$11,(COUNTA($A$2:$A$11)-ROWS($A$2:A9)+1))</f>
        <v>Dishita</v>
      </c>
      <c r="F9" s="2" t="str" cm="1">
        <f t="array" ref="F9">INDEX($A$2:$A$11,11-ROWS($D$2:D9))</f>
        <v>Dishita</v>
      </c>
      <c r="H9">
        <f>COUNTA($A$2:$A$11) - ROWS($G$2:G9) + 1</f>
        <v>3</v>
      </c>
      <c r="K9" t="str" cm="1">
        <f t="array" ref="K9">INDEX($A$2:$A$11,COUNTA($A$2:$A$11)-ROWS($J$2:J9)+1)</f>
        <v>Dishita</v>
      </c>
    </row>
    <row r="10" spans="1:11" x14ac:dyDescent="0.3">
      <c r="A10" t="s">
        <v>21</v>
      </c>
      <c r="D10" t="str" cm="1">
        <f t="array" ref="D10">INDEX($A$2:$A$11,(COUNTA($A$2:$A$11)-ROWS($A$2:A10)+1))</f>
        <v>Neha</v>
      </c>
      <c r="F10" s="2" t="str" cm="1">
        <f t="array" ref="F10">INDEX($A$2:$A$11,11-ROWS($D$2:D10))</f>
        <v>Neha</v>
      </c>
      <c r="H10">
        <f>COUNTA($A$2:$A$11) - ROWS($G$2:G10) + 1</f>
        <v>2</v>
      </c>
      <c r="K10" t="str" cm="1">
        <f t="array" ref="K10">INDEX($A$2:$A$11,COUNTA($A$2:$A$11)-ROWS($J$2:J10)+1)</f>
        <v>Neha</v>
      </c>
    </row>
    <row r="11" spans="1:11" x14ac:dyDescent="0.3">
      <c r="A11" t="s">
        <v>22</v>
      </c>
      <c r="D11" t="str" cm="1">
        <f t="array" ref="D11">INDEX($A$2:$A$11,(COUNTA($A$2:$A$11)-ROWS($A$2:A11)+1))</f>
        <v>Mayur</v>
      </c>
      <c r="F11" s="2" t="str" cm="1">
        <f t="array" ref="F11">INDEX($A$2:$A$11,11-ROWS($D$2:D11))</f>
        <v>Mayur</v>
      </c>
      <c r="H11">
        <f>COUNTA($A$2:$A$11) - ROWS($G$2:G11) + 1</f>
        <v>1</v>
      </c>
      <c r="K11" t="str" cm="1">
        <f t="array" ref="K11">INDEX($A$2:$A$11,COUNTA($A$2:$A$11)-ROWS($J$2:J11)+1)</f>
        <v>Mayur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E15" sqref="E15"/>
    </sheetView>
  </sheetViews>
  <sheetFormatPr defaultRowHeight="14.4" x14ac:dyDescent="0.3"/>
  <cols>
    <col min="2" max="2" width="12.109375" bestFit="1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t="s">
        <v>3</v>
      </c>
      <c r="B2" t="s">
        <v>10</v>
      </c>
      <c r="C2">
        <v>12500</v>
      </c>
    </row>
    <row r="3" spans="1:5" x14ac:dyDescent="0.3">
      <c r="A3" t="s">
        <v>4</v>
      </c>
      <c r="B3" t="s">
        <v>11</v>
      </c>
      <c r="C3">
        <v>23900</v>
      </c>
    </row>
    <row r="4" spans="1:5" x14ac:dyDescent="0.3">
      <c r="A4" t="s">
        <v>5</v>
      </c>
      <c r="B4" t="s">
        <v>11</v>
      </c>
      <c r="C4" t="e">
        <f>1/0</f>
        <v>#DIV/0!</v>
      </c>
    </row>
    <row r="5" spans="1:5" x14ac:dyDescent="0.3">
      <c r="A5" t="s">
        <v>6</v>
      </c>
      <c r="B5" t="s">
        <v>12</v>
      </c>
      <c r="C5">
        <v>12300</v>
      </c>
    </row>
    <row r="6" spans="1:5" x14ac:dyDescent="0.3">
      <c r="A6" t="s">
        <v>7</v>
      </c>
      <c r="B6" t="s">
        <v>13</v>
      </c>
      <c r="C6" t="e">
        <f>NA()</f>
        <v>#N/A</v>
      </c>
    </row>
    <row r="7" spans="1:5" x14ac:dyDescent="0.3">
      <c r="A7" t="s">
        <v>8</v>
      </c>
      <c r="B7" t="s">
        <v>10</v>
      </c>
      <c r="C7" t="e" cm="1">
        <f t="array" ref="C7">sum</f>
        <v>#NAME?</v>
      </c>
    </row>
    <row r="8" spans="1:5" x14ac:dyDescent="0.3">
      <c r="A8" t="s">
        <v>9</v>
      </c>
      <c r="B8" t="s">
        <v>10</v>
      </c>
      <c r="C8">
        <v>23442</v>
      </c>
      <c r="E8" cm="1">
        <f t="array" ref="E8">SUM(IFERROR(C2:C8,0))</f>
        <v>72142</v>
      </c>
    </row>
    <row r="9" spans="1:5" x14ac:dyDescent="0.3">
      <c r="B9" s="1"/>
      <c r="C9" s="1">
        <f>_xlfn.AGGREGATE(9,6,C2:C8)</f>
        <v>72142</v>
      </c>
      <c r="E9">
        <f>_xlfn.AGGREGATE(9,6,C2:C8)</f>
        <v>72142</v>
      </c>
    </row>
    <row r="10" spans="1:5" x14ac:dyDescent="0.3">
      <c r="B10" s="1"/>
      <c r="C10" s="1" cm="1">
        <f t="array" ref="C10">SUM(IF(ISERROR(C2:C8),"",C2:C8))</f>
        <v>72142</v>
      </c>
      <c r="E10" cm="1">
        <f t="array" ref="E10">SUMPRODUCT(IFERROR(C2:C8,0))</f>
        <v>72142</v>
      </c>
    </row>
    <row r="11" spans="1:5" x14ac:dyDescent="0.3">
      <c r="E11" cm="1">
        <f t="array" ref="E11">SUM(IF(ISNUMBER(C2:C8),C2:C8,0))</f>
        <v>72142</v>
      </c>
    </row>
    <row r="14" spans="1:5" x14ac:dyDescent="0.3">
      <c r="C14" s="2">
        <f>_xlfn.AGGREGATE(9,6,$C$2:$C$8)</f>
        <v>72142</v>
      </c>
      <c r="E14">
        <f>_xlfn.AGGREGATE(9,6,C2:C8)</f>
        <v>72142</v>
      </c>
    </row>
    <row r="15" spans="1:5" x14ac:dyDescent="0.3">
      <c r="C15" s="2" cm="1">
        <f t="array" ref="C15">SUM(IFERROR(C2:C8,0))</f>
        <v>72142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D1E9-1FE9-4E0C-8B23-48659073960E}">
  <dimension ref="A1:E125"/>
  <sheetViews>
    <sheetView workbookViewId="0">
      <selection activeCell="E5" sqref="E5"/>
    </sheetView>
  </sheetViews>
  <sheetFormatPr defaultRowHeight="14.4" x14ac:dyDescent="0.3"/>
  <sheetData>
    <row r="1" spans="1:5" x14ac:dyDescent="0.3">
      <c r="A1" t="s">
        <v>14</v>
      </c>
    </row>
    <row r="2" spans="1:5" x14ac:dyDescent="0.3">
      <c r="B2" t="str" cm="1">
        <f t="array" ref="B2">INDEX(A:A,MAX(ROW(A:A)*(A:A&lt;&gt;"")))</f>
        <v>f</v>
      </c>
    </row>
    <row r="3" spans="1:5" x14ac:dyDescent="0.3">
      <c r="B3">
        <f>VLOOKUP(9E+307,A:A,1,1)</f>
        <v>99</v>
      </c>
    </row>
    <row r="5" spans="1:5" x14ac:dyDescent="0.3">
      <c r="C5" t="str" cm="1">
        <f t="array" aca="1" ref="C5" ca="1">INDIRECT("a"&amp;LARGE((IF(A:A&lt;&gt;"",ROW(A:A),"")),1),TRUE)</f>
        <v>f</v>
      </c>
    </row>
    <row r="6" spans="1:5" x14ac:dyDescent="0.3">
      <c r="A6">
        <v>22</v>
      </c>
      <c r="C6">
        <f>VLOOKUP(9E+307,A:A,1,1)</f>
        <v>99</v>
      </c>
    </row>
    <row r="9" spans="1:5" x14ac:dyDescent="0.3">
      <c r="D9" t="str" cm="1">
        <f t="array" aca="1" ref="D9" ca="1">INDIRECT("a"&amp;MAX(IF(ISBLANK(A1:A1000),"",ROW(A1:A1000))))</f>
        <v>f</v>
      </c>
      <c r="E9" t="str" cm="1">
        <f t="array" aca="1" ref="E9" ca="1">INDIRECT("a"&amp;MAX(IF(ISBLANK(A:A),"",ROW(A:A))), TRUE)</f>
        <v>f</v>
      </c>
    </row>
    <row r="14" spans="1:5" x14ac:dyDescent="0.3">
      <c r="A14">
        <v>33</v>
      </c>
    </row>
    <row r="17" spans="1:1" x14ac:dyDescent="0.3">
      <c r="A17">
        <v>88</v>
      </c>
    </row>
    <row r="20" spans="1:1" x14ac:dyDescent="0.3">
      <c r="A20">
        <v>3</v>
      </c>
    </row>
    <row r="24" spans="1:1" x14ac:dyDescent="0.3">
      <c r="A24">
        <v>44</v>
      </c>
    </row>
    <row r="27" spans="1:1" x14ac:dyDescent="0.3">
      <c r="A27">
        <v>88</v>
      </c>
    </row>
    <row r="29" spans="1:1" x14ac:dyDescent="0.3">
      <c r="A29">
        <v>99</v>
      </c>
    </row>
    <row r="36" spans="1:1" x14ac:dyDescent="0.3">
      <c r="A36">
        <v>234567</v>
      </c>
    </row>
    <row r="39" spans="1:1" x14ac:dyDescent="0.3">
      <c r="A39">
        <v>3</v>
      </c>
    </row>
    <row r="81" spans="1:1" x14ac:dyDescent="0.3">
      <c r="A81">
        <v>99</v>
      </c>
    </row>
    <row r="125" spans="1:1" x14ac:dyDescent="0.3">
      <c r="A125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0B0C-E505-4714-88DB-006EC082BDF1}">
  <dimension ref="A1:F5"/>
  <sheetViews>
    <sheetView workbookViewId="0">
      <selection activeCell="B6" sqref="B6"/>
    </sheetView>
  </sheetViews>
  <sheetFormatPr defaultRowHeight="14.4" x14ac:dyDescent="0.3"/>
  <sheetData>
    <row r="1" spans="1:6" x14ac:dyDescent="0.3">
      <c r="A1" s="1" t="s">
        <v>23</v>
      </c>
    </row>
    <row r="2" spans="1:6" x14ac:dyDescent="0.3">
      <c r="A2">
        <v>789</v>
      </c>
      <c r="B2" cm="1">
        <f t="array" aca="1" ref="B2" ca="1">SUM(--MID(A2,ROW(INDIRECT("1:"&amp;LEN(A2))),1))</f>
        <v>24</v>
      </c>
      <c r="D2" cm="1">
        <f t="array" ref="D2">SUM(VALUE(MID(A2,_xlfn.SEQUENCE(LEN(A2)),1)))</f>
        <v>24</v>
      </c>
      <c r="F2" cm="1">
        <f t="array" ref="F2">SUM(MID(A2,_xlfn.SEQUENCE(LEN(A2)),1)*1)</f>
        <v>24</v>
      </c>
    </row>
    <row r="5" spans="1:6" x14ac:dyDescent="0.3">
      <c r="B5" cm="1">
        <f t="array" ref="B5">SUM(VALUE(MID(A2,_xlfn.SEQUENCE(LEN(A2)),1)))</f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BE55-C508-465F-AF3A-31BF2CF76410}">
  <dimension ref="A1:E8"/>
  <sheetViews>
    <sheetView workbookViewId="0">
      <selection activeCell="E3" sqref="E3"/>
    </sheetView>
  </sheetViews>
  <sheetFormatPr defaultRowHeight="14.4" x14ac:dyDescent="0.3"/>
  <sheetData>
    <row r="1" spans="1:5" x14ac:dyDescent="0.3">
      <c r="A1" s="1" t="s">
        <v>15</v>
      </c>
    </row>
    <row r="2" spans="1:5" x14ac:dyDescent="0.3">
      <c r="A2">
        <v>100</v>
      </c>
      <c r="C2" cm="1">
        <f t="array" ref="C2">MAX(IF(A2:A8&lt;0,A2:A8,""))</f>
        <v>-1</v>
      </c>
      <c r="E2" cm="1">
        <f t="array" ref="E2">LARGE(IF(A2:A8&lt;0,A2:A8,""),1)</f>
        <v>-1</v>
      </c>
    </row>
    <row r="3" spans="1:5" x14ac:dyDescent="0.3">
      <c r="A3">
        <v>20</v>
      </c>
    </row>
    <row r="4" spans="1:5" x14ac:dyDescent="0.3">
      <c r="A4">
        <v>-33</v>
      </c>
      <c r="C4" cm="1">
        <f t="array" ref="C4">LARGE(IF(A2:A8&lt;0,A2:A8),1)</f>
        <v>-1</v>
      </c>
    </row>
    <row r="5" spans="1:5" x14ac:dyDescent="0.3">
      <c r="A5">
        <v>-22</v>
      </c>
    </row>
    <row r="6" spans="1:5" x14ac:dyDescent="0.3">
      <c r="A6">
        <v>72</v>
      </c>
    </row>
    <row r="7" spans="1:5" x14ac:dyDescent="0.3">
      <c r="A7">
        <v>-234</v>
      </c>
      <c r="C7" cm="1">
        <f t="array" ref="C7">MAX(IF(A2:A8&lt;0,A2:A8,""))</f>
        <v>-1</v>
      </c>
    </row>
    <row r="8" spans="1:5" x14ac:dyDescent="0.3">
      <c r="A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2015-06-05T18:17:20Z</dcterms:created>
  <dcterms:modified xsi:type="dcterms:W3CDTF">2026-01-30T12:20:08Z</dcterms:modified>
</cp:coreProperties>
</file>