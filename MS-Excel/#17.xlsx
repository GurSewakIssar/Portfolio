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88502691-4CD5-45D2-9882-5A19CEDAF769}" xr6:coauthVersionLast="47" xr6:coauthVersionMax="47" xr10:uidLastSave="{00000000-0000-0000-0000-000000000000}"/>
  <bookViews>
    <workbookView xWindow="-108" yWindow="-108" windowWidth="23256" windowHeight="12456" activeTab="4" xr2:uid="{466ADC06-23AF-4138-920C-3DBD50443A55}"/>
  </bookViews>
  <sheets>
    <sheet name="Q1" sheetId="5" r:id="rId1"/>
    <sheet name="Q2" sheetId="4" r:id="rId2"/>
    <sheet name="Q3" sheetId="3" r:id="rId3"/>
    <sheet name="Q4" sheetId="2" r:id="rId4"/>
    <sheet name="Q5" sheetId="1" r:id="rId5"/>
  </sheets>
  <definedNames>
    <definedName name="_xlcn.WorksheetConnection_T9A2C161" hidden="1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6" i="1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7" i="4"/>
  <c r="K10" i="5"/>
  <c r="K11" i="5"/>
  <c r="K12" i="5"/>
  <c r="K13" i="5"/>
  <c r="K9" i="5"/>
  <c r="H10" i="5"/>
  <c r="H11" i="5"/>
  <c r="H12" i="5"/>
  <c r="H13" i="5"/>
  <c r="H9" i="5"/>
  <c r="I7" i="1" a="1"/>
  <c r="I7" i="1"/>
  <c r="I8" i="1" a="1"/>
  <c r="I8" i="1"/>
  <c r="I6" i="1" a="1"/>
  <c r="I6" i="1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" i="2"/>
  <c r="E7" i="3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7" i="4"/>
  <c r="F10" i="5"/>
  <c r="F11" i="5"/>
  <c r="F12" i="5"/>
  <c r="F13" i="5"/>
  <c r="F9" i="5"/>
  <c r="E15" i="3" l="1"/>
</calcChain>
</file>

<file path=xl/sharedStrings.xml><?xml version="1.0" encoding="utf-8"?>
<sst xmlns="http://schemas.openxmlformats.org/spreadsheetml/2006/main" count="201" uniqueCount="103">
  <si>
    <t>Person</t>
  </si>
  <si>
    <t>Department</t>
  </si>
  <si>
    <t>Designation</t>
  </si>
  <si>
    <t>Age</t>
  </si>
  <si>
    <t>Person1</t>
  </si>
  <si>
    <t>XX</t>
  </si>
  <si>
    <t>AA</t>
  </si>
  <si>
    <t>Find the Maximum age on below parameter</t>
  </si>
  <si>
    <t>Person2</t>
  </si>
  <si>
    <t>YY</t>
  </si>
  <si>
    <t>BB</t>
  </si>
  <si>
    <t>Person3</t>
  </si>
  <si>
    <t>CC</t>
  </si>
  <si>
    <t>Person4</t>
  </si>
  <si>
    <t>Max</t>
  </si>
  <si>
    <t>Person5</t>
  </si>
  <si>
    <t>Person6</t>
  </si>
  <si>
    <t>Person7</t>
  </si>
  <si>
    <t>Person8</t>
  </si>
  <si>
    <t>Person9</t>
  </si>
  <si>
    <t>Person10</t>
  </si>
  <si>
    <t>Person11</t>
  </si>
  <si>
    <t>Person12</t>
  </si>
  <si>
    <t>Person13</t>
  </si>
  <si>
    <t>Person14</t>
  </si>
  <si>
    <t>Person15</t>
  </si>
  <si>
    <t>Person16</t>
  </si>
  <si>
    <t>Person17</t>
  </si>
  <si>
    <t>Person18</t>
  </si>
  <si>
    <t>Person19</t>
  </si>
  <si>
    <t>Person20</t>
  </si>
  <si>
    <t>Person21</t>
  </si>
  <si>
    <t>Person22</t>
  </si>
  <si>
    <t>Date</t>
  </si>
  <si>
    <t>Q4</t>
  </si>
  <si>
    <t>Q2</t>
  </si>
  <si>
    <t>Q3</t>
  </si>
  <si>
    <t>Q1</t>
  </si>
  <si>
    <t>Today date with Line Break</t>
  </si>
  <si>
    <t>Sample Output</t>
  </si>
  <si>
    <t>Today Date is:
08-06-2016</t>
  </si>
  <si>
    <t>Required Output</t>
  </si>
  <si>
    <t>First Name</t>
  </si>
  <si>
    <t>Middle Name</t>
  </si>
  <si>
    <t>Last Name</t>
  </si>
  <si>
    <t>Full Name</t>
  </si>
  <si>
    <t>Using first name,middle name and last name to create a full name.Format should be "LastName, FirstName". If we don’t have last name then take middle name as last name.</t>
  </si>
  <si>
    <t>SEVES</t>
  </si>
  <si>
    <t>PERIC</t>
  </si>
  <si>
    <t>FOLKO</t>
  </si>
  <si>
    <t>A</t>
  </si>
  <si>
    <t>AAA</t>
  </si>
  <si>
    <t>AAAA</t>
  </si>
  <si>
    <t>AAAAA</t>
  </si>
  <si>
    <t>Q1. Get the below format</t>
  </si>
  <si>
    <t>SANDEEP</t>
  </si>
  <si>
    <t>KUMAR</t>
  </si>
  <si>
    <t>ASWAL</t>
  </si>
  <si>
    <t>ANUMEET</t>
  </si>
  <si>
    <t>KAUR</t>
  </si>
  <si>
    <t>SINGH</t>
  </si>
  <si>
    <t>ANAND</t>
  </si>
  <si>
    <t>MOHAN</t>
  </si>
  <si>
    <t>NAMRATA</t>
  </si>
  <si>
    <t>S</t>
  </si>
  <si>
    <t>SARKAR</t>
  </si>
  <si>
    <t>KANIKA</t>
  </si>
  <si>
    <t>AMAN</t>
  </si>
  <si>
    <t>DIXIT</t>
  </si>
  <si>
    <t>DEEPAK</t>
  </si>
  <si>
    <t>JHA</t>
  </si>
  <si>
    <t>VASUDHA</t>
  </si>
  <si>
    <t>K</t>
  </si>
  <si>
    <t>SHARMA</t>
  </si>
  <si>
    <t>AASHI</t>
  </si>
  <si>
    <t>KUMARI</t>
  </si>
  <si>
    <t>EKANSHIKA</t>
  </si>
  <si>
    <t>ANSH</t>
  </si>
  <si>
    <t>KALRA</t>
  </si>
  <si>
    <t>AARTI</t>
  </si>
  <si>
    <t>THAKUR</t>
  </si>
  <si>
    <t>KARAN</t>
  </si>
  <si>
    <t>BINDAL</t>
  </si>
  <si>
    <t>PATEL</t>
  </si>
  <si>
    <t>PRASHANT</t>
  </si>
  <si>
    <t>PANJABI</t>
  </si>
  <si>
    <t>ASWAL,SANDEEP</t>
  </si>
  <si>
    <t>SINGH,ANUMEET</t>
  </si>
  <si>
    <t>MOHAN,ANAND</t>
  </si>
  <si>
    <t>SARKAR,NAMRATA</t>
  </si>
  <si>
    <t>DIXIT,KANIKA</t>
  </si>
  <si>
    <t>JHA,DEEPAK</t>
  </si>
  <si>
    <t>SHARMA,VASUDHA</t>
  </si>
  <si>
    <t>KUMARI,AASHI</t>
  </si>
  <si>
    <t>KALRA,EKANSHIKA</t>
  </si>
  <si>
    <t>THAKUR,AARTI</t>
  </si>
  <si>
    <t>SHARMA,KARAN</t>
  </si>
  <si>
    <t>FOLKO,SEVES</t>
  </si>
  <si>
    <t>PATEL,BINDAL</t>
  </si>
  <si>
    <t>PANJABI,PRASHANT</t>
  </si>
  <si>
    <t>Q.2</t>
  </si>
  <si>
    <t>Q3.</t>
  </si>
  <si>
    <t>Extract quarter(2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</si>
</sst>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1" fillId="2" borderId="2" xfId="0" applyFont="1" applyFill="1" applyBorder="1"/>
    <xf numFmtId="15" fontId="0" fillId="0" borderId="0" xfId="0" applyNumberFormat="1"/>
    <xf numFmtId="14" fontId="0" fillId="0" borderId="0" xfId="0" applyNumberFormat="1"/>
    <xf numFmtId="0" fontId="0" fillId="3" borderId="2" xfId="0" applyFill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2" xfId="0" applyFont="1" applyBorder="1"/>
    <xf numFmtId="0" fontId="2" fillId="0" borderId="0" xfId="0" applyFont="1"/>
    <xf numFmtId="0" fontId="1" fillId="2" borderId="5" xfId="0" applyFont="1" applyFill="1" applyBorder="1"/>
    <xf numFmtId="0" fontId="1" fillId="2" borderId="4" xfId="0" applyFont="1" applyFill="1" applyBorder="1"/>
    <xf numFmtId="0" fontId="0" fillId="4" borderId="5" xfId="0" applyFill="1" applyBorder="1"/>
    <xf numFmtId="0" fontId="0" fillId="4" borderId="4" xfId="0" applyFill="1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FDE8-E69B-47B5-AF67-B3DAF57EDC6D}">
  <dimension ref="E7:K13"/>
  <sheetViews>
    <sheetView workbookViewId="0">
      <selection activeCell="K9" sqref="K9:K13"/>
    </sheetView>
  </sheetViews>
  <sheetFormatPr defaultColWidth="9.109375" defaultRowHeight="19.8" x14ac:dyDescent="0.4"/>
  <cols>
    <col min="1" max="4" width="9.109375" style="8"/>
    <col min="5" max="5" width="20.33203125" style="8" bestFit="1" customWidth="1"/>
    <col min="6" max="6" width="15.109375" style="8" customWidth="1"/>
    <col min="7" max="16384" width="9.109375" style="8"/>
  </cols>
  <sheetData>
    <row r="7" spans="5:11" x14ac:dyDescent="0.4">
      <c r="E7" s="18" t="s">
        <v>54</v>
      </c>
      <c r="F7" s="19"/>
    </row>
    <row r="9" spans="5:11" x14ac:dyDescent="0.4">
      <c r="E9" s="9" t="s">
        <v>50</v>
      </c>
      <c r="F9" s="9" t="str">
        <f>REPT("A",ROW(A1))</f>
        <v>A</v>
      </c>
      <c r="H9" s="8" t="str">
        <f>REPT("A",ROWS($G$9:G9))</f>
        <v>A</v>
      </c>
      <c r="K9" s="8" t="str">
        <f>REPT($E$9,ROWS($J$9:J9))</f>
        <v>A</v>
      </c>
    </row>
    <row r="10" spans="5:11" x14ac:dyDescent="0.4">
      <c r="E10" s="9" t="s">
        <v>6</v>
      </c>
      <c r="F10" s="9" t="str">
        <f t="shared" ref="F10:F13" si="0">REPT("A",ROW(A2))</f>
        <v>AA</v>
      </c>
      <c r="H10" s="8" t="str">
        <f>REPT("A",ROWS($G$9:G10))</f>
        <v>AA</v>
      </c>
      <c r="K10" s="8" t="str">
        <f>REPT($E$9,ROWS($J$9:J10))</f>
        <v>AA</v>
      </c>
    </row>
    <row r="11" spans="5:11" x14ac:dyDescent="0.4">
      <c r="E11" s="9" t="s">
        <v>51</v>
      </c>
      <c r="F11" s="9" t="str">
        <f t="shared" si="0"/>
        <v>AAA</v>
      </c>
      <c r="H11" s="8" t="str">
        <f>REPT("A",ROWS($G$9:G11))</f>
        <v>AAA</v>
      </c>
      <c r="K11" s="8" t="str">
        <f>REPT($E$9,ROWS($J$9:J11))</f>
        <v>AAA</v>
      </c>
    </row>
    <row r="12" spans="5:11" x14ac:dyDescent="0.4">
      <c r="E12" s="9" t="s">
        <v>52</v>
      </c>
      <c r="F12" s="9" t="str">
        <f t="shared" si="0"/>
        <v>AAAA</v>
      </c>
      <c r="H12" s="8" t="str">
        <f>REPT("A",ROWS($G$9:G12))</f>
        <v>AAAA</v>
      </c>
      <c r="K12" s="8" t="str">
        <f>REPT($E$9,ROWS($J$9:J12))</f>
        <v>AAAA</v>
      </c>
    </row>
    <row r="13" spans="5:11" x14ac:dyDescent="0.4">
      <c r="E13" s="9" t="s">
        <v>53</v>
      </c>
      <c r="F13" s="9" t="str">
        <f t="shared" si="0"/>
        <v>AAAAA</v>
      </c>
      <c r="H13" s="8" t="str">
        <f>REPT("A",ROWS($G$9:G13))</f>
        <v>AAAAA</v>
      </c>
      <c r="K13" s="8" t="str">
        <f>REPT($E$9,ROWS($J$9:J13))</f>
        <v>AAAAA</v>
      </c>
    </row>
  </sheetData>
  <protectedRanges>
    <protectedRange sqref="F9:F13" name="Range1"/>
  </protectedRanges>
  <mergeCells count="1">
    <mergeCell ref="E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7495-E20B-4069-9955-E7DD61EE7F4C}">
  <dimension ref="C5:Q20"/>
  <sheetViews>
    <sheetView showGridLines="0" workbookViewId="0">
      <selection activeCell="Q7" sqref="Q7:Q20"/>
    </sheetView>
  </sheetViews>
  <sheetFormatPr defaultRowHeight="14.4" x14ac:dyDescent="0.3"/>
  <cols>
    <col min="1" max="1" width="8.109375" customWidth="1"/>
    <col min="2" max="2" width="17.44140625" customWidth="1"/>
    <col min="3" max="3" width="10.5546875" bestFit="1" customWidth="1"/>
    <col min="4" max="4" width="13.109375" bestFit="1" customWidth="1"/>
    <col min="5" max="5" width="10.109375" bestFit="1" customWidth="1"/>
    <col min="6" max="6" width="19" bestFit="1" customWidth="1"/>
    <col min="11" max="11" width="3.88671875" customWidth="1"/>
    <col min="12" max="12" width="10.5546875" bestFit="1" customWidth="1"/>
    <col min="13" max="13" width="13.109375" bestFit="1" customWidth="1"/>
    <col min="14" max="14" width="10.109375" bestFit="1" customWidth="1"/>
    <col min="15" max="15" width="19" bestFit="1" customWidth="1"/>
  </cols>
  <sheetData>
    <row r="5" spans="3:17" x14ac:dyDescent="0.3">
      <c r="L5" s="20" t="s">
        <v>41</v>
      </c>
      <c r="M5" s="20"/>
      <c r="N5" s="20"/>
      <c r="O5" s="20"/>
    </row>
    <row r="6" spans="3:17" x14ac:dyDescent="0.3">
      <c r="C6" s="5" t="s">
        <v>42</v>
      </c>
      <c r="D6" s="5" t="s">
        <v>43</v>
      </c>
      <c r="E6" s="5" t="s">
        <v>44</v>
      </c>
      <c r="F6" s="5" t="s">
        <v>45</v>
      </c>
      <c r="L6" s="5" t="s">
        <v>42</v>
      </c>
      <c r="M6" s="5" t="s">
        <v>43</v>
      </c>
      <c r="N6" s="5" t="s">
        <v>44</v>
      </c>
      <c r="O6" s="5" t="s">
        <v>45</v>
      </c>
    </row>
    <row r="7" spans="3:17" x14ac:dyDescent="0.3">
      <c r="C7" s="1" t="s">
        <v>55</v>
      </c>
      <c r="D7" s="1" t="s">
        <v>56</v>
      </c>
      <c r="E7" s="1" t="s">
        <v>57</v>
      </c>
      <c r="F7" s="1" t="str">
        <f>IF(E7="",CONCATENATE(D7,",",C7),CONCATENATE(E7,",",C7))</f>
        <v>ASWAL,SANDEEP</v>
      </c>
      <c r="H7" s="10" t="s">
        <v>100</v>
      </c>
      <c r="L7" s="1" t="s">
        <v>55</v>
      </c>
      <c r="M7" s="1" t="s">
        <v>56</v>
      </c>
      <c r="N7" s="1" t="s">
        <v>57</v>
      </c>
      <c r="O7" s="1" t="s">
        <v>86</v>
      </c>
      <c r="Q7" t="str">
        <f>IF(ISBLANK(N7),M7&amp;","&amp;L7,N7&amp;","&amp;L7)</f>
        <v>ASWAL,SANDEEP</v>
      </c>
    </row>
    <row r="8" spans="3:17" x14ac:dyDescent="0.3">
      <c r="C8" s="1" t="s">
        <v>58</v>
      </c>
      <c r="D8" s="1" t="s">
        <v>59</v>
      </c>
      <c r="E8" s="1" t="s">
        <v>60</v>
      </c>
      <c r="F8" s="1" t="str">
        <f t="shared" ref="F8:F20" si="0">IF(E8="",CONCATENATE(D8,",",C8),CONCATENATE(E8,",",C8))</f>
        <v>SINGH,ANUMEET</v>
      </c>
      <c r="H8" s="21" t="s">
        <v>46</v>
      </c>
      <c r="I8" s="21"/>
      <c r="J8" s="21"/>
      <c r="L8" s="1" t="s">
        <v>58</v>
      </c>
      <c r="M8" s="1" t="s">
        <v>59</v>
      </c>
      <c r="N8" s="1" t="s">
        <v>60</v>
      </c>
      <c r="O8" s="1" t="s">
        <v>87</v>
      </c>
      <c r="Q8" t="str">
        <f t="shared" ref="Q8:Q20" si="1">IF(ISBLANK(N8),M8&amp;","&amp;L8,N8&amp;","&amp;L8)</f>
        <v>SINGH,ANUMEET</v>
      </c>
    </row>
    <row r="9" spans="3:17" x14ac:dyDescent="0.3">
      <c r="C9" s="1" t="s">
        <v>61</v>
      </c>
      <c r="D9" s="1" t="s">
        <v>62</v>
      </c>
      <c r="E9" s="1"/>
      <c r="F9" s="1" t="str">
        <f t="shared" si="0"/>
        <v>MOHAN,ANAND</v>
      </c>
      <c r="H9" s="21"/>
      <c r="I9" s="21"/>
      <c r="J9" s="21"/>
      <c r="L9" s="1" t="s">
        <v>61</v>
      </c>
      <c r="M9" s="1" t="s">
        <v>62</v>
      </c>
      <c r="N9" s="1"/>
      <c r="O9" s="1" t="s">
        <v>88</v>
      </c>
      <c r="Q9" t="str">
        <f t="shared" si="1"/>
        <v>MOHAN,ANAND</v>
      </c>
    </row>
    <row r="10" spans="3:17" x14ac:dyDescent="0.3">
      <c r="C10" s="1" t="s">
        <v>63</v>
      </c>
      <c r="D10" s="1" t="s">
        <v>64</v>
      </c>
      <c r="E10" s="1" t="s">
        <v>65</v>
      </c>
      <c r="F10" s="1" t="str">
        <f t="shared" si="0"/>
        <v>SARKAR,NAMRATA</v>
      </c>
      <c r="H10" s="21"/>
      <c r="I10" s="21"/>
      <c r="J10" s="21"/>
      <c r="L10" s="1" t="s">
        <v>63</v>
      </c>
      <c r="M10" s="1" t="s">
        <v>64</v>
      </c>
      <c r="N10" s="1" t="s">
        <v>65</v>
      </c>
      <c r="O10" s="1" t="s">
        <v>89</v>
      </c>
      <c r="Q10" t="str">
        <f t="shared" si="1"/>
        <v>SARKAR,NAMRATA</v>
      </c>
    </row>
    <row r="11" spans="3:17" x14ac:dyDescent="0.3">
      <c r="C11" s="1" t="s">
        <v>66</v>
      </c>
      <c r="D11" s="1" t="s">
        <v>67</v>
      </c>
      <c r="E11" s="1" t="s">
        <v>68</v>
      </c>
      <c r="F11" s="1" t="str">
        <f t="shared" si="0"/>
        <v>DIXIT,KANIKA</v>
      </c>
      <c r="H11" s="21"/>
      <c r="I11" s="21"/>
      <c r="J11" s="21"/>
      <c r="L11" s="1" t="s">
        <v>66</v>
      </c>
      <c r="M11" s="1" t="s">
        <v>67</v>
      </c>
      <c r="N11" s="1" t="s">
        <v>68</v>
      </c>
      <c r="O11" s="1" t="s">
        <v>90</v>
      </c>
      <c r="Q11" t="str">
        <f t="shared" si="1"/>
        <v>DIXIT,KANIKA</v>
      </c>
    </row>
    <row r="12" spans="3:17" x14ac:dyDescent="0.3">
      <c r="C12" s="1" t="s">
        <v>69</v>
      </c>
      <c r="D12" s="1" t="s">
        <v>56</v>
      </c>
      <c r="E12" s="1" t="s">
        <v>70</v>
      </c>
      <c r="F12" s="1" t="str">
        <f t="shared" si="0"/>
        <v>JHA,DEEPAK</v>
      </c>
      <c r="H12" s="21"/>
      <c r="I12" s="21"/>
      <c r="J12" s="21"/>
      <c r="L12" s="1" t="s">
        <v>69</v>
      </c>
      <c r="M12" s="1" t="s">
        <v>56</v>
      </c>
      <c r="N12" s="1" t="s">
        <v>70</v>
      </c>
      <c r="O12" s="1" t="s">
        <v>91</v>
      </c>
      <c r="Q12" t="str">
        <f t="shared" si="1"/>
        <v>JHA,DEEPAK</v>
      </c>
    </row>
    <row r="13" spans="3:17" x14ac:dyDescent="0.3">
      <c r="C13" s="1" t="s">
        <v>71</v>
      </c>
      <c r="D13" s="1" t="s">
        <v>72</v>
      </c>
      <c r="E13" s="1" t="s">
        <v>73</v>
      </c>
      <c r="F13" s="1" t="str">
        <f t="shared" si="0"/>
        <v>SHARMA,VASUDHA</v>
      </c>
      <c r="H13" s="21"/>
      <c r="I13" s="21"/>
      <c r="J13" s="21"/>
      <c r="L13" s="1" t="s">
        <v>71</v>
      </c>
      <c r="M13" s="1" t="s">
        <v>72</v>
      </c>
      <c r="N13" s="1" t="s">
        <v>73</v>
      </c>
      <c r="O13" s="1" t="s">
        <v>92</v>
      </c>
      <c r="Q13" t="str">
        <f t="shared" si="1"/>
        <v>SHARMA,VASUDHA</v>
      </c>
    </row>
    <row r="14" spans="3:17" x14ac:dyDescent="0.3">
      <c r="C14" s="1" t="s">
        <v>74</v>
      </c>
      <c r="D14" s="1" t="s">
        <v>75</v>
      </c>
      <c r="E14" s="1"/>
      <c r="F14" s="1" t="str">
        <f t="shared" si="0"/>
        <v>KUMARI,AASHI</v>
      </c>
      <c r="H14" s="21"/>
      <c r="I14" s="21"/>
      <c r="J14" s="21"/>
      <c r="L14" s="1" t="s">
        <v>74</v>
      </c>
      <c r="M14" s="1" t="s">
        <v>75</v>
      </c>
      <c r="N14" s="1"/>
      <c r="O14" s="1" t="s">
        <v>93</v>
      </c>
      <c r="Q14" t="str">
        <f t="shared" si="1"/>
        <v>KUMARI,AASHI</v>
      </c>
    </row>
    <row r="15" spans="3:17" x14ac:dyDescent="0.3">
      <c r="C15" s="1" t="s">
        <v>76</v>
      </c>
      <c r="D15" s="1" t="s">
        <v>77</v>
      </c>
      <c r="E15" s="1" t="s">
        <v>78</v>
      </c>
      <c r="F15" s="1" t="str">
        <f t="shared" si="0"/>
        <v>KALRA,EKANSHIKA</v>
      </c>
      <c r="H15" s="21"/>
      <c r="I15" s="21"/>
      <c r="J15" s="21"/>
      <c r="L15" s="1" t="s">
        <v>76</v>
      </c>
      <c r="M15" s="1" t="s">
        <v>77</v>
      </c>
      <c r="N15" s="1" t="s">
        <v>78</v>
      </c>
      <c r="O15" s="1" t="s">
        <v>94</v>
      </c>
      <c r="Q15" t="str">
        <f t="shared" si="1"/>
        <v>KALRA,EKANSHIKA</v>
      </c>
    </row>
    <row r="16" spans="3:17" x14ac:dyDescent="0.3">
      <c r="C16" s="1" t="s">
        <v>79</v>
      </c>
      <c r="D16" s="1"/>
      <c r="E16" s="1" t="s">
        <v>80</v>
      </c>
      <c r="F16" s="1" t="str">
        <f t="shared" si="0"/>
        <v>THAKUR,AARTI</v>
      </c>
      <c r="H16" s="21"/>
      <c r="I16" s="21"/>
      <c r="J16" s="21"/>
      <c r="L16" s="1" t="s">
        <v>79</v>
      </c>
      <c r="M16" s="1"/>
      <c r="N16" s="1" t="s">
        <v>80</v>
      </c>
      <c r="O16" s="1" t="s">
        <v>95</v>
      </c>
      <c r="Q16" t="str">
        <f t="shared" si="1"/>
        <v>THAKUR,AARTI</v>
      </c>
    </row>
    <row r="17" spans="3:17" x14ac:dyDescent="0.3">
      <c r="C17" s="1" t="s">
        <v>81</v>
      </c>
      <c r="D17" s="1" t="s">
        <v>62</v>
      </c>
      <c r="E17" s="1" t="s">
        <v>73</v>
      </c>
      <c r="F17" s="1" t="str">
        <f t="shared" si="0"/>
        <v>SHARMA,KARAN</v>
      </c>
      <c r="H17" s="21"/>
      <c r="I17" s="21"/>
      <c r="J17" s="21"/>
      <c r="L17" s="1" t="s">
        <v>81</v>
      </c>
      <c r="M17" s="1" t="s">
        <v>62</v>
      </c>
      <c r="N17" s="1" t="s">
        <v>73</v>
      </c>
      <c r="O17" s="1" t="s">
        <v>96</v>
      </c>
      <c r="Q17" t="str">
        <f t="shared" si="1"/>
        <v>SHARMA,KARAN</v>
      </c>
    </row>
    <row r="18" spans="3:17" x14ac:dyDescent="0.3">
      <c r="C18" s="1" t="s">
        <v>47</v>
      </c>
      <c r="D18" s="1" t="s">
        <v>48</v>
      </c>
      <c r="E18" s="1" t="s">
        <v>49</v>
      </c>
      <c r="F18" s="1" t="str">
        <f t="shared" si="0"/>
        <v>FOLKO,SEVES</v>
      </c>
      <c r="L18" s="1" t="s">
        <v>47</v>
      </c>
      <c r="M18" s="1" t="s">
        <v>48</v>
      </c>
      <c r="N18" s="1" t="s">
        <v>49</v>
      </c>
      <c r="O18" s="1" t="s">
        <v>97</v>
      </c>
      <c r="Q18" t="str">
        <f t="shared" si="1"/>
        <v>FOLKO,SEVES</v>
      </c>
    </row>
    <row r="19" spans="3:17" x14ac:dyDescent="0.3">
      <c r="C19" s="1" t="s">
        <v>82</v>
      </c>
      <c r="D19" s="1" t="s">
        <v>83</v>
      </c>
      <c r="E19" s="1"/>
      <c r="F19" s="1" t="str">
        <f t="shared" si="0"/>
        <v>PATEL,BINDAL</v>
      </c>
      <c r="L19" s="1" t="s">
        <v>82</v>
      </c>
      <c r="M19" s="1" t="s">
        <v>83</v>
      </c>
      <c r="N19" s="1"/>
      <c r="O19" s="1" t="s">
        <v>98</v>
      </c>
      <c r="Q19" t="str">
        <f t="shared" si="1"/>
        <v>PATEL,BINDAL</v>
      </c>
    </row>
    <row r="20" spans="3:17" x14ac:dyDescent="0.3">
      <c r="C20" s="1" t="s">
        <v>84</v>
      </c>
      <c r="D20" s="1" t="s">
        <v>64</v>
      </c>
      <c r="E20" s="1" t="s">
        <v>85</v>
      </c>
      <c r="F20" s="1" t="str">
        <f t="shared" si="0"/>
        <v>PANJABI,PRASHANT</v>
      </c>
      <c r="L20" s="1" t="s">
        <v>84</v>
      </c>
      <c r="M20" s="1" t="s">
        <v>64</v>
      </c>
      <c r="N20" s="1" t="s">
        <v>85</v>
      </c>
      <c r="O20" s="1" t="s">
        <v>99</v>
      </c>
      <c r="Q20" t="str">
        <f t="shared" si="1"/>
        <v>PANJABI,PRASHANT</v>
      </c>
    </row>
  </sheetData>
  <protectedRanges>
    <protectedRange sqref="F7:F20" name="Range1"/>
  </protectedRanges>
  <mergeCells count="2">
    <mergeCell ref="L5:O5"/>
    <mergeCell ref="H8:J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8618-1FBF-4AA0-878D-CFD4D28CE497}">
  <dimension ref="E5:H15"/>
  <sheetViews>
    <sheetView showGridLines="0" workbookViewId="0">
      <selection activeCell="E7" sqref="E7"/>
    </sheetView>
  </sheetViews>
  <sheetFormatPr defaultRowHeight="14.4" x14ac:dyDescent="0.3"/>
  <cols>
    <col min="5" max="5" width="25.109375" bestFit="1" customWidth="1"/>
    <col min="8" max="8" width="14.88671875" customWidth="1"/>
  </cols>
  <sheetData>
    <row r="5" spans="5:8" x14ac:dyDescent="0.3">
      <c r="H5" t="s">
        <v>101</v>
      </c>
    </row>
    <row r="6" spans="5:8" x14ac:dyDescent="0.3">
      <c r="E6" s="5" t="s">
        <v>38</v>
      </c>
      <c r="H6" s="5" t="s">
        <v>39</v>
      </c>
    </row>
    <row r="7" spans="5:8" ht="90.75" customHeight="1" x14ac:dyDescent="0.3">
      <c r="E7" s="6" t="str">
        <f ca="1">CONCATENATE("Today Date is:",CHAR(10),TEXT(TODAY(),"dd-mm-yyyy"))</f>
        <v>Today Date is:
26-01-2026</v>
      </c>
      <c r="H7" s="6" t="s">
        <v>40</v>
      </c>
    </row>
    <row r="10" spans="5:8" x14ac:dyDescent="0.3">
      <c r="E10" s="4"/>
    </row>
    <row r="13" spans="5:8" x14ac:dyDescent="0.3">
      <c r="E13" s="7"/>
    </row>
    <row r="15" spans="5:8" x14ac:dyDescent="0.3">
      <c r="E15" t="str">
        <f>CHAR(10)</f>
        <v xml:space="preserve">
</v>
      </c>
    </row>
  </sheetData>
  <protectedRanges>
    <protectedRange sqref="E7" name="Range1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44E3-AA02-4C33-A81D-958BA9A804DC}">
  <dimension ref="A1:L202"/>
  <sheetViews>
    <sheetView zoomScale="85" zoomScaleNormal="85" workbookViewId="0">
      <selection activeCell="L3" sqref="L3:L6"/>
    </sheetView>
  </sheetViews>
  <sheetFormatPr defaultRowHeight="14.4" x14ac:dyDescent="0.3"/>
  <cols>
    <col min="1" max="1" width="12.33203125" customWidth="1"/>
    <col min="2" max="2" width="14.44140625" bestFit="1" customWidth="1"/>
    <col min="3" max="3" width="5.5546875" bestFit="1" customWidth="1"/>
    <col min="9" max="9" width="9.88671875" bestFit="1" customWidth="1"/>
  </cols>
  <sheetData>
    <row r="1" spans="1:12" x14ac:dyDescent="0.3">
      <c r="A1" s="10" t="s">
        <v>33</v>
      </c>
      <c r="B1" s="10" t="s">
        <v>102</v>
      </c>
    </row>
    <row r="2" spans="1:12" x14ac:dyDescent="0.3">
      <c r="A2" s="3">
        <v>43809</v>
      </c>
      <c r="B2" t="str">
        <f>VLOOKUP(A2,$I$3:$J$6,2,1)</f>
        <v>Q1</v>
      </c>
      <c r="C2" t="str">
        <f>VLOOKUP(MONTH(A2),$F$3:$G$6,2,1)</f>
        <v>Q1</v>
      </c>
    </row>
    <row r="3" spans="1:12" x14ac:dyDescent="0.3">
      <c r="A3" s="3">
        <v>43751</v>
      </c>
      <c r="B3" t="str">
        <f t="shared" ref="B3:B66" si="0">VLOOKUP(A3,$I$3:$J$6,2,1)</f>
        <v>Q1</v>
      </c>
      <c r="C3" t="str">
        <f t="shared" ref="C3:C66" si="1">VLOOKUP(MONTH(A3),$F$3:$G$6,2,1)</f>
        <v>Q1</v>
      </c>
      <c r="F3">
        <v>1</v>
      </c>
      <c r="G3" t="s">
        <v>34</v>
      </c>
      <c r="I3" s="4">
        <v>43466</v>
      </c>
      <c r="J3" t="s">
        <v>34</v>
      </c>
      <c r="L3" s="22"/>
    </row>
    <row r="4" spans="1:12" x14ac:dyDescent="0.3">
      <c r="A4" s="3">
        <v>43709</v>
      </c>
      <c r="B4" t="str">
        <f t="shared" si="0"/>
        <v>Q3</v>
      </c>
      <c r="C4" t="str">
        <f t="shared" si="1"/>
        <v>Q3</v>
      </c>
      <c r="F4">
        <v>4</v>
      </c>
      <c r="G4" t="s">
        <v>35</v>
      </c>
      <c r="I4" s="4">
        <v>43556</v>
      </c>
      <c r="J4" t="s">
        <v>35</v>
      </c>
      <c r="L4" s="22"/>
    </row>
    <row r="5" spans="1:12" x14ac:dyDescent="0.3">
      <c r="A5" s="3">
        <v>43665</v>
      </c>
      <c r="B5" t="str">
        <f t="shared" si="0"/>
        <v>Q3</v>
      </c>
      <c r="C5" t="str">
        <f t="shared" si="1"/>
        <v>Q3</v>
      </c>
      <c r="F5">
        <v>7</v>
      </c>
      <c r="G5" t="s">
        <v>36</v>
      </c>
      <c r="I5" s="4">
        <v>43647</v>
      </c>
      <c r="J5" t="s">
        <v>36</v>
      </c>
      <c r="L5" s="22"/>
    </row>
    <row r="6" spans="1:12" x14ac:dyDescent="0.3">
      <c r="A6" s="3">
        <v>43760</v>
      </c>
      <c r="B6" t="str">
        <f t="shared" si="0"/>
        <v>Q1</v>
      </c>
      <c r="C6" t="str">
        <f t="shared" si="1"/>
        <v>Q1</v>
      </c>
      <c r="F6">
        <v>10</v>
      </c>
      <c r="G6" t="s">
        <v>37</v>
      </c>
      <c r="I6" s="4">
        <v>43739</v>
      </c>
      <c r="J6" t="s">
        <v>37</v>
      </c>
      <c r="L6" s="22"/>
    </row>
    <row r="7" spans="1:12" x14ac:dyDescent="0.3">
      <c r="A7" s="3">
        <v>43700</v>
      </c>
      <c r="B7" t="str">
        <f t="shared" si="0"/>
        <v>Q3</v>
      </c>
      <c r="C7" t="str">
        <f t="shared" si="1"/>
        <v>Q3</v>
      </c>
    </row>
    <row r="8" spans="1:12" x14ac:dyDescent="0.3">
      <c r="A8" s="3">
        <v>43702</v>
      </c>
      <c r="B8" t="str">
        <f t="shared" si="0"/>
        <v>Q3</v>
      </c>
      <c r="C8" t="str">
        <f t="shared" si="1"/>
        <v>Q3</v>
      </c>
    </row>
    <row r="9" spans="1:12" x14ac:dyDescent="0.3">
      <c r="A9" s="3">
        <v>43494</v>
      </c>
      <c r="B9" t="str">
        <f t="shared" si="0"/>
        <v>Q4</v>
      </c>
      <c r="C9" t="str">
        <f t="shared" si="1"/>
        <v>Q4</v>
      </c>
    </row>
    <row r="10" spans="1:12" x14ac:dyDescent="0.3">
      <c r="A10" s="3">
        <v>43545</v>
      </c>
      <c r="B10" t="str">
        <f t="shared" si="0"/>
        <v>Q4</v>
      </c>
      <c r="C10" t="str">
        <f t="shared" si="1"/>
        <v>Q4</v>
      </c>
    </row>
    <row r="11" spans="1:12" x14ac:dyDescent="0.3">
      <c r="A11" s="3">
        <v>43482</v>
      </c>
      <c r="B11" t="str">
        <f t="shared" si="0"/>
        <v>Q4</v>
      </c>
      <c r="C11" t="str">
        <f t="shared" si="1"/>
        <v>Q4</v>
      </c>
    </row>
    <row r="12" spans="1:12" x14ac:dyDescent="0.3">
      <c r="A12" s="3">
        <v>43504</v>
      </c>
      <c r="B12" t="str">
        <f t="shared" si="0"/>
        <v>Q4</v>
      </c>
      <c r="C12" t="str">
        <f t="shared" si="1"/>
        <v>Q4</v>
      </c>
    </row>
    <row r="13" spans="1:12" x14ac:dyDescent="0.3">
      <c r="A13" s="3">
        <v>43694</v>
      </c>
      <c r="B13" t="str">
        <f t="shared" si="0"/>
        <v>Q3</v>
      </c>
      <c r="C13" t="str">
        <f t="shared" si="1"/>
        <v>Q3</v>
      </c>
    </row>
    <row r="14" spans="1:12" x14ac:dyDescent="0.3">
      <c r="A14" s="3">
        <v>43649</v>
      </c>
      <c r="B14" t="str">
        <f t="shared" si="0"/>
        <v>Q3</v>
      </c>
      <c r="C14" t="str">
        <f t="shared" si="1"/>
        <v>Q3</v>
      </c>
    </row>
    <row r="15" spans="1:12" x14ac:dyDescent="0.3">
      <c r="A15" s="3">
        <v>43632</v>
      </c>
      <c r="B15" t="str">
        <f t="shared" si="0"/>
        <v>Q2</v>
      </c>
      <c r="C15" t="str">
        <f t="shared" si="1"/>
        <v>Q2</v>
      </c>
    </row>
    <row r="16" spans="1:12" x14ac:dyDescent="0.3">
      <c r="A16" s="3">
        <v>43763</v>
      </c>
      <c r="B16" t="str">
        <f t="shared" si="0"/>
        <v>Q1</v>
      </c>
      <c r="C16" t="str">
        <f t="shared" si="1"/>
        <v>Q1</v>
      </c>
    </row>
    <row r="17" spans="1:3" x14ac:dyDescent="0.3">
      <c r="A17" s="3">
        <v>43634</v>
      </c>
      <c r="B17" t="str">
        <f t="shared" si="0"/>
        <v>Q2</v>
      </c>
      <c r="C17" t="str">
        <f t="shared" si="1"/>
        <v>Q2</v>
      </c>
    </row>
    <row r="18" spans="1:3" x14ac:dyDescent="0.3">
      <c r="A18" s="3">
        <v>43659</v>
      </c>
      <c r="B18" t="str">
        <f t="shared" si="0"/>
        <v>Q3</v>
      </c>
      <c r="C18" t="str">
        <f t="shared" si="1"/>
        <v>Q3</v>
      </c>
    </row>
    <row r="19" spans="1:3" x14ac:dyDescent="0.3">
      <c r="A19" s="3">
        <v>43620</v>
      </c>
      <c r="B19" t="str">
        <f t="shared" si="0"/>
        <v>Q2</v>
      </c>
      <c r="C19" t="str">
        <f t="shared" si="1"/>
        <v>Q2</v>
      </c>
    </row>
    <row r="20" spans="1:3" x14ac:dyDescent="0.3">
      <c r="A20" s="3">
        <v>43591</v>
      </c>
      <c r="B20" t="str">
        <f t="shared" si="0"/>
        <v>Q2</v>
      </c>
      <c r="C20" t="str">
        <f t="shared" si="1"/>
        <v>Q2</v>
      </c>
    </row>
    <row r="21" spans="1:3" x14ac:dyDescent="0.3">
      <c r="A21" s="3">
        <v>43679</v>
      </c>
      <c r="B21" t="str">
        <f t="shared" si="0"/>
        <v>Q3</v>
      </c>
      <c r="C21" t="str">
        <f t="shared" si="1"/>
        <v>Q3</v>
      </c>
    </row>
    <row r="22" spans="1:3" x14ac:dyDescent="0.3">
      <c r="A22" s="3">
        <v>43761</v>
      </c>
      <c r="B22" t="str">
        <f t="shared" si="0"/>
        <v>Q1</v>
      </c>
      <c r="C22" t="str">
        <f t="shared" si="1"/>
        <v>Q1</v>
      </c>
    </row>
    <row r="23" spans="1:3" x14ac:dyDescent="0.3">
      <c r="A23" s="3">
        <v>43710</v>
      </c>
      <c r="B23" t="str">
        <f t="shared" si="0"/>
        <v>Q3</v>
      </c>
      <c r="C23" t="str">
        <f t="shared" si="1"/>
        <v>Q3</v>
      </c>
    </row>
    <row r="24" spans="1:3" x14ac:dyDescent="0.3">
      <c r="A24" s="3">
        <v>43788</v>
      </c>
      <c r="B24" t="str">
        <f t="shared" si="0"/>
        <v>Q1</v>
      </c>
      <c r="C24" t="str">
        <f t="shared" si="1"/>
        <v>Q1</v>
      </c>
    </row>
    <row r="25" spans="1:3" x14ac:dyDescent="0.3">
      <c r="A25" s="3">
        <v>43746</v>
      </c>
      <c r="B25" t="str">
        <f t="shared" si="0"/>
        <v>Q1</v>
      </c>
      <c r="C25" t="str">
        <f t="shared" si="1"/>
        <v>Q1</v>
      </c>
    </row>
    <row r="26" spans="1:3" x14ac:dyDescent="0.3">
      <c r="A26" s="3">
        <v>43536</v>
      </c>
      <c r="B26" t="str">
        <f t="shared" si="0"/>
        <v>Q4</v>
      </c>
      <c r="C26" t="str">
        <f t="shared" si="1"/>
        <v>Q4</v>
      </c>
    </row>
    <row r="27" spans="1:3" x14ac:dyDescent="0.3">
      <c r="A27" s="3">
        <v>43757</v>
      </c>
      <c r="B27" t="str">
        <f t="shared" si="0"/>
        <v>Q1</v>
      </c>
      <c r="C27" t="str">
        <f t="shared" si="1"/>
        <v>Q1</v>
      </c>
    </row>
    <row r="28" spans="1:3" x14ac:dyDescent="0.3">
      <c r="A28" s="3">
        <v>43751</v>
      </c>
      <c r="B28" t="str">
        <f t="shared" si="0"/>
        <v>Q1</v>
      </c>
      <c r="C28" t="str">
        <f t="shared" si="1"/>
        <v>Q1</v>
      </c>
    </row>
    <row r="29" spans="1:3" x14ac:dyDescent="0.3">
      <c r="A29" s="3">
        <v>43550</v>
      </c>
      <c r="B29" t="str">
        <f t="shared" si="0"/>
        <v>Q4</v>
      </c>
      <c r="C29" t="str">
        <f t="shared" si="1"/>
        <v>Q4</v>
      </c>
    </row>
    <row r="30" spans="1:3" x14ac:dyDescent="0.3">
      <c r="A30" s="3">
        <v>43552</v>
      </c>
      <c r="B30" t="str">
        <f t="shared" si="0"/>
        <v>Q4</v>
      </c>
      <c r="C30" t="str">
        <f t="shared" si="1"/>
        <v>Q4</v>
      </c>
    </row>
    <row r="31" spans="1:3" x14ac:dyDescent="0.3">
      <c r="A31" s="3">
        <v>43807</v>
      </c>
      <c r="B31" t="str">
        <f t="shared" si="0"/>
        <v>Q1</v>
      </c>
      <c r="C31" t="str">
        <f t="shared" si="1"/>
        <v>Q1</v>
      </c>
    </row>
    <row r="32" spans="1:3" x14ac:dyDescent="0.3">
      <c r="A32" s="3">
        <v>43735</v>
      </c>
      <c r="B32" t="str">
        <f t="shared" si="0"/>
        <v>Q3</v>
      </c>
      <c r="C32" t="str">
        <f t="shared" si="1"/>
        <v>Q3</v>
      </c>
    </row>
    <row r="33" spans="1:3" x14ac:dyDescent="0.3">
      <c r="A33" s="3">
        <v>43637</v>
      </c>
      <c r="B33" t="str">
        <f t="shared" si="0"/>
        <v>Q2</v>
      </c>
      <c r="C33" t="str">
        <f t="shared" si="1"/>
        <v>Q2</v>
      </c>
    </row>
    <row r="34" spans="1:3" x14ac:dyDescent="0.3">
      <c r="A34" s="3">
        <v>43780</v>
      </c>
      <c r="B34" t="str">
        <f t="shared" si="0"/>
        <v>Q1</v>
      </c>
      <c r="C34" t="str">
        <f t="shared" si="1"/>
        <v>Q1</v>
      </c>
    </row>
    <row r="35" spans="1:3" x14ac:dyDescent="0.3">
      <c r="A35" s="3">
        <v>43769</v>
      </c>
      <c r="B35" t="str">
        <f t="shared" si="0"/>
        <v>Q1</v>
      </c>
      <c r="C35" t="str">
        <f t="shared" si="1"/>
        <v>Q1</v>
      </c>
    </row>
    <row r="36" spans="1:3" x14ac:dyDescent="0.3">
      <c r="A36" s="3">
        <v>43482</v>
      </c>
      <c r="B36" t="str">
        <f t="shared" si="0"/>
        <v>Q4</v>
      </c>
      <c r="C36" t="str">
        <f t="shared" si="1"/>
        <v>Q4</v>
      </c>
    </row>
    <row r="37" spans="1:3" x14ac:dyDescent="0.3">
      <c r="A37" s="3">
        <v>43670</v>
      </c>
      <c r="B37" t="str">
        <f t="shared" si="0"/>
        <v>Q3</v>
      </c>
      <c r="C37" t="str">
        <f t="shared" si="1"/>
        <v>Q3</v>
      </c>
    </row>
    <row r="38" spans="1:3" x14ac:dyDescent="0.3">
      <c r="A38" s="3">
        <v>43490</v>
      </c>
      <c r="B38" t="str">
        <f t="shared" si="0"/>
        <v>Q4</v>
      </c>
      <c r="C38" t="str">
        <f t="shared" si="1"/>
        <v>Q4</v>
      </c>
    </row>
    <row r="39" spans="1:3" x14ac:dyDescent="0.3">
      <c r="A39" s="3">
        <v>43568</v>
      </c>
      <c r="B39" t="str">
        <f t="shared" si="0"/>
        <v>Q2</v>
      </c>
      <c r="C39" t="str">
        <f t="shared" si="1"/>
        <v>Q2</v>
      </c>
    </row>
    <row r="40" spans="1:3" x14ac:dyDescent="0.3">
      <c r="A40" s="3">
        <v>43685</v>
      </c>
      <c r="B40" t="str">
        <f t="shared" si="0"/>
        <v>Q3</v>
      </c>
      <c r="C40" t="str">
        <f t="shared" si="1"/>
        <v>Q3</v>
      </c>
    </row>
    <row r="41" spans="1:3" x14ac:dyDescent="0.3">
      <c r="A41" s="3">
        <v>43633</v>
      </c>
      <c r="B41" t="str">
        <f t="shared" si="0"/>
        <v>Q2</v>
      </c>
      <c r="C41" t="str">
        <f t="shared" si="1"/>
        <v>Q2</v>
      </c>
    </row>
    <row r="42" spans="1:3" x14ac:dyDescent="0.3">
      <c r="A42" s="3">
        <v>43516</v>
      </c>
      <c r="B42" t="str">
        <f t="shared" si="0"/>
        <v>Q4</v>
      </c>
      <c r="C42" t="str">
        <f t="shared" si="1"/>
        <v>Q4</v>
      </c>
    </row>
    <row r="43" spans="1:3" x14ac:dyDescent="0.3">
      <c r="A43" s="3">
        <v>43747</v>
      </c>
      <c r="B43" t="str">
        <f t="shared" si="0"/>
        <v>Q1</v>
      </c>
      <c r="C43" t="str">
        <f t="shared" si="1"/>
        <v>Q1</v>
      </c>
    </row>
    <row r="44" spans="1:3" x14ac:dyDescent="0.3">
      <c r="A44" s="3">
        <v>43577</v>
      </c>
      <c r="B44" t="str">
        <f t="shared" si="0"/>
        <v>Q2</v>
      </c>
      <c r="C44" t="str">
        <f t="shared" si="1"/>
        <v>Q2</v>
      </c>
    </row>
    <row r="45" spans="1:3" x14ac:dyDescent="0.3">
      <c r="A45" s="3">
        <v>43827</v>
      </c>
      <c r="B45" t="str">
        <f t="shared" si="0"/>
        <v>Q1</v>
      </c>
      <c r="C45" t="str">
        <f t="shared" si="1"/>
        <v>Q1</v>
      </c>
    </row>
    <row r="46" spans="1:3" x14ac:dyDescent="0.3">
      <c r="A46" s="3">
        <v>43629</v>
      </c>
      <c r="B46" t="str">
        <f t="shared" si="0"/>
        <v>Q2</v>
      </c>
      <c r="C46" t="str">
        <f t="shared" si="1"/>
        <v>Q2</v>
      </c>
    </row>
    <row r="47" spans="1:3" x14ac:dyDescent="0.3">
      <c r="A47" s="3">
        <v>43468</v>
      </c>
      <c r="B47" t="str">
        <f t="shared" si="0"/>
        <v>Q4</v>
      </c>
      <c r="C47" t="str">
        <f t="shared" si="1"/>
        <v>Q4</v>
      </c>
    </row>
    <row r="48" spans="1:3" x14ac:dyDescent="0.3">
      <c r="A48" s="3">
        <v>43691</v>
      </c>
      <c r="B48" t="str">
        <f t="shared" si="0"/>
        <v>Q3</v>
      </c>
      <c r="C48" t="str">
        <f t="shared" si="1"/>
        <v>Q3</v>
      </c>
    </row>
    <row r="49" spans="1:3" x14ac:dyDescent="0.3">
      <c r="A49" s="3">
        <v>43616</v>
      </c>
      <c r="B49" t="str">
        <f t="shared" si="0"/>
        <v>Q2</v>
      </c>
      <c r="C49" t="str">
        <f t="shared" si="1"/>
        <v>Q2</v>
      </c>
    </row>
    <row r="50" spans="1:3" x14ac:dyDescent="0.3">
      <c r="A50" s="3">
        <v>43571</v>
      </c>
      <c r="B50" t="str">
        <f t="shared" si="0"/>
        <v>Q2</v>
      </c>
      <c r="C50" t="str">
        <f t="shared" si="1"/>
        <v>Q2</v>
      </c>
    </row>
    <row r="51" spans="1:3" x14ac:dyDescent="0.3">
      <c r="A51" s="3">
        <v>43659</v>
      </c>
      <c r="B51" t="str">
        <f t="shared" si="0"/>
        <v>Q3</v>
      </c>
      <c r="C51" t="str">
        <f t="shared" si="1"/>
        <v>Q3</v>
      </c>
    </row>
    <row r="52" spans="1:3" x14ac:dyDescent="0.3">
      <c r="A52" s="3">
        <v>43754</v>
      </c>
      <c r="B52" t="str">
        <f t="shared" si="0"/>
        <v>Q1</v>
      </c>
      <c r="C52" t="str">
        <f t="shared" si="1"/>
        <v>Q1</v>
      </c>
    </row>
    <row r="53" spans="1:3" x14ac:dyDescent="0.3">
      <c r="A53" s="3">
        <v>43574</v>
      </c>
      <c r="B53" t="str">
        <f t="shared" si="0"/>
        <v>Q2</v>
      </c>
      <c r="C53" t="str">
        <f t="shared" si="1"/>
        <v>Q2</v>
      </c>
    </row>
    <row r="54" spans="1:3" x14ac:dyDescent="0.3">
      <c r="A54" s="3">
        <v>43525</v>
      </c>
      <c r="B54" t="str">
        <f t="shared" si="0"/>
        <v>Q4</v>
      </c>
      <c r="C54" t="str">
        <f t="shared" si="1"/>
        <v>Q4</v>
      </c>
    </row>
    <row r="55" spans="1:3" x14ac:dyDescent="0.3">
      <c r="A55" s="3">
        <v>43472</v>
      </c>
      <c r="B55" t="str">
        <f t="shared" si="0"/>
        <v>Q4</v>
      </c>
      <c r="C55" t="str">
        <f t="shared" si="1"/>
        <v>Q4</v>
      </c>
    </row>
    <row r="56" spans="1:3" x14ac:dyDescent="0.3">
      <c r="A56" s="3">
        <v>43751</v>
      </c>
      <c r="B56" t="str">
        <f t="shared" si="0"/>
        <v>Q1</v>
      </c>
      <c r="C56" t="str">
        <f t="shared" si="1"/>
        <v>Q1</v>
      </c>
    </row>
    <row r="57" spans="1:3" x14ac:dyDescent="0.3">
      <c r="A57" s="3">
        <v>43552</v>
      </c>
      <c r="B57" t="str">
        <f t="shared" si="0"/>
        <v>Q4</v>
      </c>
      <c r="C57" t="str">
        <f t="shared" si="1"/>
        <v>Q4</v>
      </c>
    </row>
    <row r="58" spans="1:3" x14ac:dyDescent="0.3">
      <c r="A58" s="3">
        <v>43592</v>
      </c>
      <c r="B58" t="str">
        <f t="shared" si="0"/>
        <v>Q2</v>
      </c>
      <c r="C58" t="str">
        <f t="shared" si="1"/>
        <v>Q2</v>
      </c>
    </row>
    <row r="59" spans="1:3" x14ac:dyDescent="0.3">
      <c r="A59" s="3">
        <v>43830</v>
      </c>
      <c r="B59" t="str">
        <f t="shared" si="0"/>
        <v>Q1</v>
      </c>
      <c r="C59" t="str">
        <f t="shared" si="1"/>
        <v>Q1</v>
      </c>
    </row>
    <row r="60" spans="1:3" x14ac:dyDescent="0.3">
      <c r="A60" s="3">
        <v>43780</v>
      </c>
      <c r="B60" t="str">
        <f t="shared" si="0"/>
        <v>Q1</v>
      </c>
      <c r="C60" t="str">
        <f t="shared" si="1"/>
        <v>Q1</v>
      </c>
    </row>
    <row r="61" spans="1:3" x14ac:dyDescent="0.3">
      <c r="A61" s="3">
        <v>43678</v>
      </c>
      <c r="B61" t="str">
        <f t="shared" si="0"/>
        <v>Q3</v>
      </c>
      <c r="C61" t="str">
        <f t="shared" si="1"/>
        <v>Q3</v>
      </c>
    </row>
    <row r="62" spans="1:3" x14ac:dyDescent="0.3">
      <c r="A62" s="3">
        <v>43670</v>
      </c>
      <c r="B62" t="str">
        <f t="shared" si="0"/>
        <v>Q3</v>
      </c>
      <c r="C62" t="str">
        <f t="shared" si="1"/>
        <v>Q3</v>
      </c>
    </row>
    <row r="63" spans="1:3" x14ac:dyDescent="0.3">
      <c r="A63" s="3">
        <v>43576</v>
      </c>
      <c r="B63" t="str">
        <f t="shared" si="0"/>
        <v>Q2</v>
      </c>
      <c r="C63" t="str">
        <f t="shared" si="1"/>
        <v>Q2</v>
      </c>
    </row>
    <row r="64" spans="1:3" x14ac:dyDescent="0.3">
      <c r="A64" s="3">
        <v>43675</v>
      </c>
      <c r="B64" t="str">
        <f t="shared" si="0"/>
        <v>Q3</v>
      </c>
      <c r="C64" t="str">
        <f t="shared" si="1"/>
        <v>Q3</v>
      </c>
    </row>
    <row r="65" spans="1:3" x14ac:dyDescent="0.3">
      <c r="A65" s="3">
        <v>43748</v>
      </c>
      <c r="B65" t="str">
        <f t="shared" si="0"/>
        <v>Q1</v>
      </c>
      <c r="C65" t="str">
        <f t="shared" si="1"/>
        <v>Q1</v>
      </c>
    </row>
    <row r="66" spans="1:3" x14ac:dyDescent="0.3">
      <c r="A66" s="3">
        <v>43506</v>
      </c>
      <c r="B66" t="str">
        <f t="shared" si="0"/>
        <v>Q4</v>
      </c>
      <c r="C66" t="str">
        <f t="shared" si="1"/>
        <v>Q4</v>
      </c>
    </row>
    <row r="67" spans="1:3" x14ac:dyDescent="0.3">
      <c r="A67" s="3">
        <v>43588</v>
      </c>
      <c r="B67" t="str">
        <f t="shared" ref="B67:B130" si="2">VLOOKUP(A67,$I$3:$J$6,2,1)</f>
        <v>Q2</v>
      </c>
      <c r="C67" t="str">
        <f t="shared" ref="C67:C130" si="3">VLOOKUP(MONTH(A67),$F$3:$G$6,2,1)</f>
        <v>Q2</v>
      </c>
    </row>
    <row r="68" spans="1:3" x14ac:dyDescent="0.3">
      <c r="A68" s="3">
        <v>43587</v>
      </c>
      <c r="B68" t="str">
        <f t="shared" si="2"/>
        <v>Q2</v>
      </c>
      <c r="C68" t="str">
        <f t="shared" si="3"/>
        <v>Q2</v>
      </c>
    </row>
    <row r="69" spans="1:3" x14ac:dyDescent="0.3">
      <c r="A69" s="3">
        <v>43555</v>
      </c>
      <c r="B69" t="str">
        <f t="shared" si="2"/>
        <v>Q4</v>
      </c>
      <c r="C69" t="str">
        <f t="shared" si="3"/>
        <v>Q4</v>
      </c>
    </row>
    <row r="70" spans="1:3" x14ac:dyDescent="0.3">
      <c r="A70" s="3">
        <v>43588</v>
      </c>
      <c r="B70" t="str">
        <f t="shared" si="2"/>
        <v>Q2</v>
      </c>
      <c r="C70" t="str">
        <f t="shared" si="3"/>
        <v>Q2</v>
      </c>
    </row>
    <row r="71" spans="1:3" x14ac:dyDescent="0.3">
      <c r="A71" s="3">
        <v>43760</v>
      </c>
      <c r="B71" t="str">
        <f t="shared" si="2"/>
        <v>Q1</v>
      </c>
      <c r="C71" t="str">
        <f t="shared" si="3"/>
        <v>Q1</v>
      </c>
    </row>
    <row r="72" spans="1:3" x14ac:dyDescent="0.3">
      <c r="A72" s="3">
        <v>43485</v>
      </c>
      <c r="B72" t="str">
        <f t="shared" si="2"/>
        <v>Q4</v>
      </c>
      <c r="C72" t="str">
        <f t="shared" si="3"/>
        <v>Q4</v>
      </c>
    </row>
    <row r="73" spans="1:3" x14ac:dyDescent="0.3">
      <c r="A73" s="3">
        <v>43685</v>
      </c>
      <c r="B73" t="str">
        <f t="shared" si="2"/>
        <v>Q3</v>
      </c>
      <c r="C73" t="str">
        <f t="shared" si="3"/>
        <v>Q3</v>
      </c>
    </row>
    <row r="74" spans="1:3" x14ac:dyDescent="0.3">
      <c r="A74" s="3">
        <v>43667</v>
      </c>
      <c r="B74" t="str">
        <f t="shared" si="2"/>
        <v>Q3</v>
      </c>
      <c r="C74" t="str">
        <f t="shared" si="3"/>
        <v>Q3</v>
      </c>
    </row>
    <row r="75" spans="1:3" x14ac:dyDescent="0.3">
      <c r="A75" s="3">
        <v>43803</v>
      </c>
      <c r="B75" t="str">
        <f t="shared" si="2"/>
        <v>Q1</v>
      </c>
      <c r="C75" t="str">
        <f t="shared" si="3"/>
        <v>Q1</v>
      </c>
    </row>
    <row r="76" spans="1:3" x14ac:dyDescent="0.3">
      <c r="A76" s="3">
        <v>43742</v>
      </c>
      <c r="B76" t="str">
        <f t="shared" si="2"/>
        <v>Q1</v>
      </c>
      <c r="C76" t="str">
        <f t="shared" si="3"/>
        <v>Q1</v>
      </c>
    </row>
    <row r="77" spans="1:3" x14ac:dyDescent="0.3">
      <c r="A77" s="3">
        <v>43773</v>
      </c>
      <c r="B77" t="str">
        <f t="shared" si="2"/>
        <v>Q1</v>
      </c>
      <c r="C77" t="str">
        <f t="shared" si="3"/>
        <v>Q1</v>
      </c>
    </row>
    <row r="78" spans="1:3" x14ac:dyDescent="0.3">
      <c r="A78" s="3">
        <v>43714</v>
      </c>
      <c r="B78" t="str">
        <f t="shared" si="2"/>
        <v>Q3</v>
      </c>
      <c r="C78" t="str">
        <f t="shared" si="3"/>
        <v>Q3</v>
      </c>
    </row>
    <row r="79" spans="1:3" x14ac:dyDescent="0.3">
      <c r="A79" s="3">
        <v>43495</v>
      </c>
      <c r="B79" t="str">
        <f t="shared" si="2"/>
        <v>Q4</v>
      </c>
      <c r="C79" t="str">
        <f t="shared" si="3"/>
        <v>Q4</v>
      </c>
    </row>
    <row r="80" spans="1:3" x14ac:dyDescent="0.3">
      <c r="A80" s="3">
        <v>43604</v>
      </c>
      <c r="B80" t="str">
        <f t="shared" si="2"/>
        <v>Q2</v>
      </c>
      <c r="C80" t="str">
        <f t="shared" si="3"/>
        <v>Q2</v>
      </c>
    </row>
    <row r="81" spans="1:3" x14ac:dyDescent="0.3">
      <c r="A81" s="3">
        <v>43529</v>
      </c>
      <c r="B81" t="str">
        <f t="shared" si="2"/>
        <v>Q4</v>
      </c>
      <c r="C81" t="str">
        <f t="shared" si="3"/>
        <v>Q4</v>
      </c>
    </row>
    <row r="82" spans="1:3" x14ac:dyDescent="0.3">
      <c r="A82" s="3">
        <v>43621</v>
      </c>
      <c r="B82" t="str">
        <f t="shared" si="2"/>
        <v>Q2</v>
      </c>
      <c r="C82" t="str">
        <f t="shared" si="3"/>
        <v>Q2</v>
      </c>
    </row>
    <row r="83" spans="1:3" x14ac:dyDescent="0.3">
      <c r="A83" s="3">
        <v>43602</v>
      </c>
      <c r="B83" t="str">
        <f t="shared" si="2"/>
        <v>Q2</v>
      </c>
      <c r="C83" t="str">
        <f t="shared" si="3"/>
        <v>Q2</v>
      </c>
    </row>
    <row r="84" spans="1:3" x14ac:dyDescent="0.3">
      <c r="A84" s="3">
        <v>43753</v>
      </c>
      <c r="B84" t="str">
        <f t="shared" si="2"/>
        <v>Q1</v>
      </c>
      <c r="C84" t="str">
        <f t="shared" si="3"/>
        <v>Q1</v>
      </c>
    </row>
    <row r="85" spans="1:3" x14ac:dyDescent="0.3">
      <c r="A85" s="3">
        <v>43694</v>
      </c>
      <c r="B85" t="str">
        <f t="shared" si="2"/>
        <v>Q3</v>
      </c>
      <c r="C85" t="str">
        <f t="shared" si="3"/>
        <v>Q3</v>
      </c>
    </row>
    <row r="86" spans="1:3" x14ac:dyDescent="0.3">
      <c r="A86" s="3">
        <v>43474</v>
      </c>
      <c r="B86" t="str">
        <f t="shared" si="2"/>
        <v>Q4</v>
      </c>
      <c r="C86" t="str">
        <f t="shared" si="3"/>
        <v>Q4</v>
      </c>
    </row>
    <row r="87" spans="1:3" x14ac:dyDescent="0.3">
      <c r="A87" s="3">
        <v>43588</v>
      </c>
      <c r="B87" t="str">
        <f t="shared" si="2"/>
        <v>Q2</v>
      </c>
      <c r="C87" t="str">
        <f t="shared" si="3"/>
        <v>Q2</v>
      </c>
    </row>
    <row r="88" spans="1:3" x14ac:dyDescent="0.3">
      <c r="A88" s="3">
        <v>43538</v>
      </c>
      <c r="B88" t="str">
        <f t="shared" si="2"/>
        <v>Q4</v>
      </c>
      <c r="C88" t="str">
        <f t="shared" si="3"/>
        <v>Q4</v>
      </c>
    </row>
    <row r="89" spans="1:3" x14ac:dyDescent="0.3">
      <c r="A89" s="3">
        <v>43512</v>
      </c>
      <c r="B89" t="str">
        <f t="shared" si="2"/>
        <v>Q4</v>
      </c>
      <c r="C89" t="str">
        <f t="shared" si="3"/>
        <v>Q4</v>
      </c>
    </row>
    <row r="90" spans="1:3" x14ac:dyDescent="0.3">
      <c r="A90" s="3">
        <v>43698</v>
      </c>
      <c r="B90" t="str">
        <f t="shared" si="2"/>
        <v>Q3</v>
      </c>
      <c r="C90" t="str">
        <f t="shared" si="3"/>
        <v>Q3</v>
      </c>
    </row>
    <row r="91" spans="1:3" x14ac:dyDescent="0.3">
      <c r="A91" s="3">
        <v>43656</v>
      </c>
      <c r="B91" t="str">
        <f t="shared" si="2"/>
        <v>Q3</v>
      </c>
      <c r="C91" t="str">
        <f t="shared" si="3"/>
        <v>Q3</v>
      </c>
    </row>
    <row r="92" spans="1:3" x14ac:dyDescent="0.3">
      <c r="A92" s="3">
        <v>43564</v>
      </c>
      <c r="B92" t="str">
        <f t="shared" si="2"/>
        <v>Q2</v>
      </c>
      <c r="C92" t="str">
        <f t="shared" si="3"/>
        <v>Q2</v>
      </c>
    </row>
    <row r="93" spans="1:3" x14ac:dyDescent="0.3">
      <c r="A93" s="3">
        <v>43815</v>
      </c>
      <c r="B93" t="str">
        <f t="shared" si="2"/>
        <v>Q1</v>
      </c>
      <c r="C93" t="str">
        <f t="shared" si="3"/>
        <v>Q1</v>
      </c>
    </row>
    <row r="94" spans="1:3" x14ac:dyDescent="0.3">
      <c r="A94" s="3">
        <v>43800</v>
      </c>
      <c r="B94" t="str">
        <f t="shared" si="2"/>
        <v>Q1</v>
      </c>
      <c r="C94" t="str">
        <f t="shared" si="3"/>
        <v>Q1</v>
      </c>
    </row>
    <row r="95" spans="1:3" x14ac:dyDescent="0.3">
      <c r="A95" s="3">
        <v>43508</v>
      </c>
      <c r="B95" t="str">
        <f t="shared" si="2"/>
        <v>Q4</v>
      </c>
      <c r="C95" t="str">
        <f t="shared" si="3"/>
        <v>Q4</v>
      </c>
    </row>
    <row r="96" spans="1:3" x14ac:dyDescent="0.3">
      <c r="A96" s="3">
        <v>43542</v>
      </c>
      <c r="B96" t="str">
        <f t="shared" si="2"/>
        <v>Q4</v>
      </c>
      <c r="C96" t="str">
        <f t="shared" si="3"/>
        <v>Q4</v>
      </c>
    </row>
    <row r="97" spans="1:3" x14ac:dyDescent="0.3">
      <c r="A97" s="3">
        <v>43575</v>
      </c>
      <c r="B97" t="str">
        <f t="shared" si="2"/>
        <v>Q2</v>
      </c>
      <c r="C97" t="str">
        <f t="shared" si="3"/>
        <v>Q2</v>
      </c>
    </row>
    <row r="98" spans="1:3" x14ac:dyDescent="0.3">
      <c r="A98" s="3">
        <v>43502</v>
      </c>
      <c r="B98" t="str">
        <f t="shared" si="2"/>
        <v>Q4</v>
      </c>
      <c r="C98" t="str">
        <f t="shared" si="3"/>
        <v>Q4</v>
      </c>
    </row>
    <row r="99" spans="1:3" x14ac:dyDescent="0.3">
      <c r="A99" s="3">
        <v>43466</v>
      </c>
      <c r="B99" t="str">
        <f t="shared" si="2"/>
        <v>Q4</v>
      </c>
      <c r="C99" t="str">
        <f t="shared" si="3"/>
        <v>Q4</v>
      </c>
    </row>
    <row r="100" spans="1:3" x14ac:dyDescent="0.3">
      <c r="A100" s="3">
        <v>43578</v>
      </c>
      <c r="B100" t="str">
        <f t="shared" si="2"/>
        <v>Q2</v>
      </c>
      <c r="C100" t="str">
        <f t="shared" si="3"/>
        <v>Q2</v>
      </c>
    </row>
    <row r="101" spans="1:3" x14ac:dyDescent="0.3">
      <c r="A101" s="3">
        <v>43719</v>
      </c>
      <c r="B101" t="str">
        <f t="shared" si="2"/>
        <v>Q3</v>
      </c>
      <c r="C101" t="str">
        <f t="shared" si="3"/>
        <v>Q3</v>
      </c>
    </row>
    <row r="102" spans="1:3" x14ac:dyDescent="0.3">
      <c r="A102" s="3">
        <v>43569</v>
      </c>
      <c r="B102" t="str">
        <f t="shared" si="2"/>
        <v>Q2</v>
      </c>
      <c r="C102" t="str">
        <f t="shared" si="3"/>
        <v>Q2</v>
      </c>
    </row>
    <row r="103" spans="1:3" x14ac:dyDescent="0.3">
      <c r="A103" s="3">
        <v>43483</v>
      </c>
      <c r="B103" t="str">
        <f t="shared" si="2"/>
        <v>Q4</v>
      </c>
      <c r="C103" t="str">
        <f t="shared" si="3"/>
        <v>Q4</v>
      </c>
    </row>
    <row r="104" spans="1:3" x14ac:dyDescent="0.3">
      <c r="A104" s="3">
        <v>43818</v>
      </c>
      <c r="B104" t="str">
        <f t="shared" si="2"/>
        <v>Q1</v>
      </c>
      <c r="C104" t="str">
        <f t="shared" si="3"/>
        <v>Q1</v>
      </c>
    </row>
    <row r="105" spans="1:3" x14ac:dyDescent="0.3">
      <c r="A105" s="3">
        <v>43538</v>
      </c>
      <c r="B105" t="str">
        <f t="shared" si="2"/>
        <v>Q4</v>
      </c>
      <c r="C105" t="str">
        <f t="shared" si="3"/>
        <v>Q4</v>
      </c>
    </row>
    <row r="106" spans="1:3" x14ac:dyDescent="0.3">
      <c r="A106" s="3">
        <v>43713</v>
      </c>
      <c r="B106" t="str">
        <f t="shared" si="2"/>
        <v>Q3</v>
      </c>
      <c r="C106" t="str">
        <f t="shared" si="3"/>
        <v>Q3</v>
      </c>
    </row>
    <row r="107" spans="1:3" x14ac:dyDescent="0.3">
      <c r="A107" s="3">
        <v>43580</v>
      </c>
      <c r="B107" t="str">
        <f t="shared" si="2"/>
        <v>Q2</v>
      </c>
      <c r="C107" t="str">
        <f t="shared" si="3"/>
        <v>Q2</v>
      </c>
    </row>
    <row r="108" spans="1:3" x14ac:dyDescent="0.3">
      <c r="A108" s="3">
        <v>43537</v>
      </c>
      <c r="B108" t="str">
        <f t="shared" si="2"/>
        <v>Q4</v>
      </c>
      <c r="C108" t="str">
        <f t="shared" si="3"/>
        <v>Q4</v>
      </c>
    </row>
    <row r="109" spans="1:3" x14ac:dyDescent="0.3">
      <c r="A109" s="3">
        <v>43542</v>
      </c>
      <c r="B109" t="str">
        <f t="shared" si="2"/>
        <v>Q4</v>
      </c>
      <c r="C109" t="str">
        <f t="shared" si="3"/>
        <v>Q4</v>
      </c>
    </row>
    <row r="110" spans="1:3" x14ac:dyDescent="0.3">
      <c r="A110" s="3">
        <v>43555</v>
      </c>
      <c r="B110" t="str">
        <f t="shared" si="2"/>
        <v>Q4</v>
      </c>
      <c r="C110" t="str">
        <f t="shared" si="3"/>
        <v>Q4</v>
      </c>
    </row>
    <row r="111" spans="1:3" x14ac:dyDescent="0.3">
      <c r="A111" s="3">
        <v>43641</v>
      </c>
      <c r="B111" t="str">
        <f t="shared" si="2"/>
        <v>Q2</v>
      </c>
      <c r="C111" t="str">
        <f t="shared" si="3"/>
        <v>Q2</v>
      </c>
    </row>
    <row r="112" spans="1:3" x14ac:dyDescent="0.3">
      <c r="A112" s="3">
        <v>43559</v>
      </c>
      <c r="B112" t="str">
        <f t="shared" si="2"/>
        <v>Q2</v>
      </c>
      <c r="C112" t="str">
        <f t="shared" si="3"/>
        <v>Q2</v>
      </c>
    </row>
    <row r="113" spans="1:3" x14ac:dyDescent="0.3">
      <c r="A113" s="3">
        <v>43647</v>
      </c>
      <c r="B113" t="str">
        <f t="shared" si="2"/>
        <v>Q3</v>
      </c>
      <c r="C113" t="str">
        <f t="shared" si="3"/>
        <v>Q3</v>
      </c>
    </row>
    <row r="114" spans="1:3" x14ac:dyDescent="0.3">
      <c r="A114" s="3">
        <v>43564</v>
      </c>
      <c r="B114" t="str">
        <f t="shared" si="2"/>
        <v>Q2</v>
      </c>
      <c r="C114" t="str">
        <f t="shared" si="3"/>
        <v>Q2</v>
      </c>
    </row>
    <row r="115" spans="1:3" x14ac:dyDescent="0.3">
      <c r="A115" s="3">
        <v>43474</v>
      </c>
      <c r="B115" t="str">
        <f t="shared" si="2"/>
        <v>Q4</v>
      </c>
      <c r="C115" t="str">
        <f t="shared" si="3"/>
        <v>Q4</v>
      </c>
    </row>
    <row r="116" spans="1:3" x14ac:dyDescent="0.3">
      <c r="A116" s="3">
        <v>43555</v>
      </c>
      <c r="B116" t="str">
        <f t="shared" si="2"/>
        <v>Q4</v>
      </c>
      <c r="C116" t="str">
        <f t="shared" si="3"/>
        <v>Q4</v>
      </c>
    </row>
    <row r="117" spans="1:3" x14ac:dyDescent="0.3">
      <c r="A117" s="3">
        <v>43652</v>
      </c>
      <c r="B117" t="str">
        <f t="shared" si="2"/>
        <v>Q3</v>
      </c>
      <c r="C117" t="str">
        <f t="shared" si="3"/>
        <v>Q3</v>
      </c>
    </row>
    <row r="118" spans="1:3" x14ac:dyDescent="0.3">
      <c r="A118" s="3">
        <v>43620</v>
      </c>
      <c r="B118" t="str">
        <f t="shared" si="2"/>
        <v>Q2</v>
      </c>
      <c r="C118" t="str">
        <f t="shared" si="3"/>
        <v>Q2</v>
      </c>
    </row>
    <row r="119" spans="1:3" x14ac:dyDescent="0.3">
      <c r="A119" s="3">
        <v>43494</v>
      </c>
      <c r="B119" t="str">
        <f t="shared" si="2"/>
        <v>Q4</v>
      </c>
      <c r="C119" t="str">
        <f t="shared" si="3"/>
        <v>Q4</v>
      </c>
    </row>
    <row r="120" spans="1:3" x14ac:dyDescent="0.3">
      <c r="A120" s="3">
        <v>43735</v>
      </c>
      <c r="B120" t="str">
        <f t="shared" si="2"/>
        <v>Q3</v>
      </c>
      <c r="C120" t="str">
        <f t="shared" si="3"/>
        <v>Q3</v>
      </c>
    </row>
    <row r="121" spans="1:3" x14ac:dyDescent="0.3">
      <c r="A121" s="3">
        <v>43671</v>
      </c>
      <c r="B121" t="str">
        <f t="shared" si="2"/>
        <v>Q3</v>
      </c>
      <c r="C121" t="str">
        <f t="shared" si="3"/>
        <v>Q3</v>
      </c>
    </row>
    <row r="122" spans="1:3" x14ac:dyDescent="0.3">
      <c r="A122" s="3">
        <v>43613</v>
      </c>
      <c r="B122" t="str">
        <f t="shared" si="2"/>
        <v>Q2</v>
      </c>
      <c r="C122" t="str">
        <f t="shared" si="3"/>
        <v>Q2</v>
      </c>
    </row>
    <row r="123" spans="1:3" x14ac:dyDescent="0.3">
      <c r="A123" s="3">
        <v>43812</v>
      </c>
      <c r="B123" t="str">
        <f t="shared" si="2"/>
        <v>Q1</v>
      </c>
      <c r="C123" t="str">
        <f t="shared" si="3"/>
        <v>Q1</v>
      </c>
    </row>
    <row r="124" spans="1:3" x14ac:dyDescent="0.3">
      <c r="A124" s="3">
        <v>43503</v>
      </c>
      <c r="B124" t="str">
        <f t="shared" si="2"/>
        <v>Q4</v>
      </c>
      <c r="C124" t="str">
        <f t="shared" si="3"/>
        <v>Q4</v>
      </c>
    </row>
    <row r="125" spans="1:3" x14ac:dyDescent="0.3">
      <c r="A125" s="3">
        <v>43628</v>
      </c>
      <c r="B125" t="str">
        <f t="shared" si="2"/>
        <v>Q2</v>
      </c>
      <c r="C125" t="str">
        <f t="shared" si="3"/>
        <v>Q2</v>
      </c>
    </row>
    <row r="126" spans="1:3" x14ac:dyDescent="0.3">
      <c r="A126" s="3">
        <v>43662</v>
      </c>
      <c r="B126" t="str">
        <f t="shared" si="2"/>
        <v>Q3</v>
      </c>
      <c r="C126" t="str">
        <f t="shared" si="3"/>
        <v>Q3</v>
      </c>
    </row>
    <row r="127" spans="1:3" x14ac:dyDescent="0.3">
      <c r="A127" s="3">
        <v>43538</v>
      </c>
      <c r="B127" t="str">
        <f t="shared" si="2"/>
        <v>Q4</v>
      </c>
      <c r="C127" t="str">
        <f t="shared" si="3"/>
        <v>Q4</v>
      </c>
    </row>
    <row r="128" spans="1:3" x14ac:dyDescent="0.3">
      <c r="A128" s="3">
        <v>43545</v>
      </c>
      <c r="B128" t="str">
        <f t="shared" si="2"/>
        <v>Q4</v>
      </c>
      <c r="C128" t="str">
        <f t="shared" si="3"/>
        <v>Q4</v>
      </c>
    </row>
    <row r="129" spans="1:3" x14ac:dyDescent="0.3">
      <c r="A129" s="3">
        <v>43816</v>
      </c>
      <c r="B129" t="str">
        <f t="shared" si="2"/>
        <v>Q1</v>
      </c>
      <c r="C129" t="str">
        <f t="shared" si="3"/>
        <v>Q1</v>
      </c>
    </row>
    <row r="130" spans="1:3" x14ac:dyDescent="0.3">
      <c r="A130" s="3">
        <v>43476</v>
      </c>
      <c r="B130" t="str">
        <f t="shared" si="2"/>
        <v>Q4</v>
      </c>
      <c r="C130" t="str">
        <f t="shared" si="3"/>
        <v>Q4</v>
      </c>
    </row>
    <row r="131" spans="1:3" x14ac:dyDescent="0.3">
      <c r="A131" s="3">
        <v>43823</v>
      </c>
      <c r="B131" t="str">
        <f t="shared" ref="B131:B194" si="4">VLOOKUP(A131,$I$3:$J$6,2,1)</f>
        <v>Q1</v>
      </c>
      <c r="C131" t="str">
        <f t="shared" ref="C131:C194" si="5">VLOOKUP(MONTH(A131),$F$3:$G$6,2,1)</f>
        <v>Q1</v>
      </c>
    </row>
    <row r="132" spans="1:3" x14ac:dyDescent="0.3">
      <c r="A132" s="3">
        <v>43773</v>
      </c>
      <c r="B132" t="str">
        <f t="shared" si="4"/>
        <v>Q1</v>
      </c>
      <c r="C132" t="str">
        <f t="shared" si="5"/>
        <v>Q1</v>
      </c>
    </row>
    <row r="133" spans="1:3" x14ac:dyDescent="0.3">
      <c r="A133" s="3">
        <v>43563</v>
      </c>
      <c r="B133" t="str">
        <f t="shared" si="4"/>
        <v>Q2</v>
      </c>
      <c r="C133" t="str">
        <f t="shared" si="5"/>
        <v>Q2</v>
      </c>
    </row>
    <row r="134" spans="1:3" x14ac:dyDescent="0.3">
      <c r="A134" s="3">
        <v>43593</v>
      </c>
      <c r="B134" t="str">
        <f t="shared" si="4"/>
        <v>Q2</v>
      </c>
      <c r="C134" t="str">
        <f t="shared" si="5"/>
        <v>Q2</v>
      </c>
    </row>
    <row r="135" spans="1:3" x14ac:dyDescent="0.3">
      <c r="A135" s="3">
        <v>43534</v>
      </c>
      <c r="B135" t="str">
        <f t="shared" si="4"/>
        <v>Q4</v>
      </c>
      <c r="C135" t="str">
        <f t="shared" si="5"/>
        <v>Q4</v>
      </c>
    </row>
    <row r="136" spans="1:3" x14ac:dyDescent="0.3">
      <c r="A136" s="3">
        <v>43830</v>
      </c>
      <c r="B136" t="str">
        <f t="shared" si="4"/>
        <v>Q1</v>
      </c>
      <c r="C136" t="str">
        <f t="shared" si="5"/>
        <v>Q1</v>
      </c>
    </row>
    <row r="137" spans="1:3" x14ac:dyDescent="0.3">
      <c r="A137" s="3">
        <v>43763</v>
      </c>
      <c r="B137" t="str">
        <f t="shared" si="4"/>
        <v>Q1</v>
      </c>
      <c r="C137" t="str">
        <f t="shared" si="5"/>
        <v>Q1</v>
      </c>
    </row>
    <row r="138" spans="1:3" x14ac:dyDescent="0.3">
      <c r="A138" s="3">
        <v>43579</v>
      </c>
      <c r="B138" t="str">
        <f t="shared" si="4"/>
        <v>Q2</v>
      </c>
      <c r="C138" t="str">
        <f t="shared" si="5"/>
        <v>Q2</v>
      </c>
    </row>
    <row r="139" spans="1:3" x14ac:dyDescent="0.3">
      <c r="A139" s="3">
        <v>43567</v>
      </c>
      <c r="B139" t="str">
        <f t="shared" si="4"/>
        <v>Q2</v>
      </c>
      <c r="C139" t="str">
        <f t="shared" si="5"/>
        <v>Q2</v>
      </c>
    </row>
    <row r="140" spans="1:3" x14ac:dyDescent="0.3">
      <c r="A140" s="3">
        <v>43605</v>
      </c>
      <c r="B140" t="str">
        <f t="shared" si="4"/>
        <v>Q2</v>
      </c>
      <c r="C140" t="str">
        <f t="shared" si="5"/>
        <v>Q2</v>
      </c>
    </row>
    <row r="141" spans="1:3" x14ac:dyDescent="0.3">
      <c r="A141" s="3">
        <v>43502</v>
      </c>
      <c r="B141" t="str">
        <f t="shared" si="4"/>
        <v>Q4</v>
      </c>
      <c r="C141" t="str">
        <f t="shared" si="5"/>
        <v>Q4</v>
      </c>
    </row>
    <row r="142" spans="1:3" x14ac:dyDescent="0.3">
      <c r="A142" s="3">
        <v>43753</v>
      </c>
      <c r="B142" t="str">
        <f t="shared" si="4"/>
        <v>Q1</v>
      </c>
      <c r="C142" t="str">
        <f t="shared" si="5"/>
        <v>Q1</v>
      </c>
    </row>
    <row r="143" spans="1:3" x14ac:dyDescent="0.3">
      <c r="A143" s="3">
        <v>43474</v>
      </c>
      <c r="B143" t="str">
        <f t="shared" si="4"/>
        <v>Q4</v>
      </c>
      <c r="C143" t="str">
        <f t="shared" si="5"/>
        <v>Q4</v>
      </c>
    </row>
    <row r="144" spans="1:3" x14ac:dyDescent="0.3">
      <c r="A144" s="3">
        <v>43732</v>
      </c>
      <c r="B144" t="str">
        <f t="shared" si="4"/>
        <v>Q3</v>
      </c>
      <c r="C144" t="str">
        <f t="shared" si="5"/>
        <v>Q3</v>
      </c>
    </row>
    <row r="145" spans="1:3" x14ac:dyDescent="0.3">
      <c r="A145" s="3">
        <v>43735</v>
      </c>
      <c r="B145" t="str">
        <f t="shared" si="4"/>
        <v>Q3</v>
      </c>
      <c r="C145" t="str">
        <f t="shared" si="5"/>
        <v>Q3</v>
      </c>
    </row>
    <row r="146" spans="1:3" x14ac:dyDescent="0.3">
      <c r="A146" s="3">
        <v>43474</v>
      </c>
      <c r="B146" t="str">
        <f t="shared" si="4"/>
        <v>Q4</v>
      </c>
      <c r="C146" t="str">
        <f t="shared" si="5"/>
        <v>Q4</v>
      </c>
    </row>
    <row r="147" spans="1:3" x14ac:dyDescent="0.3">
      <c r="A147" s="3">
        <v>43571</v>
      </c>
      <c r="B147" t="str">
        <f t="shared" si="4"/>
        <v>Q2</v>
      </c>
      <c r="C147" t="str">
        <f t="shared" si="5"/>
        <v>Q2</v>
      </c>
    </row>
    <row r="148" spans="1:3" x14ac:dyDescent="0.3">
      <c r="A148" s="3">
        <v>43527</v>
      </c>
      <c r="B148" t="str">
        <f t="shared" si="4"/>
        <v>Q4</v>
      </c>
      <c r="C148" t="str">
        <f t="shared" si="5"/>
        <v>Q4</v>
      </c>
    </row>
    <row r="149" spans="1:3" x14ac:dyDescent="0.3">
      <c r="A149" s="3">
        <v>43468</v>
      </c>
      <c r="B149" t="str">
        <f t="shared" si="4"/>
        <v>Q4</v>
      </c>
      <c r="C149" t="str">
        <f t="shared" si="5"/>
        <v>Q4</v>
      </c>
    </row>
    <row r="150" spans="1:3" x14ac:dyDescent="0.3">
      <c r="A150" s="3">
        <v>43488</v>
      </c>
      <c r="B150" t="str">
        <f t="shared" si="4"/>
        <v>Q4</v>
      </c>
      <c r="C150" t="str">
        <f t="shared" si="5"/>
        <v>Q4</v>
      </c>
    </row>
    <row r="151" spans="1:3" x14ac:dyDescent="0.3">
      <c r="A151" s="3">
        <v>43814</v>
      </c>
      <c r="B151" t="str">
        <f t="shared" si="4"/>
        <v>Q1</v>
      </c>
      <c r="C151" t="str">
        <f t="shared" si="5"/>
        <v>Q1</v>
      </c>
    </row>
    <row r="152" spans="1:3" x14ac:dyDescent="0.3">
      <c r="A152" s="3">
        <v>43514</v>
      </c>
      <c r="B152" t="str">
        <f t="shared" si="4"/>
        <v>Q4</v>
      </c>
      <c r="C152" t="str">
        <f t="shared" si="5"/>
        <v>Q4</v>
      </c>
    </row>
    <row r="153" spans="1:3" x14ac:dyDescent="0.3">
      <c r="A153" s="3">
        <v>43787</v>
      </c>
      <c r="B153" t="str">
        <f t="shared" si="4"/>
        <v>Q1</v>
      </c>
      <c r="C153" t="str">
        <f t="shared" si="5"/>
        <v>Q1</v>
      </c>
    </row>
    <row r="154" spans="1:3" x14ac:dyDescent="0.3">
      <c r="A154" s="3">
        <v>43659</v>
      </c>
      <c r="B154" t="str">
        <f t="shared" si="4"/>
        <v>Q3</v>
      </c>
      <c r="C154" t="str">
        <f t="shared" si="5"/>
        <v>Q3</v>
      </c>
    </row>
    <row r="155" spans="1:3" x14ac:dyDescent="0.3">
      <c r="A155" s="3">
        <v>43560</v>
      </c>
      <c r="B155" t="str">
        <f t="shared" si="4"/>
        <v>Q2</v>
      </c>
      <c r="C155" t="str">
        <f t="shared" si="5"/>
        <v>Q2</v>
      </c>
    </row>
    <row r="156" spans="1:3" x14ac:dyDescent="0.3">
      <c r="A156" s="3">
        <v>43794</v>
      </c>
      <c r="B156" t="str">
        <f t="shared" si="4"/>
        <v>Q1</v>
      </c>
      <c r="C156" t="str">
        <f t="shared" si="5"/>
        <v>Q1</v>
      </c>
    </row>
    <row r="157" spans="1:3" x14ac:dyDescent="0.3">
      <c r="A157" s="3">
        <v>43671</v>
      </c>
      <c r="B157" t="str">
        <f t="shared" si="4"/>
        <v>Q3</v>
      </c>
      <c r="C157" t="str">
        <f t="shared" si="5"/>
        <v>Q3</v>
      </c>
    </row>
    <row r="158" spans="1:3" x14ac:dyDescent="0.3">
      <c r="A158" s="3">
        <v>43628</v>
      </c>
      <c r="B158" t="str">
        <f t="shared" si="4"/>
        <v>Q2</v>
      </c>
      <c r="C158" t="str">
        <f t="shared" si="5"/>
        <v>Q2</v>
      </c>
    </row>
    <row r="159" spans="1:3" x14ac:dyDescent="0.3">
      <c r="A159" s="3">
        <v>43594</v>
      </c>
      <c r="B159" t="str">
        <f t="shared" si="4"/>
        <v>Q2</v>
      </c>
      <c r="C159" t="str">
        <f t="shared" si="5"/>
        <v>Q2</v>
      </c>
    </row>
    <row r="160" spans="1:3" x14ac:dyDescent="0.3">
      <c r="A160" s="3">
        <v>43609</v>
      </c>
      <c r="B160" t="str">
        <f t="shared" si="4"/>
        <v>Q2</v>
      </c>
      <c r="C160" t="str">
        <f t="shared" si="5"/>
        <v>Q2</v>
      </c>
    </row>
    <row r="161" spans="1:3" x14ac:dyDescent="0.3">
      <c r="A161" s="3">
        <v>43807</v>
      </c>
      <c r="B161" t="str">
        <f t="shared" si="4"/>
        <v>Q1</v>
      </c>
      <c r="C161" t="str">
        <f t="shared" si="5"/>
        <v>Q1</v>
      </c>
    </row>
    <row r="162" spans="1:3" x14ac:dyDescent="0.3">
      <c r="A162" s="3">
        <v>43690</v>
      </c>
      <c r="B162" t="str">
        <f t="shared" si="4"/>
        <v>Q3</v>
      </c>
      <c r="C162" t="str">
        <f t="shared" si="5"/>
        <v>Q3</v>
      </c>
    </row>
    <row r="163" spans="1:3" x14ac:dyDescent="0.3">
      <c r="A163" s="3">
        <v>43823</v>
      </c>
      <c r="B163" t="str">
        <f t="shared" si="4"/>
        <v>Q1</v>
      </c>
      <c r="C163" t="str">
        <f t="shared" si="5"/>
        <v>Q1</v>
      </c>
    </row>
    <row r="164" spans="1:3" x14ac:dyDescent="0.3">
      <c r="A164" s="3">
        <v>43678</v>
      </c>
      <c r="B164" t="str">
        <f t="shared" si="4"/>
        <v>Q3</v>
      </c>
      <c r="C164" t="str">
        <f t="shared" si="5"/>
        <v>Q3</v>
      </c>
    </row>
    <row r="165" spans="1:3" x14ac:dyDescent="0.3">
      <c r="A165" s="3">
        <v>43782</v>
      </c>
      <c r="B165" t="str">
        <f t="shared" si="4"/>
        <v>Q1</v>
      </c>
      <c r="C165" t="str">
        <f t="shared" si="5"/>
        <v>Q1</v>
      </c>
    </row>
    <row r="166" spans="1:3" x14ac:dyDescent="0.3">
      <c r="A166" s="3">
        <v>43803</v>
      </c>
      <c r="B166" t="str">
        <f t="shared" si="4"/>
        <v>Q1</v>
      </c>
      <c r="C166" t="str">
        <f t="shared" si="5"/>
        <v>Q1</v>
      </c>
    </row>
    <row r="167" spans="1:3" x14ac:dyDescent="0.3">
      <c r="A167" s="3">
        <v>43610</v>
      </c>
      <c r="B167" t="str">
        <f t="shared" si="4"/>
        <v>Q2</v>
      </c>
      <c r="C167" t="str">
        <f t="shared" si="5"/>
        <v>Q2</v>
      </c>
    </row>
    <row r="168" spans="1:3" x14ac:dyDescent="0.3">
      <c r="A168" s="3">
        <v>43748</v>
      </c>
      <c r="B168" t="str">
        <f t="shared" si="4"/>
        <v>Q1</v>
      </c>
      <c r="C168" t="str">
        <f t="shared" si="5"/>
        <v>Q1</v>
      </c>
    </row>
    <row r="169" spans="1:3" x14ac:dyDescent="0.3">
      <c r="A169" s="3">
        <v>43483</v>
      </c>
      <c r="B169" t="str">
        <f t="shared" si="4"/>
        <v>Q4</v>
      </c>
      <c r="C169" t="str">
        <f t="shared" si="5"/>
        <v>Q4</v>
      </c>
    </row>
    <row r="170" spans="1:3" x14ac:dyDescent="0.3">
      <c r="A170" s="3">
        <v>43759</v>
      </c>
      <c r="B170" t="str">
        <f t="shared" si="4"/>
        <v>Q1</v>
      </c>
      <c r="C170" t="str">
        <f t="shared" si="5"/>
        <v>Q1</v>
      </c>
    </row>
    <row r="171" spans="1:3" x14ac:dyDescent="0.3">
      <c r="A171" s="3">
        <v>43514</v>
      </c>
      <c r="B171" t="str">
        <f t="shared" si="4"/>
        <v>Q4</v>
      </c>
      <c r="C171" t="str">
        <f t="shared" si="5"/>
        <v>Q4</v>
      </c>
    </row>
    <row r="172" spans="1:3" x14ac:dyDescent="0.3">
      <c r="A172" s="3">
        <v>43637</v>
      </c>
      <c r="B172" t="str">
        <f t="shared" si="4"/>
        <v>Q2</v>
      </c>
      <c r="C172" t="str">
        <f t="shared" si="5"/>
        <v>Q2</v>
      </c>
    </row>
    <row r="173" spans="1:3" x14ac:dyDescent="0.3">
      <c r="A173" s="3">
        <v>43650</v>
      </c>
      <c r="B173" t="str">
        <f t="shared" si="4"/>
        <v>Q3</v>
      </c>
      <c r="C173" t="str">
        <f t="shared" si="5"/>
        <v>Q3</v>
      </c>
    </row>
    <row r="174" spans="1:3" x14ac:dyDescent="0.3">
      <c r="A174" s="3">
        <v>43787</v>
      </c>
      <c r="B174" t="str">
        <f t="shared" si="4"/>
        <v>Q1</v>
      </c>
      <c r="C174" t="str">
        <f t="shared" si="5"/>
        <v>Q1</v>
      </c>
    </row>
    <row r="175" spans="1:3" x14ac:dyDescent="0.3">
      <c r="A175" s="3">
        <v>43656</v>
      </c>
      <c r="B175" t="str">
        <f t="shared" si="4"/>
        <v>Q3</v>
      </c>
      <c r="C175" t="str">
        <f t="shared" si="5"/>
        <v>Q3</v>
      </c>
    </row>
    <row r="176" spans="1:3" x14ac:dyDescent="0.3">
      <c r="A176" s="3">
        <v>43778</v>
      </c>
      <c r="B176" t="str">
        <f t="shared" si="4"/>
        <v>Q1</v>
      </c>
      <c r="C176" t="str">
        <f t="shared" si="5"/>
        <v>Q1</v>
      </c>
    </row>
    <row r="177" spans="1:3" x14ac:dyDescent="0.3">
      <c r="A177" s="3">
        <v>43701</v>
      </c>
      <c r="B177" t="str">
        <f t="shared" si="4"/>
        <v>Q3</v>
      </c>
      <c r="C177" t="str">
        <f t="shared" si="5"/>
        <v>Q3</v>
      </c>
    </row>
    <row r="178" spans="1:3" x14ac:dyDescent="0.3">
      <c r="A178" s="3">
        <v>43648</v>
      </c>
      <c r="B178" t="str">
        <f t="shared" si="4"/>
        <v>Q3</v>
      </c>
      <c r="C178" t="str">
        <f t="shared" si="5"/>
        <v>Q3</v>
      </c>
    </row>
    <row r="179" spans="1:3" x14ac:dyDescent="0.3">
      <c r="A179" s="3">
        <v>43665</v>
      </c>
      <c r="B179" t="str">
        <f t="shared" si="4"/>
        <v>Q3</v>
      </c>
      <c r="C179" t="str">
        <f t="shared" si="5"/>
        <v>Q3</v>
      </c>
    </row>
    <row r="180" spans="1:3" x14ac:dyDescent="0.3">
      <c r="A180" s="3">
        <v>43574</v>
      </c>
      <c r="B180" t="str">
        <f t="shared" si="4"/>
        <v>Q2</v>
      </c>
      <c r="C180" t="str">
        <f t="shared" si="5"/>
        <v>Q2</v>
      </c>
    </row>
    <row r="181" spans="1:3" x14ac:dyDescent="0.3">
      <c r="A181" s="3">
        <v>43639</v>
      </c>
      <c r="B181" t="str">
        <f t="shared" si="4"/>
        <v>Q2</v>
      </c>
      <c r="C181" t="str">
        <f t="shared" si="5"/>
        <v>Q2</v>
      </c>
    </row>
    <row r="182" spans="1:3" x14ac:dyDescent="0.3">
      <c r="A182" s="3">
        <v>43544</v>
      </c>
      <c r="B182" t="str">
        <f t="shared" si="4"/>
        <v>Q4</v>
      </c>
      <c r="C182" t="str">
        <f t="shared" si="5"/>
        <v>Q4</v>
      </c>
    </row>
    <row r="183" spans="1:3" x14ac:dyDescent="0.3">
      <c r="A183" s="3">
        <v>43629</v>
      </c>
      <c r="B183" t="str">
        <f t="shared" si="4"/>
        <v>Q2</v>
      </c>
      <c r="C183" t="str">
        <f t="shared" si="5"/>
        <v>Q2</v>
      </c>
    </row>
    <row r="184" spans="1:3" x14ac:dyDescent="0.3">
      <c r="A184" s="3">
        <v>43520</v>
      </c>
      <c r="B184" t="str">
        <f t="shared" si="4"/>
        <v>Q4</v>
      </c>
      <c r="C184" t="str">
        <f t="shared" si="5"/>
        <v>Q4</v>
      </c>
    </row>
    <row r="185" spans="1:3" x14ac:dyDescent="0.3">
      <c r="A185" s="3">
        <v>43808</v>
      </c>
      <c r="B185" t="str">
        <f t="shared" si="4"/>
        <v>Q1</v>
      </c>
      <c r="C185" t="str">
        <f t="shared" si="5"/>
        <v>Q1</v>
      </c>
    </row>
    <row r="186" spans="1:3" x14ac:dyDescent="0.3">
      <c r="A186" s="3">
        <v>43768</v>
      </c>
      <c r="B186" t="str">
        <f t="shared" si="4"/>
        <v>Q1</v>
      </c>
      <c r="C186" t="str">
        <f t="shared" si="5"/>
        <v>Q1</v>
      </c>
    </row>
    <row r="187" spans="1:3" x14ac:dyDescent="0.3">
      <c r="A187" s="3">
        <v>43587</v>
      </c>
      <c r="B187" t="str">
        <f t="shared" si="4"/>
        <v>Q2</v>
      </c>
      <c r="C187" t="str">
        <f t="shared" si="5"/>
        <v>Q2</v>
      </c>
    </row>
    <row r="188" spans="1:3" x14ac:dyDescent="0.3">
      <c r="A188" s="3">
        <v>43708</v>
      </c>
      <c r="B188" t="str">
        <f t="shared" si="4"/>
        <v>Q3</v>
      </c>
      <c r="C188" t="str">
        <f t="shared" si="5"/>
        <v>Q3</v>
      </c>
    </row>
    <row r="189" spans="1:3" x14ac:dyDescent="0.3">
      <c r="A189" s="3">
        <v>43541</v>
      </c>
      <c r="B189" t="str">
        <f t="shared" si="4"/>
        <v>Q4</v>
      </c>
      <c r="C189" t="str">
        <f t="shared" si="5"/>
        <v>Q4</v>
      </c>
    </row>
    <row r="190" spans="1:3" x14ac:dyDescent="0.3">
      <c r="A190" s="3">
        <v>43511</v>
      </c>
      <c r="B190" t="str">
        <f t="shared" si="4"/>
        <v>Q4</v>
      </c>
      <c r="C190" t="str">
        <f t="shared" si="5"/>
        <v>Q4</v>
      </c>
    </row>
    <row r="191" spans="1:3" x14ac:dyDescent="0.3">
      <c r="A191" s="3">
        <v>43725</v>
      </c>
      <c r="B191" t="str">
        <f t="shared" si="4"/>
        <v>Q3</v>
      </c>
      <c r="C191" t="str">
        <f t="shared" si="5"/>
        <v>Q3</v>
      </c>
    </row>
    <row r="192" spans="1:3" x14ac:dyDescent="0.3">
      <c r="A192" s="3">
        <v>43717</v>
      </c>
      <c r="B192" t="str">
        <f t="shared" si="4"/>
        <v>Q3</v>
      </c>
      <c r="C192" t="str">
        <f t="shared" si="5"/>
        <v>Q3</v>
      </c>
    </row>
    <row r="193" spans="1:3" x14ac:dyDescent="0.3">
      <c r="A193" s="3">
        <v>43496</v>
      </c>
      <c r="B193" t="str">
        <f t="shared" si="4"/>
        <v>Q4</v>
      </c>
      <c r="C193" t="str">
        <f t="shared" si="5"/>
        <v>Q4</v>
      </c>
    </row>
    <row r="194" spans="1:3" x14ac:dyDescent="0.3">
      <c r="A194" s="3">
        <v>43791</v>
      </c>
      <c r="B194" t="str">
        <f t="shared" si="4"/>
        <v>Q1</v>
      </c>
      <c r="C194" t="str">
        <f t="shared" si="5"/>
        <v>Q1</v>
      </c>
    </row>
    <row r="195" spans="1:3" x14ac:dyDescent="0.3">
      <c r="A195" s="3">
        <v>43693</v>
      </c>
      <c r="B195" t="str">
        <f t="shared" ref="B195:B202" si="6">VLOOKUP(A195,$I$3:$J$6,2,1)</f>
        <v>Q3</v>
      </c>
      <c r="C195" t="str">
        <f t="shared" ref="C195:C202" si="7">VLOOKUP(MONTH(A195),$F$3:$G$6,2,1)</f>
        <v>Q3</v>
      </c>
    </row>
    <row r="196" spans="1:3" x14ac:dyDescent="0.3">
      <c r="A196" s="3">
        <v>43759</v>
      </c>
      <c r="B196" t="str">
        <f t="shared" si="6"/>
        <v>Q1</v>
      </c>
      <c r="C196" t="str">
        <f t="shared" si="7"/>
        <v>Q1</v>
      </c>
    </row>
    <row r="197" spans="1:3" x14ac:dyDescent="0.3">
      <c r="A197" s="3">
        <v>43738</v>
      </c>
      <c r="B197" t="str">
        <f t="shared" si="6"/>
        <v>Q3</v>
      </c>
      <c r="C197" t="str">
        <f t="shared" si="7"/>
        <v>Q3</v>
      </c>
    </row>
    <row r="198" spans="1:3" x14ac:dyDescent="0.3">
      <c r="A198" s="3">
        <v>43512</v>
      </c>
      <c r="B198" t="str">
        <f t="shared" si="6"/>
        <v>Q4</v>
      </c>
      <c r="C198" t="str">
        <f t="shared" si="7"/>
        <v>Q4</v>
      </c>
    </row>
    <row r="199" spans="1:3" x14ac:dyDescent="0.3">
      <c r="A199" s="3">
        <v>43584</v>
      </c>
      <c r="B199" t="str">
        <f t="shared" si="6"/>
        <v>Q2</v>
      </c>
      <c r="C199" t="str">
        <f t="shared" si="7"/>
        <v>Q2</v>
      </c>
    </row>
    <row r="200" spans="1:3" x14ac:dyDescent="0.3">
      <c r="A200" s="3">
        <v>43647</v>
      </c>
      <c r="B200" t="str">
        <f t="shared" si="6"/>
        <v>Q3</v>
      </c>
      <c r="C200" t="str">
        <f t="shared" si="7"/>
        <v>Q3</v>
      </c>
    </row>
    <row r="201" spans="1:3" x14ac:dyDescent="0.3">
      <c r="A201" s="3">
        <v>43505</v>
      </c>
      <c r="B201" t="str">
        <f t="shared" si="6"/>
        <v>Q4</v>
      </c>
      <c r="C201" t="str">
        <f t="shared" si="7"/>
        <v>Q4</v>
      </c>
    </row>
    <row r="202" spans="1:3" x14ac:dyDescent="0.3">
      <c r="A202" s="3">
        <v>43512</v>
      </c>
      <c r="B202" t="str">
        <f t="shared" si="6"/>
        <v>Q4</v>
      </c>
      <c r="C202" t="str">
        <f t="shared" si="7"/>
        <v>Q4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D2B3-A798-44F1-8EAF-9AC5F0745422}">
  <dimension ref="A1:K23"/>
  <sheetViews>
    <sheetView tabSelected="1" zoomScale="142" zoomScaleNormal="142" workbookViewId="0">
      <selection activeCell="K6" sqref="K6:K8"/>
    </sheetView>
  </sheetViews>
  <sheetFormatPr defaultRowHeight="14.4" x14ac:dyDescent="0.3"/>
  <sheetData>
    <row r="1" spans="1:11" x14ac:dyDescent="0.3">
      <c r="A1" s="11" t="s">
        <v>0</v>
      </c>
      <c r="B1" s="11" t="s">
        <v>1</v>
      </c>
      <c r="C1" s="11" t="s">
        <v>2</v>
      </c>
      <c r="D1" s="12" t="s">
        <v>3</v>
      </c>
    </row>
    <row r="2" spans="1:11" x14ac:dyDescent="0.3">
      <c r="A2" s="13" t="s">
        <v>4</v>
      </c>
      <c r="B2" s="13" t="s">
        <v>5</v>
      </c>
      <c r="C2" s="13" t="s">
        <v>6</v>
      </c>
      <c r="D2" s="14">
        <v>11</v>
      </c>
      <c r="G2" t="s">
        <v>7</v>
      </c>
    </row>
    <row r="3" spans="1:11" x14ac:dyDescent="0.3">
      <c r="A3" s="15" t="s">
        <v>8</v>
      </c>
      <c r="B3" s="15" t="s">
        <v>9</v>
      </c>
      <c r="C3" s="15" t="s">
        <v>10</v>
      </c>
      <c r="D3" s="16">
        <v>71</v>
      </c>
    </row>
    <row r="4" spans="1:11" x14ac:dyDescent="0.3">
      <c r="A4" s="13" t="s">
        <v>11</v>
      </c>
      <c r="B4" s="13" t="s">
        <v>5</v>
      </c>
      <c r="C4" s="13" t="s">
        <v>12</v>
      </c>
      <c r="D4" s="14">
        <v>29</v>
      </c>
    </row>
    <row r="5" spans="1:11" x14ac:dyDescent="0.3">
      <c r="A5" s="15" t="s">
        <v>13</v>
      </c>
      <c r="B5" s="15" t="s">
        <v>9</v>
      </c>
      <c r="C5" s="15" t="s">
        <v>6</v>
      </c>
      <c r="D5" s="16">
        <v>56</v>
      </c>
      <c r="G5" s="2" t="s">
        <v>1</v>
      </c>
      <c r="H5" s="2" t="s">
        <v>2</v>
      </c>
      <c r="I5" s="2" t="s">
        <v>14</v>
      </c>
    </row>
    <row r="6" spans="1:11" x14ac:dyDescent="0.3">
      <c r="A6" s="13" t="s">
        <v>15</v>
      </c>
      <c r="B6" s="13" t="s">
        <v>5</v>
      </c>
      <c r="C6" s="13" t="s">
        <v>10</v>
      </c>
      <c r="D6" s="14">
        <v>55</v>
      </c>
      <c r="G6" s="1" t="s">
        <v>5</v>
      </c>
      <c r="H6" s="1" t="s">
        <v>6</v>
      </c>
      <c r="I6" s="1">
        <f t="array" ref="I6">MAX(IF(($B$2:$B$23=G6)*($C$2:$C$23=H6),$D$2:$D$23))</f>
        <v>69</v>
      </c>
      <c r="K6">
        <f>_xlfn.MAXIFS($D$2:$D$23,$B$2:$B$23,G6,$C$2:$C$23,H6)</f>
        <v>69</v>
      </c>
    </row>
    <row r="7" spans="1:11" x14ac:dyDescent="0.3">
      <c r="A7" s="15" t="s">
        <v>16</v>
      </c>
      <c r="B7" s="15" t="s">
        <v>9</v>
      </c>
      <c r="C7" s="15" t="s">
        <v>12</v>
      </c>
      <c r="D7" s="16">
        <v>3</v>
      </c>
      <c r="G7" s="1" t="s">
        <v>5</v>
      </c>
      <c r="H7" s="1" t="s">
        <v>10</v>
      </c>
      <c r="I7" s="1">
        <f t="array" ref="I7">MAX(IF(($B$2:$B$23=G7)*($C$2:$C$23=H7),$D$2:$D$23))</f>
        <v>55</v>
      </c>
      <c r="K7">
        <f t="shared" ref="K7:K8" si="0">_xlfn.MAXIFS($D$2:$D$23,$B$2:$B$23,G7,$C$2:$C$23,H7)</f>
        <v>55</v>
      </c>
    </row>
    <row r="8" spans="1:11" x14ac:dyDescent="0.3">
      <c r="A8" s="13" t="s">
        <v>17</v>
      </c>
      <c r="B8" s="13" t="s">
        <v>5</v>
      </c>
      <c r="C8" s="13" t="s">
        <v>6</v>
      </c>
      <c r="D8" s="14">
        <v>69</v>
      </c>
      <c r="G8" s="1" t="s">
        <v>5</v>
      </c>
      <c r="H8" s="1" t="s">
        <v>12</v>
      </c>
      <c r="I8" s="1">
        <f t="array" ref="I8">MAX(IF(($B$2:$B$23=G8)*($C$2:$C$23=H8),$D$2:$D$23))</f>
        <v>81</v>
      </c>
      <c r="K8">
        <f t="shared" si="0"/>
        <v>81</v>
      </c>
    </row>
    <row r="9" spans="1:11" x14ac:dyDescent="0.3">
      <c r="A9" s="15" t="s">
        <v>18</v>
      </c>
      <c r="B9" s="15" t="s">
        <v>9</v>
      </c>
      <c r="C9" s="15" t="s">
        <v>10</v>
      </c>
      <c r="D9" s="16">
        <v>48</v>
      </c>
    </row>
    <row r="10" spans="1:11" x14ac:dyDescent="0.3">
      <c r="A10" s="13" t="s">
        <v>19</v>
      </c>
      <c r="B10" s="13" t="s">
        <v>5</v>
      </c>
      <c r="C10" s="13" t="s">
        <v>12</v>
      </c>
      <c r="D10" s="14">
        <v>81</v>
      </c>
    </row>
    <row r="11" spans="1:11" x14ac:dyDescent="0.3">
      <c r="A11" s="15" t="s">
        <v>20</v>
      </c>
      <c r="B11" s="15" t="s">
        <v>9</v>
      </c>
      <c r="C11" s="15" t="s">
        <v>6</v>
      </c>
      <c r="D11" s="16">
        <v>80</v>
      </c>
    </row>
    <row r="12" spans="1:11" x14ac:dyDescent="0.3">
      <c r="A12" s="13" t="s">
        <v>21</v>
      </c>
      <c r="B12" s="13" t="s">
        <v>5</v>
      </c>
      <c r="C12" s="13" t="s">
        <v>10</v>
      </c>
      <c r="D12" s="14">
        <v>16</v>
      </c>
    </row>
    <row r="13" spans="1:11" x14ac:dyDescent="0.3">
      <c r="A13" s="15" t="s">
        <v>22</v>
      </c>
      <c r="B13" s="15" t="s">
        <v>9</v>
      </c>
      <c r="C13" s="15" t="s">
        <v>12</v>
      </c>
      <c r="D13" s="16">
        <v>10</v>
      </c>
    </row>
    <row r="14" spans="1:11" x14ac:dyDescent="0.3">
      <c r="A14" s="13" t="s">
        <v>23</v>
      </c>
      <c r="B14" s="13" t="s">
        <v>5</v>
      </c>
      <c r="C14" s="13" t="s">
        <v>6</v>
      </c>
      <c r="D14" s="14">
        <v>43</v>
      </c>
    </row>
    <row r="15" spans="1:11" x14ac:dyDescent="0.3">
      <c r="A15" s="15" t="s">
        <v>24</v>
      </c>
      <c r="B15" s="15" t="s">
        <v>9</v>
      </c>
      <c r="C15" s="15" t="s">
        <v>10</v>
      </c>
      <c r="D15" s="16">
        <v>25</v>
      </c>
    </row>
    <row r="16" spans="1:11" x14ac:dyDescent="0.3">
      <c r="A16" s="13" t="s">
        <v>25</v>
      </c>
      <c r="B16" s="13" t="s">
        <v>5</v>
      </c>
      <c r="C16" s="13" t="s">
        <v>12</v>
      </c>
      <c r="D16" s="14">
        <v>73</v>
      </c>
    </row>
    <row r="17" spans="1:4" x14ac:dyDescent="0.3">
      <c r="A17" s="15" t="s">
        <v>26</v>
      </c>
      <c r="B17" s="15" t="s">
        <v>9</v>
      </c>
      <c r="C17" s="15" t="s">
        <v>6</v>
      </c>
      <c r="D17" s="16">
        <v>69</v>
      </c>
    </row>
    <row r="18" spans="1:4" x14ac:dyDescent="0.3">
      <c r="A18" s="13" t="s">
        <v>27</v>
      </c>
      <c r="B18" s="13" t="s">
        <v>5</v>
      </c>
      <c r="C18" s="13" t="s">
        <v>10</v>
      </c>
      <c r="D18" s="14">
        <v>36</v>
      </c>
    </row>
    <row r="19" spans="1:4" x14ac:dyDescent="0.3">
      <c r="A19" s="15" t="s">
        <v>28</v>
      </c>
      <c r="B19" s="15" t="s">
        <v>9</v>
      </c>
      <c r="C19" s="15" t="s">
        <v>12</v>
      </c>
      <c r="D19" s="16">
        <v>89</v>
      </c>
    </row>
    <row r="20" spans="1:4" x14ac:dyDescent="0.3">
      <c r="A20" s="13" t="s">
        <v>29</v>
      </c>
      <c r="B20" s="13" t="s">
        <v>5</v>
      </c>
      <c r="C20" s="13" t="s">
        <v>6</v>
      </c>
      <c r="D20" s="14">
        <v>28</v>
      </c>
    </row>
    <row r="21" spans="1:4" x14ac:dyDescent="0.3">
      <c r="A21" s="15" t="s">
        <v>30</v>
      </c>
      <c r="B21" s="15" t="s">
        <v>9</v>
      </c>
      <c r="C21" s="15" t="s">
        <v>10</v>
      </c>
      <c r="D21" s="16">
        <v>14</v>
      </c>
    </row>
    <row r="22" spans="1:4" x14ac:dyDescent="0.3">
      <c r="A22" s="13" t="s">
        <v>31</v>
      </c>
      <c r="B22" s="13" t="s">
        <v>5</v>
      </c>
      <c r="C22" s="13" t="s">
        <v>12</v>
      </c>
      <c r="D22" s="14">
        <v>80</v>
      </c>
    </row>
    <row r="23" spans="1:4" x14ac:dyDescent="0.3">
      <c r="A23" s="17" t="s">
        <v>32</v>
      </c>
      <c r="B23" s="17" t="s">
        <v>9</v>
      </c>
      <c r="C23" s="17" t="s">
        <v>6</v>
      </c>
      <c r="D23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2020-09-27T01:14:19Z</dcterms:created>
  <dcterms:modified xsi:type="dcterms:W3CDTF">2026-01-26T17:25:11Z</dcterms:modified>
</cp:coreProperties>
</file>