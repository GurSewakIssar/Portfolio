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550A850D-8C46-431B-A429-0AD2B39F9AE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Q1" sheetId="13" r:id="rId1"/>
    <sheet name="Q2" sheetId="4" r:id="rId2"/>
    <sheet name="Q3" sheetId="9" r:id="rId3"/>
    <sheet name="Q4" sheetId="6" r:id="rId4"/>
    <sheet name="Q5" sheetId="14" r:id="rId5"/>
    <sheet name="Database" sheetId="7" r:id="rId6"/>
  </sheets>
  <definedNames>
    <definedName name="_xlnm._FilterDatabase" localSheetId="5" hidden="1">Database!$A$1:$M$192</definedName>
    <definedName name="_xlnm._FilterDatabase" localSheetId="0" hidden="1">'Q1'!$C$14:$G$55</definedName>
    <definedName name="_xlnm._FilterDatabase" localSheetId="1" hidden="1">'Q2'!#REF!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4" l="1"/>
  <c r="P7" i="14"/>
  <c r="P8" i="14"/>
  <c r="P9" i="14"/>
  <c r="P5" i="14"/>
  <c r="O6" i="14"/>
  <c r="O7" i="14"/>
  <c r="O8" i="14"/>
  <c r="O9" i="14"/>
  <c r="N6" i="14"/>
  <c r="N7" i="14"/>
  <c r="N8" i="14"/>
  <c r="N9" i="14"/>
  <c r="O5" i="14"/>
  <c r="N5" i="14"/>
  <c r="K11" i="9"/>
  <c r="K12" i="9"/>
  <c r="K13" i="9"/>
  <c r="K14" i="9"/>
  <c r="K15" i="9"/>
  <c r="J12" i="9"/>
  <c r="J13" i="9"/>
  <c r="J14" i="9"/>
  <c r="J15" i="9"/>
  <c r="J11" i="9"/>
  <c r="O14" i="4"/>
  <c r="O15" i="4"/>
  <c r="O16" i="4"/>
  <c r="O17" i="4"/>
  <c r="O13" i="4"/>
  <c r="N14" i="4"/>
  <c r="N15" i="4"/>
  <c r="N16" i="4"/>
  <c r="N17" i="4"/>
  <c r="N13" i="4"/>
  <c r="M17" i="4"/>
  <c r="M14" i="4"/>
  <c r="M15" i="4"/>
  <c r="M16" i="4"/>
  <c r="M13" i="4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R100" i="7"/>
  <c r="R101" i="7"/>
  <c r="R102" i="7"/>
  <c r="R103" i="7"/>
  <c r="R104" i="7"/>
  <c r="R105" i="7"/>
  <c r="R106" i="7"/>
  <c r="R107" i="7"/>
  <c r="R108" i="7"/>
  <c r="R109" i="7"/>
  <c r="R110" i="7"/>
  <c r="R111" i="7"/>
  <c r="R112" i="7"/>
  <c r="R113" i="7"/>
  <c r="R114" i="7"/>
  <c r="R115" i="7"/>
  <c r="R116" i="7"/>
  <c r="R117" i="7"/>
  <c r="R118" i="7"/>
  <c r="R119" i="7"/>
  <c r="R120" i="7"/>
  <c r="R121" i="7"/>
  <c r="R122" i="7"/>
  <c r="R123" i="7"/>
  <c r="R124" i="7"/>
  <c r="R125" i="7"/>
  <c r="R126" i="7"/>
  <c r="R127" i="7"/>
  <c r="R128" i="7"/>
  <c r="R129" i="7"/>
  <c r="R130" i="7"/>
  <c r="R131" i="7"/>
  <c r="R132" i="7"/>
  <c r="R133" i="7"/>
  <c r="R134" i="7"/>
  <c r="R135" i="7"/>
  <c r="R136" i="7"/>
  <c r="R137" i="7"/>
  <c r="R138" i="7"/>
  <c r="R139" i="7"/>
  <c r="R140" i="7"/>
  <c r="R141" i="7"/>
  <c r="R142" i="7"/>
  <c r="R143" i="7"/>
  <c r="R144" i="7"/>
  <c r="R145" i="7"/>
  <c r="R146" i="7"/>
  <c r="R147" i="7"/>
  <c r="R148" i="7"/>
  <c r="R149" i="7"/>
  <c r="R150" i="7"/>
  <c r="R151" i="7"/>
  <c r="R152" i="7"/>
  <c r="R153" i="7"/>
  <c r="R154" i="7"/>
  <c r="R155" i="7"/>
  <c r="R156" i="7"/>
  <c r="R157" i="7"/>
  <c r="R158" i="7"/>
  <c r="R159" i="7"/>
  <c r="R160" i="7"/>
  <c r="R161" i="7"/>
  <c r="R162" i="7"/>
  <c r="R163" i="7"/>
  <c r="R164" i="7"/>
  <c r="R165" i="7"/>
  <c r="R166" i="7"/>
  <c r="R167" i="7"/>
  <c r="R168" i="7"/>
  <c r="R169" i="7"/>
  <c r="R170" i="7"/>
  <c r="R171" i="7"/>
  <c r="R172" i="7"/>
  <c r="R173" i="7"/>
  <c r="R174" i="7"/>
  <c r="R175" i="7"/>
  <c r="R176" i="7"/>
  <c r="R177" i="7"/>
  <c r="R178" i="7"/>
  <c r="R179" i="7"/>
  <c r="R180" i="7"/>
  <c r="R181" i="7"/>
  <c r="R182" i="7"/>
  <c r="R183" i="7"/>
  <c r="R184" i="7"/>
  <c r="R185" i="7"/>
  <c r="R186" i="7"/>
  <c r="R187" i="7"/>
  <c r="R188" i="7"/>
  <c r="R189" i="7"/>
  <c r="R190" i="7"/>
  <c r="R2" i="7"/>
  <c r="K15" i="13"/>
  <c r="L5" i="14" a="1"/>
  <c r="L5" i="14" s="1"/>
  <c r="L6" i="14" a="1"/>
  <c r="L6" i="14" s="1"/>
  <c r="L7" i="14" a="1"/>
  <c r="L7" i="14"/>
  <c r="L8" i="14" a="1"/>
  <c r="L8" i="14" s="1"/>
  <c r="L9" i="14" a="1"/>
  <c r="L9" i="14" s="1"/>
  <c r="K6" i="14" a="1"/>
  <c r="K6" i="14" s="1"/>
  <c r="K7" i="14" a="1"/>
  <c r="K7" i="14" s="1"/>
  <c r="K8" i="14" a="1"/>
  <c r="K8" i="14"/>
  <c r="K9" i="14" a="1"/>
  <c r="K9" i="14" s="1"/>
  <c r="K5" i="14" a="1"/>
  <c r="K5" i="14" s="1"/>
  <c r="J6" i="14"/>
  <c r="J7" i="14"/>
  <c r="J8" i="14"/>
  <c r="J9" i="14"/>
  <c r="J5" i="14"/>
  <c r="H11" i="9" a="1"/>
  <c r="H11" i="9" s="1"/>
  <c r="H12" i="9" a="1"/>
  <c r="H12" i="9" s="1"/>
  <c r="H13" i="9" a="1"/>
  <c r="H13" i="9" s="1"/>
  <c r="H14" i="9" a="1"/>
  <c r="H14" i="9" s="1"/>
  <c r="H15" i="9" a="1"/>
  <c r="H15" i="9" s="1"/>
  <c r="G12" i="9" a="1"/>
  <c r="G12" i="9" s="1"/>
  <c r="G13" i="9" a="1"/>
  <c r="G13" i="9" s="1"/>
  <c r="G14" i="9" a="1"/>
  <c r="G14" i="9" s="1"/>
  <c r="G15" i="9" a="1"/>
  <c r="G15" i="9" s="1"/>
  <c r="G11" i="9" a="1"/>
  <c r="G11" i="9" s="1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2" i="7"/>
  <c r="K14" i="4"/>
  <c r="K15" i="4"/>
  <c r="K16" i="4"/>
  <c r="K17" i="4"/>
  <c r="K13" i="4"/>
  <c r="J14" i="4" a="1"/>
  <c r="J14" i="4" s="1"/>
  <c r="J15" i="4" a="1"/>
  <c r="J15" i="4" s="1"/>
  <c r="J16" i="4" a="1"/>
  <c r="J16" i="4" s="1"/>
  <c r="J17" i="4" a="1"/>
  <c r="J17" i="4" s="1"/>
  <c r="J13" i="4" a="1"/>
  <c r="J13" i="4" s="1"/>
  <c r="I13" i="4" a="1"/>
  <c r="I13" i="4" s="1"/>
  <c r="E13" i="4" a="1"/>
  <c r="E13" i="4" s="1"/>
  <c r="I14" i="4" a="1"/>
  <c r="I14" i="4" s="1"/>
  <c r="I15" i="4" a="1"/>
  <c r="I15" i="4" s="1"/>
  <c r="I16" i="4" a="1"/>
  <c r="I16" i="4" s="1"/>
  <c r="I17" i="4" a="1"/>
  <c r="I17" i="4" s="1"/>
  <c r="I15" i="13"/>
  <c r="F15" i="13"/>
  <c r="I47" i="13"/>
  <c r="I51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8" i="13"/>
  <c r="I49" i="13"/>
  <c r="I50" i="13"/>
  <c r="I52" i="13"/>
  <c r="I53" i="13"/>
  <c r="I54" i="13"/>
  <c r="I55" i="13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3" i="7"/>
  <c r="P4" i="7"/>
  <c r="P5" i="7"/>
  <c r="P6" i="7"/>
  <c r="P2" i="7"/>
  <c r="O3" i="7"/>
  <c r="O4" i="7"/>
  <c r="O5" i="7"/>
  <c r="O6" i="7"/>
  <c r="O2" i="7"/>
  <c r="H5" i="14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M7" i="6" l="1"/>
  <c r="M8" i="6"/>
  <c r="M9" i="6"/>
  <c r="M10" i="6"/>
  <c r="M6" i="6"/>
  <c r="M11" i="6" l="1"/>
  <c r="G9" i="14"/>
  <c r="G5" i="14"/>
  <c r="F6" i="14"/>
  <c r="F7" i="14"/>
  <c r="F8" i="14"/>
  <c r="F9" i="14"/>
  <c r="F5" i="14"/>
  <c r="E6" i="14"/>
  <c r="E7" i="14"/>
  <c r="E8" i="14"/>
  <c r="E9" i="14"/>
  <c r="E5" i="14"/>
  <c r="J10" i="13"/>
  <c r="I10" i="13"/>
  <c r="K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L190" i="7"/>
  <c r="L189" i="7"/>
  <c r="L188" i="7"/>
  <c r="L187" i="7"/>
  <c r="L186" i="7"/>
  <c r="L185" i="7"/>
  <c r="L184" i="7"/>
  <c r="L183" i="7"/>
  <c r="L182" i="7"/>
  <c r="L181" i="7"/>
  <c r="L180" i="7"/>
  <c r="L179" i="7"/>
  <c r="L178" i="7"/>
  <c r="L177" i="7"/>
  <c r="L176" i="7"/>
  <c r="L175" i="7"/>
  <c r="L174" i="7"/>
  <c r="L173" i="7"/>
  <c r="L172" i="7"/>
  <c r="L171" i="7"/>
  <c r="L170" i="7"/>
  <c r="L169" i="7"/>
  <c r="L168" i="7"/>
  <c r="L167" i="7"/>
  <c r="L166" i="7"/>
  <c r="L165" i="7"/>
  <c r="L164" i="7"/>
  <c r="L163" i="7"/>
  <c r="L162" i="7"/>
  <c r="L161" i="7"/>
  <c r="L160" i="7"/>
  <c r="L159" i="7"/>
  <c r="L158" i="7"/>
  <c r="L157" i="7"/>
  <c r="L156" i="7"/>
  <c r="L155" i="7"/>
  <c r="L154" i="7"/>
  <c r="L153" i="7"/>
  <c r="L152" i="7"/>
  <c r="L151" i="7"/>
  <c r="L150" i="7"/>
  <c r="L149" i="7"/>
  <c r="L148" i="7"/>
  <c r="L147" i="7"/>
  <c r="L146" i="7"/>
  <c r="L145" i="7"/>
  <c r="L144" i="7"/>
  <c r="L143" i="7"/>
  <c r="L142" i="7"/>
  <c r="L141" i="7"/>
  <c r="L140" i="7"/>
  <c r="L139" i="7"/>
  <c r="L138" i="7"/>
  <c r="L137" i="7"/>
  <c r="L136" i="7"/>
  <c r="L135" i="7"/>
  <c r="L134" i="7"/>
  <c r="L133" i="7"/>
  <c r="L132" i="7"/>
  <c r="L131" i="7"/>
  <c r="L130" i="7"/>
  <c r="L129" i="7"/>
  <c r="L128" i="7"/>
  <c r="L127" i="7"/>
  <c r="L126" i="7"/>
  <c r="L125" i="7"/>
  <c r="L124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M190" i="7"/>
  <c r="M189" i="7"/>
  <c r="M188" i="7"/>
  <c r="M187" i="7"/>
  <c r="M186" i="7"/>
  <c r="M185" i="7"/>
  <c r="M184" i="7"/>
  <c r="M183" i="7"/>
  <c r="M182" i="7"/>
  <c r="M181" i="7"/>
  <c r="M180" i="7"/>
  <c r="M179" i="7"/>
  <c r="M178" i="7"/>
  <c r="M177" i="7"/>
  <c r="M176" i="7"/>
  <c r="M175" i="7"/>
  <c r="M174" i="7"/>
  <c r="M173" i="7"/>
  <c r="M172" i="7"/>
  <c r="M171" i="7"/>
  <c r="M170" i="7"/>
  <c r="M169" i="7"/>
  <c r="M168" i="7"/>
  <c r="M167" i="7"/>
  <c r="M166" i="7"/>
  <c r="M165" i="7"/>
  <c r="M164" i="7"/>
  <c r="M163" i="7"/>
  <c r="M162" i="7"/>
  <c r="M161" i="7"/>
  <c r="M160" i="7"/>
  <c r="M159" i="7"/>
  <c r="M158" i="7"/>
  <c r="M157" i="7"/>
  <c r="M156" i="7"/>
  <c r="M155" i="7"/>
  <c r="M154" i="7"/>
  <c r="M153" i="7"/>
  <c r="M152" i="7"/>
  <c r="M151" i="7"/>
  <c r="M150" i="7"/>
  <c r="M149" i="7"/>
  <c r="M148" i="7"/>
  <c r="M147" i="7"/>
  <c r="M146" i="7"/>
  <c r="M145" i="7"/>
  <c r="M144" i="7"/>
  <c r="M143" i="7"/>
  <c r="M142" i="7"/>
  <c r="M141" i="7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M123" i="7"/>
  <c r="M122" i="7"/>
  <c r="M121" i="7"/>
  <c r="M120" i="7"/>
  <c r="M119" i="7"/>
  <c r="M118" i="7"/>
  <c r="M117" i="7"/>
  <c r="M116" i="7"/>
  <c r="M115" i="7"/>
  <c r="M114" i="7"/>
  <c r="M113" i="7"/>
  <c r="M112" i="7"/>
  <c r="M111" i="7"/>
  <c r="M110" i="7"/>
  <c r="M109" i="7"/>
  <c r="M108" i="7"/>
  <c r="M107" i="7"/>
  <c r="M106" i="7"/>
  <c r="M105" i="7"/>
  <c r="M104" i="7"/>
  <c r="M103" i="7"/>
  <c r="M102" i="7"/>
  <c r="M101" i="7"/>
  <c r="M100" i="7"/>
  <c r="M99" i="7"/>
  <c r="M98" i="7"/>
  <c r="M97" i="7"/>
  <c r="M96" i="7"/>
  <c r="M95" i="7"/>
  <c r="M94" i="7"/>
  <c r="M93" i="7"/>
  <c r="M92" i="7"/>
  <c r="M91" i="7"/>
  <c r="M90" i="7"/>
  <c r="M89" i="7"/>
  <c r="M88" i="7"/>
  <c r="M87" i="7"/>
  <c r="M86" i="7"/>
  <c r="M85" i="7"/>
  <c r="M84" i="7"/>
  <c r="M83" i="7"/>
  <c r="M82" i="7"/>
  <c r="M81" i="7"/>
  <c r="M80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4" i="7"/>
  <c r="M3" i="7"/>
  <c r="M2" i="7"/>
  <c r="L2" i="7"/>
  <c r="D14" i="4"/>
  <c r="D15" i="4"/>
  <c r="D16" i="4"/>
  <c r="E16" i="4" s="1"/>
  <c r="D17" i="4"/>
  <c r="E17" i="4" s="1"/>
  <c r="D13" i="4"/>
  <c r="E15" i="13"/>
  <c r="F15" i="4" l="1"/>
  <c r="E15" i="4"/>
  <c r="N10" i="6"/>
  <c r="N9" i="6"/>
  <c r="F13" i="4"/>
  <c r="F16" i="4"/>
  <c r="G16" i="4" s="1"/>
  <c r="F14" i="4"/>
  <c r="E14" i="4"/>
  <c r="F17" i="4"/>
  <c r="G17" i="4" s="1"/>
  <c r="N7" i="6"/>
  <c r="F54" i="13"/>
  <c r="F18" i="13"/>
  <c r="F21" i="13"/>
  <c r="F42" i="13"/>
  <c r="F53" i="13"/>
  <c r="F25" i="13"/>
  <c r="F40" i="13"/>
  <c r="F20" i="13"/>
  <c r="F47" i="13"/>
  <c r="F31" i="13"/>
  <c r="F37" i="13"/>
  <c r="F36" i="13"/>
  <c r="F48" i="13"/>
  <c r="F28" i="13"/>
  <c r="F39" i="13"/>
  <c r="F29" i="13"/>
  <c r="F22" i="13"/>
  <c r="F44" i="13"/>
  <c r="F51" i="13"/>
  <c r="F19" i="13"/>
  <c r="F46" i="13"/>
  <c r="F49" i="13"/>
  <c r="F52" i="13"/>
  <c r="F34" i="13"/>
  <c r="F45" i="13"/>
  <c r="F17" i="13"/>
  <c r="F32" i="13"/>
  <c r="F16" i="13"/>
  <c r="F43" i="13"/>
  <c r="F27" i="13"/>
  <c r="F38" i="13"/>
  <c r="F30" i="13"/>
  <c r="F41" i="13"/>
  <c r="F55" i="13"/>
  <c r="F23" i="13"/>
  <c r="F26" i="13"/>
  <c r="F50" i="13"/>
  <c r="F33" i="13"/>
  <c r="F24" i="13"/>
  <c r="F35" i="13"/>
  <c r="N6" i="6"/>
  <c r="E12" i="9"/>
  <c r="E11" i="9"/>
  <c r="D15" i="9"/>
  <c r="E13" i="9"/>
  <c r="D12" i="9"/>
  <c r="D11" i="9"/>
  <c r="E14" i="9"/>
  <c r="D13" i="9"/>
  <c r="E15" i="9"/>
  <c r="D14" i="9"/>
  <c r="N8" i="6"/>
  <c r="I194" i="7"/>
  <c r="I195" i="7"/>
  <c r="I196" i="7"/>
  <c r="D8" i="14"/>
  <c r="G8" i="14" s="1"/>
  <c r="D6" i="14"/>
  <c r="G13" i="4" l="1"/>
  <c r="G14" i="4"/>
  <c r="G15" i="4"/>
  <c r="D7" i="14"/>
  <c r="G7" i="14" s="1"/>
  <c r="G6" i="14"/>
  <c r="D16" i="9"/>
  <c r="E16" i="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<sst xmlns="http://schemas.openxmlformats.org/spreadsheetml/2006/main" count="289" uniqueCount="82">
  <si>
    <t>Date</t>
  </si>
  <si>
    <t>Login ID</t>
  </si>
  <si>
    <t>ACD Calls</t>
  </si>
  <si>
    <t>ACD Time</t>
  </si>
  <si>
    <t>ACW Time</t>
  </si>
  <si>
    <t>AUX Time</t>
  </si>
  <si>
    <t>Avail Time</t>
  </si>
  <si>
    <t>Staffed Time</t>
  </si>
  <si>
    <t>Hold Time</t>
  </si>
  <si>
    <t>Vinay DHD</t>
  </si>
  <si>
    <t>Ismail Shariff</t>
  </si>
  <si>
    <t>Raghavendra  DHD</t>
  </si>
  <si>
    <t>Grand Total</t>
  </si>
  <si>
    <t>Name</t>
  </si>
  <si>
    <t>Total ACD Calls.</t>
  </si>
  <si>
    <t>Red</t>
  </si>
  <si>
    <t>Yellow</t>
  </si>
  <si>
    <t>Greeen</t>
  </si>
  <si>
    <t>Create a Graph with below mentioned data points</t>
  </si>
  <si>
    <t>Agent Name</t>
  </si>
  <si>
    <t>Formulate to get the below fields.</t>
  </si>
  <si>
    <t>First Name</t>
  </si>
  <si>
    <t>Last Name</t>
  </si>
  <si>
    <t>Sadiq Pasha</t>
  </si>
  <si>
    <t>Shahid Ali</t>
  </si>
  <si>
    <t>Row Labels</t>
  </si>
  <si>
    <t>HH:MM</t>
  </si>
  <si>
    <t>Slab</t>
  </si>
  <si>
    <t>6 to 7 Hrs</t>
  </si>
  <si>
    <t>&gt; 8 Hrs</t>
  </si>
  <si>
    <t>7 to 8 Hrs</t>
  </si>
  <si>
    <t>&lt; 6 Hrs</t>
  </si>
  <si>
    <t>Format</t>
  </si>
  <si>
    <t>Month</t>
  </si>
  <si>
    <t>No of Days Present</t>
  </si>
  <si>
    <t>Avg Calls / Day</t>
  </si>
  <si>
    <t>Populate the name from the database</t>
  </si>
  <si>
    <t>No of days Present</t>
  </si>
  <si>
    <t>Total ACD Calls</t>
  </si>
  <si>
    <t>Total ACD calls by the employee for the month selected</t>
  </si>
  <si>
    <t>Total number of days the employee is present for the month selected</t>
  </si>
  <si>
    <t>Avg Calls / day</t>
  </si>
  <si>
    <t>Jul</t>
  </si>
  <si>
    <t>Aug</t>
  </si>
  <si>
    <t>Populate the average AHT for the employee under respective months and highlight using the color as per the criteria mentioned below</t>
  </si>
  <si>
    <t>AHT</t>
  </si>
  <si>
    <t>( ACD Time + ACW Time + Hold Time ) / ACD Calls</t>
  </si>
  <si>
    <t>&gt;100</t>
  </si>
  <si>
    <t>80 to 100</t>
  </si>
  <si>
    <t>&lt;80</t>
  </si>
  <si>
    <t>Total AHT</t>
  </si>
  <si>
    <t>Total Calls</t>
  </si>
  <si>
    <t>Contribution %</t>
  </si>
  <si>
    <t>ID</t>
  </si>
  <si>
    <t>A1</t>
  </si>
  <si>
    <t>B1</t>
  </si>
  <si>
    <t>C1</t>
  </si>
  <si>
    <t>D1</t>
  </si>
  <si>
    <t>E1</t>
  </si>
  <si>
    <t>Bar Graph</t>
  </si>
  <si>
    <t>Total Calls from the day wise data provided in the table</t>
  </si>
  <si>
    <t>Line Graph</t>
  </si>
  <si>
    <t>Day wise calls for each id provided in the table.</t>
  </si>
  <si>
    <t>Date of Joining</t>
  </si>
  <si>
    <t>Tenure in Months</t>
  </si>
  <si>
    <t>Formulate to get the first name considering Space as the seperator.</t>
  </si>
  <si>
    <t>Formulate to get the Last name considering Space as the seperator.</t>
  </si>
  <si>
    <t>Tenure</t>
  </si>
  <si>
    <t>Calculate the tenure as on date and display in no of months</t>
  </si>
  <si>
    <t>Day</t>
  </si>
  <si>
    <t>Week Number</t>
  </si>
  <si>
    <t>Formulate to get the Day (Sun, Mon…)</t>
  </si>
  <si>
    <t>Formulate to get the Week Number Ex. 12 (12th Week of the Year).</t>
  </si>
  <si>
    <t>Formulate to get the Name of the Login ID from the database and the Avg ACD calls per day for each login ID for the month selected. Source - Database Sheet</t>
  </si>
  <si>
    <t>Formulate to get the Average calls / Day by the agent</t>
  </si>
  <si>
    <t>Average Login Hour</t>
  </si>
  <si>
    <t>Login hour = Staffed Time - Aux Time. Populate for the respective date. Average can be taken by dividing the Login hour by number of agent present for that date.</t>
  </si>
  <si>
    <t>6 to 8 Hrs</t>
  </si>
  <si>
    <t>Present Date wise Avg Login hour and update the status whether the day meets the target login hour or not. Source - Database Sheet. Highlight Slab column using the color as per the criteria mentioned below</t>
  </si>
  <si>
    <t>aht</t>
  </si>
  <si>
    <t>login hour</t>
  </si>
  <si>
    <t>Create a Two graph with the following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</si>
</sst>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[$-F400]h:mm:ss\ AM/PM"/>
  </numFmts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Cambria"/>
      <family val="1"/>
      <scheme val="major"/>
    </font>
    <font>
      <sz val="8"/>
      <name val="Cambria"/>
      <family val="1"/>
      <scheme val="major"/>
    </font>
    <font>
      <b/>
      <sz val="8"/>
      <color theme="0"/>
      <name val="Cambria"/>
      <family val="1"/>
      <scheme val="maj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3" tint="-0.499984740745262"/>
      </left>
      <right style="hair">
        <color theme="3" tint="-0.499984740745262"/>
      </right>
      <top style="hair">
        <color theme="3" tint="-0.499984740745262"/>
      </top>
      <bottom style="hair">
        <color theme="3" tint="-0.499984740745262"/>
      </bottom>
      <diagonal/>
    </border>
    <border>
      <left style="medium">
        <color theme="3" tint="-0.499984740745262"/>
      </left>
      <right style="hair">
        <color theme="3" tint="-0.499984740745262"/>
      </right>
      <top/>
      <bottom style="hair">
        <color theme="3" tint="-0.499984740745262"/>
      </bottom>
      <diagonal/>
    </border>
    <border>
      <left style="hair">
        <color theme="3" tint="-0.499984740745262"/>
      </left>
      <right style="hair">
        <color theme="3" tint="-0.499984740745262"/>
      </right>
      <top/>
      <bottom style="hair">
        <color theme="3" tint="-0.499984740745262"/>
      </bottom>
      <diagonal/>
    </border>
    <border>
      <left style="hair">
        <color theme="3" tint="-0.499984740745262"/>
      </left>
      <right style="medium">
        <color theme="3" tint="-0.499984740745262"/>
      </right>
      <top/>
      <bottom style="hair">
        <color theme="3" tint="-0.499984740745262"/>
      </bottom>
      <diagonal/>
    </border>
    <border>
      <left style="medium">
        <color theme="3" tint="-0.499984740745262"/>
      </left>
      <right style="hair">
        <color theme="3" tint="-0.499984740745262"/>
      </right>
      <top style="medium">
        <color theme="3" tint="-0.499984740745262"/>
      </top>
      <bottom style="medium">
        <color theme="3" tint="-0.499984740745262"/>
      </bottom>
      <diagonal/>
    </border>
    <border>
      <left style="hair">
        <color theme="3" tint="-0.499984740745262"/>
      </left>
      <right style="hair">
        <color theme="3" tint="-0.499984740745262"/>
      </right>
      <top style="medium">
        <color theme="3" tint="-0.499984740745262"/>
      </top>
      <bottom style="medium">
        <color theme="3" tint="-0.499984740745262"/>
      </bottom>
      <diagonal/>
    </border>
    <border>
      <left style="hair">
        <color theme="3" tint="-0.499984740745262"/>
      </left>
      <right style="medium">
        <color theme="3" tint="-0.499984740745262"/>
      </right>
      <top style="medium">
        <color theme="3" tint="-0.499984740745262"/>
      </top>
      <bottom style="medium">
        <color theme="3" tint="-0.499984740745262"/>
      </bottom>
      <diagonal/>
    </border>
    <border>
      <left style="medium">
        <color indexed="64"/>
      </left>
      <right style="hair">
        <color theme="3" tint="-0.499984740745262"/>
      </right>
      <top style="medium">
        <color indexed="64"/>
      </top>
      <bottom style="medium">
        <color theme="3" tint="-0.499984740745262"/>
      </bottom>
      <diagonal/>
    </border>
    <border>
      <left style="hair">
        <color theme="3" tint="-0.499984740745262"/>
      </left>
      <right style="hair">
        <color theme="3" tint="-0.499984740745262"/>
      </right>
      <top style="medium">
        <color indexed="64"/>
      </top>
      <bottom style="medium">
        <color theme="3" tint="-0.499984740745262"/>
      </bottom>
      <diagonal/>
    </border>
    <border>
      <left style="hair">
        <color theme="3" tint="-0.499984740745262"/>
      </left>
      <right style="medium">
        <color indexed="64"/>
      </right>
      <top style="medium">
        <color indexed="64"/>
      </top>
      <bottom style="medium">
        <color theme="3" tint="-0.499984740745262"/>
      </bottom>
      <diagonal/>
    </border>
    <border>
      <left style="medium">
        <color indexed="64"/>
      </left>
      <right style="hair">
        <color theme="3" tint="-0.499984740745262"/>
      </right>
      <top/>
      <bottom style="hair">
        <color theme="3" tint="-0.499984740745262"/>
      </bottom>
      <diagonal/>
    </border>
    <border>
      <left style="medium">
        <color indexed="64"/>
      </left>
      <right style="hair">
        <color theme="3" tint="-0.499984740745262"/>
      </right>
      <top style="hair">
        <color theme="3" tint="-0.499984740745262"/>
      </top>
      <bottom style="hair">
        <color theme="3" tint="-0.499984740745262"/>
      </bottom>
      <diagonal/>
    </border>
    <border>
      <left style="medium">
        <color indexed="64"/>
      </left>
      <right style="hair">
        <color theme="3" tint="-0.499984740745262"/>
      </right>
      <top style="hair">
        <color theme="3" tint="-0.499984740745262"/>
      </top>
      <bottom style="medium">
        <color indexed="64"/>
      </bottom>
      <diagonal/>
    </border>
    <border>
      <left style="hair">
        <color theme="3" tint="-0.499984740745262"/>
      </left>
      <right style="hair">
        <color theme="3" tint="-0.499984740745262"/>
      </right>
      <top/>
      <bottom style="medium">
        <color indexed="64"/>
      </bottom>
      <diagonal/>
    </border>
    <border>
      <left style="hair">
        <color theme="3" tint="-0.499984740745262"/>
      </left>
      <right style="medium">
        <color indexed="64"/>
      </right>
      <top/>
      <bottom style="medium">
        <color indexed="64"/>
      </bottom>
      <diagonal/>
    </border>
    <border>
      <left style="hair">
        <color theme="3" tint="-0.499984740745262"/>
      </left>
      <right style="medium">
        <color indexed="64"/>
      </right>
      <top/>
      <bottom style="hair">
        <color theme="3" tint="-0.499984740745262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50">
    <xf numFmtId="0" fontId="0" fillId="0" borderId="0" xfId="0"/>
    <xf numFmtId="14" fontId="4" fillId="0" borderId="0" xfId="0" applyNumberFormat="1" applyFont="1"/>
    <xf numFmtId="14" fontId="5" fillId="0" borderId="0" xfId="0" applyNumberFormat="1" applyFont="1"/>
    <xf numFmtId="0" fontId="5" fillId="0" borderId="0" xfId="0" applyFont="1"/>
    <xf numFmtId="0" fontId="5" fillId="0" borderId="1" xfId="0" applyFont="1" applyBorder="1"/>
    <xf numFmtId="0" fontId="5" fillId="2" borderId="0" xfId="0" applyFont="1" applyFill="1"/>
    <xf numFmtId="20" fontId="5" fillId="0" borderId="0" xfId="0" applyNumberFormat="1" applyFont="1"/>
    <xf numFmtId="0" fontId="4" fillId="4" borderId="1" xfId="0" applyFont="1" applyFill="1" applyBorder="1"/>
    <xf numFmtId="15" fontId="5" fillId="0" borderId="1" xfId="0" applyNumberFormat="1" applyFont="1" applyBorder="1" applyAlignment="1">
      <alignment horizontal="center"/>
    </xf>
    <xf numFmtId="1" fontId="4" fillId="4" borderId="1" xfId="0" applyNumberFormat="1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" fontId="5" fillId="7" borderId="1" xfId="0" applyNumberFormat="1" applyFont="1" applyFill="1" applyBorder="1" applyAlignment="1">
      <alignment horizontal="center"/>
    </xf>
    <xf numFmtId="9" fontId="5" fillId="7" borderId="1" xfId="0" applyNumberFormat="1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5" fillId="5" borderId="0" xfId="0" applyFont="1" applyFill="1"/>
    <xf numFmtId="0" fontId="5" fillId="6" borderId="0" xfId="0" applyFont="1" applyFill="1"/>
    <xf numFmtId="0" fontId="4" fillId="4" borderId="6" xfId="0" applyFont="1" applyFill="1" applyBorder="1"/>
    <xf numFmtId="0" fontId="5" fillId="0" borderId="0" xfId="0" applyFont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5" fillId="0" borderId="4" xfId="0" applyFont="1" applyBorder="1"/>
    <xf numFmtId="0" fontId="4" fillId="0" borderId="0" xfId="0" applyFont="1"/>
    <xf numFmtId="20" fontId="5" fillId="0" borderId="4" xfId="0" applyNumberFormat="1" applyFont="1" applyBorder="1" applyAlignment="1">
      <alignment horizontal="center"/>
    </xf>
    <xf numFmtId="15" fontId="5" fillId="0" borderId="3" xfId="0" applyNumberFormat="1" applyFont="1" applyBorder="1" applyAlignment="1">
      <alignment horizontal="left"/>
    </xf>
    <xf numFmtId="15" fontId="5" fillId="0" borderId="2" xfId="0" applyNumberFormat="1" applyFont="1" applyBorder="1" applyAlignment="1">
      <alignment horizontal="left"/>
    </xf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2" fontId="5" fillId="0" borderId="0" xfId="0" applyNumberFormat="1" applyFont="1"/>
    <xf numFmtId="2" fontId="5" fillId="0" borderId="4" xfId="0" applyNumberFormat="1" applyFont="1" applyBorder="1" applyAlignment="1">
      <alignment horizontal="center"/>
    </xf>
    <xf numFmtId="0" fontId="4" fillId="4" borderId="9" xfId="0" applyFont="1" applyFill="1" applyBorder="1"/>
    <xf numFmtId="0" fontId="4" fillId="4" borderId="10" xfId="0" applyFont="1" applyFill="1" applyBorder="1"/>
    <xf numFmtId="0" fontId="4" fillId="4" borderId="11" xfId="0" applyFont="1" applyFill="1" applyBorder="1"/>
    <xf numFmtId="0" fontId="5" fillId="0" borderId="12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14" fontId="4" fillId="0" borderId="14" xfId="0" applyNumberFormat="1" applyFont="1" applyBorder="1" applyAlignment="1">
      <alignment horizontal="left"/>
    </xf>
    <xf numFmtId="2" fontId="5" fillId="0" borderId="15" xfId="0" applyNumberFormat="1" applyFont="1" applyBorder="1" applyAlignment="1">
      <alignment horizontal="center"/>
    </xf>
    <xf numFmtId="2" fontId="5" fillId="0" borderId="16" xfId="0" applyNumberFormat="1" applyFont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0" fontId="5" fillId="4" borderId="0" xfId="0" applyFont="1" applyFill="1"/>
    <xf numFmtId="1" fontId="5" fillId="4" borderId="0" xfId="0" applyNumberFormat="1" applyFont="1" applyFill="1"/>
    <xf numFmtId="0" fontId="4" fillId="4" borderId="0" xfId="0" applyFont="1" applyFill="1"/>
    <xf numFmtId="1" fontId="5" fillId="0" borderId="17" xfId="0" applyNumberFormat="1" applyFont="1" applyBorder="1" applyAlignment="1">
      <alignment horizontal="center"/>
    </xf>
    <xf numFmtId="0" fontId="5" fillId="0" borderId="14" xfId="0" applyFont="1" applyBorder="1" applyAlignment="1">
      <alignment horizontal="left"/>
    </xf>
    <xf numFmtId="0" fontId="5" fillId="0" borderId="15" xfId="0" applyFont="1" applyBorder="1"/>
    <xf numFmtId="20" fontId="5" fillId="0" borderId="0" xfId="0" applyNumberFormat="1" applyFont="1" applyAlignment="1">
      <alignment horizontal="center"/>
    </xf>
    <xf numFmtId="0" fontId="6" fillId="8" borderId="0" xfId="0" applyFont="1" applyFill="1"/>
    <xf numFmtId="165" fontId="5" fillId="0" borderId="0" xfId="0" applyNumberFormat="1" applyFont="1"/>
  </cellXfs>
  <cellStyles count="3">
    <cellStyle name="Normal" xfId="0" builtinId="0"/>
    <cellStyle name="Normal 2" xfId="1" xr:uid="{00000000-0005-0000-0000-000002000000}"/>
    <cellStyle name="Normal 3" xfId="2" xr:uid="{00000000-0005-0000-0000-000003000000}"/>
  </cellStyles>
  <dxfs count="3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'Q4'!$D$5</c:f>
              <c:strCache>
                <c:ptCount val="1"/>
                <c:pt idx="0">
                  <c:v>1-Jul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'Q4'!$C$6:$C$10</c:f>
              <c:strCache>
                <c:ptCount val="5"/>
                <c:pt idx="0">
                  <c:v>A1</c:v>
                </c:pt>
                <c:pt idx="1">
                  <c:v>B1</c:v>
                </c:pt>
                <c:pt idx="2">
                  <c:v>C1</c:v>
                </c:pt>
                <c:pt idx="3">
                  <c:v>D1</c:v>
                </c:pt>
                <c:pt idx="4">
                  <c:v>E1</c:v>
                </c:pt>
              </c:strCache>
            </c:strRef>
          </c:cat>
          <c:val>
            <c:numRef>
              <c:f>'Q4'!$D$6:$D$10</c:f>
              <c:numCache>
                <c:formatCode>0</c:formatCode>
                <c:ptCount val="5"/>
                <c:pt idx="0">
                  <c:v>149</c:v>
                </c:pt>
                <c:pt idx="1">
                  <c:v>133</c:v>
                </c:pt>
                <c:pt idx="2">
                  <c:v>16</c:v>
                </c:pt>
                <c:pt idx="3">
                  <c:v>246</c:v>
                </c:pt>
                <c:pt idx="4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58-44EA-9C03-A79F51D8E92B}"/>
            </c:ext>
          </c:extLst>
        </c:ser>
        <c:ser>
          <c:idx val="1"/>
          <c:order val="1"/>
          <c:tx>
            <c:strRef>
              <c:f>'Q4'!$E$5</c:f>
              <c:strCache>
                <c:ptCount val="1"/>
                <c:pt idx="0">
                  <c:v>2-Jul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'Q4'!$C$6:$C$10</c:f>
              <c:strCache>
                <c:ptCount val="5"/>
                <c:pt idx="0">
                  <c:v>A1</c:v>
                </c:pt>
                <c:pt idx="1">
                  <c:v>B1</c:v>
                </c:pt>
                <c:pt idx="2">
                  <c:v>C1</c:v>
                </c:pt>
                <c:pt idx="3">
                  <c:v>D1</c:v>
                </c:pt>
                <c:pt idx="4">
                  <c:v>E1</c:v>
                </c:pt>
              </c:strCache>
            </c:strRef>
          </c:cat>
          <c:val>
            <c:numRef>
              <c:f>'Q4'!$E$6:$E$10</c:f>
              <c:numCache>
                <c:formatCode>0</c:formatCode>
                <c:ptCount val="5"/>
                <c:pt idx="0">
                  <c:v>110</c:v>
                </c:pt>
                <c:pt idx="1">
                  <c:v>119</c:v>
                </c:pt>
                <c:pt idx="2">
                  <c:v>11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58-44EA-9C03-A79F51D8E92B}"/>
            </c:ext>
          </c:extLst>
        </c:ser>
        <c:ser>
          <c:idx val="2"/>
          <c:order val="2"/>
          <c:tx>
            <c:strRef>
              <c:f>'Q4'!$F$5</c:f>
              <c:strCache>
                <c:ptCount val="1"/>
                <c:pt idx="0">
                  <c:v>3-Jul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'Q4'!$C$6:$C$10</c:f>
              <c:strCache>
                <c:ptCount val="5"/>
                <c:pt idx="0">
                  <c:v>A1</c:v>
                </c:pt>
                <c:pt idx="1">
                  <c:v>B1</c:v>
                </c:pt>
                <c:pt idx="2">
                  <c:v>C1</c:v>
                </c:pt>
                <c:pt idx="3">
                  <c:v>D1</c:v>
                </c:pt>
                <c:pt idx="4">
                  <c:v>E1</c:v>
                </c:pt>
              </c:strCache>
            </c:strRef>
          </c:cat>
          <c:val>
            <c:numRef>
              <c:f>'Q4'!$F$6:$F$10</c:f>
              <c:numCache>
                <c:formatCode>0</c:formatCode>
                <c:ptCount val="5"/>
                <c:pt idx="0">
                  <c:v>104</c:v>
                </c:pt>
                <c:pt idx="1">
                  <c:v>106</c:v>
                </c:pt>
                <c:pt idx="2">
                  <c:v>0</c:v>
                </c:pt>
                <c:pt idx="3">
                  <c:v>111</c:v>
                </c:pt>
                <c:pt idx="4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58-44EA-9C03-A79F51D8E92B}"/>
            </c:ext>
          </c:extLst>
        </c:ser>
        <c:ser>
          <c:idx val="3"/>
          <c:order val="3"/>
          <c:tx>
            <c:strRef>
              <c:f>'Q4'!$G$5</c:f>
              <c:strCache>
                <c:ptCount val="1"/>
                <c:pt idx="0">
                  <c:v>4-Jul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'Q4'!$C$6:$C$10</c:f>
              <c:strCache>
                <c:ptCount val="5"/>
                <c:pt idx="0">
                  <c:v>A1</c:v>
                </c:pt>
                <c:pt idx="1">
                  <c:v>B1</c:v>
                </c:pt>
                <c:pt idx="2">
                  <c:v>C1</c:v>
                </c:pt>
                <c:pt idx="3">
                  <c:v>D1</c:v>
                </c:pt>
                <c:pt idx="4">
                  <c:v>E1</c:v>
                </c:pt>
              </c:strCache>
            </c:strRef>
          </c:cat>
          <c:val>
            <c:numRef>
              <c:f>'Q4'!$G$6:$G$10</c:f>
              <c:numCache>
                <c:formatCode>0</c:formatCode>
                <c:ptCount val="5"/>
                <c:pt idx="0">
                  <c:v>110</c:v>
                </c:pt>
                <c:pt idx="1">
                  <c:v>139</c:v>
                </c:pt>
                <c:pt idx="2">
                  <c:v>0</c:v>
                </c:pt>
                <c:pt idx="3">
                  <c:v>105</c:v>
                </c:pt>
                <c:pt idx="4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58-44EA-9C03-A79F51D8E92B}"/>
            </c:ext>
          </c:extLst>
        </c:ser>
        <c:ser>
          <c:idx val="4"/>
          <c:order val="4"/>
          <c:tx>
            <c:strRef>
              <c:f>'Q4'!$H$5</c:f>
              <c:strCache>
                <c:ptCount val="1"/>
                <c:pt idx="0">
                  <c:v>6-Jul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'Q4'!$C$6:$C$10</c:f>
              <c:strCache>
                <c:ptCount val="5"/>
                <c:pt idx="0">
                  <c:v>A1</c:v>
                </c:pt>
                <c:pt idx="1">
                  <c:v>B1</c:v>
                </c:pt>
                <c:pt idx="2">
                  <c:v>C1</c:v>
                </c:pt>
                <c:pt idx="3">
                  <c:v>D1</c:v>
                </c:pt>
                <c:pt idx="4">
                  <c:v>E1</c:v>
                </c:pt>
              </c:strCache>
            </c:strRef>
          </c:cat>
          <c:val>
            <c:numRef>
              <c:f>'Q4'!$H$6:$H$10</c:f>
              <c:numCache>
                <c:formatCode>0</c:formatCode>
                <c:ptCount val="5"/>
                <c:pt idx="0">
                  <c:v>124</c:v>
                </c:pt>
                <c:pt idx="1">
                  <c:v>113</c:v>
                </c:pt>
                <c:pt idx="2">
                  <c:v>20</c:v>
                </c:pt>
                <c:pt idx="3">
                  <c:v>109</c:v>
                </c:pt>
                <c:pt idx="4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58-44EA-9C03-A79F51D8E92B}"/>
            </c:ext>
          </c:extLst>
        </c:ser>
        <c:ser>
          <c:idx val="5"/>
          <c:order val="5"/>
          <c:tx>
            <c:strRef>
              <c:f>'Q4'!$I$5</c:f>
              <c:strCache>
                <c:ptCount val="1"/>
                <c:pt idx="0">
                  <c:v>7-Jul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'Q4'!$C$6:$C$10</c:f>
              <c:strCache>
                <c:ptCount val="5"/>
                <c:pt idx="0">
                  <c:v>A1</c:v>
                </c:pt>
                <c:pt idx="1">
                  <c:v>B1</c:v>
                </c:pt>
                <c:pt idx="2">
                  <c:v>C1</c:v>
                </c:pt>
                <c:pt idx="3">
                  <c:v>D1</c:v>
                </c:pt>
                <c:pt idx="4">
                  <c:v>E1</c:v>
                </c:pt>
              </c:strCache>
            </c:strRef>
          </c:cat>
          <c:val>
            <c:numRef>
              <c:f>'Q4'!$I$6:$I$10</c:f>
              <c:numCache>
                <c:formatCode>0</c:formatCode>
                <c:ptCount val="5"/>
                <c:pt idx="0">
                  <c:v>126</c:v>
                </c:pt>
                <c:pt idx="1">
                  <c:v>67</c:v>
                </c:pt>
                <c:pt idx="2">
                  <c:v>9</c:v>
                </c:pt>
                <c:pt idx="3">
                  <c:v>128</c:v>
                </c:pt>
                <c:pt idx="4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758-44EA-9C03-A79F51D8E92B}"/>
            </c:ext>
          </c:extLst>
        </c:ser>
        <c:ser>
          <c:idx val="6"/>
          <c:order val="6"/>
          <c:tx>
            <c:strRef>
              <c:f>'Q4'!$J$5</c:f>
              <c:strCache>
                <c:ptCount val="1"/>
                <c:pt idx="0">
                  <c:v>8-Jul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'Q4'!$C$6:$C$10</c:f>
              <c:strCache>
                <c:ptCount val="5"/>
                <c:pt idx="0">
                  <c:v>A1</c:v>
                </c:pt>
                <c:pt idx="1">
                  <c:v>B1</c:v>
                </c:pt>
                <c:pt idx="2">
                  <c:v>C1</c:v>
                </c:pt>
                <c:pt idx="3">
                  <c:v>D1</c:v>
                </c:pt>
                <c:pt idx="4">
                  <c:v>E1</c:v>
                </c:pt>
              </c:strCache>
            </c:strRef>
          </c:cat>
          <c:val>
            <c:numRef>
              <c:f>'Q4'!$J$6:$J$10</c:f>
              <c:numCache>
                <c:formatCode>0</c:formatCode>
                <c:ptCount val="5"/>
                <c:pt idx="0">
                  <c:v>110</c:v>
                </c:pt>
                <c:pt idx="1">
                  <c:v>118</c:v>
                </c:pt>
                <c:pt idx="2">
                  <c:v>10</c:v>
                </c:pt>
                <c:pt idx="3">
                  <c:v>97</c:v>
                </c:pt>
                <c:pt idx="4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58-44EA-9C03-A79F51D8E92B}"/>
            </c:ext>
          </c:extLst>
        </c:ser>
        <c:ser>
          <c:idx val="7"/>
          <c:order val="7"/>
          <c:tx>
            <c:strRef>
              <c:f>'Q4'!$K$5</c:f>
              <c:strCache>
                <c:ptCount val="1"/>
                <c:pt idx="0">
                  <c:v>9-Jul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hade val="51000"/>
                    <a:satMod val="130000"/>
                  </a:schemeClr>
                </a:gs>
                <a:gs pos="80000">
                  <a:schemeClr val="accent2">
                    <a:lumMod val="60000"/>
                    <a:shade val="93000"/>
                    <a:satMod val="130000"/>
                  </a:schemeClr>
                </a:gs>
                <a:gs pos="100000">
                  <a:schemeClr val="accent2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'Q4'!$C$6:$C$10</c:f>
              <c:strCache>
                <c:ptCount val="5"/>
                <c:pt idx="0">
                  <c:v>A1</c:v>
                </c:pt>
                <c:pt idx="1">
                  <c:v>B1</c:v>
                </c:pt>
                <c:pt idx="2">
                  <c:v>C1</c:v>
                </c:pt>
                <c:pt idx="3">
                  <c:v>D1</c:v>
                </c:pt>
                <c:pt idx="4">
                  <c:v>E1</c:v>
                </c:pt>
              </c:strCache>
            </c:strRef>
          </c:cat>
          <c:val>
            <c:numRef>
              <c:f>'Q4'!$K$6:$K$10</c:f>
              <c:numCache>
                <c:formatCode>0</c:formatCode>
                <c:ptCount val="5"/>
                <c:pt idx="0">
                  <c:v>116</c:v>
                </c:pt>
                <c:pt idx="1">
                  <c:v>127</c:v>
                </c:pt>
                <c:pt idx="2">
                  <c:v>0</c:v>
                </c:pt>
                <c:pt idx="3">
                  <c:v>119</c:v>
                </c:pt>
                <c:pt idx="4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758-44EA-9C03-A79F51D8E92B}"/>
            </c:ext>
          </c:extLst>
        </c:ser>
        <c:ser>
          <c:idx val="8"/>
          <c:order val="8"/>
          <c:tx>
            <c:strRef>
              <c:f>'Q4'!$L$5</c:f>
              <c:strCache>
                <c:ptCount val="1"/>
                <c:pt idx="0">
                  <c:v>10-Jul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hade val="51000"/>
                    <a:satMod val="130000"/>
                  </a:schemeClr>
                </a:gs>
                <a:gs pos="80000">
                  <a:schemeClr val="accent3">
                    <a:lumMod val="60000"/>
                    <a:shade val="93000"/>
                    <a:satMod val="130000"/>
                  </a:schemeClr>
                </a:gs>
                <a:gs pos="100000">
                  <a:schemeClr val="accent3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'Q4'!$C$6:$C$10</c:f>
              <c:strCache>
                <c:ptCount val="5"/>
                <c:pt idx="0">
                  <c:v>A1</c:v>
                </c:pt>
                <c:pt idx="1">
                  <c:v>B1</c:v>
                </c:pt>
                <c:pt idx="2">
                  <c:v>C1</c:v>
                </c:pt>
                <c:pt idx="3">
                  <c:v>D1</c:v>
                </c:pt>
                <c:pt idx="4">
                  <c:v>E1</c:v>
                </c:pt>
              </c:strCache>
            </c:strRef>
          </c:cat>
          <c:val>
            <c:numRef>
              <c:f>'Q4'!$L$6:$L$10</c:f>
              <c:numCache>
                <c:formatCode>0</c:formatCode>
                <c:ptCount val="5"/>
                <c:pt idx="0">
                  <c:v>101</c:v>
                </c:pt>
                <c:pt idx="1">
                  <c:v>120</c:v>
                </c:pt>
                <c:pt idx="2">
                  <c:v>10</c:v>
                </c:pt>
                <c:pt idx="3">
                  <c:v>105</c:v>
                </c:pt>
                <c:pt idx="4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758-44EA-9C03-A79F51D8E92B}"/>
            </c:ext>
          </c:extLst>
        </c:ser>
        <c:ser>
          <c:idx val="9"/>
          <c:order val="9"/>
          <c:tx>
            <c:strRef>
              <c:f>'Q4'!$M$5</c:f>
              <c:strCache>
                <c:ptCount val="1"/>
                <c:pt idx="0">
                  <c:v>Total Calls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hade val="51000"/>
                    <a:satMod val="130000"/>
                  </a:schemeClr>
                </a:gs>
                <a:gs pos="80000">
                  <a:schemeClr val="accent4">
                    <a:lumMod val="60000"/>
                    <a:shade val="93000"/>
                    <a:satMod val="130000"/>
                  </a:schemeClr>
                </a:gs>
                <a:gs pos="100000">
                  <a:schemeClr val="accent4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'Q4'!$C$6:$C$10</c:f>
              <c:strCache>
                <c:ptCount val="5"/>
                <c:pt idx="0">
                  <c:v>A1</c:v>
                </c:pt>
                <c:pt idx="1">
                  <c:v>B1</c:v>
                </c:pt>
                <c:pt idx="2">
                  <c:v>C1</c:v>
                </c:pt>
                <c:pt idx="3">
                  <c:v>D1</c:v>
                </c:pt>
                <c:pt idx="4">
                  <c:v>E1</c:v>
                </c:pt>
              </c:strCache>
            </c:strRef>
          </c:cat>
          <c:val>
            <c:numRef>
              <c:f>'Q4'!$M$6:$M$10</c:f>
              <c:numCache>
                <c:formatCode>0</c:formatCode>
                <c:ptCount val="5"/>
                <c:pt idx="0">
                  <c:v>1050</c:v>
                </c:pt>
                <c:pt idx="1">
                  <c:v>1042</c:v>
                </c:pt>
                <c:pt idx="2">
                  <c:v>76</c:v>
                </c:pt>
                <c:pt idx="3">
                  <c:v>1120</c:v>
                </c:pt>
                <c:pt idx="4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758-44EA-9C03-A79F51D8E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934968920"/>
        <c:axId val="934969576"/>
      </c:barChart>
      <c:catAx>
        <c:axId val="934968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969576"/>
        <c:crosses val="autoZero"/>
        <c:auto val="1"/>
        <c:lblAlgn val="ctr"/>
        <c:lblOffset val="100"/>
        <c:noMultiLvlLbl val="0"/>
      </c:catAx>
      <c:valAx>
        <c:axId val="934969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968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'Q4'!$C$6</c:f>
              <c:strCache>
                <c:ptCount val="1"/>
                <c:pt idx="0">
                  <c:v>A1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'Q4'!$D$5:$M$5</c:f>
              <c:strCache>
                <c:ptCount val="10"/>
                <c:pt idx="0">
                  <c:v>1-Jul</c:v>
                </c:pt>
                <c:pt idx="1">
                  <c:v>2-Jul</c:v>
                </c:pt>
                <c:pt idx="2">
                  <c:v>3-Jul</c:v>
                </c:pt>
                <c:pt idx="3">
                  <c:v>4-Jul</c:v>
                </c:pt>
                <c:pt idx="4">
                  <c:v>6-Jul</c:v>
                </c:pt>
                <c:pt idx="5">
                  <c:v>7-Jul</c:v>
                </c:pt>
                <c:pt idx="6">
                  <c:v>8-Jul</c:v>
                </c:pt>
                <c:pt idx="7">
                  <c:v>9-Jul</c:v>
                </c:pt>
                <c:pt idx="8">
                  <c:v>10-Jul</c:v>
                </c:pt>
                <c:pt idx="9">
                  <c:v>Total Calls</c:v>
                </c:pt>
              </c:strCache>
            </c:strRef>
          </c:cat>
          <c:val>
            <c:numRef>
              <c:f>'Q4'!$D$6:$M$6</c:f>
              <c:numCache>
                <c:formatCode>0</c:formatCode>
                <c:ptCount val="10"/>
                <c:pt idx="0">
                  <c:v>149</c:v>
                </c:pt>
                <c:pt idx="1">
                  <c:v>110</c:v>
                </c:pt>
                <c:pt idx="2">
                  <c:v>104</c:v>
                </c:pt>
                <c:pt idx="3">
                  <c:v>110</c:v>
                </c:pt>
                <c:pt idx="4">
                  <c:v>124</c:v>
                </c:pt>
                <c:pt idx="5">
                  <c:v>126</c:v>
                </c:pt>
                <c:pt idx="6">
                  <c:v>110</c:v>
                </c:pt>
                <c:pt idx="7">
                  <c:v>116</c:v>
                </c:pt>
                <c:pt idx="8">
                  <c:v>101</c:v>
                </c:pt>
                <c:pt idx="9">
                  <c:v>1050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C7-4418-9FC4-FD915250B429}"/>
            </c:ext>
          </c:extLst>
        </c:ser>
        <c:ser>
          <c:idx val="1"/>
          <c:order val="1"/>
          <c:tx>
            <c:strRef>
              <c:f>'Q4'!$C$7</c:f>
              <c:strCache>
                <c:ptCount val="1"/>
                <c:pt idx="0">
                  <c:v>B1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'Q4'!$D$5:$M$5</c:f>
              <c:strCache>
                <c:ptCount val="10"/>
                <c:pt idx="0">
                  <c:v>1-Jul</c:v>
                </c:pt>
                <c:pt idx="1">
                  <c:v>2-Jul</c:v>
                </c:pt>
                <c:pt idx="2">
                  <c:v>3-Jul</c:v>
                </c:pt>
                <c:pt idx="3">
                  <c:v>4-Jul</c:v>
                </c:pt>
                <c:pt idx="4">
                  <c:v>6-Jul</c:v>
                </c:pt>
                <c:pt idx="5">
                  <c:v>7-Jul</c:v>
                </c:pt>
                <c:pt idx="6">
                  <c:v>8-Jul</c:v>
                </c:pt>
                <c:pt idx="7">
                  <c:v>9-Jul</c:v>
                </c:pt>
                <c:pt idx="8">
                  <c:v>10-Jul</c:v>
                </c:pt>
                <c:pt idx="9">
                  <c:v>Total Calls</c:v>
                </c:pt>
              </c:strCache>
            </c:strRef>
          </c:cat>
          <c:val>
            <c:numRef>
              <c:f>'Q4'!$D$7:$M$7</c:f>
              <c:numCache>
                <c:formatCode>0</c:formatCode>
                <c:ptCount val="10"/>
                <c:pt idx="0">
                  <c:v>133</c:v>
                </c:pt>
                <c:pt idx="1">
                  <c:v>119</c:v>
                </c:pt>
                <c:pt idx="2">
                  <c:v>106</c:v>
                </c:pt>
                <c:pt idx="3">
                  <c:v>139</c:v>
                </c:pt>
                <c:pt idx="4">
                  <c:v>113</c:v>
                </c:pt>
                <c:pt idx="5">
                  <c:v>67</c:v>
                </c:pt>
                <c:pt idx="6">
                  <c:v>118</c:v>
                </c:pt>
                <c:pt idx="7">
                  <c:v>127</c:v>
                </c:pt>
                <c:pt idx="8">
                  <c:v>120</c:v>
                </c:pt>
                <c:pt idx="9">
                  <c:v>1042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C7-4418-9FC4-FD915250B429}"/>
            </c:ext>
          </c:extLst>
        </c:ser>
        <c:ser>
          <c:idx val="2"/>
          <c:order val="2"/>
          <c:tx>
            <c:strRef>
              <c:f>'Q4'!$C$8</c:f>
              <c:strCache>
                <c:ptCount val="1"/>
                <c:pt idx="0">
                  <c:v>C1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'Q4'!$D$5:$M$5</c:f>
              <c:strCache>
                <c:ptCount val="10"/>
                <c:pt idx="0">
                  <c:v>1-Jul</c:v>
                </c:pt>
                <c:pt idx="1">
                  <c:v>2-Jul</c:v>
                </c:pt>
                <c:pt idx="2">
                  <c:v>3-Jul</c:v>
                </c:pt>
                <c:pt idx="3">
                  <c:v>4-Jul</c:v>
                </c:pt>
                <c:pt idx="4">
                  <c:v>6-Jul</c:v>
                </c:pt>
                <c:pt idx="5">
                  <c:v>7-Jul</c:v>
                </c:pt>
                <c:pt idx="6">
                  <c:v>8-Jul</c:v>
                </c:pt>
                <c:pt idx="7">
                  <c:v>9-Jul</c:v>
                </c:pt>
                <c:pt idx="8">
                  <c:v>10-Jul</c:v>
                </c:pt>
                <c:pt idx="9">
                  <c:v>Total Calls</c:v>
                </c:pt>
              </c:strCache>
            </c:strRef>
          </c:cat>
          <c:val>
            <c:numRef>
              <c:f>'Q4'!$D$8:$M$8</c:f>
              <c:numCache>
                <c:formatCode>0</c:formatCode>
                <c:ptCount val="10"/>
                <c:pt idx="0">
                  <c:v>16</c:v>
                </c:pt>
                <c:pt idx="1">
                  <c:v>11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9</c:v>
                </c:pt>
                <c:pt idx="6">
                  <c:v>10</c:v>
                </c:pt>
                <c:pt idx="7">
                  <c:v>0</c:v>
                </c:pt>
                <c:pt idx="8">
                  <c:v>10</c:v>
                </c:pt>
                <c:pt idx="9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C7-4418-9FC4-FD915250B429}"/>
            </c:ext>
          </c:extLst>
        </c:ser>
        <c:ser>
          <c:idx val="3"/>
          <c:order val="3"/>
          <c:tx>
            <c:strRef>
              <c:f>'Q4'!$C$9</c:f>
              <c:strCache>
                <c:ptCount val="1"/>
                <c:pt idx="0">
                  <c:v>D1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'Q4'!$D$5:$M$5</c:f>
              <c:strCache>
                <c:ptCount val="10"/>
                <c:pt idx="0">
                  <c:v>1-Jul</c:v>
                </c:pt>
                <c:pt idx="1">
                  <c:v>2-Jul</c:v>
                </c:pt>
                <c:pt idx="2">
                  <c:v>3-Jul</c:v>
                </c:pt>
                <c:pt idx="3">
                  <c:v>4-Jul</c:v>
                </c:pt>
                <c:pt idx="4">
                  <c:v>6-Jul</c:v>
                </c:pt>
                <c:pt idx="5">
                  <c:v>7-Jul</c:v>
                </c:pt>
                <c:pt idx="6">
                  <c:v>8-Jul</c:v>
                </c:pt>
                <c:pt idx="7">
                  <c:v>9-Jul</c:v>
                </c:pt>
                <c:pt idx="8">
                  <c:v>10-Jul</c:v>
                </c:pt>
                <c:pt idx="9">
                  <c:v>Total Calls</c:v>
                </c:pt>
              </c:strCache>
            </c:strRef>
          </c:cat>
          <c:val>
            <c:numRef>
              <c:f>'Q4'!$D$9:$M$9</c:f>
              <c:numCache>
                <c:formatCode>0</c:formatCode>
                <c:ptCount val="10"/>
                <c:pt idx="0">
                  <c:v>246</c:v>
                </c:pt>
                <c:pt idx="1">
                  <c:v>100</c:v>
                </c:pt>
                <c:pt idx="2">
                  <c:v>111</c:v>
                </c:pt>
                <c:pt idx="3">
                  <c:v>105</c:v>
                </c:pt>
                <c:pt idx="4">
                  <c:v>109</c:v>
                </c:pt>
                <c:pt idx="5">
                  <c:v>128</c:v>
                </c:pt>
                <c:pt idx="6">
                  <c:v>97</c:v>
                </c:pt>
                <c:pt idx="7">
                  <c:v>119</c:v>
                </c:pt>
                <c:pt idx="8">
                  <c:v>105</c:v>
                </c:pt>
                <c:pt idx="9">
                  <c:v>1120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C7-4418-9FC4-FD915250B429}"/>
            </c:ext>
          </c:extLst>
        </c:ser>
        <c:ser>
          <c:idx val="4"/>
          <c:order val="4"/>
          <c:tx>
            <c:strRef>
              <c:f>'Q4'!$C$10</c:f>
              <c:strCache>
                <c:ptCount val="1"/>
                <c:pt idx="0">
                  <c:v>E1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'Q4'!$D$5:$M$5</c:f>
              <c:strCache>
                <c:ptCount val="10"/>
                <c:pt idx="0">
                  <c:v>1-Jul</c:v>
                </c:pt>
                <c:pt idx="1">
                  <c:v>2-Jul</c:v>
                </c:pt>
                <c:pt idx="2">
                  <c:v>3-Jul</c:v>
                </c:pt>
                <c:pt idx="3">
                  <c:v>4-Jul</c:v>
                </c:pt>
                <c:pt idx="4">
                  <c:v>6-Jul</c:v>
                </c:pt>
                <c:pt idx="5">
                  <c:v>7-Jul</c:v>
                </c:pt>
                <c:pt idx="6">
                  <c:v>8-Jul</c:v>
                </c:pt>
                <c:pt idx="7">
                  <c:v>9-Jul</c:v>
                </c:pt>
                <c:pt idx="8">
                  <c:v>10-Jul</c:v>
                </c:pt>
                <c:pt idx="9">
                  <c:v>Total Calls</c:v>
                </c:pt>
              </c:strCache>
            </c:strRef>
          </c:cat>
          <c:val>
            <c:numRef>
              <c:f>'Q4'!$D$10:$M$10</c:f>
              <c:numCache>
                <c:formatCode>0</c:formatCode>
                <c:ptCount val="10"/>
                <c:pt idx="0">
                  <c:v>106</c:v>
                </c:pt>
                <c:pt idx="1">
                  <c:v>100</c:v>
                </c:pt>
                <c:pt idx="2">
                  <c:v>69</c:v>
                </c:pt>
                <c:pt idx="3">
                  <c:v>116</c:v>
                </c:pt>
                <c:pt idx="4">
                  <c:v>106</c:v>
                </c:pt>
                <c:pt idx="5">
                  <c:v>133</c:v>
                </c:pt>
                <c:pt idx="6">
                  <c:v>105</c:v>
                </c:pt>
                <c:pt idx="7">
                  <c:v>83</c:v>
                </c:pt>
                <c:pt idx="8">
                  <c:v>91</c:v>
                </c:pt>
                <c:pt idx="9">
                  <c:v>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C7-4418-9FC4-FD915250B429}"/>
            </c:ext>
          </c:extLst>
        </c:ser>
        <c:ser>
          <c:idx val="5"/>
          <c:order val="5"/>
          <c:tx>
            <c:strRef>
              <c:f>'Q4'!$C$11</c:f>
              <c:strCache>
                <c:ptCount val="1"/>
                <c:pt idx="0">
                  <c:v>Grand Total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'Q4'!$D$5:$M$5</c:f>
              <c:strCache>
                <c:ptCount val="10"/>
                <c:pt idx="0">
                  <c:v>1-Jul</c:v>
                </c:pt>
                <c:pt idx="1">
                  <c:v>2-Jul</c:v>
                </c:pt>
                <c:pt idx="2">
                  <c:v>3-Jul</c:v>
                </c:pt>
                <c:pt idx="3">
                  <c:v>4-Jul</c:v>
                </c:pt>
                <c:pt idx="4">
                  <c:v>6-Jul</c:v>
                </c:pt>
                <c:pt idx="5">
                  <c:v>7-Jul</c:v>
                </c:pt>
                <c:pt idx="6">
                  <c:v>8-Jul</c:v>
                </c:pt>
                <c:pt idx="7">
                  <c:v>9-Jul</c:v>
                </c:pt>
                <c:pt idx="8">
                  <c:v>10-Jul</c:v>
                </c:pt>
                <c:pt idx="9">
                  <c:v>Total Calls</c:v>
                </c:pt>
              </c:strCache>
            </c:strRef>
          </c:cat>
          <c:val>
            <c:numRef>
              <c:f>'Q4'!$D$11:$M$11</c:f>
              <c:numCache>
                <c:formatCode>0</c:formatCode>
                <c:ptCount val="10"/>
                <c:pt idx="0">
                  <c:v>650</c:v>
                </c:pt>
                <c:pt idx="1">
                  <c:v>440</c:v>
                </c:pt>
                <c:pt idx="2">
                  <c:v>390</c:v>
                </c:pt>
                <c:pt idx="3">
                  <c:v>470</c:v>
                </c:pt>
                <c:pt idx="4">
                  <c:v>472</c:v>
                </c:pt>
                <c:pt idx="5">
                  <c:v>463</c:v>
                </c:pt>
                <c:pt idx="6">
                  <c:v>440</c:v>
                </c:pt>
                <c:pt idx="7">
                  <c:v>445</c:v>
                </c:pt>
                <c:pt idx="8">
                  <c:v>427</c:v>
                </c:pt>
                <c:pt idx="9">
                  <c:v>4197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2C7-4418-9FC4-FD915250B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540320"/>
        <c:axId val="574542288"/>
      </c:lineChart>
      <c:catAx>
        <c:axId val="57454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42288"/>
        <c:crosses val="autoZero"/>
        <c:auto val="1"/>
        <c:lblAlgn val="ctr"/>
        <c:lblOffset val="100"/>
        <c:noMultiLvlLbl val="0"/>
      </c:catAx>
      <c:valAx>
        <c:axId val="57454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4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'Q4'!$C$6</c:f>
              <c:strCache>
                <c:ptCount val="1"/>
                <c:pt idx="0">
                  <c:v>A1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'Q4'!$D$5:$L$5</c:f>
              <c:numCache>
                <c:formatCode>[$-409]d\-mmm;@</c:formatCode>
                <c:ptCount val="9"/>
                <c:pt idx="0">
                  <c:v>41456</c:v>
                </c:pt>
                <c:pt idx="1">
                  <c:v>41457</c:v>
                </c:pt>
                <c:pt idx="2">
                  <c:v>41458</c:v>
                </c:pt>
                <c:pt idx="3">
                  <c:v>41459</c:v>
                </c:pt>
                <c:pt idx="4">
                  <c:v>41461</c:v>
                </c:pt>
                <c:pt idx="5">
                  <c:v>41462</c:v>
                </c:pt>
                <c:pt idx="6">
                  <c:v>41463</c:v>
                </c:pt>
                <c:pt idx="7">
                  <c:v>41464</c:v>
                </c:pt>
                <c:pt idx="8">
                  <c:v>41465</c:v>
                </c:pt>
              </c:numCache>
            </c:numRef>
          </c:cat>
          <c:val>
            <c:numRef>
              <c:f>'Q4'!$D$6:$L$6</c:f>
              <c:numCache>
                <c:formatCode>0</c:formatCode>
                <c:ptCount val="9"/>
                <c:pt idx="0">
                  <c:v>149</c:v>
                </c:pt>
                <c:pt idx="1">
                  <c:v>110</c:v>
                </c:pt>
                <c:pt idx="2">
                  <c:v>104</c:v>
                </c:pt>
                <c:pt idx="3">
                  <c:v>110</c:v>
                </c:pt>
                <c:pt idx="4">
                  <c:v>124</c:v>
                </c:pt>
                <c:pt idx="5">
                  <c:v>126</c:v>
                </c:pt>
                <c:pt idx="6">
                  <c:v>110</c:v>
                </c:pt>
                <c:pt idx="7">
                  <c:v>116</c:v>
                </c:pt>
                <c:pt idx="8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DE-41FC-9F21-44FE8A766F51}"/>
            </c:ext>
          </c:extLst>
        </c:ser>
        <c:ser>
          <c:idx val="1"/>
          <c:order val="1"/>
          <c:tx>
            <c:strRef>
              <c:f>'Q4'!$C$7</c:f>
              <c:strCache>
                <c:ptCount val="1"/>
                <c:pt idx="0">
                  <c:v>B1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'Q4'!$D$5:$L$5</c:f>
              <c:numCache>
                <c:formatCode>[$-409]d\-mmm;@</c:formatCode>
                <c:ptCount val="9"/>
                <c:pt idx="0">
                  <c:v>41456</c:v>
                </c:pt>
                <c:pt idx="1">
                  <c:v>41457</c:v>
                </c:pt>
                <c:pt idx="2">
                  <c:v>41458</c:v>
                </c:pt>
                <c:pt idx="3">
                  <c:v>41459</c:v>
                </c:pt>
                <c:pt idx="4">
                  <c:v>41461</c:v>
                </c:pt>
                <c:pt idx="5">
                  <c:v>41462</c:v>
                </c:pt>
                <c:pt idx="6">
                  <c:v>41463</c:v>
                </c:pt>
                <c:pt idx="7">
                  <c:v>41464</c:v>
                </c:pt>
                <c:pt idx="8">
                  <c:v>41465</c:v>
                </c:pt>
              </c:numCache>
            </c:numRef>
          </c:cat>
          <c:val>
            <c:numRef>
              <c:f>'Q4'!$D$7:$L$7</c:f>
              <c:numCache>
                <c:formatCode>0</c:formatCode>
                <c:ptCount val="9"/>
                <c:pt idx="0">
                  <c:v>133</c:v>
                </c:pt>
                <c:pt idx="1">
                  <c:v>119</c:v>
                </c:pt>
                <c:pt idx="2">
                  <c:v>106</c:v>
                </c:pt>
                <c:pt idx="3">
                  <c:v>139</c:v>
                </c:pt>
                <c:pt idx="4">
                  <c:v>113</c:v>
                </c:pt>
                <c:pt idx="5">
                  <c:v>67</c:v>
                </c:pt>
                <c:pt idx="6">
                  <c:v>118</c:v>
                </c:pt>
                <c:pt idx="7">
                  <c:v>127</c:v>
                </c:pt>
                <c:pt idx="8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DE-41FC-9F21-44FE8A766F51}"/>
            </c:ext>
          </c:extLst>
        </c:ser>
        <c:ser>
          <c:idx val="2"/>
          <c:order val="2"/>
          <c:tx>
            <c:strRef>
              <c:f>'Q4'!$C$8</c:f>
              <c:strCache>
                <c:ptCount val="1"/>
                <c:pt idx="0">
                  <c:v>C1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'Q4'!$D$5:$L$5</c:f>
              <c:numCache>
                <c:formatCode>[$-409]d\-mmm;@</c:formatCode>
                <c:ptCount val="9"/>
                <c:pt idx="0">
                  <c:v>41456</c:v>
                </c:pt>
                <c:pt idx="1">
                  <c:v>41457</c:v>
                </c:pt>
                <c:pt idx="2">
                  <c:v>41458</c:v>
                </c:pt>
                <c:pt idx="3">
                  <c:v>41459</c:v>
                </c:pt>
                <c:pt idx="4">
                  <c:v>41461</c:v>
                </c:pt>
                <c:pt idx="5">
                  <c:v>41462</c:v>
                </c:pt>
                <c:pt idx="6">
                  <c:v>41463</c:v>
                </c:pt>
                <c:pt idx="7">
                  <c:v>41464</c:v>
                </c:pt>
                <c:pt idx="8">
                  <c:v>41465</c:v>
                </c:pt>
              </c:numCache>
            </c:numRef>
          </c:cat>
          <c:val>
            <c:numRef>
              <c:f>'Q4'!$D$8:$L$8</c:f>
              <c:numCache>
                <c:formatCode>0</c:formatCode>
                <c:ptCount val="9"/>
                <c:pt idx="0">
                  <c:v>16</c:v>
                </c:pt>
                <c:pt idx="1">
                  <c:v>11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9</c:v>
                </c:pt>
                <c:pt idx="6">
                  <c:v>10</c:v>
                </c:pt>
                <c:pt idx="7">
                  <c:v>0</c:v>
                </c:pt>
                <c:pt idx="8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DE-41FC-9F21-44FE8A766F51}"/>
            </c:ext>
          </c:extLst>
        </c:ser>
        <c:ser>
          <c:idx val="3"/>
          <c:order val="3"/>
          <c:tx>
            <c:strRef>
              <c:f>'Q4'!$C$9</c:f>
              <c:strCache>
                <c:ptCount val="1"/>
                <c:pt idx="0">
                  <c:v>D1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'Q4'!$D$5:$L$5</c:f>
              <c:numCache>
                <c:formatCode>[$-409]d\-mmm;@</c:formatCode>
                <c:ptCount val="9"/>
                <c:pt idx="0">
                  <c:v>41456</c:v>
                </c:pt>
                <c:pt idx="1">
                  <c:v>41457</c:v>
                </c:pt>
                <c:pt idx="2">
                  <c:v>41458</c:v>
                </c:pt>
                <c:pt idx="3">
                  <c:v>41459</c:v>
                </c:pt>
                <c:pt idx="4">
                  <c:v>41461</c:v>
                </c:pt>
                <c:pt idx="5">
                  <c:v>41462</c:v>
                </c:pt>
                <c:pt idx="6">
                  <c:v>41463</c:v>
                </c:pt>
                <c:pt idx="7">
                  <c:v>41464</c:v>
                </c:pt>
                <c:pt idx="8">
                  <c:v>41465</c:v>
                </c:pt>
              </c:numCache>
            </c:numRef>
          </c:cat>
          <c:val>
            <c:numRef>
              <c:f>'Q4'!$D$9:$L$9</c:f>
              <c:numCache>
                <c:formatCode>0</c:formatCode>
                <c:ptCount val="9"/>
                <c:pt idx="0">
                  <c:v>246</c:v>
                </c:pt>
                <c:pt idx="1">
                  <c:v>100</c:v>
                </c:pt>
                <c:pt idx="2">
                  <c:v>111</c:v>
                </c:pt>
                <c:pt idx="3">
                  <c:v>105</c:v>
                </c:pt>
                <c:pt idx="4">
                  <c:v>109</c:v>
                </c:pt>
                <c:pt idx="5">
                  <c:v>128</c:v>
                </c:pt>
                <c:pt idx="6">
                  <c:v>97</c:v>
                </c:pt>
                <c:pt idx="7">
                  <c:v>119</c:v>
                </c:pt>
                <c:pt idx="8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DE-41FC-9F21-44FE8A766F51}"/>
            </c:ext>
          </c:extLst>
        </c:ser>
        <c:ser>
          <c:idx val="4"/>
          <c:order val="4"/>
          <c:tx>
            <c:strRef>
              <c:f>'Q4'!$C$10</c:f>
              <c:strCache>
                <c:ptCount val="1"/>
                <c:pt idx="0">
                  <c:v>E1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'Q4'!$D$5:$L$5</c:f>
              <c:numCache>
                <c:formatCode>[$-409]d\-mmm;@</c:formatCode>
                <c:ptCount val="9"/>
                <c:pt idx="0">
                  <c:v>41456</c:v>
                </c:pt>
                <c:pt idx="1">
                  <c:v>41457</c:v>
                </c:pt>
                <c:pt idx="2">
                  <c:v>41458</c:v>
                </c:pt>
                <c:pt idx="3">
                  <c:v>41459</c:v>
                </c:pt>
                <c:pt idx="4">
                  <c:v>41461</c:v>
                </c:pt>
                <c:pt idx="5">
                  <c:v>41462</c:v>
                </c:pt>
                <c:pt idx="6">
                  <c:v>41463</c:v>
                </c:pt>
                <c:pt idx="7">
                  <c:v>41464</c:v>
                </c:pt>
                <c:pt idx="8">
                  <c:v>41465</c:v>
                </c:pt>
              </c:numCache>
            </c:numRef>
          </c:cat>
          <c:val>
            <c:numRef>
              <c:f>'Q4'!$D$10:$L$10</c:f>
              <c:numCache>
                <c:formatCode>0</c:formatCode>
                <c:ptCount val="9"/>
                <c:pt idx="0">
                  <c:v>106</c:v>
                </c:pt>
                <c:pt idx="1">
                  <c:v>100</c:v>
                </c:pt>
                <c:pt idx="2">
                  <c:v>69</c:v>
                </c:pt>
                <c:pt idx="3">
                  <c:v>116</c:v>
                </c:pt>
                <c:pt idx="4">
                  <c:v>106</c:v>
                </c:pt>
                <c:pt idx="5">
                  <c:v>133</c:v>
                </c:pt>
                <c:pt idx="6">
                  <c:v>105</c:v>
                </c:pt>
                <c:pt idx="7">
                  <c:v>83</c:v>
                </c:pt>
                <c:pt idx="8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DE-41FC-9F21-44FE8A766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7237248"/>
        <c:axId val="267243968"/>
      </c:lineChart>
      <c:dateAx>
        <c:axId val="267237248"/>
        <c:scaling>
          <c:orientation val="minMax"/>
        </c:scaling>
        <c:delete val="0"/>
        <c:axPos val="b"/>
        <c:numFmt formatCode="[$-409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243968"/>
        <c:crosses val="autoZero"/>
        <c:auto val="1"/>
        <c:lblOffset val="100"/>
        <c:baseTimeUnit val="days"/>
      </c:dateAx>
      <c:valAx>
        <c:axId val="26724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23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76200</xdr:colOff>
      <xdr:row>3</xdr:row>
      <xdr:rowOff>9525</xdr:rowOff>
    </xdr:from>
    <xdr:to>
      <xdr:col>21</xdr:col>
      <xdr:colOff>381000</xdr:colOff>
      <xdr:row>23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1370A1-A169-7267-2CE3-3FEB8143FF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47625</xdr:colOff>
      <xdr:row>15</xdr:row>
      <xdr:rowOff>28575</xdr:rowOff>
    </xdr:from>
    <xdr:to>
      <xdr:col>13</xdr:col>
      <xdr:colOff>495300</xdr:colOff>
      <xdr:row>35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4BCF51-1598-B78C-6054-395FD4C875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53340</xdr:colOff>
      <xdr:row>21</xdr:row>
      <xdr:rowOff>118110</xdr:rowOff>
    </xdr:from>
    <xdr:to>
      <xdr:col>22</xdr:col>
      <xdr:colOff>198120</xdr:colOff>
      <xdr:row>43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14CF83-9A0E-F2BA-E0D2-07D8E3B10D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autoPageBreaks="0"/>
  </sheetPr>
  <dimension ref="A1:M55"/>
  <sheetViews>
    <sheetView showGridLines="0" zoomScale="110" zoomScaleNormal="110" workbookViewId="0">
      <selection activeCell="I15" sqref="I15"/>
    </sheetView>
  </sheetViews>
  <sheetFormatPr defaultColWidth="9.21875" defaultRowHeight="10.199999999999999" x14ac:dyDescent="0.2"/>
  <cols>
    <col min="1" max="1" width="9.21875" style="3"/>
    <col min="2" max="2" width="1.77734375" style="3" bestFit="1" customWidth="1"/>
    <col min="3" max="3" width="9.5546875" style="3" customWidth="1"/>
    <col min="4" max="4" width="15.44140625" style="3" bestFit="1" customWidth="1"/>
    <col min="5" max="5" width="11.5546875" style="3" customWidth="1"/>
    <col min="6" max="6" width="15.44140625" style="3" bestFit="1" customWidth="1"/>
    <col min="7" max="7" width="7.5546875" style="3" bestFit="1" customWidth="1"/>
    <col min="8" max="8" width="10.44140625" style="3" customWidth="1"/>
    <col min="9" max="14" width="9.21875" style="3"/>
    <col min="15" max="15" width="4.77734375" style="3" bestFit="1" customWidth="1"/>
    <col min="16" max="16384" width="9.21875" style="3"/>
  </cols>
  <sheetData>
    <row r="1" spans="1:13" x14ac:dyDescent="0.2">
      <c r="A1" s="5"/>
    </row>
    <row r="2" spans="1:13" x14ac:dyDescent="0.2">
      <c r="B2" s="19">
        <v>1</v>
      </c>
      <c r="C2" s="3" t="s">
        <v>78</v>
      </c>
    </row>
    <row r="4" spans="1:13" x14ac:dyDescent="0.2">
      <c r="D4" s="22" t="s">
        <v>69</v>
      </c>
      <c r="E4" s="3" t="s">
        <v>71</v>
      </c>
    </row>
    <row r="5" spans="1:13" x14ac:dyDescent="0.2">
      <c r="D5" s="22" t="s">
        <v>70</v>
      </c>
      <c r="E5" s="3" t="s">
        <v>72</v>
      </c>
    </row>
    <row r="6" spans="1:13" x14ac:dyDescent="0.2">
      <c r="D6" s="22" t="s">
        <v>75</v>
      </c>
      <c r="E6" s="3" t="s">
        <v>76</v>
      </c>
    </row>
    <row r="7" spans="1:13" x14ac:dyDescent="0.2">
      <c r="D7" s="22" t="s">
        <v>32</v>
      </c>
      <c r="E7" s="3" t="s">
        <v>26</v>
      </c>
      <c r="F7" s="6">
        <v>0.3125</v>
      </c>
    </row>
    <row r="8" spans="1:13" x14ac:dyDescent="0.2">
      <c r="D8" s="22" t="s">
        <v>27</v>
      </c>
      <c r="E8" s="3" t="s">
        <v>29</v>
      </c>
      <c r="F8" s="3" t="s">
        <v>30</v>
      </c>
      <c r="G8" s="3" t="s">
        <v>28</v>
      </c>
      <c r="H8" s="3" t="s">
        <v>31</v>
      </c>
    </row>
    <row r="9" spans="1:13" x14ac:dyDescent="0.2">
      <c r="D9" s="22"/>
    </row>
    <row r="10" spans="1:13" x14ac:dyDescent="0.2">
      <c r="D10" s="16" t="s">
        <v>15</v>
      </c>
      <c r="E10" s="3" t="s">
        <v>31</v>
      </c>
      <c r="I10" s="23">
        <f>6/24</f>
        <v>0.25</v>
      </c>
      <c r="J10" s="23">
        <f>8/24</f>
        <v>0.33333333333333331</v>
      </c>
      <c r="K10" s="6"/>
    </row>
    <row r="11" spans="1:13" x14ac:dyDescent="0.2">
      <c r="D11" s="5" t="s">
        <v>16</v>
      </c>
      <c r="E11" s="3" t="s">
        <v>77</v>
      </c>
      <c r="K11" s="6"/>
      <c r="M11" s="6"/>
    </row>
    <row r="12" spans="1:13" x14ac:dyDescent="0.2">
      <c r="D12" s="17" t="s">
        <v>17</v>
      </c>
      <c r="E12" s="3" t="s">
        <v>29</v>
      </c>
      <c r="K12" s="6"/>
    </row>
    <row r="13" spans="1:13" ht="10.8" thickBot="1" x14ac:dyDescent="0.25">
      <c r="K13" s="6"/>
      <c r="L13" s="6"/>
    </row>
    <row r="14" spans="1:13" ht="10.8" thickBot="1" x14ac:dyDescent="0.25">
      <c r="C14" s="18" t="s">
        <v>25</v>
      </c>
      <c r="D14" s="26" t="s">
        <v>69</v>
      </c>
      <c r="E14" s="27" t="s">
        <v>70</v>
      </c>
      <c r="F14" s="26" t="s">
        <v>75</v>
      </c>
      <c r="G14" s="27" t="s">
        <v>27</v>
      </c>
    </row>
    <row r="15" spans="1:13" x14ac:dyDescent="0.2">
      <c r="C15" s="24">
        <v>41456</v>
      </c>
      <c r="D15" s="40" t="str">
        <f>TEXT(C15,"dddd")</f>
        <v>Monday</v>
      </c>
      <c r="E15" s="29">
        <f>WEEKNUM(C15,1)</f>
        <v>27</v>
      </c>
      <c r="F15" s="23">
        <f>(TEXT(INDEX(Database!$K$2:$K$190,MATCH(TEXT('Q1'!$C15,"mmm"),Database!$M$2:$M$190,0)),"00\:00")/E15)</f>
        <v>0.46126543209876547</v>
      </c>
      <c r="G15" s="29"/>
      <c r="H15" s="30"/>
      <c r="I15" s="49">
        <f>SUMIF(Database!$A$2:$A$190,'Q1'!C15,Database!$P$2:$P$190)/COUNTIF(Database!$A$2:$A$190,'Q1'!C15)</f>
        <v>24171.4</v>
      </c>
      <c r="K15" s="3">
        <f>AVERAGEIFS(Database!R2:R190,Database!$A$2:$A$190,'Q1'!C15)</f>
        <v>6.7142777777777782</v>
      </c>
    </row>
    <row r="16" spans="1:13" x14ac:dyDescent="0.2">
      <c r="C16" s="25">
        <v>41457</v>
      </c>
      <c r="D16" s="40" t="str">
        <f t="shared" ref="D16:D55" si="0">TEXT(C16,"dddd")</f>
        <v>Tuesday</v>
      </c>
      <c r="E16" s="29">
        <f t="shared" ref="E16:E55" si="1">WEEKNUM(C16,1)</f>
        <v>27</v>
      </c>
      <c r="F16" s="23">
        <f>(TEXT(INDEX(Database!$K$2:$K$190,MATCH(TEXT('Q1'!$C16,"mmm"),Database!$M$2:$M$190,0)),"00\:00")/E16)</f>
        <v>0.46126543209876542</v>
      </c>
      <c r="G16" s="29"/>
      <c r="H16" s="30"/>
      <c r="I16" s="49">
        <f>SUMIF(Database!$A$2:$A$190,'Q1'!C16,Database!$P$2:$P$190)/COUNTIF(Database!$A$2:$A$190,'Q1'!C16)</f>
        <v>23222.6</v>
      </c>
    </row>
    <row r="17" spans="3:11" x14ac:dyDescent="0.2">
      <c r="C17" s="25">
        <v>41458</v>
      </c>
      <c r="D17" s="40" t="str">
        <f t="shared" si="0"/>
        <v>Wednesday</v>
      </c>
      <c r="E17" s="29">
        <f t="shared" si="1"/>
        <v>27</v>
      </c>
      <c r="F17" s="23">
        <f>(TEXT(INDEX(Database!$K$2:$K$190,MATCH(TEXT('Q1'!$C17,"mmm"),Database!$M$2:$M$190,0)),"00\:00")/E17)</f>
        <v>0.46126543209876542</v>
      </c>
      <c r="G17" s="29"/>
      <c r="H17" s="30"/>
      <c r="I17" s="49">
        <f>SUMIF(Database!$A$2:$A$190,'Q1'!C17,Database!$P$2:$P$190)/COUNTIF(Database!$A$2:$A$190,'Q1'!C17)</f>
        <v>27678.5</v>
      </c>
    </row>
    <row r="18" spans="3:11" x14ac:dyDescent="0.2">
      <c r="C18" s="25">
        <v>41459</v>
      </c>
      <c r="D18" s="40" t="str">
        <f t="shared" si="0"/>
        <v>Thursday</v>
      </c>
      <c r="E18" s="29">
        <f t="shared" si="1"/>
        <v>27</v>
      </c>
      <c r="F18" s="23">
        <f>(TEXT(INDEX(Database!$K$2:$K$190,MATCH(TEXT('Q1'!$C18,"mmm"),Database!$M$2:$M$190,0)),"00\:00")/E18)</f>
        <v>0.46126543209876542</v>
      </c>
      <c r="G18" s="29"/>
      <c r="H18" s="30"/>
      <c r="I18" s="49">
        <f>SUMIF(Database!$A$2:$A$190,'Q1'!C18,Database!$P$2:$P$190)/COUNTIF(Database!$A$2:$A$190,'Q1'!C18)</f>
        <v>30309</v>
      </c>
    </row>
    <row r="19" spans="3:11" x14ac:dyDescent="0.2">
      <c r="C19" s="25">
        <v>41461</v>
      </c>
      <c r="D19" s="40" t="str">
        <f t="shared" si="0"/>
        <v>Saturday</v>
      </c>
      <c r="E19" s="29">
        <f t="shared" si="1"/>
        <v>27</v>
      </c>
      <c r="F19" s="23">
        <f>(TEXT(INDEX(Database!$K$2:$K$190,MATCH(TEXT('Q1'!$C19,"mmm"),Database!$M$2:$M$190,0)),"00\:00")/E19)</f>
        <v>0.46126543209876542</v>
      </c>
      <c r="G19" s="29"/>
      <c r="H19" s="30"/>
      <c r="I19" s="49">
        <f>SUMIF(Database!$A$2:$A$190,'Q1'!C19,Database!$P$2:$P$190)/COUNTIF(Database!$A$2:$A$190,'Q1'!C19)</f>
        <v>23698</v>
      </c>
    </row>
    <row r="20" spans="3:11" x14ac:dyDescent="0.2">
      <c r="C20" s="25">
        <v>41462</v>
      </c>
      <c r="D20" s="40" t="str">
        <f t="shared" si="0"/>
        <v>Sunday</v>
      </c>
      <c r="E20" s="29">
        <f t="shared" si="1"/>
        <v>28</v>
      </c>
      <c r="F20" s="23">
        <f>(TEXT(INDEX(Database!$K$2:$K$190,MATCH(TEXT('Q1'!$C20,"mmm"),Database!$M$2:$M$190,0)),"00\:00")/E20)</f>
        <v>0.44479166666666664</v>
      </c>
      <c r="G20" s="29"/>
      <c r="H20" s="30"/>
      <c r="I20" s="49">
        <f>SUMIF(Database!$A$2:$A$190,'Q1'!C20,Database!$P$2:$P$190)/COUNTIF(Database!$A$2:$A$190,'Q1'!C20)</f>
        <v>21702</v>
      </c>
    </row>
    <row r="21" spans="3:11" x14ac:dyDescent="0.2">
      <c r="C21" s="25">
        <v>41463</v>
      </c>
      <c r="D21" s="40" t="str">
        <f t="shared" si="0"/>
        <v>Monday</v>
      </c>
      <c r="E21" s="29">
        <f t="shared" si="1"/>
        <v>28</v>
      </c>
      <c r="F21" s="23">
        <f>(TEXT(INDEX(Database!$K$2:$K$190,MATCH(TEXT('Q1'!$C21,"mmm"),Database!$M$2:$M$190,0)),"00\:00")/E21)</f>
        <v>0.44479166666666664</v>
      </c>
      <c r="G21" s="29"/>
      <c r="H21" s="30"/>
      <c r="I21" s="49">
        <f>SUMIF(Database!$A$2:$A$190,'Q1'!C21,Database!$P$2:$P$190)/COUNTIF(Database!$A$2:$A$190,'Q1'!C21)</f>
        <v>24741.200000000001</v>
      </c>
    </row>
    <row r="22" spans="3:11" x14ac:dyDescent="0.2">
      <c r="C22" s="25">
        <v>41464</v>
      </c>
      <c r="D22" s="40" t="str">
        <f t="shared" si="0"/>
        <v>Tuesday</v>
      </c>
      <c r="E22" s="29">
        <f t="shared" si="1"/>
        <v>28</v>
      </c>
      <c r="F22" s="23">
        <f>(TEXT(INDEX(Database!$K$2:$K$190,MATCH(TEXT('Q1'!$C22,"mmm"),Database!$M$2:$M$190,0)),"00\:00")/E22)</f>
        <v>0.44479166666666664</v>
      </c>
      <c r="G22" s="29"/>
      <c r="H22" s="30"/>
      <c r="I22" s="49">
        <f>SUMIF(Database!$A$2:$A$190,'Q1'!C22,Database!$P$2:$P$190)/COUNTIF(Database!$A$2:$A$190,'Q1'!C22)</f>
        <v>27079.75</v>
      </c>
    </row>
    <row r="23" spans="3:11" x14ac:dyDescent="0.2">
      <c r="C23" s="25">
        <v>41465</v>
      </c>
      <c r="D23" s="40" t="str">
        <f t="shared" si="0"/>
        <v>Wednesday</v>
      </c>
      <c r="E23" s="29">
        <f t="shared" si="1"/>
        <v>28</v>
      </c>
      <c r="F23" s="23">
        <f>(TEXT(INDEX(Database!$K$2:$K$190,MATCH(TEXT('Q1'!$C23,"mmm"),Database!$M$2:$M$190,0)),"00\:00")/E23)</f>
        <v>0.44479166666666664</v>
      </c>
      <c r="G23" s="29"/>
      <c r="H23" s="30"/>
      <c r="I23" s="49">
        <f>SUMIF(Database!$A$2:$A$190,'Q1'!C23,Database!$P$2:$P$190)/COUNTIF(Database!$A$2:$A$190,'Q1'!C23)</f>
        <v>24818.400000000001</v>
      </c>
    </row>
    <row r="24" spans="3:11" x14ac:dyDescent="0.2">
      <c r="C24" s="25">
        <v>41466</v>
      </c>
      <c r="D24" s="40" t="str">
        <f t="shared" si="0"/>
        <v>Thursday</v>
      </c>
      <c r="E24" s="29">
        <f t="shared" si="1"/>
        <v>28</v>
      </c>
      <c r="F24" s="23">
        <f>(TEXT(INDEX(Database!$K$2:$K$190,MATCH(TEXT('Q1'!$C24,"mmm"),Database!$M$2:$M$190,0)),"00\:00")/E24)</f>
        <v>0.44479166666666664</v>
      </c>
      <c r="G24" s="29"/>
      <c r="H24" s="30"/>
      <c r="I24" s="49">
        <f>SUMIF(Database!$A$2:$A$190,'Q1'!C24,Database!$P$2:$P$190)/COUNTIF(Database!$A$2:$A$190,'Q1'!C24)</f>
        <v>22776.25</v>
      </c>
    </row>
    <row r="25" spans="3:11" x14ac:dyDescent="0.2">
      <c r="C25" s="25">
        <v>41468</v>
      </c>
      <c r="D25" s="40" t="str">
        <f t="shared" si="0"/>
        <v>Saturday</v>
      </c>
      <c r="E25" s="29">
        <f t="shared" si="1"/>
        <v>28</v>
      </c>
      <c r="F25" s="23">
        <f>(TEXT(INDEX(Database!$K$2:$K$190,MATCH(TEXT('Q1'!$C25,"mmm"),Database!$M$2:$M$190,0)),"00\:00")/E25)</f>
        <v>0.44479166666666664</v>
      </c>
      <c r="G25" s="29"/>
      <c r="H25" s="30"/>
      <c r="I25" s="49">
        <f>SUMIF(Database!$A$2:$A$190,'Q1'!C25,Database!$P$2:$P$190)/COUNTIF(Database!$A$2:$A$190,'Q1'!C25)</f>
        <v>25290.6</v>
      </c>
    </row>
    <row r="26" spans="3:11" x14ac:dyDescent="0.2">
      <c r="C26" s="25">
        <v>41469</v>
      </c>
      <c r="D26" s="40" t="str">
        <f t="shared" si="0"/>
        <v>Sunday</v>
      </c>
      <c r="E26" s="29">
        <f t="shared" si="1"/>
        <v>29</v>
      </c>
      <c r="F26" s="23">
        <f>(TEXT(INDEX(Database!$K$2:$K$190,MATCH(TEXT('Q1'!$C26,"mmm"),Database!$M$2:$M$190,0)),"00\:00")/E26)</f>
        <v>0.42945402298850571</v>
      </c>
      <c r="G26" s="29"/>
      <c r="H26" s="30"/>
      <c r="I26" s="49">
        <f>SUMIF(Database!$A$2:$A$190,'Q1'!C26,Database!$P$2:$P$190)/COUNTIF(Database!$A$2:$A$190,'Q1'!C26)</f>
        <v>24982.799999999999</v>
      </c>
    </row>
    <row r="27" spans="3:11" x14ac:dyDescent="0.2">
      <c r="C27" s="25">
        <v>41470</v>
      </c>
      <c r="D27" s="40" t="str">
        <f t="shared" si="0"/>
        <v>Monday</v>
      </c>
      <c r="E27" s="29">
        <f t="shared" si="1"/>
        <v>29</v>
      </c>
      <c r="F27" s="23">
        <f>(TEXT(INDEX(Database!$K$2:$K$190,MATCH(TEXT('Q1'!$C27,"mmm"),Database!$M$2:$M$190,0)),"00\:00")/E27)</f>
        <v>0.42945402298850571</v>
      </c>
      <c r="G27" s="29"/>
      <c r="H27" s="30"/>
      <c r="I27" s="49">
        <f>SUMIF(Database!$A$2:$A$190,'Q1'!C27,Database!$P$2:$P$190)/COUNTIF(Database!$A$2:$A$190,'Q1'!C27)</f>
        <v>23834</v>
      </c>
      <c r="K27" s="47"/>
    </row>
    <row r="28" spans="3:11" x14ac:dyDescent="0.2">
      <c r="C28" s="25">
        <v>41471</v>
      </c>
      <c r="D28" s="40" t="str">
        <f t="shared" si="0"/>
        <v>Tuesday</v>
      </c>
      <c r="E28" s="29">
        <f t="shared" si="1"/>
        <v>29</v>
      </c>
      <c r="F28" s="23">
        <f>(TEXT(INDEX(Database!$K$2:$K$190,MATCH(TEXT('Q1'!$C28,"mmm"),Database!$M$2:$M$190,0)),"00\:00")/E28)</f>
        <v>0.42945402298850571</v>
      </c>
      <c r="G28" s="29"/>
      <c r="H28" s="30"/>
      <c r="I28" s="49">
        <f>SUMIF(Database!$A$2:$A$190,'Q1'!C28,Database!$P$2:$P$190)/COUNTIF(Database!$A$2:$A$190,'Q1'!C28)</f>
        <v>32511.25</v>
      </c>
    </row>
    <row r="29" spans="3:11" x14ac:dyDescent="0.2">
      <c r="C29" s="25">
        <v>41472</v>
      </c>
      <c r="D29" s="40" t="str">
        <f t="shared" si="0"/>
        <v>Wednesday</v>
      </c>
      <c r="E29" s="29">
        <f t="shared" si="1"/>
        <v>29</v>
      </c>
      <c r="F29" s="23">
        <f>(TEXT(INDEX(Database!$K$2:$K$190,MATCH(TEXT('Q1'!$C29,"mmm"),Database!$M$2:$M$190,0)),"00\:00")/E29)</f>
        <v>0.42945402298850571</v>
      </c>
      <c r="G29" s="29"/>
      <c r="H29" s="30"/>
      <c r="I29" s="49">
        <f>SUMIF(Database!$A$2:$A$190,'Q1'!C29,Database!$P$2:$P$190)/COUNTIF(Database!$A$2:$A$190,'Q1'!C29)</f>
        <v>24978.799999999999</v>
      </c>
    </row>
    <row r="30" spans="3:11" x14ac:dyDescent="0.2">
      <c r="C30" s="25">
        <v>41473</v>
      </c>
      <c r="D30" s="40" t="str">
        <f t="shared" si="0"/>
        <v>Thursday</v>
      </c>
      <c r="E30" s="29">
        <f t="shared" si="1"/>
        <v>29</v>
      </c>
      <c r="F30" s="23">
        <f>(TEXT(INDEX(Database!$K$2:$K$190,MATCH(TEXT('Q1'!$C30,"mmm"),Database!$M$2:$M$190,0)),"00\:00")/E30)</f>
        <v>0.42945402298850571</v>
      </c>
      <c r="G30" s="29"/>
      <c r="H30" s="30"/>
      <c r="I30" s="49">
        <f>SUMIF(Database!$A$2:$A$190,'Q1'!C30,Database!$P$2:$P$190)/COUNTIF(Database!$A$2:$A$190,'Q1'!C30)</f>
        <v>30675.25</v>
      </c>
    </row>
    <row r="31" spans="3:11" x14ac:dyDescent="0.2">
      <c r="C31" s="25">
        <v>41475</v>
      </c>
      <c r="D31" s="40" t="str">
        <f t="shared" si="0"/>
        <v>Saturday</v>
      </c>
      <c r="E31" s="29">
        <f t="shared" si="1"/>
        <v>29</v>
      </c>
      <c r="F31" s="23">
        <f>(TEXT(INDEX(Database!$K$2:$K$190,MATCH(TEXT('Q1'!$C31,"mmm"),Database!$M$2:$M$190,0)),"00\:00")/E31)</f>
        <v>0.42945402298850571</v>
      </c>
      <c r="G31" s="29"/>
      <c r="H31" s="30"/>
      <c r="I31" s="49">
        <f>SUMIF(Database!$A$2:$A$190,'Q1'!C31,Database!$P$2:$P$190)/COUNTIF(Database!$A$2:$A$190,'Q1'!C31)</f>
        <v>27290.75</v>
      </c>
    </row>
    <row r="32" spans="3:11" x14ac:dyDescent="0.2">
      <c r="C32" s="25">
        <v>41476</v>
      </c>
      <c r="D32" s="40" t="str">
        <f t="shared" si="0"/>
        <v>Sunday</v>
      </c>
      <c r="E32" s="29">
        <f t="shared" si="1"/>
        <v>30</v>
      </c>
      <c r="F32" s="23">
        <f>(TEXT(INDEX(Database!$K$2:$K$190,MATCH(TEXT('Q1'!$C32,"mmm"),Database!$M$2:$M$190,0)),"00\:00")/E32)</f>
        <v>0.41513888888888884</v>
      </c>
      <c r="G32" s="29"/>
      <c r="H32" s="30"/>
      <c r="I32" s="49">
        <f>SUMIF(Database!$A$2:$A$190,'Q1'!C32,Database!$P$2:$P$190)/COUNTIF(Database!$A$2:$A$190,'Q1'!C32)</f>
        <v>25309.8</v>
      </c>
    </row>
    <row r="33" spans="3:9" x14ac:dyDescent="0.2">
      <c r="C33" s="25">
        <v>41477</v>
      </c>
      <c r="D33" s="40" t="str">
        <f t="shared" si="0"/>
        <v>Monday</v>
      </c>
      <c r="E33" s="29">
        <f t="shared" si="1"/>
        <v>30</v>
      </c>
      <c r="F33" s="23">
        <f>(TEXT(INDEX(Database!$K$2:$K$190,MATCH(TEXT('Q1'!$C33,"mmm"),Database!$M$2:$M$190,0)),"00\:00")/E33)</f>
        <v>0.41513888888888884</v>
      </c>
      <c r="G33" s="29"/>
      <c r="H33" s="30"/>
      <c r="I33" s="49">
        <f>SUMIF(Database!$A$2:$A$190,'Q1'!C33,Database!$P$2:$P$190)/COUNTIF(Database!$A$2:$A$190,'Q1'!C33)</f>
        <v>31770.25</v>
      </c>
    </row>
    <row r="34" spans="3:9" x14ac:dyDescent="0.2">
      <c r="C34" s="25">
        <v>41478</v>
      </c>
      <c r="D34" s="40" t="str">
        <f t="shared" si="0"/>
        <v>Tuesday</v>
      </c>
      <c r="E34" s="29">
        <f t="shared" si="1"/>
        <v>30</v>
      </c>
      <c r="F34" s="23">
        <f>(TEXT(INDEX(Database!$K$2:$K$190,MATCH(TEXT('Q1'!$C34,"mmm"),Database!$M$2:$M$190,0)),"00\:00")/E34)</f>
        <v>0.41513888888888884</v>
      </c>
      <c r="G34" s="29"/>
      <c r="H34" s="30"/>
      <c r="I34" s="49">
        <f>SUMIF(Database!$A$2:$A$190,'Q1'!C34,Database!$P$2:$P$190)/COUNTIF(Database!$A$2:$A$190,'Q1'!C34)</f>
        <v>26034.799999999999</v>
      </c>
    </row>
    <row r="35" spans="3:9" x14ac:dyDescent="0.2">
      <c r="C35" s="25">
        <v>41479</v>
      </c>
      <c r="D35" s="40" t="str">
        <f t="shared" si="0"/>
        <v>Wednesday</v>
      </c>
      <c r="E35" s="29">
        <f t="shared" si="1"/>
        <v>30</v>
      </c>
      <c r="F35" s="23">
        <f>(TEXT(INDEX(Database!$K$2:$K$190,MATCH(TEXT('Q1'!$C35,"mmm"),Database!$M$2:$M$190,0)),"00\:00")/E35)</f>
        <v>0.41513888888888884</v>
      </c>
      <c r="G35" s="29"/>
      <c r="H35" s="30"/>
      <c r="I35" s="49">
        <f>SUMIF(Database!$A$2:$A$190,'Q1'!C35,Database!$P$2:$P$190)/COUNTIF(Database!$A$2:$A$190,'Q1'!C35)</f>
        <v>31092.25</v>
      </c>
    </row>
    <row r="36" spans="3:9" x14ac:dyDescent="0.2">
      <c r="C36" s="25">
        <v>41480</v>
      </c>
      <c r="D36" s="40" t="str">
        <f t="shared" si="0"/>
        <v>Thursday</v>
      </c>
      <c r="E36" s="29">
        <f t="shared" si="1"/>
        <v>30</v>
      </c>
      <c r="F36" s="23">
        <f>(TEXT(INDEX(Database!$K$2:$K$190,MATCH(TEXT('Q1'!$C36,"mmm"),Database!$M$2:$M$190,0)),"00\:00")/E36)</f>
        <v>0.41513888888888884</v>
      </c>
      <c r="G36" s="29"/>
      <c r="H36" s="30"/>
      <c r="I36" s="49">
        <f>SUMIF(Database!$A$2:$A$190,'Q1'!C36,Database!$P$2:$P$190)/COUNTIF(Database!$A$2:$A$190,'Q1'!C36)</f>
        <v>25214.799999999999</v>
      </c>
    </row>
    <row r="37" spans="3:9" x14ac:dyDescent="0.2">
      <c r="C37" s="25">
        <v>41482</v>
      </c>
      <c r="D37" s="40" t="str">
        <f t="shared" si="0"/>
        <v>Saturday</v>
      </c>
      <c r="E37" s="29">
        <f t="shared" si="1"/>
        <v>30</v>
      </c>
      <c r="F37" s="23">
        <f>(TEXT(INDEX(Database!$K$2:$K$190,MATCH(TEXT('Q1'!$C37,"mmm"),Database!$M$2:$M$190,0)),"00\:00")/E37)</f>
        <v>0.41513888888888884</v>
      </c>
      <c r="G37" s="29"/>
      <c r="H37" s="30"/>
      <c r="I37" s="49">
        <f>SUMIF(Database!$A$2:$A$190,'Q1'!C37,Database!$P$2:$P$190)/COUNTIF(Database!$A$2:$A$190,'Q1'!C37)</f>
        <v>26786.400000000001</v>
      </c>
    </row>
    <row r="38" spans="3:9" x14ac:dyDescent="0.2">
      <c r="C38" s="25">
        <v>41483</v>
      </c>
      <c r="D38" s="40" t="str">
        <f t="shared" si="0"/>
        <v>Sunday</v>
      </c>
      <c r="E38" s="29">
        <f t="shared" si="1"/>
        <v>31</v>
      </c>
      <c r="F38" s="23">
        <f>(TEXT(INDEX(Database!$K$2:$K$190,MATCH(TEXT('Q1'!$C38,"mmm"),Database!$M$2:$M$190,0)),"00\:00")/E38)</f>
        <v>0.40174731182795698</v>
      </c>
      <c r="G38" s="29"/>
      <c r="H38" s="30"/>
      <c r="I38" s="49">
        <f>SUMIF(Database!$A$2:$A$190,'Q1'!C38,Database!$P$2:$P$190)/COUNTIF(Database!$A$2:$A$190,'Q1'!C38)</f>
        <v>26704.6</v>
      </c>
    </row>
    <row r="39" spans="3:9" x14ac:dyDescent="0.2">
      <c r="C39" s="25">
        <v>41484</v>
      </c>
      <c r="D39" s="40" t="str">
        <f t="shared" si="0"/>
        <v>Monday</v>
      </c>
      <c r="E39" s="29">
        <f t="shared" si="1"/>
        <v>31</v>
      </c>
      <c r="F39" s="23">
        <f>(TEXT(INDEX(Database!$K$2:$K$190,MATCH(TEXT('Q1'!$C39,"mmm"),Database!$M$2:$M$190,0)),"00\:00")/E39)</f>
        <v>0.40174731182795698</v>
      </c>
      <c r="G39" s="29"/>
      <c r="H39" s="30"/>
      <c r="I39" s="49">
        <f>SUMIF(Database!$A$2:$A$190,'Q1'!C39,Database!$P$2:$P$190)/COUNTIF(Database!$A$2:$A$190,'Q1'!C39)</f>
        <v>28462</v>
      </c>
    </row>
    <row r="40" spans="3:9" x14ac:dyDescent="0.2">
      <c r="C40" s="25">
        <v>41485</v>
      </c>
      <c r="D40" s="40" t="str">
        <f t="shared" si="0"/>
        <v>Tuesday</v>
      </c>
      <c r="E40" s="29">
        <f t="shared" si="1"/>
        <v>31</v>
      </c>
      <c r="F40" s="23">
        <f>(TEXT(INDEX(Database!$K$2:$K$190,MATCH(TEXT('Q1'!$C40,"mmm"),Database!$M$2:$M$190,0)),"00\:00")/E40)</f>
        <v>0.40174731182795698</v>
      </c>
      <c r="G40" s="29"/>
      <c r="H40" s="30"/>
      <c r="I40" s="49">
        <f>SUMIF(Database!$A$2:$A$190,'Q1'!C40,Database!$P$2:$P$190)/COUNTIF(Database!$A$2:$A$190,'Q1'!C40)</f>
        <v>24020.6</v>
      </c>
    </row>
    <row r="41" spans="3:9" x14ac:dyDescent="0.2">
      <c r="C41" s="25">
        <v>41486</v>
      </c>
      <c r="D41" s="40" t="str">
        <f t="shared" si="0"/>
        <v>Wednesday</v>
      </c>
      <c r="E41" s="29">
        <f t="shared" si="1"/>
        <v>31</v>
      </c>
      <c r="F41" s="23">
        <f>(TEXT(INDEX(Database!$K$2:$K$190,MATCH(TEXT('Q1'!$C41,"mmm"),Database!$M$2:$M$190,0)),"00\:00")/E41)</f>
        <v>0.40174731182795698</v>
      </c>
      <c r="G41" s="29"/>
      <c r="H41" s="30"/>
      <c r="I41" s="49">
        <f>SUMIF(Database!$A$2:$A$190,'Q1'!C41,Database!$P$2:$P$190)/COUNTIF(Database!$A$2:$A$190,'Q1'!C41)</f>
        <v>25653.200000000001</v>
      </c>
    </row>
    <row r="42" spans="3:9" x14ac:dyDescent="0.2">
      <c r="C42" s="25">
        <v>41497</v>
      </c>
      <c r="D42" s="40" t="str">
        <f t="shared" si="0"/>
        <v>Sunday</v>
      </c>
      <c r="E42" s="29">
        <f t="shared" si="1"/>
        <v>33</v>
      </c>
      <c r="F42" s="23" t="e">
        <f>(TEXT(INDEX(Database!$K$2:$K$190,MATCH(TEXT('Q1'!$C42,"mmm"),Database!$M$2:$M$190,0)),"00\:00")/E42)</f>
        <v>#VALUE!</v>
      </c>
      <c r="G42" s="29"/>
      <c r="H42" s="30"/>
      <c r="I42" s="49">
        <f>SUMIF(Database!$A$2:$A$190,'Q1'!C42,Database!$P$2:$P$190)/COUNTIF(Database!$A$2:$A$190,'Q1'!C42)</f>
        <v>22776.25</v>
      </c>
    </row>
    <row r="43" spans="3:9" x14ac:dyDescent="0.2">
      <c r="C43" s="25">
        <v>41499</v>
      </c>
      <c r="D43" s="40" t="str">
        <f t="shared" si="0"/>
        <v>Tuesday</v>
      </c>
      <c r="E43" s="29">
        <f t="shared" si="1"/>
        <v>33</v>
      </c>
      <c r="F43" s="23" t="e">
        <f>(TEXT(INDEX(Database!$K$2:$K$190,MATCH(TEXT('Q1'!$C43,"mmm"),Database!$M$2:$M$190,0)),"00\:00")/E43)</f>
        <v>#VALUE!</v>
      </c>
      <c r="G43" s="29"/>
      <c r="H43" s="30"/>
      <c r="I43" s="49">
        <f>SUMIF(Database!$A$2:$A$190,'Q1'!C43,Database!$P$2:$P$190)/COUNTIF(Database!$A$2:$A$190,'Q1'!C43)</f>
        <v>25290.6</v>
      </c>
    </row>
    <row r="44" spans="3:9" x14ac:dyDescent="0.2">
      <c r="C44" s="25">
        <v>41500</v>
      </c>
      <c r="D44" s="40" t="str">
        <f t="shared" si="0"/>
        <v>Wednesday</v>
      </c>
      <c r="E44" s="29">
        <f t="shared" si="1"/>
        <v>33</v>
      </c>
      <c r="F44" s="23" t="e">
        <f>(TEXT(INDEX(Database!$K$2:$K$190,MATCH(TEXT('Q1'!$C44,"mmm"),Database!$M$2:$M$190,0)),"00\:00")/E44)</f>
        <v>#VALUE!</v>
      </c>
      <c r="G44" s="29"/>
      <c r="H44" s="30"/>
      <c r="I44" s="49">
        <f>SUMIF(Database!$A$2:$A$190,'Q1'!C44,Database!$P$2:$P$190)/COUNTIF(Database!$A$2:$A$190,'Q1'!C44)</f>
        <v>24982.799999999999</v>
      </c>
    </row>
    <row r="45" spans="3:9" x14ac:dyDescent="0.2">
      <c r="C45" s="25">
        <v>41501</v>
      </c>
      <c r="D45" s="40" t="str">
        <f t="shared" si="0"/>
        <v>Thursday</v>
      </c>
      <c r="E45" s="29">
        <f t="shared" si="1"/>
        <v>33</v>
      </c>
      <c r="F45" s="23" t="e">
        <f>(TEXT(INDEX(Database!$K$2:$K$190,MATCH(TEXT('Q1'!$C45,"mmm"),Database!$M$2:$M$190,0)),"00\:00")/E45)</f>
        <v>#VALUE!</v>
      </c>
      <c r="G45" s="29"/>
      <c r="H45" s="30"/>
      <c r="I45" s="49">
        <f>SUMIF(Database!$A$2:$A$190,'Q1'!C45,Database!$P$2:$P$190)/COUNTIF(Database!$A$2:$A$190,'Q1'!C45)</f>
        <v>23834</v>
      </c>
    </row>
    <row r="46" spans="3:9" x14ac:dyDescent="0.2">
      <c r="C46" s="25">
        <v>41502</v>
      </c>
      <c r="D46" s="40" t="str">
        <f t="shared" si="0"/>
        <v>Friday</v>
      </c>
      <c r="E46" s="29">
        <f t="shared" si="1"/>
        <v>33</v>
      </c>
      <c r="F46" s="23" t="e">
        <f>(TEXT(INDEX(Database!$K$2:$K$190,MATCH(TEXT('Q1'!$C46,"mmm"),Database!$M$2:$M$190,0)),"00\:00")/E46)</f>
        <v>#VALUE!</v>
      </c>
      <c r="G46" s="29"/>
      <c r="H46" s="30"/>
      <c r="I46" s="49">
        <f>SUMIF(Database!$A$2:$A$190,'Q1'!C46,Database!$P$2:$P$190)/COUNTIF(Database!$A$2:$A$190,'Q1'!C46)</f>
        <v>32511.25</v>
      </c>
    </row>
    <row r="47" spans="3:9" x14ac:dyDescent="0.2">
      <c r="C47" s="25">
        <v>41503</v>
      </c>
      <c r="D47" s="40" t="str">
        <f t="shared" si="0"/>
        <v>Saturday</v>
      </c>
      <c r="E47" s="29">
        <f t="shared" si="1"/>
        <v>33</v>
      </c>
      <c r="F47" s="23" t="e">
        <f>(TEXT(INDEX(Database!$K$2:$K$190,MATCH(TEXT('Q1'!$C47,"mmm"),Database!$M$2:$M$190,0)),"00\:00")/E47)</f>
        <v>#VALUE!</v>
      </c>
      <c r="G47" s="29"/>
      <c r="H47" s="30"/>
      <c r="I47" s="49">
        <f>SUMIF(Database!$A$2:$A$190,'Q1'!C47,Database!$P$2:$P$190)/COUNTIF(Database!$A$2:$A$190,'Q1'!C47)</f>
        <v>24978.799999999999</v>
      </c>
    </row>
    <row r="48" spans="3:9" x14ac:dyDescent="0.2">
      <c r="C48" s="25">
        <v>41504</v>
      </c>
      <c r="D48" s="40" t="str">
        <f t="shared" si="0"/>
        <v>Sunday</v>
      </c>
      <c r="E48" s="29">
        <f t="shared" si="1"/>
        <v>34</v>
      </c>
      <c r="F48" s="23" t="e">
        <f>(TEXT(INDEX(Database!$K$2:$K$190,MATCH(TEXT('Q1'!$C48,"mmm"),Database!$M$2:$M$190,0)),"00\:00")/E48)</f>
        <v>#VALUE!</v>
      </c>
      <c r="G48" s="29"/>
      <c r="H48" s="30"/>
      <c r="I48" s="49">
        <f>SUMIF(Database!$A$2:$A$190,'Q1'!C48,Database!$P$2:$P$190)/COUNTIF(Database!$A$2:$A$190,'Q1'!C48)</f>
        <v>30675.25</v>
      </c>
    </row>
    <row r="49" spans="3:9" x14ac:dyDescent="0.2">
      <c r="C49" s="25">
        <v>41506</v>
      </c>
      <c r="D49" s="40" t="str">
        <f t="shared" si="0"/>
        <v>Tuesday</v>
      </c>
      <c r="E49" s="29">
        <f t="shared" si="1"/>
        <v>34</v>
      </c>
      <c r="F49" s="23" t="e">
        <f>(TEXT(INDEX(Database!$K$2:$K$190,MATCH(TEXT('Q1'!$C49,"mmm"),Database!$M$2:$M$190,0)),"00\:00")/E49)</f>
        <v>#VALUE!</v>
      </c>
      <c r="G49" s="29"/>
      <c r="H49" s="30"/>
      <c r="I49" s="49">
        <f>SUMIF(Database!$A$2:$A$190,'Q1'!C49,Database!$P$2:$P$190)/COUNTIF(Database!$A$2:$A$190,'Q1'!C49)</f>
        <v>27290.75</v>
      </c>
    </row>
    <row r="50" spans="3:9" x14ac:dyDescent="0.2">
      <c r="C50" s="25">
        <v>41507</v>
      </c>
      <c r="D50" s="40" t="str">
        <f t="shared" si="0"/>
        <v>Wednesday</v>
      </c>
      <c r="E50" s="29">
        <f t="shared" si="1"/>
        <v>34</v>
      </c>
      <c r="F50" s="23" t="e">
        <f>(TEXT(INDEX(Database!$K$2:$K$190,MATCH(TEXT('Q1'!$C50,"mmm"),Database!$M$2:$M$190,0)),"00\:00")/E50)</f>
        <v>#VALUE!</v>
      </c>
      <c r="G50" s="29"/>
      <c r="H50" s="30"/>
      <c r="I50" s="49">
        <f>SUMIF(Database!$A$2:$A$190,'Q1'!C50,Database!$P$2:$P$190)/COUNTIF(Database!$A$2:$A$190,'Q1'!C50)</f>
        <v>25309.8</v>
      </c>
    </row>
    <row r="51" spans="3:9" x14ac:dyDescent="0.2">
      <c r="C51" s="25">
        <v>41508</v>
      </c>
      <c r="D51" s="40" t="str">
        <f t="shared" si="0"/>
        <v>Thursday</v>
      </c>
      <c r="E51" s="29">
        <f t="shared" si="1"/>
        <v>34</v>
      </c>
      <c r="F51" s="23" t="e">
        <f>(TEXT(INDEX(Database!$K$2:$K$190,MATCH(TEXT('Q1'!$C51,"mmm"),Database!$M$2:$M$190,0)),"00\:00")/E51)</f>
        <v>#VALUE!</v>
      </c>
      <c r="G51" s="29"/>
      <c r="H51" s="30"/>
      <c r="I51" s="49">
        <f>SUMIF(Database!$A$2:$A$190,'Q1'!C51,Database!$P$2:$P$190)/COUNTIF(Database!$A$2:$A$190,'Q1'!C51)</f>
        <v>31770.25</v>
      </c>
    </row>
    <row r="52" spans="3:9" x14ac:dyDescent="0.2">
      <c r="C52" s="25">
        <v>41509</v>
      </c>
      <c r="D52" s="40" t="str">
        <f t="shared" si="0"/>
        <v>Friday</v>
      </c>
      <c r="E52" s="29">
        <f t="shared" si="1"/>
        <v>34</v>
      </c>
      <c r="F52" s="23" t="e">
        <f>(TEXT(INDEX(Database!$K$2:$K$190,MATCH(TEXT('Q1'!$C52,"mmm"),Database!$M$2:$M$190,0)),"00\:00")/E52)</f>
        <v>#VALUE!</v>
      </c>
      <c r="G52" s="29"/>
      <c r="H52" s="30"/>
      <c r="I52" s="49">
        <f>SUMIF(Database!$A$2:$A$190,'Q1'!C52,Database!$P$2:$P$190)/COUNTIF(Database!$A$2:$A$190,'Q1'!C52)</f>
        <v>26034.799999999999</v>
      </c>
    </row>
    <row r="53" spans="3:9" x14ac:dyDescent="0.2">
      <c r="C53" s="25">
        <v>41510</v>
      </c>
      <c r="D53" s="40" t="str">
        <f t="shared" si="0"/>
        <v>Saturday</v>
      </c>
      <c r="E53" s="29">
        <f t="shared" si="1"/>
        <v>34</v>
      </c>
      <c r="F53" s="23" t="e">
        <f>(TEXT(INDEX(Database!$K$2:$K$190,MATCH(TEXT('Q1'!$C53,"mmm"),Database!$M$2:$M$190,0)),"00\:00")/E53)</f>
        <v>#VALUE!</v>
      </c>
      <c r="G53" s="29"/>
      <c r="H53" s="30"/>
      <c r="I53" s="49">
        <f>SUMIF(Database!$A$2:$A$190,'Q1'!C53,Database!$P$2:$P$190)/COUNTIF(Database!$A$2:$A$190,'Q1'!C53)</f>
        <v>31092.25</v>
      </c>
    </row>
    <row r="54" spans="3:9" x14ac:dyDescent="0.2">
      <c r="C54" s="25">
        <v>41511</v>
      </c>
      <c r="D54" s="40" t="str">
        <f t="shared" si="0"/>
        <v>Sunday</v>
      </c>
      <c r="E54" s="29">
        <f t="shared" si="1"/>
        <v>35</v>
      </c>
      <c r="F54" s="23" t="e">
        <f>(TEXT(INDEX(Database!$K$2:$K$190,MATCH(TEXT('Q1'!$C54,"mmm"),Database!$M$2:$M$190,0)),"00\:00")/E54)</f>
        <v>#VALUE!</v>
      </c>
      <c r="G54" s="29"/>
      <c r="H54" s="30"/>
      <c r="I54" s="49">
        <f>SUMIF(Database!$A$2:$A$190,'Q1'!C54,Database!$P$2:$P$190)/COUNTIF(Database!$A$2:$A$190,'Q1'!C54)</f>
        <v>25214.799999999999</v>
      </c>
    </row>
    <row r="55" spans="3:9" x14ac:dyDescent="0.2">
      <c r="C55" s="25">
        <v>41513</v>
      </c>
      <c r="D55" s="40" t="str">
        <f t="shared" si="0"/>
        <v>Tuesday</v>
      </c>
      <c r="E55" s="29">
        <f t="shared" si="1"/>
        <v>35</v>
      </c>
      <c r="F55" s="23" t="e">
        <f>(TEXT(INDEX(Database!$K$2:$K$190,MATCH(TEXT('Q1'!$C55,"mmm"),Database!$M$2:$M$190,0)),"00\:00")/E55)</f>
        <v>#VALUE!</v>
      </c>
      <c r="G55" s="29"/>
      <c r="H55" s="30"/>
      <c r="I55" s="49">
        <f>SUMIF(Database!$A$2:$A$190,'Q1'!C55,Database!$P$2:$P$190)/COUNTIF(Database!$A$2:$A$190,'Q1'!C55)</f>
        <v>26786.400000000001</v>
      </c>
    </row>
  </sheetData>
  <phoneticPr fontId="3" type="noConversion"/>
  <pageMargins left="0.75" right="0.75" top="1" bottom="1" header="0.5" footer="0.5"/>
  <pageSetup orientation="portrait" r:id="rId1"/>
  <headerFooter alignWithMargins="0">
    <oddFooter>&amp;L&amp;D&amp;RPage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autoPageBreaks="0"/>
  </sheetPr>
  <dimension ref="A1:O17"/>
  <sheetViews>
    <sheetView showGridLines="0" workbookViewId="0">
      <selection activeCell="I25" sqref="I25"/>
    </sheetView>
  </sheetViews>
  <sheetFormatPr defaultColWidth="9.21875" defaultRowHeight="10.199999999999999" x14ac:dyDescent="0.2"/>
  <cols>
    <col min="1" max="1" width="9.21875" style="3"/>
    <col min="2" max="2" width="1.77734375" style="3" bestFit="1" customWidth="1"/>
    <col min="3" max="3" width="7" style="3" customWidth="1"/>
    <col min="4" max="4" width="13.5546875" style="3" bestFit="1" customWidth="1"/>
    <col min="5" max="5" width="14.5546875" style="3" customWidth="1"/>
    <col min="6" max="6" width="12" style="3" bestFit="1" customWidth="1"/>
    <col min="7" max="7" width="11.5546875" style="3" bestFit="1" customWidth="1"/>
    <col min="8" max="16384" width="9.21875" style="3"/>
  </cols>
  <sheetData>
    <row r="1" spans="1:15" x14ac:dyDescent="0.2">
      <c r="A1" s="5"/>
    </row>
    <row r="2" spans="1:15" x14ac:dyDescent="0.2">
      <c r="B2" s="19">
        <v>2</v>
      </c>
      <c r="C2" s="3" t="s">
        <v>73</v>
      </c>
    </row>
    <row r="4" spans="1:15" x14ac:dyDescent="0.2">
      <c r="D4" s="3" t="s">
        <v>13</v>
      </c>
      <c r="E4" s="3" t="s">
        <v>36</v>
      </c>
    </row>
    <row r="5" spans="1:15" x14ac:dyDescent="0.2">
      <c r="D5" s="3" t="s">
        <v>37</v>
      </c>
      <c r="E5" s="3" t="s">
        <v>40</v>
      </c>
    </row>
    <row r="6" spans="1:15" x14ac:dyDescent="0.2">
      <c r="D6" s="3" t="s">
        <v>38</v>
      </c>
      <c r="E6" s="3" t="s">
        <v>39</v>
      </c>
    </row>
    <row r="7" spans="1:15" x14ac:dyDescent="0.2">
      <c r="D7" s="3" t="s">
        <v>41</v>
      </c>
      <c r="E7" s="3" t="s">
        <v>74</v>
      </c>
    </row>
    <row r="9" spans="1:15" ht="10.8" thickBot="1" x14ac:dyDescent="0.25"/>
    <row r="10" spans="1:15" ht="10.8" thickBot="1" x14ac:dyDescent="0.25">
      <c r="C10" s="18" t="s">
        <v>33</v>
      </c>
      <c r="D10" s="20" t="s">
        <v>42</v>
      </c>
    </row>
    <row r="11" spans="1:15" ht="10.8" thickBot="1" x14ac:dyDescent="0.25"/>
    <row r="12" spans="1:15" ht="10.8" thickBot="1" x14ac:dyDescent="0.25">
      <c r="C12" s="32" t="s">
        <v>1</v>
      </c>
      <c r="D12" s="33" t="s">
        <v>13</v>
      </c>
      <c r="E12" s="33" t="s">
        <v>34</v>
      </c>
      <c r="F12" s="33" t="s">
        <v>14</v>
      </c>
      <c r="G12" s="34" t="s">
        <v>35</v>
      </c>
    </row>
    <row r="13" spans="1:15" x14ac:dyDescent="0.2">
      <c r="C13" s="35">
        <v>44021</v>
      </c>
      <c r="D13" s="21" t="str">
        <f>VLOOKUP(C13,Database!B:C,2,0)</f>
        <v>Vinay DHD</v>
      </c>
      <c r="E13" s="28" cm="1">
        <f t="array" ref="E13">IF($D$1&lt;&gt;TEXT(Database!A2,"mmm"),SUMPRODUCT(--(Database!C2:C190='Q2'!D13)),"")</f>
        <v>41</v>
      </c>
      <c r="F13" s="28">
        <f>IF(D10=TEXT(Database!A2,"mmm"),SUMPRODUCT(--(Database!C2:C190='Q2'!D13),Database!D2:D190),SUMPRODUCT(--(Database!C2:C190='Q2'!D13),Database!D2:D190))</f>
        <v>4975</v>
      </c>
      <c r="G13" s="44">
        <f>+F13/E13</f>
        <v>121.34146341463415</v>
      </c>
      <c r="I13" s="48" cm="1">
        <f t="array" ref="I13">SUMPRODUCT(--((TEXT(Database!$A$2:$A$190,"mmm")='Q2'!$D$10)*('Q2'!D13=Database!$C$2:$C$190)))</f>
        <v>27</v>
      </c>
      <c r="J13" s="48" cm="1">
        <f t="array" ref="J13">SUMPRODUCT((TEXT(Database!$A$2:$A$190,"mmm")='Q2'!$D$10)*('Q2'!D13=Database!$C$2:$C$190)*(Database!$D$2:$D$190))</f>
        <v>3273</v>
      </c>
      <c r="K13" s="48">
        <f>J13/I13</f>
        <v>121.22222222222223</v>
      </c>
      <c r="M13" s="3">
        <f>COUNTIFS(Database!$C$2:$C$190,'Q2'!D13)</f>
        <v>41</v>
      </c>
      <c r="N13" s="3">
        <f>SUMIFS(Database!$D$2:$D$190,Database!$B$2:$B$190,C13)</f>
        <v>4975</v>
      </c>
      <c r="O13" s="3">
        <f>AVERAGEIF(Database!$B$2:$B$190,'Q2'!C13,Database!$D$2:$D$190)</f>
        <v>121.34146341463415</v>
      </c>
    </row>
    <row r="14" spans="1:15" x14ac:dyDescent="0.2">
      <c r="C14" s="36">
        <v>44022</v>
      </c>
      <c r="D14" s="21" t="str">
        <f>VLOOKUP(C14,Database!B:C,2,0)</f>
        <v>Sadiq Pasha</v>
      </c>
      <c r="E14" s="28">
        <f>IF($D$1&lt;&gt;TEXT(Database!A3,"mmm"),SUMPRODUCT(--(Database!C3:C191='Q2'!D14)),"")</f>
        <v>41</v>
      </c>
      <c r="F14" s="28">
        <f>IF(D11=TEXT(Database!A3,"mmm"),SUMPRODUCT(--(Database!C3:C191='Q2'!D14),Database!D3:D191),SUMPRODUCT(--(Database!C3:C191='Q2'!D14),Database!D3:D191))</f>
        <v>5267</v>
      </c>
      <c r="G14" s="44">
        <f t="shared" ref="G14:G17" si="0">+F14/E14</f>
        <v>128.46341463414635</v>
      </c>
      <c r="I14" s="48" cm="1">
        <f t="array" ref="I14">SUMPRODUCT(--((TEXT(Database!$A$2:$A$190,"mmm")='Q2'!$D$10)*('Q2'!D14=Database!$C$2:$C$190)))</f>
        <v>27</v>
      </c>
      <c r="J14" s="48" cm="1">
        <f t="array" ref="J14">SUMPRODUCT((TEXT(Database!$A$2:$A$190,"mmm")='Q2'!$D$10)*('Q2'!D14=Database!$C$2:$C$190)*(Database!$D$2:$D$190))</f>
        <v>3453</v>
      </c>
      <c r="K14" s="48">
        <f t="shared" ref="K14:K17" si="1">J14/I14</f>
        <v>127.88888888888889</v>
      </c>
      <c r="M14" s="3">
        <f>COUNTIFS(Database!$C$2:$C$190,'Q2'!D14)</f>
        <v>41</v>
      </c>
      <c r="N14" s="3">
        <f>SUMIFS(Database!$D$2:$D$190,Database!$B$2:$B$190,C14)</f>
        <v>5267</v>
      </c>
      <c r="O14" s="3">
        <f>AVERAGEIF(Database!$B$2:$B$190,'Q2'!C14,Database!$D$2:$D$190)</f>
        <v>128.46341463414635</v>
      </c>
    </row>
    <row r="15" spans="1:15" x14ac:dyDescent="0.2">
      <c r="C15" s="36">
        <v>44027</v>
      </c>
      <c r="D15" s="21" t="str">
        <f>VLOOKUP(C15,Database!B:C,2,0)</f>
        <v>Ismail Shariff</v>
      </c>
      <c r="E15" s="28">
        <f>IF($D$1&lt;&gt;TEXT(Database!A4,"mmm"),SUMPRODUCT(--(Database!C4:C192='Q2'!D15)),"")</f>
        <v>30</v>
      </c>
      <c r="F15" s="28">
        <f>IF(D12=TEXT(Database!A4,"mmm"),SUMPRODUCT(--(Database!C4:C192='Q2'!D15),Database!D4:D192),SUMPRODUCT(--(Database!C4:C192='Q2'!D15),Database!D4:D192))</f>
        <v>348</v>
      </c>
      <c r="G15" s="44">
        <f t="shared" si="0"/>
        <v>11.6</v>
      </c>
      <c r="I15" s="48" cm="1">
        <f t="array" ref="I15">SUMPRODUCT(--((TEXT(Database!$A$2:$A$190,"mmm")='Q2'!$D$10)*('Q2'!D15=Database!$C$2:$C$190)))</f>
        <v>20</v>
      </c>
      <c r="J15" s="48" cm="1">
        <f t="array" ref="J15">SUMPRODUCT((TEXT(Database!$A$2:$A$190,"mmm")='Q2'!$D$10)*('Q2'!D15=Database!$C$2:$C$190)*(Database!$D$2:$D$190))</f>
        <v>249</v>
      </c>
      <c r="K15" s="48">
        <f t="shared" si="1"/>
        <v>12.45</v>
      </c>
      <c r="M15" s="3">
        <f>COUNTIFS(Database!$C$2:$C$190,'Q2'!D15)</f>
        <v>30</v>
      </c>
      <c r="N15" s="3">
        <f>SUMIFS(Database!$D$2:$D$190,Database!$B$2:$B$190,C15)</f>
        <v>348</v>
      </c>
      <c r="O15" s="3">
        <f>AVERAGEIF(Database!$B$2:$B$190,'Q2'!C15,Database!$D$2:$D$190)</f>
        <v>11.6</v>
      </c>
    </row>
    <row r="16" spans="1:15" x14ac:dyDescent="0.2">
      <c r="C16" s="36">
        <v>44033</v>
      </c>
      <c r="D16" s="21" t="str">
        <f>VLOOKUP(C16,Database!B:C,2,0)</f>
        <v>Raghavendra  DHD</v>
      </c>
      <c r="E16" s="28">
        <f>IF($D$1&lt;&gt;TEXT(Database!A5,"mmm"),SUMPRODUCT(--(Database!C5:C193='Q2'!D16)),"")</f>
        <v>41</v>
      </c>
      <c r="F16" s="28">
        <f>IF(D13=TEXT(Database!A5,"mmm"),SUMPRODUCT(--(Database!C5:C193='Q2'!D16),Database!D5:D193),SUMPRODUCT(--(Database!C5:C193='Q2'!D16),Database!D5:D193))</f>
        <v>4646</v>
      </c>
      <c r="G16" s="44">
        <f t="shared" si="0"/>
        <v>113.3170731707317</v>
      </c>
      <c r="I16" s="48" cm="1">
        <f t="array" ref="I16">SUMPRODUCT(--((TEXT(Database!$A$2:$A$190,"mmm")='Q2'!$D$10)*('Q2'!D16=Database!$C$2:$C$190)))</f>
        <v>27</v>
      </c>
      <c r="J16" s="48" cm="1">
        <f t="array" ref="J16">SUMPRODUCT((TEXT(Database!$A$2:$A$190,"mmm")='Q2'!$D$10)*('Q2'!D16=Database!$C$2:$C$190)*(Database!$D$2:$D$190))</f>
        <v>3061</v>
      </c>
      <c r="K16" s="48">
        <f t="shared" si="1"/>
        <v>113.37037037037037</v>
      </c>
      <c r="M16" s="3">
        <f>COUNTIFS(Database!$C$2:$C$190,'Q2'!D16)</f>
        <v>41</v>
      </c>
      <c r="N16" s="3">
        <f>SUMIFS(Database!$D$2:$D$190,Database!$B$2:$B$190,C16)</f>
        <v>4646</v>
      </c>
      <c r="O16" s="3">
        <f>AVERAGEIF(Database!$B$2:$B$190,'Q2'!C16,Database!$D$2:$D$190)</f>
        <v>113.3170731707317</v>
      </c>
    </row>
    <row r="17" spans="3:15" ht="10.8" thickBot="1" x14ac:dyDescent="0.25">
      <c r="C17" s="45">
        <v>44050</v>
      </c>
      <c r="D17" s="46" t="str">
        <f>VLOOKUP(C17,Database!B:C,2,0)</f>
        <v>Shahid Ali</v>
      </c>
      <c r="E17" s="28">
        <f>IF($D$1&lt;&gt;TEXT(Database!A6,"mmm"),SUMPRODUCT(--(Database!C6:C194='Q2'!D17)),"")</f>
        <v>36</v>
      </c>
      <c r="F17" s="28">
        <f>IF(D14=TEXT(Database!A6,"mmm"),SUMPRODUCT(--(Database!C6:C194='Q2'!D17),Database!D6:D194),SUMPRODUCT(--(Database!C6:C194='Q2'!D17),Database!D6:D194))</f>
        <v>3851</v>
      </c>
      <c r="G17" s="44">
        <f t="shared" si="0"/>
        <v>106.97222222222223</v>
      </c>
      <c r="I17" s="48" cm="1">
        <f t="array" ref="I17">SUMPRODUCT(--((TEXT(Database!$A$2:$A$190,"mmm")='Q2'!$D$10)*('Q2'!D17=Database!$C$2:$C$190)))</f>
        <v>24</v>
      </c>
      <c r="J17" s="48" cm="1">
        <f t="array" ref="J17">SUMPRODUCT((TEXT(Database!$A$2:$A$190,"mmm")='Q2'!$D$10)*('Q2'!D17=Database!$C$2:$C$190)*(Database!$D$2:$D$190))</f>
        <v>2526</v>
      </c>
      <c r="K17" s="48">
        <f t="shared" si="1"/>
        <v>105.25</v>
      </c>
      <c r="M17" s="3">
        <f>COUNTIFS(Database!$C$2:$C$190,'Q2'!D17)</f>
        <v>36</v>
      </c>
      <c r="N17" s="3">
        <f>SUMIFS(Database!$D$2:$D$190,Database!$B$2:$B$190,C17)</f>
        <v>3851</v>
      </c>
      <c r="O17" s="3">
        <f>AVERAGEIF(Database!$B$2:$B$190,'Q2'!C17,Database!$D$2:$D$190)</f>
        <v>106.97222222222223</v>
      </c>
    </row>
  </sheetData>
  <phoneticPr fontId="3" type="noConversion"/>
  <dataValidations count="1">
    <dataValidation type="list" allowBlank="1" showInputMessage="1" showErrorMessage="1" sqref="D10" xr:uid="{00000000-0002-0000-0100-000000000000}">
      <formula1>"Jul,Aug"</formula1>
    </dataValidation>
  </dataValidations>
  <pageMargins left="0.75" right="0.75" top="1" bottom="1" header="0.5" footer="0.5"/>
  <pageSetup orientation="portrait" r:id="rId1"/>
  <headerFooter alignWithMargins="0">
    <oddFooter>&amp;L&amp;D&amp;RPage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autoPageBreaks="0"/>
  </sheetPr>
  <dimension ref="A1:K16"/>
  <sheetViews>
    <sheetView showGridLines="0" workbookViewId="0">
      <selection activeCell="J11" sqref="J11:K15"/>
    </sheetView>
  </sheetViews>
  <sheetFormatPr defaultColWidth="9.21875" defaultRowHeight="10.199999999999999" x14ac:dyDescent="0.2"/>
  <cols>
    <col min="1" max="1" width="9.21875" style="3"/>
    <col min="2" max="2" width="1.77734375" style="3" bestFit="1" customWidth="1"/>
    <col min="3" max="3" width="8.21875" style="3" customWidth="1"/>
    <col min="4" max="4" width="9.77734375" style="3" customWidth="1"/>
    <col min="5" max="5" width="8.21875" style="3" bestFit="1" customWidth="1"/>
    <col min="6" max="16384" width="9.21875" style="3"/>
  </cols>
  <sheetData>
    <row r="1" spans="1:11" x14ac:dyDescent="0.2">
      <c r="A1" s="5"/>
    </row>
    <row r="2" spans="1:11" x14ac:dyDescent="0.2">
      <c r="B2" s="3">
        <v>3</v>
      </c>
      <c r="C2" s="3" t="s">
        <v>44</v>
      </c>
    </row>
    <row r="4" spans="1:11" x14ac:dyDescent="0.2">
      <c r="C4" s="3" t="s">
        <v>45</v>
      </c>
      <c r="D4" s="3" t="s">
        <v>46</v>
      </c>
    </row>
    <row r="6" spans="1:11" x14ac:dyDescent="0.2">
      <c r="C6" s="16" t="s">
        <v>15</v>
      </c>
      <c r="D6" s="3" t="s">
        <v>47</v>
      </c>
    </row>
    <row r="7" spans="1:11" x14ac:dyDescent="0.2">
      <c r="C7" s="5" t="s">
        <v>16</v>
      </c>
      <c r="D7" s="3" t="s">
        <v>48</v>
      </c>
    </row>
    <row r="8" spans="1:11" x14ac:dyDescent="0.2">
      <c r="C8" s="17" t="s">
        <v>17</v>
      </c>
      <c r="D8" s="3" t="s">
        <v>49</v>
      </c>
    </row>
    <row r="9" spans="1:11" ht="10.8" thickBot="1" x14ac:dyDescent="0.25"/>
    <row r="10" spans="1:11" ht="10.8" thickBot="1" x14ac:dyDescent="0.25">
      <c r="C10" s="32" t="s">
        <v>1</v>
      </c>
      <c r="D10" s="33" t="s">
        <v>42</v>
      </c>
      <c r="E10" s="34" t="s">
        <v>43</v>
      </c>
    </row>
    <row r="11" spans="1:11" x14ac:dyDescent="0.2">
      <c r="C11" s="35">
        <v>44021</v>
      </c>
      <c r="D11" s="31">
        <f>SUM(IF(D$10=TEXT(Database!$A2,"MMM"),SUMIF(Database!$B2:$B190,'Q3'!$C11,Database!$L$2:$L$190)))</f>
        <v>3599.4616030053176</v>
      </c>
      <c r="E11" s="31">
        <f>SUM(IF(E$10&lt;&gt;TEXT(Database!$A2,"MMM"),SUMIF(Database!$B2:$B190,'Q3'!$C11,Database!$L$2:$L$190)))</f>
        <v>3599.4616030053176</v>
      </c>
      <c r="G11" s="3" cm="1">
        <f t="array" ref="G11">SUMPRODUCT((Database!$B$2:$B$190='Q3'!$C11)*(TEXT(Database!$A$2:$A$190,"mmm")='Q3'!D$10)*(Database!$Q$2:$Q$190))/SUMPRODUCT(--((Database!$B$2:$B$190='Q3'!$C11)*(TEXT(Database!$A$2:$A$190,"mmm")='Q3'!D$10)))</f>
        <v>87.978326426139333</v>
      </c>
      <c r="H11" s="3" cm="1">
        <f t="array" ref="H11">SUMPRODUCT((Database!$B$2:$B$190='Q3'!$C11)*(TEXT(Database!$A$2:$A$190,"mmm")='Q3'!E$10)*(Database!$Q$2:$Q$190))/SUMPRODUCT(--((Database!$B$2:$B$190='Q3'!$C11)*(TEXT(Database!$A$2:$A$190,"mmm")='Q3'!E$10)))</f>
        <v>87.431913535682483</v>
      </c>
      <c r="J11" s="3">
        <f>AVERAGEIFS(Database!$L$2:$L$190, Database!$B$2:$B$190, 'Q3'!$C11, Database!$M$2:$M$190,'Q3'!D$10)</f>
        <v>87.978326426139333</v>
      </c>
      <c r="K11" s="3">
        <f>AVERAGEIFS(Database!$L$2:$L$190, Database!$B$2:$B$190, 'Q3'!$C11, Database!$M$2:$M$190,'Q3'!E$10)</f>
        <v>87.431913535682483</v>
      </c>
    </row>
    <row r="12" spans="1:11" x14ac:dyDescent="0.2">
      <c r="C12" s="36">
        <v>44022</v>
      </c>
      <c r="D12" s="31">
        <f>SUM(IF(D$10=TEXT(Database!$A3,"MMM"),SUMIF(Database!$B3:$B191,'Q3'!$C12,Database!$L$2:$L$190)))</f>
        <v>3599.4616030053176</v>
      </c>
      <c r="E12" s="31">
        <f>SUM(IF(E$10&lt;&gt;TEXT(Database!$A3,"MMM"),SUMIF(Database!$B3:$B191,'Q3'!$C12,Database!$L$2:$L$190)))</f>
        <v>3599.4616030053176</v>
      </c>
      <c r="G12" s="3" cm="1">
        <f t="array" ref="G12">SUMPRODUCT((Database!$B$2:$B$190='Q3'!$C12)*(TEXT(Database!$A$2:$A$190,"mmm")='Q3'!D$10)*(Database!$Q$2:$Q$190))/SUMPRODUCT(--((Database!$B$2:$B$190='Q3'!$C12)*(TEXT(Database!$A$2:$A$190,"mmm")='Q3'!D$10)))</f>
        <v>71.119651530484745</v>
      </c>
      <c r="H12" s="3" cm="1">
        <f t="array" ref="H12">SUMPRODUCT((Database!$B$2:$B$190='Q3'!$C12)*(TEXT(Database!$A$2:$A$190,"mmm")='Q3'!E$10)*(Database!$Q$2:$Q$190))/SUMPRODUCT(--((Database!$B$2:$B$190='Q3'!$C12)*(TEXT(Database!$A$2:$A$190,"mmm")='Q3'!E$10)))</f>
        <v>72.456319528294927</v>
      </c>
      <c r="J12" s="3">
        <f>AVERAGEIFS(Database!$L$2:$L$190, Database!$B$2:$B$190, 'Q3'!$C12, Database!$M$2:$M$190,'Q3'!D$10)</f>
        <v>71.119651530484745</v>
      </c>
      <c r="K12" s="3">
        <f>AVERAGEIFS(Database!$L$2:$L$190, Database!$B$2:$B$190, 'Q3'!$C12, Database!$M$2:$M$190,'Q3'!E$10)</f>
        <v>72.456319528294927</v>
      </c>
    </row>
    <row r="13" spans="1:11" x14ac:dyDescent="0.2">
      <c r="C13" s="36">
        <v>44027</v>
      </c>
      <c r="D13" s="31">
        <f>SUM(IF(D$10=TEXT(Database!$A4,"MMM"),SUMIF(Database!$B4:$B192,'Q3'!$C13,Database!$L$2:$L$190)))</f>
        <v>2664.2798577664275</v>
      </c>
      <c r="E13" s="31">
        <f>SUM(IF(E$10&lt;&gt;TEXT(Database!$A4,"MMM"),SUMIF(Database!$B4:$B192,'Q3'!$C13,Database!$L$2:$L$190)))</f>
        <v>2664.2798577664275</v>
      </c>
      <c r="G13" s="3" cm="1">
        <f t="array" ref="G13">SUMPRODUCT((Database!$B$2:$B$190='Q3'!$C13)*(TEXT(Database!$A$2:$A$190,"mmm")='Q3'!D$10)*(Database!$Q$2:$Q$190))/SUMPRODUCT(--((Database!$B$2:$B$190='Q3'!$C13)*(TEXT(Database!$A$2:$A$190,"mmm")='Q3'!D$10)))</f>
        <v>114.34062430624931</v>
      </c>
      <c r="H13" s="3" cm="1">
        <f t="array" ref="H13">SUMPRODUCT((Database!$B$2:$B$190='Q3'!$C13)*(TEXT(Database!$A$2:$A$190,"mmm")='Q3'!E$10)*(Database!$Q$2:$Q$190))/SUMPRODUCT(--((Database!$B$2:$B$190='Q3'!$C13)*(TEXT(Database!$A$2:$A$190,"mmm")='Q3'!E$10)))</f>
        <v>126.95547258297259</v>
      </c>
      <c r="J13" s="3">
        <f>AVERAGEIFS(Database!$L$2:$L$190, Database!$B$2:$B$190, 'Q3'!$C13, Database!$M$2:$M$190,'Q3'!D$10)</f>
        <v>114.34062430624931</v>
      </c>
      <c r="K13" s="3">
        <f>AVERAGEIFS(Database!$L$2:$L$190, Database!$B$2:$B$190, 'Q3'!$C13, Database!$M$2:$M$190,'Q3'!E$10)</f>
        <v>126.95547258297259</v>
      </c>
    </row>
    <row r="14" spans="1:11" x14ac:dyDescent="0.2">
      <c r="C14" s="36">
        <v>44033</v>
      </c>
      <c r="D14" s="31">
        <f>SUM(IF(D$10=TEXT(Database!$A5,"MMM"),SUMIF(Database!$B5:$B193,'Q3'!$C14,Database!$L$2:$L$190)))</f>
        <v>3740.6767845025938</v>
      </c>
      <c r="E14" s="31">
        <f>SUM(IF(E$10&lt;&gt;TEXT(Database!$A5,"MMM"),SUMIF(Database!$B5:$B193,'Q3'!$C14,Database!$L$2:$L$190)))</f>
        <v>3740.6767845025938</v>
      </c>
      <c r="G14" s="3" cm="1">
        <f t="array" ref="G14">SUMPRODUCT((Database!$B$2:$B$190='Q3'!$C14)*(TEXT(Database!$A$2:$A$190,"mmm")='Q3'!D$10)*(Database!$Q$2:$Q$190))/SUMPRODUCT(--((Database!$B$2:$B$190='Q3'!$C14)*(TEXT(Database!$A$2:$A$190,"mmm")='Q3'!D$10)))</f>
        <v>97.273856658154472</v>
      </c>
      <c r="H14" s="3" cm="1">
        <f t="array" ref="H14">SUMPRODUCT((Database!$B$2:$B$190='Q3'!$C14)*(TEXT(Database!$A$2:$A$190,"mmm")='Q3'!E$10)*(Database!$Q$2:$Q$190))/SUMPRODUCT(--((Database!$B$2:$B$190='Q3'!$C14)*(TEXT(Database!$A$2:$A$190,"mmm")='Q3'!E$10)))</f>
        <v>96.940954220890816</v>
      </c>
      <c r="J14" s="3">
        <f>AVERAGEIFS(Database!$L$2:$L$190, Database!$B$2:$B$190, 'Q3'!$C14, Database!$M$2:$M$190,'Q3'!D$10)</f>
        <v>97.273856658154472</v>
      </c>
      <c r="K14" s="3">
        <f>AVERAGEIFS(Database!$L$2:$L$190, Database!$B$2:$B$190, 'Q3'!$C14, Database!$M$2:$M$190,'Q3'!E$10)</f>
        <v>96.940954220890816</v>
      </c>
    </row>
    <row r="15" spans="1:11" x14ac:dyDescent="0.2">
      <c r="C15" s="36">
        <v>44050</v>
      </c>
      <c r="D15" s="31">
        <f>SUM(IF(D$10=TEXT(Database!$A6,"MMM"),SUMIF(Database!$B6:$B194,'Q3'!$C15,Database!$L$2:$L$190)))</f>
        <v>3293.410871800681</v>
      </c>
      <c r="E15" s="31">
        <f>SUM(IF(E$10&lt;&gt;TEXT(Database!$A6,"MMM"),SUMIF(Database!$B6:$B194,'Q3'!$C15,Database!$L$2:$L$190)))</f>
        <v>3293.410871800681</v>
      </c>
      <c r="G15" s="3" cm="1">
        <f t="array" ref="G15">SUMPRODUCT((Database!$B$2:$B$190='Q3'!$C15)*(TEXT(Database!$A$2:$A$190,"mmm")='Q3'!D$10)*(Database!$Q$2:$Q$190))/SUMPRODUCT(--((Database!$B$2:$B$190='Q3'!$C15)*(TEXT(Database!$A$2:$A$190,"mmm")='Q3'!D$10)))</f>
        <v>97.308523527417421</v>
      </c>
      <c r="H15" s="3" cm="1">
        <f t="array" ref="H15">SUMPRODUCT((Database!$B$2:$B$190='Q3'!$C15)*(TEXT(Database!$A$2:$A$190,"mmm")='Q3'!E$10)*(Database!$Q$2:$Q$190))/SUMPRODUCT(--((Database!$B$2:$B$190='Q3'!$C15)*(TEXT(Database!$A$2:$A$190,"mmm")='Q3'!E$10)))</f>
        <v>97.042125351809702</v>
      </c>
      <c r="J15" s="3">
        <f>AVERAGEIFS(Database!$L$2:$L$190, Database!$B$2:$B$190, 'Q3'!$C15, Database!$M$2:$M$190,'Q3'!D$10)</f>
        <v>97.308523527417421</v>
      </c>
      <c r="K15" s="3">
        <f>AVERAGEIFS(Database!$L$2:$L$190, Database!$B$2:$B$190, 'Q3'!$C15, Database!$M$2:$M$190,'Q3'!E$10)</f>
        <v>97.042125351809702</v>
      </c>
    </row>
    <row r="16" spans="1:11" ht="10.8" thickBot="1" x14ac:dyDescent="0.25">
      <c r="C16" s="37" t="s">
        <v>50</v>
      </c>
      <c r="D16" s="38">
        <f>SUM(D11:D15)</f>
        <v>16897.290720080338</v>
      </c>
      <c r="E16" s="39">
        <f>SUM(E11:E15)</f>
        <v>16897.290720080338</v>
      </c>
    </row>
  </sheetData>
  <phoneticPr fontId="3" type="noConversion"/>
  <conditionalFormatting sqref="G11:H15">
    <cfRule type="expression" dxfId="2" priority="1">
      <formula>G11:H15&gt;100</formula>
    </cfRule>
    <cfRule type="expression" dxfId="1" priority="2">
      <formula>(G11:H15&gt;=80)*(G11:H15&lt;=100)</formula>
    </cfRule>
    <cfRule type="expression" dxfId="0" priority="3">
      <formula>G11:H15&lt;80</formula>
    </cfRule>
  </conditionalFormatting>
  <pageMargins left="0.75" right="0.75" top="1" bottom="1" header="0.5" footer="0.5"/>
  <pageSetup orientation="portrait" r:id="rId1"/>
  <headerFooter alignWithMargins="0">
    <oddFooter>&amp;L&amp;D&amp;RPage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autoPageBreaks="0"/>
  </sheetPr>
  <dimension ref="A1:N15"/>
  <sheetViews>
    <sheetView showGridLines="0" topLeftCell="A2" workbookViewId="0">
      <selection activeCell="N6" sqref="N6"/>
    </sheetView>
  </sheetViews>
  <sheetFormatPr defaultColWidth="9.21875" defaultRowHeight="10.199999999999999" x14ac:dyDescent="0.2"/>
  <cols>
    <col min="1" max="1" width="9.21875" style="3"/>
    <col min="2" max="2" width="1.77734375" style="3" bestFit="1" customWidth="1"/>
    <col min="3" max="3" width="9.5546875" style="3" customWidth="1"/>
    <col min="4" max="4" width="4.5546875" style="3" customWidth="1"/>
    <col min="5" max="11" width="4.5546875" style="3" bestFit="1" customWidth="1"/>
    <col min="12" max="12" width="5.5546875" style="3" bestFit="1" customWidth="1"/>
    <col min="13" max="13" width="8.21875" style="3" bestFit="1" customWidth="1"/>
    <col min="14" max="14" width="12.21875" style="3" bestFit="1" customWidth="1"/>
    <col min="15" max="16384" width="9.21875" style="3"/>
  </cols>
  <sheetData>
    <row r="1" spans="1:14" x14ac:dyDescent="0.2">
      <c r="A1" s="5"/>
    </row>
    <row r="2" spans="1:14" x14ac:dyDescent="0.2">
      <c r="B2" s="3">
        <v>4</v>
      </c>
      <c r="C2" s="3" t="s">
        <v>18</v>
      </c>
    </row>
    <row r="4" spans="1:14" x14ac:dyDescent="0.2">
      <c r="C4" s="3" t="s">
        <v>62</v>
      </c>
    </row>
    <row r="5" spans="1:14" x14ac:dyDescent="0.2">
      <c r="C5" s="9" t="s">
        <v>53</v>
      </c>
      <c r="D5" s="10">
        <v>41456</v>
      </c>
      <c r="E5" s="10">
        <v>41457</v>
      </c>
      <c r="F5" s="10">
        <v>41458</v>
      </c>
      <c r="G5" s="10">
        <v>41459</v>
      </c>
      <c r="H5" s="10">
        <v>41461</v>
      </c>
      <c r="I5" s="10">
        <v>41462</v>
      </c>
      <c r="J5" s="10">
        <v>41463</v>
      </c>
      <c r="K5" s="10">
        <v>41464</v>
      </c>
      <c r="L5" s="10">
        <v>41465</v>
      </c>
      <c r="M5" s="10" t="s">
        <v>51</v>
      </c>
      <c r="N5" s="10" t="s">
        <v>52</v>
      </c>
    </row>
    <row r="6" spans="1:14" x14ac:dyDescent="0.2">
      <c r="C6" s="11" t="s">
        <v>54</v>
      </c>
      <c r="D6" s="12">
        <v>149</v>
      </c>
      <c r="E6" s="12">
        <v>110</v>
      </c>
      <c r="F6" s="12">
        <v>104</v>
      </c>
      <c r="G6" s="12">
        <v>110</v>
      </c>
      <c r="H6" s="12">
        <v>124</v>
      </c>
      <c r="I6" s="12">
        <v>126</v>
      </c>
      <c r="J6" s="12">
        <v>110</v>
      </c>
      <c r="K6" s="12">
        <v>116</v>
      </c>
      <c r="L6" s="12">
        <v>101</v>
      </c>
      <c r="M6" s="13">
        <f>SUM(D6:L6)</f>
        <v>1050</v>
      </c>
      <c r="N6" s="14">
        <f>+M6/$M$11</f>
        <v>0.25017869907076484</v>
      </c>
    </row>
    <row r="7" spans="1:14" x14ac:dyDescent="0.2">
      <c r="C7" s="11" t="s">
        <v>55</v>
      </c>
      <c r="D7" s="12">
        <v>133</v>
      </c>
      <c r="E7" s="12">
        <v>119</v>
      </c>
      <c r="F7" s="12">
        <v>106</v>
      </c>
      <c r="G7" s="12">
        <v>139</v>
      </c>
      <c r="H7" s="12">
        <v>113</v>
      </c>
      <c r="I7" s="12">
        <v>67</v>
      </c>
      <c r="J7" s="12">
        <v>118</v>
      </c>
      <c r="K7" s="12">
        <v>127</v>
      </c>
      <c r="L7" s="12">
        <v>120</v>
      </c>
      <c r="M7" s="13">
        <f t="shared" ref="M7:M10" si="0">SUM(D7:L7)</f>
        <v>1042</v>
      </c>
      <c r="N7" s="14">
        <f t="shared" ref="N7:N10" si="1">+M7/$M$11</f>
        <v>0.2482725756492733</v>
      </c>
    </row>
    <row r="8" spans="1:14" x14ac:dyDescent="0.2">
      <c r="C8" s="11" t="s">
        <v>56</v>
      </c>
      <c r="D8" s="12">
        <v>16</v>
      </c>
      <c r="E8" s="12">
        <v>11</v>
      </c>
      <c r="F8" s="12">
        <v>0</v>
      </c>
      <c r="G8" s="12">
        <v>0</v>
      </c>
      <c r="H8" s="12">
        <v>20</v>
      </c>
      <c r="I8" s="12">
        <v>9</v>
      </c>
      <c r="J8" s="12">
        <v>10</v>
      </c>
      <c r="K8" s="12">
        <v>0</v>
      </c>
      <c r="L8" s="12">
        <v>10</v>
      </c>
      <c r="M8" s="13">
        <f t="shared" si="0"/>
        <v>76</v>
      </c>
      <c r="N8" s="14">
        <f t="shared" si="1"/>
        <v>1.8108172504169646E-2</v>
      </c>
    </row>
    <row r="9" spans="1:14" x14ac:dyDescent="0.2">
      <c r="C9" s="11" t="s">
        <v>57</v>
      </c>
      <c r="D9" s="12">
        <v>246</v>
      </c>
      <c r="E9" s="12">
        <v>100</v>
      </c>
      <c r="F9" s="12">
        <v>111</v>
      </c>
      <c r="G9" s="12">
        <v>105</v>
      </c>
      <c r="H9" s="12">
        <v>109</v>
      </c>
      <c r="I9" s="12">
        <v>128</v>
      </c>
      <c r="J9" s="12">
        <v>97</v>
      </c>
      <c r="K9" s="12">
        <v>119</v>
      </c>
      <c r="L9" s="12">
        <v>105</v>
      </c>
      <c r="M9" s="13">
        <f t="shared" si="0"/>
        <v>1120</v>
      </c>
      <c r="N9" s="14">
        <f t="shared" si="1"/>
        <v>0.26685727900881584</v>
      </c>
    </row>
    <row r="10" spans="1:14" x14ac:dyDescent="0.2">
      <c r="C10" s="11" t="s">
        <v>58</v>
      </c>
      <c r="D10" s="12">
        <v>106</v>
      </c>
      <c r="E10" s="12">
        <v>100</v>
      </c>
      <c r="F10" s="12">
        <v>69</v>
      </c>
      <c r="G10" s="12">
        <v>116</v>
      </c>
      <c r="H10" s="12">
        <v>106</v>
      </c>
      <c r="I10" s="12">
        <v>133</v>
      </c>
      <c r="J10" s="12">
        <v>105</v>
      </c>
      <c r="K10" s="12">
        <v>83</v>
      </c>
      <c r="L10" s="12">
        <v>91</v>
      </c>
      <c r="M10" s="13">
        <f t="shared" si="0"/>
        <v>909</v>
      </c>
      <c r="N10" s="14">
        <f t="shared" si="1"/>
        <v>0.21658327376697642</v>
      </c>
    </row>
    <row r="11" spans="1:14" x14ac:dyDescent="0.2">
      <c r="C11" s="11" t="s">
        <v>12</v>
      </c>
      <c r="D11" s="15">
        <v>650</v>
      </c>
      <c r="E11" s="15">
        <v>440</v>
      </c>
      <c r="F11" s="15">
        <v>390</v>
      </c>
      <c r="G11" s="15">
        <v>470</v>
      </c>
      <c r="H11" s="15">
        <v>472</v>
      </c>
      <c r="I11" s="15">
        <v>463</v>
      </c>
      <c r="J11" s="15">
        <v>440</v>
      </c>
      <c r="K11" s="15">
        <v>445</v>
      </c>
      <c r="L11" s="15">
        <v>427</v>
      </c>
      <c r="M11" s="13">
        <f>SUM(M6:M10)</f>
        <v>4197</v>
      </c>
      <c r="N11" s="14"/>
    </row>
    <row r="13" spans="1:14" x14ac:dyDescent="0.2">
      <c r="C13" s="3" t="s">
        <v>81</v>
      </c>
    </row>
    <row r="14" spans="1:14" x14ac:dyDescent="0.2">
      <c r="C14" s="3" t="s">
        <v>59</v>
      </c>
      <c r="D14" s="3" t="s">
        <v>60</v>
      </c>
    </row>
    <row r="15" spans="1:14" x14ac:dyDescent="0.2">
      <c r="C15" s="3" t="s">
        <v>61</v>
      </c>
      <c r="D15" s="3" t="s">
        <v>60</v>
      </c>
    </row>
  </sheetData>
  <phoneticPr fontId="3" type="noConversion"/>
  <pageMargins left="0.75" right="0.75" top="1" bottom="1" header="0.5" footer="0.5"/>
  <pageSetup orientation="portrait" r:id="rId1"/>
  <headerFooter alignWithMargins="0">
    <oddFooter>&amp;L&amp;D&amp;RPage 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autoPageBreaks="0"/>
  </sheetPr>
  <dimension ref="A1:P13"/>
  <sheetViews>
    <sheetView showGridLines="0" tabSelected="1" workbookViewId="0">
      <selection activeCell="P5" sqref="P5:P9"/>
    </sheetView>
  </sheetViews>
  <sheetFormatPr defaultColWidth="9.21875" defaultRowHeight="10.199999999999999" x14ac:dyDescent="0.2"/>
  <cols>
    <col min="1" max="1" width="9.21875" style="3"/>
    <col min="2" max="2" width="1.77734375" style="3" bestFit="1" customWidth="1"/>
    <col min="3" max="3" width="13.5546875" style="3" customWidth="1"/>
    <col min="4" max="4" width="11.5546875" style="3" customWidth="1"/>
    <col min="5" max="5" width="8.77734375" style="3" bestFit="1" customWidth="1"/>
    <col min="6" max="6" width="8.44140625" style="3" bestFit="1" customWidth="1"/>
    <col min="7" max="7" width="14" style="3" bestFit="1" customWidth="1"/>
    <col min="8" max="8" width="9.21875" style="3"/>
    <col min="9" max="9" width="9.44140625" style="3" bestFit="1" customWidth="1"/>
    <col min="10" max="16384" width="9.21875" style="3"/>
  </cols>
  <sheetData>
    <row r="1" spans="1:16" x14ac:dyDescent="0.2">
      <c r="A1" s="5"/>
    </row>
    <row r="2" spans="1:16" x14ac:dyDescent="0.2">
      <c r="B2" s="3">
        <v>5</v>
      </c>
      <c r="C2" s="3" t="s">
        <v>20</v>
      </c>
    </row>
    <row r="4" spans="1:16" x14ac:dyDescent="0.2">
      <c r="C4" s="7" t="s">
        <v>13</v>
      </c>
      <c r="D4" s="7" t="s">
        <v>63</v>
      </c>
      <c r="E4" s="7" t="s">
        <v>21</v>
      </c>
      <c r="F4" s="7" t="s">
        <v>22</v>
      </c>
      <c r="G4" s="7" t="s">
        <v>64</v>
      </c>
    </row>
    <row r="5" spans="1:16" x14ac:dyDescent="0.2">
      <c r="C5" s="4" t="s">
        <v>9</v>
      </c>
      <c r="D5" s="8">
        <v>40923</v>
      </c>
      <c r="E5" s="4" t="str">
        <f>LEFT(C5,FIND(" ",C5)-1)</f>
        <v>Vinay</v>
      </c>
      <c r="F5" s="4" t="str">
        <f>RIGHT(C5,LEN(C5)-FIND(" ",C5)+1)</f>
        <v xml:space="preserve"> DHD</v>
      </c>
      <c r="G5" s="12">
        <f ca="1">DATEDIF($D5,TODAY(),"M")</f>
        <v>168</v>
      </c>
      <c r="H5" s="3">
        <f ca="1">DATEDIF(D5,TODAY(),"M")</f>
        <v>168</v>
      </c>
      <c r="I5" s="2"/>
      <c r="J5" s="48">
        <f ca="1">DATEDIF(D5,TODAY(),"m")</f>
        <v>168</v>
      </c>
      <c r="K5" s="48" t="str" cm="1">
        <f t="array" ref="K5">_xlfn.CHOOSECOLS(_xlfn.TEXTSPLIT(TRIM($C5)," "),COLUMNS($K$4:K4))</f>
        <v>Vinay</v>
      </c>
      <c r="L5" s="48" t="str" cm="1">
        <f t="array" ref="L5">_xlfn.CHOOSECOLS(_xlfn.TEXTSPLIT(TRIM($C5)," "),COLUMNS($K$4:L4))</f>
        <v>DHD</v>
      </c>
      <c r="N5" s="3" t="str">
        <f>MID(C5,1,FIND(" ",C5)-1)</f>
        <v>Vinay</v>
      </c>
      <c r="O5" s="3" t="str">
        <f>TRIM(SUBSTITUTE(C5,N5,""))</f>
        <v>DHD</v>
      </c>
      <c r="P5" s="3">
        <f ca="1">DATEDIF(D5,TODAY(), "M")</f>
        <v>168</v>
      </c>
    </row>
    <row r="6" spans="1:16" x14ac:dyDescent="0.2">
      <c r="C6" s="4" t="s">
        <v>23</v>
      </c>
      <c r="D6" s="8">
        <f>D5+345</f>
        <v>41268</v>
      </c>
      <c r="E6" s="4" t="str">
        <f t="shared" ref="E6:E9" si="0">LEFT(C6,FIND(" ",C6)-1)</f>
        <v>Sadiq</v>
      </c>
      <c r="F6" s="4" t="str">
        <f t="shared" ref="F6:F9" si="1">RIGHT(C6,LEN(C6)-FIND(" ",C6)+1)</f>
        <v xml:space="preserve"> Pasha</v>
      </c>
      <c r="G6" s="12">
        <f t="shared" ref="G6:G9" ca="1" si="2">DATEDIF($D6,TODAY(),"M")</f>
        <v>157</v>
      </c>
      <c r="J6" s="48">
        <f t="shared" ref="J6:J9" ca="1" si="3">DATEDIF(D6,TODAY(),"m")</f>
        <v>157</v>
      </c>
      <c r="K6" s="48" t="str" cm="1">
        <f t="array" ref="K6">_xlfn.CHOOSECOLS(_xlfn.TEXTSPLIT(TRIM($C6)," "),COLUMNS($K$4:K5))</f>
        <v>Sadiq</v>
      </c>
      <c r="L6" s="48" t="str" cm="1">
        <f t="array" ref="L6">_xlfn.CHOOSECOLS(_xlfn.TEXTSPLIT(TRIM($C6)," "),COLUMNS($K$4:L5))</f>
        <v>Pasha</v>
      </c>
      <c r="N6" s="3" t="str">
        <f t="shared" ref="N6:N9" si="4">MID(C6,1,FIND(" ",C6)-1)</f>
        <v>Sadiq</v>
      </c>
      <c r="O6" s="3" t="str">
        <f t="shared" ref="O6:O9" si="5">TRIM(SUBSTITUTE(C6,N6,""))</f>
        <v>Pasha</v>
      </c>
      <c r="P6" s="3">
        <f t="shared" ref="P6:P9" ca="1" si="6">DATEDIF(D6,TODAY(), "M")</f>
        <v>157</v>
      </c>
    </row>
    <row r="7" spans="1:16" x14ac:dyDescent="0.2">
      <c r="C7" s="4" t="s">
        <v>10</v>
      </c>
      <c r="D7" s="8">
        <f>D6+78</f>
        <v>41346</v>
      </c>
      <c r="E7" s="4" t="str">
        <f t="shared" si="0"/>
        <v>Ismail</v>
      </c>
      <c r="F7" s="4" t="str">
        <f t="shared" si="1"/>
        <v xml:space="preserve"> Shariff</v>
      </c>
      <c r="G7" s="12">
        <f t="shared" ca="1" si="2"/>
        <v>154</v>
      </c>
      <c r="J7" s="48">
        <f t="shared" ca="1" si="3"/>
        <v>154</v>
      </c>
      <c r="K7" s="48" t="str" cm="1">
        <f t="array" ref="K7">_xlfn.CHOOSECOLS(_xlfn.TEXTSPLIT(TRIM($C7)," "),COLUMNS($K$4:K6))</f>
        <v>Ismail</v>
      </c>
      <c r="L7" s="48" t="str" cm="1">
        <f t="array" ref="L7">_xlfn.CHOOSECOLS(_xlfn.TEXTSPLIT(TRIM($C7)," "),COLUMNS($K$4:L6))</f>
        <v>Shariff</v>
      </c>
      <c r="N7" s="3" t="str">
        <f t="shared" si="4"/>
        <v>Ismail</v>
      </c>
      <c r="O7" s="3" t="str">
        <f t="shared" si="5"/>
        <v>Shariff</v>
      </c>
      <c r="P7" s="3">
        <f t="shared" ca="1" si="6"/>
        <v>154</v>
      </c>
    </row>
    <row r="8" spans="1:16" x14ac:dyDescent="0.2">
      <c r="C8" s="4" t="s">
        <v>11</v>
      </c>
      <c r="D8" s="8">
        <f>D5-88</f>
        <v>40835</v>
      </c>
      <c r="E8" s="4" t="str">
        <f t="shared" si="0"/>
        <v>Raghavendra</v>
      </c>
      <c r="F8" s="4" t="str">
        <f t="shared" si="1"/>
        <v xml:space="preserve">  DHD</v>
      </c>
      <c r="G8" s="12">
        <f t="shared" ca="1" si="2"/>
        <v>171</v>
      </c>
      <c r="J8" s="48">
        <f t="shared" ca="1" si="3"/>
        <v>171</v>
      </c>
      <c r="K8" s="48" t="str" cm="1">
        <f t="array" ref="K8">_xlfn.CHOOSECOLS(_xlfn.TEXTSPLIT(TRIM($C8)," "),COLUMNS($K$4:K7))</f>
        <v>Raghavendra</v>
      </c>
      <c r="L8" s="48" t="str" cm="1">
        <f t="array" ref="L8">_xlfn.CHOOSECOLS(_xlfn.TEXTSPLIT(TRIM($C8)," "),COLUMNS($K$4:L7))</f>
        <v>DHD</v>
      </c>
      <c r="N8" s="3" t="str">
        <f t="shared" si="4"/>
        <v>Raghavendra</v>
      </c>
      <c r="O8" s="3" t="str">
        <f t="shared" si="5"/>
        <v>DHD</v>
      </c>
      <c r="P8" s="3">
        <f t="shared" ca="1" si="6"/>
        <v>171</v>
      </c>
    </row>
    <row r="9" spans="1:16" x14ac:dyDescent="0.2">
      <c r="C9" s="4" t="s">
        <v>24</v>
      </c>
      <c r="D9" s="8">
        <v>41532</v>
      </c>
      <c r="E9" s="4" t="str">
        <f t="shared" si="0"/>
        <v>Shahid</v>
      </c>
      <c r="F9" s="4" t="str">
        <f t="shared" si="1"/>
        <v xml:space="preserve"> Ali</v>
      </c>
      <c r="G9" s="12">
        <f t="shared" ca="1" si="2"/>
        <v>148</v>
      </c>
      <c r="J9" s="48">
        <f t="shared" ca="1" si="3"/>
        <v>148</v>
      </c>
      <c r="K9" s="48" t="str" cm="1">
        <f t="array" ref="K9">_xlfn.CHOOSECOLS(_xlfn.TEXTSPLIT(TRIM($C9)," "),COLUMNS($K$4:K8))</f>
        <v>Shahid</v>
      </c>
      <c r="L9" s="48" t="str" cm="1">
        <f t="array" ref="L9">_xlfn.CHOOSECOLS(_xlfn.TEXTSPLIT(TRIM($C9)," "),COLUMNS($K$4:L8))</f>
        <v>Ali</v>
      </c>
      <c r="N9" s="3" t="str">
        <f t="shared" si="4"/>
        <v>Shahid</v>
      </c>
      <c r="O9" s="3" t="str">
        <f t="shared" si="5"/>
        <v>Ali</v>
      </c>
      <c r="P9" s="3">
        <f t="shared" ca="1" si="6"/>
        <v>148</v>
      </c>
    </row>
    <row r="11" spans="1:16" x14ac:dyDescent="0.2">
      <c r="C11" s="3" t="s">
        <v>21</v>
      </c>
      <c r="D11" s="3" t="s">
        <v>65</v>
      </c>
    </row>
    <row r="12" spans="1:16" x14ac:dyDescent="0.2">
      <c r="C12" s="3" t="s">
        <v>22</v>
      </c>
      <c r="D12" s="3" t="s">
        <v>66</v>
      </c>
    </row>
    <row r="13" spans="1:16" x14ac:dyDescent="0.2">
      <c r="C13" s="3" t="s">
        <v>67</v>
      </c>
      <c r="D13" s="3" t="s">
        <v>68</v>
      </c>
    </row>
  </sheetData>
  <pageMargins left="0.7" right="0.7" top="0.75" bottom="0.75" header="0.3" footer="0.3"/>
  <pageSetup orientation="portrait" r:id="rId1"/>
  <headerFooter>
    <oddFooter>&amp;L&amp;D&amp;RPage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5">
    <pageSetUpPr autoPageBreaks="0"/>
  </sheetPr>
  <dimension ref="A1:R196"/>
  <sheetViews>
    <sheetView showGridLines="0" topLeftCell="A159" zoomScale="110" workbookViewId="0">
      <selection activeCell="Q2" sqref="Q2"/>
    </sheetView>
  </sheetViews>
  <sheetFormatPr defaultColWidth="9.21875" defaultRowHeight="10.199999999999999" x14ac:dyDescent="0.2"/>
  <cols>
    <col min="1" max="1" width="10.77734375" style="3" customWidth="1"/>
    <col min="2" max="2" width="7" style="3" bestFit="1" customWidth="1"/>
    <col min="3" max="3" width="13.5546875" style="3" bestFit="1" customWidth="1"/>
    <col min="4" max="4" width="7.5546875" style="3" bestFit="1" customWidth="1"/>
    <col min="5" max="5" width="8" style="3" bestFit="1" customWidth="1"/>
    <col min="6" max="6" width="8.44140625" style="3" bestFit="1" customWidth="1"/>
    <col min="7" max="7" width="8" style="3" bestFit="1" customWidth="1"/>
    <col min="8" max="8" width="8.5546875" style="3" bestFit="1" customWidth="1"/>
    <col min="9" max="10" width="10.44140625" style="3" bestFit="1" customWidth="1"/>
    <col min="11" max="13" width="9.21875" style="41"/>
    <col min="14" max="16384" width="9.21875" style="3"/>
  </cols>
  <sheetData>
    <row r="1" spans="1:18" x14ac:dyDescent="0.2">
      <c r="A1" s="1" t="s">
        <v>0</v>
      </c>
      <c r="B1" s="1" t="s">
        <v>1</v>
      </c>
      <c r="C1" s="1" t="s">
        <v>19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43" t="s">
        <v>80</v>
      </c>
      <c r="L1" s="43" t="s">
        <v>79</v>
      </c>
      <c r="M1" s="43" t="s">
        <v>33</v>
      </c>
    </row>
    <row r="2" spans="1:18" x14ac:dyDescent="0.2">
      <c r="A2" s="2">
        <v>41456</v>
      </c>
      <c r="B2" s="3">
        <v>44021</v>
      </c>
      <c r="C2" s="3" t="s">
        <v>9</v>
      </c>
      <c r="D2" s="3">
        <v>149</v>
      </c>
      <c r="E2" s="3">
        <v>12469</v>
      </c>
      <c r="F2" s="3">
        <v>0</v>
      </c>
      <c r="G2" s="3">
        <v>2117</v>
      </c>
      <c r="H2" s="3">
        <v>17366</v>
      </c>
      <c r="I2" s="3">
        <v>31971</v>
      </c>
      <c r="J2" s="3">
        <v>0</v>
      </c>
      <c r="K2" s="41">
        <f>I2-G2</f>
        <v>29854</v>
      </c>
      <c r="L2" s="42">
        <f>(E2+F2+J2)/D2</f>
        <v>83.68456375838926</v>
      </c>
      <c r="M2" s="41" t="str">
        <f>TEXT(A2,"mmm")</f>
        <v>Jul</v>
      </c>
      <c r="O2" s="3">
        <f>K2/(60*60)</f>
        <v>8.2927777777777774</v>
      </c>
      <c r="P2" s="48">
        <f>I2-G2</f>
        <v>29854</v>
      </c>
      <c r="Q2" s="48">
        <f>(E2+F2+J2)/D2</f>
        <v>83.68456375838926</v>
      </c>
      <c r="R2" s="3">
        <f>K2/3600</f>
        <v>8.2927777777777774</v>
      </c>
    </row>
    <row r="3" spans="1:18" x14ac:dyDescent="0.2">
      <c r="A3" s="2">
        <v>41456</v>
      </c>
      <c r="B3" s="3">
        <v>44022</v>
      </c>
      <c r="C3" s="3" t="s">
        <v>23</v>
      </c>
      <c r="D3" s="3">
        <v>133</v>
      </c>
      <c r="E3" s="3">
        <v>8746</v>
      </c>
      <c r="F3" s="3">
        <v>15</v>
      </c>
      <c r="G3" s="3">
        <v>2716</v>
      </c>
      <c r="H3" s="3">
        <v>20805</v>
      </c>
      <c r="I3" s="3">
        <v>32322</v>
      </c>
      <c r="J3" s="3">
        <v>0</v>
      </c>
      <c r="K3" s="41">
        <f t="shared" ref="K3:K66" si="0">I3-G3</f>
        <v>29606</v>
      </c>
      <c r="L3" s="42">
        <f t="shared" ref="L3:L66" si="1">(E3+F3+J3)/D3</f>
        <v>65.872180451127818</v>
      </c>
      <c r="M3" s="41" t="str">
        <f t="shared" ref="M3:M66" si="2">TEXT(A3,"mmm")</f>
        <v>Jul</v>
      </c>
      <c r="O3" s="3">
        <f t="shared" ref="O3:O6" si="3">K3/(60*60)</f>
        <v>8.2238888888888884</v>
      </c>
      <c r="P3" s="48">
        <f t="shared" ref="P3:P66" si="4">I3-G3</f>
        <v>29606</v>
      </c>
      <c r="Q3" s="48">
        <f t="shared" ref="Q3:Q66" si="5">(E3+F3+J3)/D3</f>
        <v>65.872180451127818</v>
      </c>
      <c r="R3" s="3">
        <f t="shared" ref="R3:R66" si="6">K3/3600</f>
        <v>8.2238888888888884</v>
      </c>
    </row>
    <row r="4" spans="1:18" x14ac:dyDescent="0.2">
      <c r="A4" s="2">
        <v>41456</v>
      </c>
      <c r="B4" s="3">
        <v>44027</v>
      </c>
      <c r="C4" s="3" t="s">
        <v>10</v>
      </c>
      <c r="D4" s="3">
        <v>16</v>
      </c>
      <c r="E4" s="3">
        <v>2114</v>
      </c>
      <c r="F4" s="3">
        <v>0</v>
      </c>
      <c r="G4" s="3">
        <v>44</v>
      </c>
      <c r="H4" s="3">
        <v>2130</v>
      </c>
      <c r="I4" s="3">
        <v>4288</v>
      </c>
      <c r="J4" s="3">
        <v>0</v>
      </c>
      <c r="K4" s="41">
        <f t="shared" si="0"/>
        <v>4244</v>
      </c>
      <c r="L4" s="42">
        <f t="shared" si="1"/>
        <v>132.125</v>
      </c>
      <c r="M4" s="41" t="str">
        <f t="shared" si="2"/>
        <v>Jul</v>
      </c>
      <c r="O4" s="3">
        <f t="shared" si="3"/>
        <v>1.1788888888888889</v>
      </c>
      <c r="P4" s="48">
        <f t="shared" si="4"/>
        <v>4244</v>
      </c>
      <c r="Q4" s="48">
        <f t="shared" si="5"/>
        <v>132.125</v>
      </c>
      <c r="R4" s="3">
        <f t="shared" si="6"/>
        <v>1.1788888888888889</v>
      </c>
    </row>
    <row r="5" spans="1:18" x14ac:dyDescent="0.2">
      <c r="A5" s="2">
        <v>41456</v>
      </c>
      <c r="B5" s="3">
        <v>44033</v>
      </c>
      <c r="C5" s="3" t="s">
        <v>11</v>
      </c>
      <c r="D5" s="3">
        <v>123</v>
      </c>
      <c r="E5" s="3">
        <v>11603</v>
      </c>
      <c r="F5" s="3">
        <v>0</v>
      </c>
      <c r="G5" s="3">
        <v>2442</v>
      </c>
      <c r="H5" s="3">
        <v>18165</v>
      </c>
      <c r="I5" s="3">
        <v>32235</v>
      </c>
      <c r="J5" s="3">
        <v>0</v>
      </c>
      <c r="K5" s="41">
        <f t="shared" si="0"/>
        <v>29793</v>
      </c>
      <c r="L5" s="42">
        <f t="shared" si="1"/>
        <v>94.333333333333329</v>
      </c>
      <c r="M5" s="41" t="str">
        <f t="shared" si="2"/>
        <v>Jul</v>
      </c>
      <c r="O5" s="3">
        <f t="shared" si="3"/>
        <v>8.2758333333333329</v>
      </c>
      <c r="P5" s="48">
        <f t="shared" si="4"/>
        <v>29793</v>
      </c>
      <c r="Q5" s="48">
        <f t="shared" si="5"/>
        <v>94.333333333333329</v>
      </c>
      <c r="R5" s="3">
        <f t="shared" si="6"/>
        <v>8.2758333333333329</v>
      </c>
    </row>
    <row r="6" spans="1:18" x14ac:dyDescent="0.2">
      <c r="A6" s="2">
        <v>41456</v>
      </c>
      <c r="B6" s="3">
        <v>44050</v>
      </c>
      <c r="C6" s="3" t="s">
        <v>24</v>
      </c>
      <c r="D6" s="3">
        <v>106</v>
      </c>
      <c r="E6" s="3">
        <v>10771</v>
      </c>
      <c r="F6" s="3">
        <v>1</v>
      </c>
      <c r="G6" s="3">
        <v>5752</v>
      </c>
      <c r="H6" s="3">
        <v>16586</v>
      </c>
      <c r="I6" s="3">
        <v>33112</v>
      </c>
      <c r="J6" s="3">
        <v>0</v>
      </c>
      <c r="K6" s="41">
        <f t="shared" si="0"/>
        <v>27360</v>
      </c>
      <c r="L6" s="42">
        <f t="shared" si="1"/>
        <v>101.62264150943396</v>
      </c>
      <c r="M6" s="41" t="str">
        <f t="shared" si="2"/>
        <v>Jul</v>
      </c>
      <c r="O6" s="3">
        <f t="shared" si="3"/>
        <v>7.6</v>
      </c>
      <c r="P6" s="48">
        <f t="shared" si="4"/>
        <v>27360</v>
      </c>
      <c r="Q6" s="48">
        <f t="shared" si="5"/>
        <v>101.62264150943396</v>
      </c>
      <c r="R6" s="3">
        <f t="shared" si="6"/>
        <v>7.6</v>
      </c>
    </row>
    <row r="7" spans="1:18" x14ac:dyDescent="0.2">
      <c r="A7" s="2">
        <v>41457</v>
      </c>
      <c r="B7" s="3">
        <v>44021</v>
      </c>
      <c r="C7" s="3" t="s">
        <v>9</v>
      </c>
      <c r="D7" s="3">
        <v>110</v>
      </c>
      <c r="E7" s="3">
        <v>9524</v>
      </c>
      <c r="F7" s="3">
        <v>0</v>
      </c>
      <c r="G7" s="3">
        <v>2485</v>
      </c>
      <c r="H7" s="3">
        <v>19919</v>
      </c>
      <c r="I7" s="3">
        <v>31940</v>
      </c>
      <c r="J7" s="3">
        <v>0</v>
      </c>
      <c r="K7" s="41">
        <f t="shared" si="0"/>
        <v>29455</v>
      </c>
      <c r="L7" s="42">
        <f t="shared" si="1"/>
        <v>86.581818181818178</v>
      </c>
      <c r="M7" s="41" t="str">
        <f t="shared" si="2"/>
        <v>Jul</v>
      </c>
      <c r="P7" s="48">
        <f t="shared" si="4"/>
        <v>29455</v>
      </c>
      <c r="Q7" s="48">
        <f t="shared" si="5"/>
        <v>86.581818181818178</v>
      </c>
      <c r="R7" s="3">
        <f t="shared" si="6"/>
        <v>8.1819444444444436</v>
      </c>
    </row>
    <row r="8" spans="1:18" x14ac:dyDescent="0.2">
      <c r="A8" s="2">
        <v>41457</v>
      </c>
      <c r="B8" s="3">
        <v>44022</v>
      </c>
      <c r="C8" s="3" t="s">
        <v>23</v>
      </c>
      <c r="D8" s="3">
        <v>119</v>
      </c>
      <c r="E8" s="3">
        <v>7629</v>
      </c>
      <c r="F8" s="3">
        <v>0</v>
      </c>
      <c r="G8" s="3">
        <v>4205</v>
      </c>
      <c r="H8" s="3">
        <v>19852</v>
      </c>
      <c r="I8" s="3">
        <v>31713</v>
      </c>
      <c r="J8" s="3">
        <v>0</v>
      </c>
      <c r="K8" s="41">
        <f t="shared" si="0"/>
        <v>27508</v>
      </c>
      <c r="L8" s="42">
        <f t="shared" si="1"/>
        <v>64.109243697478988</v>
      </c>
      <c r="M8" s="41" t="str">
        <f t="shared" si="2"/>
        <v>Jul</v>
      </c>
      <c r="P8" s="48">
        <f t="shared" si="4"/>
        <v>27508</v>
      </c>
      <c r="Q8" s="48">
        <f t="shared" si="5"/>
        <v>64.109243697478988</v>
      </c>
      <c r="R8" s="3">
        <f t="shared" si="6"/>
        <v>7.641111111111111</v>
      </c>
    </row>
    <row r="9" spans="1:18" x14ac:dyDescent="0.2">
      <c r="A9" s="2">
        <v>41457</v>
      </c>
      <c r="B9" s="3">
        <v>44027</v>
      </c>
      <c r="C9" s="3" t="s">
        <v>10</v>
      </c>
      <c r="D9" s="3">
        <v>11</v>
      </c>
      <c r="E9" s="3">
        <v>1137</v>
      </c>
      <c r="F9" s="3">
        <v>0</v>
      </c>
      <c r="G9" s="3">
        <v>66</v>
      </c>
      <c r="H9" s="3">
        <v>1645</v>
      </c>
      <c r="I9" s="3">
        <v>2848</v>
      </c>
      <c r="J9" s="3">
        <v>0</v>
      </c>
      <c r="K9" s="41">
        <f t="shared" si="0"/>
        <v>2782</v>
      </c>
      <c r="L9" s="42">
        <f t="shared" si="1"/>
        <v>103.36363636363636</v>
      </c>
      <c r="M9" s="41" t="str">
        <f t="shared" si="2"/>
        <v>Jul</v>
      </c>
      <c r="P9" s="48">
        <f t="shared" si="4"/>
        <v>2782</v>
      </c>
      <c r="Q9" s="48">
        <f t="shared" si="5"/>
        <v>103.36363636363636</v>
      </c>
      <c r="R9" s="3">
        <f t="shared" si="6"/>
        <v>0.77277777777777779</v>
      </c>
    </row>
    <row r="10" spans="1:18" x14ac:dyDescent="0.2">
      <c r="A10" s="2">
        <v>41457</v>
      </c>
      <c r="B10" s="3">
        <v>44033</v>
      </c>
      <c r="C10" s="3" t="s">
        <v>11</v>
      </c>
      <c r="D10" s="3">
        <v>100</v>
      </c>
      <c r="E10" s="3">
        <v>11254</v>
      </c>
      <c r="F10" s="3">
        <v>0</v>
      </c>
      <c r="G10" s="3">
        <v>2996</v>
      </c>
      <c r="H10" s="3">
        <v>18142</v>
      </c>
      <c r="I10" s="3">
        <v>32406</v>
      </c>
      <c r="J10" s="3">
        <v>0</v>
      </c>
      <c r="K10" s="41">
        <f t="shared" si="0"/>
        <v>29410</v>
      </c>
      <c r="L10" s="42">
        <f t="shared" si="1"/>
        <v>112.54</v>
      </c>
      <c r="M10" s="41" t="str">
        <f t="shared" si="2"/>
        <v>Jul</v>
      </c>
      <c r="P10" s="48">
        <f t="shared" si="4"/>
        <v>29410</v>
      </c>
      <c r="Q10" s="48">
        <f t="shared" si="5"/>
        <v>112.54</v>
      </c>
      <c r="R10" s="3">
        <f t="shared" si="6"/>
        <v>8.1694444444444443</v>
      </c>
    </row>
    <row r="11" spans="1:18" x14ac:dyDescent="0.2">
      <c r="A11" s="2">
        <v>41457</v>
      </c>
      <c r="B11" s="3">
        <v>44050</v>
      </c>
      <c r="C11" s="3" t="s">
        <v>24</v>
      </c>
      <c r="D11" s="3">
        <v>100</v>
      </c>
      <c r="E11" s="3">
        <v>9817</v>
      </c>
      <c r="F11" s="3">
        <v>1</v>
      </c>
      <c r="G11" s="3">
        <v>3814</v>
      </c>
      <c r="H11" s="3">
        <v>17136</v>
      </c>
      <c r="I11" s="3">
        <v>30772</v>
      </c>
      <c r="J11" s="3">
        <v>0</v>
      </c>
      <c r="K11" s="41">
        <f t="shared" si="0"/>
        <v>26958</v>
      </c>
      <c r="L11" s="42">
        <f t="shared" si="1"/>
        <v>98.18</v>
      </c>
      <c r="M11" s="41" t="str">
        <f t="shared" si="2"/>
        <v>Jul</v>
      </c>
      <c r="P11" s="48">
        <f t="shared" si="4"/>
        <v>26958</v>
      </c>
      <c r="Q11" s="48">
        <f t="shared" si="5"/>
        <v>98.18</v>
      </c>
      <c r="R11" s="3">
        <f t="shared" si="6"/>
        <v>7.4883333333333333</v>
      </c>
    </row>
    <row r="12" spans="1:18" x14ac:dyDescent="0.2">
      <c r="A12" s="2">
        <v>41458</v>
      </c>
      <c r="B12" s="3">
        <v>44021</v>
      </c>
      <c r="C12" s="3" t="s">
        <v>9</v>
      </c>
      <c r="D12" s="3">
        <v>104</v>
      </c>
      <c r="E12" s="3">
        <v>8066</v>
      </c>
      <c r="F12" s="3">
        <v>0</v>
      </c>
      <c r="G12" s="3">
        <v>2446</v>
      </c>
      <c r="H12" s="3">
        <v>21982</v>
      </c>
      <c r="I12" s="3">
        <v>32556</v>
      </c>
      <c r="J12" s="3">
        <v>0</v>
      </c>
      <c r="K12" s="41">
        <f t="shared" si="0"/>
        <v>30110</v>
      </c>
      <c r="L12" s="42">
        <f t="shared" si="1"/>
        <v>77.557692307692307</v>
      </c>
      <c r="M12" s="41" t="str">
        <f t="shared" si="2"/>
        <v>Jul</v>
      </c>
      <c r="P12" s="48">
        <f t="shared" si="4"/>
        <v>30110</v>
      </c>
      <c r="Q12" s="48">
        <f t="shared" si="5"/>
        <v>77.557692307692307</v>
      </c>
      <c r="R12" s="3">
        <f t="shared" si="6"/>
        <v>8.3638888888888889</v>
      </c>
    </row>
    <row r="13" spans="1:18" x14ac:dyDescent="0.2">
      <c r="A13" s="2">
        <v>41458</v>
      </c>
      <c r="B13" s="3">
        <v>44022</v>
      </c>
      <c r="C13" s="3" t="s">
        <v>23</v>
      </c>
      <c r="D13" s="3">
        <v>106</v>
      </c>
      <c r="E13" s="3">
        <v>7804</v>
      </c>
      <c r="F13" s="3">
        <v>7</v>
      </c>
      <c r="G13" s="3">
        <v>5765</v>
      </c>
      <c r="H13" s="3">
        <v>20548</v>
      </c>
      <c r="I13" s="3">
        <v>34149</v>
      </c>
      <c r="J13" s="3">
        <v>0</v>
      </c>
      <c r="K13" s="41">
        <f t="shared" si="0"/>
        <v>28384</v>
      </c>
      <c r="L13" s="42">
        <f t="shared" si="1"/>
        <v>73.688679245283012</v>
      </c>
      <c r="M13" s="41" t="str">
        <f t="shared" si="2"/>
        <v>Jul</v>
      </c>
      <c r="P13" s="48">
        <f t="shared" si="4"/>
        <v>28384</v>
      </c>
      <c r="Q13" s="48">
        <f t="shared" si="5"/>
        <v>73.688679245283012</v>
      </c>
      <c r="R13" s="3">
        <f t="shared" si="6"/>
        <v>7.8844444444444441</v>
      </c>
    </row>
    <row r="14" spans="1:18" x14ac:dyDescent="0.2">
      <c r="A14" s="2">
        <v>41458</v>
      </c>
      <c r="B14" s="3">
        <v>44033</v>
      </c>
      <c r="C14" s="3" t="s">
        <v>11</v>
      </c>
      <c r="D14" s="3">
        <v>111</v>
      </c>
      <c r="E14" s="3">
        <v>10140</v>
      </c>
      <c r="F14" s="3">
        <v>0</v>
      </c>
      <c r="G14" s="3">
        <v>3436</v>
      </c>
      <c r="H14" s="3">
        <v>18816</v>
      </c>
      <c r="I14" s="3">
        <v>32409</v>
      </c>
      <c r="J14" s="3">
        <v>0</v>
      </c>
      <c r="K14" s="41">
        <f t="shared" si="0"/>
        <v>28973</v>
      </c>
      <c r="L14" s="42">
        <f t="shared" si="1"/>
        <v>91.351351351351354</v>
      </c>
      <c r="M14" s="41" t="str">
        <f t="shared" si="2"/>
        <v>Jul</v>
      </c>
      <c r="P14" s="48">
        <f t="shared" si="4"/>
        <v>28973</v>
      </c>
      <c r="Q14" s="48">
        <f t="shared" si="5"/>
        <v>91.351351351351354</v>
      </c>
      <c r="R14" s="3">
        <f t="shared" si="6"/>
        <v>8.0480555555555551</v>
      </c>
    </row>
    <row r="15" spans="1:18" x14ac:dyDescent="0.2">
      <c r="A15" s="2">
        <v>41458</v>
      </c>
      <c r="B15" s="3">
        <v>44050</v>
      </c>
      <c r="C15" s="3" t="s">
        <v>24</v>
      </c>
      <c r="D15" s="3">
        <v>69</v>
      </c>
      <c r="E15" s="3">
        <v>7824</v>
      </c>
      <c r="F15" s="3">
        <v>1</v>
      </c>
      <c r="G15" s="3">
        <v>7294</v>
      </c>
      <c r="H15" s="3">
        <v>15422</v>
      </c>
      <c r="I15" s="3">
        <v>30541</v>
      </c>
      <c r="J15" s="3">
        <v>0</v>
      </c>
      <c r="K15" s="41">
        <f t="shared" si="0"/>
        <v>23247</v>
      </c>
      <c r="L15" s="42">
        <f t="shared" si="1"/>
        <v>113.40579710144928</v>
      </c>
      <c r="M15" s="41" t="str">
        <f t="shared" si="2"/>
        <v>Jul</v>
      </c>
      <c r="P15" s="48">
        <f t="shared" si="4"/>
        <v>23247</v>
      </c>
      <c r="Q15" s="48">
        <f t="shared" si="5"/>
        <v>113.40579710144928</v>
      </c>
      <c r="R15" s="3">
        <f t="shared" si="6"/>
        <v>6.4574999999999996</v>
      </c>
    </row>
    <row r="16" spans="1:18" x14ac:dyDescent="0.2">
      <c r="A16" s="2">
        <v>41459</v>
      </c>
      <c r="B16" s="3">
        <v>44021</v>
      </c>
      <c r="C16" s="3" t="s">
        <v>9</v>
      </c>
      <c r="D16" s="3">
        <v>110</v>
      </c>
      <c r="E16" s="3">
        <v>9331</v>
      </c>
      <c r="F16" s="3">
        <v>0</v>
      </c>
      <c r="G16" s="3">
        <v>1990</v>
      </c>
      <c r="H16" s="3">
        <v>21802</v>
      </c>
      <c r="I16" s="3">
        <v>33138</v>
      </c>
      <c r="J16" s="3">
        <v>0</v>
      </c>
      <c r="K16" s="41">
        <f t="shared" si="0"/>
        <v>31148</v>
      </c>
      <c r="L16" s="42">
        <f t="shared" si="1"/>
        <v>84.827272727272728</v>
      </c>
      <c r="M16" s="41" t="str">
        <f t="shared" si="2"/>
        <v>Jul</v>
      </c>
      <c r="P16" s="48">
        <f t="shared" si="4"/>
        <v>31148</v>
      </c>
      <c r="Q16" s="48">
        <f t="shared" si="5"/>
        <v>84.827272727272728</v>
      </c>
      <c r="R16" s="3">
        <f t="shared" si="6"/>
        <v>8.6522222222222229</v>
      </c>
    </row>
    <row r="17" spans="1:18" x14ac:dyDescent="0.2">
      <c r="A17" s="2">
        <v>41459</v>
      </c>
      <c r="B17" s="3">
        <v>44022</v>
      </c>
      <c r="C17" s="3" t="s">
        <v>23</v>
      </c>
      <c r="D17" s="3">
        <v>139</v>
      </c>
      <c r="E17" s="3">
        <v>9766</v>
      </c>
      <c r="F17" s="3">
        <v>103</v>
      </c>
      <c r="G17" s="3">
        <v>2874</v>
      </c>
      <c r="H17" s="3">
        <v>22339</v>
      </c>
      <c r="I17" s="3">
        <v>35105</v>
      </c>
      <c r="J17" s="3">
        <v>0</v>
      </c>
      <c r="K17" s="41">
        <f t="shared" si="0"/>
        <v>32231</v>
      </c>
      <c r="L17" s="42">
        <f t="shared" si="1"/>
        <v>71</v>
      </c>
      <c r="M17" s="41" t="str">
        <f t="shared" si="2"/>
        <v>Jul</v>
      </c>
      <c r="P17" s="48">
        <f t="shared" si="4"/>
        <v>32231</v>
      </c>
      <c r="Q17" s="48">
        <f t="shared" si="5"/>
        <v>71</v>
      </c>
      <c r="R17" s="3">
        <f t="shared" si="6"/>
        <v>8.9530555555555562</v>
      </c>
    </row>
    <row r="18" spans="1:18" x14ac:dyDescent="0.2">
      <c r="A18" s="2">
        <v>41459</v>
      </c>
      <c r="B18" s="3">
        <v>44033</v>
      </c>
      <c r="C18" s="3" t="s">
        <v>11</v>
      </c>
      <c r="D18" s="3">
        <v>105</v>
      </c>
      <c r="E18" s="3">
        <v>10913</v>
      </c>
      <c r="F18" s="3">
        <v>0</v>
      </c>
      <c r="G18" s="3">
        <v>3262</v>
      </c>
      <c r="H18" s="3">
        <v>18300</v>
      </c>
      <c r="I18" s="3">
        <v>32494</v>
      </c>
      <c r="J18" s="3">
        <v>0</v>
      </c>
      <c r="K18" s="41">
        <f t="shared" si="0"/>
        <v>29232</v>
      </c>
      <c r="L18" s="42">
        <f t="shared" si="1"/>
        <v>103.93333333333334</v>
      </c>
      <c r="M18" s="41" t="str">
        <f t="shared" si="2"/>
        <v>Jul</v>
      </c>
      <c r="P18" s="48">
        <f t="shared" si="4"/>
        <v>29232</v>
      </c>
      <c r="Q18" s="48">
        <f t="shared" si="5"/>
        <v>103.93333333333334</v>
      </c>
      <c r="R18" s="3">
        <f t="shared" si="6"/>
        <v>8.1199999999999992</v>
      </c>
    </row>
    <row r="19" spans="1:18" x14ac:dyDescent="0.2">
      <c r="A19" s="2">
        <v>41459</v>
      </c>
      <c r="B19" s="3">
        <v>44050</v>
      </c>
      <c r="C19" s="3" t="s">
        <v>24</v>
      </c>
      <c r="D19" s="3">
        <v>116</v>
      </c>
      <c r="E19" s="3">
        <v>10731</v>
      </c>
      <c r="F19" s="3">
        <v>64</v>
      </c>
      <c r="G19" s="3">
        <v>4465</v>
      </c>
      <c r="H19" s="3">
        <v>17822</v>
      </c>
      <c r="I19" s="3">
        <v>33090</v>
      </c>
      <c r="J19" s="3">
        <v>0</v>
      </c>
      <c r="K19" s="41">
        <f t="shared" si="0"/>
        <v>28625</v>
      </c>
      <c r="L19" s="42">
        <f t="shared" si="1"/>
        <v>93.060344827586206</v>
      </c>
      <c r="M19" s="41" t="str">
        <f t="shared" si="2"/>
        <v>Jul</v>
      </c>
      <c r="P19" s="48">
        <f t="shared" si="4"/>
        <v>28625</v>
      </c>
      <c r="Q19" s="48">
        <f t="shared" si="5"/>
        <v>93.060344827586206</v>
      </c>
      <c r="R19" s="3">
        <f t="shared" si="6"/>
        <v>7.9513888888888893</v>
      </c>
    </row>
    <row r="20" spans="1:18" x14ac:dyDescent="0.2">
      <c r="A20" s="2">
        <v>41461</v>
      </c>
      <c r="B20" s="3">
        <v>44021</v>
      </c>
      <c r="C20" s="3" t="s">
        <v>9</v>
      </c>
      <c r="D20" s="3">
        <v>124</v>
      </c>
      <c r="E20" s="3">
        <v>11783</v>
      </c>
      <c r="F20" s="3">
        <v>0</v>
      </c>
      <c r="G20" s="3">
        <v>1313</v>
      </c>
      <c r="H20" s="3">
        <v>19423</v>
      </c>
      <c r="I20" s="3">
        <v>32538</v>
      </c>
      <c r="J20" s="3">
        <v>0</v>
      </c>
      <c r="K20" s="41">
        <f t="shared" si="0"/>
        <v>31225</v>
      </c>
      <c r="L20" s="42">
        <f t="shared" si="1"/>
        <v>95.024193548387103</v>
      </c>
      <c r="M20" s="41" t="str">
        <f t="shared" si="2"/>
        <v>Jul</v>
      </c>
      <c r="P20" s="48">
        <f t="shared" si="4"/>
        <v>31225</v>
      </c>
      <c r="Q20" s="48">
        <f t="shared" si="5"/>
        <v>95.024193548387103</v>
      </c>
      <c r="R20" s="3">
        <f t="shared" si="6"/>
        <v>8.6736111111111107</v>
      </c>
    </row>
    <row r="21" spans="1:18" x14ac:dyDescent="0.2">
      <c r="A21" s="2">
        <v>41461</v>
      </c>
      <c r="B21" s="3">
        <v>44022</v>
      </c>
      <c r="C21" s="3" t="s">
        <v>23</v>
      </c>
      <c r="D21" s="3">
        <v>113</v>
      </c>
      <c r="E21" s="3">
        <v>7748</v>
      </c>
      <c r="F21" s="3">
        <v>3</v>
      </c>
      <c r="G21" s="3">
        <v>5738</v>
      </c>
      <c r="H21" s="3">
        <v>19167</v>
      </c>
      <c r="I21" s="3">
        <v>32713</v>
      </c>
      <c r="J21" s="3">
        <v>0</v>
      </c>
      <c r="K21" s="41">
        <f t="shared" si="0"/>
        <v>26975</v>
      </c>
      <c r="L21" s="42">
        <f t="shared" si="1"/>
        <v>68.592920353982308</v>
      </c>
      <c r="M21" s="41" t="str">
        <f t="shared" si="2"/>
        <v>Jul</v>
      </c>
      <c r="P21" s="48">
        <f t="shared" si="4"/>
        <v>26975</v>
      </c>
      <c r="Q21" s="48">
        <f t="shared" si="5"/>
        <v>68.592920353982308</v>
      </c>
      <c r="R21" s="3">
        <f t="shared" si="6"/>
        <v>7.4930555555555554</v>
      </c>
    </row>
    <row r="22" spans="1:18" x14ac:dyDescent="0.2">
      <c r="A22" s="2">
        <v>41461</v>
      </c>
      <c r="B22" s="3">
        <v>44027</v>
      </c>
      <c r="C22" s="3" t="s">
        <v>10</v>
      </c>
      <c r="D22" s="3">
        <v>10</v>
      </c>
      <c r="E22" s="3">
        <v>1130</v>
      </c>
      <c r="F22" s="3">
        <v>0</v>
      </c>
      <c r="G22" s="3">
        <v>5</v>
      </c>
      <c r="H22" s="3">
        <v>2007</v>
      </c>
      <c r="I22" s="3">
        <v>3146</v>
      </c>
      <c r="J22" s="3">
        <v>0</v>
      </c>
      <c r="K22" s="41">
        <f t="shared" si="0"/>
        <v>3141</v>
      </c>
      <c r="L22" s="42">
        <f t="shared" si="1"/>
        <v>113</v>
      </c>
      <c r="M22" s="41" t="str">
        <f t="shared" si="2"/>
        <v>Jul</v>
      </c>
      <c r="P22" s="48">
        <f t="shared" si="4"/>
        <v>3141</v>
      </c>
      <c r="Q22" s="48">
        <f t="shared" si="5"/>
        <v>113</v>
      </c>
      <c r="R22" s="3">
        <f t="shared" si="6"/>
        <v>0.87250000000000005</v>
      </c>
    </row>
    <row r="23" spans="1:18" x14ac:dyDescent="0.2">
      <c r="A23" s="2">
        <v>41461</v>
      </c>
      <c r="B23" s="3">
        <v>44033</v>
      </c>
      <c r="C23" s="3" t="s">
        <v>11</v>
      </c>
      <c r="D23" s="3">
        <v>109</v>
      </c>
      <c r="E23" s="3">
        <v>12521</v>
      </c>
      <c r="F23" s="3">
        <v>0</v>
      </c>
      <c r="G23" s="3">
        <v>3188</v>
      </c>
      <c r="H23" s="3">
        <v>16627</v>
      </c>
      <c r="I23" s="3">
        <v>32353</v>
      </c>
      <c r="J23" s="3">
        <v>0</v>
      </c>
      <c r="K23" s="41">
        <f t="shared" si="0"/>
        <v>29165</v>
      </c>
      <c r="L23" s="42">
        <f t="shared" si="1"/>
        <v>114.87155963302752</v>
      </c>
      <c r="M23" s="41" t="str">
        <f t="shared" si="2"/>
        <v>Jul</v>
      </c>
      <c r="P23" s="48">
        <f t="shared" si="4"/>
        <v>29165</v>
      </c>
      <c r="Q23" s="48">
        <f t="shared" si="5"/>
        <v>114.87155963302752</v>
      </c>
      <c r="R23" s="3">
        <f t="shared" si="6"/>
        <v>8.1013888888888896</v>
      </c>
    </row>
    <row r="24" spans="1:18" x14ac:dyDescent="0.2">
      <c r="A24" s="2">
        <v>41461</v>
      </c>
      <c r="B24" s="3">
        <v>44050</v>
      </c>
      <c r="C24" s="3" t="s">
        <v>24</v>
      </c>
      <c r="D24" s="3">
        <v>106</v>
      </c>
      <c r="E24" s="3">
        <v>11117</v>
      </c>
      <c r="F24" s="3">
        <v>0</v>
      </c>
      <c r="G24" s="3">
        <v>4863</v>
      </c>
      <c r="H24" s="3">
        <v>16866</v>
      </c>
      <c r="I24" s="3">
        <v>32847</v>
      </c>
      <c r="J24" s="3">
        <v>0</v>
      </c>
      <c r="K24" s="41">
        <f t="shared" si="0"/>
        <v>27984</v>
      </c>
      <c r="L24" s="42">
        <f t="shared" si="1"/>
        <v>104.87735849056604</v>
      </c>
      <c r="M24" s="41" t="str">
        <f t="shared" si="2"/>
        <v>Jul</v>
      </c>
      <c r="P24" s="48">
        <f t="shared" si="4"/>
        <v>27984</v>
      </c>
      <c r="Q24" s="48">
        <f t="shared" si="5"/>
        <v>104.87735849056604</v>
      </c>
      <c r="R24" s="3">
        <f t="shared" si="6"/>
        <v>7.7733333333333334</v>
      </c>
    </row>
    <row r="25" spans="1:18" x14ac:dyDescent="0.2">
      <c r="A25" s="2">
        <v>41462</v>
      </c>
      <c r="B25" s="3">
        <v>44021</v>
      </c>
      <c r="C25" s="3" t="s">
        <v>9</v>
      </c>
      <c r="D25" s="3">
        <v>126</v>
      </c>
      <c r="E25" s="3">
        <v>12543</v>
      </c>
      <c r="F25" s="3">
        <v>0</v>
      </c>
      <c r="G25" s="3">
        <v>2954</v>
      </c>
      <c r="H25" s="3">
        <v>17428</v>
      </c>
      <c r="I25" s="3">
        <v>32939</v>
      </c>
      <c r="J25" s="3">
        <v>0</v>
      </c>
      <c r="K25" s="41">
        <f t="shared" si="0"/>
        <v>29985</v>
      </c>
      <c r="L25" s="42">
        <f t="shared" si="1"/>
        <v>99.547619047619051</v>
      </c>
      <c r="M25" s="41" t="str">
        <f t="shared" si="2"/>
        <v>Jul</v>
      </c>
      <c r="P25" s="48">
        <f t="shared" si="4"/>
        <v>29985</v>
      </c>
      <c r="Q25" s="48">
        <f t="shared" si="5"/>
        <v>99.547619047619051</v>
      </c>
      <c r="R25" s="3">
        <f t="shared" si="6"/>
        <v>8.3291666666666675</v>
      </c>
    </row>
    <row r="26" spans="1:18" x14ac:dyDescent="0.2">
      <c r="A26" s="2">
        <v>41462</v>
      </c>
      <c r="B26" s="3">
        <v>44022</v>
      </c>
      <c r="C26" s="3" t="s">
        <v>23</v>
      </c>
      <c r="D26" s="3">
        <v>67</v>
      </c>
      <c r="E26" s="3">
        <v>4208</v>
      </c>
      <c r="F26" s="3">
        <v>1</v>
      </c>
      <c r="G26" s="3">
        <v>416</v>
      </c>
      <c r="H26" s="3">
        <v>10684</v>
      </c>
      <c r="I26" s="3">
        <v>15323</v>
      </c>
      <c r="J26" s="3">
        <v>0</v>
      </c>
      <c r="K26" s="41">
        <f t="shared" si="0"/>
        <v>14907</v>
      </c>
      <c r="L26" s="42">
        <f t="shared" si="1"/>
        <v>62.820895522388057</v>
      </c>
      <c r="M26" s="41" t="str">
        <f t="shared" si="2"/>
        <v>Jul</v>
      </c>
      <c r="P26" s="48">
        <f t="shared" si="4"/>
        <v>14907</v>
      </c>
      <c r="Q26" s="48">
        <f t="shared" si="5"/>
        <v>62.820895522388057</v>
      </c>
      <c r="R26" s="3">
        <f t="shared" si="6"/>
        <v>4.1408333333333331</v>
      </c>
    </row>
    <row r="27" spans="1:18" x14ac:dyDescent="0.2">
      <c r="A27" s="2">
        <v>41462</v>
      </c>
      <c r="B27" s="3">
        <v>44027</v>
      </c>
      <c r="C27" s="3" t="s">
        <v>10</v>
      </c>
      <c r="D27" s="3">
        <v>9</v>
      </c>
      <c r="E27" s="3">
        <v>675</v>
      </c>
      <c r="F27" s="3">
        <v>0</v>
      </c>
      <c r="G27" s="3">
        <v>433</v>
      </c>
      <c r="H27" s="3">
        <v>1805</v>
      </c>
      <c r="I27" s="3">
        <v>2913</v>
      </c>
      <c r="J27" s="3">
        <v>0</v>
      </c>
      <c r="K27" s="41">
        <f t="shared" si="0"/>
        <v>2480</v>
      </c>
      <c r="L27" s="42">
        <f t="shared" si="1"/>
        <v>75</v>
      </c>
      <c r="M27" s="41" t="str">
        <f t="shared" si="2"/>
        <v>Jul</v>
      </c>
      <c r="P27" s="48">
        <f t="shared" si="4"/>
        <v>2480</v>
      </c>
      <c r="Q27" s="48">
        <f t="shared" si="5"/>
        <v>75</v>
      </c>
      <c r="R27" s="3">
        <f t="shared" si="6"/>
        <v>0.68888888888888888</v>
      </c>
    </row>
    <row r="28" spans="1:18" x14ac:dyDescent="0.2">
      <c r="A28" s="2">
        <v>41462</v>
      </c>
      <c r="B28" s="3">
        <v>44033</v>
      </c>
      <c r="C28" s="3" t="s">
        <v>11</v>
      </c>
      <c r="D28" s="3">
        <v>128</v>
      </c>
      <c r="E28" s="3">
        <v>12458</v>
      </c>
      <c r="F28" s="3">
        <v>0</v>
      </c>
      <c r="G28" s="3">
        <v>3019</v>
      </c>
      <c r="H28" s="3">
        <v>16943</v>
      </c>
      <c r="I28" s="3">
        <v>32442</v>
      </c>
      <c r="J28" s="3">
        <v>0</v>
      </c>
      <c r="K28" s="41">
        <f t="shared" si="0"/>
        <v>29423</v>
      </c>
      <c r="L28" s="42">
        <f t="shared" si="1"/>
        <v>97.328125</v>
      </c>
      <c r="M28" s="41" t="str">
        <f t="shared" si="2"/>
        <v>Jul</v>
      </c>
      <c r="P28" s="48">
        <f t="shared" si="4"/>
        <v>29423</v>
      </c>
      <c r="Q28" s="48">
        <f t="shared" si="5"/>
        <v>97.328125</v>
      </c>
      <c r="R28" s="3">
        <f t="shared" si="6"/>
        <v>8.1730555555555551</v>
      </c>
    </row>
    <row r="29" spans="1:18" x14ac:dyDescent="0.2">
      <c r="A29" s="2">
        <v>41462</v>
      </c>
      <c r="B29" s="3">
        <v>44050</v>
      </c>
      <c r="C29" s="3" t="s">
        <v>24</v>
      </c>
      <c r="D29" s="3">
        <v>133</v>
      </c>
      <c r="E29" s="3">
        <v>12263</v>
      </c>
      <c r="F29" s="3">
        <v>1</v>
      </c>
      <c r="G29" s="3">
        <v>3173</v>
      </c>
      <c r="H29" s="3">
        <v>19448</v>
      </c>
      <c r="I29" s="3">
        <v>34888</v>
      </c>
      <c r="J29" s="3">
        <v>0</v>
      </c>
      <c r="K29" s="41">
        <f t="shared" si="0"/>
        <v>31715</v>
      </c>
      <c r="L29" s="42">
        <f t="shared" si="1"/>
        <v>92.21052631578948</v>
      </c>
      <c r="M29" s="41" t="str">
        <f t="shared" si="2"/>
        <v>Jul</v>
      </c>
      <c r="P29" s="48">
        <f t="shared" si="4"/>
        <v>31715</v>
      </c>
      <c r="Q29" s="48">
        <f t="shared" si="5"/>
        <v>92.21052631578948</v>
      </c>
      <c r="R29" s="3">
        <f t="shared" si="6"/>
        <v>8.8097222222222218</v>
      </c>
    </row>
    <row r="30" spans="1:18" x14ac:dyDescent="0.2">
      <c r="A30" s="2">
        <v>41463</v>
      </c>
      <c r="B30" s="3">
        <v>44021</v>
      </c>
      <c r="C30" s="3" t="s">
        <v>9</v>
      </c>
      <c r="D30" s="3">
        <v>110</v>
      </c>
      <c r="E30" s="3">
        <v>8867</v>
      </c>
      <c r="F30" s="3">
        <v>0</v>
      </c>
      <c r="G30" s="3">
        <v>2414</v>
      </c>
      <c r="H30" s="3">
        <v>21582</v>
      </c>
      <c r="I30" s="3">
        <v>32870</v>
      </c>
      <c r="J30" s="3">
        <v>0</v>
      </c>
      <c r="K30" s="41">
        <f t="shared" si="0"/>
        <v>30456</v>
      </c>
      <c r="L30" s="42">
        <f t="shared" si="1"/>
        <v>80.609090909090909</v>
      </c>
      <c r="M30" s="41" t="str">
        <f t="shared" si="2"/>
        <v>Jul</v>
      </c>
      <c r="P30" s="48">
        <f t="shared" si="4"/>
        <v>30456</v>
      </c>
      <c r="Q30" s="48">
        <f t="shared" si="5"/>
        <v>80.609090909090909</v>
      </c>
      <c r="R30" s="3">
        <f t="shared" si="6"/>
        <v>8.4600000000000009</v>
      </c>
    </row>
    <row r="31" spans="1:18" x14ac:dyDescent="0.2">
      <c r="A31" s="2">
        <v>41463</v>
      </c>
      <c r="B31" s="3">
        <v>44022</v>
      </c>
      <c r="C31" s="3" t="s">
        <v>23</v>
      </c>
      <c r="D31" s="3">
        <v>118</v>
      </c>
      <c r="E31" s="3">
        <v>7895</v>
      </c>
      <c r="F31" s="3">
        <v>112</v>
      </c>
      <c r="G31" s="3">
        <v>4807</v>
      </c>
      <c r="H31" s="3">
        <v>23649</v>
      </c>
      <c r="I31" s="3">
        <v>36485</v>
      </c>
      <c r="J31" s="3">
        <v>0</v>
      </c>
      <c r="K31" s="41">
        <f t="shared" si="0"/>
        <v>31678</v>
      </c>
      <c r="L31" s="42">
        <f t="shared" si="1"/>
        <v>67.855932203389827</v>
      </c>
      <c r="M31" s="41" t="str">
        <f t="shared" si="2"/>
        <v>Jul</v>
      </c>
      <c r="P31" s="48">
        <f t="shared" si="4"/>
        <v>31678</v>
      </c>
      <c r="Q31" s="48">
        <f t="shared" si="5"/>
        <v>67.855932203389827</v>
      </c>
      <c r="R31" s="3">
        <f t="shared" si="6"/>
        <v>8.7994444444444451</v>
      </c>
    </row>
    <row r="32" spans="1:18" x14ac:dyDescent="0.2">
      <c r="A32" s="2">
        <v>41463</v>
      </c>
      <c r="B32" s="3">
        <v>44027</v>
      </c>
      <c r="C32" s="3" t="s">
        <v>10</v>
      </c>
      <c r="D32" s="3">
        <v>10</v>
      </c>
      <c r="E32" s="3">
        <v>1253</v>
      </c>
      <c r="F32" s="3">
        <v>0</v>
      </c>
      <c r="G32" s="3">
        <v>145</v>
      </c>
      <c r="H32" s="3">
        <v>1519</v>
      </c>
      <c r="I32" s="3">
        <v>2917</v>
      </c>
      <c r="J32" s="3">
        <v>0</v>
      </c>
      <c r="K32" s="41">
        <f t="shared" si="0"/>
        <v>2772</v>
      </c>
      <c r="L32" s="42">
        <f t="shared" si="1"/>
        <v>125.3</v>
      </c>
      <c r="M32" s="41" t="str">
        <f t="shared" si="2"/>
        <v>Jul</v>
      </c>
      <c r="P32" s="48">
        <f t="shared" si="4"/>
        <v>2772</v>
      </c>
      <c r="Q32" s="48">
        <f t="shared" si="5"/>
        <v>125.3</v>
      </c>
      <c r="R32" s="3">
        <f t="shared" si="6"/>
        <v>0.77</v>
      </c>
    </row>
    <row r="33" spans="1:18" x14ac:dyDescent="0.2">
      <c r="A33" s="2">
        <v>41463</v>
      </c>
      <c r="B33" s="3">
        <v>44033</v>
      </c>
      <c r="C33" s="3" t="s">
        <v>11</v>
      </c>
      <c r="D33" s="3">
        <v>97</v>
      </c>
      <c r="E33" s="3">
        <v>9842</v>
      </c>
      <c r="F33" s="3">
        <v>0</v>
      </c>
      <c r="G33" s="3">
        <v>3023</v>
      </c>
      <c r="H33" s="3">
        <v>19490</v>
      </c>
      <c r="I33" s="3">
        <v>32360</v>
      </c>
      <c r="J33" s="3">
        <v>0</v>
      </c>
      <c r="K33" s="41">
        <f t="shared" si="0"/>
        <v>29337</v>
      </c>
      <c r="L33" s="42">
        <f t="shared" si="1"/>
        <v>101.4639175257732</v>
      </c>
      <c r="M33" s="41" t="str">
        <f t="shared" si="2"/>
        <v>Jul</v>
      </c>
      <c r="P33" s="48">
        <f t="shared" si="4"/>
        <v>29337</v>
      </c>
      <c r="Q33" s="48">
        <f t="shared" si="5"/>
        <v>101.4639175257732</v>
      </c>
      <c r="R33" s="3">
        <f t="shared" si="6"/>
        <v>8.149166666666666</v>
      </c>
    </row>
    <row r="34" spans="1:18" x14ac:dyDescent="0.2">
      <c r="A34" s="2">
        <v>41463</v>
      </c>
      <c r="B34" s="3">
        <v>44050</v>
      </c>
      <c r="C34" s="3" t="s">
        <v>24</v>
      </c>
      <c r="D34" s="3">
        <v>105</v>
      </c>
      <c r="E34" s="3">
        <v>9089</v>
      </c>
      <c r="F34" s="3">
        <v>0</v>
      </c>
      <c r="G34" s="3">
        <v>3862</v>
      </c>
      <c r="H34" s="3">
        <v>20371</v>
      </c>
      <c r="I34" s="3">
        <v>33325</v>
      </c>
      <c r="J34" s="3">
        <v>0</v>
      </c>
      <c r="K34" s="41">
        <f t="shared" si="0"/>
        <v>29463</v>
      </c>
      <c r="L34" s="42">
        <f t="shared" si="1"/>
        <v>86.561904761904756</v>
      </c>
      <c r="M34" s="41" t="str">
        <f t="shared" si="2"/>
        <v>Jul</v>
      </c>
      <c r="P34" s="48">
        <f t="shared" si="4"/>
        <v>29463</v>
      </c>
      <c r="Q34" s="48">
        <f t="shared" si="5"/>
        <v>86.561904761904756</v>
      </c>
      <c r="R34" s="3">
        <f t="shared" si="6"/>
        <v>8.1841666666666661</v>
      </c>
    </row>
    <row r="35" spans="1:18" x14ac:dyDescent="0.2">
      <c r="A35" s="2">
        <v>41464</v>
      </c>
      <c r="B35" s="3">
        <v>44021</v>
      </c>
      <c r="C35" s="3" t="s">
        <v>9</v>
      </c>
      <c r="D35" s="3">
        <v>116</v>
      </c>
      <c r="E35" s="3">
        <v>11182</v>
      </c>
      <c r="F35" s="3">
        <v>0</v>
      </c>
      <c r="G35" s="3">
        <v>3200</v>
      </c>
      <c r="H35" s="3">
        <v>18355</v>
      </c>
      <c r="I35" s="3">
        <v>32748</v>
      </c>
      <c r="J35" s="3">
        <v>0</v>
      </c>
      <c r="K35" s="41">
        <f t="shared" si="0"/>
        <v>29548</v>
      </c>
      <c r="L35" s="42">
        <f t="shared" si="1"/>
        <v>96.396551724137936</v>
      </c>
      <c r="M35" s="41" t="str">
        <f t="shared" si="2"/>
        <v>Jul</v>
      </c>
      <c r="P35" s="48">
        <f t="shared" si="4"/>
        <v>29548</v>
      </c>
      <c r="Q35" s="48">
        <f t="shared" si="5"/>
        <v>96.396551724137936</v>
      </c>
      <c r="R35" s="3">
        <f t="shared" si="6"/>
        <v>8.2077777777777783</v>
      </c>
    </row>
    <row r="36" spans="1:18" x14ac:dyDescent="0.2">
      <c r="A36" s="2">
        <v>41464</v>
      </c>
      <c r="B36" s="3">
        <v>44022</v>
      </c>
      <c r="C36" s="3" t="s">
        <v>23</v>
      </c>
      <c r="D36" s="3">
        <v>127</v>
      </c>
      <c r="E36" s="3">
        <v>9111</v>
      </c>
      <c r="F36" s="3">
        <v>0</v>
      </c>
      <c r="G36" s="3">
        <v>4966</v>
      </c>
      <c r="H36" s="3">
        <v>19516</v>
      </c>
      <c r="I36" s="3">
        <v>33627</v>
      </c>
      <c r="J36" s="3">
        <v>0</v>
      </c>
      <c r="K36" s="41">
        <f t="shared" si="0"/>
        <v>28661</v>
      </c>
      <c r="L36" s="42">
        <f t="shared" si="1"/>
        <v>71.740157480314963</v>
      </c>
      <c r="M36" s="41" t="str">
        <f t="shared" si="2"/>
        <v>Jul</v>
      </c>
      <c r="P36" s="48">
        <f t="shared" si="4"/>
        <v>28661</v>
      </c>
      <c r="Q36" s="48">
        <f t="shared" si="5"/>
        <v>71.740157480314963</v>
      </c>
      <c r="R36" s="3">
        <f t="shared" si="6"/>
        <v>7.9613888888888891</v>
      </c>
    </row>
    <row r="37" spans="1:18" x14ac:dyDescent="0.2">
      <c r="A37" s="2">
        <v>41464</v>
      </c>
      <c r="B37" s="3">
        <v>44033</v>
      </c>
      <c r="C37" s="3" t="s">
        <v>11</v>
      </c>
      <c r="D37" s="3">
        <v>119</v>
      </c>
      <c r="E37" s="3">
        <v>10474</v>
      </c>
      <c r="F37" s="3">
        <v>0</v>
      </c>
      <c r="G37" s="3">
        <v>2966</v>
      </c>
      <c r="H37" s="3">
        <v>18949</v>
      </c>
      <c r="I37" s="3">
        <v>32415</v>
      </c>
      <c r="J37" s="3">
        <v>0</v>
      </c>
      <c r="K37" s="41">
        <f t="shared" si="0"/>
        <v>29449</v>
      </c>
      <c r="L37" s="42">
        <f t="shared" si="1"/>
        <v>88.016806722689083</v>
      </c>
      <c r="M37" s="41" t="str">
        <f t="shared" si="2"/>
        <v>Jul</v>
      </c>
      <c r="P37" s="48">
        <f t="shared" si="4"/>
        <v>29449</v>
      </c>
      <c r="Q37" s="48">
        <f t="shared" si="5"/>
        <v>88.016806722689083</v>
      </c>
      <c r="R37" s="3">
        <f t="shared" si="6"/>
        <v>8.1802777777777784</v>
      </c>
    </row>
    <row r="38" spans="1:18" x14ac:dyDescent="0.2">
      <c r="A38" s="2">
        <v>41464</v>
      </c>
      <c r="B38" s="3">
        <v>44050</v>
      </c>
      <c r="C38" s="3" t="s">
        <v>24</v>
      </c>
      <c r="D38" s="3">
        <v>83</v>
      </c>
      <c r="E38" s="3">
        <v>8509</v>
      </c>
      <c r="F38" s="3">
        <v>0</v>
      </c>
      <c r="G38" s="3">
        <v>2595</v>
      </c>
      <c r="H38" s="3">
        <v>12150</v>
      </c>
      <c r="I38" s="3">
        <v>23256</v>
      </c>
      <c r="J38" s="3">
        <v>0</v>
      </c>
      <c r="K38" s="41">
        <f t="shared" si="0"/>
        <v>20661</v>
      </c>
      <c r="L38" s="42">
        <f t="shared" si="1"/>
        <v>102.51807228915662</v>
      </c>
      <c r="M38" s="41" t="str">
        <f t="shared" si="2"/>
        <v>Jul</v>
      </c>
      <c r="P38" s="48">
        <f t="shared" si="4"/>
        <v>20661</v>
      </c>
      <c r="Q38" s="48">
        <f t="shared" si="5"/>
        <v>102.51807228915662</v>
      </c>
      <c r="R38" s="3">
        <f t="shared" si="6"/>
        <v>5.7391666666666667</v>
      </c>
    </row>
    <row r="39" spans="1:18" x14ac:dyDescent="0.2">
      <c r="A39" s="2">
        <v>41465</v>
      </c>
      <c r="B39" s="3">
        <v>44021</v>
      </c>
      <c r="C39" s="3" t="s">
        <v>9</v>
      </c>
      <c r="D39" s="3">
        <v>101</v>
      </c>
      <c r="E39" s="3">
        <v>11143</v>
      </c>
      <c r="F39" s="3">
        <v>0</v>
      </c>
      <c r="G39" s="3">
        <v>1356</v>
      </c>
      <c r="H39" s="3">
        <v>20304</v>
      </c>
      <c r="I39" s="3">
        <v>32816</v>
      </c>
      <c r="J39" s="3">
        <v>0</v>
      </c>
      <c r="K39" s="41">
        <f t="shared" si="0"/>
        <v>31460</v>
      </c>
      <c r="L39" s="42">
        <f t="shared" si="1"/>
        <v>110.32673267326733</v>
      </c>
      <c r="M39" s="41" t="str">
        <f t="shared" si="2"/>
        <v>Jul</v>
      </c>
      <c r="P39" s="48">
        <f t="shared" si="4"/>
        <v>31460</v>
      </c>
      <c r="Q39" s="48">
        <f t="shared" si="5"/>
        <v>110.32673267326733</v>
      </c>
      <c r="R39" s="3">
        <f t="shared" si="6"/>
        <v>8.7388888888888889</v>
      </c>
    </row>
    <row r="40" spans="1:18" x14ac:dyDescent="0.2">
      <c r="A40" s="2">
        <v>41465</v>
      </c>
      <c r="B40" s="3">
        <v>44022</v>
      </c>
      <c r="C40" s="3" t="s">
        <v>23</v>
      </c>
      <c r="D40" s="3">
        <v>120</v>
      </c>
      <c r="E40" s="3">
        <v>8449</v>
      </c>
      <c r="F40" s="3">
        <v>0</v>
      </c>
      <c r="G40" s="3">
        <v>6085</v>
      </c>
      <c r="H40" s="3">
        <v>24176</v>
      </c>
      <c r="I40" s="3">
        <v>38795</v>
      </c>
      <c r="J40" s="3">
        <v>8</v>
      </c>
      <c r="K40" s="41">
        <f t="shared" si="0"/>
        <v>32710</v>
      </c>
      <c r="L40" s="42">
        <f t="shared" si="1"/>
        <v>70.474999999999994</v>
      </c>
      <c r="M40" s="41" t="str">
        <f t="shared" si="2"/>
        <v>Jul</v>
      </c>
      <c r="P40" s="48">
        <f t="shared" si="4"/>
        <v>32710</v>
      </c>
      <c r="Q40" s="48">
        <f t="shared" si="5"/>
        <v>70.474999999999994</v>
      </c>
      <c r="R40" s="3">
        <f t="shared" si="6"/>
        <v>9.0861111111111104</v>
      </c>
    </row>
    <row r="41" spans="1:18" x14ac:dyDescent="0.2">
      <c r="A41" s="2">
        <v>41465</v>
      </c>
      <c r="B41" s="3">
        <v>44027</v>
      </c>
      <c r="C41" s="3" t="s">
        <v>10</v>
      </c>
      <c r="D41" s="3">
        <v>10</v>
      </c>
      <c r="E41" s="3">
        <v>906</v>
      </c>
      <c r="F41" s="3">
        <v>0</v>
      </c>
      <c r="G41" s="3">
        <v>7</v>
      </c>
      <c r="H41" s="3">
        <v>1727</v>
      </c>
      <c r="I41" s="3">
        <v>2643</v>
      </c>
      <c r="J41" s="3">
        <v>0</v>
      </c>
      <c r="K41" s="41">
        <f t="shared" si="0"/>
        <v>2636</v>
      </c>
      <c r="L41" s="42">
        <f t="shared" si="1"/>
        <v>90.6</v>
      </c>
      <c r="M41" s="41" t="str">
        <f t="shared" si="2"/>
        <v>Jul</v>
      </c>
      <c r="P41" s="48">
        <f t="shared" si="4"/>
        <v>2636</v>
      </c>
      <c r="Q41" s="48">
        <f t="shared" si="5"/>
        <v>90.6</v>
      </c>
      <c r="R41" s="3">
        <f t="shared" si="6"/>
        <v>0.73222222222222222</v>
      </c>
    </row>
    <row r="42" spans="1:18" x14ac:dyDescent="0.2">
      <c r="A42" s="2">
        <v>41465</v>
      </c>
      <c r="B42" s="3">
        <v>44033</v>
      </c>
      <c r="C42" s="3" t="s">
        <v>11</v>
      </c>
      <c r="D42" s="3">
        <v>105</v>
      </c>
      <c r="E42" s="3">
        <v>10674</v>
      </c>
      <c r="F42" s="3">
        <v>0</v>
      </c>
      <c r="G42" s="3">
        <v>2411</v>
      </c>
      <c r="H42" s="3">
        <v>18793</v>
      </c>
      <c r="I42" s="3">
        <v>31899</v>
      </c>
      <c r="J42" s="3">
        <v>0</v>
      </c>
      <c r="K42" s="41">
        <f t="shared" si="0"/>
        <v>29488</v>
      </c>
      <c r="L42" s="42">
        <f t="shared" si="1"/>
        <v>101.65714285714286</v>
      </c>
      <c r="M42" s="41" t="str">
        <f t="shared" si="2"/>
        <v>Jul</v>
      </c>
      <c r="P42" s="48">
        <f t="shared" si="4"/>
        <v>29488</v>
      </c>
      <c r="Q42" s="48">
        <f t="shared" si="5"/>
        <v>101.65714285714286</v>
      </c>
      <c r="R42" s="3">
        <f t="shared" si="6"/>
        <v>8.1911111111111108</v>
      </c>
    </row>
    <row r="43" spans="1:18" x14ac:dyDescent="0.2">
      <c r="A43" s="2">
        <v>41465</v>
      </c>
      <c r="B43" s="3">
        <v>44050</v>
      </c>
      <c r="C43" s="3" t="s">
        <v>24</v>
      </c>
      <c r="D43" s="3">
        <v>91</v>
      </c>
      <c r="E43" s="3">
        <v>8774</v>
      </c>
      <c r="F43" s="3">
        <v>0</v>
      </c>
      <c r="G43" s="3">
        <v>4944</v>
      </c>
      <c r="H43" s="3">
        <v>19021</v>
      </c>
      <c r="I43" s="3">
        <v>32742</v>
      </c>
      <c r="J43" s="3">
        <v>0</v>
      </c>
      <c r="K43" s="41">
        <f t="shared" si="0"/>
        <v>27798</v>
      </c>
      <c r="L43" s="42">
        <f t="shared" si="1"/>
        <v>96.417582417582423</v>
      </c>
      <c r="M43" s="41" t="str">
        <f t="shared" si="2"/>
        <v>Jul</v>
      </c>
      <c r="P43" s="48">
        <f t="shared" si="4"/>
        <v>27798</v>
      </c>
      <c r="Q43" s="48">
        <f t="shared" si="5"/>
        <v>96.417582417582423</v>
      </c>
      <c r="R43" s="3">
        <f t="shared" si="6"/>
        <v>7.7216666666666667</v>
      </c>
    </row>
    <row r="44" spans="1:18" x14ac:dyDescent="0.2">
      <c r="A44" s="2">
        <v>41466</v>
      </c>
      <c r="B44" s="3">
        <v>44021</v>
      </c>
      <c r="C44" s="3" t="s">
        <v>9</v>
      </c>
      <c r="D44" s="3">
        <v>124</v>
      </c>
      <c r="E44" s="3">
        <v>10944</v>
      </c>
      <c r="F44" s="3">
        <v>0</v>
      </c>
      <c r="G44" s="3">
        <v>1640</v>
      </c>
      <c r="H44" s="3">
        <v>19940</v>
      </c>
      <c r="I44" s="3">
        <v>32536</v>
      </c>
      <c r="J44" s="3">
        <v>0</v>
      </c>
      <c r="K44" s="41">
        <f t="shared" si="0"/>
        <v>30896</v>
      </c>
      <c r="L44" s="42">
        <f t="shared" si="1"/>
        <v>88.258064516129039</v>
      </c>
      <c r="M44" s="41" t="str">
        <f t="shared" si="2"/>
        <v>Jul</v>
      </c>
      <c r="P44" s="48">
        <f t="shared" si="4"/>
        <v>30896</v>
      </c>
      <c r="Q44" s="48">
        <f t="shared" si="5"/>
        <v>88.258064516129039</v>
      </c>
      <c r="R44" s="3">
        <f t="shared" si="6"/>
        <v>8.5822222222222226</v>
      </c>
    </row>
    <row r="45" spans="1:18" x14ac:dyDescent="0.2">
      <c r="A45" s="2">
        <v>41466</v>
      </c>
      <c r="B45" s="3">
        <v>44022</v>
      </c>
      <c r="C45" s="3" t="s">
        <v>23</v>
      </c>
      <c r="D45" s="3">
        <v>123</v>
      </c>
      <c r="E45" s="3">
        <v>8995</v>
      </c>
      <c r="F45" s="3">
        <v>0</v>
      </c>
      <c r="G45" s="3">
        <v>2170</v>
      </c>
      <c r="H45" s="3">
        <v>19466</v>
      </c>
      <c r="I45" s="3">
        <v>30656</v>
      </c>
      <c r="J45" s="3">
        <v>0</v>
      </c>
      <c r="K45" s="41">
        <f t="shared" si="0"/>
        <v>28486</v>
      </c>
      <c r="L45" s="42">
        <f t="shared" si="1"/>
        <v>73.130081300813004</v>
      </c>
      <c r="M45" s="41" t="str">
        <f t="shared" si="2"/>
        <v>Jul</v>
      </c>
      <c r="P45" s="48">
        <f t="shared" si="4"/>
        <v>28486</v>
      </c>
      <c r="Q45" s="48">
        <f t="shared" si="5"/>
        <v>73.130081300813004</v>
      </c>
      <c r="R45" s="3">
        <f t="shared" si="6"/>
        <v>7.9127777777777775</v>
      </c>
    </row>
    <row r="46" spans="1:18" x14ac:dyDescent="0.2">
      <c r="A46" s="2">
        <v>41466</v>
      </c>
      <c r="B46" s="3">
        <v>44027</v>
      </c>
      <c r="C46" s="3" t="s">
        <v>10</v>
      </c>
      <c r="D46" s="3">
        <v>7</v>
      </c>
      <c r="E46" s="3">
        <v>1404</v>
      </c>
      <c r="F46" s="3">
        <v>0</v>
      </c>
      <c r="G46" s="3">
        <v>342</v>
      </c>
      <c r="H46" s="3">
        <v>897</v>
      </c>
      <c r="I46" s="3">
        <v>2646</v>
      </c>
      <c r="J46" s="3">
        <v>0</v>
      </c>
      <c r="K46" s="41">
        <f t="shared" si="0"/>
        <v>2304</v>
      </c>
      <c r="L46" s="42">
        <f t="shared" si="1"/>
        <v>200.57142857142858</v>
      </c>
      <c r="M46" s="41" t="str">
        <f t="shared" si="2"/>
        <v>Jul</v>
      </c>
      <c r="P46" s="48">
        <f t="shared" si="4"/>
        <v>2304</v>
      </c>
      <c r="Q46" s="48">
        <f t="shared" si="5"/>
        <v>200.57142857142858</v>
      </c>
      <c r="R46" s="3">
        <f t="shared" si="6"/>
        <v>0.64</v>
      </c>
    </row>
    <row r="47" spans="1:18" x14ac:dyDescent="0.2">
      <c r="A47" s="2">
        <v>41466</v>
      </c>
      <c r="B47" s="3">
        <v>44033</v>
      </c>
      <c r="C47" s="3" t="s">
        <v>11</v>
      </c>
      <c r="D47" s="3">
        <v>108</v>
      </c>
      <c r="E47" s="3">
        <v>10606</v>
      </c>
      <c r="F47" s="3">
        <v>0</v>
      </c>
      <c r="G47" s="3">
        <v>2967</v>
      </c>
      <c r="H47" s="3">
        <v>18790</v>
      </c>
      <c r="I47" s="3">
        <v>32386</v>
      </c>
      <c r="J47" s="3">
        <v>0</v>
      </c>
      <c r="K47" s="41">
        <f t="shared" si="0"/>
        <v>29419</v>
      </c>
      <c r="L47" s="42">
        <f t="shared" si="1"/>
        <v>98.203703703703709</v>
      </c>
      <c r="M47" s="41" t="str">
        <f t="shared" si="2"/>
        <v>Jul</v>
      </c>
      <c r="P47" s="48">
        <f t="shared" si="4"/>
        <v>29419</v>
      </c>
      <c r="Q47" s="48">
        <f t="shared" si="5"/>
        <v>98.203703703703709</v>
      </c>
      <c r="R47" s="3">
        <f t="shared" si="6"/>
        <v>8.1719444444444438</v>
      </c>
    </row>
    <row r="48" spans="1:18" x14ac:dyDescent="0.2">
      <c r="A48" s="2">
        <v>41468</v>
      </c>
      <c r="B48" s="3">
        <v>44021</v>
      </c>
      <c r="C48" s="3" t="s">
        <v>9</v>
      </c>
      <c r="D48" s="3">
        <v>114</v>
      </c>
      <c r="E48" s="3">
        <v>10759</v>
      </c>
      <c r="F48" s="3">
        <v>0</v>
      </c>
      <c r="G48" s="3">
        <v>2152</v>
      </c>
      <c r="H48" s="3">
        <v>20126</v>
      </c>
      <c r="I48" s="3">
        <v>33047</v>
      </c>
      <c r="J48" s="3">
        <v>0</v>
      </c>
      <c r="K48" s="41">
        <f t="shared" si="0"/>
        <v>30895</v>
      </c>
      <c r="L48" s="42">
        <f t="shared" si="1"/>
        <v>94.377192982456137</v>
      </c>
      <c r="M48" s="41" t="str">
        <f t="shared" si="2"/>
        <v>Jul</v>
      </c>
      <c r="P48" s="48">
        <f t="shared" si="4"/>
        <v>30895</v>
      </c>
      <c r="Q48" s="48">
        <f t="shared" si="5"/>
        <v>94.377192982456137</v>
      </c>
      <c r="R48" s="3">
        <f t="shared" si="6"/>
        <v>8.5819444444444439</v>
      </c>
    </row>
    <row r="49" spans="1:18" x14ac:dyDescent="0.2">
      <c r="A49" s="2">
        <v>41468</v>
      </c>
      <c r="B49" s="3">
        <v>44022</v>
      </c>
      <c r="C49" s="3" t="s">
        <v>23</v>
      </c>
      <c r="D49" s="3">
        <v>117</v>
      </c>
      <c r="E49" s="3">
        <v>7978</v>
      </c>
      <c r="F49" s="3">
        <v>1</v>
      </c>
      <c r="G49" s="3">
        <v>3990</v>
      </c>
      <c r="H49" s="3">
        <v>20363</v>
      </c>
      <c r="I49" s="3">
        <v>32352</v>
      </c>
      <c r="J49" s="3">
        <v>0</v>
      </c>
      <c r="K49" s="41">
        <f t="shared" si="0"/>
        <v>28362</v>
      </c>
      <c r="L49" s="42">
        <f t="shared" si="1"/>
        <v>68.196581196581192</v>
      </c>
      <c r="M49" s="41" t="str">
        <f t="shared" si="2"/>
        <v>Jul</v>
      </c>
      <c r="P49" s="48">
        <f t="shared" si="4"/>
        <v>28362</v>
      </c>
      <c r="Q49" s="48">
        <f t="shared" si="5"/>
        <v>68.196581196581192</v>
      </c>
      <c r="R49" s="3">
        <f t="shared" si="6"/>
        <v>7.878333333333333</v>
      </c>
    </row>
    <row r="50" spans="1:18" x14ac:dyDescent="0.2">
      <c r="A50" s="2">
        <v>41468</v>
      </c>
      <c r="B50" s="3">
        <v>44027</v>
      </c>
      <c r="C50" s="3" t="s">
        <v>10</v>
      </c>
      <c r="D50" s="3">
        <v>12</v>
      </c>
      <c r="E50" s="3">
        <v>1619</v>
      </c>
      <c r="F50" s="3">
        <v>0</v>
      </c>
      <c r="G50" s="3">
        <v>411</v>
      </c>
      <c r="H50" s="3">
        <v>2467</v>
      </c>
      <c r="I50" s="3">
        <v>4497</v>
      </c>
      <c r="J50" s="3">
        <v>0</v>
      </c>
      <c r="K50" s="41">
        <f t="shared" si="0"/>
        <v>4086</v>
      </c>
      <c r="L50" s="42">
        <f t="shared" si="1"/>
        <v>134.91666666666666</v>
      </c>
      <c r="M50" s="41" t="str">
        <f t="shared" si="2"/>
        <v>Jul</v>
      </c>
      <c r="P50" s="48">
        <f t="shared" si="4"/>
        <v>4086</v>
      </c>
      <c r="Q50" s="48">
        <f t="shared" si="5"/>
        <v>134.91666666666666</v>
      </c>
      <c r="R50" s="3">
        <f t="shared" si="6"/>
        <v>1.135</v>
      </c>
    </row>
    <row r="51" spans="1:18" x14ac:dyDescent="0.2">
      <c r="A51" s="2">
        <v>41468</v>
      </c>
      <c r="B51" s="3">
        <v>44033</v>
      </c>
      <c r="C51" s="3" t="s">
        <v>11</v>
      </c>
      <c r="D51" s="3">
        <v>113</v>
      </c>
      <c r="E51" s="3">
        <v>11059</v>
      </c>
      <c r="F51" s="3">
        <v>0</v>
      </c>
      <c r="G51" s="3">
        <v>2774</v>
      </c>
      <c r="H51" s="3">
        <v>18725</v>
      </c>
      <c r="I51" s="3">
        <v>32578</v>
      </c>
      <c r="J51" s="3">
        <v>0</v>
      </c>
      <c r="K51" s="41">
        <f t="shared" si="0"/>
        <v>29804</v>
      </c>
      <c r="L51" s="42">
        <f t="shared" si="1"/>
        <v>97.86725663716814</v>
      </c>
      <c r="M51" s="41" t="str">
        <f t="shared" si="2"/>
        <v>Jul</v>
      </c>
      <c r="P51" s="48">
        <f t="shared" si="4"/>
        <v>29804</v>
      </c>
      <c r="Q51" s="48">
        <f t="shared" si="5"/>
        <v>97.86725663716814</v>
      </c>
      <c r="R51" s="3">
        <f t="shared" si="6"/>
        <v>8.2788888888888881</v>
      </c>
    </row>
    <row r="52" spans="1:18" x14ac:dyDescent="0.2">
      <c r="A52" s="2">
        <v>41468</v>
      </c>
      <c r="B52" s="3">
        <v>44050</v>
      </c>
      <c r="C52" s="3" t="s">
        <v>24</v>
      </c>
      <c r="D52" s="3">
        <v>129</v>
      </c>
      <c r="E52" s="3">
        <v>12868</v>
      </c>
      <c r="F52" s="3">
        <v>0</v>
      </c>
      <c r="G52" s="3">
        <v>3415</v>
      </c>
      <c r="H52" s="3">
        <v>20435</v>
      </c>
      <c r="I52" s="3">
        <v>36721</v>
      </c>
      <c r="J52" s="3">
        <v>0</v>
      </c>
      <c r="K52" s="41">
        <f t="shared" si="0"/>
        <v>33306</v>
      </c>
      <c r="L52" s="42">
        <f t="shared" si="1"/>
        <v>99.751937984496124</v>
      </c>
      <c r="M52" s="41" t="str">
        <f t="shared" si="2"/>
        <v>Jul</v>
      </c>
      <c r="P52" s="48">
        <f t="shared" si="4"/>
        <v>33306</v>
      </c>
      <c r="Q52" s="48">
        <f t="shared" si="5"/>
        <v>99.751937984496124</v>
      </c>
      <c r="R52" s="3">
        <f t="shared" si="6"/>
        <v>9.2516666666666669</v>
      </c>
    </row>
    <row r="53" spans="1:18" x14ac:dyDescent="0.2">
      <c r="A53" s="2">
        <v>41469</v>
      </c>
      <c r="B53" s="3">
        <v>44021</v>
      </c>
      <c r="C53" s="3" t="s">
        <v>9</v>
      </c>
      <c r="D53" s="3">
        <v>115</v>
      </c>
      <c r="E53" s="3">
        <v>10834</v>
      </c>
      <c r="F53" s="3">
        <v>0</v>
      </c>
      <c r="G53" s="3">
        <v>2352</v>
      </c>
      <c r="H53" s="3">
        <v>19768</v>
      </c>
      <c r="I53" s="3">
        <v>32965</v>
      </c>
      <c r="J53" s="3">
        <v>0</v>
      </c>
      <c r="K53" s="41">
        <f t="shared" si="0"/>
        <v>30613</v>
      </c>
      <c r="L53" s="42">
        <f t="shared" si="1"/>
        <v>94.208695652173915</v>
      </c>
      <c r="M53" s="41" t="str">
        <f t="shared" si="2"/>
        <v>Jul</v>
      </c>
      <c r="P53" s="48">
        <f t="shared" si="4"/>
        <v>30613</v>
      </c>
      <c r="Q53" s="48">
        <f t="shared" si="5"/>
        <v>94.208695652173915</v>
      </c>
      <c r="R53" s="3">
        <f t="shared" si="6"/>
        <v>8.5036111111111108</v>
      </c>
    </row>
    <row r="54" spans="1:18" x14ac:dyDescent="0.2">
      <c r="A54" s="2">
        <v>41469</v>
      </c>
      <c r="B54" s="3">
        <v>44022</v>
      </c>
      <c r="C54" s="3" t="s">
        <v>23</v>
      </c>
      <c r="D54" s="3">
        <v>105</v>
      </c>
      <c r="E54" s="3">
        <v>7385</v>
      </c>
      <c r="F54" s="3">
        <v>0</v>
      </c>
      <c r="G54" s="3">
        <v>1863</v>
      </c>
      <c r="H54" s="3">
        <v>22592</v>
      </c>
      <c r="I54" s="3">
        <v>31856</v>
      </c>
      <c r="J54" s="3">
        <v>0</v>
      </c>
      <c r="K54" s="41">
        <f t="shared" si="0"/>
        <v>29993</v>
      </c>
      <c r="L54" s="42">
        <f t="shared" si="1"/>
        <v>70.333333333333329</v>
      </c>
      <c r="M54" s="41" t="str">
        <f t="shared" si="2"/>
        <v>Jul</v>
      </c>
      <c r="P54" s="48">
        <f t="shared" si="4"/>
        <v>29993</v>
      </c>
      <c r="Q54" s="48">
        <f t="shared" si="5"/>
        <v>70.333333333333329</v>
      </c>
      <c r="R54" s="3">
        <f t="shared" si="6"/>
        <v>8.3313888888888883</v>
      </c>
    </row>
    <row r="55" spans="1:18" x14ac:dyDescent="0.2">
      <c r="A55" s="2">
        <v>41469</v>
      </c>
      <c r="B55" s="3">
        <v>44027</v>
      </c>
      <c r="C55" s="3" t="s">
        <v>10</v>
      </c>
      <c r="D55" s="3">
        <v>7</v>
      </c>
      <c r="E55" s="3">
        <v>753</v>
      </c>
      <c r="F55" s="3">
        <v>0</v>
      </c>
      <c r="G55" s="3">
        <v>667</v>
      </c>
      <c r="H55" s="3">
        <v>1969</v>
      </c>
      <c r="I55" s="3">
        <v>3390</v>
      </c>
      <c r="J55" s="3">
        <v>0</v>
      </c>
      <c r="K55" s="41">
        <f t="shared" si="0"/>
        <v>2723</v>
      </c>
      <c r="L55" s="42">
        <f t="shared" si="1"/>
        <v>107.57142857142857</v>
      </c>
      <c r="M55" s="41" t="str">
        <f t="shared" si="2"/>
        <v>Jul</v>
      </c>
      <c r="P55" s="48">
        <f t="shared" si="4"/>
        <v>2723</v>
      </c>
      <c r="Q55" s="48">
        <f t="shared" si="5"/>
        <v>107.57142857142857</v>
      </c>
      <c r="R55" s="3">
        <f t="shared" si="6"/>
        <v>0.75638888888888889</v>
      </c>
    </row>
    <row r="56" spans="1:18" x14ac:dyDescent="0.2">
      <c r="A56" s="2">
        <v>41469</v>
      </c>
      <c r="B56" s="3">
        <v>44033</v>
      </c>
      <c r="C56" s="3" t="s">
        <v>11</v>
      </c>
      <c r="D56" s="3">
        <v>115</v>
      </c>
      <c r="E56" s="3">
        <v>11229</v>
      </c>
      <c r="F56" s="3">
        <v>0</v>
      </c>
      <c r="G56" s="3">
        <v>3015</v>
      </c>
      <c r="H56" s="3">
        <v>18656</v>
      </c>
      <c r="I56" s="3">
        <v>32929</v>
      </c>
      <c r="J56" s="3">
        <v>0</v>
      </c>
      <c r="K56" s="41">
        <f t="shared" si="0"/>
        <v>29914</v>
      </c>
      <c r="L56" s="42">
        <f t="shared" si="1"/>
        <v>97.643478260869571</v>
      </c>
      <c r="M56" s="41" t="str">
        <f t="shared" si="2"/>
        <v>Jul</v>
      </c>
      <c r="P56" s="48">
        <f t="shared" si="4"/>
        <v>29914</v>
      </c>
      <c r="Q56" s="48">
        <f t="shared" si="5"/>
        <v>97.643478260869571</v>
      </c>
      <c r="R56" s="3">
        <f t="shared" si="6"/>
        <v>8.3094444444444449</v>
      </c>
    </row>
    <row r="57" spans="1:18" x14ac:dyDescent="0.2">
      <c r="A57" s="2">
        <v>41469</v>
      </c>
      <c r="B57" s="3">
        <v>44050</v>
      </c>
      <c r="C57" s="3" t="s">
        <v>24</v>
      </c>
      <c r="D57" s="3">
        <v>101</v>
      </c>
      <c r="E57" s="3">
        <v>11142</v>
      </c>
      <c r="F57" s="3">
        <v>0</v>
      </c>
      <c r="G57" s="3">
        <v>3945</v>
      </c>
      <c r="H57" s="3">
        <v>20525</v>
      </c>
      <c r="I57" s="3">
        <v>35616</v>
      </c>
      <c r="J57" s="3">
        <v>0</v>
      </c>
      <c r="K57" s="41">
        <f t="shared" si="0"/>
        <v>31671</v>
      </c>
      <c r="L57" s="42">
        <f t="shared" si="1"/>
        <v>110.31683168316832</v>
      </c>
      <c r="M57" s="41" t="str">
        <f t="shared" si="2"/>
        <v>Jul</v>
      </c>
      <c r="P57" s="48">
        <f t="shared" si="4"/>
        <v>31671</v>
      </c>
      <c r="Q57" s="48">
        <f t="shared" si="5"/>
        <v>110.31683168316832</v>
      </c>
      <c r="R57" s="3">
        <f t="shared" si="6"/>
        <v>8.7974999999999994</v>
      </c>
    </row>
    <row r="58" spans="1:18" x14ac:dyDescent="0.2">
      <c r="A58" s="2">
        <v>41470</v>
      </c>
      <c r="B58" s="3">
        <v>44021</v>
      </c>
      <c r="C58" s="3" t="s">
        <v>9</v>
      </c>
      <c r="D58" s="3">
        <v>124</v>
      </c>
      <c r="E58" s="3">
        <v>10404</v>
      </c>
      <c r="F58" s="3">
        <v>0</v>
      </c>
      <c r="G58" s="3">
        <v>1453</v>
      </c>
      <c r="H58" s="3">
        <v>20717</v>
      </c>
      <c r="I58" s="3">
        <v>32590</v>
      </c>
      <c r="J58" s="3">
        <v>0</v>
      </c>
      <c r="K58" s="41">
        <f t="shared" si="0"/>
        <v>31137</v>
      </c>
      <c r="L58" s="42">
        <f t="shared" si="1"/>
        <v>83.903225806451616</v>
      </c>
      <c r="M58" s="41" t="str">
        <f t="shared" si="2"/>
        <v>Jul</v>
      </c>
      <c r="P58" s="48">
        <f t="shared" si="4"/>
        <v>31137</v>
      </c>
      <c r="Q58" s="48">
        <f t="shared" si="5"/>
        <v>83.903225806451616</v>
      </c>
      <c r="R58" s="3">
        <f t="shared" si="6"/>
        <v>8.649166666666666</v>
      </c>
    </row>
    <row r="59" spans="1:18" x14ac:dyDescent="0.2">
      <c r="A59" s="2">
        <v>41470</v>
      </c>
      <c r="B59" s="3">
        <v>44022</v>
      </c>
      <c r="C59" s="3" t="s">
        <v>23</v>
      </c>
      <c r="D59" s="3">
        <v>75</v>
      </c>
      <c r="E59" s="3">
        <v>5865</v>
      </c>
      <c r="F59" s="3">
        <v>0</v>
      </c>
      <c r="G59" s="3">
        <v>1695</v>
      </c>
      <c r="H59" s="3">
        <v>18145</v>
      </c>
      <c r="I59" s="3">
        <v>25716</v>
      </c>
      <c r="J59" s="3">
        <v>0</v>
      </c>
      <c r="K59" s="41">
        <f t="shared" si="0"/>
        <v>24021</v>
      </c>
      <c r="L59" s="42">
        <f t="shared" si="1"/>
        <v>78.2</v>
      </c>
      <c r="M59" s="41" t="str">
        <f t="shared" si="2"/>
        <v>Jul</v>
      </c>
      <c r="P59" s="48">
        <f t="shared" si="4"/>
        <v>24021</v>
      </c>
      <c r="Q59" s="48">
        <f t="shared" si="5"/>
        <v>78.2</v>
      </c>
      <c r="R59" s="3">
        <f t="shared" si="6"/>
        <v>6.6725000000000003</v>
      </c>
    </row>
    <row r="60" spans="1:18" x14ac:dyDescent="0.2">
      <c r="A60" s="2">
        <v>41470</v>
      </c>
      <c r="B60" s="3">
        <v>44027</v>
      </c>
      <c r="C60" s="3" t="s">
        <v>10</v>
      </c>
      <c r="D60" s="3">
        <v>5</v>
      </c>
      <c r="E60" s="3">
        <v>739</v>
      </c>
      <c r="F60" s="3">
        <v>0</v>
      </c>
      <c r="G60" s="3">
        <v>1034</v>
      </c>
      <c r="H60" s="3">
        <v>2316</v>
      </c>
      <c r="I60" s="3">
        <v>4094</v>
      </c>
      <c r="J60" s="3">
        <v>0</v>
      </c>
      <c r="K60" s="41">
        <f t="shared" si="0"/>
        <v>3060</v>
      </c>
      <c r="L60" s="42">
        <f t="shared" si="1"/>
        <v>147.80000000000001</v>
      </c>
      <c r="M60" s="41" t="str">
        <f t="shared" si="2"/>
        <v>Jul</v>
      </c>
      <c r="P60" s="48">
        <f t="shared" si="4"/>
        <v>3060</v>
      </c>
      <c r="Q60" s="48">
        <f t="shared" si="5"/>
        <v>147.80000000000001</v>
      </c>
      <c r="R60" s="3">
        <f t="shared" si="6"/>
        <v>0.85</v>
      </c>
    </row>
    <row r="61" spans="1:18" x14ac:dyDescent="0.2">
      <c r="A61" s="2">
        <v>41470</v>
      </c>
      <c r="B61" s="3">
        <v>44033</v>
      </c>
      <c r="C61" s="3" t="s">
        <v>11</v>
      </c>
      <c r="D61" s="3">
        <v>113</v>
      </c>
      <c r="E61" s="3">
        <v>12352</v>
      </c>
      <c r="F61" s="3">
        <v>0</v>
      </c>
      <c r="G61" s="3">
        <v>2608</v>
      </c>
      <c r="H61" s="3">
        <v>18370</v>
      </c>
      <c r="I61" s="3">
        <v>33348</v>
      </c>
      <c r="J61" s="3">
        <v>0</v>
      </c>
      <c r="K61" s="41">
        <f t="shared" si="0"/>
        <v>30740</v>
      </c>
      <c r="L61" s="42">
        <f t="shared" si="1"/>
        <v>109.30973451327434</v>
      </c>
      <c r="M61" s="41" t="str">
        <f t="shared" si="2"/>
        <v>Jul</v>
      </c>
      <c r="P61" s="48">
        <f t="shared" si="4"/>
        <v>30740</v>
      </c>
      <c r="Q61" s="48">
        <f t="shared" si="5"/>
        <v>109.30973451327434</v>
      </c>
      <c r="R61" s="3">
        <f t="shared" si="6"/>
        <v>8.5388888888888896</v>
      </c>
    </row>
    <row r="62" spans="1:18" x14ac:dyDescent="0.2">
      <c r="A62" s="2">
        <v>41470</v>
      </c>
      <c r="B62" s="3">
        <v>44050</v>
      </c>
      <c r="C62" s="3" t="s">
        <v>24</v>
      </c>
      <c r="D62" s="3">
        <v>99</v>
      </c>
      <c r="E62" s="3">
        <v>9629</v>
      </c>
      <c r="F62" s="3">
        <v>0</v>
      </c>
      <c r="G62" s="3">
        <v>3644</v>
      </c>
      <c r="H62" s="3">
        <v>20581</v>
      </c>
      <c r="I62" s="3">
        <v>33856</v>
      </c>
      <c r="J62" s="3">
        <v>0</v>
      </c>
      <c r="K62" s="41">
        <f t="shared" si="0"/>
        <v>30212</v>
      </c>
      <c r="L62" s="42">
        <f t="shared" si="1"/>
        <v>97.262626262626256</v>
      </c>
      <c r="M62" s="41" t="str">
        <f t="shared" si="2"/>
        <v>Jul</v>
      </c>
      <c r="P62" s="48">
        <f t="shared" si="4"/>
        <v>30212</v>
      </c>
      <c r="Q62" s="48">
        <f t="shared" si="5"/>
        <v>97.262626262626256</v>
      </c>
      <c r="R62" s="3">
        <f t="shared" si="6"/>
        <v>8.3922222222222214</v>
      </c>
    </row>
    <row r="63" spans="1:18" x14ac:dyDescent="0.2">
      <c r="A63" s="2">
        <v>41471</v>
      </c>
      <c r="B63" s="3">
        <v>44021</v>
      </c>
      <c r="C63" s="3" t="s">
        <v>9</v>
      </c>
      <c r="D63" s="3">
        <v>118</v>
      </c>
      <c r="E63" s="3">
        <v>9521</v>
      </c>
      <c r="F63" s="3">
        <v>0</v>
      </c>
      <c r="G63" s="3">
        <v>1838</v>
      </c>
      <c r="H63" s="3">
        <v>21275</v>
      </c>
      <c r="I63" s="3">
        <v>32724</v>
      </c>
      <c r="J63" s="3">
        <v>78</v>
      </c>
      <c r="K63" s="41">
        <f t="shared" si="0"/>
        <v>30886</v>
      </c>
      <c r="L63" s="42">
        <f t="shared" si="1"/>
        <v>81.347457627118644</v>
      </c>
      <c r="M63" s="41" t="str">
        <f t="shared" si="2"/>
        <v>Jul</v>
      </c>
      <c r="P63" s="48">
        <f t="shared" si="4"/>
        <v>30886</v>
      </c>
      <c r="Q63" s="48">
        <f t="shared" si="5"/>
        <v>81.347457627118644</v>
      </c>
      <c r="R63" s="3">
        <f t="shared" si="6"/>
        <v>8.5794444444444444</v>
      </c>
    </row>
    <row r="64" spans="1:18" x14ac:dyDescent="0.2">
      <c r="A64" s="2">
        <v>41471</v>
      </c>
      <c r="B64" s="3">
        <v>44022</v>
      </c>
      <c r="C64" s="3" t="s">
        <v>23</v>
      </c>
      <c r="D64" s="3">
        <v>143</v>
      </c>
      <c r="E64" s="3">
        <v>11149</v>
      </c>
      <c r="F64" s="3">
        <v>0</v>
      </c>
      <c r="G64" s="3">
        <v>5197</v>
      </c>
      <c r="H64" s="3">
        <v>27624</v>
      </c>
      <c r="I64" s="3">
        <v>43985</v>
      </c>
      <c r="J64" s="3">
        <v>0</v>
      </c>
      <c r="K64" s="41">
        <f t="shared" si="0"/>
        <v>38788</v>
      </c>
      <c r="L64" s="42">
        <f t="shared" si="1"/>
        <v>77.96503496503496</v>
      </c>
      <c r="M64" s="41" t="str">
        <f t="shared" si="2"/>
        <v>Jul</v>
      </c>
      <c r="P64" s="48">
        <f t="shared" si="4"/>
        <v>38788</v>
      </c>
      <c r="Q64" s="48">
        <f t="shared" si="5"/>
        <v>77.96503496503496</v>
      </c>
      <c r="R64" s="3">
        <f t="shared" si="6"/>
        <v>10.774444444444445</v>
      </c>
    </row>
    <row r="65" spans="1:18" x14ac:dyDescent="0.2">
      <c r="A65" s="2">
        <v>41471</v>
      </c>
      <c r="B65" s="3">
        <v>44033</v>
      </c>
      <c r="C65" s="3" t="s">
        <v>11</v>
      </c>
      <c r="D65" s="3">
        <v>105</v>
      </c>
      <c r="E65" s="3">
        <v>11076</v>
      </c>
      <c r="F65" s="3">
        <v>0</v>
      </c>
      <c r="G65" s="3">
        <v>2541</v>
      </c>
      <c r="H65" s="3">
        <v>19226</v>
      </c>
      <c r="I65" s="3">
        <v>32861</v>
      </c>
      <c r="J65" s="3">
        <v>0</v>
      </c>
      <c r="K65" s="41">
        <f t="shared" si="0"/>
        <v>30320</v>
      </c>
      <c r="L65" s="42">
        <f t="shared" si="1"/>
        <v>105.48571428571428</v>
      </c>
      <c r="M65" s="41" t="str">
        <f t="shared" si="2"/>
        <v>Jul</v>
      </c>
      <c r="P65" s="48">
        <f t="shared" si="4"/>
        <v>30320</v>
      </c>
      <c r="Q65" s="48">
        <f t="shared" si="5"/>
        <v>105.48571428571428</v>
      </c>
      <c r="R65" s="3">
        <f t="shared" si="6"/>
        <v>8.4222222222222225</v>
      </c>
    </row>
    <row r="66" spans="1:18" x14ac:dyDescent="0.2">
      <c r="A66" s="2">
        <v>41471</v>
      </c>
      <c r="B66" s="3">
        <v>44050</v>
      </c>
      <c r="C66" s="3" t="s">
        <v>24</v>
      </c>
      <c r="D66" s="3">
        <v>108</v>
      </c>
      <c r="E66" s="3">
        <v>10722</v>
      </c>
      <c r="F66" s="3">
        <v>1</v>
      </c>
      <c r="G66" s="3">
        <v>3664</v>
      </c>
      <c r="H66" s="3">
        <v>19323</v>
      </c>
      <c r="I66" s="3">
        <v>33715</v>
      </c>
      <c r="J66" s="3">
        <v>0</v>
      </c>
      <c r="K66" s="41">
        <f t="shared" si="0"/>
        <v>30051</v>
      </c>
      <c r="L66" s="42">
        <f t="shared" si="1"/>
        <v>99.287037037037038</v>
      </c>
      <c r="M66" s="41" t="str">
        <f t="shared" si="2"/>
        <v>Jul</v>
      </c>
      <c r="P66" s="48">
        <f t="shared" si="4"/>
        <v>30051</v>
      </c>
      <c r="Q66" s="48">
        <f t="shared" si="5"/>
        <v>99.287037037037038</v>
      </c>
      <c r="R66" s="3">
        <f t="shared" si="6"/>
        <v>8.3475000000000001</v>
      </c>
    </row>
    <row r="67" spans="1:18" x14ac:dyDescent="0.2">
      <c r="A67" s="2">
        <v>41472</v>
      </c>
      <c r="B67" s="3">
        <v>44021</v>
      </c>
      <c r="C67" s="3" t="s">
        <v>9</v>
      </c>
      <c r="D67" s="3">
        <v>115</v>
      </c>
      <c r="E67" s="3">
        <v>10595</v>
      </c>
      <c r="F67" s="3">
        <v>2</v>
      </c>
      <c r="G67" s="3">
        <v>2042</v>
      </c>
      <c r="H67" s="3">
        <v>21722</v>
      </c>
      <c r="I67" s="3">
        <v>34378</v>
      </c>
      <c r="J67" s="3">
        <v>0</v>
      </c>
      <c r="K67" s="41">
        <f t="shared" ref="K67:K130" si="7">I67-G67</f>
        <v>32336</v>
      </c>
      <c r="L67" s="42">
        <f t="shared" ref="L67:L130" si="8">(E67+F67+J67)/D67</f>
        <v>92.147826086956528</v>
      </c>
      <c r="M67" s="41" t="str">
        <f t="shared" ref="M67:M130" si="9">TEXT(A67,"mmm")</f>
        <v>Jul</v>
      </c>
      <c r="P67" s="48">
        <f t="shared" ref="P67:P130" si="10">I67-G67</f>
        <v>32336</v>
      </c>
      <c r="Q67" s="48">
        <f t="shared" ref="Q67:Q130" si="11">(E67+F67+J67)/D67</f>
        <v>92.147826086956528</v>
      </c>
      <c r="R67" s="3">
        <f t="shared" ref="R67:R130" si="12">K67/3600</f>
        <v>8.982222222222223</v>
      </c>
    </row>
    <row r="68" spans="1:18" x14ac:dyDescent="0.2">
      <c r="A68" s="2">
        <v>41472</v>
      </c>
      <c r="B68" s="3">
        <v>44022</v>
      </c>
      <c r="C68" s="3" t="s">
        <v>23</v>
      </c>
      <c r="D68" s="3">
        <v>124</v>
      </c>
      <c r="E68" s="3">
        <v>9617</v>
      </c>
      <c r="F68" s="3">
        <v>2</v>
      </c>
      <c r="G68" s="3">
        <v>6011</v>
      </c>
      <c r="H68" s="3">
        <v>23112</v>
      </c>
      <c r="I68" s="3">
        <v>38772</v>
      </c>
      <c r="J68" s="3">
        <v>0</v>
      </c>
      <c r="K68" s="41">
        <f t="shared" si="7"/>
        <v>32761</v>
      </c>
      <c r="L68" s="42">
        <f t="shared" si="8"/>
        <v>77.572580645161295</v>
      </c>
      <c r="M68" s="41" t="str">
        <f t="shared" si="9"/>
        <v>Jul</v>
      </c>
      <c r="P68" s="48">
        <f t="shared" si="10"/>
        <v>32761</v>
      </c>
      <c r="Q68" s="48">
        <f t="shared" si="11"/>
        <v>77.572580645161295</v>
      </c>
      <c r="R68" s="3">
        <f t="shared" si="12"/>
        <v>9.1002777777777784</v>
      </c>
    </row>
    <row r="69" spans="1:18" x14ac:dyDescent="0.2">
      <c r="A69" s="2">
        <v>41472</v>
      </c>
      <c r="B69" s="3">
        <v>44027</v>
      </c>
      <c r="C69" s="3" t="s">
        <v>10</v>
      </c>
      <c r="D69" s="3">
        <v>11</v>
      </c>
      <c r="E69" s="3">
        <v>1330</v>
      </c>
      <c r="F69" s="3">
        <v>0</v>
      </c>
      <c r="G69" s="3">
        <v>631</v>
      </c>
      <c r="H69" s="3">
        <v>2170</v>
      </c>
      <c r="I69" s="3">
        <v>4167</v>
      </c>
      <c r="J69" s="3">
        <v>0</v>
      </c>
      <c r="K69" s="41">
        <f t="shared" si="7"/>
        <v>3536</v>
      </c>
      <c r="L69" s="42">
        <f t="shared" si="8"/>
        <v>120.90909090909091</v>
      </c>
      <c r="M69" s="41" t="str">
        <f t="shared" si="9"/>
        <v>Jul</v>
      </c>
      <c r="P69" s="48">
        <f t="shared" si="10"/>
        <v>3536</v>
      </c>
      <c r="Q69" s="48">
        <f t="shared" si="11"/>
        <v>120.90909090909091</v>
      </c>
      <c r="R69" s="3">
        <f t="shared" si="12"/>
        <v>0.98222222222222222</v>
      </c>
    </row>
    <row r="70" spans="1:18" x14ac:dyDescent="0.2">
      <c r="A70" s="2">
        <v>41472</v>
      </c>
      <c r="B70" s="3">
        <v>44033</v>
      </c>
      <c r="C70" s="3" t="s">
        <v>11</v>
      </c>
      <c r="D70" s="3">
        <v>107</v>
      </c>
      <c r="E70" s="3">
        <v>10146</v>
      </c>
      <c r="F70" s="3">
        <v>0</v>
      </c>
      <c r="G70" s="3">
        <v>3550</v>
      </c>
      <c r="H70" s="3">
        <v>19427</v>
      </c>
      <c r="I70" s="3">
        <v>33146</v>
      </c>
      <c r="J70" s="3">
        <v>0</v>
      </c>
      <c r="K70" s="41">
        <f t="shared" si="7"/>
        <v>29596</v>
      </c>
      <c r="L70" s="42">
        <f t="shared" si="8"/>
        <v>94.822429906542055</v>
      </c>
      <c r="M70" s="41" t="str">
        <f t="shared" si="9"/>
        <v>Jul</v>
      </c>
      <c r="P70" s="48">
        <f t="shared" si="10"/>
        <v>29596</v>
      </c>
      <c r="Q70" s="48">
        <f t="shared" si="11"/>
        <v>94.822429906542055</v>
      </c>
      <c r="R70" s="3">
        <f t="shared" si="12"/>
        <v>8.2211111111111119</v>
      </c>
    </row>
    <row r="71" spans="1:18" x14ac:dyDescent="0.2">
      <c r="A71" s="2">
        <v>41472</v>
      </c>
      <c r="B71" s="3">
        <v>44050</v>
      </c>
      <c r="C71" s="3" t="s">
        <v>24</v>
      </c>
      <c r="D71" s="3">
        <v>98</v>
      </c>
      <c r="E71" s="3">
        <v>9191</v>
      </c>
      <c r="F71" s="3">
        <v>29</v>
      </c>
      <c r="G71" s="3">
        <v>4960</v>
      </c>
      <c r="H71" s="3">
        <v>17436</v>
      </c>
      <c r="I71" s="3">
        <v>31625</v>
      </c>
      <c r="J71" s="3">
        <v>0</v>
      </c>
      <c r="K71" s="41">
        <f t="shared" si="7"/>
        <v>26665</v>
      </c>
      <c r="L71" s="42">
        <f t="shared" si="8"/>
        <v>94.08163265306122</v>
      </c>
      <c r="M71" s="41" t="str">
        <f t="shared" si="9"/>
        <v>Jul</v>
      </c>
      <c r="P71" s="48">
        <f t="shared" si="10"/>
        <v>26665</v>
      </c>
      <c r="Q71" s="48">
        <f t="shared" si="11"/>
        <v>94.08163265306122</v>
      </c>
      <c r="R71" s="3">
        <f t="shared" si="12"/>
        <v>7.4069444444444441</v>
      </c>
    </row>
    <row r="72" spans="1:18" x14ac:dyDescent="0.2">
      <c r="A72" s="2">
        <v>41473</v>
      </c>
      <c r="B72" s="3">
        <v>44021</v>
      </c>
      <c r="C72" s="3" t="s">
        <v>9</v>
      </c>
      <c r="D72" s="3">
        <v>115</v>
      </c>
      <c r="E72" s="3">
        <v>9575</v>
      </c>
      <c r="F72" s="3">
        <v>0</v>
      </c>
      <c r="G72" s="3">
        <v>1615</v>
      </c>
      <c r="H72" s="3">
        <v>21416</v>
      </c>
      <c r="I72" s="3">
        <v>32623</v>
      </c>
      <c r="J72" s="3">
        <v>0</v>
      </c>
      <c r="K72" s="41">
        <f t="shared" si="7"/>
        <v>31008</v>
      </c>
      <c r="L72" s="42">
        <f t="shared" si="8"/>
        <v>83.260869565217391</v>
      </c>
      <c r="M72" s="41" t="str">
        <f t="shared" si="9"/>
        <v>Jul</v>
      </c>
      <c r="P72" s="48">
        <f t="shared" si="10"/>
        <v>31008</v>
      </c>
      <c r="Q72" s="48">
        <f t="shared" si="11"/>
        <v>83.260869565217391</v>
      </c>
      <c r="R72" s="3">
        <f t="shared" si="12"/>
        <v>8.6133333333333333</v>
      </c>
    </row>
    <row r="73" spans="1:18" x14ac:dyDescent="0.2">
      <c r="A73" s="2">
        <v>41473</v>
      </c>
      <c r="B73" s="3">
        <v>44022</v>
      </c>
      <c r="C73" s="3" t="s">
        <v>23</v>
      </c>
      <c r="D73" s="3">
        <v>124</v>
      </c>
      <c r="E73" s="3">
        <v>8460</v>
      </c>
      <c r="F73" s="3">
        <v>0</v>
      </c>
      <c r="G73" s="3">
        <v>4804</v>
      </c>
      <c r="H73" s="3">
        <v>22645</v>
      </c>
      <c r="I73" s="3">
        <v>35951</v>
      </c>
      <c r="J73" s="3">
        <v>0</v>
      </c>
      <c r="K73" s="41">
        <f t="shared" si="7"/>
        <v>31147</v>
      </c>
      <c r="L73" s="42">
        <f t="shared" si="8"/>
        <v>68.225806451612897</v>
      </c>
      <c r="M73" s="41" t="str">
        <f t="shared" si="9"/>
        <v>Jul</v>
      </c>
      <c r="P73" s="48">
        <f t="shared" si="10"/>
        <v>31147</v>
      </c>
      <c r="Q73" s="48">
        <f t="shared" si="11"/>
        <v>68.225806451612897</v>
      </c>
      <c r="R73" s="3">
        <f t="shared" si="12"/>
        <v>8.6519444444444442</v>
      </c>
    </row>
    <row r="74" spans="1:18" x14ac:dyDescent="0.2">
      <c r="A74" s="2">
        <v>41473</v>
      </c>
      <c r="B74" s="3">
        <v>44033</v>
      </c>
      <c r="C74" s="3" t="s">
        <v>11</v>
      </c>
      <c r="D74" s="3">
        <v>111</v>
      </c>
      <c r="E74" s="3">
        <v>11027</v>
      </c>
      <c r="F74" s="3">
        <v>86</v>
      </c>
      <c r="G74" s="3">
        <v>2601</v>
      </c>
      <c r="H74" s="3">
        <v>19553</v>
      </c>
      <c r="I74" s="3">
        <v>33289</v>
      </c>
      <c r="J74" s="3">
        <v>0</v>
      </c>
      <c r="K74" s="41">
        <f t="shared" si="7"/>
        <v>30688</v>
      </c>
      <c r="L74" s="42">
        <f t="shared" si="8"/>
        <v>100.11711711711712</v>
      </c>
      <c r="M74" s="41" t="str">
        <f t="shared" si="9"/>
        <v>Jul</v>
      </c>
      <c r="P74" s="48">
        <f t="shared" si="10"/>
        <v>30688</v>
      </c>
      <c r="Q74" s="48">
        <f t="shared" si="11"/>
        <v>100.11711711711712</v>
      </c>
      <c r="R74" s="3">
        <f t="shared" si="12"/>
        <v>8.5244444444444447</v>
      </c>
    </row>
    <row r="75" spans="1:18" x14ac:dyDescent="0.2">
      <c r="A75" s="2">
        <v>41473</v>
      </c>
      <c r="B75" s="3">
        <v>44050</v>
      </c>
      <c r="C75" s="3" t="s">
        <v>24</v>
      </c>
      <c r="D75" s="3">
        <v>114</v>
      </c>
      <c r="E75" s="3">
        <v>11769</v>
      </c>
      <c r="F75" s="3">
        <v>0</v>
      </c>
      <c r="G75" s="3">
        <v>3287</v>
      </c>
      <c r="H75" s="3">
        <v>18087</v>
      </c>
      <c r="I75" s="3">
        <v>33145</v>
      </c>
      <c r="J75" s="3">
        <v>0</v>
      </c>
      <c r="K75" s="41">
        <f t="shared" si="7"/>
        <v>29858</v>
      </c>
      <c r="L75" s="42">
        <f t="shared" si="8"/>
        <v>103.23684210526316</v>
      </c>
      <c r="M75" s="41" t="str">
        <f t="shared" si="9"/>
        <v>Jul</v>
      </c>
      <c r="P75" s="48">
        <f t="shared" si="10"/>
        <v>29858</v>
      </c>
      <c r="Q75" s="48">
        <f t="shared" si="11"/>
        <v>103.23684210526316</v>
      </c>
      <c r="R75" s="3">
        <f t="shared" si="12"/>
        <v>8.2938888888888886</v>
      </c>
    </row>
    <row r="76" spans="1:18" x14ac:dyDescent="0.2">
      <c r="A76" s="2">
        <v>41475</v>
      </c>
      <c r="B76" s="3">
        <v>44021</v>
      </c>
      <c r="C76" s="3" t="s">
        <v>9</v>
      </c>
      <c r="D76" s="3">
        <v>173</v>
      </c>
      <c r="E76" s="3">
        <v>16158</v>
      </c>
      <c r="F76" s="3">
        <v>0</v>
      </c>
      <c r="G76" s="3">
        <v>2299</v>
      </c>
      <c r="H76" s="3">
        <v>20183</v>
      </c>
      <c r="I76" s="3">
        <v>38663</v>
      </c>
      <c r="J76" s="3">
        <v>0</v>
      </c>
      <c r="K76" s="41">
        <f t="shared" si="7"/>
        <v>36364</v>
      </c>
      <c r="L76" s="42">
        <f t="shared" si="8"/>
        <v>93.398843930635834</v>
      </c>
      <c r="M76" s="41" t="str">
        <f t="shared" si="9"/>
        <v>Jul</v>
      </c>
      <c r="P76" s="48">
        <f t="shared" si="10"/>
        <v>36364</v>
      </c>
      <c r="Q76" s="48">
        <f t="shared" si="11"/>
        <v>93.398843930635834</v>
      </c>
      <c r="R76" s="3">
        <f t="shared" si="12"/>
        <v>10.101111111111111</v>
      </c>
    </row>
    <row r="77" spans="1:18" x14ac:dyDescent="0.2">
      <c r="A77" s="2">
        <v>41475</v>
      </c>
      <c r="B77" s="3">
        <v>44022</v>
      </c>
      <c r="C77" s="3" t="s">
        <v>23</v>
      </c>
      <c r="D77" s="3">
        <v>195</v>
      </c>
      <c r="E77" s="3">
        <v>13489</v>
      </c>
      <c r="F77" s="3">
        <v>0</v>
      </c>
      <c r="G77" s="3">
        <v>2555</v>
      </c>
      <c r="H77" s="3">
        <v>22462</v>
      </c>
      <c r="I77" s="3">
        <v>38540</v>
      </c>
      <c r="J77" s="3">
        <v>0</v>
      </c>
      <c r="K77" s="41">
        <f t="shared" si="7"/>
        <v>35985</v>
      </c>
      <c r="L77" s="42">
        <f t="shared" si="8"/>
        <v>69.174358974358981</v>
      </c>
      <c r="M77" s="41" t="str">
        <f t="shared" si="9"/>
        <v>Jul</v>
      </c>
      <c r="P77" s="48">
        <f t="shared" si="10"/>
        <v>35985</v>
      </c>
      <c r="Q77" s="48">
        <f t="shared" si="11"/>
        <v>69.174358974358981</v>
      </c>
      <c r="R77" s="3">
        <f t="shared" si="12"/>
        <v>9.9958333333333336</v>
      </c>
    </row>
    <row r="78" spans="1:18" x14ac:dyDescent="0.2">
      <c r="A78" s="2">
        <v>41475</v>
      </c>
      <c r="B78" s="3">
        <v>44027</v>
      </c>
      <c r="C78" s="3" t="s">
        <v>10</v>
      </c>
      <c r="D78" s="3">
        <v>18</v>
      </c>
      <c r="E78" s="3">
        <v>1722</v>
      </c>
      <c r="F78" s="3">
        <v>0</v>
      </c>
      <c r="G78" s="3">
        <v>183</v>
      </c>
      <c r="H78" s="3">
        <v>2619</v>
      </c>
      <c r="I78" s="3">
        <v>4524</v>
      </c>
      <c r="J78" s="3">
        <v>0</v>
      </c>
      <c r="K78" s="41">
        <f t="shared" si="7"/>
        <v>4341</v>
      </c>
      <c r="L78" s="42">
        <f t="shared" si="8"/>
        <v>95.666666666666671</v>
      </c>
      <c r="M78" s="41" t="str">
        <f t="shared" si="9"/>
        <v>Jul</v>
      </c>
      <c r="P78" s="48">
        <f t="shared" si="10"/>
        <v>4341</v>
      </c>
      <c r="Q78" s="48">
        <f t="shared" si="11"/>
        <v>95.666666666666671</v>
      </c>
      <c r="R78" s="3">
        <f t="shared" si="12"/>
        <v>1.2058333333333333</v>
      </c>
    </row>
    <row r="79" spans="1:18" x14ac:dyDescent="0.2">
      <c r="A79" s="2">
        <v>41475</v>
      </c>
      <c r="B79" s="3">
        <v>44033</v>
      </c>
      <c r="C79" s="3" t="s">
        <v>11</v>
      </c>
      <c r="D79" s="3">
        <v>141</v>
      </c>
      <c r="E79" s="3">
        <v>14703</v>
      </c>
      <c r="F79" s="3">
        <v>0</v>
      </c>
      <c r="G79" s="3">
        <v>3216</v>
      </c>
      <c r="H79" s="3">
        <v>17750</v>
      </c>
      <c r="I79" s="3">
        <v>35689</v>
      </c>
      <c r="J79" s="3">
        <v>0</v>
      </c>
      <c r="K79" s="41">
        <f t="shared" si="7"/>
        <v>32473</v>
      </c>
      <c r="L79" s="42">
        <f t="shared" si="8"/>
        <v>104.27659574468085</v>
      </c>
      <c r="M79" s="41" t="str">
        <f t="shared" si="9"/>
        <v>Jul</v>
      </c>
      <c r="P79" s="48">
        <f t="shared" si="10"/>
        <v>32473</v>
      </c>
      <c r="Q79" s="48">
        <f t="shared" si="11"/>
        <v>104.27659574468085</v>
      </c>
      <c r="R79" s="3">
        <f t="shared" si="12"/>
        <v>9.0202777777777783</v>
      </c>
    </row>
    <row r="80" spans="1:18" x14ac:dyDescent="0.2">
      <c r="A80" s="2">
        <v>41476</v>
      </c>
      <c r="B80" s="3">
        <v>44021</v>
      </c>
      <c r="C80" s="3" t="s">
        <v>9</v>
      </c>
      <c r="D80" s="3">
        <v>127</v>
      </c>
      <c r="E80" s="3">
        <v>10601</v>
      </c>
      <c r="F80" s="3">
        <v>0</v>
      </c>
      <c r="G80" s="3">
        <v>2323</v>
      </c>
      <c r="H80" s="3">
        <v>19784</v>
      </c>
      <c r="I80" s="3">
        <v>32773</v>
      </c>
      <c r="J80" s="3">
        <v>0</v>
      </c>
      <c r="K80" s="41">
        <f t="shared" si="7"/>
        <v>30450</v>
      </c>
      <c r="L80" s="42">
        <f t="shared" si="8"/>
        <v>83.472440944881896</v>
      </c>
      <c r="M80" s="41" t="str">
        <f t="shared" si="9"/>
        <v>Jul</v>
      </c>
      <c r="P80" s="48">
        <f t="shared" si="10"/>
        <v>30450</v>
      </c>
      <c r="Q80" s="48">
        <f t="shared" si="11"/>
        <v>83.472440944881896</v>
      </c>
      <c r="R80" s="3">
        <f t="shared" si="12"/>
        <v>8.4583333333333339</v>
      </c>
    </row>
    <row r="81" spans="1:18" x14ac:dyDescent="0.2">
      <c r="A81" s="2">
        <v>41476</v>
      </c>
      <c r="B81" s="3">
        <v>44022</v>
      </c>
      <c r="C81" s="3" t="s">
        <v>23</v>
      </c>
      <c r="D81" s="3">
        <v>131</v>
      </c>
      <c r="E81" s="3">
        <v>10009</v>
      </c>
      <c r="F81" s="3">
        <v>0</v>
      </c>
      <c r="G81" s="3">
        <v>1109</v>
      </c>
      <c r="H81" s="3">
        <v>20699</v>
      </c>
      <c r="I81" s="3">
        <v>31909</v>
      </c>
      <c r="J81" s="3">
        <v>69</v>
      </c>
      <c r="K81" s="41">
        <f t="shared" si="7"/>
        <v>30800</v>
      </c>
      <c r="L81" s="42">
        <f t="shared" si="8"/>
        <v>76.931297709923669</v>
      </c>
      <c r="M81" s="41" t="str">
        <f t="shared" si="9"/>
        <v>Jul</v>
      </c>
      <c r="P81" s="48">
        <f t="shared" si="10"/>
        <v>30800</v>
      </c>
      <c r="Q81" s="48">
        <f t="shared" si="11"/>
        <v>76.931297709923669</v>
      </c>
      <c r="R81" s="3">
        <f t="shared" si="12"/>
        <v>8.5555555555555554</v>
      </c>
    </row>
    <row r="82" spans="1:18" x14ac:dyDescent="0.2">
      <c r="A82" s="2">
        <v>41476</v>
      </c>
      <c r="B82" s="3">
        <v>44027</v>
      </c>
      <c r="C82" s="3" t="s">
        <v>10</v>
      </c>
      <c r="D82" s="3">
        <v>18</v>
      </c>
      <c r="E82" s="3">
        <v>2006</v>
      </c>
      <c r="F82" s="3">
        <v>0</v>
      </c>
      <c r="G82" s="3">
        <v>498</v>
      </c>
      <c r="H82" s="3">
        <v>2283</v>
      </c>
      <c r="I82" s="3">
        <v>4787</v>
      </c>
      <c r="J82" s="3">
        <v>0</v>
      </c>
      <c r="K82" s="41">
        <f t="shared" si="7"/>
        <v>4289</v>
      </c>
      <c r="L82" s="42">
        <f t="shared" si="8"/>
        <v>111.44444444444444</v>
      </c>
      <c r="M82" s="41" t="str">
        <f t="shared" si="9"/>
        <v>Jul</v>
      </c>
      <c r="P82" s="48">
        <f t="shared" si="10"/>
        <v>4289</v>
      </c>
      <c r="Q82" s="48">
        <f t="shared" si="11"/>
        <v>111.44444444444444</v>
      </c>
      <c r="R82" s="3">
        <f t="shared" si="12"/>
        <v>1.1913888888888888</v>
      </c>
    </row>
    <row r="83" spans="1:18" x14ac:dyDescent="0.2">
      <c r="A83" s="2">
        <v>41476</v>
      </c>
      <c r="B83" s="3">
        <v>44033</v>
      </c>
      <c r="C83" s="3" t="s">
        <v>11</v>
      </c>
      <c r="D83" s="3">
        <v>122</v>
      </c>
      <c r="E83" s="3">
        <v>11212</v>
      </c>
      <c r="F83" s="3">
        <v>0</v>
      </c>
      <c r="G83" s="3">
        <v>2358</v>
      </c>
      <c r="H83" s="3">
        <v>18849</v>
      </c>
      <c r="I83" s="3">
        <v>32437</v>
      </c>
      <c r="J83" s="3">
        <v>0</v>
      </c>
      <c r="K83" s="41">
        <f t="shared" si="7"/>
        <v>30079</v>
      </c>
      <c r="L83" s="42">
        <f t="shared" si="8"/>
        <v>91.901639344262293</v>
      </c>
      <c r="M83" s="41" t="str">
        <f t="shared" si="9"/>
        <v>Jul</v>
      </c>
      <c r="P83" s="48">
        <f t="shared" si="10"/>
        <v>30079</v>
      </c>
      <c r="Q83" s="48">
        <f t="shared" si="11"/>
        <v>91.901639344262293</v>
      </c>
      <c r="R83" s="3">
        <f t="shared" si="12"/>
        <v>8.3552777777777774</v>
      </c>
    </row>
    <row r="84" spans="1:18" x14ac:dyDescent="0.2">
      <c r="A84" s="2">
        <v>41476</v>
      </c>
      <c r="B84" s="3">
        <v>44050</v>
      </c>
      <c r="C84" s="3" t="s">
        <v>24</v>
      </c>
      <c r="D84" s="3">
        <v>119</v>
      </c>
      <c r="E84" s="3">
        <v>12871</v>
      </c>
      <c r="F84" s="3">
        <v>0</v>
      </c>
      <c r="G84" s="3">
        <v>2827</v>
      </c>
      <c r="H84" s="3">
        <v>18060</v>
      </c>
      <c r="I84" s="3">
        <v>33758</v>
      </c>
      <c r="J84" s="3">
        <v>0</v>
      </c>
      <c r="K84" s="41">
        <f t="shared" si="7"/>
        <v>30931</v>
      </c>
      <c r="L84" s="42">
        <f t="shared" si="8"/>
        <v>108.15966386554622</v>
      </c>
      <c r="M84" s="41" t="str">
        <f t="shared" si="9"/>
        <v>Jul</v>
      </c>
      <c r="P84" s="48">
        <f t="shared" si="10"/>
        <v>30931</v>
      </c>
      <c r="Q84" s="48">
        <f t="shared" si="11"/>
        <v>108.15966386554622</v>
      </c>
      <c r="R84" s="3">
        <f t="shared" si="12"/>
        <v>8.5919444444444437</v>
      </c>
    </row>
    <row r="85" spans="1:18" x14ac:dyDescent="0.2">
      <c r="A85" s="2">
        <v>41477</v>
      </c>
      <c r="B85" s="3">
        <v>44021</v>
      </c>
      <c r="C85" s="3" t="s">
        <v>9</v>
      </c>
      <c r="D85" s="3">
        <v>122</v>
      </c>
      <c r="E85" s="3">
        <v>10900</v>
      </c>
      <c r="F85" s="3">
        <v>0</v>
      </c>
      <c r="G85" s="3">
        <v>2144</v>
      </c>
      <c r="H85" s="3">
        <v>21887</v>
      </c>
      <c r="I85" s="3">
        <v>34954</v>
      </c>
      <c r="J85" s="3">
        <v>0</v>
      </c>
      <c r="K85" s="41">
        <f t="shared" si="7"/>
        <v>32810</v>
      </c>
      <c r="L85" s="42">
        <f t="shared" si="8"/>
        <v>89.344262295081961</v>
      </c>
      <c r="M85" s="41" t="str">
        <f t="shared" si="9"/>
        <v>Jul</v>
      </c>
      <c r="P85" s="48">
        <f t="shared" si="10"/>
        <v>32810</v>
      </c>
      <c r="Q85" s="48">
        <f t="shared" si="11"/>
        <v>89.344262295081961</v>
      </c>
      <c r="R85" s="3">
        <f t="shared" si="12"/>
        <v>9.1138888888888889</v>
      </c>
    </row>
    <row r="86" spans="1:18" x14ac:dyDescent="0.2">
      <c r="A86" s="2">
        <v>41477</v>
      </c>
      <c r="B86" s="3">
        <v>44022</v>
      </c>
      <c r="C86" s="3" t="s">
        <v>23</v>
      </c>
      <c r="D86" s="3">
        <v>131</v>
      </c>
      <c r="E86" s="3">
        <v>9711</v>
      </c>
      <c r="F86" s="3">
        <v>0</v>
      </c>
      <c r="G86" s="3">
        <v>3483</v>
      </c>
      <c r="H86" s="3">
        <v>24694</v>
      </c>
      <c r="I86" s="3">
        <v>37925</v>
      </c>
      <c r="J86" s="3">
        <v>0</v>
      </c>
      <c r="K86" s="41">
        <f t="shared" si="7"/>
        <v>34442</v>
      </c>
      <c r="L86" s="42">
        <f t="shared" si="8"/>
        <v>74.129770992366417</v>
      </c>
      <c r="M86" s="41" t="str">
        <f t="shared" si="9"/>
        <v>Jul</v>
      </c>
      <c r="P86" s="48">
        <f t="shared" si="10"/>
        <v>34442</v>
      </c>
      <c r="Q86" s="48">
        <f t="shared" si="11"/>
        <v>74.129770992366417</v>
      </c>
      <c r="R86" s="3">
        <f t="shared" si="12"/>
        <v>9.5672222222222221</v>
      </c>
    </row>
    <row r="87" spans="1:18" x14ac:dyDescent="0.2">
      <c r="A87" s="2">
        <v>41477</v>
      </c>
      <c r="B87" s="3">
        <v>44033</v>
      </c>
      <c r="C87" s="3" t="s">
        <v>11</v>
      </c>
      <c r="D87" s="3">
        <v>122</v>
      </c>
      <c r="E87" s="3">
        <v>10983</v>
      </c>
      <c r="F87" s="3">
        <v>0</v>
      </c>
      <c r="G87" s="3">
        <v>2750</v>
      </c>
      <c r="H87" s="3">
        <v>19114</v>
      </c>
      <c r="I87" s="3">
        <v>32867</v>
      </c>
      <c r="J87" s="3">
        <v>0</v>
      </c>
      <c r="K87" s="41">
        <f t="shared" si="7"/>
        <v>30117</v>
      </c>
      <c r="L87" s="42">
        <f t="shared" si="8"/>
        <v>90.02459016393442</v>
      </c>
      <c r="M87" s="41" t="str">
        <f t="shared" si="9"/>
        <v>Jul</v>
      </c>
      <c r="P87" s="48">
        <f t="shared" si="10"/>
        <v>30117</v>
      </c>
      <c r="Q87" s="48">
        <f t="shared" si="11"/>
        <v>90.02459016393442</v>
      </c>
      <c r="R87" s="3">
        <f t="shared" si="12"/>
        <v>8.3658333333333328</v>
      </c>
    </row>
    <row r="88" spans="1:18" x14ac:dyDescent="0.2">
      <c r="A88" s="2">
        <v>41477</v>
      </c>
      <c r="B88" s="3">
        <v>44050</v>
      </c>
      <c r="C88" s="3" t="s">
        <v>24</v>
      </c>
      <c r="D88" s="3">
        <v>102</v>
      </c>
      <c r="E88" s="3">
        <v>10160</v>
      </c>
      <c r="F88" s="3">
        <v>0</v>
      </c>
      <c r="G88" s="3">
        <v>3408</v>
      </c>
      <c r="H88" s="3">
        <v>19546</v>
      </c>
      <c r="I88" s="3">
        <v>33120</v>
      </c>
      <c r="J88" s="3">
        <v>0</v>
      </c>
      <c r="K88" s="41">
        <f t="shared" si="7"/>
        <v>29712</v>
      </c>
      <c r="L88" s="42">
        <f t="shared" si="8"/>
        <v>99.607843137254903</v>
      </c>
      <c r="M88" s="41" t="str">
        <f t="shared" si="9"/>
        <v>Jul</v>
      </c>
      <c r="P88" s="48">
        <f t="shared" si="10"/>
        <v>29712</v>
      </c>
      <c r="Q88" s="48">
        <f t="shared" si="11"/>
        <v>99.607843137254903</v>
      </c>
      <c r="R88" s="3">
        <f t="shared" si="12"/>
        <v>8.2533333333333339</v>
      </c>
    </row>
    <row r="89" spans="1:18" x14ac:dyDescent="0.2">
      <c r="A89" s="2">
        <v>41478</v>
      </c>
      <c r="B89" s="3">
        <v>44021</v>
      </c>
      <c r="C89" s="3" t="s">
        <v>9</v>
      </c>
      <c r="D89" s="3">
        <v>105</v>
      </c>
      <c r="E89" s="3">
        <v>9031</v>
      </c>
      <c r="F89" s="3">
        <v>0</v>
      </c>
      <c r="G89" s="3">
        <v>2145</v>
      </c>
      <c r="H89" s="3">
        <v>21520</v>
      </c>
      <c r="I89" s="3">
        <v>32708</v>
      </c>
      <c r="J89" s="3">
        <v>0</v>
      </c>
      <c r="K89" s="41">
        <f t="shared" si="7"/>
        <v>30563</v>
      </c>
      <c r="L89" s="42">
        <f t="shared" si="8"/>
        <v>86.009523809523813</v>
      </c>
      <c r="M89" s="41" t="str">
        <f t="shared" si="9"/>
        <v>Jul</v>
      </c>
      <c r="P89" s="48">
        <f t="shared" si="10"/>
        <v>30563</v>
      </c>
      <c r="Q89" s="48">
        <f t="shared" si="11"/>
        <v>86.009523809523813</v>
      </c>
      <c r="R89" s="3">
        <f t="shared" si="12"/>
        <v>8.4897222222222215</v>
      </c>
    </row>
    <row r="90" spans="1:18" x14ac:dyDescent="0.2">
      <c r="A90" s="2">
        <v>41478</v>
      </c>
      <c r="B90" s="3">
        <v>44022</v>
      </c>
      <c r="C90" s="3" t="s">
        <v>23</v>
      </c>
      <c r="D90" s="3">
        <v>134</v>
      </c>
      <c r="E90" s="3">
        <v>10521</v>
      </c>
      <c r="F90" s="3">
        <v>0</v>
      </c>
      <c r="G90" s="3">
        <v>4515</v>
      </c>
      <c r="H90" s="3">
        <v>26444</v>
      </c>
      <c r="I90" s="3">
        <v>41513</v>
      </c>
      <c r="J90" s="3">
        <v>0</v>
      </c>
      <c r="K90" s="41">
        <f t="shared" si="7"/>
        <v>36998</v>
      </c>
      <c r="L90" s="42">
        <f t="shared" si="8"/>
        <v>78.514925373134332</v>
      </c>
      <c r="M90" s="41" t="str">
        <f t="shared" si="9"/>
        <v>Jul</v>
      </c>
      <c r="P90" s="48">
        <f t="shared" si="10"/>
        <v>36998</v>
      </c>
      <c r="Q90" s="48">
        <f t="shared" si="11"/>
        <v>78.514925373134332</v>
      </c>
      <c r="R90" s="3">
        <f t="shared" si="12"/>
        <v>10.277222222222223</v>
      </c>
    </row>
    <row r="91" spans="1:18" x14ac:dyDescent="0.2">
      <c r="A91" s="2">
        <v>41478</v>
      </c>
      <c r="B91" s="3">
        <v>44027</v>
      </c>
      <c r="C91" s="3" t="s">
        <v>10</v>
      </c>
      <c r="D91" s="3">
        <v>8</v>
      </c>
      <c r="E91" s="3">
        <v>948</v>
      </c>
      <c r="F91" s="3">
        <v>0</v>
      </c>
      <c r="G91" s="3">
        <v>615</v>
      </c>
      <c r="H91" s="3">
        <v>1771</v>
      </c>
      <c r="I91" s="3">
        <v>3334</v>
      </c>
      <c r="J91" s="3">
        <v>0</v>
      </c>
      <c r="K91" s="41">
        <f t="shared" si="7"/>
        <v>2719</v>
      </c>
      <c r="L91" s="42">
        <f t="shared" si="8"/>
        <v>118.5</v>
      </c>
      <c r="M91" s="41" t="str">
        <f t="shared" si="9"/>
        <v>Jul</v>
      </c>
      <c r="P91" s="48">
        <f t="shared" si="10"/>
        <v>2719</v>
      </c>
      <c r="Q91" s="48">
        <f t="shared" si="11"/>
        <v>118.5</v>
      </c>
      <c r="R91" s="3">
        <f t="shared" si="12"/>
        <v>0.75527777777777783</v>
      </c>
    </row>
    <row r="92" spans="1:18" x14ac:dyDescent="0.2">
      <c r="A92" s="2">
        <v>41478</v>
      </c>
      <c r="B92" s="3">
        <v>44033</v>
      </c>
      <c r="C92" s="3" t="s">
        <v>11</v>
      </c>
      <c r="D92" s="3">
        <v>95</v>
      </c>
      <c r="E92" s="3">
        <v>8767</v>
      </c>
      <c r="F92" s="3">
        <v>0</v>
      </c>
      <c r="G92" s="3">
        <v>2609</v>
      </c>
      <c r="H92" s="3">
        <v>21692</v>
      </c>
      <c r="I92" s="3">
        <v>33086</v>
      </c>
      <c r="J92" s="3">
        <v>0</v>
      </c>
      <c r="K92" s="41">
        <f t="shared" si="7"/>
        <v>30477</v>
      </c>
      <c r="L92" s="42">
        <f t="shared" si="8"/>
        <v>92.284210526315789</v>
      </c>
      <c r="M92" s="41" t="str">
        <f t="shared" si="9"/>
        <v>Jul</v>
      </c>
      <c r="P92" s="48">
        <f t="shared" si="10"/>
        <v>30477</v>
      </c>
      <c r="Q92" s="48">
        <f t="shared" si="11"/>
        <v>92.284210526315789</v>
      </c>
      <c r="R92" s="3">
        <f t="shared" si="12"/>
        <v>8.4658333333333342</v>
      </c>
    </row>
    <row r="93" spans="1:18" x14ac:dyDescent="0.2">
      <c r="A93" s="2">
        <v>41478</v>
      </c>
      <c r="B93" s="3">
        <v>44050</v>
      </c>
      <c r="C93" s="3" t="s">
        <v>24</v>
      </c>
      <c r="D93" s="3">
        <v>116</v>
      </c>
      <c r="E93" s="3">
        <v>10396</v>
      </c>
      <c r="F93" s="3">
        <v>0</v>
      </c>
      <c r="G93" s="3">
        <v>3390</v>
      </c>
      <c r="H93" s="3">
        <v>19017</v>
      </c>
      <c r="I93" s="3">
        <v>32807</v>
      </c>
      <c r="J93" s="3">
        <v>0</v>
      </c>
      <c r="K93" s="41">
        <f t="shared" si="7"/>
        <v>29417</v>
      </c>
      <c r="L93" s="42">
        <f t="shared" si="8"/>
        <v>89.620689655172413</v>
      </c>
      <c r="M93" s="41" t="str">
        <f t="shared" si="9"/>
        <v>Jul</v>
      </c>
      <c r="P93" s="48">
        <f t="shared" si="10"/>
        <v>29417</v>
      </c>
      <c r="Q93" s="48">
        <f t="shared" si="11"/>
        <v>89.620689655172413</v>
      </c>
      <c r="R93" s="3">
        <f t="shared" si="12"/>
        <v>8.1713888888888881</v>
      </c>
    </row>
    <row r="94" spans="1:18" x14ac:dyDescent="0.2">
      <c r="A94" s="2">
        <v>41479</v>
      </c>
      <c r="B94" s="3">
        <v>44021</v>
      </c>
      <c r="C94" s="3" t="s">
        <v>9</v>
      </c>
      <c r="D94" s="3">
        <v>101</v>
      </c>
      <c r="E94" s="3">
        <v>8509</v>
      </c>
      <c r="F94" s="3">
        <v>0</v>
      </c>
      <c r="G94" s="3">
        <v>1522</v>
      </c>
      <c r="H94" s="3">
        <v>23266</v>
      </c>
      <c r="I94" s="3">
        <v>33306</v>
      </c>
      <c r="J94" s="3">
        <v>0</v>
      </c>
      <c r="K94" s="41">
        <f t="shared" si="7"/>
        <v>31784</v>
      </c>
      <c r="L94" s="42">
        <f t="shared" si="8"/>
        <v>84.247524752475243</v>
      </c>
      <c r="M94" s="41" t="str">
        <f t="shared" si="9"/>
        <v>Jul</v>
      </c>
      <c r="P94" s="48">
        <f t="shared" si="10"/>
        <v>31784</v>
      </c>
      <c r="Q94" s="48">
        <f t="shared" si="11"/>
        <v>84.247524752475243</v>
      </c>
      <c r="R94" s="3">
        <f t="shared" si="12"/>
        <v>8.8288888888888888</v>
      </c>
    </row>
    <row r="95" spans="1:18" x14ac:dyDescent="0.2">
      <c r="A95" s="2">
        <v>41479</v>
      </c>
      <c r="B95" s="3">
        <v>44022</v>
      </c>
      <c r="C95" s="3" t="s">
        <v>23</v>
      </c>
      <c r="D95" s="3">
        <v>114</v>
      </c>
      <c r="E95" s="3">
        <v>8119</v>
      </c>
      <c r="F95" s="3">
        <v>0</v>
      </c>
      <c r="G95" s="3">
        <v>4800</v>
      </c>
      <c r="H95" s="3">
        <v>23128</v>
      </c>
      <c r="I95" s="3">
        <v>36072</v>
      </c>
      <c r="J95" s="3">
        <v>0</v>
      </c>
      <c r="K95" s="41">
        <f t="shared" si="7"/>
        <v>31272</v>
      </c>
      <c r="L95" s="42">
        <f t="shared" si="8"/>
        <v>71.219298245614041</v>
      </c>
      <c r="M95" s="41" t="str">
        <f t="shared" si="9"/>
        <v>Jul</v>
      </c>
      <c r="P95" s="48">
        <f t="shared" si="10"/>
        <v>31272</v>
      </c>
      <c r="Q95" s="48">
        <f t="shared" si="11"/>
        <v>71.219298245614041</v>
      </c>
      <c r="R95" s="3">
        <f t="shared" si="12"/>
        <v>8.6866666666666674</v>
      </c>
    </row>
    <row r="96" spans="1:18" x14ac:dyDescent="0.2">
      <c r="A96" s="2">
        <v>41479</v>
      </c>
      <c r="B96" s="3">
        <v>44033</v>
      </c>
      <c r="C96" s="3" t="s">
        <v>11</v>
      </c>
      <c r="D96" s="3">
        <v>100</v>
      </c>
      <c r="E96" s="3">
        <v>8838</v>
      </c>
      <c r="F96" s="3">
        <v>0</v>
      </c>
      <c r="G96" s="3">
        <v>2758</v>
      </c>
      <c r="H96" s="3">
        <v>21391</v>
      </c>
      <c r="I96" s="3">
        <v>33005</v>
      </c>
      <c r="J96" s="3">
        <v>0</v>
      </c>
      <c r="K96" s="41">
        <f t="shared" si="7"/>
        <v>30247</v>
      </c>
      <c r="L96" s="42">
        <f t="shared" si="8"/>
        <v>88.38</v>
      </c>
      <c r="M96" s="41" t="str">
        <f t="shared" si="9"/>
        <v>Jul</v>
      </c>
      <c r="P96" s="48">
        <f t="shared" si="10"/>
        <v>30247</v>
      </c>
      <c r="Q96" s="48">
        <f t="shared" si="11"/>
        <v>88.38</v>
      </c>
      <c r="R96" s="3">
        <f t="shared" si="12"/>
        <v>8.4019444444444442</v>
      </c>
    </row>
    <row r="97" spans="1:18" x14ac:dyDescent="0.2">
      <c r="A97" s="2">
        <v>41479</v>
      </c>
      <c r="B97" s="3">
        <v>44050</v>
      </c>
      <c r="C97" s="3" t="s">
        <v>24</v>
      </c>
      <c r="D97" s="3">
        <v>113</v>
      </c>
      <c r="E97" s="3">
        <v>9792</v>
      </c>
      <c r="F97" s="3">
        <v>0</v>
      </c>
      <c r="G97" s="3">
        <v>4994</v>
      </c>
      <c r="H97" s="3">
        <v>21271</v>
      </c>
      <c r="I97" s="3">
        <v>36060</v>
      </c>
      <c r="J97" s="3">
        <v>0</v>
      </c>
      <c r="K97" s="41">
        <f t="shared" si="7"/>
        <v>31066</v>
      </c>
      <c r="L97" s="42">
        <f t="shared" si="8"/>
        <v>86.654867256637175</v>
      </c>
      <c r="M97" s="41" t="str">
        <f t="shared" si="9"/>
        <v>Jul</v>
      </c>
      <c r="P97" s="48">
        <f t="shared" si="10"/>
        <v>31066</v>
      </c>
      <c r="Q97" s="48">
        <f t="shared" si="11"/>
        <v>86.654867256637175</v>
      </c>
      <c r="R97" s="3">
        <f t="shared" si="12"/>
        <v>8.6294444444444451</v>
      </c>
    </row>
    <row r="98" spans="1:18" x14ac:dyDescent="0.2">
      <c r="A98" s="2">
        <v>41480</v>
      </c>
      <c r="B98" s="3">
        <v>44021</v>
      </c>
      <c r="C98" s="3" t="s">
        <v>9</v>
      </c>
      <c r="D98" s="3">
        <v>113</v>
      </c>
      <c r="E98" s="3">
        <v>9785</v>
      </c>
      <c r="F98" s="3">
        <v>0</v>
      </c>
      <c r="G98" s="3">
        <v>1807</v>
      </c>
      <c r="H98" s="3">
        <v>22023</v>
      </c>
      <c r="I98" s="3">
        <v>33625</v>
      </c>
      <c r="J98" s="3">
        <v>0</v>
      </c>
      <c r="K98" s="41">
        <f t="shared" si="7"/>
        <v>31818</v>
      </c>
      <c r="L98" s="42">
        <f t="shared" si="8"/>
        <v>86.592920353982308</v>
      </c>
      <c r="M98" s="41" t="str">
        <f t="shared" si="9"/>
        <v>Jul</v>
      </c>
      <c r="P98" s="48">
        <f t="shared" si="10"/>
        <v>31818</v>
      </c>
      <c r="Q98" s="48">
        <f t="shared" si="11"/>
        <v>86.592920353982308</v>
      </c>
      <c r="R98" s="3">
        <f t="shared" si="12"/>
        <v>8.8383333333333329</v>
      </c>
    </row>
    <row r="99" spans="1:18" x14ac:dyDescent="0.2">
      <c r="A99" s="2">
        <v>41480</v>
      </c>
      <c r="B99" s="3">
        <v>44022</v>
      </c>
      <c r="C99" s="3" t="s">
        <v>23</v>
      </c>
      <c r="D99" s="3">
        <v>126</v>
      </c>
      <c r="E99" s="3">
        <v>8183</v>
      </c>
      <c r="F99" s="3">
        <v>1</v>
      </c>
      <c r="G99" s="3">
        <v>6003</v>
      </c>
      <c r="H99" s="3">
        <v>24719</v>
      </c>
      <c r="I99" s="3">
        <v>38930</v>
      </c>
      <c r="J99" s="3">
        <v>0</v>
      </c>
      <c r="K99" s="41">
        <f t="shared" si="7"/>
        <v>32927</v>
      </c>
      <c r="L99" s="42">
        <f t="shared" si="8"/>
        <v>64.952380952380949</v>
      </c>
      <c r="M99" s="41" t="str">
        <f t="shared" si="9"/>
        <v>Jul</v>
      </c>
      <c r="P99" s="48">
        <f t="shared" si="10"/>
        <v>32927</v>
      </c>
      <c r="Q99" s="48">
        <f t="shared" si="11"/>
        <v>64.952380952380949</v>
      </c>
      <c r="R99" s="3">
        <f t="shared" si="12"/>
        <v>9.1463888888888896</v>
      </c>
    </row>
    <row r="100" spans="1:18" x14ac:dyDescent="0.2">
      <c r="A100" s="2">
        <v>41480</v>
      </c>
      <c r="B100" s="3">
        <v>44027</v>
      </c>
      <c r="C100" s="3" t="s">
        <v>10</v>
      </c>
      <c r="D100" s="3">
        <v>5</v>
      </c>
      <c r="E100" s="3">
        <v>669</v>
      </c>
      <c r="F100" s="3">
        <v>0</v>
      </c>
      <c r="G100" s="3">
        <v>1255</v>
      </c>
      <c r="H100" s="3">
        <v>921</v>
      </c>
      <c r="I100" s="3">
        <v>2845</v>
      </c>
      <c r="J100" s="3">
        <v>0</v>
      </c>
      <c r="K100" s="41">
        <f t="shared" si="7"/>
        <v>1590</v>
      </c>
      <c r="L100" s="42">
        <f t="shared" si="8"/>
        <v>133.80000000000001</v>
      </c>
      <c r="M100" s="41" t="str">
        <f t="shared" si="9"/>
        <v>Jul</v>
      </c>
      <c r="P100" s="48">
        <f t="shared" si="10"/>
        <v>1590</v>
      </c>
      <c r="Q100" s="48">
        <f t="shared" si="11"/>
        <v>133.80000000000001</v>
      </c>
      <c r="R100" s="3">
        <f t="shared" si="12"/>
        <v>0.44166666666666665</v>
      </c>
    </row>
    <row r="101" spans="1:18" x14ac:dyDescent="0.2">
      <c r="A101" s="2">
        <v>41480</v>
      </c>
      <c r="B101" s="3">
        <v>44033</v>
      </c>
      <c r="C101" s="3" t="s">
        <v>11</v>
      </c>
      <c r="D101" s="3">
        <v>108</v>
      </c>
      <c r="E101" s="3">
        <v>9276</v>
      </c>
      <c r="F101" s="3">
        <v>0</v>
      </c>
      <c r="G101" s="3">
        <v>2751</v>
      </c>
      <c r="H101" s="3">
        <v>21257</v>
      </c>
      <c r="I101" s="3">
        <v>33296</v>
      </c>
      <c r="J101" s="3">
        <v>0</v>
      </c>
      <c r="K101" s="41">
        <f t="shared" si="7"/>
        <v>30545</v>
      </c>
      <c r="L101" s="42">
        <f t="shared" si="8"/>
        <v>85.888888888888886</v>
      </c>
      <c r="M101" s="41" t="str">
        <f t="shared" si="9"/>
        <v>Jul</v>
      </c>
      <c r="P101" s="48">
        <f t="shared" si="10"/>
        <v>30545</v>
      </c>
      <c r="Q101" s="48">
        <f t="shared" si="11"/>
        <v>85.888888888888886</v>
      </c>
      <c r="R101" s="3">
        <f t="shared" si="12"/>
        <v>8.4847222222222225</v>
      </c>
    </row>
    <row r="102" spans="1:18" x14ac:dyDescent="0.2">
      <c r="A102" s="2">
        <v>41480</v>
      </c>
      <c r="B102" s="3">
        <v>44050</v>
      </c>
      <c r="C102" s="3" t="s">
        <v>24</v>
      </c>
      <c r="D102" s="3">
        <v>112</v>
      </c>
      <c r="E102" s="3">
        <v>9963</v>
      </c>
      <c r="F102" s="3">
        <v>0</v>
      </c>
      <c r="G102" s="3">
        <v>3587</v>
      </c>
      <c r="H102" s="3">
        <v>19226</v>
      </c>
      <c r="I102" s="3">
        <v>32781</v>
      </c>
      <c r="J102" s="3">
        <v>0</v>
      </c>
      <c r="K102" s="41">
        <f t="shared" si="7"/>
        <v>29194</v>
      </c>
      <c r="L102" s="42">
        <f t="shared" si="8"/>
        <v>88.955357142857139</v>
      </c>
      <c r="M102" s="41" t="str">
        <f t="shared" si="9"/>
        <v>Jul</v>
      </c>
      <c r="P102" s="48">
        <f t="shared" si="10"/>
        <v>29194</v>
      </c>
      <c r="Q102" s="48">
        <f t="shared" si="11"/>
        <v>88.955357142857139</v>
      </c>
      <c r="R102" s="3">
        <f t="shared" si="12"/>
        <v>8.1094444444444438</v>
      </c>
    </row>
    <row r="103" spans="1:18" x14ac:dyDescent="0.2">
      <c r="A103" s="2">
        <v>41482</v>
      </c>
      <c r="B103" s="3">
        <v>44021</v>
      </c>
      <c r="C103" s="3" t="s">
        <v>9</v>
      </c>
      <c r="D103" s="3">
        <v>136</v>
      </c>
      <c r="E103" s="3">
        <v>11351</v>
      </c>
      <c r="F103" s="3">
        <v>2</v>
      </c>
      <c r="G103" s="3">
        <v>751</v>
      </c>
      <c r="H103" s="3">
        <v>20898</v>
      </c>
      <c r="I103" s="3">
        <v>33017</v>
      </c>
      <c r="J103" s="3">
        <v>0</v>
      </c>
      <c r="K103" s="41">
        <f t="shared" si="7"/>
        <v>32266</v>
      </c>
      <c r="L103" s="42">
        <f t="shared" si="8"/>
        <v>83.477941176470594</v>
      </c>
      <c r="M103" s="41" t="str">
        <f t="shared" si="9"/>
        <v>Jul</v>
      </c>
      <c r="P103" s="48">
        <f t="shared" si="10"/>
        <v>32266</v>
      </c>
      <c r="Q103" s="48">
        <f t="shared" si="11"/>
        <v>83.477941176470594</v>
      </c>
      <c r="R103" s="3">
        <f t="shared" si="12"/>
        <v>8.9627777777777773</v>
      </c>
    </row>
    <row r="104" spans="1:18" x14ac:dyDescent="0.2">
      <c r="A104" s="2">
        <v>41482</v>
      </c>
      <c r="B104" s="3">
        <v>44022</v>
      </c>
      <c r="C104" s="3" t="s">
        <v>23</v>
      </c>
      <c r="D104" s="3">
        <v>172</v>
      </c>
      <c r="E104" s="3">
        <v>11325</v>
      </c>
      <c r="F104" s="3">
        <v>0</v>
      </c>
      <c r="G104" s="3">
        <v>3540</v>
      </c>
      <c r="H104" s="3">
        <v>27552</v>
      </c>
      <c r="I104" s="3">
        <v>42449</v>
      </c>
      <c r="J104" s="3">
        <v>0</v>
      </c>
      <c r="K104" s="41">
        <f t="shared" si="7"/>
        <v>38909</v>
      </c>
      <c r="L104" s="42">
        <f t="shared" si="8"/>
        <v>65.843023255813947</v>
      </c>
      <c r="M104" s="41" t="str">
        <f t="shared" si="9"/>
        <v>Jul</v>
      </c>
      <c r="P104" s="48">
        <f t="shared" si="10"/>
        <v>38909</v>
      </c>
      <c r="Q104" s="48">
        <f t="shared" si="11"/>
        <v>65.843023255813947</v>
      </c>
      <c r="R104" s="3">
        <f t="shared" si="12"/>
        <v>10.808055555555555</v>
      </c>
    </row>
    <row r="105" spans="1:18" x14ac:dyDescent="0.2">
      <c r="A105" s="2">
        <v>41482</v>
      </c>
      <c r="B105" s="3">
        <v>44027</v>
      </c>
      <c r="C105" s="3" t="s">
        <v>10</v>
      </c>
      <c r="D105" s="3">
        <v>8</v>
      </c>
      <c r="E105" s="3">
        <v>787</v>
      </c>
      <c r="F105" s="3">
        <v>0</v>
      </c>
      <c r="G105" s="3">
        <v>5</v>
      </c>
      <c r="H105" s="3">
        <v>2022</v>
      </c>
      <c r="I105" s="3">
        <v>2814</v>
      </c>
      <c r="J105" s="3">
        <v>0</v>
      </c>
      <c r="K105" s="41">
        <f t="shared" si="7"/>
        <v>2809</v>
      </c>
      <c r="L105" s="42">
        <f t="shared" si="8"/>
        <v>98.375</v>
      </c>
      <c r="M105" s="41" t="str">
        <f t="shared" si="9"/>
        <v>Jul</v>
      </c>
      <c r="P105" s="48">
        <f t="shared" si="10"/>
        <v>2809</v>
      </c>
      <c r="Q105" s="48">
        <f t="shared" si="11"/>
        <v>98.375</v>
      </c>
      <c r="R105" s="3">
        <f t="shared" si="12"/>
        <v>0.78027777777777774</v>
      </c>
    </row>
    <row r="106" spans="1:18" x14ac:dyDescent="0.2">
      <c r="A106" s="2">
        <v>41482</v>
      </c>
      <c r="B106" s="3">
        <v>44033</v>
      </c>
      <c r="C106" s="3" t="s">
        <v>11</v>
      </c>
      <c r="D106" s="3">
        <v>125</v>
      </c>
      <c r="E106" s="3">
        <v>12621</v>
      </c>
      <c r="F106" s="3">
        <v>0</v>
      </c>
      <c r="G106" s="3">
        <v>2638</v>
      </c>
      <c r="H106" s="3">
        <v>17701</v>
      </c>
      <c r="I106" s="3">
        <v>32981</v>
      </c>
      <c r="J106" s="3">
        <v>0</v>
      </c>
      <c r="K106" s="41">
        <f t="shared" si="7"/>
        <v>30343</v>
      </c>
      <c r="L106" s="42">
        <f t="shared" si="8"/>
        <v>100.968</v>
      </c>
      <c r="M106" s="41" t="str">
        <f t="shared" si="9"/>
        <v>Jul</v>
      </c>
      <c r="P106" s="48">
        <f t="shared" si="10"/>
        <v>30343</v>
      </c>
      <c r="Q106" s="48">
        <f t="shared" si="11"/>
        <v>100.968</v>
      </c>
      <c r="R106" s="3">
        <f t="shared" si="12"/>
        <v>8.4286111111111115</v>
      </c>
    </row>
    <row r="107" spans="1:18" x14ac:dyDescent="0.2">
      <c r="A107" s="2">
        <v>41482</v>
      </c>
      <c r="B107" s="3">
        <v>44050</v>
      </c>
      <c r="C107" s="3" t="s">
        <v>24</v>
      </c>
      <c r="D107" s="3">
        <v>114</v>
      </c>
      <c r="E107" s="3">
        <v>9983</v>
      </c>
      <c r="F107" s="3">
        <v>0</v>
      </c>
      <c r="G107" s="3">
        <v>2850</v>
      </c>
      <c r="H107" s="3">
        <v>19618</v>
      </c>
      <c r="I107" s="3">
        <v>32455</v>
      </c>
      <c r="J107" s="3">
        <v>0</v>
      </c>
      <c r="K107" s="41">
        <f t="shared" si="7"/>
        <v>29605</v>
      </c>
      <c r="L107" s="42">
        <f t="shared" si="8"/>
        <v>87.570175438596493</v>
      </c>
      <c r="M107" s="41" t="str">
        <f t="shared" si="9"/>
        <v>Jul</v>
      </c>
      <c r="P107" s="48">
        <f t="shared" si="10"/>
        <v>29605</v>
      </c>
      <c r="Q107" s="48">
        <f t="shared" si="11"/>
        <v>87.570175438596493</v>
      </c>
      <c r="R107" s="3">
        <f t="shared" si="12"/>
        <v>8.2236111111111114</v>
      </c>
    </row>
    <row r="108" spans="1:18" x14ac:dyDescent="0.2">
      <c r="A108" s="2">
        <v>41483</v>
      </c>
      <c r="B108" s="3">
        <v>44021</v>
      </c>
      <c r="C108" s="3" t="s">
        <v>9</v>
      </c>
      <c r="D108" s="3">
        <v>120</v>
      </c>
      <c r="E108" s="3">
        <v>10058</v>
      </c>
      <c r="F108" s="3">
        <v>0</v>
      </c>
      <c r="G108" s="3">
        <v>1678</v>
      </c>
      <c r="H108" s="3">
        <v>20693</v>
      </c>
      <c r="I108" s="3">
        <v>32442</v>
      </c>
      <c r="J108" s="3">
        <v>0</v>
      </c>
      <c r="K108" s="41">
        <f t="shared" si="7"/>
        <v>30764</v>
      </c>
      <c r="L108" s="42">
        <f t="shared" si="8"/>
        <v>83.816666666666663</v>
      </c>
      <c r="M108" s="41" t="str">
        <f t="shared" si="9"/>
        <v>Jul</v>
      </c>
      <c r="P108" s="48">
        <f t="shared" si="10"/>
        <v>30764</v>
      </c>
      <c r="Q108" s="48">
        <f t="shared" si="11"/>
        <v>83.816666666666663</v>
      </c>
      <c r="R108" s="3">
        <f t="shared" si="12"/>
        <v>8.5455555555555556</v>
      </c>
    </row>
    <row r="109" spans="1:18" x14ac:dyDescent="0.2">
      <c r="A109" s="2">
        <v>41483</v>
      </c>
      <c r="B109" s="3">
        <v>44022</v>
      </c>
      <c r="C109" s="3" t="s">
        <v>23</v>
      </c>
      <c r="D109" s="3">
        <v>149</v>
      </c>
      <c r="E109" s="3">
        <v>11575</v>
      </c>
      <c r="F109" s="3">
        <v>0</v>
      </c>
      <c r="G109" s="3">
        <v>3850</v>
      </c>
      <c r="H109" s="3">
        <v>24915</v>
      </c>
      <c r="I109" s="3">
        <v>40388</v>
      </c>
      <c r="J109" s="3">
        <v>26</v>
      </c>
      <c r="K109" s="41">
        <f t="shared" si="7"/>
        <v>36538</v>
      </c>
      <c r="L109" s="42">
        <f t="shared" si="8"/>
        <v>77.859060402684563</v>
      </c>
      <c r="M109" s="41" t="str">
        <f t="shared" si="9"/>
        <v>Jul</v>
      </c>
      <c r="P109" s="48">
        <f t="shared" si="10"/>
        <v>36538</v>
      </c>
      <c r="Q109" s="48">
        <f t="shared" si="11"/>
        <v>77.859060402684563</v>
      </c>
      <c r="R109" s="3">
        <f t="shared" si="12"/>
        <v>10.149444444444445</v>
      </c>
    </row>
    <row r="110" spans="1:18" x14ac:dyDescent="0.2">
      <c r="A110" s="2">
        <v>41483</v>
      </c>
      <c r="B110" s="3">
        <v>44027</v>
      </c>
      <c r="C110" s="3" t="s">
        <v>10</v>
      </c>
      <c r="D110" s="3">
        <v>11</v>
      </c>
      <c r="E110" s="3">
        <v>1034</v>
      </c>
      <c r="F110" s="3">
        <v>0</v>
      </c>
      <c r="G110" s="3">
        <v>329</v>
      </c>
      <c r="H110" s="3">
        <v>2784</v>
      </c>
      <c r="I110" s="3">
        <v>4147</v>
      </c>
      <c r="J110" s="3">
        <v>0</v>
      </c>
      <c r="K110" s="41">
        <f t="shared" si="7"/>
        <v>3818</v>
      </c>
      <c r="L110" s="42">
        <f t="shared" si="8"/>
        <v>94</v>
      </c>
      <c r="M110" s="41" t="str">
        <f t="shared" si="9"/>
        <v>Jul</v>
      </c>
      <c r="P110" s="48">
        <f t="shared" si="10"/>
        <v>3818</v>
      </c>
      <c r="Q110" s="48">
        <f t="shared" si="11"/>
        <v>94</v>
      </c>
      <c r="R110" s="3">
        <f t="shared" si="12"/>
        <v>1.0605555555555555</v>
      </c>
    </row>
    <row r="111" spans="1:18" x14ac:dyDescent="0.2">
      <c r="A111" s="2">
        <v>41483</v>
      </c>
      <c r="B111" s="3">
        <v>44033</v>
      </c>
      <c r="C111" s="3" t="s">
        <v>11</v>
      </c>
      <c r="D111" s="3">
        <v>114</v>
      </c>
      <c r="E111" s="3">
        <v>10604</v>
      </c>
      <c r="F111" s="3">
        <v>0</v>
      </c>
      <c r="G111" s="3">
        <v>2955</v>
      </c>
      <c r="H111" s="3">
        <v>20054</v>
      </c>
      <c r="I111" s="3">
        <v>33633</v>
      </c>
      <c r="J111" s="3">
        <v>0</v>
      </c>
      <c r="K111" s="41">
        <f t="shared" si="7"/>
        <v>30678</v>
      </c>
      <c r="L111" s="42">
        <f t="shared" si="8"/>
        <v>93.017543859649123</v>
      </c>
      <c r="M111" s="41" t="str">
        <f t="shared" si="9"/>
        <v>Jul</v>
      </c>
      <c r="P111" s="48">
        <f t="shared" si="10"/>
        <v>30678</v>
      </c>
      <c r="Q111" s="48">
        <f t="shared" si="11"/>
        <v>93.017543859649123</v>
      </c>
      <c r="R111" s="3">
        <f t="shared" si="12"/>
        <v>8.5216666666666665</v>
      </c>
    </row>
    <row r="112" spans="1:18" x14ac:dyDescent="0.2">
      <c r="A112" s="2">
        <v>41483</v>
      </c>
      <c r="B112" s="3">
        <v>44050</v>
      </c>
      <c r="C112" s="3" t="s">
        <v>24</v>
      </c>
      <c r="D112" s="3">
        <v>125</v>
      </c>
      <c r="E112" s="3">
        <v>11009</v>
      </c>
      <c r="F112" s="3">
        <v>0</v>
      </c>
      <c r="G112" s="3">
        <v>2638</v>
      </c>
      <c r="H112" s="3">
        <v>20711</v>
      </c>
      <c r="I112" s="3">
        <v>34363</v>
      </c>
      <c r="J112" s="3">
        <v>0</v>
      </c>
      <c r="K112" s="41">
        <f t="shared" si="7"/>
        <v>31725</v>
      </c>
      <c r="L112" s="42">
        <f t="shared" si="8"/>
        <v>88.072000000000003</v>
      </c>
      <c r="M112" s="41" t="str">
        <f t="shared" si="9"/>
        <v>Jul</v>
      </c>
      <c r="P112" s="48">
        <f t="shared" si="10"/>
        <v>31725</v>
      </c>
      <c r="Q112" s="48">
        <f t="shared" si="11"/>
        <v>88.072000000000003</v>
      </c>
      <c r="R112" s="3">
        <f t="shared" si="12"/>
        <v>8.8125</v>
      </c>
    </row>
    <row r="113" spans="1:18" x14ac:dyDescent="0.2">
      <c r="A113" s="2">
        <v>41484</v>
      </c>
      <c r="B113" s="3">
        <v>44021</v>
      </c>
      <c r="C113" s="3" t="s">
        <v>9</v>
      </c>
      <c r="D113" s="3">
        <v>167</v>
      </c>
      <c r="E113" s="3">
        <v>14020</v>
      </c>
      <c r="F113" s="3">
        <v>0</v>
      </c>
      <c r="G113" s="3">
        <v>2677</v>
      </c>
      <c r="H113" s="3">
        <v>22824</v>
      </c>
      <c r="I113" s="3">
        <v>39540</v>
      </c>
      <c r="J113" s="3">
        <v>0</v>
      </c>
      <c r="K113" s="41">
        <f t="shared" si="7"/>
        <v>36863</v>
      </c>
      <c r="L113" s="42">
        <f t="shared" si="8"/>
        <v>83.952095808383234</v>
      </c>
      <c r="M113" s="41" t="str">
        <f t="shared" si="9"/>
        <v>Jul</v>
      </c>
      <c r="P113" s="48">
        <f t="shared" si="10"/>
        <v>36863</v>
      </c>
      <c r="Q113" s="48">
        <f t="shared" si="11"/>
        <v>83.952095808383234</v>
      </c>
      <c r="R113" s="3">
        <f t="shared" si="12"/>
        <v>10.239722222222222</v>
      </c>
    </row>
    <row r="114" spans="1:18" x14ac:dyDescent="0.2">
      <c r="A114" s="2">
        <v>41484</v>
      </c>
      <c r="B114" s="3">
        <v>44022</v>
      </c>
      <c r="C114" s="3" t="s">
        <v>23</v>
      </c>
      <c r="D114" s="3">
        <v>185</v>
      </c>
      <c r="E114" s="3">
        <v>13418</v>
      </c>
      <c r="F114" s="3">
        <v>0</v>
      </c>
      <c r="G114" s="3">
        <v>4654</v>
      </c>
      <c r="H114" s="3">
        <v>26079</v>
      </c>
      <c r="I114" s="3">
        <v>44187</v>
      </c>
      <c r="J114" s="3">
        <v>0</v>
      </c>
      <c r="K114" s="41">
        <f t="shared" si="7"/>
        <v>39533</v>
      </c>
      <c r="L114" s="42">
        <f t="shared" si="8"/>
        <v>72.529729729729723</v>
      </c>
      <c r="M114" s="41" t="str">
        <f t="shared" si="9"/>
        <v>Jul</v>
      </c>
      <c r="P114" s="48">
        <f t="shared" si="10"/>
        <v>39533</v>
      </c>
      <c r="Q114" s="48">
        <f t="shared" si="11"/>
        <v>72.529729729729723</v>
      </c>
      <c r="R114" s="3">
        <f t="shared" si="12"/>
        <v>10.981388888888889</v>
      </c>
    </row>
    <row r="115" spans="1:18" x14ac:dyDescent="0.2">
      <c r="A115" s="2">
        <v>41484</v>
      </c>
      <c r="B115" s="3">
        <v>44027</v>
      </c>
      <c r="C115" s="3" t="s">
        <v>10</v>
      </c>
      <c r="D115" s="3">
        <v>18</v>
      </c>
      <c r="E115" s="3">
        <v>1901</v>
      </c>
      <c r="F115" s="3">
        <v>0</v>
      </c>
      <c r="G115" s="3">
        <v>146</v>
      </c>
      <c r="H115" s="3">
        <v>1727</v>
      </c>
      <c r="I115" s="3">
        <v>3777</v>
      </c>
      <c r="J115" s="3">
        <v>0</v>
      </c>
      <c r="K115" s="41">
        <f t="shared" si="7"/>
        <v>3631</v>
      </c>
      <c r="L115" s="42">
        <f t="shared" si="8"/>
        <v>105.61111111111111</v>
      </c>
      <c r="M115" s="41" t="str">
        <f t="shared" si="9"/>
        <v>Jul</v>
      </c>
      <c r="P115" s="48">
        <f t="shared" si="10"/>
        <v>3631</v>
      </c>
      <c r="Q115" s="48">
        <f t="shared" si="11"/>
        <v>105.61111111111111</v>
      </c>
      <c r="R115" s="3">
        <f t="shared" si="12"/>
        <v>1.0086111111111111</v>
      </c>
    </row>
    <row r="116" spans="1:18" x14ac:dyDescent="0.2">
      <c r="A116" s="2">
        <v>41484</v>
      </c>
      <c r="B116" s="3">
        <v>44033</v>
      </c>
      <c r="C116" s="3" t="s">
        <v>11</v>
      </c>
      <c r="D116" s="3">
        <v>138</v>
      </c>
      <c r="E116" s="3">
        <v>13512</v>
      </c>
      <c r="F116" s="3">
        <v>0</v>
      </c>
      <c r="G116" s="3">
        <v>2863</v>
      </c>
      <c r="H116" s="3">
        <v>20288</v>
      </c>
      <c r="I116" s="3">
        <v>36684</v>
      </c>
      <c r="J116" s="3">
        <v>0</v>
      </c>
      <c r="K116" s="41">
        <f t="shared" si="7"/>
        <v>33821</v>
      </c>
      <c r="L116" s="42">
        <f t="shared" si="8"/>
        <v>97.913043478260875</v>
      </c>
      <c r="M116" s="41" t="str">
        <f t="shared" si="9"/>
        <v>Jul</v>
      </c>
      <c r="P116" s="48">
        <f t="shared" si="10"/>
        <v>33821</v>
      </c>
      <c r="Q116" s="48">
        <f t="shared" si="11"/>
        <v>97.913043478260875</v>
      </c>
      <c r="R116" s="3">
        <f t="shared" si="12"/>
        <v>9.3947222222222226</v>
      </c>
    </row>
    <row r="117" spans="1:18" x14ac:dyDescent="0.2">
      <c r="A117" s="2">
        <v>41485</v>
      </c>
      <c r="B117" s="3">
        <v>44021</v>
      </c>
      <c r="C117" s="3" t="s">
        <v>9</v>
      </c>
      <c r="D117" s="3">
        <v>123</v>
      </c>
      <c r="E117" s="3">
        <v>11133</v>
      </c>
      <c r="F117" s="3">
        <v>0</v>
      </c>
      <c r="G117" s="3">
        <v>1437</v>
      </c>
      <c r="H117" s="3">
        <v>19785</v>
      </c>
      <c r="I117" s="3">
        <v>32365</v>
      </c>
      <c r="J117" s="3">
        <v>0</v>
      </c>
      <c r="K117" s="41">
        <f t="shared" si="7"/>
        <v>30928</v>
      </c>
      <c r="L117" s="42">
        <f t="shared" si="8"/>
        <v>90.512195121951223</v>
      </c>
      <c r="M117" s="41" t="str">
        <f t="shared" si="9"/>
        <v>Jul</v>
      </c>
      <c r="P117" s="48">
        <f t="shared" si="10"/>
        <v>30928</v>
      </c>
      <c r="Q117" s="48">
        <f t="shared" si="11"/>
        <v>90.512195121951223</v>
      </c>
      <c r="R117" s="3">
        <f t="shared" si="12"/>
        <v>8.5911111111111111</v>
      </c>
    </row>
    <row r="118" spans="1:18" x14ac:dyDescent="0.2">
      <c r="A118" s="2">
        <v>41485</v>
      </c>
      <c r="B118" s="3">
        <v>44022</v>
      </c>
      <c r="C118" s="3" t="s">
        <v>23</v>
      </c>
      <c r="D118" s="3">
        <v>125</v>
      </c>
      <c r="E118" s="3">
        <v>8867</v>
      </c>
      <c r="F118" s="3">
        <v>0</v>
      </c>
      <c r="G118" s="3">
        <v>3382</v>
      </c>
      <c r="H118" s="3">
        <v>22596</v>
      </c>
      <c r="I118" s="3">
        <v>34890</v>
      </c>
      <c r="J118" s="3">
        <v>0</v>
      </c>
      <c r="K118" s="41">
        <f t="shared" si="7"/>
        <v>31508</v>
      </c>
      <c r="L118" s="42">
        <f t="shared" si="8"/>
        <v>70.936000000000007</v>
      </c>
      <c r="M118" s="41" t="str">
        <f t="shared" si="9"/>
        <v>Jul</v>
      </c>
      <c r="P118" s="48">
        <f t="shared" si="10"/>
        <v>31508</v>
      </c>
      <c r="Q118" s="48">
        <f t="shared" si="11"/>
        <v>70.936000000000007</v>
      </c>
      <c r="R118" s="3">
        <f t="shared" si="12"/>
        <v>8.7522222222222226</v>
      </c>
    </row>
    <row r="119" spans="1:18" x14ac:dyDescent="0.2">
      <c r="A119" s="2">
        <v>41485</v>
      </c>
      <c r="B119" s="3">
        <v>44027</v>
      </c>
      <c r="C119" s="3" t="s">
        <v>10</v>
      </c>
      <c r="D119" s="3">
        <v>39</v>
      </c>
      <c r="E119" s="3">
        <v>3152</v>
      </c>
      <c r="F119" s="3">
        <v>0</v>
      </c>
      <c r="G119" s="3">
        <v>2460</v>
      </c>
      <c r="H119" s="3">
        <v>6671</v>
      </c>
      <c r="I119" s="3">
        <v>12283</v>
      </c>
      <c r="J119" s="3">
        <v>0</v>
      </c>
      <c r="K119" s="41">
        <f t="shared" si="7"/>
        <v>9823</v>
      </c>
      <c r="L119" s="42">
        <f t="shared" si="8"/>
        <v>80.820512820512818</v>
      </c>
      <c r="M119" s="41" t="str">
        <f t="shared" si="9"/>
        <v>Jul</v>
      </c>
      <c r="P119" s="48">
        <f t="shared" si="10"/>
        <v>9823</v>
      </c>
      <c r="Q119" s="48">
        <f t="shared" si="11"/>
        <v>80.820512820512818</v>
      </c>
      <c r="R119" s="3">
        <f t="shared" si="12"/>
        <v>2.7286111111111113</v>
      </c>
    </row>
    <row r="120" spans="1:18" x14ac:dyDescent="0.2">
      <c r="A120" s="2">
        <v>41485</v>
      </c>
      <c r="B120" s="3">
        <v>44033</v>
      </c>
      <c r="C120" s="3" t="s">
        <v>11</v>
      </c>
      <c r="D120" s="3">
        <v>122</v>
      </c>
      <c r="E120" s="3">
        <v>10697</v>
      </c>
      <c r="F120" s="3">
        <v>0</v>
      </c>
      <c r="G120" s="3">
        <v>2582</v>
      </c>
      <c r="H120" s="3">
        <v>20534</v>
      </c>
      <c r="I120" s="3">
        <v>33842</v>
      </c>
      <c r="J120" s="3">
        <v>0</v>
      </c>
      <c r="K120" s="41">
        <f t="shared" si="7"/>
        <v>31260</v>
      </c>
      <c r="L120" s="42">
        <f t="shared" si="8"/>
        <v>87.680327868852459</v>
      </c>
      <c r="M120" s="41" t="str">
        <f t="shared" si="9"/>
        <v>Jul</v>
      </c>
      <c r="P120" s="48">
        <f t="shared" si="10"/>
        <v>31260</v>
      </c>
      <c r="Q120" s="48">
        <f t="shared" si="11"/>
        <v>87.680327868852459</v>
      </c>
      <c r="R120" s="3">
        <f t="shared" si="12"/>
        <v>8.6833333333333336</v>
      </c>
    </row>
    <row r="121" spans="1:18" x14ac:dyDescent="0.2">
      <c r="A121" s="2">
        <v>41485</v>
      </c>
      <c r="B121" s="3">
        <v>44050</v>
      </c>
      <c r="C121" s="3" t="s">
        <v>24</v>
      </c>
      <c r="D121" s="3">
        <v>63</v>
      </c>
      <c r="E121" s="3">
        <v>6079</v>
      </c>
      <c r="F121" s="3">
        <v>0</v>
      </c>
      <c r="G121" s="3">
        <v>650</v>
      </c>
      <c r="H121" s="3">
        <v>10502</v>
      </c>
      <c r="I121" s="3">
        <v>17234</v>
      </c>
      <c r="J121" s="3">
        <v>0</v>
      </c>
      <c r="K121" s="41">
        <f t="shared" si="7"/>
        <v>16584</v>
      </c>
      <c r="L121" s="42">
        <f t="shared" si="8"/>
        <v>96.492063492063494</v>
      </c>
      <c r="M121" s="41" t="str">
        <f t="shared" si="9"/>
        <v>Jul</v>
      </c>
      <c r="P121" s="48">
        <f t="shared" si="10"/>
        <v>16584</v>
      </c>
      <c r="Q121" s="48">
        <f t="shared" si="11"/>
        <v>96.492063492063494</v>
      </c>
      <c r="R121" s="3">
        <f t="shared" si="12"/>
        <v>4.6066666666666665</v>
      </c>
    </row>
    <row r="122" spans="1:18" x14ac:dyDescent="0.2">
      <c r="A122" s="2">
        <v>41486</v>
      </c>
      <c r="B122" s="3">
        <v>44021</v>
      </c>
      <c r="C122" s="3" t="s">
        <v>9</v>
      </c>
      <c r="D122" s="3">
        <v>111</v>
      </c>
      <c r="E122" s="3">
        <v>8717</v>
      </c>
      <c r="F122" s="3">
        <v>0</v>
      </c>
      <c r="G122" s="3">
        <v>1365</v>
      </c>
      <c r="H122" s="3">
        <v>20707</v>
      </c>
      <c r="I122" s="3">
        <v>30803</v>
      </c>
      <c r="J122" s="3">
        <v>0</v>
      </c>
      <c r="K122" s="41">
        <f t="shared" si="7"/>
        <v>29438</v>
      </c>
      <c r="L122" s="42">
        <f t="shared" si="8"/>
        <v>78.531531531531527</v>
      </c>
      <c r="M122" s="41" t="str">
        <f t="shared" si="9"/>
        <v>Jul</v>
      </c>
      <c r="P122" s="48">
        <f t="shared" si="10"/>
        <v>29438</v>
      </c>
      <c r="Q122" s="48">
        <f t="shared" si="11"/>
        <v>78.531531531531527</v>
      </c>
      <c r="R122" s="3">
        <f t="shared" si="12"/>
        <v>8.1772222222222215</v>
      </c>
    </row>
    <row r="123" spans="1:18" x14ac:dyDescent="0.2">
      <c r="A123" s="2">
        <v>41486</v>
      </c>
      <c r="B123" s="3">
        <v>44022</v>
      </c>
      <c r="C123" s="3" t="s">
        <v>23</v>
      </c>
      <c r="D123" s="3">
        <v>138</v>
      </c>
      <c r="E123" s="3">
        <v>9434</v>
      </c>
      <c r="F123" s="3">
        <v>0</v>
      </c>
      <c r="G123" s="3">
        <v>5584</v>
      </c>
      <c r="H123" s="3">
        <v>24994</v>
      </c>
      <c r="I123" s="3">
        <v>40043</v>
      </c>
      <c r="J123" s="3">
        <v>0</v>
      </c>
      <c r="K123" s="41">
        <f t="shared" si="7"/>
        <v>34459</v>
      </c>
      <c r="L123" s="42">
        <f t="shared" si="8"/>
        <v>68.362318840579704</v>
      </c>
      <c r="M123" s="41" t="str">
        <f t="shared" si="9"/>
        <v>Jul</v>
      </c>
      <c r="P123" s="48">
        <f t="shared" si="10"/>
        <v>34459</v>
      </c>
      <c r="Q123" s="48">
        <f t="shared" si="11"/>
        <v>68.362318840579704</v>
      </c>
      <c r="R123" s="3">
        <f t="shared" si="12"/>
        <v>9.5719444444444441</v>
      </c>
    </row>
    <row r="124" spans="1:18" x14ac:dyDescent="0.2">
      <c r="A124" s="2">
        <v>41486</v>
      </c>
      <c r="B124" s="3">
        <v>44027</v>
      </c>
      <c r="C124" s="3" t="s">
        <v>10</v>
      </c>
      <c r="D124" s="3">
        <v>16</v>
      </c>
      <c r="E124" s="3">
        <v>1559</v>
      </c>
      <c r="F124" s="3">
        <v>0</v>
      </c>
      <c r="G124" s="3">
        <v>2773</v>
      </c>
      <c r="H124" s="3">
        <v>2764</v>
      </c>
      <c r="I124" s="3">
        <v>7096</v>
      </c>
      <c r="J124" s="3">
        <v>0</v>
      </c>
      <c r="K124" s="41">
        <f t="shared" si="7"/>
        <v>4323</v>
      </c>
      <c r="L124" s="42">
        <f t="shared" si="8"/>
        <v>97.4375</v>
      </c>
      <c r="M124" s="41" t="str">
        <f t="shared" si="9"/>
        <v>Jul</v>
      </c>
      <c r="P124" s="48">
        <f t="shared" si="10"/>
        <v>4323</v>
      </c>
      <c r="Q124" s="48">
        <f t="shared" si="11"/>
        <v>97.4375</v>
      </c>
      <c r="R124" s="3">
        <f t="shared" si="12"/>
        <v>1.2008333333333334</v>
      </c>
    </row>
    <row r="125" spans="1:18" x14ac:dyDescent="0.2">
      <c r="A125" s="2">
        <v>41486</v>
      </c>
      <c r="B125" s="3">
        <v>44033</v>
      </c>
      <c r="C125" s="3" t="s">
        <v>11</v>
      </c>
      <c r="D125" s="3">
        <v>105</v>
      </c>
      <c r="E125" s="3">
        <v>8937</v>
      </c>
      <c r="F125" s="3">
        <v>0</v>
      </c>
      <c r="G125" s="3">
        <v>3232</v>
      </c>
      <c r="H125" s="3">
        <v>21336</v>
      </c>
      <c r="I125" s="3">
        <v>33528</v>
      </c>
      <c r="J125" s="3">
        <v>0</v>
      </c>
      <c r="K125" s="41">
        <f t="shared" si="7"/>
        <v>30296</v>
      </c>
      <c r="L125" s="42">
        <f t="shared" si="8"/>
        <v>85.114285714285714</v>
      </c>
      <c r="M125" s="41" t="str">
        <f t="shared" si="9"/>
        <v>Jul</v>
      </c>
      <c r="P125" s="48">
        <f t="shared" si="10"/>
        <v>30296</v>
      </c>
      <c r="Q125" s="48">
        <f t="shared" si="11"/>
        <v>85.114285714285714</v>
      </c>
      <c r="R125" s="3">
        <f t="shared" si="12"/>
        <v>8.4155555555555548</v>
      </c>
    </row>
    <row r="126" spans="1:18" x14ac:dyDescent="0.2">
      <c r="A126" s="2">
        <v>41486</v>
      </c>
      <c r="B126" s="3">
        <v>44050</v>
      </c>
      <c r="C126" s="3" t="s">
        <v>24</v>
      </c>
      <c r="D126" s="3">
        <v>104</v>
      </c>
      <c r="E126" s="3">
        <v>10138</v>
      </c>
      <c r="F126" s="3">
        <v>0</v>
      </c>
      <c r="G126" s="3">
        <v>5098</v>
      </c>
      <c r="H126" s="3">
        <v>19605</v>
      </c>
      <c r="I126" s="3">
        <v>34848</v>
      </c>
      <c r="J126" s="3">
        <v>0</v>
      </c>
      <c r="K126" s="41">
        <f t="shared" si="7"/>
        <v>29750</v>
      </c>
      <c r="L126" s="42">
        <f t="shared" si="8"/>
        <v>97.480769230769226</v>
      </c>
      <c r="M126" s="41" t="str">
        <f t="shared" si="9"/>
        <v>Jul</v>
      </c>
      <c r="P126" s="48">
        <f t="shared" si="10"/>
        <v>29750</v>
      </c>
      <c r="Q126" s="48">
        <f t="shared" si="11"/>
        <v>97.480769230769226</v>
      </c>
      <c r="R126" s="3">
        <f t="shared" si="12"/>
        <v>8.2638888888888893</v>
      </c>
    </row>
    <row r="127" spans="1:18" x14ac:dyDescent="0.2">
      <c r="A127" s="2">
        <v>41497</v>
      </c>
      <c r="B127" s="3">
        <v>44021</v>
      </c>
      <c r="C127" s="3" t="s">
        <v>9</v>
      </c>
      <c r="D127" s="3">
        <v>124</v>
      </c>
      <c r="E127" s="3">
        <v>10944</v>
      </c>
      <c r="F127" s="3">
        <v>0</v>
      </c>
      <c r="G127" s="3">
        <v>1640</v>
      </c>
      <c r="H127" s="3">
        <v>19940</v>
      </c>
      <c r="I127" s="3">
        <v>32536</v>
      </c>
      <c r="J127" s="3">
        <v>0</v>
      </c>
      <c r="K127" s="41">
        <f t="shared" si="7"/>
        <v>30896</v>
      </c>
      <c r="L127" s="42">
        <f t="shared" si="8"/>
        <v>88.258064516129039</v>
      </c>
      <c r="M127" s="41" t="str">
        <f t="shared" si="9"/>
        <v>Aug</v>
      </c>
      <c r="P127" s="48">
        <f t="shared" si="10"/>
        <v>30896</v>
      </c>
      <c r="Q127" s="48">
        <f t="shared" si="11"/>
        <v>88.258064516129039</v>
      </c>
      <c r="R127" s="3">
        <f t="shared" si="12"/>
        <v>8.5822222222222226</v>
      </c>
    </row>
    <row r="128" spans="1:18" x14ac:dyDescent="0.2">
      <c r="A128" s="2">
        <v>41497</v>
      </c>
      <c r="B128" s="3">
        <v>44022</v>
      </c>
      <c r="C128" s="3" t="s">
        <v>23</v>
      </c>
      <c r="D128" s="3">
        <v>123</v>
      </c>
      <c r="E128" s="3">
        <v>8995</v>
      </c>
      <c r="F128" s="3">
        <v>0</v>
      </c>
      <c r="G128" s="3">
        <v>2170</v>
      </c>
      <c r="H128" s="3">
        <v>19466</v>
      </c>
      <c r="I128" s="3">
        <v>30656</v>
      </c>
      <c r="J128" s="3">
        <v>0</v>
      </c>
      <c r="K128" s="41">
        <f t="shared" si="7"/>
        <v>28486</v>
      </c>
      <c r="L128" s="42">
        <f t="shared" si="8"/>
        <v>73.130081300813004</v>
      </c>
      <c r="M128" s="41" t="str">
        <f t="shared" si="9"/>
        <v>Aug</v>
      </c>
      <c r="P128" s="48">
        <f t="shared" si="10"/>
        <v>28486</v>
      </c>
      <c r="Q128" s="48">
        <f t="shared" si="11"/>
        <v>73.130081300813004</v>
      </c>
      <c r="R128" s="3">
        <f t="shared" si="12"/>
        <v>7.9127777777777775</v>
      </c>
    </row>
    <row r="129" spans="1:18" x14ac:dyDescent="0.2">
      <c r="A129" s="2">
        <v>41497</v>
      </c>
      <c r="B129" s="3">
        <v>44027</v>
      </c>
      <c r="C129" s="3" t="s">
        <v>10</v>
      </c>
      <c r="D129" s="3">
        <v>7</v>
      </c>
      <c r="E129" s="3">
        <v>1404</v>
      </c>
      <c r="F129" s="3">
        <v>0</v>
      </c>
      <c r="G129" s="3">
        <v>342</v>
      </c>
      <c r="H129" s="3">
        <v>897</v>
      </c>
      <c r="I129" s="3">
        <v>2646</v>
      </c>
      <c r="J129" s="3">
        <v>0</v>
      </c>
      <c r="K129" s="41">
        <f t="shared" si="7"/>
        <v>2304</v>
      </c>
      <c r="L129" s="42">
        <f t="shared" si="8"/>
        <v>200.57142857142858</v>
      </c>
      <c r="M129" s="41" t="str">
        <f t="shared" si="9"/>
        <v>Aug</v>
      </c>
      <c r="P129" s="48">
        <f t="shared" si="10"/>
        <v>2304</v>
      </c>
      <c r="Q129" s="48">
        <f t="shared" si="11"/>
        <v>200.57142857142858</v>
      </c>
      <c r="R129" s="3">
        <f t="shared" si="12"/>
        <v>0.64</v>
      </c>
    </row>
    <row r="130" spans="1:18" x14ac:dyDescent="0.2">
      <c r="A130" s="2">
        <v>41497</v>
      </c>
      <c r="B130" s="3">
        <v>44033</v>
      </c>
      <c r="C130" s="3" t="s">
        <v>11</v>
      </c>
      <c r="D130" s="3">
        <v>108</v>
      </c>
      <c r="E130" s="3">
        <v>10606</v>
      </c>
      <c r="F130" s="3">
        <v>0</v>
      </c>
      <c r="G130" s="3">
        <v>2967</v>
      </c>
      <c r="H130" s="3">
        <v>18790</v>
      </c>
      <c r="I130" s="3">
        <v>32386</v>
      </c>
      <c r="J130" s="3">
        <v>0</v>
      </c>
      <c r="K130" s="41">
        <f t="shared" si="7"/>
        <v>29419</v>
      </c>
      <c r="L130" s="42">
        <f t="shared" si="8"/>
        <v>98.203703703703709</v>
      </c>
      <c r="M130" s="41" t="str">
        <f t="shared" si="9"/>
        <v>Aug</v>
      </c>
      <c r="P130" s="48">
        <f t="shared" si="10"/>
        <v>29419</v>
      </c>
      <c r="Q130" s="48">
        <f t="shared" si="11"/>
        <v>98.203703703703709</v>
      </c>
      <c r="R130" s="3">
        <f t="shared" si="12"/>
        <v>8.1719444444444438</v>
      </c>
    </row>
    <row r="131" spans="1:18" x14ac:dyDescent="0.2">
      <c r="A131" s="2">
        <v>41499</v>
      </c>
      <c r="B131" s="3">
        <v>44021</v>
      </c>
      <c r="C131" s="3" t="s">
        <v>9</v>
      </c>
      <c r="D131" s="3">
        <v>114</v>
      </c>
      <c r="E131" s="3">
        <v>10759</v>
      </c>
      <c r="F131" s="3">
        <v>0</v>
      </c>
      <c r="G131" s="3">
        <v>2152</v>
      </c>
      <c r="H131" s="3">
        <v>20126</v>
      </c>
      <c r="I131" s="3">
        <v>33047</v>
      </c>
      <c r="J131" s="3">
        <v>0</v>
      </c>
      <c r="K131" s="41">
        <f t="shared" ref="K131:K190" si="13">I131-G131</f>
        <v>30895</v>
      </c>
      <c r="L131" s="42">
        <f t="shared" ref="L131:L190" si="14">(E131+F131+J131)/D131</f>
        <v>94.377192982456137</v>
      </c>
      <c r="M131" s="41" t="str">
        <f t="shared" ref="M131:M190" si="15">TEXT(A131,"mmm")</f>
        <v>Aug</v>
      </c>
      <c r="P131" s="48">
        <f t="shared" ref="P131:P190" si="16">I131-G131</f>
        <v>30895</v>
      </c>
      <c r="Q131" s="48">
        <f t="shared" ref="Q131:Q190" si="17">(E131+F131+J131)/D131</f>
        <v>94.377192982456137</v>
      </c>
      <c r="R131" s="3">
        <f t="shared" ref="R131:R190" si="18">K131/3600</f>
        <v>8.5819444444444439</v>
      </c>
    </row>
    <row r="132" spans="1:18" x14ac:dyDescent="0.2">
      <c r="A132" s="2">
        <v>41499</v>
      </c>
      <c r="B132" s="3">
        <v>44022</v>
      </c>
      <c r="C132" s="3" t="s">
        <v>23</v>
      </c>
      <c r="D132" s="3">
        <v>117</v>
      </c>
      <c r="E132" s="3">
        <v>7978</v>
      </c>
      <c r="F132" s="3">
        <v>1</v>
      </c>
      <c r="G132" s="3">
        <v>3990</v>
      </c>
      <c r="H132" s="3">
        <v>20363</v>
      </c>
      <c r="I132" s="3">
        <v>32352</v>
      </c>
      <c r="J132" s="3">
        <v>0</v>
      </c>
      <c r="K132" s="41">
        <f t="shared" si="13"/>
        <v>28362</v>
      </c>
      <c r="L132" s="42">
        <f t="shared" si="14"/>
        <v>68.196581196581192</v>
      </c>
      <c r="M132" s="41" t="str">
        <f t="shared" si="15"/>
        <v>Aug</v>
      </c>
      <c r="P132" s="48">
        <f t="shared" si="16"/>
        <v>28362</v>
      </c>
      <c r="Q132" s="48">
        <f t="shared" si="17"/>
        <v>68.196581196581192</v>
      </c>
      <c r="R132" s="3">
        <f t="shared" si="18"/>
        <v>7.878333333333333</v>
      </c>
    </row>
    <row r="133" spans="1:18" x14ac:dyDescent="0.2">
      <c r="A133" s="2">
        <v>41499</v>
      </c>
      <c r="B133" s="3">
        <v>44027</v>
      </c>
      <c r="C133" s="3" t="s">
        <v>10</v>
      </c>
      <c r="D133" s="3">
        <v>12</v>
      </c>
      <c r="E133" s="3">
        <v>1619</v>
      </c>
      <c r="F133" s="3">
        <v>0</v>
      </c>
      <c r="G133" s="3">
        <v>411</v>
      </c>
      <c r="H133" s="3">
        <v>2467</v>
      </c>
      <c r="I133" s="3">
        <v>4497</v>
      </c>
      <c r="J133" s="3">
        <v>0</v>
      </c>
      <c r="K133" s="41">
        <f t="shared" si="13"/>
        <v>4086</v>
      </c>
      <c r="L133" s="42">
        <f t="shared" si="14"/>
        <v>134.91666666666666</v>
      </c>
      <c r="M133" s="41" t="str">
        <f t="shared" si="15"/>
        <v>Aug</v>
      </c>
      <c r="P133" s="48">
        <f t="shared" si="16"/>
        <v>4086</v>
      </c>
      <c r="Q133" s="48">
        <f t="shared" si="17"/>
        <v>134.91666666666666</v>
      </c>
      <c r="R133" s="3">
        <f t="shared" si="18"/>
        <v>1.135</v>
      </c>
    </row>
    <row r="134" spans="1:18" x14ac:dyDescent="0.2">
      <c r="A134" s="2">
        <v>41499</v>
      </c>
      <c r="B134" s="3">
        <v>44033</v>
      </c>
      <c r="C134" s="3" t="s">
        <v>11</v>
      </c>
      <c r="D134" s="3">
        <v>113</v>
      </c>
      <c r="E134" s="3">
        <v>11059</v>
      </c>
      <c r="F134" s="3">
        <v>0</v>
      </c>
      <c r="G134" s="3">
        <v>2774</v>
      </c>
      <c r="H134" s="3">
        <v>18725</v>
      </c>
      <c r="I134" s="3">
        <v>32578</v>
      </c>
      <c r="J134" s="3">
        <v>0</v>
      </c>
      <c r="K134" s="41">
        <f t="shared" si="13"/>
        <v>29804</v>
      </c>
      <c r="L134" s="42">
        <f t="shared" si="14"/>
        <v>97.86725663716814</v>
      </c>
      <c r="M134" s="41" t="str">
        <f t="shared" si="15"/>
        <v>Aug</v>
      </c>
      <c r="P134" s="48">
        <f t="shared" si="16"/>
        <v>29804</v>
      </c>
      <c r="Q134" s="48">
        <f t="shared" si="17"/>
        <v>97.86725663716814</v>
      </c>
      <c r="R134" s="3">
        <f t="shared" si="18"/>
        <v>8.2788888888888881</v>
      </c>
    </row>
    <row r="135" spans="1:18" x14ac:dyDescent="0.2">
      <c r="A135" s="2">
        <v>41499</v>
      </c>
      <c r="B135" s="3">
        <v>44050</v>
      </c>
      <c r="C135" s="3" t="s">
        <v>24</v>
      </c>
      <c r="D135" s="3">
        <v>129</v>
      </c>
      <c r="E135" s="3">
        <v>12868</v>
      </c>
      <c r="F135" s="3">
        <v>0</v>
      </c>
      <c r="G135" s="3">
        <v>3415</v>
      </c>
      <c r="H135" s="3">
        <v>20435</v>
      </c>
      <c r="I135" s="3">
        <v>36721</v>
      </c>
      <c r="J135" s="3">
        <v>0</v>
      </c>
      <c r="K135" s="41">
        <f t="shared" si="13"/>
        <v>33306</v>
      </c>
      <c r="L135" s="42">
        <f t="shared" si="14"/>
        <v>99.751937984496124</v>
      </c>
      <c r="M135" s="41" t="str">
        <f t="shared" si="15"/>
        <v>Aug</v>
      </c>
      <c r="P135" s="48">
        <f t="shared" si="16"/>
        <v>33306</v>
      </c>
      <c r="Q135" s="48">
        <f t="shared" si="17"/>
        <v>99.751937984496124</v>
      </c>
      <c r="R135" s="3">
        <f t="shared" si="18"/>
        <v>9.2516666666666669</v>
      </c>
    </row>
    <row r="136" spans="1:18" x14ac:dyDescent="0.2">
      <c r="A136" s="2">
        <v>41500</v>
      </c>
      <c r="B136" s="3">
        <v>44021</v>
      </c>
      <c r="C136" s="3" t="s">
        <v>9</v>
      </c>
      <c r="D136" s="3">
        <v>115</v>
      </c>
      <c r="E136" s="3">
        <v>10834</v>
      </c>
      <c r="F136" s="3">
        <v>0</v>
      </c>
      <c r="G136" s="3">
        <v>2352</v>
      </c>
      <c r="H136" s="3">
        <v>19768</v>
      </c>
      <c r="I136" s="3">
        <v>32965</v>
      </c>
      <c r="J136" s="3">
        <v>0</v>
      </c>
      <c r="K136" s="41">
        <f t="shared" si="13"/>
        <v>30613</v>
      </c>
      <c r="L136" s="42">
        <f t="shared" si="14"/>
        <v>94.208695652173915</v>
      </c>
      <c r="M136" s="41" t="str">
        <f t="shared" si="15"/>
        <v>Aug</v>
      </c>
      <c r="P136" s="48">
        <f t="shared" si="16"/>
        <v>30613</v>
      </c>
      <c r="Q136" s="48">
        <f t="shared" si="17"/>
        <v>94.208695652173915</v>
      </c>
      <c r="R136" s="3">
        <f t="shared" si="18"/>
        <v>8.5036111111111108</v>
      </c>
    </row>
    <row r="137" spans="1:18" x14ac:dyDescent="0.2">
      <c r="A137" s="2">
        <v>41500</v>
      </c>
      <c r="B137" s="3">
        <v>44022</v>
      </c>
      <c r="C137" s="3" t="s">
        <v>23</v>
      </c>
      <c r="D137" s="3">
        <v>105</v>
      </c>
      <c r="E137" s="3">
        <v>7385</v>
      </c>
      <c r="F137" s="3">
        <v>0</v>
      </c>
      <c r="G137" s="3">
        <v>1863</v>
      </c>
      <c r="H137" s="3">
        <v>22592</v>
      </c>
      <c r="I137" s="3">
        <v>31856</v>
      </c>
      <c r="J137" s="3">
        <v>0</v>
      </c>
      <c r="K137" s="41">
        <f t="shared" si="13"/>
        <v>29993</v>
      </c>
      <c r="L137" s="42">
        <f t="shared" si="14"/>
        <v>70.333333333333329</v>
      </c>
      <c r="M137" s="41" t="str">
        <f t="shared" si="15"/>
        <v>Aug</v>
      </c>
      <c r="P137" s="48">
        <f t="shared" si="16"/>
        <v>29993</v>
      </c>
      <c r="Q137" s="48">
        <f t="shared" si="17"/>
        <v>70.333333333333329</v>
      </c>
      <c r="R137" s="3">
        <f t="shared" si="18"/>
        <v>8.3313888888888883</v>
      </c>
    </row>
    <row r="138" spans="1:18" x14ac:dyDescent="0.2">
      <c r="A138" s="2">
        <v>41500</v>
      </c>
      <c r="B138" s="3">
        <v>44027</v>
      </c>
      <c r="C138" s="3" t="s">
        <v>10</v>
      </c>
      <c r="D138" s="3">
        <v>7</v>
      </c>
      <c r="E138" s="3">
        <v>753</v>
      </c>
      <c r="F138" s="3">
        <v>0</v>
      </c>
      <c r="G138" s="3">
        <v>667</v>
      </c>
      <c r="H138" s="3">
        <v>1969</v>
      </c>
      <c r="I138" s="3">
        <v>3390</v>
      </c>
      <c r="J138" s="3">
        <v>0</v>
      </c>
      <c r="K138" s="41">
        <f t="shared" si="13"/>
        <v>2723</v>
      </c>
      <c r="L138" s="42">
        <f t="shared" si="14"/>
        <v>107.57142857142857</v>
      </c>
      <c r="M138" s="41" t="str">
        <f t="shared" si="15"/>
        <v>Aug</v>
      </c>
      <c r="P138" s="48">
        <f t="shared" si="16"/>
        <v>2723</v>
      </c>
      <c r="Q138" s="48">
        <f t="shared" si="17"/>
        <v>107.57142857142857</v>
      </c>
      <c r="R138" s="3">
        <f t="shared" si="18"/>
        <v>0.75638888888888889</v>
      </c>
    </row>
    <row r="139" spans="1:18" x14ac:dyDescent="0.2">
      <c r="A139" s="2">
        <v>41500</v>
      </c>
      <c r="B139" s="3">
        <v>44033</v>
      </c>
      <c r="C139" s="3" t="s">
        <v>11</v>
      </c>
      <c r="D139" s="3">
        <v>115</v>
      </c>
      <c r="E139" s="3">
        <v>11229</v>
      </c>
      <c r="F139" s="3">
        <v>0</v>
      </c>
      <c r="G139" s="3">
        <v>3015</v>
      </c>
      <c r="H139" s="3">
        <v>18656</v>
      </c>
      <c r="I139" s="3">
        <v>32929</v>
      </c>
      <c r="J139" s="3">
        <v>0</v>
      </c>
      <c r="K139" s="41">
        <f t="shared" si="13"/>
        <v>29914</v>
      </c>
      <c r="L139" s="42">
        <f t="shared" si="14"/>
        <v>97.643478260869571</v>
      </c>
      <c r="M139" s="41" t="str">
        <f t="shared" si="15"/>
        <v>Aug</v>
      </c>
      <c r="P139" s="48">
        <f t="shared" si="16"/>
        <v>29914</v>
      </c>
      <c r="Q139" s="48">
        <f t="shared" si="17"/>
        <v>97.643478260869571</v>
      </c>
      <c r="R139" s="3">
        <f t="shared" si="18"/>
        <v>8.3094444444444449</v>
      </c>
    </row>
    <row r="140" spans="1:18" x14ac:dyDescent="0.2">
      <c r="A140" s="2">
        <v>41500</v>
      </c>
      <c r="B140" s="3">
        <v>44050</v>
      </c>
      <c r="C140" s="3" t="s">
        <v>24</v>
      </c>
      <c r="D140" s="3">
        <v>101</v>
      </c>
      <c r="E140" s="3">
        <v>11142</v>
      </c>
      <c r="F140" s="3">
        <v>0</v>
      </c>
      <c r="G140" s="3">
        <v>3945</v>
      </c>
      <c r="H140" s="3">
        <v>20525</v>
      </c>
      <c r="I140" s="3">
        <v>35616</v>
      </c>
      <c r="J140" s="3">
        <v>0</v>
      </c>
      <c r="K140" s="41">
        <f t="shared" si="13"/>
        <v>31671</v>
      </c>
      <c r="L140" s="42">
        <f t="shared" si="14"/>
        <v>110.31683168316832</v>
      </c>
      <c r="M140" s="41" t="str">
        <f t="shared" si="15"/>
        <v>Aug</v>
      </c>
      <c r="P140" s="48">
        <f t="shared" si="16"/>
        <v>31671</v>
      </c>
      <c r="Q140" s="48">
        <f t="shared" si="17"/>
        <v>110.31683168316832</v>
      </c>
      <c r="R140" s="3">
        <f t="shared" si="18"/>
        <v>8.7974999999999994</v>
      </c>
    </row>
    <row r="141" spans="1:18" x14ac:dyDescent="0.2">
      <c r="A141" s="2">
        <v>41501</v>
      </c>
      <c r="B141" s="3">
        <v>44021</v>
      </c>
      <c r="C141" s="3" t="s">
        <v>9</v>
      </c>
      <c r="D141" s="3">
        <v>124</v>
      </c>
      <c r="E141" s="3">
        <v>10404</v>
      </c>
      <c r="F141" s="3">
        <v>0</v>
      </c>
      <c r="G141" s="3">
        <v>1453</v>
      </c>
      <c r="H141" s="3">
        <v>20717</v>
      </c>
      <c r="I141" s="3">
        <v>32590</v>
      </c>
      <c r="J141" s="3">
        <v>0</v>
      </c>
      <c r="K141" s="41">
        <f t="shared" si="13"/>
        <v>31137</v>
      </c>
      <c r="L141" s="42">
        <f t="shared" si="14"/>
        <v>83.903225806451616</v>
      </c>
      <c r="M141" s="41" t="str">
        <f t="shared" si="15"/>
        <v>Aug</v>
      </c>
      <c r="P141" s="48">
        <f t="shared" si="16"/>
        <v>31137</v>
      </c>
      <c r="Q141" s="48">
        <f t="shared" si="17"/>
        <v>83.903225806451616</v>
      </c>
      <c r="R141" s="3">
        <f t="shared" si="18"/>
        <v>8.649166666666666</v>
      </c>
    </row>
    <row r="142" spans="1:18" x14ac:dyDescent="0.2">
      <c r="A142" s="2">
        <v>41501</v>
      </c>
      <c r="B142" s="3">
        <v>44022</v>
      </c>
      <c r="C142" s="3" t="s">
        <v>23</v>
      </c>
      <c r="D142" s="3">
        <v>75</v>
      </c>
      <c r="E142" s="3">
        <v>5865</v>
      </c>
      <c r="F142" s="3">
        <v>0</v>
      </c>
      <c r="G142" s="3">
        <v>1695</v>
      </c>
      <c r="H142" s="3">
        <v>18145</v>
      </c>
      <c r="I142" s="3">
        <v>25716</v>
      </c>
      <c r="J142" s="3">
        <v>0</v>
      </c>
      <c r="K142" s="41">
        <f t="shared" si="13"/>
        <v>24021</v>
      </c>
      <c r="L142" s="42">
        <f t="shared" si="14"/>
        <v>78.2</v>
      </c>
      <c r="M142" s="41" t="str">
        <f t="shared" si="15"/>
        <v>Aug</v>
      </c>
      <c r="P142" s="48">
        <f t="shared" si="16"/>
        <v>24021</v>
      </c>
      <c r="Q142" s="48">
        <f t="shared" si="17"/>
        <v>78.2</v>
      </c>
      <c r="R142" s="3">
        <f t="shared" si="18"/>
        <v>6.6725000000000003</v>
      </c>
    </row>
    <row r="143" spans="1:18" x14ac:dyDescent="0.2">
      <c r="A143" s="2">
        <v>41501</v>
      </c>
      <c r="B143" s="3">
        <v>44027</v>
      </c>
      <c r="C143" s="3" t="s">
        <v>10</v>
      </c>
      <c r="D143" s="3">
        <v>5</v>
      </c>
      <c r="E143" s="3">
        <v>739</v>
      </c>
      <c r="F143" s="3">
        <v>0</v>
      </c>
      <c r="G143" s="3">
        <v>1034</v>
      </c>
      <c r="H143" s="3">
        <v>2316</v>
      </c>
      <c r="I143" s="3">
        <v>4094</v>
      </c>
      <c r="J143" s="3">
        <v>0</v>
      </c>
      <c r="K143" s="41">
        <f t="shared" si="13"/>
        <v>3060</v>
      </c>
      <c r="L143" s="42">
        <f t="shared" si="14"/>
        <v>147.80000000000001</v>
      </c>
      <c r="M143" s="41" t="str">
        <f t="shared" si="15"/>
        <v>Aug</v>
      </c>
      <c r="P143" s="48">
        <f t="shared" si="16"/>
        <v>3060</v>
      </c>
      <c r="Q143" s="48">
        <f t="shared" si="17"/>
        <v>147.80000000000001</v>
      </c>
      <c r="R143" s="3">
        <f t="shared" si="18"/>
        <v>0.85</v>
      </c>
    </row>
    <row r="144" spans="1:18" x14ac:dyDescent="0.2">
      <c r="A144" s="2">
        <v>41501</v>
      </c>
      <c r="B144" s="3">
        <v>44033</v>
      </c>
      <c r="C144" s="3" t="s">
        <v>11</v>
      </c>
      <c r="D144" s="3">
        <v>113</v>
      </c>
      <c r="E144" s="3">
        <v>12352</v>
      </c>
      <c r="F144" s="3">
        <v>0</v>
      </c>
      <c r="G144" s="3">
        <v>2608</v>
      </c>
      <c r="H144" s="3">
        <v>18370</v>
      </c>
      <c r="I144" s="3">
        <v>33348</v>
      </c>
      <c r="J144" s="3">
        <v>0</v>
      </c>
      <c r="K144" s="41">
        <f t="shared" si="13"/>
        <v>30740</v>
      </c>
      <c r="L144" s="42">
        <f t="shared" si="14"/>
        <v>109.30973451327434</v>
      </c>
      <c r="M144" s="41" t="str">
        <f t="shared" si="15"/>
        <v>Aug</v>
      </c>
      <c r="P144" s="48">
        <f t="shared" si="16"/>
        <v>30740</v>
      </c>
      <c r="Q144" s="48">
        <f t="shared" si="17"/>
        <v>109.30973451327434</v>
      </c>
      <c r="R144" s="3">
        <f t="shared" si="18"/>
        <v>8.5388888888888896</v>
      </c>
    </row>
    <row r="145" spans="1:18" x14ac:dyDescent="0.2">
      <c r="A145" s="2">
        <v>41501</v>
      </c>
      <c r="B145" s="3">
        <v>44050</v>
      </c>
      <c r="C145" s="3" t="s">
        <v>24</v>
      </c>
      <c r="D145" s="3">
        <v>99</v>
      </c>
      <c r="E145" s="3">
        <v>9629</v>
      </c>
      <c r="F145" s="3">
        <v>0</v>
      </c>
      <c r="G145" s="3">
        <v>3644</v>
      </c>
      <c r="H145" s="3">
        <v>20581</v>
      </c>
      <c r="I145" s="3">
        <v>33856</v>
      </c>
      <c r="J145" s="3">
        <v>0</v>
      </c>
      <c r="K145" s="41">
        <f t="shared" si="13"/>
        <v>30212</v>
      </c>
      <c r="L145" s="42">
        <f t="shared" si="14"/>
        <v>97.262626262626256</v>
      </c>
      <c r="M145" s="41" t="str">
        <f t="shared" si="15"/>
        <v>Aug</v>
      </c>
      <c r="P145" s="48">
        <f t="shared" si="16"/>
        <v>30212</v>
      </c>
      <c r="Q145" s="48">
        <f t="shared" si="17"/>
        <v>97.262626262626256</v>
      </c>
      <c r="R145" s="3">
        <f t="shared" si="18"/>
        <v>8.3922222222222214</v>
      </c>
    </row>
    <row r="146" spans="1:18" x14ac:dyDescent="0.2">
      <c r="A146" s="2">
        <v>41502</v>
      </c>
      <c r="B146" s="3">
        <v>44021</v>
      </c>
      <c r="C146" s="3" t="s">
        <v>9</v>
      </c>
      <c r="D146" s="3">
        <v>118</v>
      </c>
      <c r="E146" s="3">
        <v>9521</v>
      </c>
      <c r="F146" s="3">
        <v>0</v>
      </c>
      <c r="G146" s="3">
        <v>1838</v>
      </c>
      <c r="H146" s="3">
        <v>21275</v>
      </c>
      <c r="I146" s="3">
        <v>32724</v>
      </c>
      <c r="J146" s="3">
        <v>78</v>
      </c>
      <c r="K146" s="41">
        <f t="shared" si="13"/>
        <v>30886</v>
      </c>
      <c r="L146" s="42">
        <f t="shared" si="14"/>
        <v>81.347457627118644</v>
      </c>
      <c r="M146" s="41" t="str">
        <f t="shared" si="15"/>
        <v>Aug</v>
      </c>
      <c r="P146" s="48">
        <f t="shared" si="16"/>
        <v>30886</v>
      </c>
      <c r="Q146" s="48">
        <f t="shared" si="17"/>
        <v>81.347457627118644</v>
      </c>
      <c r="R146" s="3">
        <f t="shared" si="18"/>
        <v>8.5794444444444444</v>
      </c>
    </row>
    <row r="147" spans="1:18" x14ac:dyDescent="0.2">
      <c r="A147" s="2">
        <v>41502</v>
      </c>
      <c r="B147" s="3">
        <v>44022</v>
      </c>
      <c r="C147" s="3" t="s">
        <v>23</v>
      </c>
      <c r="D147" s="3">
        <v>143</v>
      </c>
      <c r="E147" s="3">
        <v>11149</v>
      </c>
      <c r="F147" s="3">
        <v>0</v>
      </c>
      <c r="G147" s="3">
        <v>5197</v>
      </c>
      <c r="H147" s="3">
        <v>27624</v>
      </c>
      <c r="I147" s="3">
        <v>43985</v>
      </c>
      <c r="J147" s="3">
        <v>0</v>
      </c>
      <c r="K147" s="41">
        <f t="shared" si="13"/>
        <v>38788</v>
      </c>
      <c r="L147" s="42">
        <f t="shared" si="14"/>
        <v>77.96503496503496</v>
      </c>
      <c r="M147" s="41" t="str">
        <f t="shared" si="15"/>
        <v>Aug</v>
      </c>
      <c r="P147" s="48">
        <f t="shared" si="16"/>
        <v>38788</v>
      </c>
      <c r="Q147" s="48">
        <f t="shared" si="17"/>
        <v>77.96503496503496</v>
      </c>
      <c r="R147" s="3">
        <f t="shared" si="18"/>
        <v>10.774444444444445</v>
      </c>
    </row>
    <row r="148" spans="1:18" x14ac:dyDescent="0.2">
      <c r="A148" s="2">
        <v>41502</v>
      </c>
      <c r="B148" s="3">
        <v>44033</v>
      </c>
      <c r="C148" s="3" t="s">
        <v>11</v>
      </c>
      <c r="D148" s="3">
        <v>105</v>
      </c>
      <c r="E148" s="3">
        <v>11076</v>
      </c>
      <c r="F148" s="3">
        <v>0</v>
      </c>
      <c r="G148" s="3">
        <v>2541</v>
      </c>
      <c r="H148" s="3">
        <v>19226</v>
      </c>
      <c r="I148" s="3">
        <v>32861</v>
      </c>
      <c r="J148" s="3">
        <v>0</v>
      </c>
      <c r="K148" s="41">
        <f t="shared" si="13"/>
        <v>30320</v>
      </c>
      <c r="L148" s="42">
        <f t="shared" si="14"/>
        <v>105.48571428571428</v>
      </c>
      <c r="M148" s="41" t="str">
        <f t="shared" si="15"/>
        <v>Aug</v>
      </c>
      <c r="P148" s="48">
        <f t="shared" si="16"/>
        <v>30320</v>
      </c>
      <c r="Q148" s="48">
        <f t="shared" si="17"/>
        <v>105.48571428571428</v>
      </c>
      <c r="R148" s="3">
        <f t="shared" si="18"/>
        <v>8.4222222222222225</v>
      </c>
    </row>
    <row r="149" spans="1:18" x14ac:dyDescent="0.2">
      <c r="A149" s="2">
        <v>41502</v>
      </c>
      <c r="B149" s="3">
        <v>44050</v>
      </c>
      <c r="C149" s="3" t="s">
        <v>24</v>
      </c>
      <c r="D149" s="3">
        <v>108</v>
      </c>
      <c r="E149" s="3">
        <v>10722</v>
      </c>
      <c r="F149" s="3">
        <v>1</v>
      </c>
      <c r="G149" s="3">
        <v>3664</v>
      </c>
      <c r="H149" s="3">
        <v>19323</v>
      </c>
      <c r="I149" s="3">
        <v>33715</v>
      </c>
      <c r="J149" s="3">
        <v>0</v>
      </c>
      <c r="K149" s="41">
        <f t="shared" si="13"/>
        <v>30051</v>
      </c>
      <c r="L149" s="42">
        <f t="shared" si="14"/>
        <v>99.287037037037038</v>
      </c>
      <c r="M149" s="41" t="str">
        <f t="shared" si="15"/>
        <v>Aug</v>
      </c>
      <c r="P149" s="48">
        <f t="shared" si="16"/>
        <v>30051</v>
      </c>
      <c r="Q149" s="48">
        <f t="shared" si="17"/>
        <v>99.287037037037038</v>
      </c>
      <c r="R149" s="3">
        <f t="shared" si="18"/>
        <v>8.3475000000000001</v>
      </c>
    </row>
    <row r="150" spans="1:18" x14ac:dyDescent="0.2">
      <c r="A150" s="2">
        <v>41503</v>
      </c>
      <c r="B150" s="3">
        <v>44021</v>
      </c>
      <c r="C150" s="3" t="s">
        <v>9</v>
      </c>
      <c r="D150" s="3">
        <v>115</v>
      </c>
      <c r="E150" s="3">
        <v>10595</v>
      </c>
      <c r="F150" s="3">
        <v>2</v>
      </c>
      <c r="G150" s="3">
        <v>2042</v>
      </c>
      <c r="H150" s="3">
        <v>21722</v>
      </c>
      <c r="I150" s="3">
        <v>34378</v>
      </c>
      <c r="J150" s="3">
        <v>0</v>
      </c>
      <c r="K150" s="41">
        <f t="shared" si="13"/>
        <v>32336</v>
      </c>
      <c r="L150" s="42">
        <f t="shared" si="14"/>
        <v>92.147826086956528</v>
      </c>
      <c r="M150" s="41" t="str">
        <f t="shared" si="15"/>
        <v>Aug</v>
      </c>
      <c r="P150" s="48">
        <f t="shared" si="16"/>
        <v>32336</v>
      </c>
      <c r="Q150" s="48">
        <f t="shared" si="17"/>
        <v>92.147826086956528</v>
      </c>
      <c r="R150" s="3">
        <f t="shared" si="18"/>
        <v>8.982222222222223</v>
      </c>
    </row>
    <row r="151" spans="1:18" x14ac:dyDescent="0.2">
      <c r="A151" s="2">
        <v>41503</v>
      </c>
      <c r="B151" s="3">
        <v>44022</v>
      </c>
      <c r="C151" s="3" t="s">
        <v>23</v>
      </c>
      <c r="D151" s="3">
        <v>124</v>
      </c>
      <c r="E151" s="3">
        <v>9617</v>
      </c>
      <c r="F151" s="3">
        <v>2</v>
      </c>
      <c r="G151" s="3">
        <v>6011</v>
      </c>
      <c r="H151" s="3">
        <v>23112</v>
      </c>
      <c r="I151" s="3">
        <v>38772</v>
      </c>
      <c r="J151" s="3">
        <v>0</v>
      </c>
      <c r="K151" s="41">
        <f t="shared" si="13"/>
        <v>32761</v>
      </c>
      <c r="L151" s="42">
        <f t="shared" si="14"/>
        <v>77.572580645161295</v>
      </c>
      <c r="M151" s="41" t="str">
        <f t="shared" si="15"/>
        <v>Aug</v>
      </c>
      <c r="P151" s="48">
        <f t="shared" si="16"/>
        <v>32761</v>
      </c>
      <c r="Q151" s="48">
        <f t="shared" si="17"/>
        <v>77.572580645161295</v>
      </c>
      <c r="R151" s="3">
        <f t="shared" si="18"/>
        <v>9.1002777777777784</v>
      </c>
    </row>
    <row r="152" spans="1:18" x14ac:dyDescent="0.2">
      <c r="A152" s="2">
        <v>41503</v>
      </c>
      <c r="B152" s="3">
        <v>44027</v>
      </c>
      <c r="C152" s="3" t="s">
        <v>10</v>
      </c>
      <c r="D152" s="3">
        <v>11</v>
      </c>
      <c r="E152" s="3">
        <v>1330</v>
      </c>
      <c r="F152" s="3">
        <v>0</v>
      </c>
      <c r="G152" s="3">
        <v>631</v>
      </c>
      <c r="H152" s="3">
        <v>2170</v>
      </c>
      <c r="I152" s="3">
        <v>4167</v>
      </c>
      <c r="J152" s="3">
        <v>0</v>
      </c>
      <c r="K152" s="41">
        <f t="shared" si="13"/>
        <v>3536</v>
      </c>
      <c r="L152" s="42">
        <f t="shared" si="14"/>
        <v>120.90909090909091</v>
      </c>
      <c r="M152" s="41" t="str">
        <f t="shared" si="15"/>
        <v>Aug</v>
      </c>
      <c r="P152" s="48">
        <f t="shared" si="16"/>
        <v>3536</v>
      </c>
      <c r="Q152" s="48">
        <f t="shared" si="17"/>
        <v>120.90909090909091</v>
      </c>
      <c r="R152" s="3">
        <f t="shared" si="18"/>
        <v>0.98222222222222222</v>
      </c>
    </row>
    <row r="153" spans="1:18" x14ac:dyDescent="0.2">
      <c r="A153" s="2">
        <v>41503</v>
      </c>
      <c r="B153" s="3">
        <v>44033</v>
      </c>
      <c r="C153" s="3" t="s">
        <v>11</v>
      </c>
      <c r="D153" s="3">
        <v>107</v>
      </c>
      <c r="E153" s="3">
        <v>10146</v>
      </c>
      <c r="F153" s="3">
        <v>0</v>
      </c>
      <c r="G153" s="3">
        <v>3550</v>
      </c>
      <c r="H153" s="3">
        <v>19427</v>
      </c>
      <c r="I153" s="3">
        <v>33146</v>
      </c>
      <c r="J153" s="3">
        <v>0</v>
      </c>
      <c r="K153" s="41">
        <f t="shared" si="13"/>
        <v>29596</v>
      </c>
      <c r="L153" s="42">
        <f t="shared" si="14"/>
        <v>94.822429906542055</v>
      </c>
      <c r="M153" s="41" t="str">
        <f t="shared" si="15"/>
        <v>Aug</v>
      </c>
      <c r="P153" s="48">
        <f t="shared" si="16"/>
        <v>29596</v>
      </c>
      <c r="Q153" s="48">
        <f t="shared" si="17"/>
        <v>94.822429906542055</v>
      </c>
      <c r="R153" s="3">
        <f t="shared" si="18"/>
        <v>8.2211111111111119</v>
      </c>
    </row>
    <row r="154" spans="1:18" x14ac:dyDescent="0.2">
      <c r="A154" s="2">
        <v>41503</v>
      </c>
      <c r="B154" s="3">
        <v>44050</v>
      </c>
      <c r="C154" s="3" t="s">
        <v>24</v>
      </c>
      <c r="D154" s="3">
        <v>98</v>
      </c>
      <c r="E154" s="3">
        <v>9191</v>
      </c>
      <c r="F154" s="3">
        <v>29</v>
      </c>
      <c r="G154" s="3">
        <v>4960</v>
      </c>
      <c r="H154" s="3">
        <v>17436</v>
      </c>
      <c r="I154" s="3">
        <v>31625</v>
      </c>
      <c r="J154" s="3">
        <v>0</v>
      </c>
      <c r="K154" s="41">
        <f t="shared" si="13"/>
        <v>26665</v>
      </c>
      <c r="L154" s="42">
        <f t="shared" si="14"/>
        <v>94.08163265306122</v>
      </c>
      <c r="M154" s="41" t="str">
        <f t="shared" si="15"/>
        <v>Aug</v>
      </c>
      <c r="P154" s="48">
        <f t="shared" si="16"/>
        <v>26665</v>
      </c>
      <c r="Q154" s="48">
        <f t="shared" si="17"/>
        <v>94.08163265306122</v>
      </c>
      <c r="R154" s="3">
        <f t="shared" si="18"/>
        <v>7.4069444444444441</v>
      </c>
    </row>
    <row r="155" spans="1:18" x14ac:dyDescent="0.2">
      <c r="A155" s="2">
        <v>41504</v>
      </c>
      <c r="B155" s="3">
        <v>44021</v>
      </c>
      <c r="C155" s="3" t="s">
        <v>9</v>
      </c>
      <c r="D155" s="3">
        <v>115</v>
      </c>
      <c r="E155" s="3">
        <v>9575</v>
      </c>
      <c r="F155" s="3">
        <v>0</v>
      </c>
      <c r="G155" s="3">
        <v>1615</v>
      </c>
      <c r="H155" s="3">
        <v>21416</v>
      </c>
      <c r="I155" s="3">
        <v>32623</v>
      </c>
      <c r="J155" s="3">
        <v>0</v>
      </c>
      <c r="K155" s="41">
        <f t="shared" si="13"/>
        <v>31008</v>
      </c>
      <c r="L155" s="42">
        <f t="shared" si="14"/>
        <v>83.260869565217391</v>
      </c>
      <c r="M155" s="41" t="str">
        <f t="shared" si="15"/>
        <v>Aug</v>
      </c>
      <c r="P155" s="48">
        <f t="shared" si="16"/>
        <v>31008</v>
      </c>
      <c r="Q155" s="48">
        <f t="shared" si="17"/>
        <v>83.260869565217391</v>
      </c>
      <c r="R155" s="3">
        <f t="shared" si="18"/>
        <v>8.6133333333333333</v>
      </c>
    </row>
    <row r="156" spans="1:18" x14ac:dyDescent="0.2">
      <c r="A156" s="2">
        <v>41504</v>
      </c>
      <c r="B156" s="3">
        <v>44022</v>
      </c>
      <c r="C156" s="3" t="s">
        <v>23</v>
      </c>
      <c r="D156" s="3">
        <v>124</v>
      </c>
      <c r="E156" s="3">
        <v>8460</v>
      </c>
      <c r="F156" s="3">
        <v>0</v>
      </c>
      <c r="G156" s="3">
        <v>4804</v>
      </c>
      <c r="H156" s="3">
        <v>22645</v>
      </c>
      <c r="I156" s="3">
        <v>35951</v>
      </c>
      <c r="J156" s="3">
        <v>0</v>
      </c>
      <c r="K156" s="41">
        <f t="shared" si="13"/>
        <v>31147</v>
      </c>
      <c r="L156" s="42">
        <f t="shared" si="14"/>
        <v>68.225806451612897</v>
      </c>
      <c r="M156" s="41" t="str">
        <f t="shared" si="15"/>
        <v>Aug</v>
      </c>
      <c r="P156" s="48">
        <f t="shared" si="16"/>
        <v>31147</v>
      </c>
      <c r="Q156" s="48">
        <f t="shared" si="17"/>
        <v>68.225806451612897</v>
      </c>
      <c r="R156" s="3">
        <f t="shared" si="18"/>
        <v>8.6519444444444442</v>
      </c>
    </row>
    <row r="157" spans="1:18" x14ac:dyDescent="0.2">
      <c r="A157" s="2">
        <v>41504</v>
      </c>
      <c r="B157" s="3">
        <v>44033</v>
      </c>
      <c r="C157" s="3" t="s">
        <v>11</v>
      </c>
      <c r="D157" s="3">
        <v>111</v>
      </c>
      <c r="E157" s="3">
        <v>11027</v>
      </c>
      <c r="F157" s="3">
        <v>86</v>
      </c>
      <c r="G157" s="3">
        <v>2601</v>
      </c>
      <c r="H157" s="3">
        <v>19553</v>
      </c>
      <c r="I157" s="3">
        <v>33289</v>
      </c>
      <c r="J157" s="3">
        <v>0</v>
      </c>
      <c r="K157" s="41">
        <f t="shared" si="13"/>
        <v>30688</v>
      </c>
      <c r="L157" s="42">
        <f t="shared" si="14"/>
        <v>100.11711711711712</v>
      </c>
      <c r="M157" s="41" t="str">
        <f t="shared" si="15"/>
        <v>Aug</v>
      </c>
      <c r="P157" s="48">
        <f t="shared" si="16"/>
        <v>30688</v>
      </c>
      <c r="Q157" s="48">
        <f t="shared" si="17"/>
        <v>100.11711711711712</v>
      </c>
      <c r="R157" s="3">
        <f t="shared" si="18"/>
        <v>8.5244444444444447</v>
      </c>
    </row>
    <row r="158" spans="1:18" x14ac:dyDescent="0.2">
      <c r="A158" s="2">
        <v>41504</v>
      </c>
      <c r="B158" s="3">
        <v>44050</v>
      </c>
      <c r="C158" s="3" t="s">
        <v>24</v>
      </c>
      <c r="D158" s="3">
        <v>114</v>
      </c>
      <c r="E158" s="3">
        <v>11769</v>
      </c>
      <c r="F158" s="3">
        <v>0</v>
      </c>
      <c r="G158" s="3">
        <v>3287</v>
      </c>
      <c r="H158" s="3">
        <v>18087</v>
      </c>
      <c r="I158" s="3">
        <v>33145</v>
      </c>
      <c r="J158" s="3">
        <v>0</v>
      </c>
      <c r="K158" s="41">
        <f t="shared" si="13"/>
        <v>29858</v>
      </c>
      <c r="L158" s="42">
        <f t="shared" si="14"/>
        <v>103.23684210526316</v>
      </c>
      <c r="M158" s="41" t="str">
        <f t="shared" si="15"/>
        <v>Aug</v>
      </c>
      <c r="P158" s="48">
        <f t="shared" si="16"/>
        <v>29858</v>
      </c>
      <c r="Q158" s="48">
        <f t="shared" si="17"/>
        <v>103.23684210526316</v>
      </c>
      <c r="R158" s="3">
        <f t="shared" si="18"/>
        <v>8.2938888888888886</v>
      </c>
    </row>
    <row r="159" spans="1:18" x14ac:dyDescent="0.2">
      <c r="A159" s="2">
        <v>41506</v>
      </c>
      <c r="B159" s="3">
        <v>44021</v>
      </c>
      <c r="C159" s="3" t="s">
        <v>9</v>
      </c>
      <c r="D159" s="3">
        <v>173</v>
      </c>
      <c r="E159" s="3">
        <v>16158</v>
      </c>
      <c r="F159" s="3">
        <v>0</v>
      </c>
      <c r="G159" s="3">
        <v>2299</v>
      </c>
      <c r="H159" s="3">
        <v>20183</v>
      </c>
      <c r="I159" s="3">
        <v>38663</v>
      </c>
      <c r="J159" s="3">
        <v>0</v>
      </c>
      <c r="K159" s="41">
        <f t="shared" si="13"/>
        <v>36364</v>
      </c>
      <c r="L159" s="42">
        <f t="shared" si="14"/>
        <v>93.398843930635834</v>
      </c>
      <c r="M159" s="41" t="str">
        <f t="shared" si="15"/>
        <v>Aug</v>
      </c>
      <c r="P159" s="48">
        <f t="shared" si="16"/>
        <v>36364</v>
      </c>
      <c r="Q159" s="48">
        <f t="shared" si="17"/>
        <v>93.398843930635834</v>
      </c>
      <c r="R159" s="3">
        <f t="shared" si="18"/>
        <v>10.101111111111111</v>
      </c>
    </row>
    <row r="160" spans="1:18" x14ac:dyDescent="0.2">
      <c r="A160" s="2">
        <v>41506</v>
      </c>
      <c r="B160" s="3">
        <v>44022</v>
      </c>
      <c r="C160" s="3" t="s">
        <v>23</v>
      </c>
      <c r="D160" s="3">
        <v>195</v>
      </c>
      <c r="E160" s="3">
        <v>13489</v>
      </c>
      <c r="F160" s="3">
        <v>0</v>
      </c>
      <c r="G160" s="3">
        <v>2555</v>
      </c>
      <c r="H160" s="3">
        <v>22462</v>
      </c>
      <c r="I160" s="3">
        <v>38540</v>
      </c>
      <c r="J160" s="3">
        <v>0</v>
      </c>
      <c r="K160" s="41">
        <f t="shared" si="13"/>
        <v>35985</v>
      </c>
      <c r="L160" s="42">
        <f t="shared" si="14"/>
        <v>69.174358974358981</v>
      </c>
      <c r="M160" s="41" t="str">
        <f t="shared" si="15"/>
        <v>Aug</v>
      </c>
      <c r="P160" s="48">
        <f t="shared" si="16"/>
        <v>35985</v>
      </c>
      <c r="Q160" s="48">
        <f t="shared" si="17"/>
        <v>69.174358974358981</v>
      </c>
      <c r="R160" s="3">
        <f t="shared" si="18"/>
        <v>9.9958333333333336</v>
      </c>
    </row>
    <row r="161" spans="1:18" x14ac:dyDescent="0.2">
      <c r="A161" s="2">
        <v>41506</v>
      </c>
      <c r="B161" s="3">
        <v>44027</v>
      </c>
      <c r="C161" s="3" t="s">
        <v>10</v>
      </c>
      <c r="D161" s="3">
        <v>18</v>
      </c>
      <c r="E161" s="3">
        <v>1722</v>
      </c>
      <c r="F161" s="3">
        <v>0</v>
      </c>
      <c r="G161" s="3">
        <v>183</v>
      </c>
      <c r="H161" s="3">
        <v>2619</v>
      </c>
      <c r="I161" s="3">
        <v>4524</v>
      </c>
      <c r="J161" s="3">
        <v>0</v>
      </c>
      <c r="K161" s="41">
        <f t="shared" si="13"/>
        <v>4341</v>
      </c>
      <c r="L161" s="42">
        <f t="shared" si="14"/>
        <v>95.666666666666671</v>
      </c>
      <c r="M161" s="41" t="str">
        <f t="shared" si="15"/>
        <v>Aug</v>
      </c>
      <c r="P161" s="48">
        <f t="shared" si="16"/>
        <v>4341</v>
      </c>
      <c r="Q161" s="48">
        <f t="shared" si="17"/>
        <v>95.666666666666671</v>
      </c>
      <c r="R161" s="3">
        <f t="shared" si="18"/>
        <v>1.2058333333333333</v>
      </c>
    </row>
    <row r="162" spans="1:18" x14ac:dyDescent="0.2">
      <c r="A162" s="2">
        <v>41506</v>
      </c>
      <c r="B162" s="3">
        <v>44033</v>
      </c>
      <c r="C162" s="3" t="s">
        <v>11</v>
      </c>
      <c r="D162" s="3">
        <v>141</v>
      </c>
      <c r="E162" s="3">
        <v>14703</v>
      </c>
      <c r="F162" s="3">
        <v>0</v>
      </c>
      <c r="G162" s="3">
        <v>3216</v>
      </c>
      <c r="H162" s="3">
        <v>17750</v>
      </c>
      <c r="I162" s="3">
        <v>35689</v>
      </c>
      <c r="J162" s="3">
        <v>0</v>
      </c>
      <c r="K162" s="41">
        <f t="shared" si="13"/>
        <v>32473</v>
      </c>
      <c r="L162" s="42">
        <f t="shared" si="14"/>
        <v>104.27659574468085</v>
      </c>
      <c r="M162" s="41" t="str">
        <f t="shared" si="15"/>
        <v>Aug</v>
      </c>
      <c r="P162" s="48">
        <f t="shared" si="16"/>
        <v>32473</v>
      </c>
      <c r="Q162" s="48">
        <f t="shared" si="17"/>
        <v>104.27659574468085</v>
      </c>
      <c r="R162" s="3">
        <f t="shared" si="18"/>
        <v>9.0202777777777783</v>
      </c>
    </row>
    <row r="163" spans="1:18" x14ac:dyDescent="0.2">
      <c r="A163" s="2">
        <v>41507</v>
      </c>
      <c r="B163" s="3">
        <v>44021</v>
      </c>
      <c r="C163" s="3" t="s">
        <v>9</v>
      </c>
      <c r="D163" s="3">
        <v>127</v>
      </c>
      <c r="E163" s="3">
        <v>10601</v>
      </c>
      <c r="F163" s="3">
        <v>0</v>
      </c>
      <c r="G163" s="3">
        <v>2323</v>
      </c>
      <c r="H163" s="3">
        <v>19784</v>
      </c>
      <c r="I163" s="3">
        <v>32773</v>
      </c>
      <c r="J163" s="3">
        <v>0</v>
      </c>
      <c r="K163" s="41">
        <f t="shared" si="13"/>
        <v>30450</v>
      </c>
      <c r="L163" s="42">
        <f t="shared" si="14"/>
        <v>83.472440944881896</v>
      </c>
      <c r="M163" s="41" t="str">
        <f t="shared" si="15"/>
        <v>Aug</v>
      </c>
      <c r="P163" s="48">
        <f t="shared" si="16"/>
        <v>30450</v>
      </c>
      <c r="Q163" s="48">
        <f t="shared" si="17"/>
        <v>83.472440944881896</v>
      </c>
      <c r="R163" s="3">
        <f t="shared" si="18"/>
        <v>8.4583333333333339</v>
      </c>
    </row>
    <row r="164" spans="1:18" x14ac:dyDescent="0.2">
      <c r="A164" s="2">
        <v>41507</v>
      </c>
      <c r="B164" s="3">
        <v>44022</v>
      </c>
      <c r="C164" s="3" t="s">
        <v>23</v>
      </c>
      <c r="D164" s="3">
        <v>131</v>
      </c>
      <c r="E164" s="3">
        <v>10009</v>
      </c>
      <c r="F164" s="3">
        <v>0</v>
      </c>
      <c r="G164" s="3">
        <v>1109</v>
      </c>
      <c r="H164" s="3">
        <v>20699</v>
      </c>
      <c r="I164" s="3">
        <v>31909</v>
      </c>
      <c r="J164" s="3">
        <v>69</v>
      </c>
      <c r="K164" s="41">
        <f t="shared" si="13"/>
        <v>30800</v>
      </c>
      <c r="L164" s="42">
        <f t="shared" si="14"/>
        <v>76.931297709923669</v>
      </c>
      <c r="M164" s="41" t="str">
        <f t="shared" si="15"/>
        <v>Aug</v>
      </c>
      <c r="P164" s="48">
        <f t="shared" si="16"/>
        <v>30800</v>
      </c>
      <c r="Q164" s="48">
        <f t="shared" si="17"/>
        <v>76.931297709923669</v>
      </c>
      <c r="R164" s="3">
        <f t="shared" si="18"/>
        <v>8.5555555555555554</v>
      </c>
    </row>
    <row r="165" spans="1:18" x14ac:dyDescent="0.2">
      <c r="A165" s="2">
        <v>41507</v>
      </c>
      <c r="B165" s="3">
        <v>44027</v>
      </c>
      <c r="C165" s="3" t="s">
        <v>10</v>
      </c>
      <c r="D165" s="3">
        <v>18</v>
      </c>
      <c r="E165" s="3">
        <v>2006</v>
      </c>
      <c r="F165" s="3">
        <v>0</v>
      </c>
      <c r="G165" s="3">
        <v>498</v>
      </c>
      <c r="H165" s="3">
        <v>2283</v>
      </c>
      <c r="I165" s="3">
        <v>4787</v>
      </c>
      <c r="J165" s="3">
        <v>0</v>
      </c>
      <c r="K165" s="41">
        <f t="shared" si="13"/>
        <v>4289</v>
      </c>
      <c r="L165" s="42">
        <f t="shared" si="14"/>
        <v>111.44444444444444</v>
      </c>
      <c r="M165" s="41" t="str">
        <f t="shared" si="15"/>
        <v>Aug</v>
      </c>
      <c r="P165" s="48">
        <f t="shared" si="16"/>
        <v>4289</v>
      </c>
      <c r="Q165" s="48">
        <f t="shared" si="17"/>
        <v>111.44444444444444</v>
      </c>
      <c r="R165" s="3">
        <f t="shared" si="18"/>
        <v>1.1913888888888888</v>
      </c>
    </row>
    <row r="166" spans="1:18" x14ac:dyDescent="0.2">
      <c r="A166" s="2">
        <v>41507</v>
      </c>
      <c r="B166" s="3">
        <v>44033</v>
      </c>
      <c r="C166" s="3" t="s">
        <v>11</v>
      </c>
      <c r="D166" s="3">
        <v>122</v>
      </c>
      <c r="E166" s="3">
        <v>11212</v>
      </c>
      <c r="F166" s="3">
        <v>0</v>
      </c>
      <c r="G166" s="3">
        <v>2358</v>
      </c>
      <c r="H166" s="3">
        <v>18849</v>
      </c>
      <c r="I166" s="3">
        <v>32437</v>
      </c>
      <c r="J166" s="3">
        <v>0</v>
      </c>
      <c r="K166" s="41">
        <f t="shared" si="13"/>
        <v>30079</v>
      </c>
      <c r="L166" s="42">
        <f t="shared" si="14"/>
        <v>91.901639344262293</v>
      </c>
      <c r="M166" s="41" t="str">
        <f t="shared" si="15"/>
        <v>Aug</v>
      </c>
      <c r="P166" s="48">
        <f t="shared" si="16"/>
        <v>30079</v>
      </c>
      <c r="Q166" s="48">
        <f t="shared" si="17"/>
        <v>91.901639344262293</v>
      </c>
      <c r="R166" s="3">
        <f t="shared" si="18"/>
        <v>8.3552777777777774</v>
      </c>
    </row>
    <row r="167" spans="1:18" x14ac:dyDescent="0.2">
      <c r="A167" s="2">
        <v>41507</v>
      </c>
      <c r="B167" s="3">
        <v>44050</v>
      </c>
      <c r="C167" s="3" t="s">
        <v>24</v>
      </c>
      <c r="D167" s="3">
        <v>119</v>
      </c>
      <c r="E167" s="3">
        <v>12871</v>
      </c>
      <c r="F167" s="3">
        <v>0</v>
      </c>
      <c r="G167" s="3">
        <v>2827</v>
      </c>
      <c r="H167" s="3">
        <v>18060</v>
      </c>
      <c r="I167" s="3">
        <v>33758</v>
      </c>
      <c r="J167" s="3">
        <v>0</v>
      </c>
      <c r="K167" s="41">
        <f t="shared" si="13"/>
        <v>30931</v>
      </c>
      <c r="L167" s="42">
        <f t="shared" si="14"/>
        <v>108.15966386554622</v>
      </c>
      <c r="M167" s="41" t="str">
        <f t="shared" si="15"/>
        <v>Aug</v>
      </c>
      <c r="P167" s="48">
        <f t="shared" si="16"/>
        <v>30931</v>
      </c>
      <c r="Q167" s="48">
        <f t="shared" si="17"/>
        <v>108.15966386554622</v>
      </c>
      <c r="R167" s="3">
        <f t="shared" si="18"/>
        <v>8.5919444444444437</v>
      </c>
    </row>
    <row r="168" spans="1:18" x14ac:dyDescent="0.2">
      <c r="A168" s="2">
        <v>41508</v>
      </c>
      <c r="B168" s="3">
        <v>44021</v>
      </c>
      <c r="C168" s="3" t="s">
        <v>9</v>
      </c>
      <c r="D168" s="3">
        <v>122</v>
      </c>
      <c r="E168" s="3">
        <v>10900</v>
      </c>
      <c r="F168" s="3">
        <v>0</v>
      </c>
      <c r="G168" s="3">
        <v>2144</v>
      </c>
      <c r="H168" s="3">
        <v>21887</v>
      </c>
      <c r="I168" s="3">
        <v>34954</v>
      </c>
      <c r="J168" s="3">
        <v>0</v>
      </c>
      <c r="K168" s="41">
        <f t="shared" si="13"/>
        <v>32810</v>
      </c>
      <c r="L168" s="42">
        <f t="shared" si="14"/>
        <v>89.344262295081961</v>
      </c>
      <c r="M168" s="41" t="str">
        <f t="shared" si="15"/>
        <v>Aug</v>
      </c>
      <c r="P168" s="48">
        <f t="shared" si="16"/>
        <v>32810</v>
      </c>
      <c r="Q168" s="48">
        <f t="shared" si="17"/>
        <v>89.344262295081961</v>
      </c>
      <c r="R168" s="3">
        <f t="shared" si="18"/>
        <v>9.1138888888888889</v>
      </c>
    </row>
    <row r="169" spans="1:18" x14ac:dyDescent="0.2">
      <c r="A169" s="2">
        <v>41508</v>
      </c>
      <c r="B169" s="3">
        <v>44022</v>
      </c>
      <c r="C169" s="3" t="s">
        <v>23</v>
      </c>
      <c r="D169" s="3">
        <v>131</v>
      </c>
      <c r="E169" s="3">
        <v>9711</v>
      </c>
      <c r="F169" s="3">
        <v>0</v>
      </c>
      <c r="G169" s="3">
        <v>3483</v>
      </c>
      <c r="H169" s="3">
        <v>24694</v>
      </c>
      <c r="I169" s="3">
        <v>37925</v>
      </c>
      <c r="J169" s="3">
        <v>0</v>
      </c>
      <c r="K169" s="41">
        <f t="shared" si="13"/>
        <v>34442</v>
      </c>
      <c r="L169" s="42">
        <f t="shared" si="14"/>
        <v>74.129770992366417</v>
      </c>
      <c r="M169" s="41" t="str">
        <f t="shared" si="15"/>
        <v>Aug</v>
      </c>
      <c r="P169" s="48">
        <f t="shared" si="16"/>
        <v>34442</v>
      </c>
      <c r="Q169" s="48">
        <f t="shared" si="17"/>
        <v>74.129770992366417</v>
      </c>
      <c r="R169" s="3">
        <f t="shared" si="18"/>
        <v>9.5672222222222221</v>
      </c>
    </row>
    <row r="170" spans="1:18" x14ac:dyDescent="0.2">
      <c r="A170" s="2">
        <v>41508</v>
      </c>
      <c r="B170" s="3">
        <v>44033</v>
      </c>
      <c r="C170" s="3" t="s">
        <v>11</v>
      </c>
      <c r="D170" s="3">
        <v>122</v>
      </c>
      <c r="E170" s="3">
        <v>10983</v>
      </c>
      <c r="F170" s="3">
        <v>0</v>
      </c>
      <c r="G170" s="3">
        <v>2750</v>
      </c>
      <c r="H170" s="3">
        <v>19114</v>
      </c>
      <c r="I170" s="3">
        <v>32867</v>
      </c>
      <c r="J170" s="3">
        <v>0</v>
      </c>
      <c r="K170" s="41">
        <f t="shared" si="13"/>
        <v>30117</v>
      </c>
      <c r="L170" s="42">
        <f t="shared" si="14"/>
        <v>90.02459016393442</v>
      </c>
      <c r="M170" s="41" t="str">
        <f t="shared" si="15"/>
        <v>Aug</v>
      </c>
      <c r="P170" s="48">
        <f t="shared" si="16"/>
        <v>30117</v>
      </c>
      <c r="Q170" s="48">
        <f t="shared" si="17"/>
        <v>90.02459016393442</v>
      </c>
      <c r="R170" s="3">
        <f t="shared" si="18"/>
        <v>8.3658333333333328</v>
      </c>
    </row>
    <row r="171" spans="1:18" x14ac:dyDescent="0.2">
      <c r="A171" s="2">
        <v>41508</v>
      </c>
      <c r="B171" s="3">
        <v>44050</v>
      </c>
      <c r="C171" s="3" t="s">
        <v>24</v>
      </c>
      <c r="D171" s="3">
        <v>102</v>
      </c>
      <c r="E171" s="3">
        <v>10160</v>
      </c>
      <c r="F171" s="3">
        <v>0</v>
      </c>
      <c r="G171" s="3">
        <v>3408</v>
      </c>
      <c r="H171" s="3">
        <v>19546</v>
      </c>
      <c r="I171" s="3">
        <v>33120</v>
      </c>
      <c r="J171" s="3">
        <v>0</v>
      </c>
      <c r="K171" s="41">
        <f t="shared" si="13"/>
        <v>29712</v>
      </c>
      <c r="L171" s="42">
        <f t="shared" si="14"/>
        <v>99.607843137254903</v>
      </c>
      <c r="M171" s="41" t="str">
        <f t="shared" si="15"/>
        <v>Aug</v>
      </c>
      <c r="P171" s="48">
        <f t="shared" si="16"/>
        <v>29712</v>
      </c>
      <c r="Q171" s="48">
        <f t="shared" si="17"/>
        <v>99.607843137254903</v>
      </c>
      <c r="R171" s="3">
        <f t="shared" si="18"/>
        <v>8.2533333333333339</v>
      </c>
    </row>
    <row r="172" spans="1:18" x14ac:dyDescent="0.2">
      <c r="A172" s="2">
        <v>41509</v>
      </c>
      <c r="B172" s="3">
        <v>44021</v>
      </c>
      <c r="C172" s="3" t="s">
        <v>9</v>
      </c>
      <c r="D172" s="3">
        <v>105</v>
      </c>
      <c r="E172" s="3">
        <v>9031</v>
      </c>
      <c r="F172" s="3">
        <v>0</v>
      </c>
      <c r="G172" s="3">
        <v>2145</v>
      </c>
      <c r="H172" s="3">
        <v>21520</v>
      </c>
      <c r="I172" s="3">
        <v>32708</v>
      </c>
      <c r="J172" s="3">
        <v>0</v>
      </c>
      <c r="K172" s="41">
        <f t="shared" si="13"/>
        <v>30563</v>
      </c>
      <c r="L172" s="42">
        <f t="shared" si="14"/>
        <v>86.009523809523813</v>
      </c>
      <c r="M172" s="41" t="str">
        <f t="shared" si="15"/>
        <v>Aug</v>
      </c>
      <c r="P172" s="48">
        <f t="shared" si="16"/>
        <v>30563</v>
      </c>
      <c r="Q172" s="48">
        <f t="shared" si="17"/>
        <v>86.009523809523813</v>
      </c>
      <c r="R172" s="3">
        <f t="shared" si="18"/>
        <v>8.4897222222222215</v>
      </c>
    </row>
    <row r="173" spans="1:18" x14ac:dyDescent="0.2">
      <c r="A173" s="2">
        <v>41509</v>
      </c>
      <c r="B173" s="3">
        <v>44022</v>
      </c>
      <c r="C173" s="3" t="s">
        <v>23</v>
      </c>
      <c r="D173" s="3">
        <v>134</v>
      </c>
      <c r="E173" s="3">
        <v>10521</v>
      </c>
      <c r="F173" s="3">
        <v>0</v>
      </c>
      <c r="G173" s="3">
        <v>4515</v>
      </c>
      <c r="H173" s="3">
        <v>26444</v>
      </c>
      <c r="I173" s="3">
        <v>41513</v>
      </c>
      <c r="J173" s="3">
        <v>0</v>
      </c>
      <c r="K173" s="41">
        <f t="shared" si="13"/>
        <v>36998</v>
      </c>
      <c r="L173" s="42">
        <f t="shared" si="14"/>
        <v>78.514925373134332</v>
      </c>
      <c r="M173" s="41" t="str">
        <f t="shared" si="15"/>
        <v>Aug</v>
      </c>
      <c r="P173" s="48">
        <f t="shared" si="16"/>
        <v>36998</v>
      </c>
      <c r="Q173" s="48">
        <f t="shared" si="17"/>
        <v>78.514925373134332</v>
      </c>
      <c r="R173" s="3">
        <f t="shared" si="18"/>
        <v>10.277222222222223</v>
      </c>
    </row>
    <row r="174" spans="1:18" x14ac:dyDescent="0.2">
      <c r="A174" s="2">
        <v>41509</v>
      </c>
      <c r="B174" s="3">
        <v>44027</v>
      </c>
      <c r="C174" s="3" t="s">
        <v>10</v>
      </c>
      <c r="D174" s="3">
        <v>8</v>
      </c>
      <c r="E174" s="3">
        <v>948</v>
      </c>
      <c r="F174" s="3">
        <v>0</v>
      </c>
      <c r="G174" s="3">
        <v>615</v>
      </c>
      <c r="H174" s="3">
        <v>1771</v>
      </c>
      <c r="I174" s="3">
        <v>3334</v>
      </c>
      <c r="J174" s="3">
        <v>0</v>
      </c>
      <c r="K174" s="41">
        <f t="shared" si="13"/>
        <v>2719</v>
      </c>
      <c r="L174" s="42">
        <f t="shared" si="14"/>
        <v>118.5</v>
      </c>
      <c r="M174" s="41" t="str">
        <f t="shared" si="15"/>
        <v>Aug</v>
      </c>
      <c r="P174" s="48">
        <f t="shared" si="16"/>
        <v>2719</v>
      </c>
      <c r="Q174" s="48">
        <f t="shared" si="17"/>
        <v>118.5</v>
      </c>
      <c r="R174" s="3">
        <f t="shared" si="18"/>
        <v>0.75527777777777783</v>
      </c>
    </row>
    <row r="175" spans="1:18" x14ac:dyDescent="0.2">
      <c r="A175" s="2">
        <v>41509</v>
      </c>
      <c r="B175" s="3">
        <v>44033</v>
      </c>
      <c r="C175" s="3" t="s">
        <v>11</v>
      </c>
      <c r="D175" s="3">
        <v>95</v>
      </c>
      <c r="E175" s="3">
        <v>8767</v>
      </c>
      <c r="F175" s="3">
        <v>0</v>
      </c>
      <c r="G175" s="3">
        <v>2609</v>
      </c>
      <c r="H175" s="3">
        <v>21692</v>
      </c>
      <c r="I175" s="3">
        <v>33086</v>
      </c>
      <c r="J175" s="3">
        <v>0</v>
      </c>
      <c r="K175" s="41">
        <f t="shared" si="13"/>
        <v>30477</v>
      </c>
      <c r="L175" s="42">
        <f t="shared" si="14"/>
        <v>92.284210526315789</v>
      </c>
      <c r="M175" s="41" t="str">
        <f t="shared" si="15"/>
        <v>Aug</v>
      </c>
      <c r="P175" s="48">
        <f t="shared" si="16"/>
        <v>30477</v>
      </c>
      <c r="Q175" s="48">
        <f t="shared" si="17"/>
        <v>92.284210526315789</v>
      </c>
      <c r="R175" s="3">
        <f t="shared" si="18"/>
        <v>8.4658333333333342</v>
      </c>
    </row>
    <row r="176" spans="1:18" x14ac:dyDescent="0.2">
      <c r="A176" s="2">
        <v>41509</v>
      </c>
      <c r="B176" s="3">
        <v>44050</v>
      </c>
      <c r="C176" s="3" t="s">
        <v>24</v>
      </c>
      <c r="D176" s="3">
        <v>116</v>
      </c>
      <c r="E176" s="3">
        <v>10396</v>
      </c>
      <c r="F176" s="3">
        <v>0</v>
      </c>
      <c r="G176" s="3">
        <v>3390</v>
      </c>
      <c r="H176" s="3">
        <v>19017</v>
      </c>
      <c r="I176" s="3">
        <v>32807</v>
      </c>
      <c r="J176" s="3">
        <v>0</v>
      </c>
      <c r="K176" s="41">
        <f t="shared" si="13"/>
        <v>29417</v>
      </c>
      <c r="L176" s="42">
        <f t="shared" si="14"/>
        <v>89.620689655172413</v>
      </c>
      <c r="M176" s="41" t="str">
        <f t="shared" si="15"/>
        <v>Aug</v>
      </c>
      <c r="P176" s="48">
        <f t="shared" si="16"/>
        <v>29417</v>
      </c>
      <c r="Q176" s="48">
        <f t="shared" si="17"/>
        <v>89.620689655172413</v>
      </c>
      <c r="R176" s="3">
        <f t="shared" si="18"/>
        <v>8.1713888888888881</v>
      </c>
    </row>
    <row r="177" spans="1:18" x14ac:dyDescent="0.2">
      <c r="A177" s="2">
        <v>41510</v>
      </c>
      <c r="B177" s="3">
        <v>44021</v>
      </c>
      <c r="C177" s="3" t="s">
        <v>9</v>
      </c>
      <c r="D177" s="3">
        <v>101</v>
      </c>
      <c r="E177" s="3">
        <v>8509</v>
      </c>
      <c r="F177" s="3">
        <v>0</v>
      </c>
      <c r="G177" s="3">
        <v>1522</v>
      </c>
      <c r="H177" s="3">
        <v>23266</v>
      </c>
      <c r="I177" s="3">
        <v>33306</v>
      </c>
      <c r="J177" s="3">
        <v>0</v>
      </c>
      <c r="K177" s="41">
        <f t="shared" si="13"/>
        <v>31784</v>
      </c>
      <c r="L177" s="42">
        <f t="shared" si="14"/>
        <v>84.247524752475243</v>
      </c>
      <c r="M177" s="41" t="str">
        <f t="shared" si="15"/>
        <v>Aug</v>
      </c>
      <c r="P177" s="48">
        <f t="shared" si="16"/>
        <v>31784</v>
      </c>
      <c r="Q177" s="48">
        <f t="shared" si="17"/>
        <v>84.247524752475243</v>
      </c>
      <c r="R177" s="3">
        <f t="shared" si="18"/>
        <v>8.8288888888888888</v>
      </c>
    </row>
    <row r="178" spans="1:18" x14ac:dyDescent="0.2">
      <c r="A178" s="2">
        <v>41510</v>
      </c>
      <c r="B178" s="3">
        <v>44022</v>
      </c>
      <c r="C178" s="3" t="s">
        <v>23</v>
      </c>
      <c r="D178" s="3">
        <v>114</v>
      </c>
      <c r="E178" s="3">
        <v>8119</v>
      </c>
      <c r="F178" s="3">
        <v>0</v>
      </c>
      <c r="G178" s="3">
        <v>4800</v>
      </c>
      <c r="H178" s="3">
        <v>23128</v>
      </c>
      <c r="I178" s="3">
        <v>36072</v>
      </c>
      <c r="J178" s="3">
        <v>0</v>
      </c>
      <c r="K178" s="41">
        <f t="shared" si="13"/>
        <v>31272</v>
      </c>
      <c r="L178" s="42">
        <f t="shared" si="14"/>
        <v>71.219298245614041</v>
      </c>
      <c r="M178" s="41" t="str">
        <f t="shared" si="15"/>
        <v>Aug</v>
      </c>
      <c r="P178" s="48">
        <f t="shared" si="16"/>
        <v>31272</v>
      </c>
      <c r="Q178" s="48">
        <f t="shared" si="17"/>
        <v>71.219298245614041</v>
      </c>
      <c r="R178" s="3">
        <f t="shared" si="18"/>
        <v>8.6866666666666674</v>
      </c>
    </row>
    <row r="179" spans="1:18" x14ac:dyDescent="0.2">
      <c r="A179" s="2">
        <v>41510</v>
      </c>
      <c r="B179" s="3">
        <v>44033</v>
      </c>
      <c r="C179" s="3" t="s">
        <v>11</v>
      </c>
      <c r="D179" s="3">
        <v>100</v>
      </c>
      <c r="E179" s="3">
        <v>8838</v>
      </c>
      <c r="F179" s="3">
        <v>0</v>
      </c>
      <c r="G179" s="3">
        <v>2758</v>
      </c>
      <c r="H179" s="3">
        <v>21391</v>
      </c>
      <c r="I179" s="3">
        <v>33005</v>
      </c>
      <c r="J179" s="3">
        <v>0</v>
      </c>
      <c r="K179" s="41">
        <f t="shared" si="13"/>
        <v>30247</v>
      </c>
      <c r="L179" s="42">
        <f t="shared" si="14"/>
        <v>88.38</v>
      </c>
      <c r="M179" s="41" t="str">
        <f t="shared" si="15"/>
        <v>Aug</v>
      </c>
      <c r="P179" s="48">
        <f t="shared" si="16"/>
        <v>30247</v>
      </c>
      <c r="Q179" s="48">
        <f t="shared" si="17"/>
        <v>88.38</v>
      </c>
      <c r="R179" s="3">
        <f t="shared" si="18"/>
        <v>8.4019444444444442</v>
      </c>
    </row>
    <row r="180" spans="1:18" x14ac:dyDescent="0.2">
      <c r="A180" s="2">
        <v>41510</v>
      </c>
      <c r="B180" s="3">
        <v>44050</v>
      </c>
      <c r="C180" s="3" t="s">
        <v>24</v>
      </c>
      <c r="D180" s="3">
        <v>113</v>
      </c>
      <c r="E180" s="3">
        <v>9792</v>
      </c>
      <c r="F180" s="3">
        <v>0</v>
      </c>
      <c r="G180" s="3">
        <v>4994</v>
      </c>
      <c r="H180" s="3">
        <v>21271</v>
      </c>
      <c r="I180" s="3">
        <v>36060</v>
      </c>
      <c r="J180" s="3">
        <v>0</v>
      </c>
      <c r="K180" s="41">
        <f t="shared" si="13"/>
        <v>31066</v>
      </c>
      <c r="L180" s="42">
        <f t="shared" si="14"/>
        <v>86.654867256637175</v>
      </c>
      <c r="M180" s="41" t="str">
        <f t="shared" si="15"/>
        <v>Aug</v>
      </c>
      <c r="P180" s="48">
        <f t="shared" si="16"/>
        <v>31066</v>
      </c>
      <c r="Q180" s="48">
        <f t="shared" si="17"/>
        <v>86.654867256637175</v>
      </c>
      <c r="R180" s="3">
        <f t="shared" si="18"/>
        <v>8.6294444444444451</v>
      </c>
    </row>
    <row r="181" spans="1:18" x14ac:dyDescent="0.2">
      <c r="A181" s="2">
        <v>41511</v>
      </c>
      <c r="B181" s="3">
        <v>44021</v>
      </c>
      <c r="C181" s="3" t="s">
        <v>9</v>
      </c>
      <c r="D181" s="3">
        <v>113</v>
      </c>
      <c r="E181" s="3">
        <v>9785</v>
      </c>
      <c r="F181" s="3">
        <v>0</v>
      </c>
      <c r="G181" s="3">
        <v>1807</v>
      </c>
      <c r="H181" s="3">
        <v>22023</v>
      </c>
      <c r="I181" s="3">
        <v>33625</v>
      </c>
      <c r="J181" s="3">
        <v>0</v>
      </c>
      <c r="K181" s="41">
        <f t="shared" si="13"/>
        <v>31818</v>
      </c>
      <c r="L181" s="42">
        <f t="shared" si="14"/>
        <v>86.592920353982308</v>
      </c>
      <c r="M181" s="41" t="str">
        <f t="shared" si="15"/>
        <v>Aug</v>
      </c>
      <c r="P181" s="48">
        <f t="shared" si="16"/>
        <v>31818</v>
      </c>
      <c r="Q181" s="48">
        <f t="shared" si="17"/>
        <v>86.592920353982308</v>
      </c>
      <c r="R181" s="3">
        <f t="shared" si="18"/>
        <v>8.8383333333333329</v>
      </c>
    </row>
    <row r="182" spans="1:18" x14ac:dyDescent="0.2">
      <c r="A182" s="2">
        <v>41511</v>
      </c>
      <c r="B182" s="3">
        <v>44022</v>
      </c>
      <c r="C182" s="3" t="s">
        <v>23</v>
      </c>
      <c r="D182" s="3">
        <v>126</v>
      </c>
      <c r="E182" s="3">
        <v>8183</v>
      </c>
      <c r="F182" s="3">
        <v>1</v>
      </c>
      <c r="G182" s="3">
        <v>6003</v>
      </c>
      <c r="H182" s="3">
        <v>24719</v>
      </c>
      <c r="I182" s="3">
        <v>38930</v>
      </c>
      <c r="J182" s="3">
        <v>0</v>
      </c>
      <c r="K182" s="41">
        <f t="shared" si="13"/>
        <v>32927</v>
      </c>
      <c r="L182" s="42">
        <f t="shared" si="14"/>
        <v>64.952380952380949</v>
      </c>
      <c r="M182" s="41" t="str">
        <f t="shared" si="15"/>
        <v>Aug</v>
      </c>
      <c r="P182" s="48">
        <f t="shared" si="16"/>
        <v>32927</v>
      </c>
      <c r="Q182" s="48">
        <f t="shared" si="17"/>
        <v>64.952380952380949</v>
      </c>
      <c r="R182" s="3">
        <f t="shared" si="18"/>
        <v>9.1463888888888896</v>
      </c>
    </row>
    <row r="183" spans="1:18" x14ac:dyDescent="0.2">
      <c r="A183" s="2">
        <v>41511</v>
      </c>
      <c r="B183" s="3">
        <v>44027</v>
      </c>
      <c r="C183" s="3" t="s">
        <v>10</v>
      </c>
      <c r="D183" s="3">
        <v>5</v>
      </c>
      <c r="E183" s="3">
        <v>669</v>
      </c>
      <c r="F183" s="3">
        <v>0</v>
      </c>
      <c r="G183" s="3">
        <v>1255</v>
      </c>
      <c r="H183" s="3">
        <v>921</v>
      </c>
      <c r="I183" s="3">
        <v>2845</v>
      </c>
      <c r="J183" s="3">
        <v>0</v>
      </c>
      <c r="K183" s="41">
        <f t="shared" si="13"/>
        <v>1590</v>
      </c>
      <c r="L183" s="42">
        <f t="shared" si="14"/>
        <v>133.80000000000001</v>
      </c>
      <c r="M183" s="41" t="str">
        <f t="shared" si="15"/>
        <v>Aug</v>
      </c>
      <c r="P183" s="48">
        <f t="shared" si="16"/>
        <v>1590</v>
      </c>
      <c r="Q183" s="48">
        <f t="shared" si="17"/>
        <v>133.80000000000001</v>
      </c>
      <c r="R183" s="3">
        <f t="shared" si="18"/>
        <v>0.44166666666666665</v>
      </c>
    </row>
    <row r="184" spans="1:18" x14ac:dyDescent="0.2">
      <c r="A184" s="2">
        <v>41511</v>
      </c>
      <c r="B184" s="3">
        <v>44033</v>
      </c>
      <c r="C184" s="3" t="s">
        <v>11</v>
      </c>
      <c r="D184" s="3">
        <v>108</v>
      </c>
      <c r="E184" s="3">
        <v>9276</v>
      </c>
      <c r="F184" s="3">
        <v>0</v>
      </c>
      <c r="G184" s="3">
        <v>2751</v>
      </c>
      <c r="H184" s="3">
        <v>21257</v>
      </c>
      <c r="I184" s="3">
        <v>33296</v>
      </c>
      <c r="J184" s="3">
        <v>0</v>
      </c>
      <c r="K184" s="41">
        <f t="shared" si="13"/>
        <v>30545</v>
      </c>
      <c r="L184" s="42">
        <f t="shared" si="14"/>
        <v>85.888888888888886</v>
      </c>
      <c r="M184" s="41" t="str">
        <f t="shared" si="15"/>
        <v>Aug</v>
      </c>
      <c r="P184" s="48">
        <f t="shared" si="16"/>
        <v>30545</v>
      </c>
      <c r="Q184" s="48">
        <f t="shared" si="17"/>
        <v>85.888888888888886</v>
      </c>
      <c r="R184" s="3">
        <f t="shared" si="18"/>
        <v>8.4847222222222225</v>
      </c>
    </row>
    <row r="185" spans="1:18" x14ac:dyDescent="0.2">
      <c r="A185" s="2">
        <v>41511</v>
      </c>
      <c r="B185" s="3">
        <v>44050</v>
      </c>
      <c r="C185" s="3" t="s">
        <v>24</v>
      </c>
      <c r="D185" s="3">
        <v>112</v>
      </c>
      <c r="E185" s="3">
        <v>9963</v>
      </c>
      <c r="F185" s="3">
        <v>0</v>
      </c>
      <c r="G185" s="3">
        <v>3587</v>
      </c>
      <c r="H185" s="3">
        <v>19226</v>
      </c>
      <c r="I185" s="3">
        <v>32781</v>
      </c>
      <c r="J185" s="3">
        <v>0</v>
      </c>
      <c r="K185" s="41">
        <f t="shared" si="13"/>
        <v>29194</v>
      </c>
      <c r="L185" s="42">
        <f t="shared" si="14"/>
        <v>88.955357142857139</v>
      </c>
      <c r="M185" s="41" t="str">
        <f t="shared" si="15"/>
        <v>Aug</v>
      </c>
      <c r="P185" s="48">
        <f t="shared" si="16"/>
        <v>29194</v>
      </c>
      <c r="Q185" s="48">
        <f t="shared" si="17"/>
        <v>88.955357142857139</v>
      </c>
      <c r="R185" s="3">
        <f t="shared" si="18"/>
        <v>8.1094444444444438</v>
      </c>
    </row>
    <row r="186" spans="1:18" x14ac:dyDescent="0.2">
      <c r="A186" s="2">
        <v>41513</v>
      </c>
      <c r="B186" s="3">
        <v>44021</v>
      </c>
      <c r="C186" s="3" t="s">
        <v>9</v>
      </c>
      <c r="D186" s="3">
        <v>136</v>
      </c>
      <c r="E186" s="3">
        <v>11351</v>
      </c>
      <c r="F186" s="3">
        <v>2</v>
      </c>
      <c r="G186" s="3">
        <v>751</v>
      </c>
      <c r="H186" s="3">
        <v>20898</v>
      </c>
      <c r="I186" s="3">
        <v>33017</v>
      </c>
      <c r="J186" s="3">
        <v>0</v>
      </c>
      <c r="K186" s="41">
        <f t="shared" si="13"/>
        <v>32266</v>
      </c>
      <c r="L186" s="42">
        <f t="shared" si="14"/>
        <v>83.477941176470594</v>
      </c>
      <c r="M186" s="41" t="str">
        <f t="shared" si="15"/>
        <v>Aug</v>
      </c>
      <c r="P186" s="48">
        <f t="shared" si="16"/>
        <v>32266</v>
      </c>
      <c r="Q186" s="48">
        <f t="shared" si="17"/>
        <v>83.477941176470594</v>
      </c>
      <c r="R186" s="3">
        <f t="shared" si="18"/>
        <v>8.9627777777777773</v>
      </c>
    </row>
    <row r="187" spans="1:18" x14ac:dyDescent="0.2">
      <c r="A187" s="2">
        <v>41513</v>
      </c>
      <c r="B187" s="3">
        <v>44022</v>
      </c>
      <c r="C187" s="3" t="s">
        <v>23</v>
      </c>
      <c r="D187" s="3">
        <v>172</v>
      </c>
      <c r="E187" s="3">
        <v>11325</v>
      </c>
      <c r="F187" s="3">
        <v>0</v>
      </c>
      <c r="G187" s="3">
        <v>3540</v>
      </c>
      <c r="H187" s="3">
        <v>27552</v>
      </c>
      <c r="I187" s="3">
        <v>42449</v>
      </c>
      <c r="J187" s="3">
        <v>0</v>
      </c>
      <c r="K187" s="41">
        <f t="shared" si="13"/>
        <v>38909</v>
      </c>
      <c r="L187" s="42">
        <f t="shared" si="14"/>
        <v>65.843023255813947</v>
      </c>
      <c r="M187" s="41" t="str">
        <f t="shared" si="15"/>
        <v>Aug</v>
      </c>
      <c r="P187" s="48">
        <f t="shared" si="16"/>
        <v>38909</v>
      </c>
      <c r="Q187" s="48">
        <f t="shared" si="17"/>
        <v>65.843023255813947</v>
      </c>
      <c r="R187" s="3">
        <f t="shared" si="18"/>
        <v>10.808055555555555</v>
      </c>
    </row>
    <row r="188" spans="1:18" x14ac:dyDescent="0.2">
      <c r="A188" s="2">
        <v>41513</v>
      </c>
      <c r="B188" s="3">
        <v>44027</v>
      </c>
      <c r="C188" s="3" t="s">
        <v>10</v>
      </c>
      <c r="D188" s="3">
        <v>8</v>
      </c>
      <c r="E188" s="3">
        <v>787</v>
      </c>
      <c r="F188" s="3">
        <v>0</v>
      </c>
      <c r="G188" s="3">
        <v>5</v>
      </c>
      <c r="H188" s="3">
        <v>2022</v>
      </c>
      <c r="I188" s="3">
        <v>2814</v>
      </c>
      <c r="J188" s="3">
        <v>0</v>
      </c>
      <c r="K188" s="41">
        <f t="shared" si="13"/>
        <v>2809</v>
      </c>
      <c r="L188" s="42">
        <f t="shared" si="14"/>
        <v>98.375</v>
      </c>
      <c r="M188" s="41" t="str">
        <f t="shared" si="15"/>
        <v>Aug</v>
      </c>
      <c r="P188" s="48">
        <f t="shared" si="16"/>
        <v>2809</v>
      </c>
      <c r="Q188" s="48">
        <f t="shared" si="17"/>
        <v>98.375</v>
      </c>
      <c r="R188" s="3">
        <f t="shared" si="18"/>
        <v>0.78027777777777774</v>
      </c>
    </row>
    <row r="189" spans="1:18" x14ac:dyDescent="0.2">
      <c r="A189" s="2">
        <v>41513</v>
      </c>
      <c r="B189" s="3">
        <v>44033</v>
      </c>
      <c r="C189" s="3" t="s">
        <v>11</v>
      </c>
      <c r="D189" s="3">
        <v>125</v>
      </c>
      <c r="E189" s="3">
        <v>12621</v>
      </c>
      <c r="F189" s="3">
        <v>0</v>
      </c>
      <c r="G189" s="3">
        <v>2638</v>
      </c>
      <c r="H189" s="3">
        <v>17701</v>
      </c>
      <c r="I189" s="3">
        <v>32981</v>
      </c>
      <c r="J189" s="3">
        <v>0</v>
      </c>
      <c r="K189" s="41">
        <f t="shared" si="13"/>
        <v>30343</v>
      </c>
      <c r="L189" s="42">
        <f t="shared" si="14"/>
        <v>100.968</v>
      </c>
      <c r="M189" s="41" t="str">
        <f t="shared" si="15"/>
        <v>Aug</v>
      </c>
      <c r="P189" s="48">
        <f t="shared" si="16"/>
        <v>30343</v>
      </c>
      <c r="Q189" s="48">
        <f t="shared" si="17"/>
        <v>100.968</v>
      </c>
      <c r="R189" s="3">
        <f t="shared" si="18"/>
        <v>8.4286111111111115</v>
      </c>
    </row>
    <row r="190" spans="1:18" x14ac:dyDescent="0.2">
      <c r="A190" s="2">
        <v>41513</v>
      </c>
      <c r="B190" s="3">
        <v>44050</v>
      </c>
      <c r="C190" s="3" t="s">
        <v>24</v>
      </c>
      <c r="D190" s="3">
        <v>114</v>
      </c>
      <c r="E190" s="3">
        <v>9983</v>
      </c>
      <c r="F190" s="3">
        <v>0</v>
      </c>
      <c r="G190" s="3">
        <v>2850</v>
      </c>
      <c r="H190" s="3">
        <v>19618</v>
      </c>
      <c r="I190" s="3">
        <v>32455</v>
      </c>
      <c r="J190" s="3">
        <v>0</v>
      </c>
      <c r="K190" s="41">
        <f t="shared" si="13"/>
        <v>29605</v>
      </c>
      <c r="L190" s="42">
        <f t="shared" si="14"/>
        <v>87.570175438596493</v>
      </c>
      <c r="M190" s="41" t="str">
        <f t="shared" si="15"/>
        <v>Aug</v>
      </c>
      <c r="P190" s="48">
        <f t="shared" si="16"/>
        <v>29605</v>
      </c>
      <c r="Q190" s="48">
        <f t="shared" si="17"/>
        <v>87.570175438596493</v>
      </c>
      <c r="R190" s="3">
        <f t="shared" si="18"/>
        <v>8.2236111111111114</v>
      </c>
    </row>
    <row r="194" spans="9:9" x14ac:dyDescent="0.2">
      <c r="I194" s="3">
        <f>HOUR(I192)</f>
        <v>0</v>
      </c>
    </row>
    <row r="195" spans="9:9" x14ac:dyDescent="0.2">
      <c r="I195" s="3">
        <f>MIN(I192)</f>
        <v>0</v>
      </c>
    </row>
    <row r="196" spans="9:9" x14ac:dyDescent="0.2">
      <c r="I196" s="3">
        <f>MINUTE(I192)</f>
        <v>0</v>
      </c>
    </row>
  </sheetData>
  <phoneticPr fontId="3" type="noConversion"/>
  <pageMargins left="0.75" right="0.75" top="1" bottom="1" header="0.5" footer="0.5"/>
  <pageSetup orientation="portrait" r:id="rId1"/>
  <headerFooter alignWithMargins="0">
    <oddFooter>&amp;L&amp;D&amp;RPage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Q1</vt:lpstr>
      <vt:lpstr>Q2</vt:lpstr>
      <vt:lpstr>Q3</vt:lpstr>
      <vt:lpstr>Q4</vt:lpstr>
      <vt:lpstr>Q5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2009-12-31T13:46:17Z</dcterms:created>
  <dcterms:modified xsi:type="dcterms:W3CDTF">2026-01-30T12:12:00Z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XPAuthor">
    <vt:lpwstr>Sidharth Diwan</vt:lpwstr>
  </property>
  <property fmtid="{D5CDD505-2E9C-101B-9397-08002B2CF9AE}" pid="3" name="AXPDataClassification">
    <vt:lpwstr>AXP Public</vt:lpwstr>
  </property>
  <property fmtid="{D5CDD505-2E9C-101B-9397-08002B2CF9AE}" pid="4" name="AXPDataClassificationForSearch">
    <vt:lpwstr>AXPPublic_UniqueSearchString</vt:lpwstr>
  </property>
</Properties>
</file>