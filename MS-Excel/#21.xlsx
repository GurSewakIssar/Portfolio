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ECFCEBCD-DAC3-4E1E-8878-35B38FB808F4}" xr6:coauthVersionLast="47" xr6:coauthVersionMax="47" xr10:uidLastSave="{00000000-0000-0000-0000-000000000000}"/>
  <bookViews>
    <workbookView xWindow="-108" yWindow="-108" windowWidth="23256" windowHeight="12456" activeTab="4" xr2:uid="{372EE389-EA64-46B1-84BF-C360C3900DF3}"/>
  </bookViews>
  <sheets>
    <sheet name="Q1" sheetId="1" r:id="rId1"/>
    <sheet name="Q2" sheetId="2" r:id="rId2"/>
    <sheet name="Q3" sheetId="3" r:id="rId3"/>
    <sheet name="Q4" sheetId="4" r:id="rId4"/>
    <sheet name="Q5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 a="1"/>
  <c r="J13" i="4" s="1"/>
  <c r="J12" i="4"/>
  <c r="J8" i="4"/>
  <c r="D7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3" i="2"/>
  <c r="J4" i="1"/>
  <c r="I5" i="3"/>
  <c r="G5" i="3" a="1"/>
  <c r="G5" i="3" s="1"/>
  <c r="G5" i="1" a="1"/>
  <c r="G5" i="1"/>
  <c r="G6" i="1" a="1"/>
  <c r="G6" i="1" s="1"/>
  <c r="G7" i="1" a="1"/>
  <c r="G7" i="1" s="1"/>
  <c r="G8" i="1" a="1"/>
  <c r="G8" i="1"/>
  <c r="G9" i="1" a="1"/>
  <c r="G9" i="1"/>
  <c r="G10" i="1" a="1"/>
  <c r="G10" i="1" s="1"/>
  <c r="G11" i="1" a="1"/>
  <c r="G11" i="1" s="1"/>
  <c r="G12" i="1" a="1"/>
  <c r="G12" i="1" s="1"/>
  <c r="G13" i="1" a="1"/>
  <c r="G13" i="1"/>
  <c r="G14" i="1" a="1"/>
  <c r="G14" i="1"/>
  <c r="G15" i="1" a="1"/>
  <c r="G15" i="1"/>
  <c r="G4" i="1" a="1"/>
  <c r="G4" i="1" s="1"/>
  <c r="E5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3" i="2"/>
  <c r="E4" i="1"/>
  <c r="B4" i="1"/>
  <c r="C5" i="1"/>
  <c r="C6" i="1"/>
  <c r="C7" i="1"/>
  <c r="C8" i="1"/>
  <c r="C9" i="1"/>
  <c r="C10" i="1"/>
  <c r="C11" i="1"/>
  <c r="C12" i="1"/>
  <c r="C13" i="1"/>
  <c r="C14" i="1"/>
  <c r="C15" i="1"/>
  <c r="C4" i="1"/>
  <c r="D5" i="3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3" i="2"/>
  <c r="B5" i="1"/>
  <c r="B6" i="1"/>
  <c r="B7" i="1"/>
  <c r="B8" i="1"/>
  <c r="B9" i="1"/>
  <c r="B10" i="1"/>
  <c r="B11" i="1"/>
  <c r="B12" i="1"/>
  <c r="B13" i="1"/>
  <c r="B14" i="1"/>
  <c r="B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<sst xmlns="http://schemas.openxmlformats.org/spreadsheetml/2006/main" count="1850" uniqueCount="83">
  <si>
    <t>Month</t>
  </si>
  <si>
    <t>Workdays</t>
  </si>
  <si>
    <t>Q.Workdays per month</t>
  </si>
  <si>
    <t>Q. Find out missing Number</t>
  </si>
  <si>
    <t>Data</t>
  </si>
  <si>
    <t>Missing Number</t>
  </si>
  <si>
    <t>Name</t>
  </si>
  <si>
    <t>Amit</t>
  </si>
  <si>
    <t>Sumit</t>
  </si>
  <si>
    <t>Karan</t>
  </si>
  <si>
    <t>Raman</t>
  </si>
  <si>
    <t>Aakanksha</t>
  </si>
  <si>
    <t>Kanika</t>
  </si>
  <si>
    <t>Sarthak</t>
  </si>
  <si>
    <t>Jiya</t>
  </si>
  <si>
    <t>Palak</t>
  </si>
  <si>
    <t>Bharat</t>
  </si>
  <si>
    <t>Rudransh</t>
  </si>
  <si>
    <t>Position</t>
  </si>
  <si>
    <t>Q. Find the position of the mentioned students from bottom to top</t>
  </si>
  <si>
    <t>PID</t>
  </si>
  <si>
    <t>PRODUCT</t>
  </si>
  <si>
    <t>SALE AMT</t>
  </si>
  <si>
    <t>BONUS</t>
  </si>
  <si>
    <t>ADDSALES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</si>
  <si>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</si>
  <si>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</si>
  <si>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</si>
  <si>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</si>
  <si>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</si>
  <si>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</si>
  <si>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</si>
  <si>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</si>
  <si>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</si>
  <si>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</si>
  <si>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</si>
  <si>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</si>
  <si>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</si>
  <si>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</si>
  <si>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</si>
  <si>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</si>
  <si>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</si>
  <si>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</si>
  <si>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</si>
  <si>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Q. ADD THE AMOUNT BASED ON BELOW MENTIONED CRITERIA</t>
  </si>
  <si>
    <t>OrderDate</t>
  </si>
  <si>
    <t>Region</t>
  </si>
  <si>
    <t>City</t>
  </si>
  <si>
    <t>Category</t>
  </si>
  <si>
    <t>Product</t>
  </si>
  <si>
    <t>Quantity</t>
  </si>
  <si>
    <t>TotalPrice</t>
  </si>
  <si>
    <t>East</t>
  </si>
  <si>
    <t>Boston</t>
  </si>
  <si>
    <t>Cookies</t>
  </si>
  <si>
    <t>Arrowroot</t>
  </si>
  <si>
    <t>Bars</t>
  </si>
  <si>
    <t>Banana</t>
  </si>
  <si>
    <t>Bran</t>
  </si>
  <si>
    <t>Carrot</t>
  </si>
  <si>
    <t>Chocolate Chip</t>
  </si>
  <si>
    <t>Oatmeal Raisin</t>
  </si>
  <si>
    <t>Snacks</t>
  </si>
  <si>
    <t>Potato Chips</t>
  </si>
  <si>
    <t>New York</t>
  </si>
  <si>
    <t>West</t>
  </si>
  <si>
    <t>Los Angeles</t>
  </si>
  <si>
    <t>Philadelphia</t>
  </si>
  <si>
    <t>San Diego</t>
  </si>
  <si>
    <t>Crackers</t>
  </si>
  <si>
    <t>Whole Wheat</t>
  </si>
  <si>
    <t>Saltines</t>
  </si>
  <si>
    <t>Grand Total</t>
  </si>
  <si>
    <t>East Total</t>
  </si>
  <si>
    <t>West Total</t>
  </si>
  <si>
    <t>Sum of Quantity</t>
  </si>
  <si>
    <t>Q. Create a optimized Report based on data provided</t>
  </si>
  <si>
    <t>Row Labels</t>
  </si>
  <si>
    <t>Column Labels</t>
  </si>
  <si>
    <t>Total Sum of Quantity</t>
  </si>
  <si>
    <t>Total Sum of TotalPrice</t>
  </si>
  <si>
    <t>Sum of TotalPrice</t>
  </si>
  <si>
    <t>This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</si>
</sst>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1" xfId="0" applyFill="1" applyBorder="1"/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1">
    <dxf>
      <numFmt numFmtId="165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4121.581120833333" createdVersion="6" refreshedVersion="6" minRefreshableVersion="3" recordCount="437" xr:uid="{75523AE4-E88C-4FA8-97D7-7978AF03BE5E}">
  <cacheSource type="worksheet">
    <worksheetSource name="Table1"/>
  </cacheSource>
  <cacheFields count="9">
    <cacheField name="OrderDate" numFmtId="14">
      <sharedItems containsSemiMixedTypes="0" containsNonDate="0" containsDate="1" containsString="0" minDate="2014-01-02T00:00:00" maxDate="2014-03-28T00:00:00" count="14">
        <d v="2014-01-02T00:00:00"/>
        <d v="2014-01-03T00:00:00"/>
        <d v="2014-01-09T00:00:00"/>
        <d v="2014-01-16T00:00:00"/>
        <d v="2014-01-23T00:00:00"/>
        <d v="2014-01-30T00:00:00"/>
        <d v="2014-02-06T00:00:00"/>
        <d v="2014-02-13T00:00:00"/>
        <d v="2014-02-20T00:00:00"/>
        <d v="2014-02-27T00:00:00"/>
        <d v="2014-03-06T00:00:00"/>
        <d v="2014-03-13T00:00:00"/>
        <d v="2014-03-20T00:00:00"/>
        <d v="2014-03-27T00:00:00"/>
      </sharedItems>
      <fieldGroup par="8"/>
    </cacheField>
    <cacheField name="Region" numFmtId="0">
      <sharedItems count="2">
        <s v="East"/>
        <s v="West"/>
      </sharedItems>
    </cacheField>
    <cacheField name="City" numFmtId="0">
      <sharedItems count="5">
        <s v="Boston"/>
        <s v="New York"/>
        <s v="Los Angeles"/>
        <s v="Philadelphia"/>
        <s v="San Diego"/>
      </sharedItems>
    </cacheField>
    <cacheField name="Category" numFmtId="0">
      <sharedItems count="4">
        <s v="Cookies"/>
        <s v="Bars"/>
        <s v="Snacks"/>
        <s v="Crackers"/>
      </sharedItems>
    </cacheField>
    <cacheField name="Product" numFmtId="0">
      <sharedItems count="9">
        <s v="Arrowroot"/>
        <s v="Banana"/>
        <s v="Bran"/>
        <s v="Carrot"/>
        <s v="Chocolate Chip"/>
        <s v="Oatmeal Raisin"/>
        <s v="Potato Chips"/>
        <s v="Whole Wheat"/>
        <s v="Saltines"/>
      </sharedItems>
    </cacheField>
    <cacheField name="Quantity" numFmtId="0">
      <sharedItems containsSemiMixedTypes="0" containsString="0" containsNumber="1" containsInteger="1" minValue="20" maxValue="98"/>
    </cacheField>
    <cacheField name="TotalPrice" numFmtId="0">
      <sharedItems containsSemiMixedTypes="0" containsString="0" containsNumber="1" minValue="27.49" maxValue="324.57"/>
    </cacheField>
    <cacheField name="Days (OrderDate)" numFmtId="0" databaseField="0">
      <fieldGroup base="0">
        <rangePr groupBy="days" startDate="2014-01-02T00:00:00" endDate="2014-03-28T00:00:00"/>
        <groupItems count="368">
          <s v="&lt;02-01-201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03-2014"/>
        </groupItems>
      </fieldGroup>
    </cacheField>
    <cacheField name="Months (OrderDate)" numFmtId="0" databaseField="0">
      <fieldGroup base="0">
        <rangePr groupBy="months" startDate="2014-01-02T00:00:00" endDate="2014-03-28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3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x v="0"/>
    <x v="0"/>
    <x v="0"/>
    <x v="0"/>
    <x v="0"/>
    <n v="48"/>
    <n v="73.25"/>
  </r>
  <r>
    <x v="0"/>
    <x v="0"/>
    <x v="0"/>
    <x v="1"/>
    <x v="1"/>
    <n v="30"/>
    <n v="68.099999999999994"/>
  </r>
  <r>
    <x v="0"/>
    <x v="0"/>
    <x v="0"/>
    <x v="1"/>
    <x v="2"/>
    <n v="23"/>
    <n v="30.11"/>
  </r>
  <r>
    <x v="0"/>
    <x v="0"/>
    <x v="0"/>
    <x v="1"/>
    <x v="3"/>
    <n v="54"/>
    <n v="81.239999999999995"/>
  </r>
  <r>
    <x v="0"/>
    <x v="0"/>
    <x v="0"/>
    <x v="0"/>
    <x v="4"/>
    <n v="88"/>
    <n v="164.56"/>
  </r>
  <r>
    <x v="0"/>
    <x v="0"/>
    <x v="0"/>
    <x v="0"/>
    <x v="5"/>
    <n v="90"/>
    <n v="255.6"/>
  </r>
  <r>
    <x v="0"/>
    <x v="0"/>
    <x v="0"/>
    <x v="2"/>
    <x v="6"/>
    <n v="52"/>
    <n v="87.36"/>
  </r>
  <r>
    <x v="0"/>
    <x v="0"/>
    <x v="1"/>
    <x v="1"/>
    <x v="3"/>
    <n v="31"/>
    <n v="46.64"/>
  </r>
  <r>
    <x v="0"/>
    <x v="1"/>
    <x v="2"/>
    <x v="1"/>
    <x v="3"/>
    <n v="24"/>
    <n v="36.11"/>
  </r>
  <r>
    <x v="0"/>
    <x v="1"/>
    <x v="2"/>
    <x v="1"/>
    <x v="3"/>
    <n v="34"/>
    <n v="51.15"/>
  </r>
  <r>
    <x v="0"/>
    <x v="1"/>
    <x v="2"/>
    <x v="0"/>
    <x v="4"/>
    <n v="27"/>
    <n v="50.49"/>
  </r>
  <r>
    <x v="0"/>
    <x v="1"/>
    <x v="2"/>
    <x v="0"/>
    <x v="5"/>
    <n v="61"/>
    <n v="173.24"/>
  </r>
  <r>
    <x v="0"/>
    <x v="0"/>
    <x v="3"/>
    <x v="1"/>
    <x v="3"/>
    <n v="38"/>
    <n v="57.17"/>
  </r>
  <r>
    <x v="0"/>
    <x v="0"/>
    <x v="3"/>
    <x v="1"/>
    <x v="3"/>
    <n v="42"/>
    <n v="63.19"/>
  </r>
  <r>
    <x v="0"/>
    <x v="0"/>
    <x v="3"/>
    <x v="0"/>
    <x v="4"/>
    <n v="28"/>
    <n v="52.36"/>
  </r>
  <r>
    <x v="0"/>
    <x v="0"/>
    <x v="3"/>
    <x v="0"/>
    <x v="5"/>
    <n v="50"/>
    <n v="142"/>
  </r>
  <r>
    <x v="0"/>
    <x v="0"/>
    <x v="1"/>
    <x v="0"/>
    <x v="0"/>
    <n v="20"/>
    <n v="30.52"/>
  </r>
  <r>
    <x v="0"/>
    <x v="0"/>
    <x v="1"/>
    <x v="1"/>
    <x v="3"/>
    <n v="58"/>
    <n v="87.26"/>
  </r>
  <r>
    <x v="0"/>
    <x v="0"/>
    <x v="1"/>
    <x v="1"/>
    <x v="3"/>
    <n v="25"/>
    <n v="37.61"/>
  </r>
  <r>
    <x v="0"/>
    <x v="0"/>
    <x v="1"/>
    <x v="0"/>
    <x v="4"/>
    <n v="21"/>
    <n v="39.270000000000003"/>
  </r>
  <r>
    <x v="0"/>
    <x v="0"/>
    <x v="1"/>
    <x v="0"/>
    <x v="5"/>
    <n v="33"/>
    <n v="93.72"/>
  </r>
  <r>
    <x v="1"/>
    <x v="0"/>
    <x v="0"/>
    <x v="1"/>
    <x v="3"/>
    <n v="39"/>
    <n v="69.03"/>
  </r>
  <r>
    <x v="1"/>
    <x v="0"/>
    <x v="0"/>
    <x v="0"/>
    <x v="4"/>
    <n v="59"/>
    <n v="110.33"/>
  </r>
  <r>
    <x v="1"/>
    <x v="1"/>
    <x v="4"/>
    <x v="0"/>
    <x v="4"/>
    <n v="28"/>
    <n v="52.36"/>
  </r>
  <r>
    <x v="2"/>
    <x v="0"/>
    <x v="0"/>
    <x v="0"/>
    <x v="0"/>
    <n v="63"/>
    <n v="96.14"/>
  </r>
  <r>
    <x v="2"/>
    <x v="0"/>
    <x v="0"/>
    <x v="1"/>
    <x v="2"/>
    <n v="35"/>
    <n v="45.81"/>
  </r>
  <r>
    <x v="2"/>
    <x v="0"/>
    <x v="0"/>
    <x v="1"/>
    <x v="3"/>
    <n v="35"/>
    <n v="52.66"/>
  </r>
  <r>
    <x v="2"/>
    <x v="0"/>
    <x v="0"/>
    <x v="1"/>
    <x v="3"/>
    <n v="48"/>
    <n v="72.22"/>
  </r>
  <r>
    <x v="2"/>
    <x v="0"/>
    <x v="0"/>
    <x v="0"/>
    <x v="4"/>
    <n v="74"/>
    <n v="138.38"/>
  </r>
  <r>
    <x v="2"/>
    <x v="0"/>
    <x v="0"/>
    <x v="0"/>
    <x v="5"/>
    <n v="78"/>
    <n v="221.52"/>
  </r>
  <r>
    <x v="2"/>
    <x v="0"/>
    <x v="0"/>
    <x v="2"/>
    <x v="6"/>
    <n v="38"/>
    <n v="63.84"/>
  </r>
  <r>
    <x v="2"/>
    <x v="0"/>
    <x v="1"/>
    <x v="1"/>
    <x v="3"/>
    <n v="33"/>
    <n v="49.65"/>
  </r>
  <r>
    <x v="2"/>
    <x v="1"/>
    <x v="2"/>
    <x v="0"/>
    <x v="0"/>
    <n v="35"/>
    <n v="53.41"/>
  </r>
  <r>
    <x v="2"/>
    <x v="1"/>
    <x v="2"/>
    <x v="1"/>
    <x v="3"/>
    <n v="39"/>
    <n v="58.68"/>
  </r>
  <r>
    <x v="2"/>
    <x v="1"/>
    <x v="2"/>
    <x v="1"/>
    <x v="3"/>
    <n v="49"/>
    <n v="73.72"/>
  </r>
  <r>
    <x v="2"/>
    <x v="1"/>
    <x v="2"/>
    <x v="0"/>
    <x v="4"/>
    <n v="23"/>
    <n v="43.01"/>
  </r>
  <r>
    <x v="2"/>
    <x v="1"/>
    <x v="2"/>
    <x v="0"/>
    <x v="5"/>
    <n v="47"/>
    <n v="133.47999999999999"/>
  </r>
  <r>
    <x v="2"/>
    <x v="0"/>
    <x v="3"/>
    <x v="0"/>
    <x v="0"/>
    <n v="27"/>
    <n v="41.2"/>
  </r>
  <r>
    <x v="2"/>
    <x v="0"/>
    <x v="3"/>
    <x v="1"/>
    <x v="2"/>
    <n v="22"/>
    <n v="28.8"/>
  </r>
  <r>
    <x v="2"/>
    <x v="0"/>
    <x v="3"/>
    <x v="1"/>
    <x v="3"/>
    <n v="28"/>
    <n v="42.13"/>
  </r>
  <r>
    <x v="2"/>
    <x v="0"/>
    <x v="3"/>
    <x v="1"/>
    <x v="3"/>
    <n v="56"/>
    <n v="84.25"/>
  </r>
  <r>
    <x v="2"/>
    <x v="0"/>
    <x v="3"/>
    <x v="0"/>
    <x v="4"/>
    <n v="26"/>
    <n v="48.62"/>
  </r>
  <r>
    <x v="2"/>
    <x v="0"/>
    <x v="3"/>
    <x v="0"/>
    <x v="5"/>
    <n v="45"/>
    <n v="127.8"/>
  </r>
  <r>
    <x v="2"/>
    <x v="0"/>
    <x v="3"/>
    <x v="2"/>
    <x v="6"/>
    <n v="21"/>
    <n v="35.28"/>
  </r>
  <r>
    <x v="2"/>
    <x v="0"/>
    <x v="1"/>
    <x v="0"/>
    <x v="0"/>
    <n v="28"/>
    <n v="42.73"/>
  </r>
  <r>
    <x v="2"/>
    <x v="0"/>
    <x v="1"/>
    <x v="1"/>
    <x v="2"/>
    <n v="24"/>
    <n v="31.42"/>
  </r>
  <r>
    <x v="2"/>
    <x v="0"/>
    <x v="1"/>
    <x v="1"/>
    <x v="3"/>
    <n v="61"/>
    <n v="91.77"/>
  </r>
  <r>
    <x v="2"/>
    <x v="0"/>
    <x v="1"/>
    <x v="1"/>
    <x v="3"/>
    <n v="41"/>
    <n v="61.68"/>
  </r>
  <r>
    <x v="2"/>
    <x v="0"/>
    <x v="1"/>
    <x v="0"/>
    <x v="5"/>
    <n v="37"/>
    <n v="105.08"/>
  </r>
  <r>
    <x v="3"/>
    <x v="0"/>
    <x v="0"/>
    <x v="0"/>
    <x v="0"/>
    <n v="37"/>
    <n v="56.46"/>
  </r>
  <r>
    <x v="3"/>
    <x v="0"/>
    <x v="0"/>
    <x v="1"/>
    <x v="1"/>
    <n v="21"/>
    <n v="47.67"/>
  </r>
  <r>
    <x v="3"/>
    <x v="0"/>
    <x v="0"/>
    <x v="1"/>
    <x v="2"/>
    <n v="34"/>
    <n v="44.51"/>
  </r>
  <r>
    <x v="3"/>
    <x v="0"/>
    <x v="0"/>
    <x v="1"/>
    <x v="3"/>
    <n v="21"/>
    <n v="31.59"/>
  </r>
  <r>
    <x v="3"/>
    <x v="0"/>
    <x v="0"/>
    <x v="1"/>
    <x v="3"/>
    <n v="60"/>
    <n v="90.27"/>
  </r>
  <r>
    <x v="3"/>
    <x v="0"/>
    <x v="0"/>
    <x v="0"/>
    <x v="4"/>
    <n v="45"/>
    <n v="84.15"/>
  </r>
  <r>
    <x v="3"/>
    <x v="0"/>
    <x v="0"/>
    <x v="0"/>
    <x v="5"/>
    <n v="70"/>
    <n v="198.8"/>
  </r>
  <r>
    <x v="3"/>
    <x v="0"/>
    <x v="0"/>
    <x v="2"/>
    <x v="6"/>
    <n v="37"/>
    <n v="62.16"/>
  </r>
  <r>
    <x v="3"/>
    <x v="0"/>
    <x v="0"/>
    <x v="3"/>
    <x v="7"/>
    <n v="26"/>
    <n v="77.13"/>
  </r>
  <r>
    <x v="3"/>
    <x v="0"/>
    <x v="1"/>
    <x v="1"/>
    <x v="2"/>
    <n v="27"/>
    <n v="35.340000000000003"/>
  </r>
  <r>
    <x v="3"/>
    <x v="0"/>
    <x v="1"/>
    <x v="1"/>
    <x v="3"/>
    <n v="51"/>
    <n v="76.73"/>
  </r>
  <r>
    <x v="3"/>
    <x v="0"/>
    <x v="1"/>
    <x v="2"/>
    <x v="6"/>
    <n v="21"/>
    <n v="35.28"/>
  </r>
  <r>
    <x v="3"/>
    <x v="1"/>
    <x v="2"/>
    <x v="0"/>
    <x v="0"/>
    <n v="23"/>
    <n v="35.1"/>
  </r>
  <r>
    <x v="3"/>
    <x v="1"/>
    <x v="2"/>
    <x v="1"/>
    <x v="3"/>
    <n v="51"/>
    <n v="76.73"/>
  </r>
  <r>
    <x v="3"/>
    <x v="1"/>
    <x v="2"/>
    <x v="1"/>
    <x v="3"/>
    <n v="37"/>
    <n v="55.67"/>
  </r>
  <r>
    <x v="3"/>
    <x v="1"/>
    <x v="2"/>
    <x v="0"/>
    <x v="4"/>
    <n v="33"/>
    <n v="61.71"/>
  </r>
  <r>
    <x v="3"/>
    <x v="1"/>
    <x v="2"/>
    <x v="0"/>
    <x v="5"/>
    <n v="37"/>
    <n v="105.08"/>
  </r>
  <r>
    <x v="3"/>
    <x v="0"/>
    <x v="3"/>
    <x v="0"/>
    <x v="0"/>
    <n v="33"/>
    <n v="50.36"/>
  </r>
  <r>
    <x v="3"/>
    <x v="0"/>
    <x v="3"/>
    <x v="1"/>
    <x v="2"/>
    <n v="32"/>
    <n v="41.89"/>
  </r>
  <r>
    <x v="3"/>
    <x v="0"/>
    <x v="3"/>
    <x v="1"/>
    <x v="3"/>
    <n v="46"/>
    <n v="69.209999999999994"/>
  </r>
  <r>
    <x v="3"/>
    <x v="0"/>
    <x v="3"/>
    <x v="1"/>
    <x v="3"/>
    <n v="74"/>
    <n v="111.33"/>
  </r>
  <r>
    <x v="3"/>
    <x v="0"/>
    <x v="3"/>
    <x v="0"/>
    <x v="4"/>
    <n v="36"/>
    <n v="67.319999999999993"/>
  </r>
  <r>
    <x v="3"/>
    <x v="0"/>
    <x v="3"/>
    <x v="0"/>
    <x v="5"/>
    <n v="61"/>
    <n v="173.24"/>
  </r>
  <r>
    <x v="3"/>
    <x v="0"/>
    <x v="3"/>
    <x v="2"/>
    <x v="6"/>
    <n v="20"/>
    <n v="33.6"/>
  </r>
  <r>
    <x v="3"/>
    <x v="0"/>
    <x v="1"/>
    <x v="0"/>
    <x v="0"/>
    <n v="30"/>
    <n v="45.78"/>
  </r>
  <r>
    <x v="3"/>
    <x v="0"/>
    <x v="1"/>
    <x v="1"/>
    <x v="2"/>
    <n v="28"/>
    <n v="36.65"/>
  </r>
  <r>
    <x v="3"/>
    <x v="0"/>
    <x v="1"/>
    <x v="1"/>
    <x v="3"/>
    <n v="43"/>
    <n v="64.69"/>
  </r>
  <r>
    <x v="3"/>
    <x v="0"/>
    <x v="1"/>
    <x v="1"/>
    <x v="3"/>
    <n v="50"/>
    <n v="75.22"/>
  </r>
  <r>
    <x v="3"/>
    <x v="0"/>
    <x v="1"/>
    <x v="0"/>
    <x v="4"/>
    <n v="23"/>
    <n v="43.01"/>
  </r>
  <r>
    <x v="3"/>
    <x v="0"/>
    <x v="1"/>
    <x v="0"/>
    <x v="5"/>
    <n v="45"/>
    <n v="127.8"/>
  </r>
  <r>
    <x v="3"/>
    <x v="1"/>
    <x v="4"/>
    <x v="1"/>
    <x v="3"/>
    <n v="31"/>
    <n v="46.64"/>
  </r>
  <r>
    <x v="3"/>
    <x v="1"/>
    <x v="4"/>
    <x v="0"/>
    <x v="5"/>
    <n v="25"/>
    <n v="71"/>
  </r>
  <r>
    <x v="4"/>
    <x v="0"/>
    <x v="0"/>
    <x v="0"/>
    <x v="0"/>
    <n v="27"/>
    <n v="41.2"/>
  </r>
  <r>
    <x v="4"/>
    <x v="0"/>
    <x v="0"/>
    <x v="0"/>
    <x v="0"/>
    <n v="57"/>
    <n v="86.98"/>
  </r>
  <r>
    <x v="4"/>
    <x v="0"/>
    <x v="0"/>
    <x v="1"/>
    <x v="2"/>
    <n v="21"/>
    <n v="27.49"/>
  </r>
  <r>
    <x v="4"/>
    <x v="0"/>
    <x v="0"/>
    <x v="1"/>
    <x v="3"/>
    <n v="40"/>
    <n v="60.18"/>
  </r>
  <r>
    <x v="4"/>
    <x v="0"/>
    <x v="0"/>
    <x v="0"/>
    <x v="4"/>
    <n v="36"/>
    <n v="67.319999999999993"/>
  </r>
  <r>
    <x v="4"/>
    <x v="0"/>
    <x v="0"/>
    <x v="0"/>
    <x v="5"/>
    <n v="78"/>
    <n v="221.52"/>
  </r>
  <r>
    <x v="4"/>
    <x v="0"/>
    <x v="0"/>
    <x v="2"/>
    <x v="6"/>
    <n v="29"/>
    <n v="48.72"/>
  </r>
  <r>
    <x v="4"/>
    <x v="0"/>
    <x v="0"/>
    <x v="3"/>
    <x v="7"/>
    <n v="26"/>
    <n v="77.13"/>
  </r>
  <r>
    <x v="4"/>
    <x v="0"/>
    <x v="1"/>
    <x v="1"/>
    <x v="2"/>
    <n v="27"/>
    <n v="35.340000000000003"/>
  </r>
  <r>
    <x v="4"/>
    <x v="0"/>
    <x v="1"/>
    <x v="1"/>
    <x v="3"/>
    <n v="59"/>
    <n v="88.77"/>
  </r>
  <r>
    <x v="4"/>
    <x v="0"/>
    <x v="1"/>
    <x v="0"/>
    <x v="4"/>
    <n v="20"/>
    <n v="37.4"/>
  </r>
  <r>
    <x v="4"/>
    <x v="0"/>
    <x v="1"/>
    <x v="0"/>
    <x v="5"/>
    <n v="21"/>
    <n v="59.64"/>
  </r>
  <r>
    <x v="4"/>
    <x v="0"/>
    <x v="1"/>
    <x v="2"/>
    <x v="6"/>
    <n v="36"/>
    <n v="60.48"/>
  </r>
  <r>
    <x v="4"/>
    <x v="1"/>
    <x v="2"/>
    <x v="0"/>
    <x v="0"/>
    <n v="35"/>
    <n v="53.41"/>
  </r>
  <r>
    <x v="4"/>
    <x v="1"/>
    <x v="2"/>
    <x v="1"/>
    <x v="3"/>
    <n v="54"/>
    <n v="81.239999999999995"/>
  </r>
  <r>
    <x v="4"/>
    <x v="1"/>
    <x v="2"/>
    <x v="1"/>
    <x v="3"/>
    <n v="42"/>
    <n v="63.19"/>
  </r>
  <r>
    <x v="4"/>
    <x v="1"/>
    <x v="2"/>
    <x v="0"/>
    <x v="4"/>
    <n v="40"/>
    <n v="74.8"/>
  </r>
  <r>
    <x v="4"/>
    <x v="1"/>
    <x v="2"/>
    <x v="0"/>
    <x v="5"/>
    <n v="47"/>
    <n v="133.47999999999999"/>
  </r>
  <r>
    <x v="4"/>
    <x v="1"/>
    <x v="2"/>
    <x v="2"/>
    <x v="6"/>
    <n v="20"/>
    <n v="33.6"/>
  </r>
  <r>
    <x v="4"/>
    <x v="0"/>
    <x v="3"/>
    <x v="0"/>
    <x v="0"/>
    <n v="22"/>
    <n v="33.57"/>
  </r>
  <r>
    <x v="4"/>
    <x v="0"/>
    <x v="3"/>
    <x v="1"/>
    <x v="2"/>
    <n v="24"/>
    <n v="31.42"/>
  </r>
  <r>
    <x v="4"/>
    <x v="0"/>
    <x v="3"/>
    <x v="1"/>
    <x v="3"/>
    <n v="40"/>
    <n v="60.18"/>
  </r>
  <r>
    <x v="4"/>
    <x v="0"/>
    <x v="3"/>
    <x v="1"/>
    <x v="3"/>
    <n v="56"/>
    <n v="84.25"/>
  </r>
  <r>
    <x v="4"/>
    <x v="0"/>
    <x v="3"/>
    <x v="0"/>
    <x v="5"/>
    <n v="40"/>
    <n v="113.6"/>
  </r>
  <r>
    <x v="4"/>
    <x v="0"/>
    <x v="3"/>
    <x v="3"/>
    <x v="7"/>
    <n v="22"/>
    <n v="65.260000000000005"/>
  </r>
  <r>
    <x v="4"/>
    <x v="0"/>
    <x v="1"/>
    <x v="0"/>
    <x v="0"/>
    <n v="40"/>
    <n v="61.04"/>
  </r>
  <r>
    <x v="4"/>
    <x v="0"/>
    <x v="1"/>
    <x v="1"/>
    <x v="2"/>
    <n v="32"/>
    <n v="41.89"/>
  </r>
  <r>
    <x v="4"/>
    <x v="0"/>
    <x v="1"/>
    <x v="1"/>
    <x v="3"/>
    <n v="49"/>
    <n v="73.72"/>
  </r>
  <r>
    <x v="4"/>
    <x v="0"/>
    <x v="1"/>
    <x v="1"/>
    <x v="3"/>
    <n v="69"/>
    <n v="103.81"/>
  </r>
  <r>
    <x v="4"/>
    <x v="0"/>
    <x v="1"/>
    <x v="0"/>
    <x v="4"/>
    <n v="20"/>
    <n v="37.4"/>
  </r>
  <r>
    <x v="4"/>
    <x v="0"/>
    <x v="1"/>
    <x v="0"/>
    <x v="5"/>
    <n v="31"/>
    <n v="88.04"/>
  </r>
  <r>
    <x v="4"/>
    <x v="1"/>
    <x v="4"/>
    <x v="1"/>
    <x v="3"/>
    <n v="21"/>
    <n v="31.59"/>
  </r>
  <r>
    <x v="4"/>
    <x v="1"/>
    <x v="4"/>
    <x v="0"/>
    <x v="4"/>
    <n v="21"/>
    <n v="39.270000000000003"/>
  </r>
  <r>
    <x v="4"/>
    <x v="1"/>
    <x v="4"/>
    <x v="0"/>
    <x v="5"/>
    <n v="22"/>
    <n v="62.48"/>
  </r>
  <r>
    <x v="5"/>
    <x v="0"/>
    <x v="0"/>
    <x v="0"/>
    <x v="0"/>
    <n v="92"/>
    <n v="140.38999999999999"/>
  </r>
  <r>
    <x v="5"/>
    <x v="0"/>
    <x v="0"/>
    <x v="1"/>
    <x v="2"/>
    <n v="73"/>
    <n v="95.56"/>
  </r>
  <r>
    <x v="5"/>
    <x v="0"/>
    <x v="0"/>
    <x v="1"/>
    <x v="3"/>
    <n v="24"/>
    <n v="36.11"/>
  </r>
  <r>
    <x v="5"/>
    <x v="0"/>
    <x v="0"/>
    <x v="1"/>
    <x v="3"/>
    <n v="94"/>
    <n v="141.41999999999999"/>
  </r>
  <r>
    <x v="5"/>
    <x v="0"/>
    <x v="0"/>
    <x v="0"/>
    <x v="4"/>
    <n v="86"/>
    <n v="160.82"/>
  </r>
  <r>
    <x v="5"/>
    <x v="0"/>
    <x v="0"/>
    <x v="2"/>
    <x v="6"/>
    <n v="65"/>
    <n v="109.2"/>
  </r>
  <r>
    <x v="5"/>
    <x v="0"/>
    <x v="1"/>
    <x v="1"/>
    <x v="2"/>
    <n v="39"/>
    <n v="51.05"/>
  </r>
  <r>
    <x v="5"/>
    <x v="0"/>
    <x v="1"/>
    <x v="1"/>
    <x v="3"/>
    <n v="44"/>
    <n v="66.2"/>
  </r>
  <r>
    <x v="5"/>
    <x v="0"/>
    <x v="1"/>
    <x v="0"/>
    <x v="5"/>
    <n v="21"/>
    <n v="59.64"/>
  </r>
  <r>
    <x v="5"/>
    <x v="0"/>
    <x v="1"/>
    <x v="2"/>
    <x v="6"/>
    <n v="23"/>
    <n v="38.64"/>
  </r>
  <r>
    <x v="5"/>
    <x v="1"/>
    <x v="2"/>
    <x v="0"/>
    <x v="0"/>
    <n v="29"/>
    <n v="44.25"/>
  </r>
  <r>
    <x v="5"/>
    <x v="1"/>
    <x v="2"/>
    <x v="1"/>
    <x v="3"/>
    <n v="36"/>
    <n v="54.16"/>
  </r>
  <r>
    <x v="5"/>
    <x v="1"/>
    <x v="2"/>
    <x v="1"/>
    <x v="3"/>
    <n v="46"/>
    <n v="69.209999999999994"/>
  </r>
  <r>
    <x v="5"/>
    <x v="1"/>
    <x v="2"/>
    <x v="0"/>
    <x v="4"/>
    <n v="41"/>
    <n v="76.67"/>
  </r>
  <r>
    <x v="5"/>
    <x v="1"/>
    <x v="2"/>
    <x v="0"/>
    <x v="5"/>
    <n v="59"/>
    <n v="167.56"/>
  </r>
  <r>
    <x v="5"/>
    <x v="0"/>
    <x v="3"/>
    <x v="0"/>
    <x v="0"/>
    <n v="29"/>
    <n v="44.25"/>
  </r>
  <r>
    <x v="5"/>
    <x v="0"/>
    <x v="3"/>
    <x v="1"/>
    <x v="2"/>
    <n v="27"/>
    <n v="35.340000000000003"/>
  </r>
  <r>
    <x v="5"/>
    <x v="0"/>
    <x v="3"/>
    <x v="1"/>
    <x v="3"/>
    <n v="47"/>
    <n v="70.709999999999994"/>
  </r>
  <r>
    <x v="5"/>
    <x v="0"/>
    <x v="3"/>
    <x v="1"/>
    <x v="3"/>
    <n v="58"/>
    <n v="87.26"/>
  </r>
  <r>
    <x v="5"/>
    <x v="0"/>
    <x v="3"/>
    <x v="0"/>
    <x v="5"/>
    <n v="48"/>
    <n v="136.32"/>
  </r>
  <r>
    <x v="5"/>
    <x v="0"/>
    <x v="3"/>
    <x v="2"/>
    <x v="6"/>
    <n v="29"/>
    <n v="48.72"/>
  </r>
  <r>
    <x v="5"/>
    <x v="0"/>
    <x v="1"/>
    <x v="0"/>
    <x v="0"/>
    <n v="39"/>
    <n v="59.51"/>
  </r>
  <r>
    <x v="5"/>
    <x v="0"/>
    <x v="1"/>
    <x v="1"/>
    <x v="2"/>
    <n v="31"/>
    <n v="40.58"/>
  </r>
  <r>
    <x v="5"/>
    <x v="0"/>
    <x v="1"/>
    <x v="1"/>
    <x v="3"/>
    <n v="35"/>
    <n v="52.66"/>
  </r>
  <r>
    <x v="5"/>
    <x v="0"/>
    <x v="1"/>
    <x v="1"/>
    <x v="3"/>
    <n v="40"/>
    <n v="60.18"/>
  </r>
  <r>
    <x v="5"/>
    <x v="0"/>
    <x v="1"/>
    <x v="0"/>
    <x v="4"/>
    <n v="32"/>
    <n v="59.84"/>
  </r>
  <r>
    <x v="5"/>
    <x v="0"/>
    <x v="1"/>
    <x v="0"/>
    <x v="5"/>
    <n v="30"/>
    <n v="85.2"/>
  </r>
  <r>
    <x v="5"/>
    <x v="0"/>
    <x v="1"/>
    <x v="2"/>
    <x v="6"/>
    <n v="23"/>
    <n v="38.64"/>
  </r>
  <r>
    <x v="5"/>
    <x v="1"/>
    <x v="4"/>
    <x v="1"/>
    <x v="3"/>
    <n v="38"/>
    <n v="57.17"/>
  </r>
  <r>
    <x v="5"/>
    <x v="1"/>
    <x v="4"/>
    <x v="0"/>
    <x v="5"/>
    <n v="25"/>
    <n v="71"/>
  </r>
  <r>
    <x v="6"/>
    <x v="0"/>
    <x v="0"/>
    <x v="0"/>
    <x v="0"/>
    <n v="76"/>
    <n v="165.68"/>
  </r>
  <r>
    <x v="6"/>
    <x v="0"/>
    <x v="0"/>
    <x v="0"/>
    <x v="0"/>
    <n v="24"/>
    <n v="52.32"/>
  </r>
  <r>
    <x v="6"/>
    <x v="0"/>
    <x v="0"/>
    <x v="1"/>
    <x v="1"/>
    <n v="24"/>
    <n v="54.48"/>
  </r>
  <r>
    <x v="6"/>
    <x v="0"/>
    <x v="0"/>
    <x v="1"/>
    <x v="2"/>
    <n v="55"/>
    <n v="102.85"/>
  </r>
  <r>
    <x v="6"/>
    <x v="0"/>
    <x v="0"/>
    <x v="1"/>
    <x v="3"/>
    <n v="59"/>
    <n v="104.43"/>
  </r>
  <r>
    <x v="6"/>
    <x v="0"/>
    <x v="0"/>
    <x v="0"/>
    <x v="4"/>
    <n v="94"/>
    <n v="175.78"/>
  </r>
  <r>
    <x v="6"/>
    <x v="0"/>
    <x v="0"/>
    <x v="0"/>
    <x v="5"/>
    <n v="87"/>
    <n v="247.08"/>
  </r>
  <r>
    <x v="6"/>
    <x v="0"/>
    <x v="0"/>
    <x v="2"/>
    <x v="6"/>
    <n v="42"/>
    <n v="70.56"/>
  </r>
  <r>
    <x v="6"/>
    <x v="0"/>
    <x v="1"/>
    <x v="1"/>
    <x v="2"/>
    <n v="43"/>
    <n v="80.41"/>
  </r>
  <r>
    <x v="6"/>
    <x v="0"/>
    <x v="1"/>
    <x v="1"/>
    <x v="3"/>
    <n v="40"/>
    <n v="70.8"/>
  </r>
  <r>
    <x v="6"/>
    <x v="0"/>
    <x v="1"/>
    <x v="0"/>
    <x v="5"/>
    <n v="24"/>
    <n v="68.16"/>
  </r>
  <r>
    <x v="6"/>
    <x v="0"/>
    <x v="1"/>
    <x v="2"/>
    <x v="6"/>
    <n v="36"/>
    <n v="60.48"/>
  </r>
  <r>
    <x v="6"/>
    <x v="1"/>
    <x v="2"/>
    <x v="0"/>
    <x v="0"/>
    <n v="48"/>
    <n v="104.64"/>
  </r>
  <r>
    <x v="6"/>
    <x v="1"/>
    <x v="2"/>
    <x v="1"/>
    <x v="2"/>
    <n v="31"/>
    <n v="57.97"/>
  </r>
  <r>
    <x v="6"/>
    <x v="1"/>
    <x v="2"/>
    <x v="1"/>
    <x v="3"/>
    <n v="41"/>
    <n v="72.569999999999993"/>
  </r>
  <r>
    <x v="6"/>
    <x v="1"/>
    <x v="2"/>
    <x v="1"/>
    <x v="3"/>
    <n v="41"/>
    <n v="72.569999999999993"/>
  </r>
  <r>
    <x v="6"/>
    <x v="1"/>
    <x v="2"/>
    <x v="0"/>
    <x v="4"/>
    <n v="44"/>
    <n v="82.28"/>
  </r>
  <r>
    <x v="6"/>
    <x v="1"/>
    <x v="2"/>
    <x v="0"/>
    <x v="5"/>
    <n v="71"/>
    <n v="201.64"/>
  </r>
  <r>
    <x v="6"/>
    <x v="0"/>
    <x v="3"/>
    <x v="0"/>
    <x v="0"/>
    <n v="31"/>
    <n v="67.58"/>
  </r>
  <r>
    <x v="6"/>
    <x v="0"/>
    <x v="3"/>
    <x v="1"/>
    <x v="2"/>
    <n v="26"/>
    <n v="48.62"/>
  </r>
  <r>
    <x v="6"/>
    <x v="0"/>
    <x v="3"/>
    <x v="1"/>
    <x v="3"/>
    <n v="60"/>
    <n v="106.2"/>
  </r>
  <r>
    <x v="6"/>
    <x v="0"/>
    <x v="3"/>
    <x v="1"/>
    <x v="3"/>
    <n v="89"/>
    <n v="157.53"/>
  </r>
  <r>
    <x v="6"/>
    <x v="0"/>
    <x v="3"/>
    <x v="0"/>
    <x v="4"/>
    <n v="24"/>
    <n v="44.88"/>
  </r>
  <r>
    <x v="6"/>
    <x v="0"/>
    <x v="3"/>
    <x v="0"/>
    <x v="5"/>
    <n v="68"/>
    <n v="193.12"/>
  </r>
  <r>
    <x v="6"/>
    <x v="0"/>
    <x v="3"/>
    <x v="2"/>
    <x v="6"/>
    <n v="22"/>
    <n v="36.96"/>
  </r>
  <r>
    <x v="6"/>
    <x v="0"/>
    <x v="3"/>
    <x v="3"/>
    <x v="8"/>
    <n v="23"/>
    <n v="50.37"/>
  </r>
  <r>
    <x v="6"/>
    <x v="0"/>
    <x v="3"/>
    <x v="3"/>
    <x v="7"/>
    <n v="23"/>
    <n v="80.27"/>
  </r>
  <r>
    <x v="6"/>
    <x v="0"/>
    <x v="1"/>
    <x v="0"/>
    <x v="0"/>
    <n v="30"/>
    <n v="65.400000000000006"/>
  </r>
  <r>
    <x v="6"/>
    <x v="0"/>
    <x v="1"/>
    <x v="1"/>
    <x v="2"/>
    <n v="38"/>
    <n v="71.06"/>
  </r>
  <r>
    <x v="6"/>
    <x v="0"/>
    <x v="1"/>
    <x v="1"/>
    <x v="3"/>
    <n v="72"/>
    <n v="127.44"/>
  </r>
  <r>
    <x v="6"/>
    <x v="0"/>
    <x v="1"/>
    <x v="1"/>
    <x v="3"/>
    <n v="48"/>
    <n v="84.96"/>
  </r>
  <r>
    <x v="6"/>
    <x v="0"/>
    <x v="1"/>
    <x v="0"/>
    <x v="5"/>
    <n v="41"/>
    <n v="116.44"/>
  </r>
  <r>
    <x v="6"/>
    <x v="1"/>
    <x v="4"/>
    <x v="0"/>
    <x v="0"/>
    <n v="21"/>
    <n v="45.78"/>
  </r>
  <r>
    <x v="6"/>
    <x v="1"/>
    <x v="4"/>
    <x v="1"/>
    <x v="1"/>
    <n v="29"/>
    <n v="65.83"/>
  </r>
  <r>
    <x v="6"/>
    <x v="1"/>
    <x v="4"/>
    <x v="1"/>
    <x v="3"/>
    <n v="27"/>
    <n v="47.79"/>
  </r>
  <r>
    <x v="6"/>
    <x v="1"/>
    <x v="4"/>
    <x v="0"/>
    <x v="5"/>
    <n v="20"/>
    <n v="56.8"/>
  </r>
  <r>
    <x v="7"/>
    <x v="0"/>
    <x v="0"/>
    <x v="0"/>
    <x v="0"/>
    <n v="43"/>
    <n v="93.74"/>
  </r>
  <r>
    <x v="7"/>
    <x v="0"/>
    <x v="0"/>
    <x v="1"/>
    <x v="2"/>
    <n v="32"/>
    <n v="59.84"/>
  </r>
  <r>
    <x v="7"/>
    <x v="0"/>
    <x v="0"/>
    <x v="1"/>
    <x v="3"/>
    <n v="34"/>
    <n v="60.18"/>
  </r>
  <r>
    <x v="7"/>
    <x v="0"/>
    <x v="0"/>
    <x v="1"/>
    <x v="3"/>
    <n v="26"/>
    <n v="46.02"/>
  </r>
  <r>
    <x v="7"/>
    <x v="0"/>
    <x v="0"/>
    <x v="0"/>
    <x v="4"/>
    <n v="25"/>
    <n v="46.75"/>
  </r>
  <r>
    <x v="7"/>
    <x v="0"/>
    <x v="0"/>
    <x v="0"/>
    <x v="5"/>
    <n v="53"/>
    <n v="150.52000000000001"/>
  </r>
  <r>
    <x v="7"/>
    <x v="0"/>
    <x v="0"/>
    <x v="2"/>
    <x v="6"/>
    <n v="25"/>
    <n v="42"/>
  </r>
  <r>
    <x v="7"/>
    <x v="0"/>
    <x v="0"/>
    <x v="3"/>
    <x v="7"/>
    <n v="22"/>
    <n v="76.78"/>
  </r>
  <r>
    <x v="7"/>
    <x v="0"/>
    <x v="0"/>
    <x v="3"/>
    <x v="7"/>
    <n v="34"/>
    <n v="118.66"/>
  </r>
  <r>
    <x v="7"/>
    <x v="0"/>
    <x v="1"/>
    <x v="0"/>
    <x v="0"/>
    <n v="29"/>
    <n v="63.22"/>
  </r>
  <r>
    <x v="7"/>
    <x v="0"/>
    <x v="1"/>
    <x v="1"/>
    <x v="2"/>
    <n v="26"/>
    <n v="48.62"/>
  </r>
  <r>
    <x v="7"/>
    <x v="0"/>
    <x v="1"/>
    <x v="0"/>
    <x v="4"/>
    <n v="22"/>
    <n v="41.14"/>
  </r>
  <r>
    <x v="7"/>
    <x v="0"/>
    <x v="1"/>
    <x v="2"/>
    <x v="6"/>
    <n v="25"/>
    <n v="42"/>
  </r>
  <r>
    <x v="7"/>
    <x v="1"/>
    <x v="2"/>
    <x v="1"/>
    <x v="3"/>
    <n v="53"/>
    <n v="93.81"/>
  </r>
  <r>
    <x v="7"/>
    <x v="1"/>
    <x v="2"/>
    <x v="0"/>
    <x v="4"/>
    <n v="31"/>
    <n v="57.97"/>
  </r>
  <r>
    <x v="7"/>
    <x v="1"/>
    <x v="2"/>
    <x v="0"/>
    <x v="5"/>
    <n v="65"/>
    <n v="184.6"/>
  </r>
  <r>
    <x v="7"/>
    <x v="0"/>
    <x v="3"/>
    <x v="0"/>
    <x v="0"/>
    <n v="39"/>
    <n v="85.02"/>
  </r>
  <r>
    <x v="7"/>
    <x v="0"/>
    <x v="3"/>
    <x v="1"/>
    <x v="2"/>
    <n v="24"/>
    <n v="44.88"/>
  </r>
  <r>
    <x v="7"/>
    <x v="0"/>
    <x v="3"/>
    <x v="1"/>
    <x v="3"/>
    <n v="64"/>
    <n v="113.28"/>
  </r>
  <r>
    <x v="7"/>
    <x v="0"/>
    <x v="3"/>
    <x v="1"/>
    <x v="3"/>
    <n v="61"/>
    <n v="107.97"/>
  </r>
  <r>
    <x v="7"/>
    <x v="0"/>
    <x v="3"/>
    <x v="0"/>
    <x v="4"/>
    <n v="33"/>
    <n v="61.71"/>
  </r>
  <r>
    <x v="7"/>
    <x v="0"/>
    <x v="3"/>
    <x v="0"/>
    <x v="5"/>
    <n v="48"/>
    <n v="136.32"/>
  </r>
  <r>
    <x v="7"/>
    <x v="0"/>
    <x v="3"/>
    <x v="2"/>
    <x v="6"/>
    <n v="21"/>
    <n v="35.28"/>
  </r>
  <r>
    <x v="7"/>
    <x v="0"/>
    <x v="3"/>
    <x v="3"/>
    <x v="8"/>
    <n v="22"/>
    <n v="48.18"/>
  </r>
  <r>
    <x v="7"/>
    <x v="0"/>
    <x v="3"/>
    <x v="3"/>
    <x v="7"/>
    <n v="28"/>
    <n v="97.72"/>
  </r>
  <r>
    <x v="7"/>
    <x v="0"/>
    <x v="1"/>
    <x v="0"/>
    <x v="0"/>
    <n v="30"/>
    <n v="65.400000000000006"/>
  </r>
  <r>
    <x v="7"/>
    <x v="0"/>
    <x v="1"/>
    <x v="1"/>
    <x v="2"/>
    <n v="27"/>
    <n v="50.49"/>
  </r>
  <r>
    <x v="7"/>
    <x v="0"/>
    <x v="1"/>
    <x v="1"/>
    <x v="3"/>
    <n v="39"/>
    <n v="69.03"/>
  </r>
  <r>
    <x v="7"/>
    <x v="0"/>
    <x v="1"/>
    <x v="1"/>
    <x v="3"/>
    <n v="78"/>
    <n v="138.06"/>
  </r>
  <r>
    <x v="7"/>
    <x v="0"/>
    <x v="1"/>
    <x v="0"/>
    <x v="5"/>
    <n v="42"/>
    <n v="119.28"/>
  </r>
  <r>
    <x v="7"/>
    <x v="1"/>
    <x v="4"/>
    <x v="1"/>
    <x v="3"/>
    <n v="29"/>
    <n v="51.33"/>
  </r>
  <r>
    <x v="8"/>
    <x v="0"/>
    <x v="0"/>
    <x v="0"/>
    <x v="0"/>
    <n v="34"/>
    <n v="74.12"/>
  </r>
  <r>
    <x v="8"/>
    <x v="0"/>
    <x v="0"/>
    <x v="0"/>
    <x v="0"/>
    <n v="59"/>
    <n v="128.62"/>
  </r>
  <r>
    <x v="8"/>
    <x v="0"/>
    <x v="0"/>
    <x v="1"/>
    <x v="2"/>
    <n v="44"/>
    <n v="82.28"/>
  </r>
  <r>
    <x v="8"/>
    <x v="0"/>
    <x v="0"/>
    <x v="1"/>
    <x v="3"/>
    <n v="48"/>
    <n v="84.96"/>
  </r>
  <r>
    <x v="8"/>
    <x v="0"/>
    <x v="0"/>
    <x v="1"/>
    <x v="3"/>
    <n v="37"/>
    <n v="65.489999999999995"/>
  </r>
  <r>
    <x v="8"/>
    <x v="0"/>
    <x v="0"/>
    <x v="0"/>
    <x v="4"/>
    <n v="53"/>
    <n v="99.11"/>
  </r>
  <r>
    <x v="8"/>
    <x v="0"/>
    <x v="0"/>
    <x v="0"/>
    <x v="5"/>
    <n v="56"/>
    <n v="159.04"/>
  </r>
  <r>
    <x v="8"/>
    <x v="0"/>
    <x v="0"/>
    <x v="2"/>
    <x v="6"/>
    <n v="49"/>
    <n v="82.32"/>
  </r>
  <r>
    <x v="8"/>
    <x v="0"/>
    <x v="0"/>
    <x v="3"/>
    <x v="7"/>
    <n v="59"/>
    <n v="205.91"/>
  </r>
  <r>
    <x v="8"/>
    <x v="0"/>
    <x v="1"/>
    <x v="0"/>
    <x v="0"/>
    <n v="49"/>
    <n v="106.82"/>
  </r>
  <r>
    <x v="8"/>
    <x v="0"/>
    <x v="1"/>
    <x v="1"/>
    <x v="2"/>
    <n v="33"/>
    <n v="61.71"/>
  </r>
  <r>
    <x v="8"/>
    <x v="0"/>
    <x v="1"/>
    <x v="1"/>
    <x v="3"/>
    <n v="32"/>
    <n v="56.64"/>
  </r>
  <r>
    <x v="8"/>
    <x v="0"/>
    <x v="1"/>
    <x v="0"/>
    <x v="5"/>
    <n v="32"/>
    <n v="90.88"/>
  </r>
  <r>
    <x v="8"/>
    <x v="0"/>
    <x v="1"/>
    <x v="2"/>
    <x v="6"/>
    <n v="23"/>
    <n v="38.64"/>
  </r>
  <r>
    <x v="8"/>
    <x v="1"/>
    <x v="2"/>
    <x v="0"/>
    <x v="0"/>
    <n v="53"/>
    <n v="115.54"/>
  </r>
  <r>
    <x v="8"/>
    <x v="1"/>
    <x v="2"/>
    <x v="1"/>
    <x v="2"/>
    <n v="25"/>
    <n v="46.75"/>
  </r>
  <r>
    <x v="8"/>
    <x v="1"/>
    <x v="2"/>
    <x v="1"/>
    <x v="3"/>
    <n v="59"/>
    <n v="104.43"/>
  </r>
  <r>
    <x v="8"/>
    <x v="1"/>
    <x v="2"/>
    <x v="0"/>
    <x v="4"/>
    <n v="28"/>
    <n v="52.36"/>
  </r>
  <r>
    <x v="8"/>
    <x v="1"/>
    <x v="2"/>
    <x v="0"/>
    <x v="5"/>
    <n v="70"/>
    <n v="198.8"/>
  </r>
  <r>
    <x v="8"/>
    <x v="0"/>
    <x v="3"/>
    <x v="0"/>
    <x v="0"/>
    <n v="34"/>
    <n v="74.12"/>
  </r>
  <r>
    <x v="8"/>
    <x v="0"/>
    <x v="3"/>
    <x v="1"/>
    <x v="2"/>
    <n v="33"/>
    <n v="61.71"/>
  </r>
  <r>
    <x v="8"/>
    <x v="0"/>
    <x v="3"/>
    <x v="1"/>
    <x v="3"/>
    <n v="43"/>
    <n v="76.11"/>
  </r>
  <r>
    <x v="8"/>
    <x v="0"/>
    <x v="3"/>
    <x v="1"/>
    <x v="3"/>
    <n v="69"/>
    <n v="122.13"/>
  </r>
  <r>
    <x v="8"/>
    <x v="0"/>
    <x v="3"/>
    <x v="0"/>
    <x v="4"/>
    <n v="24"/>
    <n v="44.88"/>
  </r>
  <r>
    <x v="8"/>
    <x v="0"/>
    <x v="3"/>
    <x v="0"/>
    <x v="5"/>
    <n v="63"/>
    <n v="178.92"/>
  </r>
  <r>
    <x v="8"/>
    <x v="0"/>
    <x v="3"/>
    <x v="2"/>
    <x v="6"/>
    <n v="28"/>
    <n v="47.04"/>
  </r>
  <r>
    <x v="8"/>
    <x v="0"/>
    <x v="3"/>
    <x v="3"/>
    <x v="7"/>
    <n v="28"/>
    <n v="97.72"/>
  </r>
  <r>
    <x v="8"/>
    <x v="0"/>
    <x v="1"/>
    <x v="0"/>
    <x v="0"/>
    <n v="34"/>
    <n v="74.12"/>
  </r>
  <r>
    <x v="8"/>
    <x v="0"/>
    <x v="1"/>
    <x v="1"/>
    <x v="2"/>
    <n v="29"/>
    <n v="54.23"/>
  </r>
  <r>
    <x v="8"/>
    <x v="0"/>
    <x v="1"/>
    <x v="1"/>
    <x v="3"/>
    <n v="45"/>
    <n v="79.650000000000006"/>
  </r>
  <r>
    <x v="8"/>
    <x v="0"/>
    <x v="1"/>
    <x v="1"/>
    <x v="3"/>
    <n v="68"/>
    <n v="120.36"/>
  </r>
  <r>
    <x v="8"/>
    <x v="0"/>
    <x v="1"/>
    <x v="0"/>
    <x v="5"/>
    <n v="38"/>
    <n v="107.92"/>
  </r>
  <r>
    <x v="8"/>
    <x v="0"/>
    <x v="1"/>
    <x v="3"/>
    <x v="7"/>
    <n v="23"/>
    <n v="80.27"/>
  </r>
  <r>
    <x v="8"/>
    <x v="1"/>
    <x v="4"/>
    <x v="1"/>
    <x v="3"/>
    <n v="32"/>
    <n v="56.64"/>
  </r>
  <r>
    <x v="8"/>
    <x v="1"/>
    <x v="4"/>
    <x v="0"/>
    <x v="5"/>
    <n v="24"/>
    <n v="68.16"/>
  </r>
  <r>
    <x v="9"/>
    <x v="0"/>
    <x v="0"/>
    <x v="0"/>
    <x v="0"/>
    <n v="40"/>
    <n v="87.2"/>
  </r>
  <r>
    <x v="9"/>
    <x v="0"/>
    <x v="0"/>
    <x v="1"/>
    <x v="2"/>
    <n v="22"/>
    <n v="41.14"/>
  </r>
  <r>
    <x v="9"/>
    <x v="0"/>
    <x v="0"/>
    <x v="1"/>
    <x v="2"/>
    <n v="35"/>
    <n v="65.45"/>
  </r>
  <r>
    <x v="9"/>
    <x v="0"/>
    <x v="0"/>
    <x v="1"/>
    <x v="3"/>
    <n v="54"/>
    <n v="95.58"/>
  </r>
  <r>
    <x v="9"/>
    <x v="0"/>
    <x v="0"/>
    <x v="0"/>
    <x v="4"/>
    <n v="59"/>
    <n v="110.33"/>
  </r>
  <r>
    <x v="9"/>
    <x v="0"/>
    <x v="0"/>
    <x v="0"/>
    <x v="5"/>
    <n v="55"/>
    <n v="156.19999999999999"/>
  </r>
  <r>
    <x v="9"/>
    <x v="0"/>
    <x v="0"/>
    <x v="2"/>
    <x v="6"/>
    <n v="44"/>
    <n v="73.92"/>
  </r>
  <r>
    <x v="9"/>
    <x v="0"/>
    <x v="0"/>
    <x v="3"/>
    <x v="7"/>
    <n v="35"/>
    <n v="122.15"/>
  </r>
  <r>
    <x v="9"/>
    <x v="0"/>
    <x v="0"/>
    <x v="3"/>
    <x v="7"/>
    <n v="29"/>
    <n v="101.21"/>
  </r>
  <r>
    <x v="9"/>
    <x v="0"/>
    <x v="1"/>
    <x v="0"/>
    <x v="0"/>
    <n v="34"/>
    <n v="74.12"/>
  </r>
  <r>
    <x v="9"/>
    <x v="0"/>
    <x v="1"/>
    <x v="1"/>
    <x v="2"/>
    <n v="46"/>
    <n v="86.02"/>
  </r>
  <r>
    <x v="9"/>
    <x v="0"/>
    <x v="1"/>
    <x v="1"/>
    <x v="3"/>
    <n v="53"/>
    <n v="93.81"/>
  </r>
  <r>
    <x v="9"/>
    <x v="0"/>
    <x v="1"/>
    <x v="0"/>
    <x v="4"/>
    <n v="21"/>
    <n v="39.270000000000003"/>
  </r>
  <r>
    <x v="9"/>
    <x v="0"/>
    <x v="1"/>
    <x v="0"/>
    <x v="5"/>
    <n v="25"/>
    <n v="71"/>
  </r>
  <r>
    <x v="9"/>
    <x v="0"/>
    <x v="1"/>
    <x v="2"/>
    <x v="6"/>
    <n v="23"/>
    <n v="38.64"/>
  </r>
  <r>
    <x v="9"/>
    <x v="0"/>
    <x v="1"/>
    <x v="3"/>
    <x v="7"/>
    <n v="30"/>
    <n v="104.7"/>
  </r>
  <r>
    <x v="9"/>
    <x v="1"/>
    <x v="2"/>
    <x v="0"/>
    <x v="0"/>
    <n v="39"/>
    <n v="85.02"/>
  </r>
  <r>
    <x v="9"/>
    <x v="1"/>
    <x v="2"/>
    <x v="1"/>
    <x v="2"/>
    <n v="30"/>
    <n v="56.1"/>
  </r>
  <r>
    <x v="9"/>
    <x v="1"/>
    <x v="2"/>
    <x v="1"/>
    <x v="3"/>
    <n v="23"/>
    <n v="40.71"/>
  </r>
  <r>
    <x v="9"/>
    <x v="1"/>
    <x v="2"/>
    <x v="1"/>
    <x v="3"/>
    <n v="54"/>
    <n v="95.58"/>
  </r>
  <r>
    <x v="9"/>
    <x v="1"/>
    <x v="2"/>
    <x v="0"/>
    <x v="4"/>
    <n v="30"/>
    <n v="56.1"/>
  </r>
  <r>
    <x v="9"/>
    <x v="1"/>
    <x v="2"/>
    <x v="0"/>
    <x v="5"/>
    <n v="62"/>
    <n v="176.08"/>
  </r>
  <r>
    <x v="9"/>
    <x v="1"/>
    <x v="2"/>
    <x v="2"/>
    <x v="6"/>
    <n v="26"/>
    <n v="43.68"/>
  </r>
  <r>
    <x v="9"/>
    <x v="0"/>
    <x v="3"/>
    <x v="0"/>
    <x v="0"/>
    <n v="49"/>
    <n v="106.82"/>
  </r>
  <r>
    <x v="9"/>
    <x v="0"/>
    <x v="3"/>
    <x v="1"/>
    <x v="2"/>
    <n v="34"/>
    <n v="63.58"/>
  </r>
  <r>
    <x v="9"/>
    <x v="0"/>
    <x v="3"/>
    <x v="1"/>
    <x v="3"/>
    <n v="56"/>
    <n v="99.12"/>
  </r>
  <r>
    <x v="9"/>
    <x v="0"/>
    <x v="3"/>
    <x v="1"/>
    <x v="3"/>
    <n v="64"/>
    <n v="113.28"/>
  </r>
  <r>
    <x v="9"/>
    <x v="0"/>
    <x v="3"/>
    <x v="0"/>
    <x v="4"/>
    <n v="28"/>
    <n v="52.36"/>
  </r>
  <r>
    <x v="9"/>
    <x v="0"/>
    <x v="3"/>
    <x v="0"/>
    <x v="5"/>
    <n v="67"/>
    <n v="190.28"/>
  </r>
  <r>
    <x v="9"/>
    <x v="0"/>
    <x v="3"/>
    <x v="2"/>
    <x v="6"/>
    <n v="25"/>
    <n v="42"/>
  </r>
  <r>
    <x v="9"/>
    <x v="0"/>
    <x v="3"/>
    <x v="3"/>
    <x v="7"/>
    <n v="22"/>
    <n v="76.78"/>
  </r>
  <r>
    <x v="9"/>
    <x v="0"/>
    <x v="1"/>
    <x v="0"/>
    <x v="0"/>
    <n v="36"/>
    <n v="78.48"/>
  </r>
  <r>
    <x v="9"/>
    <x v="0"/>
    <x v="1"/>
    <x v="1"/>
    <x v="2"/>
    <n v="31"/>
    <n v="57.97"/>
  </r>
  <r>
    <x v="9"/>
    <x v="0"/>
    <x v="1"/>
    <x v="1"/>
    <x v="3"/>
    <n v="55"/>
    <n v="97.35"/>
  </r>
  <r>
    <x v="9"/>
    <x v="0"/>
    <x v="1"/>
    <x v="1"/>
    <x v="3"/>
    <n v="85"/>
    <n v="150.44999999999999"/>
  </r>
  <r>
    <x v="9"/>
    <x v="0"/>
    <x v="1"/>
    <x v="0"/>
    <x v="4"/>
    <n v="20"/>
    <n v="37.4"/>
  </r>
  <r>
    <x v="9"/>
    <x v="0"/>
    <x v="1"/>
    <x v="0"/>
    <x v="5"/>
    <n v="52"/>
    <n v="147.68"/>
  </r>
  <r>
    <x v="9"/>
    <x v="0"/>
    <x v="1"/>
    <x v="2"/>
    <x v="6"/>
    <n v="23"/>
    <n v="38.64"/>
  </r>
  <r>
    <x v="9"/>
    <x v="1"/>
    <x v="4"/>
    <x v="1"/>
    <x v="3"/>
    <n v="35"/>
    <n v="61.95"/>
  </r>
  <r>
    <x v="10"/>
    <x v="0"/>
    <x v="0"/>
    <x v="0"/>
    <x v="0"/>
    <n v="53"/>
    <n v="115.54"/>
  </r>
  <r>
    <x v="10"/>
    <x v="0"/>
    <x v="0"/>
    <x v="1"/>
    <x v="1"/>
    <n v="28"/>
    <n v="63.56"/>
  </r>
  <r>
    <x v="10"/>
    <x v="0"/>
    <x v="0"/>
    <x v="1"/>
    <x v="2"/>
    <n v="36"/>
    <n v="67.319999999999993"/>
  </r>
  <r>
    <x v="10"/>
    <x v="0"/>
    <x v="0"/>
    <x v="1"/>
    <x v="2"/>
    <n v="20"/>
    <n v="37.4"/>
  </r>
  <r>
    <x v="10"/>
    <x v="0"/>
    <x v="0"/>
    <x v="1"/>
    <x v="3"/>
    <n v="30"/>
    <n v="53.1"/>
  </r>
  <r>
    <x v="10"/>
    <x v="0"/>
    <x v="0"/>
    <x v="1"/>
    <x v="3"/>
    <n v="43"/>
    <n v="76.11"/>
  </r>
  <r>
    <x v="10"/>
    <x v="0"/>
    <x v="0"/>
    <x v="0"/>
    <x v="4"/>
    <n v="25"/>
    <n v="46.75"/>
  </r>
  <r>
    <x v="10"/>
    <x v="0"/>
    <x v="0"/>
    <x v="0"/>
    <x v="5"/>
    <n v="82"/>
    <n v="232.88"/>
  </r>
  <r>
    <x v="10"/>
    <x v="0"/>
    <x v="0"/>
    <x v="2"/>
    <x v="6"/>
    <n v="42"/>
    <n v="70.56"/>
  </r>
  <r>
    <x v="10"/>
    <x v="0"/>
    <x v="0"/>
    <x v="3"/>
    <x v="7"/>
    <n v="27"/>
    <n v="94.23"/>
  </r>
  <r>
    <x v="10"/>
    <x v="0"/>
    <x v="0"/>
    <x v="3"/>
    <x v="7"/>
    <n v="38"/>
    <n v="132.62"/>
  </r>
  <r>
    <x v="10"/>
    <x v="0"/>
    <x v="1"/>
    <x v="0"/>
    <x v="0"/>
    <n v="33"/>
    <n v="71.94"/>
  </r>
  <r>
    <x v="10"/>
    <x v="0"/>
    <x v="1"/>
    <x v="1"/>
    <x v="2"/>
    <n v="44"/>
    <n v="82.28"/>
  </r>
  <r>
    <x v="10"/>
    <x v="0"/>
    <x v="1"/>
    <x v="1"/>
    <x v="3"/>
    <n v="22"/>
    <n v="38.94"/>
  </r>
  <r>
    <x v="10"/>
    <x v="0"/>
    <x v="1"/>
    <x v="2"/>
    <x v="6"/>
    <n v="25"/>
    <n v="42"/>
  </r>
  <r>
    <x v="10"/>
    <x v="0"/>
    <x v="1"/>
    <x v="3"/>
    <x v="7"/>
    <n v="63"/>
    <n v="219.87"/>
  </r>
  <r>
    <x v="10"/>
    <x v="1"/>
    <x v="2"/>
    <x v="0"/>
    <x v="0"/>
    <n v="39"/>
    <n v="85.02"/>
  </r>
  <r>
    <x v="10"/>
    <x v="1"/>
    <x v="2"/>
    <x v="0"/>
    <x v="0"/>
    <n v="21"/>
    <n v="45.78"/>
  </r>
  <r>
    <x v="10"/>
    <x v="1"/>
    <x v="2"/>
    <x v="1"/>
    <x v="2"/>
    <n v="30"/>
    <n v="56.1"/>
  </r>
  <r>
    <x v="10"/>
    <x v="1"/>
    <x v="2"/>
    <x v="1"/>
    <x v="3"/>
    <n v="25"/>
    <n v="44.25"/>
  </r>
  <r>
    <x v="10"/>
    <x v="1"/>
    <x v="2"/>
    <x v="1"/>
    <x v="3"/>
    <n v="67"/>
    <n v="118.59"/>
  </r>
  <r>
    <x v="10"/>
    <x v="1"/>
    <x v="2"/>
    <x v="0"/>
    <x v="4"/>
    <n v="25"/>
    <n v="46.75"/>
  </r>
  <r>
    <x v="10"/>
    <x v="1"/>
    <x v="2"/>
    <x v="0"/>
    <x v="5"/>
    <n v="75"/>
    <n v="213"/>
  </r>
  <r>
    <x v="10"/>
    <x v="0"/>
    <x v="3"/>
    <x v="0"/>
    <x v="0"/>
    <n v="44"/>
    <n v="95.92"/>
  </r>
  <r>
    <x v="10"/>
    <x v="0"/>
    <x v="3"/>
    <x v="1"/>
    <x v="2"/>
    <n v="32"/>
    <n v="59.84"/>
  </r>
  <r>
    <x v="10"/>
    <x v="0"/>
    <x v="3"/>
    <x v="1"/>
    <x v="3"/>
    <n v="78"/>
    <n v="138.06"/>
  </r>
  <r>
    <x v="10"/>
    <x v="0"/>
    <x v="3"/>
    <x v="1"/>
    <x v="3"/>
    <n v="64"/>
    <n v="113.28"/>
  </r>
  <r>
    <x v="10"/>
    <x v="0"/>
    <x v="3"/>
    <x v="0"/>
    <x v="4"/>
    <n v="26"/>
    <n v="48.62"/>
  </r>
  <r>
    <x v="10"/>
    <x v="0"/>
    <x v="3"/>
    <x v="0"/>
    <x v="5"/>
    <n v="63"/>
    <n v="178.92"/>
  </r>
  <r>
    <x v="10"/>
    <x v="0"/>
    <x v="3"/>
    <x v="2"/>
    <x v="6"/>
    <n v="23"/>
    <n v="38.64"/>
  </r>
  <r>
    <x v="10"/>
    <x v="0"/>
    <x v="3"/>
    <x v="3"/>
    <x v="7"/>
    <n v="29"/>
    <n v="101.21"/>
  </r>
  <r>
    <x v="10"/>
    <x v="0"/>
    <x v="1"/>
    <x v="0"/>
    <x v="0"/>
    <n v="32"/>
    <n v="69.760000000000005"/>
  </r>
  <r>
    <x v="10"/>
    <x v="0"/>
    <x v="1"/>
    <x v="1"/>
    <x v="2"/>
    <n v="34"/>
    <n v="63.58"/>
  </r>
  <r>
    <x v="10"/>
    <x v="0"/>
    <x v="1"/>
    <x v="1"/>
    <x v="3"/>
    <n v="41"/>
    <n v="72.569999999999993"/>
  </r>
  <r>
    <x v="10"/>
    <x v="0"/>
    <x v="1"/>
    <x v="1"/>
    <x v="3"/>
    <n v="82"/>
    <n v="145.13999999999999"/>
  </r>
  <r>
    <x v="10"/>
    <x v="0"/>
    <x v="1"/>
    <x v="0"/>
    <x v="5"/>
    <n v="32"/>
    <n v="90.88"/>
  </r>
  <r>
    <x v="10"/>
    <x v="0"/>
    <x v="1"/>
    <x v="3"/>
    <x v="7"/>
    <n v="21"/>
    <n v="73.290000000000006"/>
  </r>
  <r>
    <x v="10"/>
    <x v="1"/>
    <x v="4"/>
    <x v="1"/>
    <x v="3"/>
    <n v="24"/>
    <n v="42.48"/>
  </r>
  <r>
    <x v="10"/>
    <x v="1"/>
    <x v="4"/>
    <x v="0"/>
    <x v="5"/>
    <n v="23"/>
    <n v="65.319999999999993"/>
  </r>
  <r>
    <x v="11"/>
    <x v="0"/>
    <x v="0"/>
    <x v="0"/>
    <x v="0"/>
    <n v="26"/>
    <n v="56.68"/>
  </r>
  <r>
    <x v="11"/>
    <x v="0"/>
    <x v="0"/>
    <x v="0"/>
    <x v="0"/>
    <n v="58"/>
    <n v="126.44"/>
  </r>
  <r>
    <x v="11"/>
    <x v="0"/>
    <x v="0"/>
    <x v="1"/>
    <x v="2"/>
    <n v="41"/>
    <n v="76.67"/>
  </r>
  <r>
    <x v="11"/>
    <x v="0"/>
    <x v="0"/>
    <x v="1"/>
    <x v="3"/>
    <n v="54"/>
    <n v="95.58"/>
  </r>
  <r>
    <x v="11"/>
    <x v="0"/>
    <x v="0"/>
    <x v="1"/>
    <x v="3"/>
    <n v="68"/>
    <n v="120.36"/>
  </r>
  <r>
    <x v="11"/>
    <x v="0"/>
    <x v="0"/>
    <x v="0"/>
    <x v="4"/>
    <n v="38"/>
    <n v="71.06"/>
  </r>
  <r>
    <x v="11"/>
    <x v="0"/>
    <x v="0"/>
    <x v="0"/>
    <x v="5"/>
    <n v="86"/>
    <n v="244.24"/>
  </r>
  <r>
    <x v="11"/>
    <x v="0"/>
    <x v="0"/>
    <x v="2"/>
    <x v="6"/>
    <n v="35"/>
    <n v="58.8"/>
  </r>
  <r>
    <x v="11"/>
    <x v="0"/>
    <x v="0"/>
    <x v="3"/>
    <x v="7"/>
    <n v="31"/>
    <n v="108.19"/>
  </r>
  <r>
    <x v="11"/>
    <x v="0"/>
    <x v="0"/>
    <x v="3"/>
    <x v="7"/>
    <n v="37"/>
    <n v="129.13"/>
  </r>
  <r>
    <x v="11"/>
    <x v="0"/>
    <x v="1"/>
    <x v="0"/>
    <x v="0"/>
    <n v="33"/>
    <n v="71.94"/>
  </r>
  <r>
    <x v="11"/>
    <x v="0"/>
    <x v="1"/>
    <x v="1"/>
    <x v="2"/>
    <n v="30"/>
    <n v="56.1"/>
  </r>
  <r>
    <x v="11"/>
    <x v="0"/>
    <x v="1"/>
    <x v="1"/>
    <x v="3"/>
    <n v="59"/>
    <n v="104.43"/>
  </r>
  <r>
    <x v="11"/>
    <x v="0"/>
    <x v="1"/>
    <x v="0"/>
    <x v="4"/>
    <n v="21"/>
    <n v="39.270000000000003"/>
  </r>
  <r>
    <x v="11"/>
    <x v="0"/>
    <x v="1"/>
    <x v="0"/>
    <x v="5"/>
    <n v="46"/>
    <n v="130.63999999999999"/>
  </r>
  <r>
    <x v="11"/>
    <x v="0"/>
    <x v="1"/>
    <x v="3"/>
    <x v="7"/>
    <n v="70"/>
    <n v="244.3"/>
  </r>
  <r>
    <x v="11"/>
    <x v="1"/>
    <x v="2"/>
    <x v="0"/>
    <x v="0"/>
    <n v="31"/>
    <n v="67.58"/>
  </r>
  <r>
    <x v="11"/>
    <x v="1"/>
    <x v="2"/>
    <x v="1"/>
    <x v="2"/>
    <n v="27"/>
    <n v="50.49"/>
  </r>
  <r>
    <x v="11"/>
    <x v="1"/>
    <x v="2"/>
    <x v="1"/>
    <x v="3"/>
    <n v="28"/>
    <n v="49.56"/>
  </r>
  <r>
    <x v="11"/>
    <x v="1"/>
    <x v="2"/>
    <x v="1"/>
    <x v="3"/>
    <n v="68"/>
    <n v="120.36"/>
  </r>
  <r>
    <x v="11"/>
    <x v="1"/>
    <x v="2"/>
    <x v="0"/>
    <x v="4"/>
    <n v="27"/>
    <n v="50.49"/>
  </r>
  <r>
    <x v="11"/>
    <x v="1"/>
    <x v="2"/>
    <x v="0"/>
    <x v="5"/>
    <n v="68"/>
    <n v="193.12"/>
  </r>
  <r>
    <x v="11"/>
    <x v="1"/>
    <x v="2"/>
    <x v="2"/>
    <x v="6"/>
    <n v="22"/>
    <n v="36.96"/>
  </r>
  <r>
    <x v="11"/>
    <x v="0"/>
    <x v="3"/>
    <x v="0"/>
    <x v="0"/>
    <n v="37"/>
    <n v="80.66"/>
  </r>
  <r>
    <x v="11"/>
    <x v="0"/>
    <x v="3"/>
    <x v="1"/>
    <x v="2"/>
    <n v="27"/>
    <n v="50.49"/>
  </r>
  <r>
    <x v="11"/>
    <x v="0"/>
    <x v="3"/>
    <x v="1"/>
    <x v="3"/>
    <n v="81"/>
    <n v="143.37"/>
  </r>
  <r>
    <x v="11"/>
    <x v="0"/>
    <x v="3"/>
    <x v="1"/>
    <x v="3"/>
    <n v="46"/>
    <n v="81.42"/>
  </r>
  <r>
    <x v="11"/>
    <x v="0"/>
    <x v="3"/>
    <x v="0"/>
    <x v="4"/>
    <n v="28"/>
    <n v="52.36"/>
  </r>
  <r>
    <x v="11"/>
    <x v="0"/>
    <x v="3"/>
    <x v="0"/>
    <x v="5"/>
    <n v="63"/>
    <n v="178.92"/>
  </r>
  <r>
    <x v="11"/>
    <x v="0"/>
    <x v="3"/>
    <x v="3"/>
    <x v="7"/>
    <n v="29"/>
    <n v="101.21"/>
  </r>
  <r>
    <x v="11"/>
    <x v="0"/>
    <x v="1"/>
    <x v="0"/>
    <x v="0"/>
    <n v="45"/>
    <n v="98.1"/>
  </r>
  <r>
    <x v="11"/>
    <x v="0"/>
    <x v="1"/>
    <x v="1"/>
    <x v="2"/>
    <n v="27"/>
    <n v="50.49"/>
  </r>
  <r>
    <x v="11"/>
    <x v="0"/>
    <x v="1"/>
    <x v="1"/>
    <x v="3"/>
    <n v="44"/>
    <n v="77.88"/>
  </r>
  <r>
    <x v="11"/>
    <x v="0"/>
    <x v="1"/>
    <x v="1"/>
    <x v="3"/>
    <n v="81"/>
    <n v="143.37"/>
  </r>
  <r>
    <x v="11"/>
    <x v="0"/>
    <x v="1"/>
    <x v="0"/>
    <x v="4"/>
    <n v="24"/>
    <n v="44.88"/>
  </r>
  <r>
    <x v="11"/>
    <x v="0"/>
    <x v="1"/>
    <x v="0"/>
    <x v="5"/>
    <n v="61"/>
    <n v="173.24"/>
  </r>
  <r>
    <x v="11"/>
    <x v="0"/>
    <x v="1"/>
    <x v="2"/>
    <x v="6"/>
    <n v="24"/>
    <n v="40.32"/>
  </r>
  <r>
    <x v="11"/>
    <x v="0"/>
    <x v="1"/>
    <x v="3"/>
    <x v="7"/>
    <n v="22"/>
    <n v="76.78"/>
  </r>
  <r>
    <x v="11"/>
    <x v="1"/>
    <x v="4"/>
    <x v="1"/>
    <x v="3"/>
    <n v="36"/>
    <n v="63.72"/>
  </r>
  <r>
    <x v="11"/>
    <x v="1"/>
    <x v="4"/>
    <x v="0"/>
    <x v="5"/>
    <n v="34"/>
    <n v="96.56"/>
  </r>
  <r>
    <x v="12"/>
    <x v="0"/>
    <x v="0"/>
    <x v="0"/>
    <x v="0"/>
    <n v="46"/>
    <n v="100.28"/>
  </r>
  <r>
    <x v="12"/>
    <x v="0"/>
    <x v="0"/>
    <x v="1"/>
    <x v="2"/>
    <n v="57"/>
    <n v="106.59"/>
  </r>
  <r>
    <x v="12"/>
    <x v="0"/>
    <x v="0"/>
    <x v="1"/>
    <x v="3"/>
    <n v="24"/>
    <n v="42.48"/>
  </r>
  <r>
    <x v="12"/>
    <x v="0"/>
    <x v="0"/>
    <x v="1"/>
    <x v="3"/>
    <n v="76"/>
    <n v="134.52000000000001"/>
  </r>
  <r>
    <x v="12"/>
    <x v="0"/>
    <x v="0"/>
    <x v="0"/>
    <x v="4"/>
    <n v="35"/>
    <n v="65.45"/>
  </r>
  <r>
    <x v="12"/>
    <x v="0"/>
    <x v="0"/>
    <x v="0"/>
    <x v="5"/>
    <n v="98"/>
    <n v="278.32"/>
  </r>
  <r>
    <x v="12"/>
    <x v="0"/>
    <x v="0"/>
    <x v="2"/>
    <x v="6"/>
    <n v="50"/>
    <n v="84"/>
  </r>
  <r>
    <x v="12"/>
    <x v="0"/>
    <x v="0"/>
    <x v="3"/>
    <x v="7"/>
    <n v="40"/>
    <n v="139.6"/>
  </r>
  <r>
    <x v="12"/>
    <x v="0"/>
    <x v="0"/>
    <x v="3"/>
    <x v="7"/>
    <n v="25"/>
    <n v="87.25"/>
  </r>
  <r>
    <x v="12"/>
    <x v="0"/>
    <x v="1"/>
    <x v="1"/>
    <x v="3"/>
    <n v="31"/>
    <n v="54.87"/>
  </r>
  <r>
    <x v="12"/>
    <x v="0"/>
    <x v="1"/>
    <x v="0"/>
    <x v="5"/>
    <n v="39"/>
    <n v="110.76"/>
  </r>
  <r>
    <x v="12"/>
    <x v="0"/>
    <x v="1"/>
    <x v="3"/>
    <x v="7"/>
    <n v="93"/>
    <n v="324.57"/>
  </r>
  <r>
    <x v="12"/>
    <x v="1"/>
    <x v="2"/>
    <x v="0"/>
    <x v="0"/>
    <n v="40"/>
    <n v="87.2"/>
  </r>
  <r>
    <x v="12"/>
    <x v="1"/>
    <x v="2"/>
    <x v="1"/>
    <x v="2"/>
    <n v="21"/>
    <n v="39.270000000000003"/>
  </r>
  <r>
    <x v="12"/>
    <x v="1"/>
    <x v="2"/>
    <x v="1"/>
    <x v="3"/>
    <n v="20"/>
    <n v="35.4"/>
  </r>
  <r>
    <x v="12"/>
    <x v="1"/>
    <x v="2"/>
    <x v="1"/>
    <x v="3"/>
    <n v="89"/>
    <n v="157.53"/>
  </r>
  <r>
    <x v="12"/>
    <x v="1"/>
    <x v="2"/>
    <x v="0"/>
    <x v="4"/>
    <n v="57"/>
    <n v="106.59"/>
  </r>
  <r>
    <x v="12"/>
    <x v="0"/>
    <x v="3"/>
    <x v="0"/>
    <x v="0"/>
    <n v="44"/>
    <n v="95.92"/>
  </r>
  <r>
    <x v="12"/>
    <x v="0"/>
    <x v="3"/>
    <x v="1"/>
    <x v="2"/>
    <n v="27"/>
    <n v="50.49"/>
  </r>
  <r>
    <x v="12"/>
    <x v="0"/>
    <x v="3"/>
    <x v="1"/>
    <x v="3"/>
    <n v="37"/>
    <n v="65.489999999999995"/>
  </r>
  <r>
    <x v="12"/>
    <x v="0"/>
    <x v="3"/>
    <x v="1"/>
    <x v="3"/>
    <n v="73"/>
    <n v="129.21"/>
  </r>
  <r>
    <x v="12"/>
    <x v="0"/>
    <x v="3"/>
    <x v="0"/>
    <x v="5"/>
    <n v="64"/>
    <n v="181.76"/>
  </r>
  <r>
    <x v="12"/>
    <x v="0"/>
    <x v="3"/>
    <x v="2"/>
    <x v="6"/>
    <n v="25"/>
    <n v="42"/>
  </r>
  <r>
    <x v="12"/>
    <x v="0"/>
    <x v="3"/>
    <x v="3"/>
    <x v="7"/>
    <n v="34"/>
    <n v="118.66"/>
  </r>
  <r>
    <x v="12"/>
    <x v="0"/>
    <x v="1"/>
    <x v="0"/>
    <x v="0"/>
    <n v="45"/>
    <n v="98.1"/>
  </r>
  <r>
    <x v="12"/>
    <x v="0"/>
    <x v="1"/>
    <x v="1"/>
    <x v="2"/>
    <n v="39"/>
    <n v="72.930000000000007"/>
  </r>
  <r>
    <x v="12"/>
    <x v="0"/>
    <x v="1"/>
    <x v="1"/>
    <x v="3"/>
    <n v="40"/>
    <n v="70.8"/>
  </r>
  <r>
    <x v="12"/>
    <x v="0"/>
    <x v="1"/>
    <x v="1"/>
    <x v="3"/>
    <n v="90"/>
    <n v="159.30000000000001"/>
  </r>
  <r>
    <x v="12"/>
    <x v="0"/>
    <x v="1"/>
    <x v="0"/>
    <x v="4"/>
    <n v="25"/>
    <n v="46.75"/>
  </r>
  <r>
    <x v="12"/>
    <x v="0"/>
    <x v="1"/>
    <x v="0"/>
    <x v="5"/>
    <n v="36"/>
    <n v="102.24"/>
  </r>
  <r>
    <x v="12"/>
    <x v="0"/>
    <x v="1"/>
    <x v="3"/>
    <x v="7"/>
    <n v="28"/>
    <n v="97.72"/>
  </r>
  <r>
    <x v="12"/>
    <x v="1"/>
    <x v="4"/>
    <x v="0"/>
    <x v="0"/>
    <n v="20"/>
    <n v="43.6"/>
  </r>
  <r>
    <x v="12"/>
    <x v="1"/>
    <x v="4"/>
    <x v="1"/>
    <x v="3"/>
    <n v="24"/>
    <n v="42.48"/>
  </r>
  <r>
    <x v="12"/>
    <x v="1"/>
    <x v="4"/>
    <x v="1"/>
    <x v="3"/>
    <n v="34"/>
    <n v="60.18"/>
  </r>
  <r>
    <x v="12"/>
    <x v="1"/>
    <x v="4"/>
    <x v="0"/>
    <x v="5"/>
    <n v="27"/>
    <n v="76.680000000000007"/>
  </r>
  <r>
    <x v="13"/>
    <x v="0"/>
    <x v="0"/>
    <x v="0"/>
    <x v="0"/>
    <n v="64"/>
    <n v="139.52000000000001"/>
  </r>
  <r>
    <x v="13"/>
    <x v="0"/>
    <x v="0"/>
    <x v="1"/>
    <x v="2"/>
    <n v="56"/>
    <n v="104.72"/>
  </r>
  <r>
    <x v="13"/>
    <x v="0"/>
    <x v="0"/>
    <x v="1"/>
    <x v="3"/>
    <n v="24"/>
    <n v="42.48"/>
  </r>
  <r>
    <x v="13"/>
    <x v="0"/>
    <x v="0"/>
    <x v="1"/>
    <x v="3"/>
    <n v="49"/>
    <n v="86.73"/>
  </r>
  <r>
    <x v="13"/>
    <x v="0"/>
    <x v="0"/>
    <x v="0"/>
    <x v="4"/>
    <n v="29"/>
    <n v="54.23"/>
  </r>
  <r>
    <x v="13"/>
    <x v="0"/>
    <x v="0"/>
    <x v="0"/>
    <x v="5"/>
    <n v="89"/>
    <n v="252.76"/>
  </r>
  <r>
    <x v="13"/>
    <x v="0"/>
    <x v="0"/>
    <x v="2"/>
    <x v="6"/>
    <n v="46"/>
    <n v="77.28"/>
  </r>
  <r>
    <x v="13"/>
    <x v="0"/>
    <x v="0"/>
    <x v="3"/>
    <x v="7"/>
    <n v="36"/>
    <n v="125.64"/>
  </r>
  <r>
    <x v="13"/>
    <x v="0"/>
    <x v="0"/>
    <x v="3"/>
    <x v="7"/>
    <n v="31"/>
    <n v="108.19"/>
  </r>
  <r>
    <x v="13"/>
    <x v="0"/>
    <x v="1"/>
    <x v="1"/>
    <x v="3"/>
    <n v="49"/>
    <n v="86.73"/>
  </r>
  <r>
    <x v="13"/>
    <x v="0"/>
    <x v="1"/>
    <x v="0"/>
    <x v="5"/>
    <n v="33"/>
    <n v="93.72"/>
  </r>
  <r>
    <x v="13"/>
    <x v="0"/>
    <x v="1"/>
    <x v="3"/>
    <x v="7"/>
    <n v="83"/>
    <n v="289.67"/>
  </r>
  <r>
    <x v="13"/>
    <x v="1"/>
    <x v="2"/>
    <x v="0"/>
    <x v="0"/>
    <n v="40"/>
    <n v="87.2"/>
  </r>
  <r>
    <x v="13"/>
    <x v="1"/>
    <x v="2"/>
    <x v="1"/>
    <x v="2"/>
    <n v="27"/>
    <n v="50.49"/>
  </r>
  <r>
    <x v="13"/>
    <x v="1"/>
    <x v="2"/>
    <x v="1"/>
    <x v="3"/>
    <n v="27"/>
    <n v="47.79"/>
  </r>
  <r>
    <x v="13"/>
    <x v="1"/>
    <x v="2"/>
    <x v="0"/>
    <x v="4"/>
    <n v="80"/>
    <n v="149.6"/>
  </r>
  <r>
    <x v="13"/>
    <x v="1"/>
    <x v="2"/>
    <x v="2"/>
    <x v="6"/>
    <n v="23"/>
    <n v="38.64"/>
  </r>
  <r>
    <x v="13"/>
    <x v="0"/>
    <x v="3"/>
    <x v="0"/>
    <x v="0"/>
    <n v="51"/>
    <n v="111.18"/>
  </r>
  <r>
    <x v="13"/>
    <x v="0"/>
    <x v="3"/>
    <x v="1"/>
    <x v="2"/>
    <n v="28"/>
    <n v="52.36"/>
  </r>
  <r>
    <x v="13"/>
    <x v="0"/>
    <x v="3"/>
    <x v="1"/>
    <x v="2"/>
    <n v="20"/>
    <n v="37.4"/>
  </r>
  <r>
    <x v="13"/>
    <x v="0"/>
    <x v="3"/>
    <x v="1"/>
    <x v="3"/>
    <n v="55"/>
    <n v="97.35"/>
  </r>
  <r>
    <x v="13"/>
    <x v="0"/>
    <x v="3"/>
    <x v="1"/>
    <x v="3"/>
    <n v="79"/>
    <n v="139.83000000000001"/>
  </r>
  <r>
    <x v="13"/>
    <x v="0"/>
    <x v="3"/>
    <x v="0"/>
    <x v="4"/>
    <n v="29"/>
    <n v="54.23"/>
  </r>
  <r>
    <x v="13"/>
    <x v="0"/>
    <x v="3"/>
    <x v="0"/>
    <x v="5"/>
    <n v="70"/>
    <n v="198.8"/>
  </r>
  <r>
    <x v="13"/>
    <x v="0"/>
    <x v="3"/>
    <x v="2"/>
    <x v="6"/>
    <n v="22"/>
    <n v="36.96"/>
  </r>
  <r>
    <x v="13"/>
    <x v="0"/>
    <x v="3"/>
    <x v="3"/>
    <x v="7"/>
    <n v="23"/>
    <n v="80.27"/>
  </r>
  <r>
    <x v="13"/>
    <x v="0"/>
    <x v="1"/>
    <x v="0"/>
    <x v="0"/>
    <n v="40"/>
    <n v="87.2"/>
  </r>
  <r>
    <x v="13"/>
    <x v="0"/>
    <x v="1"/>
    <x v="1"/>
    <x v="2"/>
    <n v="32"/>
    <n v="59.84"/>
  </r>
  <r>
    <x v="13"/>
    <x v="0"/>
    <x v="1"/>
    <x v="1"/>
    <x v="3"/>
    <n v="45"/>
    <n v="79.650000000000006"/>
  </r>
  <r>
    <x v="13"/>
    <x v="0"/>
    <x v="1"/>
    <x v="0"/>
    <x v="4"/>
    <n v="22"/>
    <n v="41.14"/>
  </r>
  <r>
    <x v="13"/>
    <x v="0"/>
    <x v="1"/>
    <x v="0"/>
    <x v="5"/>
    <n v="41"/>
    <n v="116.44"/>
  </r>
  <r>
    <x v="13"/>
    <x v="0"/>
    <x v="1"/>
    <x v="3"/>
    <x v="7"/>
    <n v="24"/>
    <n v="83.76"/>
  </r>
  <r>
    <x v="13"/>
    <x v="1"/>
    <x v="4"/>
    <x v="1"/>
    <x v="1"/>
    <n v="21"/>
    <n v="47.67"/>
  </r>
  <r>
    <x v="13"/>
    <x v="1"/>
    <x v="4"/>
    <x v="1"/>
    <x v="2"/>
    <n v="28"/>
    <n v="52.36"/>
  </r>
  <r>
    <x v="13"/>
    <x v="1"/>
    <x v="4"/>
    <x v="1"/>
    <x v="3"/>
    <n v="35"/>
    <n v="61.95"/>
  </r>
  <r>
    <x v="13"/>
    <x v="1"/>
    <x v="4"/>
    <x v="1"/>
    <x v="3"/>
    <n v="25"/>
    <n v="44.25"/>
  </r>
  <r>
    <x v="13"/>
    <x v="1"/>
    <x v="4"/>
    <x v="0"/>
    <x v="5"/>
    <n v="28"/>
    <n v="79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56920-E4B2-4BC0-B246-E4754104819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Y21:AI31" firstHeaderRow="1" firstDataRow="3" firstDataCol="1"/>
  <pivotFields count="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  <pivotField axis="axisCol" showAll="0">
      <items count="5">
        <item x="1"/>
        <item x="0"/>
        <item x="3"/>
        <item x="2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8"/>
        <item x="7"/>
        <item t="default"/>
      </items>
    </pivotField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8">
    <i>
      <x/>
    </i>
    <i r="1">
      <x/>
    </i>
    <i r="1">
      <x v="2"/>
    </i>
    <i r="1">
      <x v="3"/>
    </i>
    <i>
      <x v="1"/>
    </i>
    <i r="1">
      <x v="1"/>
    </i>
    <i r="1">
      <x v="4"/>
    </i>
    <i t="grand">
      <x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Quantity" fld="5" baseField="0" baseItem="0"/>
    <dataField name="Sum of Total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4A763-379F-4C41-8E07-1E7692603E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I5:N14" firstHeaderRow="1" firstDataRow="2" firstDataCol="2"/>
  <pivotFields count="9"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axis="axisCol" compact="0" outline="0" showAll="0">
      <items count="5">
        <item h="1" x="1"/>
        <item x="0"/>
        <item x="3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"/>
    <field x="2"/>
  </rowFields>
  <rowItems count="8">
    <i>
      <x/>
      <x/>
    </i>
    <i r="1">
      <x v="2"/>
    </i>
    <i r="1">
      <x v="3"/>
    </i>
    <i t="default">
      <x/>
    </i>
    <i>
      <x v="1"/>
      <x v="1"/>
    </i>
    <i r="1">
      <x v="4"/>
    </i>
    <i t="default">
      <x v="1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A63DF-33E2-44B8-A2CD-8662C9CE6A3A}" name="Table1" displayName="Table1" ref="A1:G438" totalsRowShown="0">
  <autoFilter ref="A1:G438" xr:uid="{AE65E294-7D97-48A4-AE9B-3486238234FC}"/>
  <tableColumns count="7">
    <tableColumn id="1" xr3:uid="{482B0098-1C75-49B0-8839-6F94409768FF}" name="OrderDate" dataDxfId="0"/>
    <tableColumn id="2" xr3:uid="{E2BCD832-E4B6-4ED9-B8BE-1A02E3B6C2E8}" name="Region"/>
    <tableColumn id="3" xr3:uid="{C9AD6681-0D9C-410D-941B-5516C17FEEE4}" name="City"/>
    <tableColumn id="5" xr3:uid="{231A5B65-26D1-4AA9-A438-F8B7A5FBBF73}" name="Category"/>
    <tableColumn id="6" xr3:uid="{C0A0464C-AD40-4B57-81D7-319C3FD0BC14}" name="Product"/>
    <tableColumn id="7" xr3:uid="{5FCDC8FE-5400-4ABD-8A15-C2A171360410}" name="Quantity"/>
    <tableColumn id="14" xr3:uid="{D43829E5-ED6F-4924-A6A9-DA3DB23D4C4E}" name="TotalPric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FE7E-5333-49BC-A43F-62BA776E9FB5}">
  <dimension ref="A1:J15"/>
  <sheetViews>
    <sheetView workbookViewId="0">
      <selection activeCell="J4" sqref="J4"/>
    </sheetView>
  </sheetViews>
  <sheetFormatPr defaultRowHeight="14.4" x14ac:dyDescent="0.3"/>
  <cols>
    <col min="1" max="2" width="13.109375" customWidth="1"/>
  </cols>
  <sheetData>
    <row r="1" spans="1:10" x14ac:dyDescent="0.3">
      <c r="A1" s="1" t="s">
        <v>2</v>
      </c>
    </row>
    <row r="3" spans="1:10" x14ac:dyDescent="0.3">
      <c r="A3" s="2" t="s">
        <v>0</v>
      </c>
      <c r="B3" s="2" t="s">
        <v>1</v>
      </c>
      <c r="J3" t="s">
        <v>82</v>
      </c>
    </row>
    <row r="4" spans="1:10" x14ac:dyDescent="0.3">
      <c r="A4" s="3">
        <v>42736</v>
      </c>
      <c r="B4" s="4">
        <f>NETWORKDAYS(A4,EOMONTH(A4,0))</f>
        <v>22</v>
      </c>
      <c r="C4">
        <f>NETWORKDAYS(DATE(2023,TEXT(A4,"M"),1),EOMONTH(DATE(2023,TEXT(A4,"M"),1),0))</f>
        <v>22</v>
      </c>
      <c r="E4">
        <f>EOMONTH(A4,0)</f>
        <v>42766</v>
      </c>
      <c r="G4" s="10" cm="1">
        <f t="array" ref="G4">SUM(IF(WEEKDAY(A4 + _xlfn.SEQUENCE(DATEDIF(A4, EOMONTH(A4,0), "D")+1,,0),2)&gt;5, 0, 1))</f>
        <v>22</v>
      </c>
      <c r="J4">
        <f ca="1">NETWORKDAYS(EOMONTH(TODAY(),0), EOMONTH(TODAY(),1))</f>
        <v>20</v>
      </c>
    </row>
    <row r="5" spans="1:10" x14ac:dyDescent="0.3">
      <c r="A5" s="3">
        <v>42767</v>
      </c>
      <c r="B5" s="4">
        <f t="shared" ref="B5:B15" si="0">NETWORKDAYS(A5,EOMONTH(A5,0))</f>
        <v>20</v>
      </c>
      <c r="C5">
        <f t="shared" ref="C5:C15" si="1">NETWORKDAYS(DATE(2023,TEXT(A5,"M"),1),EOMONTH(DATE(2023,TEXT(A5,"M"),1),0))</f>
        <v>20</v>
      </c>
      <c r="G5" s="10" cm="1">
        <f t="array" ref="G5">SUM(IF(WEEKDAY(A5 + _xlfn.SEQUENCE(DATEDIF(A5, EOMONTH(A5,0), "D")+1,,0),2)&gt;5, 0, 1))</f>
        <v>20</v>
      </c>
    </row>
    <row r="6" spans="1:10" x14ac:dyDescent="0.3">
      <c r="A6" s="3">
        <v>42795</v>
      </c>
      <c r="B6" s="4">
        <f t="shared" si="0"/>
        <v>23</v>
      </c>
      <c r="C6">
        <f t="shared" si="1"/>
        <v>23</v>
      </c>
      <c r="G6" s="10" cm="1">
        <f t="array" ref="G6">SUM(IF(WEEKDAY(A6 + _xlfn.SEQUENCE(DATEDIF(A6, EOMONTH(A6,0), "D")+1,,0),2)&gt;5, 0, 1))</f>
        <v>23</v>
      </c>
    </row>
    <row r="7" spans="1:10" x14ac:dyDescent="0.3">
      <c r="A7" s="3">
        <v>42826</v>
      </c>
      <c r="B7" s="4">
        <f t="shared" si="0"/>
        <v>20</v>
      </c>
      <c r="C7">
        <f t="shared" si="1"/>
        <v>20</v>
      </c>
      <c r="G7" s="10" cm="1">
        <f t="array" ref="G7">SUM(IF(WEEKDAY(A7 + _xlfn.SEQUENCE(DATEDIF(A7, EOMONTH(A7,0), "D")+1,,0),2)&gt;5, 0, 1))</f>
        <v>20</v>
      </c>
    </row>
    <row r="8" spans="1:10" x14ac:dyDescent="0.3">
      <c r="A8" s="3">
        <v>42856</v>
      </c>
      <c r="B8" s="4">
        <f t="shared" si="0"/>
        <v>23</v>
      </c>
      <c r="C8">
        <f t="shared" si="1"/>
        <v>23</v>
      </c>
      <c r="G8" s="10" cm="1">
        <f t="array" ref="G8">SUM(IF(WEEKDAY(A8 + _xlfn.SEQUENCE(DATEDIF(A8, EOMONTH(A8,0), "D")+1,,0),2)&gt;5, 0, 1))</f>
        <v>23</v>
      </c>
    </row>
    <row r="9" spans="1:10" x14ac:dyDescent="0.3">
      <c r="A9" s="3">
        <v>42887</v>
      </c>
      <c r="B9" s="4">
        <f t="shared" si="0"/>
        <v>22</v>
      </c>
      <c r="C9">
        <f t="shared" si="1"/>
        <v>22</v>
      </c>
      <c r="G9" s="10" cm="1">
        <f t="array" ref="G9">SUM(IF(WEEKDAY(A9 + _xlfn.SEQUENCE(DATEDIF(A9, EOMONTH(A9,0), "D")+1,,0),2)&gt;5, 0, 1))</f>
        <v>22</v>
      </c>
    </row>
    <row r="10" spans="1:10" x14ac:dyDescent="0.3">
      <c r="A10" s="3">
        <v>42917</v>
      </c>
      <c r="B10" s="4">
        <f t="shared" si="0"/>
        <v>21</v>
      </c>
      <c r="C10">
        <f t="shared" si="1"/>
        <v>21</v>
      </c>
      <c r="G10" s="10" cm="1">
        <f t="array" ref="G10">SUM(IF(WEEKDAY(A10 + _xlfn.SEQUENCE(DATEDIF(A10, EOMONTH(A10,0), "D")+1,,0),2)&gt;5, 0, 1))</f>
        <v>21</v>
      </c>
    </row>
    <row r="11" spans="1:10" x14ac:dyDescent="0.3">
      <c r="A11" s="3">
        <v>42948</v>
      </c>
      <c r="B11" s="4">
        <f t="shared" si="0"/>
        <v>23</v>
      </c>
      <c r="C11">
        <f t="shared" si="1"/>
        <v>23</v>
      </c>
      <c r="G11" s="10" cm="1">
        <f t="array" ref="G11">SUM(IF(WEEKDAY(A11 + _xlfn.SEQUENCE(DATEDIF(A11, EOMONTH(A11,0), "D")+1,,0),2)&gt;5, 0, 1))</f>
        <v>23</v>
      </c>
    </row>
    <row r="12" spans="1:10" x14ac:dyDescent="0.3">
      <c r="A12" s="3">
        <v>42979</v>
      </c>
      <c r="B12" s="4">
        <f t="shared" si="0"/>
        <v>21</v>
      </c>
      <c r="C12">
        <f t="shared" si="1"/>
        <v>21</v>
      </c>
      <c r="G12" s="10" cm="1">
        <f t="array" ref="G12">SUM(IF(WEEKDAY(A12 + _xlfn.SEQUENCE(DATEDIF(A12, EOMONTH(A12,0), "D")+1,,0),2)&gt;5, 0, 1))</f>
        <v>21</v>
      </c>
    </row>
    <row r="13" spans="1:10" x14ac:dyDescent="0.3">
      <c r="A13" s="3">
        <v>43009</v>
      </c>
      <c r="B13" s="4">
        <f t="shared" si="0"/>
        <v>22</v>
      </c>
      <c r="C13">
        <f t="shared" si="1"/>
        <v>22</v>
      </c>
      <c r="G13" s="10" cm="1">
        <f t="array" ref="G13">SUM(IF(WEEKDAY(A13 + _xlfn.SEQUENCE(DATEDIF(A13, EOMONTH(A13,0), "D")+1,,0),2)&gt;5, 0, 1))</f>
        <v>22</v>
      </c>
    </row>
    <row r="14" spans="1:10" x14ac:dyDescent="0.3">
      <c r="A14" s="3">
        <v>43040</v>
      </c>
      <c r="B14" s="4">
        <f t="shared" si="0"/>
        <v>22</v>
      </c>
      <c r="C14">
        <f t="shared" si="1"/>
        <v>22</v>
      </c>
      <c r="G14" s="10" cm="1">
        <f t="array" ref="G14">SUM(IF(WEEKDAY(A14 + _xlfn.SEQUENCE(DATEDIF(A14, EOMONTH(A14,0), "D")+1,,0),2)&gt;5, 0, 1))</f>
        <v>22</v>
      </c>
    </row>
    <row r="15" spans="1:10" x14ac:dyDescent="0.3">
      <c r="A15" s="3">
        <v>43070</v>
      </c>
      <c r="B15" s="4">
        <f t="shared" si="0"/>
        <v>21</v>
      </c>
      <c r="C15">
        <f t="shared" si="1"/>
        <v>21</v>
      </c>
      <c r="G15" s="10" cm="1">
        <f t="array" ref="G15">SUM(IF(WEEKDAY(A15 + _xlfn.SEQUENCE(DATEDIF(A15, EOMONTH(A15,0), "D")+1,,0),2)&gt;5, 0, 1))</f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DFB5B-1365-4EE9-8159-F093D271269E}">
  <dimension ref="A1:E17"/>
  <sheetViews>
    <sheetView workbookViewId="0">
      <selection activeCell="E3" sqref="E3:E17"/>
    </sheetView>
  </sheetViews>
  <sheetFormatPr defaultRowHeight="14.4" x14ac:dyDescent="0.3"/>
  <cols>
    <col min="2" max="2" width="15.5546875" bestFit="1" customWidth="1"/>
  </cols>
  <sheetData>
    <row r="1" spans="1:5" x14ac:dyDescent="0.3">
      <c r="A1" s="1" t="s">
        <v>3</v>
      </c>
    </row>
    <row r="2" spans="1:5" x14ac:dyDescent="0.3">
      <c r="A2" s="5" t="s">
        <v>4</v>
      </c>
      <c r="B2" s="5" t="s">
        <v>5</v>
      </c>
    </row>
    <row r="3" spans="1:5" x14ac:dyDescent="0.3">
      <c r="A3" s="4">
        <v>1</v>
      </c>
      <c r="B3" s="4" t="str">
        <f>IF(IFERROR(A3-A2,1)=1,"",A3-1)</f>
        <v/>
      </c>
      <c r="C3" t="str">
        <f>IF(IF(TYPE(A2)&lt;&gt; 1,0,A2)+1=A3,"",A2+1)</f>
        <v/>
      </c>
      <c r="E3" t="str">
        <f>IF(ISNUMBER(A2),IF(A3-1=A2,"",A3-1),"")</f>
        <v/>
      </c>
    </row>
    <row r="4" spans="1:5" x14ac:dyDescent="0.3">
      <c r="A4" s="4">
        <v>2</v>
      </c>
      <c r="B4" s="4" t="str">
        <f t="shared" ref="B4:B17" si="0">IF(IFERROR(A4-A3,1)=1,"",A4-1)</f>
        <v/>
      </c>
      <c r="C4" t="str">
        <f t="shared" ref="C4:C17" si="1">IF(IF(TYPE(A3)&lt;&gt; 1,0,A3)+1=A4,"",A3+1)</f>
        <v/>
      </c>
      <c r="E4" t="str">
        <f t="shared" ref="E4:E17" si="2">IF(ISNUMBER(A3),IF(A4-1=A3,"",A4-1),"")</f>
        <v/>
      </c>
    </row>
    <row r="5" spans="1:5" x14ac:dyDescent="0.3">
      <c r="A5" s="4">
        <v>3</v>
      </c>
      <c r="B5" s="4" t="str">
        <f t="shared" si="0"/>
        <v/>
      </c>
      <c r="C5" t="str">
        <f t="shared" si="1"/>
        <v/>
      </c>
      <c r="E5" t="str">
        <f t="shared" si="2"/>
        <v/>
      </c>
    </row>
    <row r="6" spans="1:5" x14ac:dyDescent="0.3">
      <c r="A6" s="4">
        <v>5</v>
      </c>
      <c r="B6" s="4">
        <f t="shared" si="0"/>
        <v>4</v>
      </c>
      <c r="C6">
        <f t="shared" si="1"/>
        <v>4</v>
      </c>
      <c r="E6">
        <f t="shared" si="2"/>
        <v>4</v>
      </c>
    </row>
    <row r="7" spans="1:5" x14ac:dyDescent="0.3">
      <c r="A7" s="4">
        <v>6</v>
      </c>
      <c r="B7" s="4" t="str">
        <f t="shared" si="0"/>
        <v/>
      </c>
      <c r="C7" t="str">
        <f t="shared" si="1"/>
        <v/>
      </c>
      <c r="E7" t="str">
        <f t="shared" si="2"/>
        <v/>
      </c>
    </row>
    <row r="8" spans="1:5" x14ac:dyDescent="0.3">
      <c r="A8" s="4">
        <v>8</v>
      </c>
      <c r="B8" s="4">
        <f t="shared" si="0"/>
        <v>7</v>
      </c>
      <c r="C8">
        <f t="shared" si="1"/>
        <v>7</v>
      </c>
      <c r="E8">
        <f t="shared" si="2"/>
        <v>7</v>
      </c>
    </row>
    <row r="9" spans="1:5" x14ac:dyDescent="0.3">
      <c r="A9" s="4">
        <v>9</v>
      </c>
      <c r="B9" s="4" t="str">
        <f t="shared" si="0"/>
        <v/>
      </c>
      <c r="C9" t="str">
        <f t="shared" si="1"/>
        <v/>
      </c>
      <c r="E9" t="str">
        <f t="shared" si="2"/>
        <v/>
      </c>
    </row>
    <row r="10" spans="1:5" x14ac:dyDescent="0.3">
      <c r="A10" s="4">
        <v>10</v>
      </c>
      <c r="B10" s="4" t="str">
        <f t="shared" si="0"/>
        <v/>
      </c>
      <c r="C10" t="str">
        <f t="shared" si="1"/>
        <v/>
      </c>
      <c r="E10" t="str">
        <f t="shared" si="2"/>
        <v/>
      </c>
    </row>
    <row r="11" spans="1:5" x14ac:dyDescent="0.3">
      <c r="A11" s="4">
        <v>12</v>
      </c>
      <c r="B11" s="4">
        <f t="shared" si="0"/>
        <v>11</v>
      </c>
      <c r="C11">
        <f t="shared" si="1"/>
        <v>11</v>
      </c>
      <c r="E11">
        <f t="shared" si="2"/>
        <v>11</v>
      </c>
    </row>
    <row r="12" spans="1:5" x14ac:dyDescent="0.3">
      <c r="A12" s="4">
        <v>14</v>
      </c>
      <c r="B12" s="4">
        <f t="shared" si="0"/>
        <v>13</v>
      </c>
      <c r="C12">
        <f t="shared" si="1"/>
        <v>13</v>
      </c>
      <c r="E12">
        <f t="shared" si="2"/>
        <v>13</v>
      </c>
    </row>
    <row r="13" spans="1:5" x14ac:dyDescent="0.3">
      <c r="A13" s="4">
        <v>15</v>
      </c>
      <c r="B13" s="4" t="str">
        <f t="shared" si="0"/>
        <v/>
      </c>
      <c r="C13" t="str">
        <f t="shared" si="1"/>
        <v/>
      </c>
      <c r="E13" t="str">
        <f t="shared" si="2"/>
        <v/>
      </c>
    </row>
    <row r="14" spans="1:5" x14ac:dyDescent="0.3">
      <c r="A14" s="4">
        <v>16</v>
      </c>
      <c r="B14" s="4" t="str">
        <f t="shared" si="0"/>
        <v/>
      </c>
      <c r="C14" t="str">
        <f t="shared" si="1"/>
        <v/>
      </c>
      <c r="E14" t="str">
        <f t="shared" si="2"/>
        <v/>
      </c>
    </row>
    <row r="15" spans="1:5" x14ac:dyDescent="0.3">
      <c r="A15" s="4">
        <v>18</v>
      </c>
      <c r="B15" s="4">
        <f t="shared" si="0"/>
        <v>17</v>
      </c>
      <c r="C15">
        <f t="shared" si="1"/>
        <v>17</v>
      </c>
      <c r="E15">
        <f t="shared" si="2"/>
        <v>17</v>
      </c>
    </row>
    <row r="16" spans="1:5" x14ac:dyDescent="0.3">
      <c r="A16" s="4">
        <v>20</v>
      </c>
      <c r="B16" s="4">
        <f t="shared" si="0"/>
        <v>19</v>
      </c>
      <c r="C16">
        <f t="shared" si="1"/>
        <v>19</v>
      </c>
      <c r="E16">
        <f t="shared" si="2"/>
        <v>19</v>
      </c>
    </row>
    <row r="17" spans="1:5" x14ac:dyDescent="0.3">
      <c r="A17" s="4">
        <v>21</v>
      </c>
      <c r="B17" s="4" t="str">
        <f t="shared" si="0"/>
        <v/>
      </c>
      <c r="C17" t="str">
        <f t="shared" si="1"/>
        <v/>
      </c>
      <c r="E17" t="str">
        <f t="shared" si="2"/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E63D-D835-4F42-B7D4-3A3C033B3B1E}">
  <dimension ref="A1:I12"/>
  <sheetViews>
    <sheetView workbookViewId="0">
      <selection activeCell="C5" sqref="C5"/>
    </sheetView>
  </sheetViews>
  <sheetFormatPr defaultRowHeight="14.4" x14ac:dyDescent="0.3"/>
  <sheetData>
    <row r="1" spans="1:9" x14ac:dyDescent="0.3">
      <c r="A1" s="1" t="s">
        <v>6</v>
      </c>
      <c r="C1" s="1" t="s">
        <v>19</v>
      </c>
    </row>
    <row r="2" spans="1:9" x14ac:dyDescent="0.3">
      <c r="A2" t="s">
        <v>7</v>
      </c>
    </row>
    <row r="3" spans="1:9" x14ac:dyDescent="0.3">
      <c r="A3" t="s">
        <v>8</v>
      </c>
    </row>
    <row r="4" spans="1:9" x14ac:dyDescent="0.3">
      <c r="A4" t="s">
        <v>9</v>
      </c>
      <c r="C4" s="1" t="s">
        <v>6</v>
      </c>
      <c r="D4" s="1" t="s">
        <v>18</v>
      </c>
    </row>
    <row r="5" spans="1:9" x14ac:dyDescent="0.3">
      <c r="A5" t="s">
        <v>10</v>
      </c>
      <c r="C5" t="s">
        <v>17</v>
      </c>
      <c r="D5">
        <f>COUNTA(A2:A12)-MATCH(C5,A2:A12,0)+1</f>
        <v>1</v>
      </c>
      <c r="E5">
        <f>(COUNTA(A2:A12)-MATCH(C5,A2:A12,0))+1</f>
        <v>1</v>
      </c>
      <c r="G5" cm="1">
        <f t="array" ref="G5">12- MAX(IF(A2:A12=C5, ROW(A2:A12)-1))</f>
        <v>1</v>
      </c>
      <c r="I5">
        <f>COUNTA(A2:A12) - MATCH(C5, A2:A12) + 1</f>
        <v>1</v>
      </c>
    </row>
    <row r="6" spans="1:9" x14ac:dyDescent="0.3">
      <c r="A6" t="s">
        <v>11</v>
      </c>
    </row>
    <row r="7" spans="1:9" x14ac:dyDescent="0.3">
      <c r="A7" t="s">
        <v>12</v>
      </c>
      <c r="D7">
        <f>COUNTA(A2:A12)-MATCH(C5,A2:A12,0)+1</f>
        <v>1</v>
      </c>
    </row>
    <row r="8" spans="1:9" x14ac:dyDescent="0.3">
      <c r="A8" t="s">
        <v>13</v>
      </c>
    </row>
    <row r="9" spans="1:9" x14ac:dyDescent="0.3">
      <c r="A9" t="s">
        <v>14</v>
      </c>
    </row>
    <row r="10" spans="1:9" x14ac:dyDescent="0.3">
      <c r="A10" t="s">
        <v>15</v>
      </c>
    </row>
    <row r="11" spans="1:9" x14ac:dyDescent="0.3">
      <c r="A11" t="s">
        <v>16</v>
      </c>
    </row>
    <row r="12" spans="1:9" x14ac:dyDescent="0.3">
      <c r="A12" t="s">
        <v>17</v>
      </c>
    </row>
  </sheetData>
  <dataValidations count="1">
    <dataValidation type="list" allowBlank="1" showInputMessage="1" showErrorMessage="1" sqref="C5" xr:uid="{DF338D03-6974-470A-A74E-9D11E861AAF5}">
      <formula1>$A$2:$A$12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AE2E-509A-4C6A-8409-43F76645A7CA}">
  <dimension ref="A1:N20"/>
  <sheetViews>
    <sheetView workbookViewId="0">
      <selection activeCell="J15" sqref="J15"/>
    </sheetView>
  </sheetViews>
  <sheetFormatPr defaultRowHeight="14.4" x14ac:dyDescent="0.3"/>
  <cols>
    <col min="4" max="4" width="10" bestFit="1" customWidth="1"/>
  </cols>
  <sheetData>
    <row r="1" spans="1:14" x14ac:dyDescent="0.3">
      <c r="A1" s="5" t="s">
        <v>20</v>
      </c>
      <c r="B1" s="5" t="s">
        <v>21</v>
      </c>
      <c r="C1" s="5" t="s">
        <v>22</v>
      </c>
      <c r="D1" s="5" t="s">
        <v>24</v>
      </c>
      <c r="E1" s="5" t="s">
        <v>23</v>
      </c>
    </row>
    <row r="2" spans="1:14" x14ac:dyDescent="0.3">
      <c r="A2" s="4">
        <v>101</v>
      </c>
      <c r="B2" s="4" t="s">
        <v>25</v>
      </c>
      <c r="C2" s="4">
        <v>11079</v>
      </c>
      <c r="D2" s="4">
        <v>3826</v>
      </c>
      <c r="E2" s="4">
        <v>1832</v>
      </c>
    </row>
    <row r="3" spans="1:14" x14ac:dyDescent="0.3">
      <c r="A3" s="4">
        <v>101</v>
      </c>
      <c r="B3" s="4" t="s">
        <v>26</v>
      </c>
      <c r="C3" s="4">
        <v>8671</v>
      </c>
      <c r="D3" s="4">
        <v>4627</v>
      </c>
      <c r="E3" s="4">
        <v>1731</v>
      </c>
    </row>
    <row r="4" spans="1:14" x14ac:dyDescent="0.3">
      <c r="A4" s="4">
        <v>102</v>
      </c>
      <c r="B4" s="4" t="s">
        <v>27</v>
      </c>
      <c r="C4" s="4">
        <v>5753</v>
      </c>
      <c r="D4" s="4">
        <v>1889</v>
      </c>
      <c r="E4" s="4">
        <v>1765</v>
      </c>
    </row>
    <row r="5" spans="1:14" x14ac:dyDescent="0.3">
      <c r="A5" s="4">
        <v>102</v>
      </c>
      <c r="B5" s="4" t="s">
        <v>28</v>
      </c>
      <c r="C5" s="4">
        <v>6662</v>
      </c>
      <c r="D5" s="4">
        <v>2967</v>
      </c>
      <c r="E5" s="4">
        <v>1688</v>
      </c>
      <c r="H5" s="1" t="s">
        <v>44</v>
      </c>
    </row>
    <row r="6" spans="1:14" x14ac:dyDescent="0.3">
      <c r="A6" s="4">
        <v>102</v>
      </c>
      <c r="B6" s="4" t="s">
        <v>29</v>
      </c>
      <c r="C6" s="4">
        <v>8667</v>
      </c>
      <c r="D6" s="4">
        <v>2457</v>
      </c>
      <c r="E6" s="4">
        <v>1588</v>
      </c>
    </row>
    <row r="7" spans="1:14" x14ac:dyDescent="0.3">
      <c r="A7" s="4">
        <v>103</v>
      </c>
      <c r="B7" s="4" t="s">
        <v>30</v>
      </c>
      <c r="C7" s="4">
        <v>5470</v>
      </c>
      <c r="D7" s="4">
        <v>3353</v>
      </c>
      <c r="E7" s="4">
        <v>1645</v>
      </c>
    </row>
    <row r="8" spans="1:14" x14ac:dyDescent="0.3">
      <c r="A8" s="4">
        <v>103</v>
      </c>
      <c r="B8" s="4" t="s">
        <v>31</v>
      </c>
      <c r="C8" s="4">
        <v>6393</v>
      </c>
      <c r="D8" s="4">
        <v>2851</v>
      </c>
      <c r="E8" s="4">
        <v>1421</v>
      </c>
      <c r="H8">
        <v>101</v>
      </c>
      <c r="I8" t="s">
        <v>24</v>
      </c>
      <c r="J8">
        <f>SUMIFS(INDEX(C2:E20,,MATCH(I8,C1:E1,0)),A2:A20,H8)</f>
        <v>8453</v>
      </c>
      <c r="N8" s="5" t="s">
        <v>22</v>
      </c>
    </row>
    <row r="9" spans="1:14" x14ac:dyDescent="0.3">
      <c r="A9" s="4">
        <v>103</v>
      </c>
      <c r="B9" s="4" t="s">
        <v>32</v>
      </c>
      <c r="C9" s="4">
        <v>10638</v>
      </c>
      <c r="D9" s="4">
        <v>4193</v>
      </c>
      <c r="E9" s="4">
        <v>1189</v>
      </c>
      <c r="N9" s="5" t="s">
        <v>24</v>
      </c>
    </row>
    <row r="10" spans="1:14" x14ac:dyDescent="0.3">
      <c r="A10" s="4">
        <v>103</v>
      </c>
      <c r="B10" s="4" t="s">
        <v>33</v>
      </c>
      <c r="C10" s="4">
        <v>8216</v>
      </c>
      <c r="D10" s="4">
        <v>3607</v>
      </c>
      <c r="E10" s="4">
        <v>1105</v>
      </c>
      <c r="N10" s="5" t="s">
        <v>23</v>
      </c>
    </row>
    <row r="11" spans="1:14" x14ac:dyDescent="0.3">
      <c r="A11" s="4">
        <v>104</v>
      </c>
      <c r="B11" s="4" t="s">
        <v>34</v>
      </c>
      <c r="C11" s="4">
        <v>10008</v>
      </c>
      <c r="D11" s="4">
        <v>1461</v>
      </c>
      <c r="E11" s="4">
        <v>1444</v>
      </c>
    </row>
    <row r="12" spans="1:14" x14ac:dyDescent="0.3">
      <c r="A12" s="4">
        <v>104</v>
      </c>
      <c r="B12" s="4" t="s">
        <v>35</v>
      </c>
      <c r="C12" s="4">
        <v>5929</v>
      </c>
      <c r="D12" s="4">
        <v>3333</v>
      </c>
      <c r="E12" s="4">
        <v>1605</v>
      </c>
      <c r="J12">
        <f>SUMIFS(INDEX(C2:E20,,MATCH(I8,C1:E1,0)),A2:A20,H8)</f>
        <v>8453</v>
      </c>
    </row>
    <row r="13" spans="1:14" x14ac:dyDescent="0.3">
      <c r="A13" s="4">
        <v>105</v>
      </c>
      <c r="B13" s="4" t="s">
        <v>36</v>
      </c>
      <c r="C13" s="4">
        <v>11218</v>
      </c>
      <c r="D13" s="4">
        <v>1885</v>
      </c>
      <c r="E13" s="4">
        <v>1469</v>
      </c>
      <c r="J13" cm="1">
        <f t="array" ref="J13">SUM((C2:E20)*(C1:E1=I8)*(A2:A20=H8))</f>
        <v>8453</v>
      </c>
    </row>
    <row r="14" spans="1:14" x14ac:dyDescent="0.3">
      <c r="A14" s="4">
        <v>105</v>
      </c>
      <c r="B14" s="4" t="s">
        <v>37</v>
      </c>
      <c r="C14" s="4">
        <v>7669</v>
      </c>
      <c r="D14" s="4">
        <v>2903</v>
      </c>
      <c r="E14" s="4">
        <v>1626</v>
      </c>
    </row>
    <row r="15" spans="1:14" x14ac:dyDescent="0.3">
      <c r="A15" s="4">
        <v>105</v>
      </c>
      <c r="B15" s="4" t="s">
        <v>38</v>
      </c>
      <c r="C15" s="4">
        <v>7933</v>
      </c>
      <c r="D15" s="4">
        <v>3006</v>
      </c>
      <c r="E15" s="4">
        <v>1124</v>
      </c>
    </row>
    <row r="16" spans="1:14" x14ac:dyDescent="0.3">
      <c r="A16" s="4">
        <v>105</v>
      </c>
      <c r="B16" s="4" t="s">
        <v>39</v>
      </c>
      <c r="C16" s="4">
        <v>13917</v>
      </c>
      <c r="D16" s="4">
        <v>2374</v>
      </c>
      <c r="E16" s="4">
        <v>1568</v>
      </c>
    </row>
    <row r="17" spans="1:5" x14ac:dyDescent="0.3">
      <c r="A17" s="4">
        <v>105</v>
      </c>
      <c r="B17" s="4" t="s">
        <v>40</v>
      </c>
      <c r="C17" s="4">
        <v>9671</v>
      </c>
      <c r="D17" s="4">
        <v>4093</v>
      </c>
      <c r="E17" s="4">
        <v>1272</v>
      </c>
    </row>
    <row r="18" spans="1:5" x14ac:dyDescent="0.3">
      <c r="A18" s="4">
        <v>106</v>
      </c>
      <c r="B18" s="4" t="s">
        <v>41</v>
      </c>
      <c r="C18" s="4">
        <v>13037</v>
      </c>
      <c r="D18" s="4">
        <v>4538</v>
      </c>
      <c r="E18" s="4">
        <v>1888</v>
      </c>
    </row>
    <row r="19" spans="1:5" x14ac:dyDescent="0.3">
      <c r="A19" s="4">
        <v>106</v>
      </c>
      <c r="B19" s="4" t="s">
        <v>42</v>
      </c>
      <c r="C19" s="4">
        <v>8024</v>
      </c>
      <c r="D19" s="4">
        <v>2155</v>
      </c>
      <c r="E19" s="4">
        <v>1435</v>
      </c>
    </row>
    <row r="20" spans="1:5" x14ac:dyDescent="0.3">
      <c r="A20" s="4">
        <v>106</v>
      </c>
      <c r="B20" s="4" t="s">
        <v>43</v>
      </c>
      <c r="C20" s="4">
        <v>10048</v>
      </c>
      <c r="D20" s="4">
        <v>1749</v>
      </c>
      <c r="E20" s="4">
        <v>1957</v>
      </c>
    </row>
  </sheetData>
  <dataValidations count="1">
    <dataValidation type="list" allowBlank="1" showInputMessage="1" showErrorMessage="1" sqref="I8" xr:uid="{42831964-DD55-43AB-9E2F-2AE4778819F0}">
      <formula1>$N$8:$N$10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535C-3E14-46C2-86C8-FA52FEEA24ED}">
  <dimension ref="A1:AI438"/>
  <sheetViews>
    <sheetView tabSelected="1" workbookViewId="0">
      <selection activeCell="AC24" sqref="AC24"/>
    </sheetView>
  </sheetViews>
  <sheetFormatPr defaultRowHeight="14.4" x14ac:dyDescent="0.3"/>
  <cols>
    <col min="1" max="1" width="11.88671875" bestFit="1" customWidth="1"/>
    <col min="2" max="2" width="9" bestFit="1" customWidth="1"/>
    <col min="3" max="4" width="10.77734375" bestFit="1" customWidth="1"/>
    <col min="5" max="5" width="13.44140625" bestFit="1" customWidth="1"/>
    <col min="6" max="6" width="10.5546875" bestFit="1" customWidth="1"/>
    <col min="7" max="7" width="11.5546875" bestFit="1" customWidth="1"/>
    <col min="9" max="9" width="15.21875" customWidth="1"/>
    <col min="10" max="10" width="10.77734375" bestFit="1" customWidth="1"/>
    <col min="11" max="11" width="8.5546875" bestFit="1" customWidth="1"/>
    <col min="12" max="12" width="8.109375" bestFit="1" customWidth="1"/>
    <col min="13" max="13" width="6.77734375" bestFit="1" customWidth="1"/>
    <col min="14" max="14" width="10.77734375" bestFit="1" customWidth="1"/>
    <col min="15" max="15" width="11.33203125" bestFit="1" customWidth="1"/>
    <col min="25" max="25" width="14.77734375" bestFit="1" customWidth="1"/>
    <col min="26" max="26" width="15.5546875" bestFit="1" customWidth="1"/>
    <col min="27" max="27" width="15.88671875" bestFit="1" customWidth="1"/>
    <col min="28" max="28" width="14.88671875" bestFit="1" customWidth="1"/>
    <col min="29" max="29" width="15.88671875" bestFit="1" customWidth="1"/>
    <col min="30" max="30" width="14.88671875" bestFit="1" customWidth="1"/>
    <col min="31" max="31" width="15.88671875" bestFit="1" customWidth="1"/>
    <col min="32" max="32" width="14.88671875" bestFit="1" customWidth="1"/>
    <col min="33" max="33" width="15.88671875" bestFit="1" customWidth="1"/>
    <col min="34" max="34" width="19.6640625" bestFit="1" customWidth="1"/>
    <col min="35" max="35" width="20.6640625" bestFit="1" customWidth="1"/>
    <col min="36" max="36" width="14.88671875" bestFit="1" customWidth="1"/>
    <col min="37" max="37" width="15.88671875" bestFit="1" customWidth="1"/>
    <col min="38" max="38" width="14.88671875" bestFit="1" customWidth="1"/>
    <col min="39" max="39" width="15.88671875" bestFit="1" customWidth="1"/>
    <col min="40" max="40" width="14.88671875" bestFit="1" customWidth="1"/>
    <col min="41" max="41" width="15.88671875" bestFit="1" customWidth="1"/>
    <col min="42" max="42" width="14.88671875" bestFit="1" customWidth="1"/>
    <col min="43" max="43" width="15.88671875" bestFit="1" customWidth="1"/>
    <col min="44" max="44" width="19.6640625" bestFit="1" customWidth="1"/>
    <col min="45" max="45" width="20.6640625" bestFit="1" customWidth="1"/>
    <col min="46" max="46" width="22.6640625" bestFit="1" customWidth="1"/>
    <col min="47" max="47" width="23.6640625" bestFit="1" customWidth="1"/>
    <col min="48" max="48" width="14.88671875" bestFit="1" customWidth="1"/>
    <col min="49" max="49" width="15.88671875" bestFit="1" customWidth="1"/>
    <col min="50" max="50" width="21.33203125" bestFit="1" customWidth="1"/>
    <col min="51" max="51" width="22.33203125" bestFit="1" customWidth="1"/>
    <col min="52" max="52" width="19.6640625" bestFit="1" customWidth="1"/>
    <col min="53" max="53" width="20.6640625" bestFit="1" customWidth="1"/>
  </cols>
  <sheetData>
    <row r="1" spans="1:14" x14ac:dyDescent="0.3">
      <c r="A1" s="6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14" x14ac:dyDescent="0.3">
      <c r="A2" s="6">
        <v>41641</v>
      </c>
      <c r="B2" t="s">
        <v>52</v>
      </c>
      <c r="C2" t="s">
        <v>53</v>
      </c>
      <c r="D2" t="s">
        <v>54</v>
      </c>
      <c r="E2" t="s">
        <v>55</v>
      </c>
      <c r="F2">
        <v>48</v>
      </c>
      <c r="G2">
        <v>73.25</v>
      </c>
      <c r="I2" s="1" t="s">
        <v>76</v>
      </c>
    </row>
    <row r="3" spans="1:14" x14ac:dyDescent="0.3">
      <c r="A3" s="6">
        <v>41641</v>
      </c>
      <c r="B3" t="s">
        <v>52</v>
      </c>
      <c r="C3" t="s">
        <v>53</v>
      </c>
      <c r="D3" t="s">
        <v>56</v>
      </c>
      <c r="E3" t="s">
        <v>57</v>
      </c>
      <c r="F3">
        <v>30</v>
      </c>
      <c r="G3">
        <v>68.099999999999994</v>
      </c>
    </row>
    <row r="4" spans="1:14" x14ac:dyDescent="0.3">
      <c r="A4" s="6">
        <v>41641</v>
      </c>
      <c r="B4" t="s">
        <v>52</v>
      </c>
      <c r="C4" t="s">
        <v>53</v>
      </c>
      <c r="D4" t="s">
        <v>56</v>
      </c>
      <c r="E4" t="s">
        <v>58</v>
      </c>
      <c r="F4">
        <v>23</v>
      </c>
      <c r="G4">
        <v>30.11</v>
      </c>
    </row>
    <row r="5" spans="1:14" x14ac:dyDescent="0.3">
      <c r="A5" s="6">
        <v>41641</v>
      </c>
      <c r="B5" t="s">
        <v>52</v>
      </c>
      <c r="C5" t="s">
        <v>53</v>
      </c>
      <c r="D5" t="s">
        <v>56</v>
      </c>
      <c r="E5" t="s">
        <v>59</v>
      </c>
      <c r="F5">
        <v>54</v>
      </c>
      <c r="G5">
        <v>81.239999999999995</v>
      </c>
      <c r="I5" s="7" t="s">
        <v>75</v>
      </c>
      <c r="K5" s="7" t="s">
        <v>48</v>
      </c>
    </row>
    <row r="6" spans="1:14" x14ac:dyDescent="0.3">
      <c r="A6" s="6">
        <v>41641</v>
      </c>
      <c r="B6" t="s">
        <v>52</v>
      </c>
      <c r="C6" t="s">
        <v>53</v>
      </c>
      <c r="D6" t="s">
        <v>54</v>
      </c>
      <c r="E6" t="s">
        <v>60</v>
      </c>
      <c r="F6">
        <v>88</v>
      </c>
      <c r="G6">
        <v>164.56</v>
      </c>
      <c r="I6" s="7" t="s">
        <v>46</v>
      </c>
      <c r="J6" s="7" t="s">
        <v>47</v>
      </c>
      <c r="K6" t="s">
        <v>54</v>
      </c>
      <c r="L6" t="s">
        <v>69</v>
      </c>
      <c r="M6" t="s">
        <v>62</v>
      </c>
      <c r="N6" t="s">
        <v>72</v>
      </c>
    </row>
    <row r="7" spans="1:14" x14ac:dyDescent="0.3">
      <c r="A7" s="6">
        <v>41641</v>
      </c>
      <c r="B7" t="s">
        <v>52</v>
      </c>
      <c r="C7" t="s">
        <v>53</v>
      </c>
      <c r="D7" t="s">
        <v>54</v>
      </c>
      <c r="E7" t="s">
        <v>61</v>
      </c>
      <c r="F7">
        <v>90</v>
      </c>
      <c r="G7">
        <v>255.6</v>
      </c>
      <c r="I7" t="s">
        <v>52</v>
      </c>
      <c r="J7" t="s">
        <v>53</v>
      </c>
      <c r="K7">
        <v>2515</v>
      </c>
      <c r="L7">
        <v>496</v>
      </c>
      <c r="M7">
        <v>554</v>
      </c>
      <c r="N7">
        <v>3565</v>
      </c>
    </row>
    <row r="8" spans="1:14" x14ac:dyDescent="0.3">
      <c r="A8" s="6">
        <v>41641</v>
      </c>
      <c r="B8" t="s">
        <v>52</v>
      </c>
      <c r="C8" t="s">
        <v>53</v>
      </c>
      <c r="D8" t="s">
        <v>62</v>
      </c>
      <c r="E8" t="s">
        <v>63</v>
      </c>
      <c r="F8">
        <v>52</v>
      </c>
      <c r="G8">
        <v>87.36</v>
      </c>
      <c r="J8" t="s">
        <v>64</v>
      </c>
      <c r="K8">
        <v>1658</v>
      </c>
      <c r="L8">
        <v>457</v>
      </c>
      <c r="M8">
        <v>282</v>
      </c>
      <c r="N8">
        <v>2397</v>
      </c>
    </row>
    <row r="9" spans="1:14" x14ac:dyDescent="0.3">
      <c r="A9" s="6">
        <v>41641</v>
      </c>
      <c r="B9" t="s">
        <v>52</v>
      </c>
      <c r="C9" t="s">
        <v>64</v>
      </c>
      <c r="D9" t="s">
        <v>56</v>
      </c>
      <c r="E9" t="s">
        <v>59</v>
      </c>
      <c r="F9">
        <v>31</v>
      </c>
      <c r="G9">
        <v>46.64</v>
      </c>
      <c r="J9" t="s">
        <v>67</v>
      </c>
      <c r="K9">
        <v>1472</v>
      </c>
      <c r="L9">
        <v>283</v>
      </c>
      <c r="M9">
        <v>236</v>
      </c>
      <c r="N9">
        <v>1991</v>
      </c>
    </row>
    <row r="10" spans="1:14" x14ac:dyDescent="0.3">
      <c r="A10" s="6">
        <v>41641</v>
      </c>
      <c r="B10" t="s">
        <v>65</v>
      </c>
      <c r="C10" t="s">
        <v>66</v>
      </c>
      <c r="D10" t="s">
        <v>56</v>
      </c>
      <c r="E10" t="s">
        <v>59</v>
      </c>
      <c r="F10">
        <v>24</v>
      </c>
      <c r="G10">
        <v>36.11</v>
      </c>
      <c r="I10" t="s">
        <v>73</v>
      </c>
      <c r="K10">
        <v>5645</v>
      </c>
      <c r="L10">
        <v>1236</v>
      </c>
      <c r="M10">
        <v>1072</v>
      </c>
      <c r="N10">
        <v>7953</v>
      </c>
    </row>
    <row r="11" spans="1:14" x14ac:dyDescent="0.3">
      <c r="A11" s="6">
        <v>41641</v>
      </c>
      <c r="B11" t="s">
        <v>65</v>
      </c>
      <c r="C11" t="s">
        <v>66</v>
      </c>
      <c r="D11" t="s">
        <v>56</v>
      </c>
      <c r="E11" t="s">
        <v>59</v>
      </c>
      <c r="F11">
        <v>34</v>
      </c>
      <c r="G11">
        <v>51.15</v>
      </c>
      <c r="I11" t="s">
        <v>65</v>
      </c>
      <c r="J11" t="s">
        <v>66</v>
      </c>
      <c r="K11">
        <v>1581</v>
      </c>
      <c r="M11">
        <v>91</v>
      </c>
      <c r="N11">
        <v>1672</v>
      </c>
    </row>
    <row r="12" spans="1:14" x14ac:dyDescent="0.3">
      <c r="A12" s="6">
        <v>41641</v>
      </c>
      <c r="B12" t="s">
        <v>65</v>
      </c>
      <c r="C12" t="s">
        <v>66</v>
      </c>
      <c r="D12" t="s">
        <v>54</v>
      </c>
      <c r="E12" t="s">
        <v>60</v>
      </c>
      <c r="F12">
        <v>27</v>
      </c>
      <c r="G12">
        <v>50.49</v>
      </c>
      <c r="J12" t="s">
        <v>68</v>
      </c>
      <c r="K12">
        <v>318</v>
      </c>
      <c r="N12">
        <v>318</v>
      </c>
    </row>
    <row r="13" spans="1:14" x14ac:dyDescent="0.3">
      <c r="A13" s="6">
        <v>41641</v>
      </c>
      <c r="B13" t="s">
        <v>65</v>
      </c>
      <c r="C13" t="s">
        <v>66</v>
      </c>
      <c r="D13" t="s">
        <v>54</v>
      </c>
      <c r="E13" t="s">
        <v>61</v>
      </c>
      <c r="F13">
        <v>61</v>
      </c>
      <c r="G13">
        <v>173.24</v>
      </c>
      <c r="I13" t="s">
        <v>74</v>
      </c>
      <c r="K13">
        <v>1899</v>
      </c>
      <c r="M13">
        <v>91</v>
      </c>
      <c r="N13">
        <v>1990</v>
      </c>
    </row>
    <row r="14" spans="1:14" x14ac:dyDescent="0.3">
      <c r="A14" s="6">
        <v>41641</v>
      </c>
      <c r="B14" t="s">
        <v>52</v>
      </c>
      <c r="C14" t="s">
        <v>67</v>
      </c>
      <c r="D14" t="s">
        <v>56</v>
      </c>
      <c r="E14" t="s">
        <v>59</v>
      </c>
      <c r="F14">
        <v>38</v>
      </c>
      <c r="G14">
        <v>57.17</v>
      </c>
      <c r="I14" t="s">
        <v>72</v>
      </c>
      <c r="K14">
        <v>7544</v>
      </c>
      <c r="L14">
        <v>1236</v>
      </c>
      <c r="M14">
        <v>1163</v>
      </c>
      <c r="N14">
        <v>9943</v>
      </c>
    </row>
    <row r="15" spans="1:14" x14ac:dyDescent="0.3">
      <c r="A15" s="6">
        <v>41641</v>
      </c>
      <c r="B15" t="s">
        <v>52</v>
      </c>
      <c r="C15" t="s">
        <v>67</v>
      </c>
      <c r="D15" t="s">
        <v>56</v>
      </c>
      <c r="E15" t="s">
        <v>59</v>
      </c>
      <c r="F15">
        <v>42</v>
      </c>
      <c r="G15">
        <v>63.19</v>
      </c>
    </row>
    <row r="16" spans="1:14" x14ac:dyDescent="0.3">
      <c r="A16" s="6">
        <v>41641</v>
      </c>
      <c r="B16" t="s">
        <v>52</v>
      </c>
      <c r="C16" t="s">
        <v>67</v>
      </c>
      <c r="D16" t="s">
        <v>54</v>
      </c>
      <c r="E16" t="s">
        <v>60</v>
      </c>
      <c r="F16">
        <v>28</v>
      </c>
      <c r="G16">
        <v>52.36</v>
      </c>
    </row>
    <row r="17" spans="1:35" x14ac:dyDescent="0.3">
      <c r="A17" s="6">
        <v>41641</v>
      </c>
      <c r="B17" t="s">
        <v>52</v>
      </c>
      <c r="C17" t="s">
        <v>67</v>
      </c>
      <c r="D17" t="s">
        <v>54</v>
      </c>
      <c r="E17" t="s">
        <v>61</v>
      </c>
      <c r="F17">
        <v>50</v>
      </c>
      <c r="G17">
        <v>142</v>
      </c>
    </row>
    <row r="18" spans="1:35" x14ac:dyDescent="0.3">
      <c r="A18" s="6">
        <v>41641</v>
      </c>
      <c r="B18" t="s">
        <v>52</v>
      </c>
      <c r="C18" t="s">
        <v>64</v>
      </c>
      <c r="D18" t="s">
        <v>54</v>
      </c>
      <c r="E18" t="s">
        <v>55</v>
      </c>
      <c r="F18">
        <v>20</v>
      </c>
      <c r="G18">
        <v>30.52</v>
      </c>
    </row>
    <row r="19" spans="1:35" x14ac:dyDescent="0.3">
      <c r="A19" s="6">
        <v>41641</v>
      </c>
      <c r="B19" t="s">
        <v>52</v>
      </c>
      <c r="C19" t="s">
        <v>64</v>
      </c>
      <c r="D19" t="s">
        <v>56</v>
      </c>
      <c r="E19" t="s">
        <v>59</v>
      </c>
      <c r="F19">
        <v>58</v>
      </c>
      <c r="G19">
        <v>87.26</v>
      </c>
    </row>
    <row r="20" spans="1:35" x14ac:dyDescent="0.3">
      <c r="A20" s="6">
        <v>41641</v>
      </c>
      <c r="B20" t="s">
        <v>52</v>
      </c>
      <c r="C20" t="s">
        <v>64</v>
      </c>
      <c r="D20" t="s">
        <v>56</v>
      </c>
      <c r="E20" t="s">
        <v>59</v>
      </c>
      <c r="F20">
        <v>25</v>
      </c>
      <c r="G20">
        <v>37.61</v>
      </c>
    </row>
    <row r="21" spans="1:35" x14ac:dyDescent="0.3">
      <c r="A21" s="6">
        <v>41641</v>
      </c>
      <c r="B21" t="s">
        <v>52</v>
      </c>
      <c r="C21" t="s">
        <v>64</v>
      </c>
      <c r="D21" t="s">
        <v>54</v>
      </c>
      <c r="E21" t="s">
        <v>60</v>
      </c>
      <c r="F21">
        <v>21</v>
      </c>
      <c r="G21">
        <v>39.270000000000003</v>
      </c>
      <c r="Z21" s="7" t="s">
        <v>78</v>
      </c>
    </row>
    <row r="22" spans="1:35" x14ac:dyDescent="0.3">
      <c r="A22" s="6">
        <v>41641</v>
      </c>
      <c r="B22" t="s">
        <v>52</v>
      </c>
      <c r="C22" t="s">
        <v>64</v>
      </c>
      <c r="D22" t="s">
        <v>54</v>
      </c>
      <c r="E22" t="s">
        <v>61</v>
      </c>
      <c r="F22">
        <v>33</v>
      </c>
      <c r="G22">
        <v>93.72</v>
      </c>
      <c r="Z22" t="s">
        <v>56</v>
      </c>
      <c r="AB22" t="s">
        <v>54</v>
      </c>
      <c r="AD22" t="s">
        <v>69</v>
      </c>
      <c r="AF22" t="s">
        <v>62</v>
      </c>
      <c r="AH22" t="s">
        <v>79</v>
      </c>
      <c r="AI22" t="s">
        <v>80</v>
      </c>
    </row>
    <row r="23" spans="1:35" x14ac:dyDescent="0.3">
      <c r="A23" s="6">
        <v>41642</v>
      </c>
      <c r="B23" t="s">
        <v>52</v>
      </c>
      <c r="C23" t="s">
        <v>53</v>
      </c>
      <c r="D23" t="s">
        <v>56</v>
      </c>
      <c r="E23" t="s">
        <v>59</v>
      </c>
      <c r="F23">
        <v>39</v>
      </c>
      <c r="G23">
        <v>69.03</v>
      </c>
      <c r="Y23" s="7" t="s">
        <v>77</v>
      </c>
      <c r="Z23" t="s">
        <v>75</v>
      </c>
      <c r="AA23" t="s">
        <v>81</v>
      </c>
      <c r="AB23" t="s">
        <v>75</v>
      </c>
      <c r="AC23" t="s">
        <v>81</v>
      </c>
      <c r="AD23" t="s">
        <v>75</v>
      </c>
      <c r="AE23" t="s">
        <v>81</v>
      </c>
      <c r="AF23" t="s">
        <v>75</v>
      </c>
      <c r="AG23" t="s">
        <v>81</v>
      </c>
    </row>
    <row r="24" spans="1:35" x14ac:dyDescent="0.3">
      <c r="A24" s="6">
        <v>41642</v>
      </c>
      <c r="B24" t="s">
        <v>52</v>
      </c>
      <c r="C24" t="s">
        <v>53</v>
      </c>
      <c r="D24" t="s">
        <v>54</v>
      </c>
      <c r="E24" t="s">
        <v>60</v>
      </c>
      <c r="F24">
        <v>59</v>
      </c>
      <c r="G24">
        <v>110.33</v>
      </c>
      <c r="Y24" s="8" t="s">
        <v>52</v>
      </c>
      <c r="Z24">
        <v>6163</v>
      </c>
      <c r="AA24">
        <v>10431.239999999998</v>
      </c>
      <c r="AB24">
        <v>5645</v>
      </c>
      <c r="AC24">
        <v>13121.349999999999</v>
      </c>
      <c r="AD24">
        <v>1236</v>
      </c>
      <c r="AE24">
        <v>4216.3999999999996</v>
      </c>
      <c r="AF24">
        <v>1072</v>
      </c>
      <c r="AG24">
        <v>1800.9599999999998</v>
      </c>
      <c r="AH24">
        <v>14116</v>
      </c>
      <c r="AI24">
        <v>29569.949999999997</v>
      </c>
    </row>
    <row r="25" spans="1:35" x14ac:dyDescent="0.3">
      <c r="A25" s="6">
        <v>41642</v>
      </c>
      <c r="B25" t="s">
        <v>65</v>
      </c>
      <c r="C25" t="s">
        <v>68</v>
      </c>
      <c r="D25" t="s">
        <v>54</v>
      </c>
      <c r="E25" t="s">
        <v>60</v>
      </c>
      <c r="F25">
        <v>28</v>
      </c>
      <c r="G25">
        <v>52.36</v>
      </c>
      <c r="Y25" s="9" t="s">
        <v>53</v>
      </c>
      <c r="Z25">
        <v>1728</v>
      </c>
      <c r="AA25">
        <v>2964.29</v>
      </c>
      <c r="AB25">
        <v>2515</v>
      </c>
      <c r="AC25">
        <v>5648.0599999999986</v>
      </c>
      <c r="AD25">
        <v>496</v>
      </c>
      <c r="AE25">
        <v>1703.82</v>
      </c>
      <c r="AF25">
        <v>554</v>
      </c>
      <c r="AG25">
        <v>930.7199999999998</v>
      </c>
      <c r="AH25">
        <v>5293</v>
      </c>
      <c r="AI25">
        <v>11246.889999999998</v>
      </c>
    </row>
    <row r="26" spans="1:35" x14ac:dyDescent="0.3">
      <c r="A26" s="6">
        <v>41648</v>
      </c>
      <c r="B26" t="s">
        <v>52</v>
      </c>
      <c r="C26" t="s">
        <v>53</v>
      </c>
      <c r="D26" t="s">
        <v>54</v>
      </c>
      <c r="E26" t="s">
        <v>55</v>
      </c>
      <c r="F26">
        <v>63</v>
      </c>
      <c r="G26">
        <v>96.14</v>
      </c>
      <c r="Y26" s="9" t="s">
        <v>64</v>
      </c>
      <c r="Z26">
        <v>2575</v>
      </c>
      <c r="AA26">
        <v>4326.8199999999988</v>
      </c>
      <c r="AB26">
        <v>1658</v>
      </c>
      <c r="AC26">
        <v>3929.3499999999995</v>
      </c>
      <c r="AD26">
        <v>457</v>
      </c>
      <c r="AE26">
        <v>1594.93</v>
      </c>
      <c r="AF26">
        <v>282</v>
      </c>
      <c r="AG26">
        <v>473.75999999999993</v>
      </c>
      <c r="AH26">
        <v>4972</v>
      </c>
      <c r="AI26">
        <v>10324.859999999999</v>
      </c>
    </row>
    <row r="27" spans="1:35" x14ac:dyDescent="0.3">
      <c r="A27" s="6">
        <v>41648</v>
      </c>
      <c r="B27" t="s">
        <v>52</v>
      </c>
      <c r="C27" t="s">
        <v>53</v>
      </c>
      <c r="D27" t="s">
        <v>56</v>
      </c>
      <c r="E27" t="s">
        <v>58</v>
      </c>
      <c r="F27">
        <v>35</v>
      </c>
      <c r="G27">
        <v>45.81</v>
      </c>
      <c r="Y27" s="9" t="s">
        <v>67</v>
      </c>
      <c r="Z27">
        <v>1860</v>
      </c>
      <c r="AA27">
        <v>3140.1299999999992</v>
      </c>
      <c r="AB27">
        <v>1472</v>
      </c>
      <c r="AC27">
        <v>3543.9400000000005</v>
      </c>
      <c r="AD27">
        <v>283</v>
      </c>
      <c r="AE27">
        <v>917.65</v>
      </c>
      <c r="AF27">
        <v>236</v>
      </c>
      <c r="AG27">
        <v>396.47999999999996</v>
      </c>
      <c r="AH27">
        <v>3851</v>
      </c>
      <c r="AI27">
        <v>7998.1999999999989</v>
      </c>
    </row>
    <row r="28" spans="1:35" x14ac:dyDescent="0.3">
      <c r="A28" s="6">
        <v>41648</v>
      </c>
      <c r="B28" t="s">
        <v>52</v>
      </c>
      <c r="C28" t="s">
        <v>53</v>
      </c>
      <c r="D28" t="s">
        <v>56</v>
      </c>
      <c r="E28" t="s">
        <v>59</v>
      </c>
      <c r="F28">
        <v>35</v>
      </c>
      <c r="G28">
        <v>52.66</v>
      </c>
      <c r="Y28" s="8" t="s">
        <v>65</v>
      </c>
      <c r="Z28">
        <v>1667</v>
      </c>
      <c r="AA28">
        <v>2864.2099999999996</v>
      </c>
      <c r="AB28">
        <v>1899</v>
      </c>
      <c r="AC28">
        <v>4481.579999999999</v>
      </c>
      <c r="AF28">
        <v>91</v>
      </c>
      <c r="AG28">
        <v>152.88</v>
      </c>
      <c r="AH28">
        <v>3657</v>
      </c>
      <c r="AI28">
        <v>7498.6699999999983</v>
      </c>
    </row>
    <row r="29" spans="1:35" x14ac:dyDescent="0.3">
      <c r="A29" s="6">
        <v>41648</v>
      </c>
      <c r="B29" t="s">
        <v>52</v>
      </c>
      <c r="C29" t="s">
        <v>53</v>
      </c>
      <c r="D29" t="s">
        <v>56</v>
      </c>
      <c r="E29" t="s">
        <v>59</v>
      </c>
      <c r="F29">
        <v>48</v>
      </c>
      <c r="G29">
        <v>72.22</v>
      </c>
      <c r="Y29" s="9" t="s">
        <v>66</v>
      </c>
      <c r="Z29">
        <v>1198</v>
      </c>
      <c r="AA29">
        <v>2030.1799999999996</v>
      </c>
      <c r="AB29">
        <v>1581</v>
      </c>
      <c r="AC29">
        <v>3653.0499999999993</v>
      </c>
      <c r="AF29">
        <v>91</v>
      </c>
      <c r="AG29">
        <v>152.88</v>
      </c>
      <c r="AH29">
        <v>2870</v>
      </c>
      <c r="AI29">
        <v>5836.1099999999988</v>
      </c>
    </row>
    <row r="30" spans="1:35" x14ac:dyDescent="0.3">
      <c r="A30" s="6">
        <v>41648</v>
      </c>
      <c r="B30" t="s">
        <v>52</v>
      </c>
      <c r="C30" t="s">
        <v>53</v>
      </c>
      <c r="D30" t="s">
        <v>54</v>
      </c>
      <c r="E30" t="s">
        <v>60</v>
      </c>
      <c r="F30">
        <v>74</v>
      </c>
      <c r="G30">
        <v>138.38</v>
      </c>
      <c r="Y30" s="9" t="s">
        <v>68</v>
      </c>
      <c r="Z30">
        <v>469</v>
      </c>
      <c r="AA30">
        <v>834.03</v>
      </c>
      <c r="AB30">
        <v>318</v>
      </c>
      <c r="AC30">
        <v>828.53</v>
      </c>
      <c r="AH30">
        <v>787</v>
      </c>
      <c r="AI30">
        <v>1662.56</v>
      </c>
    </row>
    <row r="31" spans="1:35" x14ac:dyDescent="0.3">
      <c r="A31" s="6">
        <v>41648</v>
      </c>
      <c r="B31" t="s">
        <v>52</v>
      </c>
      <c r="C31" t="s">
        <v>53</v>
      </c>
      <c r="D31" t="s">
        <v>54</v>
      </c>
      <c r="E31" t="s">
        <v>61</v>
      </c>
      <c r="F31">
        <v>78</v>
      </c>
      <c r="G31">
        <v>221.52</v>
      </c>
      <c r="Y31" s="8" t="s">
        <v>72</v>
      </c>
      <c r="Z31">
        <v>7830</v>
      </c>
      <c r="AA31">
        <v>13295.449999999999</v>
      </c>
      <c r="AB31">
        <v>7544</v>
      </c>
      <c r="AC31">
        <v>17602.929999999997</v>
      </c>
      <c r="AD31">
        <v>1236</v>
      </c>
      <c r="AE31">
        <v>4216.3999999999996</v>
      </c>
      <c r="AF31">
        <v>1163</v>
      </c>
      <c r="AG31">
        <v>1953.8399999999997</v>
      </c>
      <c r="AH31">
        <v>17773</v>
      </c>
      <c r="AI31">
        <v>37068.619999999995</v>
      </c>
    </row>
    <row r="32" spans="1:35" x14ac:dyDescent="0.3">
      <c r="A32" s="6">
        <v>41648</v>
      </c>
      <c r="B32" t="s">
        <v>52</v>
      </c>
      <c r="C32" t="s">
        <v>53</v>
      </c>
      <c r="D32" t="s">
        <v>62</v>
      </c>
      <c r="E32" t="s">
        <v>63</v>
      </c>
      <c r="F32">
        <v>38</v>
      </c>
      <c r="G32">
        <v>63.84</v>
      </c>
    </row>
    <row r="33" spans="1:7" x14ac:dyDescent="0.3">
      <c r="A33" s="6">
        <v>41648</v>
      </c>
      <c r="B33" t="s">
        <v>52</v>
      </c>
      <c r="C33" t="s">
        <v>64</v>
      </c>
      <c r="D33" t="s">
        <v>56</v>
      </c>
      <c r="E33" t="s">
        <v>59</v>
      </c>
      <c r="F33">
        <v>33</v>
      </c>
      <c r="G33">
        <v>49.65</v>
      </c>
    </row>
    <row r="34" spans="1:7" x14ac:dyDescent="0.3">
      <c r="A34" s="6">
        <v>41648</v>
      </c>
      <c r="B34" t="s">
        <v>65</v>
      </c>
      <c r="C34" t="s">
        <v>66</v>
      </c>
      <c r="D34" t="s">
        <v>54</v>
      </c>
      <c r="E34" t="s">
        <v>55</v>
      </c>
      <c r="F34">
        <v>35</v>
      </c>
      <c r="G34">
        <v>53.41</v>
      </c>
    </row>
    <row r="35" spans="1:7" x14ac:dyDescent="0.3">
      <c r="A35" s="6">
        <v>41648</v>
      </c>
      <c r="B35" t="s">
        <v>65</v>
      </c>
      <c r="C35" t="s">
        <v>66</v>
      </c>
      <c r="D35" t="s">
        <v>56</v>
      </c>
      <c r="E35" t="s">
        <v>59</v>
      </c>
      <c r="F35">
        <v>39</v>
      </c>
      <c r="G35">
        <v>58.68</v>
      </c>
    </row>
    <row r="36" spans="1:7" x14ac:dyDescent="0.3">
      <c r="A36" s="6">
        <v>41648</v>
      </c>
      <c r="B36" t="s">
        <v>65</v>
      </c>
      <c r="C36" t="s">
        <v>66</v>
      </c>
      <c r="D36" t="s">
        <v>56</v>
      </c>
      <c r="E36" t="s">
        <v>59</v>
      </c>
      <c r="F36">
        <v>49</v>
      </c>
      <c r="G36">
        <v>73.72</v>
      </c>
    </row>
    <row r="37" spans="1:7" x14ac:dyDescent="0.3">
      <c r="A37" s="6">
        <v>41648</v>
      </c>
      <c r="B37" t="s">
        <v>65</v>
      </c>
      <c r="C37" t="s">
        <v>66</v>
      </c>
      <c r="D37" t="s">
        <v>54</v>
      </c>
      <c r="E37" t="s">
        <v>60</v>
      </c>
      <c r="F37">
        <v>23</v>
      </c>
      <c r="G37">
        <v>43.01</v>
      </c>
    </row>
    <row r="38" spans="1:7" x14ac:dyDescent="0.3">
      <c r="A38" s="6">
        <v>41648</v>
      </c>
      <c r="B38" t="s">
        <v>65</v>
      </c>
      <c r="C38" t="s">
        <v>66</v>
      </c>
      <c r="D38" t="s">
        <v>54</v>
      </c>
      <c r="E38" t="s">
        <v>61</v>
      </c>
      <c r="F38">
        <v>47</v>
      </c>
      <c r="G38">
        <v>133.47999999999999</v>
      </c>
    </row>
    <row r="39" spans="1:7" x14ac:dyDescent="0.3">
      <c r="A39" s="6">
        <v>41648</v>
      </c>
      <c r="B39" t="s">
        <v>52</v>
      </c>
      <c r="C39" t="s">
        <v>67</v>
      </c>
      <c r="D39" t="s">
        <v>54</v>
      </c>
      <c r="E39" t="s">
        <v>55</v>
      </c>
      <c r="F39">
        <v>27</v>
      </c>
      <c r="G39">
        <v>41.2</v>
      </c>
    </row>
    <row r="40" spans="1:7" x14ac:dyDescent="0.3">
      <c r="A40" s="6">
        <v>41648</v>
      </c>
      <c r="B40" t="s">
        <v>52</v>
      </c>
      <c r="C40" t="s">
        <v>67</v>
      </c>
      <c r="D40" t="s">
        <v>56</v>
      </c>
      <c r="E40" t="s">
        <v>58</v>
      </c>
      <c r="F40">
        <v>22</v>
      </c>
      <c r="G40">
        <v>28.8</v>
      </c>
    </row>
    <row r="41" spans="1:7" x14ac:dyDescent="0.3">
      <c r="A41" s="6">
        <v>41648</v>
      </c>
      <c r="B41" t="s">
        <v>52</v>
      </c>
      <c r="C41" t="s">
        <v>67</v>
      </c>
      <c r="D41" t="s">
        <v>56</v>
      </c>
      <c r="E41" t="s">
        <v>59</v>
      </c>
      <c r="F41">
        <v>28</v>
      </c>
      <c r="G41">
        <v>42.13</v>
      </c>
    </row>
    <row r="42" spans="1:7" x14ac:dyDescent="0.3">
      <c r="A42" s="6">
        <v>41648</v>
      </c>
      <c r="B42" t="s">
        <v>52</v>
      </c>
      <c r="C42" t="s">
        <v>67</v>
      </c>
      <c r="D42" t="s">
        <v>56</v>
      </c>
      <c r="E42" t="s">
        <v>59</v>
      </c>
      <c r="F42">
        <v>56</v>
      </c>
      <c r="G42">
        <v>84.25</v>
      </c>
    </row>
    <row r="43" spans="1:7" x14ac:dyDescent="0.3">
      <c r="A43" s="6">
        <v>41648</v>
      </c>
      <c r="B43" t="s">
        <v>52</v>
      </c>
      <c r="C43" t="s">
        <v>67</v>
      </c>
      <c r="D43" t="s">
        <v>54</v>
      </c>
      <c r="E43" t="s">
        <v>60</v>
      </c>
      <c r="F43">
        <v>26</v>
      </c>
      <c r="G43">
        <v>48.62</v>
      </c>
    </row>
    <row r="44" spans="1:7" x14ac:dyDescent="0.3">
      <c r="A44" s="6">
        <v>41648</v>
      </c>
      <c r="B44" t="s">
        <v>52</v>
      </c>
      <c r="C44" t="s">
        <v>67</v>
      </c>
      <c r="D44" t="s">
        <v>54</v>
      </c>
      <c r="E44" t="s">
        <v>61</v>
      </c>
      <c r="F44">
        <v>45</v>
      </c>
      <c r="G44">
        <v>127.8</v>
      </c>
    </row>
    <row r="45" spans="1:7" x14ac:dyDescent="0.3">
      <c r="A45" s="6">
        <v>41648</v>
      </c>
      <c r="B45" t="s">
        <v>52</v>
      </c>
      <c r="C45" t="s">
        <v>67</v>
      </c>
      <c r="D45" t="s">
        <v>62</v>
      </c>
      <c r="E45" t="s">
        <v>63</v>
      </c>
      <c r="F45">
        <v>21</v>
      </c>
      <c r="G45">
        <v>35.28</v>
      </c>
    </row>
    <row r="46" spans="1:7" x14ac:dyDescent="0.3">
      <c r="A46" s="6">
        <v>41648</v>
      </c>
      <c r="B46" t="s">
        <v>52</v>
      </c>
      <c r="C46" t="s">
        <v>64</v>
      </c>
      <c r="D46" t="s">
        <v>54</v>
      </c>
      <c r="E46" t="s">
        <v>55</v>
      </c>
      <c r="F46">
        <v>28</v>
      </c>
      <c r="G46">
        <v>42.73</v>
      </c>
    </row>
    <row r="47" spans="1:7" x14ac:dyDescent="0.3">
      <c r="A47" s="6">
        <v>41648</v>
      </c>
      <c r="B47" t="s">
        <v>52</v>
      </c>
      <c r="C47" t="s">
        <v>64</v>
      </c>
      <c r="D47" t="s">
        <v>56</v>
      </c>
      <c r="E47" t="s">
        <v>58</v>
      </c>
      <c r="F47">
        <v>24</v>
      </c>
      <c r="G47">
        <v>31.42</v>
      </c>
    </row>
    <row r="48" spans="1:7" x14ac:dyDescent="0.3">
      <c r="A48" s="6">
        <v>41648</v>
      </c>
      <c r="B48" t="s">
        <v>52</v>
      </c>
      <c r="C48" t="s">
        <v>64</v>
      </c>
      <c r="D48" t="s">
        <v>56</v>
      </c>
      <c r="E48" t="s">
        <v>59</v>
      </c>
      <c r="F48">
        <v>61</v>
      </c>
      <c r="G48">
        <v>91.77</v>
      </c>
    </row>
    <row r="49" spans="1:7" x14ac:dyDescent="0.3">
      <c r="A49" s="6">
        <v>41648</v>
      </c>
      <c r="B49" t="s">
        <v>52</v>
      </c>
      <c r="C49" t="s">
        <v>64</v>
      </c>
      <c r="D49" t="s">
        <v>56</v>
      </c>
      <c r="E49" t="s">
        <v>59</v>
      </c>
      <c r="F49">
        <v>41</v>
      </c>
      <c r="G49">
        <v>61.68</v>
      </c>
    </row>
    <row r="50" spans="1:7" x14ac:dyDescent="0.3">
      <c r="A50" s="6">
        <v>41648</v>
      </c>
      <c r="B50" t="s">
        <v>52</v>
      </c>
      <c r="C50" t="s">
        <v>64</v>
      </c>
      <c r="D50" t="s">
        <v>54</v>
      </c>
      <c r="E50" t="s">
        <v>61</v>
      </c>
      <c r="F50">
        <v>37</v>
      </c>
      <c r="G50">
        <v>105.08</v>
      </c>
    </row>
    <row r="51" spans="1:7" x14ac:dyDescent="0.3">
      <c r="A51" s="6">
        <v>41655</v>
      </c>
      <c r="B51" t="s">
        <v>52</v>
      </c>
      <c r="C51" t="s">
        <v>53</v>
      </c>
      <c r="D51" t="s">
        <v>54</v>
      </c>
      <c r="E51" t="s">
        <v>55</v>
      </c>
      <c r="F51">
        <v>37</v>
      </c>
      <c r="G51">
        <v>56.46</v>
      </c>
    </row>
    <row r="52" spans="1:7" x14ac:dyDescent="0.3">
      <c r="A52" s="6">
        <v>41655</v>
      </c>
      <c r="B52" t="s">
        <v>52</v>
      </c>
      <c r="C52" t="s">
        <v>53</v>
      </c>
      <c r="D52" t="s">
        <v>56</v>
      </c>
      <c r="E52" t="s">
        <v>57</v>
      </c>
      <c r="F52">
        <v>21</v>
      </c>
      <c r="G52">
        <v>47.67</v>
      </c>
    </row>
    <row r="53" spans="1:7" x14ac:dyDescent="0.3">
      <c r="A53" s="6">
        <v>41655</v>
      </c>
      <c r="B53" t="s">
        <v>52</v>
      </c>
      <c r="C53" t="s">
        <v>53</v>
      </c>
      <c r="D53" t="s">
        <v>56</v>
      </c>
      <c r="E53" t="s">
        <v>58</v>
      </c>
      <c r="F53">
        <v>34</v>
      </c>
      <c r="G53">
        <v>44.51</v>
      </c>
    </row>
    <row r="54" spans="1:7" x14ac:dyDescent="0.3">
      <c r="A54" s="6">
        <v>41655</v>
      </c>
      <c r="B54" t="s">
        <v>52</v>
      </c>
      <c r="C54" t="s">
        <v>53</v>
      </c>
      <c r="D54" t="s">
        <v>56</v>
      </c>
      <c r="E54" t="s">
        <v>59</v>
      </c>
      <c r="F54">
        <v>21</v>
      </c>
      <c r="G54">
        <v>31.59</v>
      </c>
    </row>
    <row r="55" spans="1:7" x14ac:dyDescent="0.3">
      <c r="A55" s="6">
        <v>41655</v>
      </c>
      <c r="B55" t="s">
        <v>52</v>
      </c>
      <c r="C55" t="s">
        <v>53</v>
      </c>
      <c r="D55" t="s">
        <v>56</v>
      </c>
      <c r="E55" t="s">
        <v>59</v>
      </c>
      <c r="F55">
        <v>60</v>
      </c>
      <c r="G55">
        <v>90.27</v>
      </c>
    </row>
    <row r="56" spans="1:7" x14ac:dyDescent="0.3">
      <c r="A56" s="6">
        <v>41655</v>
      </c>
      <c r="B56" t="s">
        <v>52</v>
      </c>
      <c r="C56" t="s">
        <v>53</v>
      </c>
      <c r="D56" t="s">
        <v>54</v>
      </c>
      <c r="E56" t="s">
        <v>60</v>
      </c>
      <c r="F56">
        <v>45</v>
      </c>
      <c r="G56">
        <v>84.15</v>
      </c>
    </row>
    <row r="57" spans="1:7" x14ac:dyDescent="0.3">
      <c r="A57" s="6">
        <v>41655</v>
      </c>
      <c r="B57" t="s">
        <v>52</v>
      </c>
      <c r="C57" t="s">
        <v>53</v>
      </c>
      <c r="D57" t="s">
        <v>54</v>
      </c>
      <c r="E57" t="s">
        <v>61</v>
      </c>
      <c r="F57">
        <v>70</v>
      </c>
      <c r="G57">
        <v>198.8</v>
      </c>
    </row>
    <row r="58" spans="1:7" x14ac:dyDescent="0.3">
      <c r="A58" s="6">
        <v>41655</v>
      </c>
      <c r="B58" t="s">
        <v>52</v>
      </c>
      <c r="C58" t="s">
        <v>53</v>
      </c>
      <c r="D58" t="s">
        <v>62</v>
      </c>
      <c r="E58" t="s">
        <v>63</v>
      </c>
      <c r="F58">
        <v>37</v>
      </c>
      <c r="G58">
        <v>62.16</v>
      </c>
    </row>
    <row r="59" spans="1:7" x14ac:dyDescent="0.3">
      <c r="A59" s="6">
        <v>41655</v>
      </c>
      <c r="B59" t="s">
        <v>52</v>
      </c>
      <c r="C59" t="s">
        <v>53</v>
      </c>
      <c r="D59" t="s">
        <v>69</v>
      </c>
      <c r="E59" t="s">
        <v>70</v>
      </c>
      <c r="F59">
        <v>26</v>
      </c>
      <c r="G59">
        <v>77.13</v>
      </c>
    </row>
    <row r="60" spans="1:7" x14ac:dyDescent="0.3">
      <c r="A60" s="6">
        <v>41655</v>
      </c>
      <c r="B60" t="s">
        <v>52</v>
      </c>
      <c r="C60" t="s">
        <v>64</v>
      </c>
      <c r="D60" t="s">
        <v>56</v>
      </c>
      <c r="E60" t="s">
        <v>58</v>
      </c>
      <c r="F60">
        <v>27</v>
      </c>
      <c r="G60">
        <v>35.340000000000003</v>
      </c>
    </row>
    <row r="61" spans="1:7" x14ac:dyDescent="0.3">
      <c r="A61" s="6">
        <v>41655</v>
      </c>
      <c r="B61" t="s">
        <v>52</v>
      </c>
      <c r="C61" t="s">
        <v>64</v>
      </c>
      <c r="D61" t="s">
        <v>56</v>
      </c>
      <c r="E61" t="s">
        <v>59</v>
      </c>
      <c r="F61">
        <v>51</v>
      </c>
      <c r="G61">
        <v>76.73</v>
      </c>
    </row>
    <row r="62" spans="1:7" x14ac:dyDescent="0.3">
      <c r="A62" s="6">
        <v>41655</v>
      </c>
      <c r="B62" t="s">
        <v>52</v>
      </c>
      <c r="C62" t="s">
        <v>64</v>
      </c>
      <c r="D62" t="s">
        <v>62</v>
      </c>
      <c r="E62" t="s">
        <v>63</v>
      </c>
      <c r="F62">
        <v>21</v>
      </c>
      <c r="G62">
        <v>35.28</v>
      </c>
    </row>
    <row r="63" spans="1:7" x14ac:dyDescent="0.3">
      <c r="A63" s="6">
        <v>41655</v>
      </c>
      <c r="B63" t="s">
        <v>65</v>
      </c>
      <c r="C63" t="s">
        <v>66</v>
      </c>
      <c r="D63" t="s">
        <v>54</v>
      </c>
      <c r="E63" t="s">
        <v>55</v>
      </c>
      <c r="F63">
        <v>23</v>
      </c>
      <c r="G63">
        <v>35.1</v>
      </c>
    </row>
    <row r="64" spans="1:7" x14ac:dyDescent="0.3">
      <c r="A64" s="6">
        <v>41655</v>
      </c>
      <c r="B64" t="s">
        <v>65</v>
      </c>
      <c r="C64" t="s">
        <v>66</v>
      </c>
      <c r="D64" t="s">
        <v>56</v>
      </c>
      <c r="E64" t="s">
        <v>59</v>
      </c>
      <c r="F64">
        <v>51</v>
      </c>
      <c r="G64">
        <v>76.73</v>
      </c>
    </row>
    <row r="65" spans="1:7" x14ac:dyDescent="0.3">
      <c r="A65" s="6">
        <v>41655</v>
      </c>
      <c r="B65" t="s">
        <v>65</v>
      </c>
      <c r="C65" t="s">
        <v>66</v>
      </c>
      <c r="D65" t="s">
        <v>56</v>
      </c>
      <c r="E65" t="s">
        <v>59</v>
      </c>
      <c r="F65">
        <v>37</v>
      </c>
      <c r="G65">
        <v>55.67</v>
      </c>
    </row>
    <row r="66" spans="1:7" x14ac:dyDescent="0.3">
      <c r="A66" s="6">
        <v>41655</v>
      </c>
      <c r="B66" t="s">
        <v>65</v>
      </c>
      <c r="C66" t="s">
        <v>66</v>
      </c>
      <c r="D66" t="s">
        <v>54</v>
      </c>
      <c r="E66" t="s">
        <v>60</v>
      </c>
      <c r="F66">
        <v>33</v>
      </c>
      <c r="G66">
        <v>61.71</v>
      </c>
    </row>
    <row r="67" spans="1:7" x14ac:dyDescent="0.3">
      <c r="A67" s="6">
        <v>41655</v>
      </c>
      <c r="B67" t="s">
        <v>65</v>
      </c>
      <c r="C67" t="s">
        <v>66</v>
      </c>
      <c r="D67" t="s">
        <v>54</v>
      </c>
      <c r="E67" t="s">
        <v>61</v>
      </c>
      <c r="F67">
        <v>37</v>
      </c>
      <c r="G67">
        <v>105.08</v>
      </c>
    </row>
    <row r="68" spans="1:7" x14ac:dyDescent="0.3">
      <c r="A68" s="6">
        <v>41655</v>
      </c>
      <c r="B68" t="s">
        <v>52</v>
      </c>
      <c r="C68" t="s">
        <v>67</v>
      </c>
      <c r="D68" t="s">
        <v>54</v>
      </c>
      <c r="E68" t="s">
        <v>55</v>
      </c>
      <c r="F68">
        <v>33</v>
      </c>
      <c r="G68">
        <v>50.36</v>
      </c>
    </row>
    <row r="69" spans="1:7" x14ac:dyDescent="0.3">
      <c r="A69" s="6">
        <v>41655</v>
      </c>
      <c r="B69" t="s">
        <v>52</v>
      </c>
      <c r="C69" t="s">
        <v>67</v>
      </c>
      <c r="D69" t="s">
        <v>56</v>
      </c>
      <c r="E69" t="s">
        <v>58</v>
      </c>
      <c r="F69">
        <v>32</v>
      </c>
      <c r="G69">
        <v>41.89</v>
      </c>
    </row>
    <row r="70" spans="1:7" x14ac:dyDescent="0.3">
      <c r="A70" s="6">
        <v>41655</v>
      </c>
      <c r="B70" t="s">
        <v>52</v>
      </c>
      <c r="C70" t="s">
        <v>67</v>
      </c>
      <c r="D70" t="s">
        <v>56</v>
      </c>
      <c r="E70" t="s">
        <v>59</v>
      </c>
      <c r="F70">
        <v>46</v>
      </c>
      <c r="G70">
        <v>69.209999999999994</v>
      </c>
    </row>
    <row r="71" spans="1:7" x14ac:dyDescent="0.3">
      <c r="A71" s="6">
        <v>41655</v>
      </c>
      <c r="B71" t="s">
        <v>52</v>
      </c>
      <c r="C71" t="s">
        <v>67</v>
      </c>
      <c r="D71" t="s">
        <v>56</v>
      </c>
      <c r="E71" t="s">
        <v>59</v>
      </c>
      <c r="F71">
        <v>74</v>
      </c>
      <c r="G71">
        <v>111.33</v>
      </c>
    </row>
    <row r="72" spans="1:7" x14ac:dyDescent="0.3">
      <c r="A72" s="6">
        <v>41655</v>
      </c>
      <c r="B72" t="s">
        <v>52</v>
      </c>
      <c r="C72" t="s">
        <v>67</v>
      </c>
      <c r="D72" t="s">
        <v>54</v>
      </c>
      <c r="E72" t="s">
        <v>60</v>
      </c>
      <c r="F72">
        <v>36</v>
      </c>
      <c r="G72">
        <v>67.319999999999993</v>
      </c>
    </row>
    <row r="73" spans="1:7" x14ac:dyDescent="0.3">
      <c r="A73" s="6">
        <v>41655</v>
      </c>
      <c r="B73" t="s">
        <v>52</v>
      </c>
      <c r="C73" t="s">
        <v>67</v>
      </c>
      <c r="D73" t="s">
        <v>54</v>
      </c>
      <c r="E73" t="s">
        <v>61</v>
      </c>
      <c r="F73">
        <v>61</v>
      </c>
      <c r="G73">
        <v>173.24</v>
      </c>
    </row>
    <row r="74" spans="1:7" x14ac:dyDescent="0.3">
      <c r="A74" s="6">
        <v>41655</v>
      </c>
      <c r="B74" t="s">
        <v>52</v>
      </c>
      <c r="C74" t="s">
        <v>67</v>
      </c>
      <c r="D74" t="s">
        <v>62</v>
      </c>
      <c r="E74" t="s">
        <v>63</v>
      </c>
      <c r="F74">
        <v>20</v>
      </c>
      <c r="G74">
        <v>33.6</v>
      </c>
    </row>
    <row r="75" spans="1:7" x14ac:dyDescent="0.3">
      <c r="A75" s="6">
        <v>41655</v>
      </c>
      <c r="B75" t="s">
        <v>52</v>
      </c>
      <c r="C75" t="s">
        <v>64</v>
      </c>
      <c r="D75" t="s">
        <v>54</v>
      </c>
      <c r="E75" t="s">
        <v>55</v>
      </c>
      <c r="F75">
        <v>30</v>
      </c>
      <c r="G75">
        <v>45.78</v>
      </c>
    </row>
    <row r="76" spans="1:7" x14ac:dyDescent="0.3">
      <c r="A76" s="6">
        <v>41655</v>
      </c>
      <c r="B76" t="s">
        <v>52</v>
      </c>
      <c r="C76" t="s">
        <v>64</v>
      </c>
      <c r="D76" t="s">
        <v>56</v>
      </c>
      <c r="E76" t="s">
        <v>58</v>
      </c>
      <c r="F76">
        <v>28</v>
      </c>
      <c r="G76">
        <v>36.65</v>
      </c>
    </row>
    <row r="77" spans="1:7" x14ac:dyDescent="0.3">
      <c r="A77" s="6">
        <v>41655</v>
      </c>
      <c r="B77" t="s">
        <v>52</v>
      </c>
      <c r="C77" t="s">
        <v>64</v>
      </c>
      <c r="D77" t="s">
        <v>56</v>
      </c>
      <c r="E77" t="s">
        <v>59</v>
      </c>
      <c r="F77">
        <v>43</v>
      </c>
      <c r="G77">
        <v>64.69</v>
      </c>
    </row>
    <row r="78" spans="1:7" x14ac:dyDescent="0.3">
      <c r="A78" s="6">
        <v>41655</v>
      </c>
      <c r="B78" t="s">
        <v>52</v>
      </c>
      <c r="C78" t="s">
        <v>64</v>
      </c>
      <c r="D78" t="s">
        <v>56</v>
      </c>
      <c r="E78" t="s">
        <v>59</v>
      </c>
      <c r="F78">
        <v>50</v>
      </c>
      <c r="G78">
        <v>75.22</v>
      </c>
    </row>
    <row r="79" spans="1:7" x14ac:dyDescent="0.3">
      <c r="A79" s="6">
        <v>41655</v>
      </c>
      <c r="B79" t="s">
        <v>52</v>
      </c>
      <c r="C79" t="s">
        <v>64</v>
      </c>
      <c r="D79" t="s">
        <v>54</v>
      </c>
      <c r="E79" t="s">
        <v>60</v>
      </c>
      <c r="F79">
        <v>23</v>
      </c>
      <c r="G79">
        <v>43.01</v>
      </c>
    </row>
    <row r="80" spans="1:7" x14ac:dyDescent="0.3">
      <c r="A80" s="6">
        <v>41655</v>
      </c>
      <c r="B80" t="s">
        <v>52</v>
      </c>
      <c r="C80" t="s">
        <v>64</v>
      </c>
      <c r="D80" t="s">
        <v>54</v>
      </c>
      <c r="E80" t="s">
        <v>61</v>
      </c>
      <c r="F80">
        <v>45</v>
      </c>
      <c r="G80">
        <v>127.8</v>
      </c>
    </row>
    <row r="81" spans="1:7" x14ac:dyDescent="0.3">
      <c r="A81" s="6">
        <v>41655</v>
      </c>
      <c r="B81" t="s">
        <v>65</v>
      </c>
      <c r="C81" t="s">
        <v>68</v>
      </c>
      <c r="D81" t="s">
        <v>56</v>
      </c>
      <c r="E81" t="s">
        <v>59</v>
      </c>
      <c r="F81">
        <v>31</v>
      </c>
      <c r="G81">
        <v>46.64</v>
      </c>
    </row>
    <row r="82" spans="1:7" x14ac:dyDescent="0.3">
      <c r="A82" s="6">
        <v>41655</v>
      </c>
      <c r="B82" t="s">
        <v>65</v>
      </c>
      <c r="C82" t="s">
        <v>68</v>
      </c>
      <c r="D82" t="s">
        <v>54</v>
      </c>
      <c r="E82" t="s">
        <v>61</v>
      </c>
      <c r="F82">
        <v>25</v>
      </c>
      <c r="G82">
        <v>71</v>
      </c>
    </row>
    <row r="83" spans="1:7" x14ac:dyDescent="0.3">
      <c r="A83" s="6">
        <v>41662</v>
      </c>
      <c r="B83" t="s">
        <v>52</v>
      </c>
      <c r="C83" t="s">
        <v>53</v>
      </c>
      <c r="D83" t="s">
        <v>54</v>
      </c>
      <c r="E83" t="s">
        <v>55</v>
      </c>
      <c r="F83">
        <v>27</v>
      </c>
      <c r="G83">
        <v>41.2</v>
      </c>
    </row>
    <row r="84" spans="1:7" x14ac:dyDescent="0.3">
      <c r="A84" s="6">
        <v>41662</v>
      </c>
      <c r="B84" t="s">
        <v>52</v>
      </c>
      <c r="C84" t="s">
        <v>53</v>
      </c>
      <c r="D84" t="s">
        <v>54</v>
      </c>
      <c r="E84" t="s">
        <v>55</v>
      </c>
      <c r="F84">
        <v>57</v>
      </c>
      <c r="G84">
        <v>86.98</v>
      </c>
    </row>
    <row r="85" spans="1:7" x14ac:dyDescent="0.3">
      <c r="A85" s="6">
        <v>41662</v>
      </c>
      <c r="B85" t="s">
        <v>52</v>
      </c>
      <c r="C85" t="s">
        <v>53</v>
      </c>
      <c r="D85" t="s">
        <v>56</v>
      </c>
      <c r="E85" t="s">
        <v>58</v>
      </c>
      <c r="F85">
        <v>21</v>
      </c>
      <c r="G85">
        <v>27.49</v>
      </c>
    </row>
    <row r="86" spans="1:7" x14ac:dyDescent="0.3">
      <c r="A86" s="6">
        <v>41662</v>
      </c>
      <c r="B86" t="s">
        <v>52</v>
      </c>
      <c r="C86" t="s">
        <v>53</v>
      </c>
      <c r="D86" t="s">
        <v>56</v>
      </c>
      <c r="E86" t="s">
        <v>59</v>
      </c>
      <c r="F86">
        <v>40</v>
      </c>
      <c r="G86">
        <v>60.18</v>
      </c>
    </row>
    <row r="87" spans="1:7" x14ac:dyDescent="0.3">
      <c r="A87" s="6">
        <v>41662</v>
      </c>
      <c r="B87" t="s">
        <v>52</v>
      </c>
      <c r="C87" t="s">
        <v>53</v>
      </c>
      <c r="D87" t="s">
        <v>54</v>
      </c>
      <c r="E87" t="s">
        <v>60</v>
      </c>
      <c r="F87">
        <v>36</v>
      </c>
      <c r="G87">
        <v>67.319999999999993</v>
      </c>
    </row>
    <row r="88" spans="1:7" x14ac:dyDescent="0.3">
      <c r="A88" s="6">
        <v>41662</v>
      </c>
      <c r="B88" t="s">
        <v>52</v>
      </c>
      <c r="C88" t="s">
        <v>53</v>
      </c>
      <c r="D88" t="s">
        <v>54</v>
      </c>
      <c r="E88" t="s">
        <v>61</v>
      </c>
      <c r="F88">
        <v>78</v>
      </c>
      <c r="G88">
        <v>221.52</v>
      </c>
    </row>
    <row r="89" spans="1:7" x14ac:dyDescent="0.3">
      <c r="A89" s="6">
        <v>41662</v>
      </c>
      <c r="B89" t="s">
        <v>52</v>
      </c>
      <c r="C89" t="s">
        <v>53</v>
      </c>
      <c r="D89" t="s">
        <v>62</v>
      </c>
      <c r="E89" t="s">
        <v>63</v>
      </c>
      <c r="F89">
        <v>29</v>
      </c>
      <c r="G89">
        <v>48.72</v>
      </c>
    </row>
    <row r="90" spans="1:7" x14ac:dyDescent="0.3">
      <c r="A90" s="6">
        <v>41662</v>
      </c>
      <c r="B90" t="s">
        <v>52</v>
      </c>
      <c r="C90" t="s">
        <v>53</v>
      </c>
      <c r="D90" t="s">
        <v>69</v>
      </c>
      <c r="E90" t="s">
        <v>70</v>
      </c>
      <c r="F90">
        <v>26</v>
      </c>
      <c r="G90">
        <v>77.13</v>
      </c>
    </row>
    <row r="91" spans="1:7" x14ac:dyDescent="0.3">
      <c r="A91" s="6">
        <v>41662</v>
      </c>
      <c r="B91" t="s">
        <v>52</v>
      </c>
      <c r="C91" t="s">
        <v>64</v>
      </c>
      <c r="D91" t="s">
        <v>56</v>
      </c>
      <c r="E91" t="s">
        <v>58</v>
      </c>
      <c r="F91">
        <v>27</v>
      </c>
      <c r="G91">
        <v>35.340000000000003</v>
      </c>
    </row>
    <row r="92" spans="1:7" x14ac:dyDescent="0.3">
      <c r="A92" s="6">
        <v>41662</v>
      </c>
      <c r="B92" t="s">
        <v>52</v>
      </c>
      <c r="C92" t="s">
        <v>64</v>
      </c>
      <c r="D92" t="s">
        <v>56</v>
      </c>
      <c r="E92" t="s">
        <v>59</v>
      </c>
      <c r="F92">
        <v>59</v>
      </c>
      <c r="G92">
        <v>88.77</v>
      </c>
    </row>
    <row r="93" spans="1:7" x14ac:dyDescent="0.3">
      <c r="A93" s="6">
        <v>41662</v>
      </c>
      <c r="B93" t="s">
        <v>52</v>
      </c>
      <c r="C93" t="s">
        <v>64</v>
      </c>
      <c r="D93" t="s">
        <v>54</v>
      </c>
      <c r="E93" t="s">
        <v>60</v>
      </c>
      <c r="F93">
        <v>20</v>
      </c>
      <c r="G93">
        <v>37.4</v>
      </c>
    </row>
    <row r="94" spans="1:7" x14ac:dyDescent="0.3">
      <c r="A94" s="6">
        <v>41662</v>
      </c>
      <c r="B94" t="s">
        <v>52</v>
      </c>
      <c r="C94" t="s">
        <v>64</v>
      </c>
      <c r="D94" t="s">
        <v>54</v>
      </c>
      <c r="E94" t="s">
        <v>61</v>
      </c>
      <c r="F94">
        <v>21</v>
      </c>
      <c r="G94">
        <v>59.64</v>
      </c>
    </row>
    <row r="95" spans="1:7" x14ac:dyDescent="0.3">
      <c r="A95" s="6">
        <v>41662</v>
      </c>
      <c r="B95" t="s">
        <v>52</v>
      </c>
      <c r="C95" t="s">
        <v>64</v>
      </c>
      <c r="D95" t="s">
        <v>62</v>
      </c>
      <c r="E95" t="s">
        <v>63</v>
      </c>
      <c r="F95">
        <v>36</v>
      </c>
      <c r="G95">
        <v>60.48</v>
      </c>
    </row>
    <row r="96" spans="1:7" x14ac:dyDescent="0.3">
      <c r="A96" s="6">
        <v>41662</v>
      </c>
      <c r="B96" t="s">
        <v>65</v>
      </c>
      <c r="C96" t="s">
        <v>66</v>
      </c>
      <c r="D96" t="s">
        <v>54</v>
      </c>
      <c r="E96" t="s">
        <v>55</v>
      </c>
      <c r="F96">
        <v>35</v>
      </c>
      <c r="G96">
        <v>53.41</v>
      </c>
    </row>
    <row r="97" spans="1:7" x14ac:dyDescent="0.3">
      <c r="A97" s="6">
        <v>41662</v>
      </c>
      <c r="B97" t="s">
        <v>65</v>
      </c>
      <c r="C97" t="s">
        <v>66</v>
      </c>
      <c r="D97" t="s">
        <v>56</v>
      </c>
      <c r="E97" t="s">
        <v>59</v>
      </c>
      <c r="F97">
        <v>54</v>
      </c>
      <c r="G97">
        <v>81.239999999999995</v>
      </c>
    </row>
    <row r="98" spans="1:7" x14ac:dyDescent="0.3">
      <c r="A98" s="6">
        <v>41662</v>
      </c>
      <c r="B98" t="s">
        <v>65</v>
      </c>
      <c r="C98" t="s">
        <v>66</v>
      </c>
      <c r="D98" t="s">
        <v>56</v>
      </c>
      <c r="E98" t="s">
        <v>59</v>
      </c>
      <c r="F98">
        <v>42</v>
      </c>
      <c r="G98">
        <v>63.19</v>
      </c>
    </row>
    <row r="99" spans="1:7" x14ac:dyDescent="0.3">
      <c r="A99" s="6">
        <v>41662</v>
      </c>
      <c r="B99" t="s">
        <v>65</v>
      </c>
      <c r="C99" t="s">
        <v>66</v>
      </c>
      <c r="D99" t="s">
        <v>54</v>
      </c>
      <c r="E99" t="s">
        <v>60</v>
      </c>
      <c r="F99">
        <v>40</v>
      </c>
      <c r="G99">
        <v>74.8</v>
      </c>
    </row>
    <row r="100" spans="1:7" x14ac:dyDescent="0.3">
      <c r="A100" s="6">
        <v>41662</v>
      </c>
      <c r="B100" t="s">
        <v>65</v>
      </c>
      <c r="C100" t="s">
        <v>66</v>
      </c>
      <c r="D100" t="s">
        <v>54</v>
      </c>
      <c r="E100" t="s">
        <v>61</v>
      </c>
      <c r="F100">
        <v>47</v>
      </c>
      <c r="G100">
        <v>133.47999999999999</v>
      </c>
    </row>
    <row r="101" spans="1:7" x14ac:dyDescent="0.3">
      <c r="A101" s="6">
        <v>41662</v>
      </c>
      <c r="B101" t="s">
        <v>65</v>
      </c>
      <c r="C101" t="s">
        <v>66</v>
      </c>
      <c r="D101" t="s">
        <v>62</v>
      </c>
      <c r="E101" t="s">
        <v>63</v>
      </c>
      <c r="F101">
        <v>20</v>
      </c>
      <c r="G101">
        <v>33.6</v>
      </c>
    </row>
    <row r="102" spans="1:7" x14ac:dyDescent="0.3">
      <c r="A102" s="6">
        <v>41662</v>
      </c>
      <c r="B102" t="s">
        <v>52</v>
      </c>
      <c r="C102" t="s">
        <v>67</v>
      </c>
      <c r="D102" t="s">
        <v>54</v>
      </c>
      <c r="E102" t="s">
        <v>55</v>
      </c>
      <c r="F102">
        <v>22</v>
      </c>
      <c r="G102">
        <v>33.57</v>
      </c>
    </row>
    <row r="103" spans="1:7" x14ac:dyDescent="0.3">
      <c r="A103" s="6">
        <v>41662</v>
      </c>
      <c r="B103" t="s">
        <v>52</v>
      </c>
      <c r="C103" t="s">
        <v>67</v>
      </c>
      <c r="D103" t="s">
        <v>56</v>
      </c>
      <c r="E103" t="s">
        <v>58</v>
      </c>
      <c r="F103">
        <v>24</v>
      </c>
      <c r="G103">
        <v>31.42</v>
      </c>
    </row>
    <row r="104" spans="1:7" x14ac:dyDescent="0.3">
      <c r="A104" s="6">
        <v>41662</v>
      </c>
      <c r="B104" t="s">
        <v>52</v>
      </c>
      <c r="C104" t="s">
        <v>67</v>
      </c>
      <c r="D104" t="s">
        <v>56</v>
      </c>
      <c r="E104" t="s">
        <v>59</v>
      </c>
      <c r="F104">
        <v>40</v>
      </c>
      <c r="G104">
        <v>60.18</v>
      </c>
    </row>
    <row r="105" spans="1:7" x14ac:dyDescent="0.3">
      <c r="A105" s="6">
        <v>41662</v>
      </c>
      <c r="B105" t="s">
        <v>52</v>
      </c>
      <c r="C105" t="s">
        <v>67</v>
      </c>
      <c r="D105" t="s">
        <v>56</v>
      </c>
      <c r="E105" t="s">
        <v>59</v>
      </c>
      <c r="F105">
        <v>56</v>
      </c>
      <c r="G105">
        <v>84.25</v>
      </c>
    </row>
    <row r="106" spans="1:7" x14ac:dyDescent="0.3">
      <c r="A106" s="6">
        <v>41662</v>
      </c>
      <c r="B106" t="s">
        <v>52</v>
      </c>
      <c r="C106" t="s">
        <v>67</v>
      </c>
      <c r="D106" t="s">
        <v>54</v>
      </c>
      <c r="E106" t="s">
        <v>61</v>
      </c>
      <c r="F106">
        <v>40</v>
      </c>
      <c r="G106">
        <v>113.6</v>
      </c>
    </row>
    <row r="107" spans="1:7" x14ac:dyDescent="0.3">
      <c r="A107" s="6">
        <v>41662</v>
      </c>
      <c r="B107" t="s">
        <v>52</v>
      </c>
      <c r="C107" t="s">
        <v>67</v>
      </c>
      <c r="D107" t="s">
        <v>69</v>
      </c>
      <c r="E107" t="s">
        <v>70</v>
      </c>
      <c r="F107">
        <v>22</v>
      </c>
      <c r="G107">
        <v>65.260000000000005</v>
      </c>
    </row>
    <row r="108" spans="1:7" x14ac:dyDescent="0.3">
      <c r="A108" s="6">
        <v>41662</v>
      </c>
      <c r="B108" t="s">
        <v>52</v>
      </c>
      <c r="C108" t="s">
        <v>64</v>
      </c>
      <c r="D108" t="s">
        <v>54</v>
      </c>
      <c r="E108" t="s">
        <v>55</v>
      </c>
      <c r="F108">
        <v>40</v>
      </c>
      <c r="G108">
        <v>61.04</v>
      </c>
    </row>
    <row r="109" spans="1:7" x14ac:dyDescent="0.3">
      <c r="A109" s="6">
        <v>41662</v>
      </c>
      <c r="B109" t="s">
        <v>52</v>
      </c>
      <c r="C109" t="s">
        <v>64</v>
      </c>
      <c r="D109" t="s">
        <v>56</v>
      </c>
      <c r="E109" t="s">
        <v>58</v>
      </c>
      <c r="F109">
        <v>32</v>
      </c>
      <c r="G109">
        <v>41.89</v>
      </c>
    </row>
    <row r="110" spans="1:7" x14ac:dyDescent="0.3">
      <c r="A110" s="6">
        <v>41662</v>
      </c>
      <c r="B110" t="s">
        <v>52</v>
      </c>
      <c r="C110" t="s">
        <v>64</v>
      </c>
      <c r="D110" t="s">
        <v>56</v>
      </c>
      <c r="E110" t="s">
        <v>59</v>
      </c>
      <c r="F110">
        <v>49</v>
      </c>
      <c r="G110">
        <v>73.72</v>
      </c>
    </row>
    <row r="111" spans="1:7" x14ac:dyDescent="0.3">
      <c r="A111" s="6">
        <v>41662</v>
      </c>
      <c r="B111" t="s">
        <v>52</v>
      </c>
      <c r="C111" t="s">
        <v>64</v>
      </c>
      <c r="D111" t="s">
        <v>56</v>
      </c>
      <c r="E111" t="s">
        <v>59</v>
      </c>
      <c r="F111">
        <v>69</v>
      </c>
      <c r="G111">
        <v>103.81</v>
      </c>
    </row>
    <row r="112" spans="1:7" x14ac:dyDescent="0.3">
      <c r="A112" s="6">
        <v>41662</v>
      </c>
      <c r="B112" t="s">
        <v>52</v>
      </c>
      <c r="C112" t="s">
        <v>64</v>
      </c>
      <c r="D112" t="s">
        <v>54</v>
      </c>
      <c r="E112" t="s">
        <v>60</v>
      </c>
      <c r="F112">
        <v>20</v>
      </c>
      <c r="G112">
        <v>37.4</v>
      </c>
    </row>
    <row r="113" spans="1:7" x14ac:dyDescent="0.3">
      <c r="A113" s="6">
        <v>41662</v>
      </c>
      <c r="B113" t="s">
        <v>52</v>
      </c>
      <c r="C113" t="s">
        <v>64</v>
      </c>
      <c r="D113" t="s">
        <v>54</v>
      </c>
      <c r="E113" t="s">
        <v>61</v>
      </c>
      <c r="F113">
        <v>31</v>
      </c>
      <c r="G113">
        <v>88.04</v>
      </c>
    </row>
    <row r="114" spans="1:7" x14ac:dyDescent="0.3">
      <c r="A114" s="6">
        <v>41662</v>
      </c>
      <c r="B114" t="s">
        <v>65</v>
      </c>
      <c r="C114" t="s">
        <v>68</v>
      </c>
      <c r="D114" t="s">
        <v>56</v>
      </c>
      <c r="E114" t="s">
        <v>59</v>
      </c>
      <c r="F114">
        <v>21</v>
      </c>
      <c r="G114">
        <v>31.59</v>
      </c>
    </row>
    <row r="115" spans="1:7" x14ac:dyDescent="0.3">
      <c r="A115" s="6">
        <v>41662</v>
      </c>
      <c r="B115" t="s">
        <v>65</v>
      </c>
      <c r="C115" t="s">
        <v>68</v>
      </c>
      <c r="D115" t="s">
        <v>54</v>
      </c>
      <c r="E115" t="s">
        <v>60</v>
      </c>
      <c r="F115">
        <v>21</v>
      </c>
      <c r="G115">
        <v>39.270000000000003</v>
      </c>
    </row>
    <row r="116" spans="1:7" x14ac:dyDescent="0.3">
      <c r="A116" s="6">
        <v>41662</v>
      </c>
      <c r="B116" t="s">
        <v>65</v>
      </c>
      <c r="C116" t="s">
        <v>68</v>
      </c>
      <c r="D116" t="s">
        <v>54</v>
      </c>
      <c r="E116" t="s">
        <v>61</v>
      </c>
      <c r="F116">
        <v>22</v>
      </c>
      <c r="G116">
        <v>62.48</v>
      </c>
    </row>
    <row r="117" spans="1:7" x14ac:dyDescent="0.3">
      <c r="A117" s="6">
        <v>41669</v>
      </c>
      <c r="B117" t="s">
        <v>52</v>
      </c>
      <c r="C117" t="s">
        <v>53</v>
      </c>
      <c r="D117" t="s">
        <v>54</v>
      </c>
      <c r="E117" t="s">
        <v>55</v>
      </c>
      <c r="F117">
        <v>92</v>
      </c>
      <c r="G117">
        <v>140.38999999999999</v>
      </c>
    </row>
    <row r="118" spans="1:7" x14ac:dyDescent="0.3">
      <c r="A118" s="6">
        <v>41669</v>
      </c>
      <c r="B118" t="s">
        <v>52</v>
      </c>
      <c r="C118" t="s">
        <v>53</v>
      </c>
      <c r="D118" t="s">
        <v>56</v>
      </c>
      <c r="E118" t="s">
        <v>58</v>
      </c>
      <c r="F118">
        <v>73</v>
      </c>
      <c r="G118">
        <v>95.56</v>
      </c>
    </row>
    <row r="119" spans="1:7" x14ac:dyDescent="0.3">
      <c r="A119" s="6">
        <v>41669</v>
      </c>
      <c r="B119" t="s">
        <v>52</v>
      </c>
      <c r="C119" t="s">
        <v>53</v>
      </c>
      <c r="D119" t="s">
        <v>56</v>
      </c>
      <c r="E119" t="s">
        <v>59</v>
      </c>
      <c r="F119">
        <v>24</v>
      </c>
      <c r="G119">
        <v>36.11</v>
      </c>
    </row>
    <row r="120" spans="1:7" x14ac:dyDescent="0.3">
      <c r="A120" s="6">
        <v>41669</v>
      </c>
      <c r="B120" t="s">
        <v>52</v>
      </c>
      <c r="C120" t="s">
        <v>53</v>
      </c>
      <c r="D120" t="s">
        <v>56</v>
      </c>
      <c r="E120" t="s">
        <v>59</v>
      </c>
      <c r="F120">
        <v>94</v>
      </c>
      <c r="G120">
        <v>141.41999999999999</v>
      </c>
    </row>
    <row r="121" spans="1:7" x14ac:dyDescent="0.3">
      <c r="A121" s="6">
        <v>41669</v>
      </c>
      <c r="B121" t="s">
        <v>52</v>
      </c>
      <c r="C121" t="s">
        <v>53</v>
      </c>
      <c r="D121" t="s">
        <v>54</v>
      </c>
      <c r="E121" t="s">
        <v>60</v>
      </c>
      <c r="F121">
        <v>86</v>
      </c>
      <c r="G121">
        <v>160.82</v>
      </c>
    </row>
    <row r="122" spans="1:7" x14ac:dyDescent="0.3">
      <c r="A122" s="6">
        <v>41669</v>
      </c>
      <c r="B122" t="s">
        <v>52</v>
      </c>
      <c r="C122" t="s">
        <v>53</v>
      </c>
      <c r="D122" t="s">
        <v>62</v>
      </c>
      <c r="E122" t="s">
        <v>63</v>
      </c>
      <c r="F122">
        <v>65</v>
      </c>
      <c r="G122">
        <v>109.2</v>
      </c>
    </row>
    <row r="123" spans="1:7" x14ac:dyDescent="0.3">
      <c r="A123" s="6">
        <v>41669</v>
      </c>
      <c r="B123" t="s">
        <v>52</v>
      </c>
      <c r="C123" t="s">
        <v>64</v>
      </c>
      <c r="D123" t="s">
        <v>56</v>
      </c>
      <c r="E123" t="s">
        <v>58</v>
      </c>
      <c r="F123">
        <v>39</v>
      </c>
      <c r="G123">
        <v>51.05</v>
      </c>
    </row>
    <row r="124" spans="1:7" x14ac:dyDescent="0.3">
      <c r="A124" s="6">
        <v>41669</v>
      </c>
      <c r="B124" t="s">
        <v>52</v>
      </c>
      <c r="C124" t="s">
        <v>64</v>
      </c>
      <c r="D124" t="s">
        <v>56</v>
      </c>
      <c r="E124" t="s">
        <v>59</v>
      </c>
      <c r="F124">
        <v>44</v>
      </c>
      <c r="G124">
        <v>66.2</v>
      </c>
    </row>
    <row r="125" spans="1:7" x14ac:dyDescent="0.3">
      <c r="A125" s="6">
        <v>41669</v>
      </c>
      <c r="B125" t="s">
        <v>52</v>
      </c>
      <c r="C125" t="s">
        <v>64</v>
      </c>
      <c r="D125" t="s">
        <v>54</v>
      </c>
      <c r="E125" t="s">
        <v>61</v>
      </c>
      <c r="F125">
        <v>21</v>
      </c>
      <c r="G125">
        <v>59.64</v>
      </c>
    </row>
    <row r="126" spans="1:7" x14ac:dyDescent="0.3">
      <c r="A126" s="6">
        <v>41669</v>
      </c>
      <c r="B126" t="s">
        <v>52</v>
      </c>
      <c r="C126" t="s">
        <v>64</v>
      </c>
      <c r="D126" t="s">
        <v>62</v>
      </c>
      <c r="E126" t="s">
        <v>63</v>
      </c>
      <c r="F126">
        <v>23</v>
      </c>
      <c r="G126">
        <v>38.64</v>
      </c>
    </row>
    <row r="127" spans="1:7" x14ac:dyDescent="0.3">
      <c r="A127" s="6">
        <v>41669</v>
      </c>
      <c r="B127" t="s">
        <v>65</v>
      </c>
      <c r="C127" t="s">
        <v>66</v>
      </c>
      <c r="D127" t="s">
        <v>54</v>
      </c>
      <c r="E127" t="s">
        <v>55</v>
      </c>
      <c r="F127">
        <v>29</v>
      </c>
      <c r="G127">
        <v>44.25</v>
      </c>
    </row>
    <row r="128" spans="1:7" x14ac:dyDescent="0.3">
      <c r="A128" s="6">
        <v>41669</v>
      </c>
      <c r="B128" t="s">
        <v>65</v>
      </c>
      <c r="C128" t="s">
        <v>66</v>
      </c>
      <c r="D128" t="s">
        <v>56</v>
      </c>
      <c r="E128" t="s">
        <v>59</v>
      </c>
      <c r="F128">
        <v>36</v>
      </c>
      <c r="G128">
        <v>54.16</v>
      </c>
    </row>
    <row r="129" spans="1:7" x14ac:dyDescent="0.3">
      <c r="A129" s="6">
        <v>41669</v>
      </c>
      <c r="B129" t="s">
        <v>65</v>
      </c>
      <c r="C129" t="s">
        <v>66</v>
      </c>
      <c r="D129" t="s">
        <v>56</v>
      </c>
      <c r="E129" t="s">
        <v>59</v>
      </c>
      <c r="F129">
        <v>46</v>
      </c>
      <c r="G129">
        <v>69.209999999999994</v>
      </c>
    </row>
    <row r="130" spans="1:7" x14ac:dyDescent="0.3">
      <c r="A130" s="6">
        <v>41669</v>
      </c>
      <c r="B130" t="s">
        <v>65</v>
      </c>
      <c r="C130" t="s">
        <v>66</v>
      </c>
      <c r="D130" t="s">
        <v>54</v>
      </c>
      <c r="E130" t="s">
        <v>60</v>
      </c>
      <c r="F130">
        <v>41</v>
      </c>
      <c r="G130">
        <v>76.67</v>
      </c>
    </row>
    <row r="131" spans="1:7" x14ac:dyDescent="0.3">
      <c r="A131" s="6">
        <v>41669</v>
      </c>
      <c r="B131" t="s">
        <v>65</v>
      </c>
      <c r="C131" t="s">
        <v>66</v>
      </c>
      <c r="D131" t="s">
        <v>54</v>
      </c>
      <c r="E131" t="s">
        <v>61</v>
      </c>
      <c r="F131">
        <v>59</v>
      </c>
      <c r="G131">
        <v>167.56</v>
      </c>
    </row>
    <row r="132" spans="1:7" x14ac:dyDescent="0.3">
      <c r="A132" s="6">
        <v>41669</v>
      </c>
      <c r="B132" t="s">
        <v>52</v>
      </c>
      <c r="C132" t="s">
        <v>67</v>
      </c>
      <c r="D132" t="s">
        <v>54</v>
      </c>
      <c r="E132" t="s">
        <v>55</v>
      </c>
      <c r="F132">
        <v>29</v>
      </c>
      <c r="G132">
        <v>44.25</v>
      </c>
    </row>
    <row r="133" spans="1:7" x14ac:dyDescent="0.3">
      <c r="A133" s="6">
        <v>41669</v>
      </c>
      <c r="B133" t="s">
        <v>52</v>
      </c>
      <c r="C133" t="s">
        <v>67</v>
      </c>
      <c r="D133" t="s">
        <v>56</v>
      </c>
      <c r="E133" t="s">
        <v>58</v>
      </c>
      <c r="F133">
        <v>27</v>
      </c>
      <c r="G133">
        <v>35.340000000000003</v>
      </c>
    </row>
    <row r="134" spans="1:7" x14ac:dyDescent="0.3">
      <c r="A134" s="6">
        <v>41669</v>
      </c>
      <c r="B134" t="s">
        <v>52</v>
      </c>
      <c r="C134" t="s">
        <v>67</v>
      </c>
      <c r="D134" t="s">
        <v>56</v>
      </c>
      <c r="E134" t="s">
        <v>59</v>
      </c>
      <c r="F134">
        <v>47</v>
      </c>
      <c r="G134">
        <v>70.709999999999994</v>
      </c>
    </row>
    <row r="135" spans="1:7" x14ac:dyDescent="0.3">
      <c r="A135" s="6">
        <v>41669</v>
      </c>
      <c r="B135" t="s">
        <v>52</v>
      </c>
      <c r="C135" t="s">
        <v>67</v>
      </c>
      <c r="D135" t="s">
        <v>56</v>
      </c>
      <c r="E135" t="s">
        <v>59</v>
      </c>
      <c r="F135">
        <v>58</v>
      </c>
      <c r="G135">
        <v>87.26</v>
      </c>
    </row>
    <row r="136" spans="1:7" x14ac:dyDescent="0.3">
      <c r="A136" s="6">
        <v>41669</v>
      </c>
      <c r="B136" t="s">
        <v>52</v>
      </c>
      <c r="C136" t="s">
        <v>67</v>
      </c>
      <c r="D136" t="s">
        <v>54</v>
      </c>
      <c r="E136" t="s">
        <v>61</v>
      </c>
      <c r="F136">
        <v>48</v>
      </c>
      <c r="G136">
        <v>136.32</v>
      </c>
    </row>
    <row r="137" spans="1:7" x14ac:dyDescent="0.3">
      <c r="A137" s="6">
        <v>41669</v>
      </c>
      <c r="B137" t="s">
        <v>52</v>
      </c>
      <c r="C137" t="s">
        <v>67</v>
      </c>
      <c r="D137" t="s">
        <v>62</v>
      </c>
      <c r="E137" t="s">
        <v>63</v>
      </c>
      <c r="F137">
        <v>29</v>
      </c>
      <c r="G137">
        <v>48.72</v>
      </c>
    </row>
    <row r="138" spans="1:7" x14ac:dyDescent="0.3">
      <c r="A138" s="6">
        <v>41669</v>
      </c>
      <c r="B138" t="s">
        <v>52</v>
      </c>
      <c r="C138" t="s">
        <v>64</v>
      </c>
      <c r="D138" t="s">
        <v>54</v>
      </c>
      <c r="E138" t="s">
        <v>55</v>
      </c>
      <c r="F138">
        <v>39</v>
      </c>
      <c r="G138">
        <v>59.51</v>
      </c>
    </row>
    <row r="139" spans="1:7" x14ac:dyDescent="0.3">
      <c r="A139" s="6">
        <v>41669</v>
      </c>
      <c r="B139" t="s">
        <v>52</v>
      </c>
      <c r="C139" t="s">
        <v>64</v>
      </c>
      <c r="D139" t="s">
        <v>56</v>
      </c>
      <c r="E139" t="s">
        <v>58</v>
      </c>
      <c r="F139">
        <v>31</v>
      </c>
      <c r="G139">
        <v>40.58</v>
      </c>
    </row>
    <row r="140" spans="1:7" x14ac:dyDescent="0.3">
      <c r="A140" s="6">
        <v>41669</v>
      </c>
      <c r="B140" t="s">
        <v>52</v>
      </c>
      <c r="C140" t="s">
        <v>64</v>
      </c>
      <c r="D140" t="s">
        <v>56</v>
      </c>
      <c r="E140" t="s">
        <v>59</v>
      </c>
      <c r="F140">
        <v>35</v>
      </c>
      <c r="G140">
        <v>52.66</v>
      </c>
    </row>
    <row r="141" spans="1:7" x14ac:dyDescent="0.3">
      <c r="A141" s="6">
        <v>41669</v>
      </c>
      <c r="B141" t="s">
        <v>52</v>
      </c>
      <c r="C141" t="s">
        <v>64</v>
      </c>
      <c r="D141" t="s">
        <v>56</v>
      </c>
      <c r="E141" t="s">
        <v>59</v>
      </c>
      <c r="F141">
        <v>40</v>
      </c>
      <c r="G141">
        <v>60.18</v>
      </c>
    </row>
    <row r="142" spans="1:7" x14ac:dyDescent="0.3">
      <c r="A142" s="6">
        <v>41669</v>
      </c>
      <c r="B142" t="s">
        <v>52</v>
      </c>
      <c r="C142" t="s">
        <v>64</v>
      </c>
      <c r="D142" t="s">
        <v>54</v>
      </c>
      <c r="E142" t="s">
        <v>60</v>
      </c>
      <c r="F142">
        <v>32</v>
      </c>
      <c r="G142">
        <v>59.84</v>
      </c>
    </row>
    <row r="143" spans="1:7" x14ac:dyDescent="0.3">
      <c r="A143" s="6">
        <v>41669</v>
      </c>
      <c r="B143" t="s">
        <v>52</v>
      </c>
      <c r="C143" t="s">
        <v>64</v>
      </c>
      <c r="D143" t="s">
        <v>54</v>
      </c>
      <c r="E143" t="s">
        <v>61</v>
      </c>
      <c r="F143">
        <v>30</v>
      </c>
      <c r="G143">
        <v>85.2</v>
      </c>
    </row>
    <row r="144" spans="1:7" x14ac:dyDescent="0.3">
      <c r="A144" s="6">
        <v>41669</v>
      </c>
      <c r="B144" t="s">
        <v>52</v>
      </c>
      <c r="C144" t="s">
        <v>64</v>
      </c>
      <c r="D144" t="s">
        <v>62</v>
      </c>
      <c r="E144" t="s">
        <v>63</v>
      </c>
      <c r="F144">
        <v>23</v>
      </c>
      <c r="G144">
        <v>38.64</v>
      </c>
    </row>
    <row r="145" spans="1:7" x14ac:dyDescent="0.3">
      <c r="A145" s="6">
        <v>41669</v>
      </c>
      <c r="B145" t="s">
        <v>65</v>
      </c>
      <c r="C145" t="s">
        <v>68</v>
      </c>
      <c r="D145" t="s">
        <v>56</v>
      </c>
      <c r="E145" t="s">
        <v>59</v>
      </c>
      <c r="F145">
        <v>38</v>
      </c>
      <c r="G145">
        <v>57.17</v>
      </c>
    </row>
    <row r="146" spans="1:7" x14ac:dyDescent="0.3">
      <c r="A146" s="6">
        <v>41669</v>
      </c>
      <c r="B146" t="s">
        <v>65</v>
      </c>
      <c r="C146" t="s">
        <v>68</v>
      </c>
      <c r="D146" t="s">
        <v>54</v>
      </c>
      <c r="E146" t="s">
        <v>61</v>
      </c>
      <c r="F146">
        <v>25</v>
      </c>
      <c r="G146">
        <v>71</v>
      </c>
    </row>
    <row r="147" spans="1:7" x14ac:dyDescent="0.3">
      <c r="A147" s="6">
        <v>41676</v>
      </c>
      <c r="B147" t="s">
        <v>52</v>
      </c>
      <c r="C147" t="s">
        <v>53</v>
      </c>
      <c r="D147" t="s">
        <v>54</v>
      </c>
      <c r="E147" t="s">
        <v>55</v>
      </c>
      <c r="F147">
        <v>76</v>
      </c>
      <c r="G147">
        <v>165.68</v>
      </c>
    </row>
    <row r="148" spans="1:7" x14ac:dyDescent="0.3">
      <c r="A148" s="6">
        <v>41676</v>
      </c>
      <c r="B148" t="s">
        <v>52</v>
      </c>
      <c r="C148" t="s">
        <v>53</v>
      </c>
      <c r="D148" t="s">
        <v>54</v>
      </c>
      <c r="E148" t="s">
        <v>55</v>
      </c>
      <c r="F148">
        <v>24</v>
      </c>
      <c r="G148">
        <v>52.32</v>
      </c>
    </row>
    <row r="149" spans="1:7" x14ac:dyDescent="0.3">
      <c r="A149" s="6">
        <v>41676</v>
      </c>
      <c r="B149" t="s">
        <v>52</v>
      </c>
      <c r="C149" t="s">
        <v>53</v>
      </c>
      <c r="D149" t="s">
        <v>56</v>
      </c>
      <c r="E149" t="s">
        <v>57</v>
      </c>
      <c r="F149">
        <v>24</v>
      </c>
      <c r="G149">
        <v>54.48</v>
      </c>
    </row>
    <row r="150" spans="1:7" x14ac:dyDescent="0.3">
      <c r="A150" s="6">
        <v>41676</v>
      </c>
      <c r="B150" t="s">
        <v>52</v>
      </c>
      <c r="C150" t="s">
        <v>53</v>
      </c>
      <c r="D150" t="s">
        <v>56</v>
      </c>
      <c r="E150" t="s">
        <v>58</v>
      </c>
      <c r="F150">
        <v>55</v>
      </c>
      <c r="G150">
        <v>102.85</v>
      </c>
    </row>
    <row r="151" spans="1:7" x14ac:dyDescent="0.3">
      <c r="A151" s="6">
        <v>41676</v>
      </c>
      <c r="B151" t="s">
        <v>52</v>
      </c>
      <c r="C151" t="s">
        <v>53</v>
      </c>
      <c r="D151" t="s">
        <v>56</v>
      </c>
      <c r="E151" t="s">
        <v>59</v>
      </c>
      <c r="F151">
        <v>59</v>
      </c>
      <c r="G151">
        <v>104.43</v>
      </c>
    </row>
    <row r="152" spans="1:7" x14ac:dyDescent="0.3">
      <c r="A152" s="6">
        <v>41676</v>
      </c>
      <c r="B152" t="s">
        <v>52</v>
      </c>
      <c r="C152" t="s">
        <v>53</v>
      </c>
      <c r="D152" t="s">
        <v>54</v>
      </c>
      <c r="E152" t="s">
        <v>60</v>
      </c>
      <c r="F152">
        <v>94</v>
      </c>
      <c r="G152">
        <v>175.78</v>
      </c>
    </row>
    <row r="153" spans="1:7" x14ac:dyDescent="0.3">
      <c r="A153" s="6">
        <v>41676</v>
      </c>
      <c r="B153" t="s">
        <v>52</v>
      </c>
      <c r="C153" t="s">
        <v>53</v>
      </c>
      <c r="D153" t="s">
        <v>54</v>
      </c>
      <c r="E153" t="s">
        <v>61</v>
      </c>
      <c r="F153">
        <v>87</v>
      </c>
      <c r="G153">
        <v>247.08</v>
      </c>
    </row>
    <row r="154" spans="1:7" x14ac:dyDescent="0.3">
      <c r="A154" s="6">
        <v>41676</v>
      </c>
      <c r="B154" t="s">
        <v>52</v>
      </c>
      <c r="C154" t="s">
        <v>53</v>
      </c>
      <c r="D154" t="s">
        <v>62</v>
      </c>
      <c r="E154" t="s">
        <v>63</v>
      </c>
      <c r="F154">
        <v>42</v>
      </c>
      <c r="G154">
        <v>70.56</v>
      </c>
    </row>
    <row r="155" spans="1:7" x14ac:dyDescent="0.3">
      <c r="A155" s="6">
        <v>41676</v>
      </c>
      <c r="B155" t="s">
        <v>52</v>
      </c>
      <c r="C155" t="s">
        <v>64</v>
      </c>
      <c r="D155" t="s">
        <v>56</v>
      </c>
      <c r="E155" t="s">
        <v>58</v>
      </c>
      <c r="F155">
        <v>43</v>
      </c>
      <c r="G155">
        <v>80.41</v>
      </c>
    </row>
    <row r="156" spans="1:7" x14ac:dyDescent="0.3">
      <c r="A156" s="6">
        <v>41676</v>
      </c>
      <c r="B156" t="s">
        <v>52</v>
      </c>
      <c r="C156" t="s">
        <v>64</v>
      </c>
      <c r="D156" t="s">
        <v>56</v>
      </c>
      <c r="E156" t="s">
        <v>59</v>
      </c>
      <c r="F156">
        <v>40</v>
      </c>
      <c r="G156">
        <v>70.8</v>
      </c>
    </row>
    <row r="157" spans="1:7" x14ac:dyDescent="0.3">
      <c r="A157" s="6">
        <v>41676</v>
      </c>
      <c r="B157" t="s">
        <v>52</v>
      </c>
      <c r="C157" t="s">
        <v>64</v>
      </c>
      <c r="D157" t="s">
        <v>54</v>
      </c>
      <c r="E157" t="s">
        <v>61</v>
      </c>
      <c r="F157">
        <v>24</v>
      </c>
      <c r="G157">
        <v>68.16</v>
      </c>
    </row>
    <row r="158" spans="1:7" x14ac:dyDescent="0.3">
      <c r="A158" s="6">
        <v>41676</v>
      </c>
      <c r="B158" t="s">
        <v>52</v>
      </c>
      <c r="C158" t="s">
        <v>64</v>
      </c>
      <c r="D158" t="s">
        <v>62</v>
      </c>
      <c r="E158" t="s">
        <v>63</v>
      </c>
      <c r="F158">
        <v>36</v>
      </c>
      <c r="G158">
        <v>60.48</v>
      </c>
    </row>
    <row r="159" spans="1:7" x14ac:dyDescent="0.3">
      <c r="A159" s="6">
        <v>41676</v>
      </c>
      <c r="B159" t="s">
        <v>65</v>
      </c>
      <c r="C159" t="s">
        <v>66</v>
      </c>
      <c r="D159" t="s">
        <v>54</v>
      </c>
      <c r="E159" t="s">
        <v>55</v>
      </c>
      <c r="F159">
        <v>48</v>
      </c>
      <c r="G159">
        <v>104.64</v>
      </c>
    </row>
    <row r="160" spans="1:7" x14ac:dyDescent="0.3">
      <c r="A160" s="6">
        <v>41676</v>
      </c>
      <c r="B160" t="s">
        <v>65</v>
      </c>
      <c r="C160" t="s">
        <v>66</v>
      </c>
      <c r="D160" t="s">
        <v>56</v>
      </c>
      <c r="E160" t="s">
        <v>58</v>
      </c>
      <c r="F160">
        <v>31</v>
      </c>
      <c r="G160">
        <v>57.97</v>
      </c>
    </row>
    <row r="161" spans="1:7" x14ac:dyDescent="0.3">
      <c r="A161" s="6">
        <v>41676</v>
      </c>
      <c r="B161" t="s">
        <v>65</v>
      </c>
      <c r="C161" t="s">
        <v>66</v>
      </c>
      <c r="D161" t="s">
        <v>56</v>
      </c>
      <c r="E161" t="s">
        <v>59</v>
      </c>
      <c r="F161">
        <v>41</v>
      </c>
      <c r="G161">
        <v>72.569999999999993</v>
      </c>
    </row>
    <row r="162" spans="1:7" x14ac:dyDescent="0.3">
      <c r="A162" s="6">
        <v>41676</v>
      </c>
      <c r="B162" t="s">
        <v>65</v>
      </c>
      <c r="C162" t="s">
        <v>66</v>
      </c>
      <c r="D162" t="s">
        <v>56</v>
      </c>
      <c r="E162" t="s">
        <v>59</v>
      </c>
      <c r="F162">
        <v>41</v>
      </c>
      <c r="G162">
        <v>72.569999999999993</v>
      </c>
    </row>
    <row r="163" spans="1:7" x14ac:dyDescent="0.3">
      <c r="A163" s="6">
        <v>41676</v>
      </c>
      <c r="B163" t="s">
        <v>65</v>
      </c>
      <c r="C163" t="s">
        <v>66</v>
      </c>
      <c r="D163" t="s">
        <v>54</v>
      </c>
      <c r="E163" t="s">
        <v>60</v>
      </c>
      <c r="F163">
        <v>44</v>
      </c>
      <c r="G163">
        <v>82.28</v>
      </c>
    </row>
    <row r="164" spans="1:7" x14ac:dyDescent="0.3">
      <c r="A164" s="6">
        <v>41676</v>
      </c>
      <c r="B164" t="s">
        <v>65</v>
      </c>
      <c r="C164" t="s">
        <v>66</v>
      </c>
      <c r="D164" t="s">
        <v>54</v>
      </c>
      <c r="E164" t="s">
        <v>61</v>
      </c>
      <c r="F164">
        <v>71</v>
      </c>
      <c r="G164">
        <v>201.64</v>
      </c>
    </row>
    <row r="165" spans="1:7" x14ac:dyDescent="0.3">
      <c r="A165" s="6">
        <v>41676</v>
      </c>
      <c r="B165" t="s">
        <v>52</v>
      </c>
      <c r="C165" t="s">
        <v>67</v>
      </c>
      <c r="D165" t="s">
        <v>54</v>
      </c>
      <c r="E165" t="s">
        <v>55</v>
      </c>
      <c r="F165">
        <v>31</v>
      </c>
      <c r="G165">
        <v>67.58</v>
      </c>
    </row>
    <row r="166" spans="1:7" x14ac:dyDescent="0.3">
      <c r="A166" s="6">
        <v>41676</v>
      </c>
      <c r="B166" t="s">
        <v>52</v>
      </c>
      <c r="C166" t="s">
        <v>67</v>
      </c>
      <c r="D166" t="s">
        <v>56</v>
      </c>
      <c r="E166" t="s">
        <v>58</v>
      </c>
      <c r="F166">
        <v>26</v>
      </c>
      <c r="G166">
        <v>48.62</v>
      </c>
    </row>
    <row r="167" spans="1:7" x14ac:dyDescent="0.3">
      <c r="A167" s="6">
        <v>41676</v>
      </c>
      <c r="B167" t="s">
        <v>52</v>
      </c>
      <c r="C167" t="s">
        <v>67</v>
      </c>
      <c r="D167" t="s">
        <v>56</v>
      </c>
      <c r="E167" t="s">
        <v>59</v>
      </c>
      <c r="F167">
        <v>60</v>
      </c>
      <c r="G167">
        <v>106.2</v>
      </c>
    </row>
    <row r="168" spans="1:7" x14ac:dyDescent="0.3">
      <c r="A168" s="6">
        <v>41676</v>
      </c>
      <c r="B168" t="s">
        <v>52</v>
      </c>
      <c r="C168" t="s">
        <v>67</v>
      </c>
      <c r="D168" t="s">
        <v>56</v>
      </c>
      <c r="E168" t="s">
        <v>59</v>
      </c>
      <c r="F168">
        <v>89</v>
      </c>
      <c r="G168">
        <v>157.53</v>
      </c>
    </row>
    <row r="169" spans="1:7" x14ac:dyDescent="0.3">
      <c r="A169" s="6">
        <v>41676</v>
      </c>
      <c r="B169" t="s">
        <v>52</v>
      </c>
      <c r="C169" t="s">
        <v>67</v>
      </c>
      <c r="D169" t="s">
        <v>54</v>
      </c>
      <c r="E169" t="s">
        <v>60</v>
      </c>
      <c r="F169">
        <v>24</v>
      </c>
      <c r="G169">
        <v>44.88</v>
      </c>
    </row>
    <row r="170" spans="1:7" x14ac:dyDescent="0.3">
      <c r="A170" s="6">
        <v>41676</v>
      </c>
      <c r="B170" t="s">
        <v>52</v>
      </c>
      <c r="C170" t="s">
        <v>67</v>
      </c>
      <c r="D170" t="s">
        <v>54</v>
      </c>
      <c r="E170" t="s">
        <v>61</v>
      </c>
      <c r="F170">
        <v>68</v>
      </c>
      <c r="G170">
        <v>193.12</v>
      </c>
    </row>
    <row r="171" spans="1:7" x14ac:dyDescent="0.3">
      <c r="A171" s="6">
        <v>41676</v>
      </c>
      <c r="B171" t="s">
        <v>52</v>
      </c>
      <c r="C171" t="s">
        <v>67</v>
      </c>
      <c r="D171" t="s">
        <v>62</v>
      </c>
      <c r="E171" t="s">
        <v>63</v>
      </c>
      <c r="F171">
        <v>22</v>
      </c>
      <c r="G171">
        <v>36.96</v>
      </c>
    </row>
    <row r="172" spans="1:7" x14ac:dyDescent="0.3">
      <c r="A172" s="6">
        <v>41676</v>
      </c>
      <c r="B172" t="s">
        <v>52</v>
      </c>
      <c r="C172" t="s">
        <v>67</v>
      </c>
      <c r="D172" t="s">
        <v>69</v>
      </c>
      <c r="E172" t="s">
        <v>71</v>
      </c>
      <c r="F172">
        <v>23</v>
      </c>
      <c r="G172">
        <v>50.37</v>
      </c>
    </row>
    <row r="173" spans="1:7" x14ac:dyDescent="0.3">
      <c r="A173" s="6">
        <v>41676</v>
      </c>
      <c r="B173" t="s">
        <v>52</v>
      </c>
      <c r="C173" t="s">
        <v>67</v>
      </c>
      <c r="D173" t="s">
        <v>69</v>
      </c>
      <c r="E173" t="s">
        <v>70</v>
      </c>
      <c r="F173">
        <v>23</v>
      </c>
      <c r="G173">
        <v>80.27</v>
      </c>
    </row>
    <row r="174" spans="1:7" x14ac:dyDescent="0.3">
      <c r="A174" s="6">
        <v>41676</v>
      </c>
      <c r="B174" t="s">
        <v>52</v>
      </c>
      <c r="C174" t="s">
        <v>64</v>
      </c>
      <c r="D174" t="s">
        <v>54</v>
      </c>
      <c r="E174" t="s">
        <v>55</v>
      </c>
      <c r="F174">
        <v>30</v>
      </c>
      <c r="G174">
        <v>65.400000000000006</v>
      </c>
    </row>
    <row r="175" spans="1:7" x14ac:dyDescent="0.3">
      <c r="A175" s="6">
        <v>41676</v>
      </c>
      <c r="B175" t="s">
        <v>52</v>
      </c>
      <c r="C175" t="s">
        <v>64</v>
      </c>
      <c r="D175" t="s">
        <v>56</v>
      </c>
      <c r="E175" t="s">
        <v>58</v>
      </c>
      <c r="F175">
        <v>38</v>
      </c>
      <c r="G175">
        <v>71.06</v>
      </c>
    </row>
    <row r="176" spans="1:7" x14ac:dyDescent="0.3">
      <c r="A176" s="6">
        <v>41676</v>
      </c>
      <c r="B176" t="s">
        <v>52</v>
      </c>
      <c r="C176" t="s">
        <v>64</v>
      </c>
      <c r="D176" t="s">
        <v>56</v>
      </c>
      <c r="E176" t="s">
        <v>59</v>
      </c>
      <c r="F176">
        <v>72</v>
      </c>
      <c r="G176">
        <v>127.44</v>
      </c>
    </row>
    <row r="177" spans="1:7" x14ac:dyDescent="0.3">
      <c r="A177" s="6">
        <v>41676</v>
      </c>
      <c r="B177" t="s">
        <v>52</v>
      </c>
      <c r="C177" t="s">
        <v>64</v>
      </c>
      <c r="D177" t="s">
        <v>56</v>
      </c>
      <c r="E177" t="s">
        <v>59</v>
      </c>
      <c r="F177">
        <v>48</v>
      </c>
      <c r="G177">
        <v>84.96</v>
      </c>
    </row>
    <row r="178" spans="1:7" x14ac:dyDescent="0.3">
      <c r="A178" s="6">
        <v>41676</v>
      </c>
      <c r="B178" t="s">
        <v>52</v>
      </c>
      <c r="C178" t="s">
        <v>64</v>
      </c>
      <c r="D178" t="s">
        <v>54</v>
      </c>
      <c r="E178" t="s">
        <v>61</v>
      </c>
      <c r="F178">
        <v>41</v>
      </c>
      <c r="G178">
        <v>116.44</v>
      </c>
    </row>
    <row r="179" spans="1:7" x14ac:dyDescent="0.3">
      <c r="A179" s="6">
        <v>41676</v>
      </c>
      <c r="B179" t="s">
        <v>65</v>
      </c>
      <c r="C179" t="s">
        <v>68</v>
      </c>
      <c r="D179" t="s">
        <v>54</v>
      </c>
      <c r="E179" t="s">
        <v>55</v>
      </c>
      <c r="F179">
        <v>21</v>
      </c>
      <c r="G179">
        <v>45.78</v>
      </c>
    </row>
    <row r="180" spans="1:7" x14ac:dyDescent="0.3">
      <c r="A180" s="6">
        <v>41676</v>
      </c>
      <c r="B180" t="s">
        <v>65</v>
      </c>
      <c r="C180" t="s">
        <v>68</v>
      </c>
      <c r="D180" t="s">
        <v>56</v>
      </c>
      <c r="E180" t="s">
        <v>57</v>
      </c>
      <c r="F180">
        <v>29</v>
      </c>
      <c r="G180">
        <v>65.83</v>
      </c>
    </row>
    <row r="181" spans="1:7" x14ac:dyDescent="0.3">
      <c r="A181" s="6">
        <v>41676</v>
      </c>
      <c r="B181" t="s">
        <v>65</v>
      </c>
      <c r="C181" t="s">
        <v>68</v>
      </c>
      <c r="D181" t="s">
        <v>56</v>
      </c>
      <c r="E181" t="s">
        <v>59</v>
      </c>
      <c r="F181">
        <v>27</v>
      </c>
      <c r="G181">
        <v>47.79</v>
      </c>
    </row>
    <row r="182" spans="1:7" x14ac:dyDescent="0.3">
      <c r="A182" s="6">
        <v>41676</v>
      </c>
      <c r="B182" t="s">
        <v>65</v>
      </c>
      <c r="C182" t="s">
        <v>68</v>
      </c>
      <c r="D182" t="s">
        <v>54</v>
      </c>
      <c r="E182" t="s">
        <v>61</v>
      </c>
      <c r="F182">
        <v>20</v>
      </c>
      <c r="G182">
        <v>56.8</v>
      </c>
    </row>
    <row r="183" spans="1:7" x14ac:dyDescent="0.3">
      <c r="A183" s="6">
        <v>41683</v>
      </c>
      <c r="B183" t="s">
        <v>52</v>
      </c>
      <c r="C183" t="s">
        <v>53</v>
      </c>
      <c r="D183" t="s">
        <v>54</v>
      </c>
      <c r="E183" t="s">
        <v>55</v>
      </c>
      <c r="F183">
        <v>43</v>
      </c>
      <c r="G183">
        <v>93.74</v>
      </c>
    </row>
    <row r="184" spans="1:7" x14ac:dyDescent="0.3">
      <c r="A184" s="6">
        <v>41683</v>
      </c>
      <c r="B184" t="s">
        <v>52</v>
      </c>
      <c r="C184" t="s">
        <v>53</v>
      </c>
      <c r="D184" t="s">
        <v>56</v>
      </c>
      <c r="E184" t="s">
        <v>58</v>
      </c>
      <c r="F184">
        <v>32</v>
      </c>
      <c r="G184">
        <v>59.84</v>
      </c>
    </row>
    <row r="185" spans="1:7" x14ac:dyDescent="0.3">
      <c r="A185" s="6">
        <v>41683</v>
      </c>
      <c r="B185" t="s">
        <v>52</v>
      </c>
      <c r="C185" t="s">
        <v>53</v>
      </c>
      <c r="D185" t="s">
        <v>56</v>
      </c>
      <c r="E185" t="s">
        <v>59</v>
      </c>
      <c r="F185">
        <v>34</v>
      </c>
      <c r="G185">
        <v>60.18</v>
      </c>
    </row>
    <row r="186" spans="1:7" x14ac:dyDescent="0.3">
      <c r="A186" s="6">
        <v>41683</v>
      </c>
      <c r="B186" t="s">
        <v>52</v>
      </c>
      <c r="C186" t="s">
        <v>53</v>
      </c>
      <c r="D186" t="s">
        <v>56</v>
      </c>
      <c r="E186" t="s">
        <v>59</v>
      </c>
      <c r="F186">
        <v>26</v>
      </c>
      <c r="G186">
        <v>46.02</v>
      </c>
    </row>
    <row r="187" spans="1:7" x14ac:dyDescent="0.3">
      <c r="A187" s="6">
        <v>41683</v>
      </c>
      <c r="B187" t="s">
        <v>52</v>
      </c>
      <c r="C187" t="s">
        <v>53</v>
      </c>
      <c r="D187" t="s">
        <v>54</v>
      </c>
      <c r="E187" t="s">
        <v>60</v>
      </c>
      <c r="F187">
        <v>25</v>
      </c>
      <c r="G187">
        <v>46.75</v>
      </c>
    </row>
    <row r="188" spans="1:7" x14ac:dyDescent="0.3">
      <c r="A188" s="6">
        <v>41683</v>
      </c>
      <c r="B188" t="s">
        <v>52</v>
      </c>
      <c r="C188" t="s">
        <v>53</v>
      </c>
      <c r="D188" t="s">
        <v>54</v>
      </c>
      <c r="E188" t="s">
        <v>61</v>
      </c>
      <c r="F188">
        <v>53</v>
      </c>
      <c r="G188">
        <v>150.52000000000001</v>
      </c>
    </row>
    <row r="189" spans="1:7" x14ac:dyDescent="0.3">
      <c r="A189" s="6">
        <v>41683</v>
      </c>
      <c r="B189" t="s">
        <v>52</v>
      </c>
      <c r="C189" t="s">
        <v>53</v>
      </c>
      <c r="D189" t="s">
        <v>62</v>
      </c>
      <c r="E189" t="s">
        <v>63</v>
      </c>
      <c r="F189">
        <v>25</v>
      </c>
      <c r="G189">
        <v>42</v>
      </c>
    </row>
    <row r="190" spans="1:7" x14ac:dyDescent="0.3">
      <c r="A190" s="6">
        <v>41683</v>
      </c>
      <c r="B190" t="s">
        <v>52</v>
      </c>
      <c r="C190" t="s">
        <v>53</v>
      </c>
      <c r="D190" t="s">
        <v>69</v>
      </c>
      <c r="E190" t="s">
        <v>70</v>
      </c>
      <c r="F190">
        <v>22</v>
      </c>
      <c r="G190">
        <v>76.78</v>
      </c>
    </row>
    <row r="191" spans="1:7" x14ac:dyDescent="0.3">
      <c r="A191" s="6">
        <v>41683</v>
      </c>
      <c r="B191" t="s">
        <v>52</v>
      </c>
      <c r="C191" t="s">
        <v>53</v>
      </c>
      <c r="D191" t="s">
        <v>69</v>
      </c>
      <c r="E191" t="s">
        <v>70</v>
      </c>
      <c r="F191">
        <v>34</v>
      </c>
      <c r="G191">
        <v>118.66</v>
      </c>
    </row>
    <row r="192" spans="1:7" x14ac:dyDescent="0.3">
      <c r="A192" s="6">
        <v>41683</v>
      </c>
      <c r="B192" t="s">
        <v>52</v>
      </c>
      <c r="C192" t="s">
        <v>64</v>
      </c>
      <c r="D192" t="s">
        <v>54</v>
      </c>
      <c r="E192" t="s">
        <v>55</v>
      </c>
      <c r="F192">
        <v>29</v>
      </c>
      <c r="G192">
        <v>63.22</v>
      </c>
    </row>
    <row r="193" spans="1:7" x14ac:dyDescent="0.3">
      <c r="A193" s="6">
        <v>41683</v>
      </c>
      <c r="B193" t="s">
        <v>52</v>
      </c>
      <c r="C193" t="s">
        <v>64</v>
      </c>
      <c r="D193" t="s">
        <v>56</v>
      </c>
      <c r="E193" t="s">
        <v>58</v>
      </c>
      <c r="F193">
        <v>26</v>
      </c>
      <c r="G193">
        <v>48.62</v>
      </c>
    </row>
    <row r="194" spans="1:7" x14ac:dyDescent="0.3">
      <c r="A194" s="6">
        <v>41683</v>
      </c>
      <c r="B194" t="s">
        <v>52</v>
      </c>
      <c r="C194" t="s">
        <v>64</v>
      </c>
      <c r="D194" t="s">
        <v>54</v>
      </c>
      <c r="E194" t="s">
        <v>60</v>
      </c>
      <c r="F194">
        <v>22</v>
      </c>
      <c r="G194">
        <v>41.14</v>
      </c>
    </row>
    <row r="195" spans="1:7" x14ac:dyDescent="0.3">
      <c r="A195" s="6">
        <v>41683</v>
      </c>
      <c r="B195" t="s">
        <v>52</v>
      </c>
      <c r="C195" t="s">
        <v>64</v>
      </c>
      <c r="D195" t="s">
        <v>62</v>
      </c>
      <c r="E195" t="s">
        <v>63</v>
      </c>
      <c r="F195">
        <v>25</v>
      </c>
      <c r="G195">
        <v>42</v>
      </c>
    </row>
    <row r="196" spans="1:7" x14ac:dyDescent="0.3">
      <c r="A196" s="6">
        <v>41683</v>
      </c>
      <c r="B196" t="s">
        <v>65</v>
      </c>
      <c r="C196" t="s">
        <v>66</v>
      </c>
      <c r="D196" t="s">
        <v>56</v>
      </c>
      <c r="E196" t="s">
        <v>59</v>
      </c>
      <c r="F196">
        <v>53</v>
      </c>
      <c r="G196">
        <v>93.81</v>
      </c>
    </row>
    <row r="197" spans="1:7" x14ac:dyDescent="0.3">
      <c r="A197" s="6">
        <v>41683</v>
      </c>
      <c r="B197" t="s">
        <v>65</v>
      </c>
      <c r="C197" t="s">
        <v>66</v>
      </c>
      <c r="D197" t="s">
        <v>54</v>
      </c>
      <c r="E197" t="s">
        <v>60</v>
      </c>
      <c r="F197">
        <v>31</v>
      </c>
      <c r="G197">
        <v>57.97</v>
      </c>
    </row>
    <row r="198" spans="1:7" x14ac:dyDescent="0.3">
      <c r="A198" s="6">
        <v>41683</v>
      </c>
      <c r="B198" t="s">
        <v>65</v>
      </c>
      <c r="C198" t="s">
        <v>66</v>
      </c>
      <c r="D198" t="s">
        <v>54</v>
      </c>
      <c r="E198" t="s">
        <v>61</v>
      </c>
      <c r="F198">
        <v>65</v>
      </c>
      <c r="G198">
        <v>184.6</v>
      </c>
    </row>
    <row r="199" spans="1:7" x14ac:dyDescent="0.3">
      <c r="A199" s="6">
        <v>41683</v>
      </c>
      <c r="B199" t="s">
        <v>52</v>
      </c>
      <c r="C199" t="s">
        <v>67</v>
      </c>
      <c r="D199" t="s">
        <v>54</v>
      </c>
      <c r="E199" t="s">
        <v>55</v>
      </c>
      <c r="F199">
        <v>39</v>
      </c>
      <c r="G199">
        <v>85.02</v>
      </c>
    </row>
    <row r="200" spans="1:7" x14ac:dyDescent="0.3">
      <c r="A200" s="6">
        <v>41683</v>
      </c>
      <c r="B200" t="s">
        <v>52</v>
      </c>
      <c r="C200" t="s">
        <v>67</v>
      </c>
      <c r="D200" t="s">
        <v>56</v>
      </c>
      <c r="E200" t="s">
        <v>58</v>
      </c>
      <c r="F200">
        <v>24</v>
      </c>
      <c r="G200">
        <v>44.88</v>
      </c>
    </row>
    <row r="201" spans="1:7" x14ac:dyDescent="0.3">
      <c r="A201" s="6">
        <v>41683</v>
      </c>
      <c r="B201" t="s">
        <v>52</v>
      </c>
      <c r="C201" t="s">
        <v>67</v>
      </c>
      <c r="D201" t="s">
        <v>56</v>
      </c>
      <c r="E201" t="s">
        <v>59</v>
      </c>
      <c r="F201">
        <v>64</v>
      </c>
      <c r="G201">
        <v>113.28</v>
      </c>
    </row>
    <row r="202" spans="1:7" x14ac:dyDescent="0.3">
      <c r="A202" s="6">
        <v>41683</v>
      </c>
      <c r="B202" t="s">
        <v>52</v>
      </c>
      <c r="C202" t="s">
        <v>67</v>
      </c>
      <c r="D202" t="s">
        <v>56</v>
      </c>
      <c r="E202" t="s">
        <v>59</v>
      </c>
      <c r="F202">
        <v>61</v>
      </c>
      <c r="G202">
        <v>107.97</v>
      </c>
    </row>
    <row r="203" spans="1:7" x14ac:dyDescent="0.3">
      <c r="A203" s="6">
        <v>41683</v>
      </c>
      <c r="B203" t="s">
        <v>52</v>
      </c>
      <c r="C203" t="s">
        <v>67</v>
      </c>
      <c r="D203" t="s">
        <v>54</v>
      </c>
      <c r="E203" t="s">
        <v>60</v>
      </c>
      <c r="F203">
        <v>33</v>
      </c>
      <c r="G203">
        <v>61.71</v>
      </c>
    </row>
    <row r="204" spans="1:7" x14ac:dyDescent="0.3">
      <c r="A204" s="6">
        <v>41683</v>
      </c>
      <c r="B204" t="s">
        <v>52</v>
      </c>
      <c r="C204" t="s">
        <v>67</v>
      </c>
      <c r="D204" t="s">
        <v>54</v>
      </c>
      <c r="E204" t="s">
        <v>61</v>
      </c>
      <c r="F204">
        <v>48</v>
      </c>
      <c r="G204">
        <v>136.32</v>
      </c>
    </row>
    <row r="205" spans="1:7" x14ac:dyDescent="0.3">
      <c r="A205" s="6">
        <v>41683</v>
      </c>
      <c r="B205" t="s">
        <v>52</v>
      </c>
      <c r="C205" t="s">
        <v>67</v>
      </c>
      <c r="D205" t="s">
        <v>62</v>
      </c>
      <c r="E205" t="s">
        <v>63</v>
      </c>
      <c r="F205">
        <v>21</v>
      </c>
      <c r="G205">
        <v>35.28</v>
      </c>
    </row>
    <row r="206" spans="1:7" x14ac:dyDescent="0.3">
      <c r="A206" s="6">
        <v>41683</v>
      </c>
      <c r="B206" t="s">
        <v>52</v>
      </c>
      <c r="C206" t="s">
        <v>67</v>
      </c>
      <c r="D206" t="s">
        <v>69</v>
      </c>
      <c r="E206" t="s">
        <v>71</v>
      </c>
      <c r="F206">
        <v>22</v>
      </c>
      <c r="G206">
        <v>48.18</v>
      </c>
    </row>
    <row r="207" spans="1:7" x14ac:dyDescent="0.3">
      <c r="A207" s="6">
        <v>41683</v>
      </c>
      <c r="B207" t="s">
        <v>52</v>
      </c>
      <c r="C207" t="s">
        <v>67</v>
      </c>
      <c r="D207" t="s">
        <v>69</v>
      </c>
      <c r="E207" t="s">
        <v>70</v>
      </c>
      <c r="F207">
        <v>28</v>
      </c>
      <c r="G207">
        <v>97.72</v>
      </c>
    </row>
    <row r="208" spans="1:7" x14ac:dyDescent="0.3">
      <c r="A208" s="6">
        <v>41683</v>
      </c>
      <c r="B208" t="s">
        <v>52</v>
      </c>
      <c r="C208" t="s">
        <v>64</v>
      </c>
      <c r="D208" t="s">
        <v>54</v>
      </c>
      <c r="E208" t="s">
        <v>55</v>
      </c>
      <c r="F208">
        <v>30</v>
      </c>
      <c r="G208">
        <v>65.400000000000006</v>
      </c>
    </row>
    <row r="209" spans="1:7" x14ac:dyDescent="0.3">
      <c r="A209" s="6">
        <v>41683</v>
      </c>
      <c r="B209" t="s">
        <v>52</v>
      </c>
      <c r="C209" t="s">
        <v>64</v>
      </c>
      <c r="D209" t="s">
        <v>56</v>
      </c>
      <c r="E209" t="s">
        <v>58</v>
      </c>
      <c r="F209">
        <v>27</v>
      </c>
      <c r="G209">
        <v>50.49</v>
      </c>
    </row>
    <row r="210" spans="1:7" x14ac:dyDescent="0.3">
      <c r="A210" s="6">
        <v>41683</v>
      </c>
      <c r="B210" t="s">
        <v>52</v>
      </c>
      <c r="C210" t="s">
        <v>64</v>
      </c>
      <c r="D210" t="s">
        <v>56</v>
      </c>
      <c r="E210" t="s">
        <v>59</v>
      </c>
      <c r="F210">
        <v>39</v>
      </c>
      <c r="G210">
        <v>69.03</v>
      </c>
    </row>
    <row r="211" spans="1:7" x14ac:dyDescent="0.3">
      <c r="A211" s="6">
        <v>41683</v>
      </c>
      <c r="B211" t="s">
        <v>52</v>
      </c>
      <c r="C211" t="s">
        <v>64</v>
      </c>
      <c r="D211" t="s">
        <v>56</v>
      </c>
      <c r="E211" t="s">
        <v>59</v>
      </c>
      <c r="F211">
        <v>78</v>
      </c>
      <c r="G211">
        <v>138.06</v>
      </c>
    </row>
    <row r="212" spans="1:7" x14ac:dyDescent="0.3">
      <c r="A212" s="6">
        <v>41683</v>
      </c>
      <c r="B212" t="s">
        <v>52</v>
      </c>
      <c r="C212" t="s">
        <v>64</v>
      </c>
      <c r="D212" t="s">
        <v>54</v>
      </c>
      <c r="E212" t="s">
        <v>61</v>
      </c>
      <c r="F212">
        <v>42</v>
      </c>
      <c r="G212">
        <v>119.28</v>
      </c>
    </row>
    <row r="213" spans="1:7" x14ac:dyDescent="0.3">
      <c r="A213" s="6">
        <v>41683</v>
      </c>
      <c r="B213" t="s">
        <v>65</v>
      </c>
      <c r="C213" t="s">
        <v>68</v>
      </c>
      <c r="D213" t="s">
        <v>56</v>
      </c>
      <c r="E213" t="s">
        <v>59</v>
      </c>
      <c r="F213">
        <v>29</v>
      </c>
      <c r="G213">
        <v>51.33</v>
      </c>
    </row>
    <row r="214" spans="1:7" x14ac:dyDescent="0.3">
      <c r="A214" s="6">
        <v>41690</v>
      </c>
      <c r="B214" t="s">
        <v>52</v>
      </c>
      <c r="C214" t="s">
        <v>53</v>
      </c>
      <c r="D214" t="s">
        <v>54</v>
      </c>
      <c r="E214" t="s">
        <v>55</v>
      </c>
      <c r="F214">
        <v>34</v>
      </c>
      <c r="G214">
        <v>74.12</v>
      </c>
    </row>
    <row r="215" spans="1:7" x14ac:dyDescent="0.3">
      <c r="A215" s="6">
        <v>41690</v>
      </c>
      <c r="B215" t="s">
        <v>52</v>
      </c>
      <c r="C215" t="s">
        <v>53</v>
      </c>
      <c r="D215" t="s">
        <v>54</v>
      </c>
      <c r="E215" t="s">
        <v>55</v>
      </c>
      <c r="F215">
        <v>59</v>
      </c>
      <c r="G215">
        <v>128.62</v>
      </c>
    </row>
    <row r="216" spans="1:7" x14ac:dyDescent="0.3">
      <c r="A216" s="6">
        <v>41690</v>
      </c>
      <c r="B216" t="s">
        <v>52</v>
      </c>
      <c r="C216" t="s">
        <v>53</v>
      </c>
      <c r="D216" t="s">
        <v>56</v>
      </c>
      <c r="E216" t="s">
        <v>58</v>
      </c>
      <c r="F216">
        <v>44</v>
      </c>
      <c r="G216">
        <v>82.28</v>
      </c>
    </row>
    <row r="217" spans="1:7" x14ac:dyDescent="0.3">
      <c r="A217" s="6">
        <v>41690</v>
      </c>
      <c r="B217" t="s">
        <v>52</v>
      </c>
      <c r="C217" t="s">
        <v>53</v>
      </c>
      <c r="D217" t="s">
        <v>56</v>
      </c>
      <c r="E217" t="s">
        <v>59</v>
      </c>
      <c r="F217">
        <v>48</v>
      </c>
      <c r="G217">
        <v>84.96</v>
      </c>
    </row>
    <row r="218" spans="1:7" x14ac:dyDescent="0.3">
      <c r="A218" s="6">
        <v>41690</v>
      </c>
      <c r="B218" t="s">
        <v>52</v>
      </c>
      <c r="C218" t="s">
        <v>53</v>
      </c>
      <c r="D218" t="s">
        <v>56</v>
      </c>
      <c r="E218" t="s">
        <v>59</v>
      </c>
      <c r="F218">
        <v>37</v>
      </c>
      <c r="G218">
        <v>65.489999999999995</v>
      </c>
    </row>
    <row r="219" spans="1:7" x14ac:dyDescent="0.3">
      <c r="A219" s="6">
        <v>41690</v>
      </c>
      <c r="B219" t="s">
        <v>52</v>
      </c>
      <c r="C219" t="s">
        <v>53</v>
      </c>
      <c r="D219" t="s">
        <v>54</v>
      </c>
      <c r="E219" t="s">
        <v>60</v>
      </c>
      <c r="F219">
        <v>53</v>
      </c>
      <c r="G219">
        <v>99.11</v>
      </c>
    </row>
    <row r="220" spans="1:7" x14ac:dyDescent="0.3">
      <c r="A220" s="6">
        <v>41690</v>
      </c>
      <c r="B220" t="s">
        <v>52</v>
      </c>
      <c r="C220" t="s">
        <v>53</v>
      </c>
      <c r="D220" t="s">
        <v>54</v>
      </c>
      <c r="E220" t="s">
        <v>61</v>
      </c>
      <c r="F220">
        <v>56</v>
      </c>
      <c r="G220">
        <v>159.04</v>
      </c>
    </row>
    <row r="221" spans="1:7" x14ac:dyDescent="0.3">
      <c r="A221" s="6">
        <v>41690</v>
      </c>
      <c r="B221" t="s">
        <v>52</v>
      </c>
      <c r="C221" t="s">
        <v>53</v>
      </c>
      <c r="D221" t="s">
        <v>62</v>
      </c>
      <c r="E221" t="s">
        <v>63</v>
      </c>
      <c r="F221">
        <v>49</v>
      </c>
      <c r="G221">
        <v>82.32</v>
      </c>
    </row>
    <row r="222" spans="1:7" x14ac:dyDescent="0.3">
      <c r="A222" s="6">
        <v>41690</v>
      </c>
      <c r="B222" t="s">
        <v>52</v>
      </c>
      <c r="C222" t="s">
        <v>53</v>
      </c>
      <c r="D222" t="s">
        <v>69</v>
      </c>
      <c r="E222" t="s">
        <v>70</v>
      </c>
      <c r="F222">
        <v>59</v>
      </c>
      <c r="G222">
        <v>205.91</v>
      </c>
    </row>
    <row r="223" spans="1:7" x14ac:dyDescent="0.3">
      <c r="A223" s="6">
        <v>41690</v>
      </c>
      <c r="B223" t="s">
        <v>52</v>
      </c>
      <c r="C223" t="s">
        <v>64</v>
      </c>
      <c r="D223" t="s">
        <v>54</v>
      </c>
      <c r="E223" t="s">
        <v>55</v>
      </c>
      <c r="F223">
        <v>49</v>
      </c>
      <c r="G223">
        <v>106.82</v>
      </c>
    </row>
    <row r="224" spans="1:7" x14ac:dyDescent="0.3">
      <c r="A224" s="6">
        <v>41690</v>
      </c>
      <c r="B224" t="s">
        <v>52</v>
      </c>
      <c r="C224" t="s">
        <v>64</v>
      </c>
      <c r="D224" t="s">
        <v>56</v>
      </c>
      <c r="E224" t="s">
        <v>58</v>
      </c>
      <c r="F224">
        <v>33</v>
      </c>
      <c r="G224">
        <v>61.71</v>
      </c>
    </row>
    <row r="225" spans="1:7" x14ac:dyDescent="0.3">
      <c r="A225" s="6">
        <v>41690</v>
      </c>
      <c r="B225" t="s">
        <v>52</v>
      </c>
      <c r="C225" t="s">
        <v>64</v>
      </c>
      <c r="D225" t="s">
        <v>56</v>
      </c>
      <c r="E225" t="s">
        <v>59</v>
      </c>
      <c r="F225">
        <v>32</v>
      </c>
      <c r="G225">
        <v>56.64</v>
      </c>
    </row>
    <row r="226" spans="1:7" x14ac:dyDescent="0.3">
      <c r="A226" s="6">
        <v>41690</v>
      </c>
      <c r="B226" t="s">
        <v>52</v>
      </c>
      <c r="C226" t="s">
        <v>64</v>
      </c>
      <c r="D226" t="s">
        <v>54</v>
      </c>
      <c r="E226" t="s">
        <v>61</v>
      </c>
      <c r="F226">
        <v>32</v>
      </c>
      <c r="G226">
        <v>90.88</v>
      </c>
    </row>
    <row r="227" spans="1:7" x14ac:dyDescent="0.3">
      <c r="A227" s="6">
        <v>41690</v>
      </c>
      <c r="B227" t="s">
        <v>52</v>
      </c>
      <c r="C227" t="s">
        <v>64</v>
      </c>
      <c r="D227" t="s">
        <v>62</v>
      </c>
      <c r="E227" t="s">
        <v>63</v>
      </c>
      <c r="F227">
        <v>23</v>
      </c>
      <c r="G227">
        <v>38.64</v>
      </c>
    </row>
    <row r="228" spans="1:7" x14ac:dyDescent="0.3">
      <c r="A228" s="6">
        <v>41690</v>
      </c>
      <c r="B228" t="s">
        <v>65</v>
      </c>
      <c r="C228" t="s">
        <v>66</v>
      </c>
      <c r="D228" t="s">
        <v>54</v>
      </c>
      <c r="E228" t="s">
        <v>55</v>
      </c>
      <c r="F228">
        <v>53</v>
      </c>
      <c r="G228">
        <v>115.54</v>
      </c>
    </row>
    <row r="229" spans="1:7" x14ac:dyDescent="0.3">
      <c r="A229" s="6">
        <v>41690</v>
      </c>
      <c r="B229" t="s">
        <v>65</v>
      </c>
      <c r="C229" t="s">
        <v>66</v>
      </c>
      <c r="D229" t="s">
        <v>56</v>
      </c>
      <c r="E229" t="s">
        <v>58</v>
      </c>
      <c r="F229">
        <v>25</v>
      </c>
      <c r="G229">
        <v>46.75</v>
      </c>
    </row>
    <row r="230" spans="1:7" x14ac:dyDescent="0.3">
      <c r="A230" s="6">
        <v>41690</v>
      </c>
      <c r="B230" t="s">
        <v>65</v>
      </c>
      <c r="C230" t="s">
        <v>66</v>
      </c>
      <c r="D230" t="s">
        <v>56</v>
      </c>
      <c r="E230" t="s">
        <v>59</v>
      </c>
      <c r="F230">
        <v>59</v>
      </c>
      <c r="G230">
        <v>104.43</v>
      </c>
    </row>
    <row r="231" spans="1:7" x14ac:dyDescent="0.3">
      <c r="A231" s="6">
        <v>41690</v>
      </c>
      <c r="B231" t="s">
        <v>65</v>
      </c>
      <c r="C231" t="s">
        <v>66</v>
      </c>
      <c r="D231" t="s">
        <v>54</v>
      </c>
      <c r="E231" t="s">
        <v>60</v>
      </c>
      <c r="F231">
        <v>28</v>
      </c>
      <c r="G231">
        <v>52.36</v>
      </c>
    </row>
    <row r="232" spans="1:7" x14ac:dyDescent="0.3">
      <c r="A232" s="6">
        <v>41690</v>
      </c>
      <c r="B232" t="s">
        <v>65</v>
      </c>
      <c r="C232" t="s">
        <v>66</v>
      </c>
      <c r="D232" t="s">
        <v>54</v>
      </c>
      <c r="E232" t="s">
        <v>61</v>
      </c>
      <c r="F232">
        <v>70</v>
      </c>
      <c r="G232">
        <v>198.8</v>
      </c>
    </row>
    <row r="233" spans="1:7" x14ac:dyDescent="0.3">
      <c r="A233" s="6">
        <v>41690</v>
      </c>
      <c r="B233" t="s">
        <v>52</v>
      </c>
      <c r="C233" t="s">
        <v>67</v>
      </c>
      <c r="D233" t="s">
        <v>54</v>
      </c>
      <c r="E233" t="s">
        <v>55</v>
      </c>
      <c r="F233">
        <v>34</v>
      </c>
      <c r="G233">
        <v>74.12</v>
      </c>
    </row>
    <row r="234" spans="1:7" x14ac:dyDescent="0.3">
      <c r="A234" s="6">
        <v>41690</v>
      </c>
      <c r="B234" t="s">
        <v>52</v>
      </c>
      <c r="C234" t="s">
        <v>67</v>
      </c>
      <c r="D234" t="s">
        <v>56</v>
      </c>
      <c r="E234" t="s">
        <v>58</v>
      </c>
      <c r="F234">
        <v>33</v>
      </c>
      <c r="G234">
        <v>61.71</v>
      </c>
    </row>
    <row r="235" spans="1:7" x14ac:dyDescent="0.3">
      <c r="A235" s="6">
        <v>41690</v>
      </c>
      <c r="B235" t="s">
        <v>52</v>
      </c>
      <c r="C235" t="s">
        <v>67</v>
      </c>
      <c r="D235" t="s">
        <v>56</v>
      </c>
      <c r="E235" t="s">
        <v>59</v>
      </c>
      <c r="F235">
        <v>43</v>
      </c>
      <c r="G235">
        <v>76.11</v>
      </c>
    </row>
    <row r="236" spans="1:7" x14ac:dyDescent="0.3">
      <c r="A236" s="6">
        <v>41690</v>
      </c>
      <c r="B236" t="s">
        <v>52</v>
      </c>
      <c r="C236" t="s">
        <v>67</v>
      </c>
      <c r="D236" t="s">
        <v>56</v>
      </c>
      <c r="E236" t="s">
        <v>59</v>
      </c>
      <c r="F236">
        <v>69</v>
      </c>
      <c r="G236">
        <v>122.13</v>
      </c>
    </row>
    <row r="237" spans="1:7" x14ac:dyDescent="0.3">
      <c r="A237" s="6">
        <v>41690</v>
      </c>
      <c r="B237" t="s">
        <v>52</v>
      </c>
      <c r="C237" t="s">
        <v>67</v>
      </c>
      <c r="D237" t="s">
        <v>54</v>
      </c>
      <c r="E237" t="s">
        <v>60</v>
      </c>
      <c r="F237">
        <v>24</v>
      </c>
      <c r="G237">
        <v>44.88</v>
      </c>
    </row>
    <row r="238" spans="1:7" x14ac:dyDescent="0.3">
      <c r="A238" s="6">
        <v>41690</v>
      </c>
      <c r="B238" t="s">
        <v>52</v>
      </c>
      <c r="C238" t="s">
        <v>67</v>
      </c>
      <c r="D238" t="s">
        <v>54</v>
      </c>
      <c r="E238" t="s">
        <v>61</v>
      </c>
      <c r="F238">
        <v>63</v>
      </c>
      <c r="G238">
        <v>178.92</v>
      </c>
    </row>
    <row r="239" spans="1:7" x14ac:dyDescent="0.3">
      <c r="A239" s="6">
        <v>41690</v>
      </c>
      <c r="B239" t="s">
        <v>52</v>
      </c>
      <c r="C239" t="s">
        <v>67</v>
      </c>
      <c r="D239" t="s">
        <v>62</v>
      </c>
      <c r="E239" t="s">
        <v>63</v>
      </c>
      <c r="F239">
        <v>28</v>
      </c>
      <c r="G239">
        <v>47.04</v>
      </c>
    </row>
    <row r="240" spans="1:7" x14ac:dyDescent="0.3">
      <c r="A240" s="6">
        <v>41690</v>
      </c>
      <c r="B240" t="s">
        <v>52</v>
      </c>
      <c r="C240" t="s">
        <v>67</v>
      </c>
      <c r="D240" t="s">
        <v>69</v>
      </c>
      <c r="E240" t="s">
        <v>70</v>
      </c>
      <c r="F240">
        <v>28</v>
      </c>
      <c r="G240">
        <v>97.72</v>
      </c>
    </row>
    <row r="241" spans="1:7" x14ac:dyDescent="0.3">
      <c r="A241" s="6">
        <v>41690</v>
      </c>
      <c r="B241" t="s">
        <v>52</v>
      </c>
      <c r="C241" t="s">
        <v>64</v>
      </c>
      <c r="D241" t="s">
        <v>54</v>
      </c>
      <c r="E241" t="s">
        <v>55</v>
      </c>
      <c r="F241">
        <v>34</v>
      </c>
      <c r="G241">
        <v>74.12</v>
      </c>
    </row>
    <row r="242" spans="1:7" x14ac:dyDescent="0.3">
      <c r="A242" s="6">
        <v>41690</v>
      </c>
      <c r="B242" t="s">
        <v>52</v>
      </c>
      <c r="C242" t="s">
        <v>64</v>
      </c>
      <c r="D242" t="s">
        <v>56</v>
      </c>
      <c r="E242" t="s">
        <v>58</v>
      </c>
      <c r="F242">
        <v>29</v>
      </c>
      <c r="G242">
        <v>54.23</v>
      </c>
    </row>
    <row r="243" spans="1:7" x14ac:dyDescent="0.3">
      <c r="A243" s="6">
        <v>41690</v>
      </c>
      <c r="B243" t="s">
        <v>52</v>
      </c>
      <c r="C243" t="s">
        <v>64</v>
      </c>
      <c r="D243" t="s">
        <v>56</v>
      </c>
      <c r="E243" t="s">
        <v>59</v>
      </c>
      <c r="F243">
        <v>45</v>
      </c>
      <c r="G243">
        <v>79.650000000000006</v>
      </c>
    </row>
    <row r="244" spans="1:7" x14ac:dyDescent="0.3">
      <c r="A244" s="6">
        <v>41690</v>
      </c>
      <c r="B244" t="s">
        <v>52</v>
      </c>
      <c r="C244" t="s">
        <v>64</v>
      </c>
      <c r="D244" t="s">
        <v>56</v>
      </c>
      <c r="E244" t="s">
        <v>59</v>
      </c>
      <c r="F244">
        <v>68</v>
      </c>
      <c r="G244">
        <v>120.36</v>
      </c>
    </row>
    <row r="245" spans="1:7" x14ac:dyDescent="0.3">
      <c r="A245" s="6">
        <v>41690</v>
      </c>
      <c r="B245" t="s">
        <v>52</v>
      </c>
      <c r="C245" t="s">
        <v>64</v>
      </c>
      <c r="D245" t="s">
        <v>54</v>
      </c>
      <c r="E245" t="s">
        <v>61</v>
      </c>
      <c r="F245">
        <v>38</v>
      </c>
      <c r="G245">
        <v>107.92</v>
      </c>
    </row>
    <row r="246" spans="1:7" x14ac:dyDescent="0.3">
      <c r="A246" s="6">
        <v>41690</v>
      </c>
      <c r="B246" t="s">
        <v>52</v>
      </c>
      <c r="C246" t="s">
        <v>64</v>
      </c>
      <c r="D246" t="s">
        <v>69</v>
      </c>
      <c r="E246" t="s">
        <v>70</v>
      </c>
      <c r="F246">
        <v>23</v>
      </c>
      <c r="G246">
        <v>80.27</v>
      </c>
    </row>
    <row r="247" spans="1:7" x14ac:dyDescent="0.3">
      <c r="A247" s="6">
        <v>41690</v>
      </c>
      <c r="B247" t="s">
        <v>65</v>
      </c>
      <c r="C247" t="s">
        <v>68</v>
      </c>
      <c r="D247" t="s">
        <v>56</v>
      </c>
      <c r="E247" t="s">
        <v>59</v>
      </c>
      <c r="F247">
        <v>32</v>
      </c>
      <c r="G247">
        <v>56.64</v>
      </c>
    </row>
    <row r="248" spans="1:7" x14ac:dyDescent="0.3">
      <c r="A248" s="6">
        <v>41690</v>
      </c>
      <c r="B248" t="s">
        <v>65</v>
      </c>
      <c r="C248" t="s">
        <v>68</v>
      </c>
      <c r="D248" t="s">
        <v>54</v>
      </c>
      <c r="E248" t="s">
        <v>61</v>
      </c>
      <c r="F248">
        <v>24</v>
      </c>
      <c r="G248">
        <v>68.16</v>
      </c>
    </row>
    <row r="249" spans="1:7" x14ac:dyDescent="0.3">
      <c r="A249" s="6">
        <v>41697</v>
      </c>
      <c r="B249" t="s">
        <v>52</v>
      </c>
      <c r="C249" t="s">
        <v>53</v>
      </c>
      <c r="D249" t="s">
        <v>54</v>
      </c>
      <c r="E249" t="s">
        <v>55</v>
      </c>
      <c r="F249">
        <v>40</v>
      </c>
      <c r="G249">
        <v>87.2</v>
      </c>
    </row>
    <row r="250" spans="1:7" x14ac:dyDescent="0.3">
      <c r="A250" s="6">
        <v>41697</v>
      </c>
      <c r="B250" t="s">
        <v>52</v>
      </c>
      <c r="C250" t="s">
        <v>53</v>
      </c>
      <c r="D250" t="s">
        <v>56</v>
      </c>
      <c r="E250" t="s">
        <v>58</v>
      </c>
      <c r="F250">
        <v>22</v>
      </c>
      <c r="G250">
        <v>41.14</v>
      </c>
    </row>
    <row r="251" spans="1:7" x14ac:dyDescent="0.3">
      <c r="A251" s="6">
        <v>41697</v>
      </c>
      <c r="B251" t="s">
        <v>52</v>
      </c>
      <c r="C251" t="s">
        <v>53</v>
      </c>
      <c r="D251" t="s">
        <v>56</v>
      </c>
      <c r="E251" t="s">
        <v>58</v>
      </c>
      <c r="F251">
        <v>35</v>
      </c>
      <c r="G251">
        <v>65.45</v>
      </c>
    </row>
    <row r="252" spans="1:7" x14ac:dyDescent="0.3">
      <c r="A252" s="6">
        <v>41697</v>
      </c>
      <c r="B252" t="s">
        <v>52</v>
      </c>
      <c r="C252" t="s">
        <v>53</v>
      </c>
      <c r="D252" t="s">
        <v>56</v>
      </c>
      <c r="E252" t="s">
        <v>59</v>
      </c>
      <c r="F252">
        <v>54</v>
      </c>
      <c r="G252">
        <v>95.58</v>
      </c>
    </row>
    <row r="253" spans="1:7" x14ac:dyDescent="0.3">
      <c r="A253" s="6">
        <v>41697</v>
      </c>
      <c r="B253" t="s">
        <v>52</v>
      </c>
      <c r="C253" t="s">
        <v>53</v>
      </c>
      <c r="D253" t="s">
        <v>54</v>
      </c>
      <c r="E253" t="s">
        <v>60</v>
      </c>
      <c r="F253">
        <v>59</v>
      </c>
      <c r="G253">
        <v>110.33</v>
      </c>
    </row>
    <row r="254" spans="1:7" x14ac:dyDescent="0.3">
      <c r="A254" s="6">
        <v>41697</v>
      </c>
      <c r="B254" t="s">
        <v>52</v>
      </c>
      <c r="C254" t="s">
        <v>53</v>
      </c>
      <c r="D254" t="s">
        <v>54</v>
      </c>
      <c r="E254" t="s">
        <v>61</v>
      </c>
      <c r="F254">
        <v>55</v>
      </c>
      <c r="G254">
        <v>156.19999999999999</v>
      </c>
    </row>
    <row r="255" spans="1:7" x14ac:dyDescent="0.3">
      <c r="A255" s="6">
        <v>41697</v>
      </c>
      <c r="B255" t="s">
        <v>52</v>
      </c>
      <c r="C255" t="s">
        <v>53</v>
      </c>
      <c r="D255" t="s">
        <v>62</v>
      </c>
      <c r="E255" t="s">
        <v>63</v>
      </c>
      <c r="F255">
        <v>44</v>
      </c>
      <c r="G255">
        <v>73.92</v>
      </c>
    </row>
    <row r="256" spans="1:7" x14ac:dyDescent="0.3">
      <c r="A256" s="6">
        <v>41697</v>
      </c>
      <c r="B256" t="s">
        <v>52</v>
      </c>
      <c r="C256" t="s">
        <v>53</v>
      </c>
      <c r="D256" t="s">
        <v>69</v>
      </c>
      <c r="E256" t="s">
        <v>70</v>
      </c>
      <c r="F256">
        <v>35</v>
      </c>
      <c r="G256">
        <v>122.15</v>
      </c>
    </row>
    <row r="257" spans="1:7" x14ac:dyDescent="0.3">
      <c r="A257" s="6">
        <v>41697</v>
      </c>
      <c r="B257" t="s">
        <v>52</v>
      </c>
      <c r="C257" t="s">
        <v>53</v>
      </c>
      <c r="D257" t="s">
        <v>69</v>
      </c>
      <c r="E257" t="s">
        <v>70</v>
      </c>
      <c r="F257">
        <v>29</v>
      </c>
      <c r="G257">
        <v>101.21</v>
      </c>
    </row>
    <row r="258" spans="1:7" x14ac:dyDescent="0.3">
      <c r="A258" s="6">
        <v>41697</v>
      </c>
      <c r="B258" t="s">
        <v>52</v>
      </c>
      <c r="C258" t="s">
        <v>64</v>
      </c>
      <c r="D258" t="s">
        <v>54</v>
      </c>
      <c r="E258" t="s">
        <v>55</v>
      </c>
      <c r="F258">
        <v>34</v>
      </c>
      <c r="G258">
        <v>74.12</v>
      </c>
    </row>
    <row r="259" spans="1:7" x14ac:dyDescent="0.3">
      <c r="A259" s="6">
        <v>41697</v>
      </c>
      <c r="B259" t="s">
        <v>52</v>
      </c>
      <c r="C259" t="s">
        <v>64</v>
      </c>
      <c r="D259" t="s">
        <v>56</v>
      </c>
      <c r="E259" t="s">
        <v>58</v>
      </c>
      <c r="F259">
        <v>46</v>
      </c>
      <c r="G259">
        <v>86.02</v>
      </c>
    </row>
    <row r="260" spans="1:7" x14ac:dyDescent="0.3">
      <c r="A260" s="6">
        <v>41697</v>
      </c>
      <c r="B260" t="s">
        <v>52</v>
      </c>
      <c r="C260" t="s">
        <v>64</v>
      </c>
      <c r="D260" t="s">
        <v>56</v>
      </c>
      <c r="E260" t="s">
        <v>59</v>
      </c>
      <c r="F260">
        <v>53</v>
      </c>
      <c r="G260">
        <v>93.81</v>
      </c>
    </row>
    <row r="261" spans="1:7" x14ac:dyDescent="0.3">
      <c r="A261" s="6">
        <v>41697</v>
      </c>
      <c r="B261" t="s">
        <v>52</v>
      </c>
      <c r="C261" t="s">
        <v>64</v>
      </c>
      <c r="D261" t="s">
        <v>54</v>
      </c>
      <c r="E261" t="s">
        <v>60</v>
      </c>
      <c r="F261">
        <v>21</v>
      </c>
      <c r="G261">
        <v>39.270000000000003</v>
      </c>
    </row>
    <row r="262" spans="1:7" x14ac:dyDescent="0.3">
      <c r="A262" s="6">
        <v>41697</v>
      </c>
      <c r="B262" t="s">
        <v>52</v>
      </c>
      <c r="C262" t="s">
        <v>64</v>
      </c>
      <c r="D262" t="s">
        <v>54</v>
      </c>
      <c r="E262" t="s">
        <v>61</v>
      </c>
      <c r="F262">
        <v>25</v>
      </c>
      <c r="G262">
        <v>71</v>
      </c>
    </row>
    <row r="263" spans="1:7" x14ac:dyDescent="0.3">
      <c r="A263" s="6">
        <v>41697</v>
      </c>
      <c r="B263" t="s">
        <v>52</v>
      </c>
      <c r="C263" t="s">
        <v>64</v>
      </c>
      <c r="D263" t="s">
        <v>62</v>
      </c>
      <c r="E263" t="s">
        <v>63</v>
      </c>
      <c r="F263">
        <v>23</v>
      </c>
      <c r="G263">
        <v>38.64</v>
      </c>
    </row>
    <row r="264" spans="1:7" x14ac:dyDescent="0.3">
      <c r="A264" s="6">
        <v>41697</v>
      </c>
      <c r="B264" t="s">
        <v>52</v>
      </c>
      <c r="C264" t="s">
        <v>64</v>
      </c>
      <c r="D264" t="s">
        <v>69</v>
      </c>
      <c r="E264" t="s">
        <v>70</v>
      </c>
      <c r="F264">
        <v>30</v>
      </c>
      <c r="G264">
        <v>104.7</v>
      </c>
    </row>
    <row r="265" spans="1:7" x14ac:dyDescent="0.3">
      <c r="A265" s="6">
        <v>41697</v>
      </c>
      <c r="B265" t="s">
        <v>65</v>
      </c>
      <c r="C265" t="s">
        <v>66</v>
      </c>
      <c r="D265" t="s">
        <v>54</v>
      </c>
      <c r="E265" t="s">
        <v>55</v>
      </c>
      <c r="F265">
        <v>39</v>
      </c>
      <c r="G265">
        <v>85.02</v>
      </c>
    </row>
    <row r="266" spans="1:7" x14ac:dyDescent="0.3">
      <c r="A266" s="6">
        <v>41697</v>
      </c>
      <c r="B266" t="s">
        <v>65</v>
      </c>
      <c r="C266" t="s">
        <v>66</v>
      </c>
      <c r="D266" t="s">
        <v>56</v>
      </c>
      <c r="E266" t="s">
        <v>58</v>
      </c>
      <c r="F266">
        <v>30</v>
      </c>
      <c r="G266">
        <v>56.1</v>
      </c>
    </row>
    <row r="267" spans="1:7" x14ac:dyDescent="0.3">
      <c r="A267" s="6">
        <v>41697</v>
      </c>
      <c r="B267" t="s">
        <v>65</v>
      </c>
      <c r="C267" t="s">
        <v>66</v>
      </c>
      <c r="D267" t="s">
        <v>56</v>
      </c>
      <c r="E267" t="s">
        <v>59</v>
      </c>
      <c r="F267">
        <v>23</v>
      </c>
      <c r="G267">
        <v>40.71</v>
      </c>
    </row>
    <row r="268" spans="1:7" x14ac:dyDescent="0.3">
      <c r="A268" s="6">
        <v>41697</v>
      </c>
      <c r="B268" t="s">
        <v>65</v>
      </c>
      <c r="C268" t="s">
        <v>66</v>
      </c>
      <c r="D268" t="s">
        <v>56</v>
      </c>
      <c r="E268" t="s">
        <v>59</v>
      </c>
      <c r="F268">
        <v>54</v>
      </c>
      <c r="G268">
        <v>95.58</v>
      </c>
    </row>
    <row r="269" spans="1:7" x14ac:dyDescent="0.3">
      <c r="A269" s="6">
        <v>41697</v>
      </c>
      <c r="B269" t="s">
        <v>65</v>
      </c>
      <c r="C269" t="s">
        <v>66</v>
      </c>
      <c r="D269" t="s">
        <v>54</v>
      </c>
      <c r="E269" t="s">
        <v>60</v>
      </c>
      <c r="F269">
        <v>30</v>
      </c>
      <c r="G269">
        <v>56.1</v>
      </c>
    </row>
    <row r="270" spans="1:7" x14ac:dyDescent="0.3">
      <c r="A270" s="6">
        <v>41697</v>
      </c>
      <c r="B270" t="s">
        <v>65</v>
      </c>
      <c r="C270" t="s">
        <v>66</v>
      </c>
      <c r="D270" t="s">
        <v>54</v>
      </c>
      <c r="E270" t="s">
        <v>61</v>
      </c>
      <c r="F270">
        <v>62</v>
      </c>
      <c r="G270">
        <v>176.08</v>
      </c>
    </row>
    <row r="271" spans="1:7" x14ac:dyDescent="0.3">
      <c r="A271" s="6">
        <v>41697</v>
      </c>
      <c r="B271" t="s">
        <v>65</v>
      </c>
      <c r="C271" t="s">
        <v>66</v>
      </c>
      <c r="D271" t="s">
        <v>62</v>
      </c>
      <c r="E271" t="s">
        <v>63</v>
      </c>
      <c r="F271">
        <v>26</v>
      </c>
      <c r="G271">
        <v>43.68</v>
      </c>
    </row>
    <row r="272" spans="1:7" x14ac:dyDescent="0.3">
      <c r="A272" s="6">
        <v>41697</v>
      </c>
      <c r="B272" t="s">
        <v>52</v>
      </c>
      <c r="C272" t="s">
        <v>67</v>
      </c>
      <c r="D272" t="s">
        <v>54</v>
      </c>
      <c r="E272" t="s">
        <v>55</v>
      </c>
      <c r="F272">
        <v>49</v>
      </c>
      <c r="G272">
        <v>106.82</v>
      </c>
    </row>
    <row r="273" spans="1:7" x14ac:dyDescent="0.3">
      <c r="A273" s="6">
        <v>41697</v>
      </c>
      <c r="B273" t="s">
        <v>52</v>
      </c>
      <c r="C273" t="s">
        <v>67</v>
      </c>
      <c r="D273" t="s">
        <v>56</v>
      </c>
      <c r="E273" t="s">
        <v>58</v>
      </c>
      <c r="F273">
        <v>34</v>
      </c>
      <c r="G273">
        <v>63.58</v>
      </c>
    </row>
    <row r="274" spans="1:7" x14ac:dyDescent="0.3">
      <c r="A274" s="6">
        <v>41697</v>
      </c>
      <c r="B274" t="s">
        <v>52</v>
      </c>
      <c r="C274" t="s">
        <v>67</v>
      </c>
      <c r="D274" t="s">
        <v>56</v>
      </c>
      <c r="E274" t="s">
        <v>59</v>
      </c>
      <c r="F274">
        <v>56</v>
      </c>
      <c r="G274">
        <v>99.12</v>
      </c>
    </row>
    <row r="275" spans="1:7" x14ac:dyDescent="0.3">
      <c r="A275" s="6">
        <v>41697</v>
      </c>
      <c r="B275" t="s">
        <v>52</v>
      </c>
      <c r="C275" t="s">
        <v>67</v>
      </c>
      <c r="D275" t="s">
        <v>56</v>
      </c>
      <c r="E275" t="s">
        <v>59</v>
      </c>
      <c r="F275">
        <v>64</v>
      </c>
      <c r="G275">
        <v>113.28</v>
      </c>
    </row>
    <row r="276" spans="1:7" x14ac:dyDescent="0.3">
      <c r="A276" s="6">
        <v>41697</v>
      </c>
      <c r="B276" t="s">
        <v>52</v>
      </c>
      <c r="C276" t="s">
        <v>67</v>
      </c>
      <c r="D276" t="s">
        <v>54</v>
      </c>
      <c r="E276" t="s">
        <v>60</v>
      </c>
      <c r="F276">
        <v>28</v>
      </c>
      <c r="G276">
        <v>52.36</v>
      </c>
    </row>
    <row r="277" spans="1:7" x14ac:dyDescent="0.3">
      <c r="A277" s="6">
        <v>41697</v>
      </c>
      <c r="B277" t="s">
        <v>52</v>
      </c>
      <c r="C277" t="s">
        <v>67</v>
      </c>
      <c r="D277" t="s">
        <v>54</v>
      </c>
      <c r="E277" t="s">
        <v>61</v>
      </c>
      <c r="F277">
        <v>67</v>
      </c>
      <c r="G277">
        <v>190.28</v>
      </c>
    </row>
    <row r="278" spans="1:7" x14ac:dyDescent="0.3">
      <c r="A278" s="6">
        <v>41697</v>
      </c>
      <c r="B278" t="s">
        <v>52</v>
      </c>
      <c r="C278" t="s">
        <v>67</v>
      </c>
      <c r="D278" t="s">
        <v>62</v>
      </c>
      <c r="E278" t="s">
        <v>63</v>
      </c>
      <c r="F278">
        <v>25</v>
      </c>
      <c r="G278">
        <v>42</v>
      </c>
    </row>
    <row r="279" spans="1:7" x14ac:dyDescent="0.3">
      <c r="A279" s="6">
        <v>41697</v>
      </c>
      <c r="B279" t="s">
        <v>52</v>
      </c>
      <c r="C279" t="s">
        <v>67</v>
      </c>
      <c r="D279" t="s">
        <v>69</v>
      </c>
      <c r="E279" t="s">
        <v>70</v>
      </c>
      <c r="F279">
        <v>22</v>
      </c>
      <c r="G279">
        <v>76.78</v>
      </c>
    </row>
    <row r="280" spans="1:7" x14ac:dyDescent="0.3">
      <c r="A280" s="6">
        <v>41697</v>
      </c>
      <c r="B280" t="s">
        <v>52</v>
      </c>
      <c r="C280" t="s">
        <v>64</v>
      </c>
      <c r="D280" t="s">
        <v>54</v>
      </c>
      <c r="E280" t="s">
        <v>55</v>
      </c>
      <c r="F280">
        <v>36</v>
      </c>
      <c r="G280">
        <v>78.48</v>
      </c>
    </row>
    <row r="281" spans="1:7" x14ac:dyDescent="0.3">
      <c r="A281" s="6">
        <v>41697</v>
      </c>
      <c r="B281" t="s">
        <v>52</v>
      </c>
      <c r="C281" t="s">
        <v>64</v>
      </c>
      <c r="D281" t="s">
        <v>56</v>
      </c>
      <c r="E281" t="s">
        <v>58</v>
      </c>
      <c r="F281">
        <v>31</v>
      </c>
      <c r="G281">
        <v>57.97</v>
      </c>
    </row>
    <row r="282" spans="1:7" x14ac:dyDescent="0.3">
      <c r="A282" s="6">
        <v>41697</v>
      </c>
      <c r="B282" t="s">
        <v>52</v>
      </c>
      <c r="C282" t="s">
        <v>64</v>
      </c>
      <c r="D282" t="s">
        <v>56</v>
      </c>
      <c r="E282" t="s">
        <v>59</v>
      </c>
      <c r="F282">
        <v>55</v>
      </c>
      <c r="G282">
        <v>97.35</v>
      </c>
    </row>
    <row r="283" spans="1:7" x14ac:dyDescent="0.3">
      <c r="A283" s="6">
        <v>41697</v>
      </c>
      <c r="B283" t="s">
        <v>52</v>
      </c>
      <c r="C283" t="s">
        <v>64</v>
      </c>
      <c r="D283" t="s">
        <v>56</v>
      </c>
      <c r="E283" t="s">
        <v>59</v>
      </c>
      <c r="F283">
        <v>85</v>
      </c>
      <c r="G283">
        <v>150.44999999999999</v>
      </c>
    </row>
    <row r="284" spans="1:7" x14ac:dyDescent="0.3">
      <c r="A284" s="6">
        <v>41697</v>
      </c>
      <c r="B284" t="s">
        <v>52</v>
      </c>
      <c r="C284" t="s">
        <v>64</v>
      </c>
      <c r="D284" t="s">
        <v>54</v>
      </c>
      <c r="E284" t="s">
        <v>60</v>
      </c>
      <c r="F284">
        <v>20</v>
      </c>
      <c r="G284">
        <v>37.4</v>
      </c>
    </row>
    <row r="285" spans="1:7" x14ac:dyDescent="0.3">
      <c r="A285" s="6">
        <v>41697</v>
      </c>
      <c r="B285" t="s">
        <v>52</v>
      </c>
      <c r="C285" t="s">
        <v>64</v>
      </c>
      <c r="D285" t="s">
        <v>54</v>
      </c>
      <c r="E285" t="s">
        <v>61</v>
      </c>
      <c r="F285">
        <v>52</v>
      </c>
      <c r="G285">
        <v>147.68</v>
      </c>
    </row>
    <row r="286" spans="1:7" x14ac:dyDescent="0.3">
      <c r="A286" s="6">
        <v>41697</v>
      </c>
      <c r="B286" t="s">
        <v>52</v>
      </c>
      <c r="C286" t="s">
        <v>64</v>
      </c>
      <c r="D286" t="s">
        <v>62</v>
      </c>
      <c r="E286" t="s">
        <v>63</v>
      </c>
      <c r="F286">
        <v>23</v>
      </c>
      <c r="G286">
        <v>38.64</v>
      </c>
    </row>
    <row r="287" spans="1:7" x14ac:dyDescent="0.3">
      <c r="A287" s="6">
        <v>41697</v>
      </c>
      <c r="B287" t="s">
        <v>65</v>
      </c>
      <c r="C287" t="s">
        <v>68</v>
      </c>
      <c r="D287" t="s">
        <v>56</v>
      </c>
      <c r="E287" t="s">
        <v>59</v>
      </c>
      <c r="F287">
        <v>35</v>
      </c>
      <c r="G287">
        <v>61.95</v>
      </c>
    </row>
    <row r="288" spans="1:7" x14ac:dyDescent="0.3">
      <c r="A288" s="6">
        <v>41704</v>
      </c>
      <c r="B288" t="s">
        <v>52</v>
      </c>
      <c r="C288" t="s">
        <v>53</v>
      </c>
      <c r="D288" t="s">
        <v>54</v>
      </c>
      <c r="E288" t="s">
        <v>55</v>
      </c>
      <c r="F288">
        <v>53</v>
      </c>
      <c r="G288">
        <v>115.54</v>
      </c>
    </row>
    <row r="289" spans="1:7" x14ac:dyDescent="0.3">
      <c r="A289" s="6">
        <v>41704</v>
      </c>
      <c r="B289" t="s">
        <v>52</v>
      </c>
      <c r="C289" t="s">
        <v>53</v>
      </c>
      <c r="D289" t="s">
        <v>56</v>
      </c>
      <c r="E289" t="s">
        <v>57</v>
      </c>
      <c r="F289">
        <v>28</v>
      </c>
      <c r="G289">
        <v>63.56</v>
      </c>
    </row>
    <row r="290" spans="1:7" x14ac:dyDescent="0.3">
      <c r="A290" s="6">
        <v>41704</v>
      </c>
      <c r="B290" t="s">
        <v>52</v>
      </c>
      <c r="C290" t="s">
        <v>53</v>
      </c>
      <c r="D290" t="s">
        <v>56</v>
      </c>
      <c r="E290" t="s">
        <v>58</v>
      </c>
      <c r="F290">
        <v>36</v>
      </c>
      <c r="G290">
        <v>67.319999999999993</v>
      </c>
    </row>
    <row r="291" spans="1:7" x14ac:dyDescent="0.3">
      <c r="A291" s="6">
        <v>41704</v>
      </c>
      <c r="B291" t="s">
        <v>52</v>
      </c>
      <c r="C291" t="s">
        <v>53</v>
      </c>
      <c r="D291" t="s">
        <v>56</v>
      </c>
      <c r="E291" t="s">
        <v>58</v>
      </c>
      <c r="F291">
        <v>20</v>
      </c>
      <c r="G291">
        <v>37.4</v>
      </c>
    </row>
    <row r="292" spans="1:7" x14ac:dyDescent="0.3">
      <c r="A292" s="6">
        <v>41704</v>
      </c>
      <c r="B292" t="s">
        <v>52</v>
      </c>
      <c r="C292" t="s">
        <v>53</v>
      </c>
      <c r="D292" t="s">
        <v>56</v>
      </c>
      <c r="E292" t="s">
        <v>59</v>
      </c>
      <c r="F292">
        <v>30</v>
      </c>
      <c r="G292">
        <v>53.1</v>
      </c>
    </row>
    <row r="293" spans="1:7" x14ac:dyDescent="0.3">
      <c r="A293" s="6">
        <v>41704</v>
      </c>
      <c r="B293" t="s">
        <v>52</v>
      </c>
      <c r="C293" t="s">
        <v>53</v>
      </c>
      <c r="D293" t="s">
        <v>56</v>
      </c>
      <c r="E293" t="s">
        <v>59</v>
      </c>
      <c r="F293">
        <v>43</v>
      </c>
      <c r="G293">
        <v>76.11</v>
      </c>
    </row>
    <row r="294" spans="1:7" x14ac:dyDescent="0.3">
      <c r="A294" s="6">
        <v>41704</v>
      </c>
      <c r="B294" t="s">
        <v>52</v>
      </c>
      <c r="C294" t="s">
        <v>53</v>
      </c>
      <c r="D294" t="s">
        <v>54</v>
      </c>
      <c r="E294" t="s">
        <v>60</v>
      </c>
      <c r="F294">
        <v>25</v>
      </c>
      <c r="G294">
        <v>46.75</v>
      </c>
    </row>
    <row r="295" spans="1:7" x14ac:dyDescent="0.3">
      <c r="A295" s="6">
        <v>41704</v>
      </c>
      <c r="B295" t="s">
        <v>52</v>
      </c>
      <c r="C295" t="s">
        <v>53</v>
      </c>
      <c r="D295" t="s">
        <v>54</v>
      </c>
      <c r="E295" t="s">
        <v>61</v>
      </c>
      <c r="F295">
        <v>82</v>
      </c>
      <c r="G295">
        <v>232.88</v>
      </c>
    </row>
    <row r="296" spans="1:7" x14ac:dyDescent="0.3">
      <c r="A296" s="6">
        <v>41704</v>
      </c>
      <c r="B296" t="s">
        <v>52</v>
      </c>
      <c r="C296" t="s">
        <v>53</v>
      </c>
      <c r="D296" t="s">
        <v>62</v>
      </c>
      <c r="E296" t="s">
        <v>63</v>
      </c>
      <c r="F296">
        <v>42</v>
      </c>
      <c r="G296">
        <v>70.56</v>
      </c>
    </row>
    <row r="297" spans="1:7" x14ac:dyDescent="0.3">
      <c r="A297" s="6">
        <v>41704</v>
      </c>
      <c r="B297" t="s">
        <v>52</v>
      </c>
      <c r="C297" t="s">
        <v>53</v>
      </c>
      <c r="D297" t="s">
        <v>69</v>
      </c>
      <c r="E297" t="s">
        <v>70</v>
      </c>
      <c r="F297">
        <v>27</v>
      </c>
      <c r="G297">
        <v>94.23</v>
      </c>
    </row>
    <row r="298" spans="1:7" x14ac:dyDescent="0.3">
      <c r="A298" s="6">
        <v>41704</v>
      </c>
      <c r="B298" t="s">
        <v>52</v>
      </c>
      <c r="C298" t="s">
        <v>53</v>
      </c>
      <c r="D298" t="s">
        <v>69</v>
      </c>
      <c r="E298" t="s">
        <v>70</v>
      </c>
      <c r="F298">
        <v>38</v>
      </c>
      <c r="G298">
        <v>132.62</v>
      </c>
    </row>
    <row r="299" spans="1:7" x14ac:dyDescent="0.3">
      <c r="A299" s="6">
        <v>41704</v>
      </c>
      <c r="B299" t="s">
        <v>52</v>
      </c>
      <c r="C299" t="s">
        <v>64</v>
      </c>
      <c r="D299" t="s">
        <v>54</v>
      </c>
      <c r="E299" t="s">
        <v>55</v>
      </c>
      <c r="F299">
        <v>33</v>
      </c>
      <c r="G299">
        <v>71.94</v>
      </c>
    </row>
    <row r="300" spans="1:7" x14ac:dyDescent="0.3">
      <c r="A300" s="6">
        <v>41704</v>
      </c>
      <c r="B300" t="s">
        <v>52</v>
      </c>
      <c r="C300" t="s">
        <v>64</v>
      </c>
      <c r="D300" t="s">
        <v>56</v>
      </c>
      <c r="E300" t="s">
        <v>58</v>
      </c>
      <c r="F300">
        <v>44</v>
      </c>
      <c r="G300">
        <v>82.28</v>
      </c>
    </row>
    <row r="301" spans="1:7" x14ac:dyDescent="0.3">
      <c r="A301" s="6">
        <v>41704</v>
      </c>
      <c r="B301" t="s">
        <v>52</v>
      </c>
      <c r="C301" t="s">
        <v>64</v>
      </c>
      <c r="D301" t="s">
        <v>56</v>
      </c>
      <c r="E301" t="s">
        <v>59</v>
      </c>
      <c r="F301">
        <v>22</v>
      </c>
      <c r="G301">
        <v>38.94</v>
      </c>
    </row>
    <row r="302" spans="1:7" x14ac:dyDescent="0.3">
      <c r="A302" s="6">
        <v>41704</v>
      </c>
      <c r="B302" t="s">
        <v>52</v>
      </c>
      <c r="C302" t="s">
        <v>64</v>
      </c>
      <c r="D302" t="s">
        <v>62</v>
      </c>
      <c r="E302" t="s">
        <v>63</v>
      </c>
      <c r="F302">
        <v>25</v>
      </c>
      <c r="G302">
        <v>42</v>
      </c>
    </row>
    <row r="303" spans="1:7" x14ac:dyDescent="0.3">
      <c r="A303" s="6">
        <v>41704</v>
      </c>
      <c r="B303" t="s">
        <v>52</v>
      </c>
      <c r="C303" t="s">
        <v>64</v>
      </c>
      <c r="D303" t="s">
        <v>69</v>
      </c>
      <c r="E303" t="s">
        <v>70</v>
      </c>
      <c r="F303">
        <v>63</v>
      </c>
      <c r="G303">
        <v>219.87</v>
      </c>
    </row>
    <row r="304" spans="1:7" x14ac:dyDescent="0.3">
      <c r="A304" s="6">
        <v>41704</v>
      </c>
      <c r="B304" t="s">
        <v>65</v>
      </c>
      <c r="C304" t="s">
        <v>66</v>
      </c>
      <c r="D304" t="s">
        <v>54</v>
      </c>
      <c r="E304" t="s">
        <v>55</v>
      </c>
      <c r="F304">
        <v>39</v>
      </c>
      <c r="G304">
        <v>85.02</v>
      </c>
    </row>
    <row r="305" spans="1:7" x14ac:dyDescent="0.3">
      <c r="A305" s="6">
        <v>41704</v>
      </c>
      <c r="B305" t="s">
        <v>65</v>
      </c>
      <c r="C305" t="s">
        <v>66</v>
      </c>
      <c r="D305" t="s">
        <v>54</v>
      </c>
      <c r="E305" t="s">
        <v>55</v>
      </c>
      <c r="F305">
        <v>21</v>
      </c>
      <c r="G305">
        <v>45.78</v>
      </c>
    </row>
    <row r="306" spans="1:7" x14ac:dyDescent="0.3">
      <c r="A306" s="6">
        <v>41704</v>
      </c>
      <c r="B306" t="s">
        <v>65</v>
      </c>
      <c r="C306" t="s">
        <v>66</v>
      </c>
      <c r="D306" t="s">
        <v>56</v>
      </c>
      <c r="E306" t="s">
        <v>58</v>
      </c>
      <c r="F306">
        <v>30</v>
      </c>
      <c r="G306">
        <v>56.1</v>
      </c>
    </row>
    <row r="307" spans="1:7" x14ac:dyDescent="0.3">
      <c r="A307" s="6">
        <v>41704</v>
      </c>
      <c r="B307" t="s">
        <v>65</v>
      </c>
      <c r="C307" t="s">
        <v>66</v>
      </c>
      <c r="D307" t="s">
        <v>56</v>
      </c>
      <c r="E307" t="s">
        <v>59</v>
      </c>
      <c r="F307">
        <v>25</v>
      </c>
      <c r="G307">
        <v>44.25</v>
      </c>
    </row>
    <row r="308" spans="1:7" x14ac:dyDescent="0.3">
      <c r="A308" s="6">
        <v>41704</v>
      </c>
      <c r="B308" t="s">
        <v>65</v>
      </c>
      <c r="C308" t="s">
        <v>66</v>
      </c>
      <c r="D308" t="s">
        <v>56</v>
      </c>
      <c r="E308" t="s">
        <v>59</v>
      </c>
      <c r="F308">
        <v>67</v>
      </c>
      <c r="G308">
        <v>118.59</v>
      </c>
    </row>
    <row r="309" spans="1:7" x14ac:dyDescent="0.3">
      <c r="A309" s="6">
        <v>41704</v>
      </c>
      <c r="B309" t="s">
        <v>65</v>
      </c>
      <c r="C309" t="s">
        <v>66</v>
      </c>
      <c r="D309" t="s">
        <v>54</v>
      </c>
      <c r="E309" t="s">
        <v>60</v>
      </c>
      <c r="F309">
        <v>25</v>
      </c>
      <c r="G309">
        <v>46.75</v>
      </c>
    </row>
    <row r="310" spans="1:7" x14ac:dyDescent="0.3">
      <c r="A310" s="6">
        <v>41704</v>
      </c>
      <c r="B310" t="s">
        <v>65</v>
      </c>
      <c r="C310" t="s">
        <v>66</v>
      </c>
      <c r="D310" t="s">
        <v>54</v>
      </c>
      <c r="E310" t="s">
        <v>61</v>
      </c>
      <c r="F310">
        <v>75</v>
      </c>
      <c r="G310">
        <v>213</v>
      </c>
    </row>
    <row r="311" spans="1:7" x14ac:dyDescent="0.3">
      <c r="A311" s="6">
        <v>41704</v>
      </c>
      <c r="B311" t="s">
        <v>52</v>
      </c>
      <c r="C311" t="s">
        <v>67</v>
      </c>
      <c r="D311" t="s">
        <v>54</v>
      </c>
      <c r="E311" t="s">
        <v>55</v>
      </c>
      <c r="F311">
        <v>44</v>
      </c>
      <c r="G311">
        <v>95.92</v>
      </c>
    </row>
    <row r="312" spans="1:7" x14ac:dyDescent="0.3">
      <c r="A312" s="6">
        <v>41704</v>
      </c>
      <c r="B312" t="s">
        <v>52</v>
      </c>
      <c r="C312" t="s">
        <v>67</v>
      </c>
      <c r="D312" t="s">
        <v>56</v>
      </c>
      <c r="E312" t="s">
        <v>58</v>
      </c>
      <c r="F312">
        <v>32</v>
      </c>
      <c r="G312">
        <v>59.84</v>
      </c>
    </row>
    <row r="313" spans="1:7" x14ac:dyDescent="0.3">
      <c r="A313" s="6">
        <v>41704</v>
      </c>
      <c r="B313" t="s">
        <v>52</v>
      </c>
      <c r="C313" t="s">
        <v>67</v>
      </c>
      <c r="D313" t="s">
        <v>56</v>
      </c>
      <c r="E313" t="s">
        <v>59</v>
      </c>
      <c r="F313">
        <v>78</v>
      </c>
      <c r="G313">
        <v>138.06</v>
      </c>
    </row>
    <row r="314" spans="1:7" x14ac:dyDescent="0.3">
      <c r="A314" s="6">
        <v>41704</v>
      </c>
      <c r="B314" t="s">
        <v>52</v>
      </c>
      <c r="C314" t="s">
        <v>67</v>
      </c>
      <c r="D314" t="s">
        <v>56</v>
      </c>
      <c r="E314" t="s">
        <v>59</v>
      </c>
      <c r="F314">
        <v>64</v>
      </c>
      <c r="G314">
        <v>113.28</v>
      </c>
    </row>
    <row r="315" spans="1:7" x14ac:dyDescent="0.3">
      <c r="A315" s="6">
        <v>41704</v>
      </c>
      <c r="B315" t="s">
        <v>52</v>
      </c>
      <c r="C315" t="s">
        <v>67</v>
      </c>
      <c r="D315" t="s">
        <v>54</v>
      </c>
      <c r="E315" t="s">
        <v>60</v>
      </c>
      <c r="F315">
        <v>26</v>
      </c>
      <c r="G315">
        <v>48.62</v>
      </c>
    </row>
    <row r="316" spans="1:7" x14ac:dyDescent="0.3">
      <c r="A316" s="6">
        <v>41704</v>
      </c>
      <c r="B316" t="s">
        <v>52</v>
      </c>
      <c r="C316" t="s">
        <v>67</v>
      </c>
      <c r="D316" t="s">
        <v>54</v>
      </c>
      <c r="E316" t="s">
        <v>61</v>
      </c>
      <c r="F316">
        <v>63</v>
      </c>
      <c r="G316">
        <v>178.92</v>
      </c>
    </row>
    <row r="317" spans="1:7" x14ac:dyDescent="0.3">
      <c r="A317" s="6">
        <v>41704</v>
      </c>
      <c r="B317" t="s">
        <v>52</v>
      </c>
      <c r="C317" t="s">
        <v>67</v>
      </c>
      <c r="D317" t="s">
        <v>62</v>
      </c>
      <c r="E317" t="s">
        <v>63</v>
      </c>
      <c r="F317">
        <v>23</v>
      </c>
      <c r="G317">
        <v>38.64</v>
      </c>
    </row>
    <row r="318" spans="1:7" x14ac:dyDescent="0.3">
      <c r="A318" s="6">
        <v>41704</v>
      </c>
      <c r="B318" t="s">
        <v>52</v>
      </c>
      <c r="C318" t="s">
        <v>67</v>
      </c>
      <c r="D318" t="s">
        <v>69</v>
      </c>
      <c r="E318" t="s">
        <v>70</v>
      </c>
      <c r="F318">
        <v>29</v>
      </c>
      <c r="G318">
        <v>101.21</v>
      </c>
    </row>
    <row r="319" spans="1:7" x14ac:dyDescent="0.3">
      <c r="A319" s="6">
        <v>41704</v>
      </c>
      <c r="B319" t="s">
        <v>52</v>
      </c>
      <c r="C319" t="s">
        <v>64</v>
      </c>
      <c r="D319" t="s">
        <v>54</v>
      </c>
      <c r="E319" t="s">
        <v>55</v>
      </c>
      <c r="F319">
        <v>32</v>
      </c>
      <c r="G319">
        <v>69.760000000000005</v>
      </c>
    </row>
    <row r="320" spans="1:7" x14ac:dyDescent="0.3">
      <c r="A320" s="6">
        <v>41704</v>
      </c>
      <c r="B320" t="s">
        <v>52</v>
      </c>
      <c r="C320" t="s">
        <v>64</v>
      </c>
      <c r="D320" t="s">
        <v>56</v>
      </c>
      <c r="E320" t="s">
        <v>58</v>
      </c>
      <c r="F320">
        <v>34</v>
      </c>
      <c r="G320">
        <v>63.58</v>
      </c>
    </row>
    <row r="321" spans="1:7" x14ac:dyDescent="0.3">
      <c r="A321" s="6">
        <v>41704</v>
      </c>
      <c r="B321" t="s">
        <v>52</v>
      </c>
      <c r="C321" t="s">
        <v>64</v>
      </c>
      <c r="D321" t="s">
        <v>56</v>
      </c>
      <c r="E321" t="s">
        <v>59</v>
      </c>
      <c r="F321">
        <v>41</v>
      </c>
      <c r="G321">
        <v>72.569999999999993</v>
      </c>
    </row>
    <row r="322" spans="1:7" x14ac:dyDescent="0.3">
      <c r="A322" s="6">
        <v>41704</v>
      </c>
      <c r="B322" t="s">
        <v>52</v>
      </c>
      <c r="C322" t="s">
        <v>64</v>
      </c>
      <c r="D322" t="s">
        <v>56</v>
      </c>
      <c r="E322" t="s">
        <v>59</v>
      </c>
      <c r="F322">
        <v>82</v>
      </c>
      <c r="G322">
        <v>145.13999999999999</v>
      </c>
    </row>
    <row r="323" spans="1:7" x14ac:dyDescent="0.3">
      <c r="A323" s="6">
        <v>41704</v>
      </c>
      <c r="B323" t="s">
        <v>52</v>
      </c>
      <c r="C323" t="s">
        <v>64</v>
      </c>
      <c r="D323" t="s">
        <v>54</v>
      </c>
      <c r="E323" t="s">
        <v>61</v>
      </c>
      <c r="F323">
        <v>32</v>
      </c>
      <c r="G323">
        <v>90.88</v>
      </c>
    </row>
    <row r="324" spans="1:7" x14ac:dyDescent="0.3">
      <c r="A324" s="6">
        <v>41704</v>
      </c>
      <c r="B324" t="s">
        <v>52</v>
      </c>
      <c r="C324" t="s">
        <v>64</v>
      </c>
      <c r="D324" t="s">
        <v>69</v>
      </c>
      <c r="E324" t="s">
        <v>70</v>
      </c>
      <c r="F324">
        <v>21</v>
      </c>
      <c r="G324">
        <v>73.290000000000006</v>
      </c>
    </row>
    <row r="325" spans="1:7" x14ac:dyDescent="0.3">
      <c r="A325" s="6">
        <v>41704</v>
      </c>
      <c r="B325" t="s">
        <v>65</v>
      </c>
      <c r="C325" t="s">
        <v>68</v>
      </c>
      <c r="D325" t="s">
        <v>56</v>
      </c>
      <c r="E325" t="s">
        <v>59</v>
      </c>
      <c r="F325">
        <v>24</v>
      </c>
      <c r="G325">
        <v>42.48</v>
      </c>
    </row>
    <row r="326" spans="1:7" x14ac:dyDescent="0.3">
      <c r="A326" s="6">
        <v>41704</v>
      </c>
      <c r="B326" t="s">
        <v>65</v>
      </c>
      <c r="C326" t="s">
        <v>68</v>
      </c>
      <c r="D326" t="s">
        <v>54</v>
      </c>
      <c r="E326" t="s">
        <v>61</v>
      </c>
      <c r="F326">
        <v>23</v>
      </c>
      <c r="G326">
        <v>65.319999999999993</v>
      </c>
    </row>
    <row r="327" spans="1:7" x14ac:dyDescent="0.3">
      <c r="A327" s="6">
        <v>41711</v>
      </c>
      <c r="B327" t="s">
        <v>52</v>
      </c>
      <c r="C327" t="s">
        <v>53</v>
      </c>
      <c r="D327" t="s">
        <v>54</v>
      </c>
      <c r="E327" t="s">
        <v>55</v>
      </c>
      <c r="F327">
        <v>26</v>
      </c>
      <c r="G327">
        <v>56.68</v>
      </c>
    </row>
    <row r="328" spans="1:7" x14ac:dyDescent="0.3">
      <c r="A328" s="6">
        <v>41711</v>
      </c>
      <c r="B328" t="s">
        <v>52</v>
      </c>
      <c r="C328" t="s">
        <v>53</v>
      </c>
      <c r="D328" t="s">
        <v>54</v>
      </c>
      <c r="E328" t="s">
        <v>55</v>
      </c>
      <c r="F328">
        <v>58</v>
      </c>
      <c r="G328">
        <v>126.44</v>
      </c>
    </row>
    <row r="329" spans="1:7" x14ac:dyDescent="0.3">
      <c r="A329" s="6">
        <v>41711</v>
      </c>
      <c r="B329" t="s">
        <v>52</v>
      </c>
      <c r="C329" t="s">
        <v>53</v>
      </c>
      <c r="D329" t="s">
        <v>56</v>
      </c>
      <c r="E329" t="s">
        <v>58</v>
      </c>
      <c r="F329">
        <v>41</v>
      </c>
      <c r="G329">
        <v>76.67</v>
      </c>
    </row>
    <row r="330" spans="1:7" x14ac:dyDescent="0.3">
      <c r="A330" s="6">
        <v>41711</v>
      </c>
      <c r="B330" t="s">
        <v>52</v>
      </c>
      <c r="C330" t="s">
        <v>53</v>
      </c>
      <c r="D330" t="s">
        <v>56</v>
      </c>
      <c r="E330" t="s">
        <v>59</v>
      </c>
      <c r="F330">
        <v>54</v>
      </c>
      <c r="G330">
        <v>95.58</v>
      </c>
    </row>
    <row r="331" spans="1:7" x14ac:dyDescent="0.3">
      <c r="A331" s="6">
        <v>41711</v>
      </c>
      <c r="B331" t="s">
        <v>52</v>
      </c>
      <c r="C331" t="s">
        <v>53</v>
      </c>
      <c r="D331" t="s">
        <v>56</v>
      </c>
      <c r="E331" t="s">
        <v>59</v>
      </c>
      <c r="F331">
        <v>68</v>
      </c>
      <c r="G331">
        <v>120.36</v>
      </c>
    </row>
    <row r="332" spans="1:7" x14ac:dyDescent="0.3">
      <c r="A332" s="6">
        <v>41711</v>
      </c>
      <c r="B332" t="s">
        <v>52</v>
      </c>
      <c r="C332" t="s">
        <v>53</v>
      </c>
      <c r="D332" t="s">
        <v>54</v>
      </c>
      <c r="E332" t="s">
        <v>60</v>
      </c>
      <c r="F332">
        <v>38</v>
      </c>
      <c r="G332">
        <v>71.06</v>
      </c>
    </row>
    <row r="333" spans="1:7" x14ac:dyDescent="0.3">
      <c r="A333" s="6">
        <v>41711</v>
      </c>
      <c r="B333" t="s">
        <v>52</v>
      </c>
      <c r="C333" t="s">
        <v>53</v>
      </c>
      <c r="D333" t="s">
        <v>54</v>
      </c>
      <c r="E333" t="s">
        <v>61</v>
      </c>
      <c r="F333">
        <v>86</v>
      </c>
      <c r="G333">
        <v>244.24</v>
      </c>
    </row>
    <row r="334" spans="1:7" x14ac:dyDescent="0.3">
      <c r="A334" s="6">
        <v>41711</v>
      </c>
      <c r="B334" t="s">
        <v>52</v>
      </c>
      <c r="C334" t="s">
        <v>53</v>
      </c>
      <c r="D334" t="s">
        <v>62</v>
      </c>
      <c r="E334" t="s">
        <v>63</v>
      </c>
      <c r="F334">
        <v>35</v>
      </c>
      <c r="G334">
        <v>58.8</v>
      </c>
    </row>
    <row r="335" spans="1:7" x14ac:dyDescent="0.3">
      <c r="A335" s="6">
        <v>41711</v>
      </c>
      <c r="B335" t="s">
        <v>52</v>
      </c>
      <c r="C335" t="s">
        <v>53</v>
      </c>
      <c r="D335" t="s">
        <v>69</v>
      </c>
      <c r="E335" t="s">
        <v>70</v>
      </c>
      <c r="F335">
        <v>31</v>
      </c>
      <c r="G335">
        <v>108.19</v>
      </c>
    </row>
    <row r="336" spans="1:7" x14ac:dyDescent="0.3">
      <c r="A336" s="6">
        <v>41711</v>
      </c>
      <c r="B336" t="s">
        <v>52</v>
      </c>
      <c r="C336" t="s">
        <v>53</v>
      </c>
      <c r="D336" t="s">
        <v>69</v>
      </c>
      <c r="E336" t="s">
        <v>70</v>
      </c>
      <c r="F336">
        <v>37</v>
      </c>
      <c r="G336">
        <v>129.13</v>
      </c>
    </row>
    <row r="337" spans="1:7" x14ac:dyDescent="0.3">
      <c r="A337" s="6">
        <v>41711</v>
      </c>
      <c r="B337" t="s">
        <v>52</v>
      </c>
      <c r="C337" t="s">
        <v>64</v>
      </c>
      <c r="D337" t="s">
        <v>54</v>
      </c>
      <c r="E337" t="s">
        <v>55</v>
      </c>
      <c r="F337">
        <v>33</v>
      </c>
      <c r="G337">
        <v>71.94</v>
      </c>
    </row>
    <row r="338" spans="1:7" x14ac:dyDescent="0.3">
      <c r="A338" s="6">
        <v>41711</v>
      </c>
      <c r="B338" t="s">
        <v>52</v>
      </c>
      <c r="C338" t="s">
        <v>64</v>
      </c>
      <c r="D338" t="s">
        <v>56</v>
      </c>
      <c r="E338" t="s">
        <v>58</v>
      </c>
      <c r="F338">
        <v>30</v>
      </c>
      <c r="G338">
        <v>56.1</v>
      </c>
    </row>
    <row r="339" spans="1:7" x14ac:dyDescent="0.3">
      <c r="A339" s="6">
        <v>41711</v>
      </c>
      <c r="B339" t="s">
        <v>52</v>
      </c>
      <c r="C339" t="s">
        <v>64</v>
      </c>
      <c r="D339" t="s">
        <v>56</v>
      </c>
      <c r="E339" t="s">
        <v>59</v>
      </c>
      <c r="F339">
        <v>59</v>
      </c>
      <c r="G339">
        <v>104.43</v>
      </c>
    </row>
    <row r="340" spans="1:7" x14ac:dyDescent="0.3">
      <c r="A340" s="6">
        <v>41711</v>
      </c>
      <c r="B340" t="s">
        <v>52</v>
      </c>
      <c r="C340" t="s">
        <v>64</v>
      </c>
      <c r="D340" t="s">
        <v>54</v>
      </c>
      <c r="E340" t="s">
        <v>60</v>
      </c>
      <c r="F340">
        <v>21</v>
      </c>
      <c r="G340">
        <v>39.270000000000003</v>
      </c>
    </row>
    <row r="341" spans="1:7" x14ac:dyDescent="0.3">
      <c r="A341" s="6">
        <v>41711</v>
      </c>
      <c r="B341" t="s">
        <v>52</v>
      </c>
      <c r="C341" t="s">
        <v>64</v>
      </c>
      <c r="D341" t="s">
        <v>54</v>
      </c>
      <c r="E341" t="s">
        <v>61</v>
      </c>
      <c r="F341">
        <v>46</v>
      </c>
      <c r="G341">
        <v>130.63999999999999</v>
      </c>
    </row>
    <row r="342" spans="1:7" x14ac:dyDescent="0.3">
      <c r="A342" s="6">
        <v>41711</v>
      </c>
      <c r="B342" t="s">
        <v>52</v>
      </c>
      <c r="C342" t="s">
        <v>64</v>
      </c>
      <c r="D342" t="s">
        <v>69</v>
      </c>
      <c r="E342" t="s">
        <v>70</v>
      </c>
      <c r="F342">
        <v>70</v>
      </c>
      <c r="G342">
        <v>244.3</v>
      </c>
    </row>
    <row r="343" spans="1:7" x14ac:dyDescent="0.3">
      <c r="A343" s="6">
        <v>41711</v>
      </c>
      <c r="B343" t="s">
        <v>65</v>
      </c>
      <c r="C343" t="s">
        <v>66</v>
      </c>
      <c r="D343" t="s">
        <v>54</v>
      </c>
      <c r="E343" t="s">
        <v>55</v>
      </c>
      <c r="F343">
        <v>31</v>
      </c>
      <c r="G343">
        <v>67.58</v>
      </c>
    </row>
    <row r="344" spans="1:7" x14ac:dyDescent="0.3">
      <c r="A344" s="6">
        <v>41711</v>
      </c>
      <c r="B344" t="s">
        <v>65</v>
      </c>
      <c r="C344" t="s">
        <v>66</v>
      </c>
      <c r="D344" t="s">
        <v>56</v>
      </c>
      <c r="E344" t="s">
        <v>58</v>
      </c>
      <c r="F344">
        <v>27</v>
      </c>
      <c r="G344">
        <v>50.49</v>
      </c>
    </row>
    <row r="345" spans="1:7" x14ac:dyDescent="0.3">
      <c r="A345" s="6">
        <v>41711</v>
      </c>
      <c r="B345" t="s">
        <v>65</v>
      </c>
      <c r="C345" t="s">
        <v>66</v>
      </c>
      <c r="D345" t="s">
        <v>56</v>
      </c>
      <c r="E345" t="s">
        <v>59</v>
      </c>
      <c r="F345">
        <v>28</v>
      </c>
      <c r="G345">
        <v>49.56</v>
      </c>
    </row>
    <row r="346" spans="1:7" x14ac:dyDescent="0.3">
      <c r="A346" s="6">
        <v>41711</v>
      </c>
      <c r="B346" t="s">
        <v>65</v>
      </c>
      <c r="C346" t="s">
        <v>66</v>
      </c>
      <c r="D346" t="s">
        <v>56</v>
      </c>
      <c r="E346" t="s">
        <v>59</v>
      </c>
      <c r="F346">
        <v>68</v>
      </c>
      <c r="G346">
        <v>120.36</v>
      </c>
    </row>
    <row r="347" spans="1:7" x14ac:dyDescent="0.3">
      <c r="A347" s="6">
        <v>41711</v>
      </c>
      <c r="B347" t="s">
        <v>65</v>
      </c>
      <c r="C347" t="s">
        <v>66</v>
      </c>
      <c r="D347" t="s">
        <v>54</v>
      </c>
      <c r="E347" t="s">
        <v>60</v>
      </c>
      <c r="F347">
        <v>27</v>
      </c>
      <c r="G347">
        <v>50.49</v>
      </c>
    </row>
    <row r="348" spans="1:7" x14ac:dyDescent="0.3">
      <c r="A348" s="6">
        <v>41711</v>
      </c>
      <c r="B348" t="s">
        <v>65</v>
      </c>
      <c r="C348" t="s">
        <v>66</v>
      </c>
      <c r="D348" t="s">
        <v>54</v>
      </c>
      <c r="E348" t="s">
        <v>61</v>
      </c>
      <c r="F348">
        <v>68</v>
      </c>
      <c r="G348">
        <v>193.12</v>
      </c>
    </row>
    <row r="349" spans="1:7" x14ac:dyDescent="0.3">
      <c r="A349" s="6">
        <v>41711</v>
      </c>
      <c r="B349" t="s">
        <v>65</v>
      </c>
      <c r="C349" t="s">
        <v>66</v>
      </c>
      <c r="D349" t="s">
        <v>62</v>
      </c>
      <c r="E349" t="s">
        <v>63</v>
      </c>
      <c r="F349">
        <v>22</v>
      </c>
      <c r="G349">
        <v>36.96</v>
      </c>
    </row>
    <row r="350" spans="1:7" x14ac:dyDescent="0.3">
      <c r="A350" s="6">
        <v>41711</v>
      </c>
      <c r="B350" t="s">
        <v>52</v>
      </c>
      <c r="C350" t="s">
        <v>67</v>
      </c>
      <c r="D350" t="s">
        <v>54</v>
      </c>
      <c r="E350" t="s">
        <v>55</v>
      </c>
      <c r="F350">
        <v>37</v>
      </c>
      <c r="G350">
        <v>80.66</v>
      </c>
    </row>
    <row r="351" spans="1:7" x14ac:dyDescent="0.3">
      <c r="A351" s="6">
        <v>41711</v>
      </c>
      <c r="B351" t="s">
        <v>52</v>
      </c>
      <c r="C351" t="s">
        <v>67</v>
      </c>
      <c r="D351" t="s">
        <v>56</v>
      </c>
      <c r="E351" t="s">
        <v>58</v>
      </c>
      <c r="F351">
        <v>27</v>
      </c>
      <c r="G351">
        <v>50.49</v>
      </c>
    </row>
    <row r="352" spans="1:7" x14ac:dyDescent="0.3">
      <c r="A352" s="6">
        <v>41711</v>
      </c>
      <c r="B352" t="s">
        <v>52</v>
      </c>
      <c r="C352" t="s">
        <v>67</v>
      </c>
      <c r="D352" t="s">
        <v>56</v>
      </c>
      <c r="E352" t="s">
        <v>59</v>
      </c>
      <c r="F352">
        <v>81</v>
      </c>
      <c r="G352">
        <v>143.37</v>
      </c>
    </row>
    <row r="353" spans="1:7" x14ac:dyDescent="0.3">
      <c r="A353" s="6">
        <v>41711</v>
      </c>
      <c r="B353" t="s">
        <v>52</v>
      </c>
      <c r="C353" t="s">
        <v>67</v>
      </c>
      <c r="D353" t="s">
        <v>56</v>
      </c>
      <c r="E353" t="s">
        <v>59</v>
      </c>
      <c r="F353">
        <v>46</v>
      </c>
      <c r="G353">
        <v>81.42</v>
      </c>
    </row>
    <row r="354" spans="1:7" x14ac:dyDescent="0.3">
      <c r="A354" s="6">
        <v>41711</v>
      </c>
      <c r="B354" t="s">
        <v>52</v>
      </c>
      <c r="C354" t="s">
        <v>67</v>
      </c>
      <c r="D354" t="s">
        <v>54</v>
      </c>
      <c r="E354" t="s">
        <v>60</v>
      </c>
      <c r="F354">
        <v>28</v>
      </c>
      <c r="G354">
        <v>52.36</v>
      </c>
    </row>
    <row r="355" spans="1:7" x14ac:dyDescent="0.3">
      <c r="A355" s="6">
        <v>41711</v>
      </c>
      <c r="B355" t="s">
        <v>52</v>
      </c>
      <c r="C355" t="s">
        <v>67</v>
      </c>
      <c r="D355" t="s">
        <v>54</v>
      </c>
      <c r="E355" t="s">
        <v>61</v>
      </c>
      <c r="F355">
        <v>63</v>
      </c>
      <c r="G355">
        <v>178.92</v>
      </c>
    </row>
    <row r="356" spans="1:7" x14ac:dyDescent="0.3">
      <c r="A356" s="6">
        <v>41711</v>
      </c>
      <c r="B356" t="s">
        <v>52</v>
      </c>
      <c r="C356" t="s">
        <v>67</v>
      </c>
      <c r="D356" t="s">
        <v>69</v>
      </c>
      <c r="E356" t="s">
        <v>70</v>
      </c>
      <c r="F356">
        <v>29</v>
      </c>
      <c r="G356">
        <v>101.21</v>
      </c>
    </row>
    <row r="357" spans="1:7" x14ac:dyDescent="0.3">
      <c r="A357" s="6">
        <v>41711</v>
      </c>
      <c r="B357" t="s">
        <v>52</v>
      </c>
      <c r="C357" t="s">
        <v>64</v>
      </c>
      <c r="D357" t="s">
        <v>54</v>
      </c>
      <c r="E357" t="s">
        <v>55</v>
      </c>
      <c r="F357">
        <v>45</v>
      </c>
      <c r="G357">
        <v>98.1</v>
      </c>
    </row>
    <row r="358" spans="1:7" x14ac:dyDescent="0.3">
      <c r="A358" s="6">
        <v>41711</v>
      </c>
      <c r="B358" t="s">
        <v>52</v>
      </c>
      <c r="C358" t="s">
        <v>64</v>
      </c>
      <c r="D358" t="s">
        <v>56</v>
      </c>
      <c r="E358" t="s">
        <v>58</v>
      </c>
      <c r="F358">
        <v>27</v>
      </c>
      <c r="G358">
        <v>50.49</v>
      </c>
    </row>
    <row r="359" spans="1:7" x14ac:dyDescent="0.3">
      <c r="A359" s="6">
        <v>41711</v>
      </c>
      <c r="B359" t="s">
        <v>52</v>
      </c>
      <c r="C359" t="s">
        <v>64</v>
      </c>
      <c r="D359" t="s">
        <v>56</v>
      </c>
      <c r="E359" t="s">
        <v>59</v>
      </c>
      <c r="F359">
        <v>44</v>
      </c>
      <c r="G359">
        <v>77.88</v>
      </c>
    </row>
    <row r="360" spans="1:7" x14ac:dyDescent="0.3">
      <c r="A360" s="6">
        <v>41711</v>
      </c>
      <c r="B360" t="s">
        <v>52</v>
      </c>
      <c r="C360" t="s">
        <v>64</v>
      </c>
      <c r="D360" t="s">
        <v>56</v>
      </c>
      <c r="E360" t="s">
        <v>59</v>
      </c>
      <c r="F360">
        <v>81</v>
      </c>
      <c r="G360">
        <v>143.37</v>
      </c>
    </row>
    <row r="361" spans="1:7" x14ac:dyDescent="0.3">
      <c r="A361" s="6">
        <v>41711</v>
      </c>
      <c r="B361" t="s">
        <v>52</v>
      </c>
      <c r="C361" t="s">
        <v>64</v>
      </c>
      <c r="D361" t="s">
        <v>54</v>
      </c>
      <c r="E361" t="s">
        <v>60</v>
      </c>
      <c r="F361">
        <v>24</v>
      </c>
      <c r="G361">
        <v>44.88</v>
      </c>
    </row>
    <row r="362" spans="1:7" x14ac:dyDescent="0.3">
      <c r="A362" s="6">
        <v>41711</v>
      </c>
      <c r="B362" t="s">
        <v>52</v>
      </c>
      <c r="C362" t="s">
        <v>64</v>
      </c>
      <c r="D362" t="s">
        <v>54</v>
      </c>
      <c r="E362" t="s">
        <v>61</v>
      </c>
      <c r="F362">
        <v>61</v>
      </c>
      <c r="G362">
        <v>173.24</v>
      </c>
    </row>
    <row r="363" spans="1:7" x14ac:dyDescent="0.3">
      <c r="A363" s="6">
        <v>41711</v>
      </c>
      <c r="B363" t="s">
        <v>52</v>
      </c>
      <c r="C363" t="s">
        <v>64</v>
      </c>
      <c r="D363" t="s">
        <v>62</v>
      </c>
      <c r="E363" t="s">
        <v>63</v>
      </c>
      <c r="F363">
        <v>24</v>
      </c>
      <c r="G363">
        <v>40.32</v>
      </c>
    </row>
    <row r="364" spans="1:7" x14ac:dyDescent="0.3">
      <c r="A364" s="6">
        <v>41711</v>
      </c>
      <c r="B364" t="s">
        <v>52</v>
      </c>
      <c r="C364" t="s">
        <v>64</v>
      </c>
      <c r="D364" t="s">
        <v>69</v>
      </c>
      <c r="E364" t="s">
        <v>70</v>
      </c>
      <c r="F364">
        <v>22</v>
      </c>
      <c r="G364">
        <v>76.78</v>
      </c>
    </row>
    <row r="365" spans="1:7" x14ac:dyDescent="0.3">
      <c r="A365" s="6">
        <v>41711</v>
      </c>
      <c r="B365" t="s">
        <v>65</v>
      </c>
      <c r="C365" t="s">
        <v>68</v>
      </c>
      <c r="D365" t="s">
        <v>56</v>
      </c>
      <c r="E365" t="s">
        <v>59</v>
      </c>
      <c r="F365">
        <v>36</v>
      </c>
      <c r="G365">
        <v>63.72</v>
      </c>
    </row>
    <row r="366" spans="1:7" x14ac:dyDescent="0.3">
      <c r="A366" s="6">
        <v>41711</v>
      </c>
      <c r="B366" t="s">
        <v>65</v>
      </c>
      <c r="C366" t="s">
        <v>68</v>
      </c>
      <c r="D366" t="s">
        <v>54</v>
      </c>
      <c r="E366" t="s">
        <v>61</v>
      </c>
      <c r="F366">
        <v>34</v>
      </c>
      <c r="G366">
        <v>96.56</v>
      </c>
    </row>
    <row r="367" spans="1:7" x14ac:dyDescent="0.3">
      <c r="A367" s="6">
        <v>41718</v>
      </c>
      <c r="B367" t="s">
        <v>52</v>
      </c>
      <c r="C367" t="s">
        <v>53</v>
      </c>
      <c r="D367" t="s">
        <v>54</v>
      </c>
      <c r="E367" t="s">
        <v>55</v>
      </c>
      <c r="F367">
        <v>46</v>
      </c>
      <c r="G367">
        <v>100.28</v>
      </c>
    </row>
    <row r="368" spans="1:7" x14ac:dyDescent="0.3">
      <c r="A368" s="6">
        <v>41718</v>
      </c>
      <c r="B368" t="s">
        <v>52</v>
      </c>
      <c r="C368" t="s">
        <v>53</v>
      </c>
      <c r="D368" t="s">
        <v>56</v>
      </c>
      <c r="E368" t="s">
        <v>58</v>
      </c>
      <c r="F368">
        <v>57</v>
      </c>
      <c r="G368">
        <v>106.59</v>
      </c>
    </row>
    <row r="369" spans="1:7" x14ac:dyDescent="0.3">
      <c r="A369" s="6">
        <v>41718</v>
      </c>
      <c r="B369" t="s">
        <v>52</v>
      </c>
      <c r="C369" t="s">
        <v>53</v>
      </c>
      <c r="D369" t="s">
        <v>56</v>
      </c>
      <c r="E369" t="s">
        <v>59</v>
      </c>
      <c r="F369">
        <v>24</v>
      </c>
      <c r="G369">
        <v>42.48</v>
      </c>
    </row>
    <row r="370" spans="1:7" x14ac:dyDescent="0.3">
      <c r="A370" s="6">
        <v>41718</v>
      </c>
      <c r="B370" t="s">
        <v>52</v>
      </c>
      <c r="C370" t="s">
        <v>53</v>
      </c>
      <c r="D370" t="s">
        <v>56</v>
      </c>
      <c r="E370" t="s">
        <v>59</v>
      </c>
      <c r="F370">
        <v>76</v>
      </c>
      <c r="G370">
        <v>134.52000000000001</v>
      </c>
    </row>
    <row r="371" spans="1:7" x14ac:dyDescent="0.3">
      <c r="A371" s="6">
        <v>41718</v>
      </c>
      <c r="B371" t="s">
        <v>52</v>
      </c>
      <c r="C371" t="s">
        <v>53</v>
      </c>
      <c r="D371" t="s">
        <v>54</v>
      </c>
      <c r="E371" t="s">
        <v>60</v>
      </c>
      <c r="F371">
        <v>35</v>
      </c>
      <c r="G371">
        <v>65.45</v>
      </c>
    </row>
    <row r="372" spans="1:7" x14ac:dyDescent="0.3">
      <c r="A372" s="6">
        <v>41718</v>
      </c>
      <c r="B372" t="s">
        <v>52</v>
      </c>
      <c r="C372" t="s">
        <v>53</v>
      </c>
      <c r="D372" t="s">
        <v>54</v>
      </c>
      <c r="E372" t="s">
        <v>61</v>
      </c>
      <c r="F372">
        <v>98</v>
      </c>
      <c r="G372">
        <v>278.32</v>
      </c>
    </row>
    <row r="373" spans="1:7" x14ac:dyDescent="0.3">
      <c r="A373" s="6">
        <v>41718</v>
      </c>
      <c r="B373" t="s">
        <v>52</v>
      </c>
      <c r="C373" t="s">
        <v>53</v>
      </c>
      <c r="D373" t="s">
        <v>62</v>
      </c>
      <c r="E373" t="s">
        <v>63</v>
      </c>
      <c r="F373">
        <v>50</v>
      </c>
      <c r="G373">
        <v>84</v>
      </c>
    </row>
    <row r="374" spans="1:7" x14ac:dyDescent="0.3">
      <c r="A374" s="6">
        <v>41718</v>
      </c>
      <c r="B374" t="s">
        <v>52</v>
      </c>
      <c r="C374" t="s">
        <v>53</v>
      </c>
      <c r="D374" t="s">
        <v>69</v>
      </c>
      <c r="E374" t="s">
        <v>70</v>
      </c>
      <c r="F374">
        <v>40</v>
      </c>
      <c r="G374">
        <v>139.6</v>
      </c>
    </row>
    <row r="375" spans="1:7" x14ac:dyDescent="0.3">
      <c r="A375" s="6">
        <v>41718</v>
      </c>
      <c r="B375" t="s">
        <v>52</v>
      </c>
      <c r="C375" t="s">
        <v>53</v>
      </c>
      <c r="D375" t="s">
        <v>69</v>
      </c>
      <c r="E375" t="s">
        <v>70</v>
      </c>
      <c r="F375">
        <v>25</v>
      </c>
      <c r="G375">
        <v>87.25</v>
      </c>
    </row>
    <row r="376" spans="1:7" x14ac:dyDescent="0.3">
      <c r="A376" s="6">
        <v>41718</v>
      </c>
      <c r="B376" t="s">
        <v>52</v>
      </c>
      <c r="C376" t="s">
        <v>64</v>
      </c>
      <c r="D376" t="s">
        <v>56</v>
      </c>
      <c r="E376" t="s">
        <v>59</v>
      </c>
      <c r="F376">
        <v>31</v>
      </c>
      <c r="G376">
        <v>54.87</v>
      </c>
    </row>
    <row r="377" spans="1:7" x14ac:dyDescent="0.3">
      <c r="A377" s="6">
        <v>41718</v>
      </c>
      <c r="B377" t="s">
        <v>52</v>
      </c>
      <c r="C377" t="s">
        <v>64</v>
      </c>
      <c r="D377" t="s">
        <v>54</v>
      </c>
      <c r="E377" t="s">
        <v>61</v>
      </c>
      <c r="F377">
        <v>39</v>
      </c>
      <c r="G377">
        <v>110.76</v>
      </c>
    </row>
    <row r="378" spans="1:7" x14ac:dyDescent="0.3">
      <c r="A378" s="6">
        <v>41718</v>
      </c>
      <c r="B378" t="s">
        <v>52</v>
      </c>
      <c r="C378" t="s">
        <v>64</v>
      </c>
      <c r="D378" t="s">
        <v>69</v>
      </c>
      <c r="E378" t="s">
        <v>70</v>
      </c>
      <c r="F378">
        <v>93</v>
      </c>
      <c r="G378">
        <v>324.57</v>
      </c>
    </row>
    <row r="379" spans="1:7" x14ac:dyDescent="0.3">
      <c r="A379" s="6">
        <v>41718</v>
      </c>
      <c r="B379" t="s">
        <v>65</v>
      </c>
      <c r="C379" t="s">
        <v>66</v>
      </c>
      <c r="D379" t="s">
        <v>54</v>
      </c>
      <c r="E379" t="s">
        <v>55</v>
      </c>
      <c r="F379">
        <v>40</v>
      </c>
      <c r="G379">
        <v>87.2</v>
      </c>
    </row>
    <row r="380" spans="1:7" x14ac:dyDescent="0.3">
      <c r="A380" s="6">
        <v>41718</v>
      </c>
      <c r="B380" t="s">
        <v>65</v>
      </c>
      <c r="C380" t="s">
        <v>66</v>
      </c>
      <c r="D380" t="s">
        <v>56</v>
      </c>
      <c r="E380" t="s">
        <v>58</v>
      </c>
      <c r="F380">
        <v>21</v>
      </c>
      <c r="G380">
        <v>39.270000000000003</v>
      </c>
    </row>
    <row r="381" spans="1:7" x14ac:dyDescent="0.3">
      <c r="A381" s="6">
        <v>41718</v>
      </c>
      <c r="B381" t="s">
        <v>65</v>
      </c>
      <c r="C381" t="s">
        <v>66</v>
      </c>
      <c r="D381" t="s">
        <v>56</v>
      </c>
      <c r="E381" t="s">
        <v>59</v>
      </c>
      <c r="F381">
        <v>20</v>
      </c>
      <c r="G381">
        <v>35.4</v>
      </c>
    </row>
    <row r="382" spans="1:7" x14ac:dyDescent="0.3">
      <c r="A382" s="6">
        <v>41718</v>
      </c>
      <c r="B382" t="s">
        <v>65</v>
      </c>
      <c r="C382" t="s">
        <v>66</v>
      </c>
      <c r="D382" t="s">
        <v>56</v>
      </c>
      <c r="E382" t="s">
        <v>59</v>
      </c>
      <c r="F382">
        <v>89</v>
      </c>
      <c r="G382">
        <v>157.53</v>
      </c>
    </row>
    <row r="383" spans="1:7" x14ac:dyDescent="0.3">
      <c r="A383" s="6">
        <v>41718</v>
      </c>
      <c r="B383" t="s">
        <v>65</v>
      </c>
      <c r="C383" t="s">
        <v>66</v>
      </c>
      <c r="D383" t="s">
        <v>54</v>
      </c>
      <c r="E383" t="s">
        <v>60</v>
      </c>
      <c r="F383">
        <v>57</v>
      </c>
      <c r="G383">
        <v>106.59</v>
      </c>
    </row>
    <row r="384" spans="1:7" x14ac:dyDescent="0.3">
      <c r="A384" s="6">
        <v>41718</v>
      </c>
      <c r="B384" t="s">
        <v>52</v>
      </c>
      <c r="C384" t="s">
        <v>67</v>
      </c>
      <c r="D384" t="s">
        <v>54</v>
      </c>
      <c r="E384" t="s">
        <v>55</v>
      </c>
      <c r="F384">
        <v>44</v>
      </c>
      <c r="G384">
        <v>95.92</v>
      </c>
    </row>
    <row r="385" spans="1:7" x14ac:dyDescent="0.3">
      <c r="A385" s="6">
        <v>41718</v>
      </c>
      <c r="B385" t="s">
        <v>52</v>
      </c>
      <c r="C385" t="s">
        <v>67</v>
      </c>
      <c r="D385" t="s">
        <v>56</v>
      </c>
      <c r="E385" t="s">
        <v>58</v>
      </c>
      <c r="F385">
        <v>27</v>
      </c>
      <c r="G385">
        <v>50.49</v>
      </c>
    </row>
    <row r="386" spans="1:7" x14ac:dyDescent="0.3">
      <c r="A386" s="6">
        <v>41718</v>
      </c>
      <c r="B386" t="s">
        <v>52</v>
      </c>
      <c r="C386" t="s">
        <v>67</v>
      </c>
      <c r="D386" t="s">
        <v>56</v>
      </c>
      <c r="E386" t="s">
        <v>59</v>
      </c>
      <c r="F386">
        <v>37</v>
      </c>
      <c r="G386">
        <v>65.489999999999995</v>
      </c>
    </row>
    <row r="387" spans="1:7" x14ac:dyDescent="0.3">
      <c r="A387" s="6">
        <v>41718</v>
      </c>
      <c r="B387" t="s">
        <v>52</v>
      </c>
      <c r="C387" t="s">
        <v>67</v>
      </c>
      <c r="D387" t="s">
        <v>56</v>
      </c>
      <c r="E387" t="s">
        <v>59</v>
      </c>
      <c r="F387">
        <v>73</v>
      </c>
      <c r="G387">
        <v>129.21</v>
      </c>
    </row>
    <row r="388" spans="1:7" x14ac:dyDescent="0.3">
      <c r="A388" s="6">
        <v>41718</v>
      </c>
      <c r="B388" t="s">
        <v>52</v>
      </c>
      <c r="C388" t="s">
        <v>67</v>
      </c>
      <c r="D388" t="s">
        <v>54</v>
      </c>
      <c r="E388" t="s">
        <v>61</v>
      </c>
      <c r="F388">
        <v>64</v>
      </c>
      <c r="G388">
        <v>181.76</v>
      </c>
    </row>
    <row r="389" spans="1:7" x14ac:dyDescent="0.3">
      <c r="A389" s="6">
        <v>41718</v>
      </c>
      <c r="B389" t="s">
        <v>52</v>
      </c>
      <c r="C389" t="s">
        <v>67</v>
      </c>
      <c r="D389" t="s">
        <v>62</v>
      </c>
      <c r="E389" t="s">
        <v>63</v>
      </c>
      <c r="F389">
        <v>25</v>
      </c>
      <c r="G389">
        <v>42</v>
      </c>
    </row>
    <row r="390" spans="1:7" x14ac:dyDescent="0.3">
      <c r="A390" s="6">
        <v>41718</v>
      </c>
      <c r="B390" t="s">
        <v>52</v>
      </c>
      <c r="C390" t="s">
        <v>67</v>
      </c>
      <c r="D390" t="s">
        <v>69</v>
      </c>
      <c r="E390" t="s">
        <v>70</v>
      </c>
      <c r="F390">
        <v>34</v>
      </c>
      <c r="G390">
        <v>118.66</v>
      </c>
    </row>
    <row r="391" spans="1:7" x14ac:dyDescent="0.3">
      <c r="A391" s="6">
        <v>41718</v>
      </c>
      <c r="B391" t="s">
        <v>52</v>
      </c>
      <c r="C391" t="s">
        <v>64</v>
      </c>
      <c r="D391" t="s">
        <v>54</v>
      </c>
      <c r="E391" t="s">
        <v>55</v>
      </c>
      <c r="F391">
        <v>45</v>
      </c>
      <c r="G391">
        <v>98.1</v>
      </c>
    </row>
    <row r="392" spans="1:7" x14ac:dyDescent="0.3">
      <c r="A392" s="6">
        <v>41718</v>
      </c>
      <c r="B392" t="s">
        <v>52</v>
      </c>
      <c r="C392" t="s">
        <v>64</v>
      </c>
      <c r="D392" t="s">
        <v>56</v>
      </c>
      <c r="E392" t="s">
        <v>58</v>
      </c>
      <c r="F392">
        <v>39</v>
      </c>
      <c r="G392">
        <v>72.930000000000007</v>
      </c>
    </row>
    <row r="393" spans="1:7" x14ac:dyDescent="0.3">
      <c r="A393" s="6">
        <v>41718</v>
      </c>
      <c r="B393" t="s">
        <v>52</v>
      </c>
      <c r="C393" t="s">
        <v>64</v>
      </c>
      <c r="D393" t="s">
        <v>56</v>
      </c>
      <c r="E393" t="s">
        <v>59</v>
      </c>
      <c r="F393">
        <v>40</v>
      </c>
      <c r="G393">
        <v>70.8</v>
      </c>
    </row>
    <row r="394" spans="1:7" x14ac:dyDescent="0.3">
      <c r="A394" s="6">
        <v>41718</v>
      </c>
      <c r="B394" t="s">
        <v>52</v>
      </c>
      <c r="C394" t="s">
        <v>64</v>
      </c>
      <c r="D394" t="s">
        <v>56</v>
      </c>
      <c r="E394" t="s">
        <v>59</v>
      </c>
      <c r="F394">
        <v>90</v>
      </c>
      <c r="G394">
        <v>159.30000000000001</v>
      </c>
    </row>
    <row r="395" spans="1:7" x14ac:dyDescent="0.3">
      <c r="A395" s="6">
        <v>41718</v>
      </c>
      <c r="B395" t="s">
        <v>52</v>
      </c>
      <c r="C395" t="s">
        <v>64</v>
      </c>
      <c r="D395" t="s">
        <v>54</v>
      </c>
      <c r="E395" t="s">
        <v>60</v>
      </c>
      <c r="F395">
        <v>25</v>
      </c>
      <c r="G395">
        <v>46.75</v>
      </c>
    </row>
    <row r="396" spans="1:7" x14ac:dyDescent="0.3">
      <c r="A396" s="6">
        <v>41718</v>
      </c>
      <c r="B396" t="s">
        <v>52</v>
      </c>
      <c r="C396" t="s">
        <v>64</v>
      </c>
      <c r="D396" t="s">
        <v>54</v>
      </c>
      <c r="E396" t="s">
        <v>61</v>
      </c>
      <c r="F396">
        <v>36</v>
      </c>
      <c r="G396">
        <v>102.24</v>
      </c>
    </row>
    <row r="397" spans="1:7" x14ac:dyDescent="0.3">
      <c r="A397" s="6">
        <v>41718</v>
      </c>
      <c r="B397" t="s">
        <v>52</v>
      </c>
      <c r="C397" t="s">
        <v>64</v>
      </c>
      <c r="D397" t="s">
        <v>69</v>
      </c>
      <c r="E397" t="s">
        <v>70</v>
      </c>
      <c r="F397">
        <v>28</v>
      </c>
      <c r="G397">
        <v>97.72</v>
      </c>
    </row>
    <row r="398" spans="1:7" x14ac:dyDescent="0.3">
      <c r="A398" s="6">
        <v>41718</v>
      </c>
      <c r="B398" t="s">
        <v>65</v>
      </c>
      <c r="C398" t="s">
        <v>68</v>
      </c>
      <c r="D398" t="s">
        <v>54</v>
      </c>
      <c r="E398" t="s">
        <v>55</v>
      </c>
      <c r="F398">
        <v>20</v>
      </c>
      <c r="G398">
        <v>43.6</v>
      </c>
    </row>
    <row r="399" spans="1:7" x14ac:dyDescent="0.3">
      <c r="A399" s="6">
        <v>41718</v>
      </c>
      <c r="B399" t="s">
        <v>65</v>
      </c>
      <c r="C399" t="s">
        <v>68</v>
      </c>
      <c r="D399" t="s">
        <v>56</v>
      </c>
      <c r="E399" t="s">
        <v>59</v>
      </c>
      <c r="F399">
        <v>24</v>
      </c>
      <c r="G399">
        <v>42.48</v>
      </c>
    </row>
    <row r="400" spans="1:7" x14ac:dyDescent="0.3">
      <c r="A400" s="6">
        <v>41718</v>
      </c>
      <c r="B400" t="s">
        <v>65</v>
      </c>
      <c r="C400" t="s">
        <v>68</v>
      </c>
      <c r="D400" t="s">
        <v>56</v>
      </c>
      <c r="E400" t="s">
        <v>59</v>
      </c>
      <c r="F400">
        <v>34</v>
      </c>
      <c r="G400">
        <v>60.18</v>
      </c>
    </row>
    <row r="401" spans="1:7" x14ac:dyDescent="0.3">
      <c r="A401" s="6">
        <v>41718</v>
      </c>
      <c r="B401" t="s">
        <v>65</v>
      </c>
      <c r="C401" t="s">
        <v>68</v>
      </c>
      <c r="D401" t="s">
        <v>54</v>
      </c>
      <c r="E401" t="s">
        <v>61</v>
      </c>
      <c r="F401">
        <v>27</v>
      </c>
      <c r="G401">
        <v>76.680000000000007</v>
      </c>
    </row>
    <row r="402" spans="1:7" x14ac:dyDescent="0.3">
      <c r="A402" s="6">
        <v>41725</v>
      </c>
      <c r="B402" t="s">
        <v>52</v>
      </c>
      <c r="C402" t="s">
        <v>53</v>
      </c>
      <c r="D402" t="s">
        <v>54</v>
      </c>
      <c r="E402" t="s">
        <v>55</v>
      </c>
      <c r="F402">
        <v>64</v>
      </c>
      <c r="G402">
        <v>139.52000000000001</v>
      </c>
    </row>
    <row r="403" spans="1:7" x14ac:dyDescent="0.3">
      <c r="A403" s="6">
        <v>41725</v>
      </c>
      <c r="B403" t="s">
        <v>52</v>
      </c>
      <c r="C403" t="s">
        <v>53</v>
      </c>
      <c r="D403" t="s">
        <v>56</v>
      </c>
      <c r="E403" t="s">
        <v>58</v>
      </c>
      <c r="F403">
        <v>56</v>
      </c>
      <c r="G403">
        <v>104.72</v>
      </c>
    </row>
    <row r="404" spans="1:7" x14ac:dyDescent="0.3">
      <c r="A404" s="6">
        <v>41725</v>
      </c>
      <c r="B404" t="s">
        <v>52</v>
      </c>
      <c r="C404" t="s">
        <v>53</v>
      </c>
      <c r="D404" t="s">
        <v>56</v>
      </c>
      <c r="E404" t="s">
        <v>59</v>
      </c>
      <c r="F404">
        <v>24</v>
      </c>
      <c r="G404">
        <v>42.48</v>
      </c>
    </row>
    <row r="405" spans="1:7" x14ac:dyDescent="0.3">
      <c r="A405" s="6">
        <v>41725</v>
      </c>
      <c r="B405" t="s">
        <v>52</v>
      </c>
      <c r="C405" t="s">
        <v>53</v>
      </c>
      <c r="D405" t="s">
        <v>56</v>
      </c>
      <c r="E405" t="s">
        <v>59</v>
      </c>
      <c r="F405">
        <v>49</v>
      </c>
      <c r="G405">
        <v>86.73</v>
      </c>
    </row>
    <row r="406" spans="1:7" x14ac:dyDescent="0.3">
      <c r="A406" s="6">
        <v>41725</v>
      </c>
      <c r="B406" t="s">
        <v>52</v>
      </c>
      <c r="C406" t="s">
        <v>53</v>
      </c>
      <c r="D406" t="s">
        <v>54</v>
      </c>
      <c r="E406" t="s">
        <v>60</v>
      </c>
      <c r="F406">
        <v>29</v>
      </c>
      <c r="G406">
        <v>54.23</v>
      </c>
    </row>
    <row r="407" spans="1:7" x14ac:dyDescent="0.3">
      <c r="A407" s="6">
        <v>41725</v>
      </c>
      <c r="B407" t="s">
        <v>52</v>
      </c>
      <c r="C407" t="s">
        <v>53</v>
      </c>
      <c r="D407" t="s">
        <v>54</v>
      </c>
      <c r="E407" t="s">
        <v>61</v>
      </c>
      <c r="F407">
        <v>89</v>
      </c>
      <c r="G407">
        <v>252.76</v>
      </c>
    </row>
    <row r="408" spans="1:7" x14ac:dyDescent="0.3">
      <c r="A408" s="6">
        <v>41725</v>
      </c>
      <c r="B408" t="s">
        <v>52</v>
      </c>
      <c r="C408" t="s">
        <v>53</v>
      </c>
      <c r="D408" t="s">
        <v>62</v>
      </c>
      <c r="E408" t="s">
        <v>63</v>
      </c>
      <c r="F408">
        <v>46</v>
      </c>
      <c r="G408">
        <v>77.28</v>
      </c>
    </row>
    <row r="409" spans="1:7" x14ac:dyDescent="0.3">
      <c r="A409" s="6">
        <v>41725</v>
      </c>
      <c r="B409" t="s">
        <v>52</v>
      </c>
      <c r="C409" t="s">
        <v>53</v>
      </c>
      <c r="D409" t="s">
        <v>69</v>
      </c>
      <c r="E409" t="s">
        <v>70</v>
      </c>
      <c r="F409">
        <v>36</v>
      </c>
      <c r="G409">
        <v>125.64</v>
      </c>
    </row>
    <row r="410" spans="1:7" x14ac:dyDescent="0.3">
      <c r="A410" s="6">
        <v>41725</v>
      </c>
      <c r="B410" t="s">
        <v>52</v>
      </c>
      <c r="C410" t="s">
        <v>53</v>
      </c>
      <c r="D410" t="s">
        <v>69</v>
      </c>
      <c r="E410" t="s">
        <v>70</v>
      </c>
      <c r="F410">
        <v>31</v>
      </c>
      <c r="G410">
        <v>108.19</v>
      </c>
    </row>
    <row r="411" spans="1:7" x14ac:dyDescent="0.3">
      <c r="A411" s="6">
        <v>41725</v>
      </c>
      <c r="B411" t="s">
        <v>52</v>
      </c>
      <c r="C411" t="s">
        <v>64</v>
      </c>
      <c r="D411" t="s">
        <v>56</v>
      </c>
      <c r="E411" t="s">
        <v>59</v>
      </c>
      <c r="F411">
        <v>49</v>
      </c>
      <c r="G411">
        <v>86.73</v>
      </c>
    </row>
    <row r="412" spans="1:7" x14ac:dyDescent="0.3">
      <c r="A412" s="6">
        <v>41725</v>
      </c>
      <c r="B412" t="s">
        <v>52</v>
      </c>
      <c r="C412" t="s">
        <v>64</v>
      </c>
      <c r="D412" t="s">
        <v>54</v>
      </c>
      <c r="E412" t="s">
        <v>61</v>
      </c>
      <c r="F412">
        <v>33</v>
      </c>
      <c r="G412">
        <v>93.72</v>
      </c>
    </row>
    <row r="413" spans="1:7" x14ac:dyDescent="0.3">
      <c r="A413" s="6">
        <v>41725</v>
      </c>
      <c r="B413" t="s">
        <v>52</v>
      </c>
      <c r="C413" t="s">
        <v>64</v>
      </c>
      <c r="D413" t="s">
        <v>69</v>
      </c>
      <c r="E413" t="s">
        <v>70</v>
      </c>
      <c r="F413">
        <v>83</v>
      </c>
      <c r="G413">
        <v>289.67</v>
      </c>
    </row>
    <row r="414" spans="1:7" x14ac:dyDescent="0.3">
      <c r="A414" s="6">
        <v>41725</v>
      </c>
      <c r="B414" t="s">
        <v>65</v>
      </c>
      <c r="C414" t="s">
        <v>66</v>
      </c>
      <c r="D414" t="s">
        <v>54</v>
      </c>
      <c r="E414" t="s">
        <v>55</v>
      </c>
      <c r="F414">
        <v>40</v>
      </c>
      <c r="G414">
        <v>87.2</v>
      </c>
    </row>
    <row r="415" spans="1:7" x14ac:dyDescent="0.3">
      <c r="A415" s="6">
        <v>41725</v>
      </c>
      <c r="B415" t="s">
        <v>65</v>
      </c>
      <c r="C415" t="s">
        <v>66</v>
      </c>
      <c r="D415" t="s">
        <v>56</v>
      </c>
      <c r="E415" t="s">
        <v>58</v>
      </c>
      <c r="F415">
        <v>27</v>
      </c>
      <c r="G415">
        <v>50.49</v>
      </c>
    </row>
    <row r="416" spans="1:7" x14ac:dyDescent="0.3">
      <c r="A416" s="6">
        <v>41725</v>
      </c>
      <c r="B416" t="s">
        <v>65</v>
      </c>
      <c r="C416" t="s">
        <v>66</v>
      </c>
      <c r="D416" t="s">
        <v>56</v>
      </c>
      <c r="E416" t="s">
        <v>59</v>
      </c>
      <c r="F416">
        <v>27</v>
      </c>
      <c r="G416">
        <v>47.79</v>
      </c>
    </row>
    <row r="417" spans="1:7" x14ac:dyDescent="0.3">
      <c r="A417" s="6">
        <v>41725</v>
      </c>
      <c r="B417" t="s">
        <v>65</v>
      </c>
      <c r="C417" t="s">
        <v>66</v>
      </c>
      <c r="D417" t="s">
        <v>54</v>
      </c>
      <c r="E417" t="s">
        <v>60</v>
      </c>
      <c r="F417">
        <v>80</v>
      </c>
      <c r="G417">
        <v>149.6</v>
      </c>
    </row>
    <row r="418" spans="1:7" x14ac:dyDescent="0.3">
      <c r="A418" s="6">
        <v>41725</v>
      </c>
      <c r="B418" t="s">
        <v>65</v>
      </c>
      <c r="C418" t="s">
        <v>66</v>
      </c>
      <c r="D418" t="s">
        <v>62</v>
      </c>
      <c r="E418" t="s">
        <v>63</v>
      </c>
      <c r="F418">
        <v>23</v>
      </c>
      <c r="G418">
        <v>38.64</v>
      </c>
    </row>
    <row r="419" spans="1:7" x14ac:dyDescent="0.3">
      <c r="A419" s="6">
        <v>41725</v>
      </c>
      <c r="B419" t="s">
        <v>52</v>
      </c>
      <c r="C419" t="s">
        <v>67</v>
      </c>
      <c r="D419" t="s">
        <v>54</v>
      </c>
      <c r="E419" t="s">
        <v>55</v>
      </c>
      <c r="F419">
        <v>51</v>
      </c>
      <c r="G419">
        <v>111.18</v>
      </c>
    </row>
    <row r="420" spans="1:7" x14ac:dyDescent="0.3">
      <c r="A420" s="6">
        <v>41725</v>
      </c>
      <c r="B420" t="s">
        <v>52</v>
      </c>
      <c r="C420" t="s">
        <v>67</v>
      </c>
      <c r="D420" t="s">
        <v>56</v>
      </c>
      <c r="E420" t="s">
        <v>58</v>
      </c>
      <c r="F420">
        <v>28</v>
      </c>
      <c r="G420">
        <v>52.36</v>
      </c>
    </row>
    <row r="421" spans="1:7" x14ac:dyDescent="0.3">
      <c r="A421" s="6">
        <v>41725</v>
      </c>
      <c r="B421" t="s">
        <v>52</v>
      </c>
      <c r="C421" t="s">
        <v>67</v>
      </c>
      <c r="D421" t="s">
        <v>56</v>
      </c>
      <c r="E421" t="s">
        <v>58</v>
      </c>
      <c r="F421">
        <v>20</v>
      </c>
      <c r="G421">
        <v>37.4</v>
      </c>
    </row>
    <row r="422" spans="1:7" x14ac:dyDescent="0.3">
      <c r="A422" s="6">
        <v>41725</v>
      </c>
      <c r="B422" t="s">
        <v>52</v>
      </c>
      <c r="C422" t="s">
        <v>67</v>
      </c>
      <c r="D422" t="s">
        <v>56</v>
      </c>
      <c r="E422" t="s">
        <v>59</v>
      </c>
      <c r="F422">
        <v>55</v>
      </c>
      <c r="G422">
        <v>97.35</v>
      </c>
    </row>
    <row r="423" spans="1:7" x14ac:dyDescent="0.3">
      <c r="A423" s="6">
        <v>41725</v>
      </c>
      <c r="B423" t="s">
        <v>52</v>
      </c>
      <c r="C423" t="s">
        <v>67</v>
      </c>
      <c r="D423" t="s">
        <v>56</v>
      </c>
      <c r="E423" t="s">
        <v>59</v>
      </c>
      <c r="F423">
        <v>79</v>
      </c>
      <c r="G423">
        <v>139.83000000000001</v>
      </c>
    </row>
    <row r="424" spans="1:7" x14ac:dyDescent="0.3">
      <c r="A424" s="6">
        <v>41725</v>
      </c>
      <c r="B424" t="s">
        <v>52</v>
      </c>
      <c r="C424" t="s">
        <v>67</v>
      </c>
      <c r="D424" t="s">
        <v>54</v>
      </c>
      <c r="E424" t="s">
        <v>60</v>
      </c>
      <c r="F424">
        <v>29</v>
      </c>
      <c r="G424">
        <v>54.23</v>
      </c>
    </row>
    <row r="425" spans="1:7" x14ac:dyDescent="0.3">
      <c r="A425" s="6">
        <v>41725</v>
      </c>
      <c r="B425" t="s">
        <v>52</v>
      </c>
      <c r="C425" t="s">
        <v>67</v>
      </c>
      <c r="D425" t="s">
        <v>54</v>
      </c>
      <c r="E425" t="s">
        <v>61</v>
      </c>
      <c r="F425">
        <v>70</v>
      </c>
      <c r="G425">
        <v>198.8</v>
      </c>
    </row>
    <row r="426" spans="1:7" x14ac:dyDescent="0.3">
      <c r="A426" s="6">
        <v>41725</v>
      </c>
      <c r="B426" t="s">
        <v>52</v>
      </c>
      <c r="C426" t="s">
        <v>67</v>
      </c>
      <c r="D426" t="s">
        <v>62</v>
      </c>
      <c r="E426" t="s">
        <v>63</v>
      </c>
      <c r="F426">
        <v>22</v>
      </c>
      <c r="G426">
        <v>36.96</v>
      </c>
    </row>
    <row r="427" spans="1:7" x14ac:dyDescent="0.3">
      <c r="A427" s="6">
        <v>41725</v>
      </c>
      <c r="B427" t="s">
        <v>52</v>
      </c>
      <c r="C427" t="s">
        <v>67</v>
      </c>
      <c r="D427" t="s">
        <v>69</v>
      </c>
      <c r="E427" t="s">
        <v>70</v>
      </c>
      <c r="F427">
        <v>23</v>
      </c>
      <c r="G427">
        <v>80.27</v>
      </c>
    </row>
    <row r="428" spans="1:7" x14ac:dyDescent="0.3">
      <c r="A428" s="6">
        <v>41725</v>
      </c>
      <c r="B428" t="s">
        <v>52</v>
      </c>
      <c r="C428" t="s">
        <v>64</v>
      </c>
      <c r="D428" t="s">
        <v>54</v>
      </c>
      <c r="E428" t="s">
        <v>55</v>
      </c>
      <c r="F428">
        <v>40</v>
      </c>
      <c r="G428">
        <v>87.2</v>
      </c>
    </row>
    <row r="429" spans="1:7" x14ac:dyDescent="0.3">
      <c r="A429" s="6">
        <v>41725</v>
      </c>
      <c r="B429" t="s">
        <v>52</v>
      </c>
      <c r="C429" t="s">
        <v>64</v>
      </c>
      <c r="D429" t="s">
        <v>56</v>
      </c>
      <c r="E429" t="s">
        <v>58</v>
      </c>
      <c r="F429">
        <v>32</v>
      </c>
      <c r="G429">
        <v>59.84</v>
      </c>
    </row>
    <row r="430" spans="1:7" x14ac:dyDescent="0.3">
      <c r="A430" s="6">
        <v>41725</v>
      </c>
      <c r="B430" t="s">
        <v>52</v>
      </c>
      <c r="C430" t="s">
        <v>64</v>
      </c>
      <c r="D430" t="s">
        <v>56</v>
      </c>
      <c r="E430" t="s">
        <v>59</v>
      </c>
      <c r="F430">
        <v>45</v>
      </c>
      <c r="G430">
        <v>79.650000000000006</v>
      </c>
    </row>
    <row r="431" spans="1:7" x14ac:dyDescent="0.3">
      <c r="A431" s="6">
        <v>41725</v>
      </c>
      <c r="B431" t="s">
        <v>52</v>
      </c>
      <c r="C431" t="s">
        <v>64</v>
      </c>
      <c r="D431" t="s">
        <v>54</v>
      </c>
      <c r="E431" t="s">
        <v>60</v>
      </c>
      <c r="F431">
        <v>22</v>
      </c>
      <c r="G431">
        <v>41.14</v>
      </c>
    </row>
    <row r="432" spans="1:7" x14ac:dyDescent="0.3">
      <c r="A432" s="6">
        <v>41725</v>
      </c>
      <c r="B432" t="s">
        <v>52</v>
      </c>
      <c r="C432" t="s">
        <v>64</v>
      </c>
      <c r="D432" t="s">
        <v>54</v>
      </c>
      <c r="E432" t="s">
        <v>61</v>
      </c>
      <c r="F432">
        <v>41</v>
      </c>
      <c r="G432">
        <v>116.44</v>
      </c>
    </row>
    <row r="433" spans="1:7" x14ac:dyDescent="0.3">
      <c r="A433" s="6">
        <v>41725</v>
      </c>
      <c r="B433" t="s">
        <v>52</v>
      </c>
      <c r="C433" t="s">
        <v>64</v>
      </c>
      <c r="D433" t="s">
        <v>69</v>
      </c>
      <c r="E433" t="s">
        <v>70</v>
      </c>
      <c r="F433">
        <v>24</v>
      </c>
      <c r="G433">
        <v>83.76</v>
      </c>
    </row>
    <row r="434" spans="1:7" x14ac:dyDescent="0.3">
      <c r="A434" s="6">
        <v>41725</v>
      </c>
      <c r="B434" t="s">
        <v>65</v>
      </c>
      <c r="C434" t="s">
        <v>68</v>
      </c>
      <c r="D434" t="s">
        <v>56</v>
      </c>
      <c r="E434" t="s">
        <v>57</v>
      </c>
      <c r="F434">
        <v>21</v>
      </c>
      <c r="G434">
        <v>47.67</v>
      </c>
    </row>
    <row r="435" spans="1:7" x14ac:dyDescent="0.3">
      <c r="A435" s="6">
        <v>41725</v>
      </c>
      <c r="B435" t="s">
        <v>65</v>
      </c>
      <c r="C435" t="s">
        <v>68</v>
      </c>
      <c r="D435" t="s">
        <v>56</v>
      </c>
      <c r="E435" t="s">
        <v>58</v>
      </c>
      <c r="F435">
        <v>28</v>
      </c>
      <c r="G435">
        <v>52.36</v>
      </c>
    </row>
    <row r="436" spans="1:7" x14ac:dyDescent="0.3">
      <c r="A436" s="6">
        <v>41725</v>
      </c>
      <c r="B436" t="s">
        <v>65</v>
      </c>
      <c r="C436" t="s">
        <v>68</v>
      </c>
      <c r="D436" t="s">
        <v>56</v>
      </c>
      <c r="E436" t="s">
        <v>59</v>
      </c>
      <c r="F436">
        <v>35</v>
      </c>
      <c r="G436">
        <v>61.95</v>
      </c>
    </row>
    <row r="437" spans="1:7" x14ac:dyDescent="0.3">
      <c r="A437" s="6">
        <v>41725</v>
      </c>
      <c r="B437" t="s">
        <v>65</v>
      </c>
      <c r="C437" t="s">
        <v>68</v>
      </c>
      <c r="D437" t="s">
        <v>56</v>
      </c>
      <c r="E437" t="s">
        <v>59</v>
      </c>
      <c r="F437">
        <v>25</v>
      </c>
      <c r="G437">
        <v>44.25</v>
      </c>
    </row>
    <row r="438" spans="1:7" x14ac:dyDescent="0.3">
      <c r="A438" s="6">
        <v>41725</v>
      </c>
      <c r="B438" t="s">
        <v>65</v>
      </c>
      <c r="C438" t="s">
        <v>68</v>
      </c>
      <c r="D438" t="s">
        <v>54</v>
      </c>
      <c r="E438" t="s">
        <v>61</v>
      </c>
      <c r="F438">
        <v>28</v>
      </c>
      <c r="G438">
        <v>79.52</v>
      </c>
    </row>
  </sheetData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2020-10-16T16:19:22Z</dcterms:created>
  <dcterms:modified xsi:type="dcterms:W3CDTF">2026-01-27T06:48:35Z</dcterms:modified>
</cp:coreProperties>
</file>