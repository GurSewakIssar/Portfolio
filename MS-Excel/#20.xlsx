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399EA0EF-C424-4CFD-B245-2329710160F4}" xr6:coauthVersionLast="47" xr6:coauthVersionMax="47" xr10:uidLastSave="{00000000-0000-0000-0000-000000000000}"/>
  <bookViews>
    <workbookView xWindow="-108" yWindow="-108" windowWidth="23256" windowHeight="12456" activeTab="1" xr2:uid="{43CCBF88-6431-4A26-9EFE-73A6DE4B938B}"/>
  </bookViews>
  <sheets>
    <sheet name="AVGIFS vs SUMPRODUCT" sheetId="2" r:id="rId1"/>
    <sheet name="TOP 5 INTERVIEW Q" sheetId="1" r:id="rId2"/>
  </sheets>
  <definedNames>
    <definedName name="_xlnm._FilterDatabase" localSheetId="1" hidden="1">'TOP 5 INTERVIEW Q'!$A$2:$D$9</definedName>
    <definedName name="Amount" localSheetId="0">'AVGIFS vs SUMPRODUCT'!$C$2:$C$393</definedName>
    <definedName name="Amount">'TOP 5 INTERVIEW Q'!$C$2:$C$393</definedName>
    <definedName name="EmpID">'TOP 5 INTERVIEW Q'!$B$3:$B$9</definedName>
    <definedName name="EmpName">'TOP 5 INTERVIEW Q'!$A$3:$A$9</definedName>
    <definedName name="Helpcol">'TOP 5 INTERVIEW Q'!$D$3:$D$9</definedName>
    <definedName name="Name" localSheetId="0">'AVGIFS vs SUMPRODUCT'!$A$2:$A$393</definedName>
    <definedName name="Name">'TOP 5 INTERVIEW Q'!$A$2:$A$393</definedName>
    <definedName name="Salary">'TOP 5 INTERVIEW Q'!$C$3:$C$9</definedName>
    <definedName name="SalesDate" localSheetId="0">'AVGIFS vs SUMPRODUCT'!$B$2:$B$393</definedName>
    <definedName name="SalesDate">'TOP 5 INTERVIEW Q'!$B$2:$B$393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 a="1"/>
  <c r="H11" i="1" s="1"/>
  <c r="H12" i="1"/>
  <c r="J18" i="2" a="1"/>
  <c r="J18" i="2" s="1"/>
  <c r="K18" i="2" a="1"/>
  <c r="K18" i="2"/>
  <c r="J19" i="2" a="1"/>
  <c r="J19" i="2"/>
  <c r="K19" i="2" a="1"/>
  <c r="K19" i="2"/>
  <c r="J20" i="2" a="1"/>
  <c r="J20" i="2" s="1"/>
  <c r="K20" i="2" a="1"/>
  <c r="K20" i="2"/>
  <c r="J21" i="2" a="1"/>
  <c r="J21" i="2"/>
  <c r="K21" i="2" a="1"/>
  <c r="K21" i="2"/>
  <c r="J22" i="2" a="1"/>
  <c r="J22" i="2" s="1"/>
  <c r="K22" i="2" a="1"/>
  <c r="K22" i="2"/>
  <c r="J23" i="2" a="1"/>
  <c r="J23" i="2" s="1"/>
  <c r="K23" i="2" a="1"/>
  <c r="K23" i="2" s="1"/>
  <c r="J24" i="2" a="1"/>
  <c r="J24" i="2"/>
  <c r="K24" i="2" a="1"/>
  <c r="K24" i="2" s="1"/>
  <c r="J25" i="2" a="1"/>
  <c r="J25" i="2" s="1"/>
  <c r="K25" i="2" a="1"/>
  <c r="K25" i="2" s="1"/>
  <c r="J26" i="2" a="1"/>
  <c r="J26" i="2" s="1"/>
  <c r="K26" i="2" a="1"/>
  <c r="K26" i="2" s="1"/>
  <c r="J27" i="2" a="1"/>
  <c r="J27" i="2" s="1"/>
  <c r="K27" i="2" a="1"/>
  <c r="K27" i="2" s="1"/>
  <c r="J28" i="2" a="1"/>
  <c r="J28" i="2" s="1"/>
  <c r="K28" i="2" a="1"/>
  <c r="K28" i="2" s="1"/>
  <c r="J29" i="2" a="1"/>
  <c r="J29" i="2" s="1"/>
  <c r="K29" i="2" a="1"/>
  <c r="K29" i="2" s="1"/>
  <c r="I27" i="2" a="1"/>
  <c r="I27" i="2"/>
  <c r="I28" i="2" a="1"/>
  <c r="I28" i="2"/>
  <c r="I29" i="2" a="1"/>
  <c r="I29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18" i="2" a="1"/>
  <c r="I18" i="2" s="1"/>
  <c r="D14" i="1" a="1"/>
  <c r="D14" i="1" s="1"/>
  <c r="C20" i="1" a="1"/>
  <c r="C20" i="1" s="1"/>
  <c r="P5" i="2" a="1"/>
  <c r="P5" i="2" s="1"/>
  <c r="P4" i="2" a="1"/>
  <c r="P4" i="2" s="1"/>
  <c r="Q4" i="2" a="1"/>
  <c r="Q4" i="2"/>
  <c r="R4" i="2" a="1"/>
  <c r="R4" i="2"/>
  <c r="Q5" i="2" a="1"/>
  <c r="Q5" i="2"/>
  <c r="R5" i="2" a="1"/>
  <c r="R5" i="2"/>
  <c r="Q6" i="2" a="1"/>
  <c r="Q6" i="2"/>
  <c r="R6" i="2" a="1"/>
  <c r="R6" i="2" s="1"/>
  <c r="Q7" i="2" a="1"/>
  <c r="Q7" i="2"/>
  <c r="R7" i="2" a="1"/>
  <c r="R7" i="2"/>
  <c r="Q8" i="2" a="1"/>
  <c r="Q8" i="2"/>
  <c r="R8" i="2" a="1"/>
  <c r="R8" i="2"/>
  <c r="Q9" i="2" a="1"/>
  <c r="Q9" i="2" s="1"/>
  <c r="R9" i="2" a="1"/>
  <c r="R9" i="2"/>
  <c r="Q10" i="2" a="1"/>
  <c r="Q10" i="2"/>
  <c r="R10" i="2" a="1"/>
  <c r="R10" i="2"/>
  <c r="Q11" i="2" a="1"/>
  <c r="Q11" i="2"/>
  <c r="R11" i="2" a="1"/>
  <c r="R11" i="2"/>
  <c r="Q12" i="2" a="1"/>
  <c r="Q12" i="2" s="1"/>
  <c r="R12" i="2" a="1"/>
  <c r="R12" i="2"/>
  <c r="Q13" i="2" a="1"/>
  <c r="Q13" i="2"/>
  <c r="R13" i="2" a="1"/>
  <c r="R13" i="2"/>
  <c r="Q14" i="2" a="1"/>
  <c r="Q14" i="2"/>
  <c r="R14" i="2" a="1"/>
  <c r="R14" i="2"/>
  <c r="Q15" i="2" a="1"/>
  <c r="Q15" i="2" s="1"/>
  <c r="R15" i="2" a="1"/>
  <c r="R15" i="2" s="1"/>
  <c r="P6" i="2" a="1"/>
  <c r="P6" i="2" s="1"/>
  <c r="P7" i="2" a="1"/>
  <c r="P7" i="2" s="1"/>
  <c r="P8" i="2" a="1"/>
  <c r="P8" i="2" s="1"/>
  <c r="P9" i="2" a="1"/>
  <c r="P9" i="2"/>
  <c r="P10" i="2" a="1"/>
  <c r="P10" i="2" s="1"/>
  <c r="P11" i="2" a="1"/>
  <c r="P11" i="2" s="1"/>
  <c r="P12" i="2" a="1"/>
  <c r="P12" i="2" s="1"/>
  <c r="P13" i="2" a="1"/>
  <c r="P13" i="2"/>
  <c r="P14" i="2" a="1"/>
  <c r="P14" i="2"/>
  <c r="P15" i="2" a="1"/>
  <c r="P15" i="2" s="1"/>
  <c r="E17" i="1" a="1"/>
  <c r="E17" i="1" s="1"/>
  <c r="M4" i="2" a="1"/>
  <c r="M4" i="2" s="1"/>
  <c r="N4" i="2" a="1"/>
  <c r="N4" i="2"/>
  <c r="M5" i="2" a="1"/>
  <c r="M5" i="2"/>
  <c r="N5" i="2" a="1"/>
  <c r="N5" i="2"/>
  <c r="M6" i="2" a="1"/>
  <c r="M6" i="2"/>
  <c r="N6" i="2" a="1"/>
  <c r="N6" i="2"/>
  <c r="M7" i="2" a="1"/>
  <c r="M7" i="2" s="1"/>
  <c r="N7" i="2" a="1"/>
  <c r="N7" i="2"/>
  <c r="M8" i="2" a="1"/>
  <c r="M8" i="2" s="1"/>
  <c r="N8" i="2" a="1"/>
  <c r="N8" i="2"/>
  <c r="M9" i="2" a="1"/>
  <c r="M9" i="2" s="1"/>
  <c r="N9" i="2" a="1"/>
  <c r="N9" i="2" s="1"/>
  <c r="M10" i="2" a="1"/>
  <c r="M10" i="2" s="1"/>
  <c r="N10" i="2" a="1"/>
  <c r="N10" i="2" s="1"/>
  <c r="M11" i="2" a="1"/>
  <c r="M11" i="2"/>
  <c r="N11" i="2" a="1"/>
  <c r="N11" i="2" s="1"/>
  <c r="M12" i="2" a="1"/>
  <c r="M12" i="2" s="1"/>
  <c r="N12" i="2" a="1"/>
  <c r="N12" i="2" s="1"/>
  <c r="M13" i="2" a="1"/>
  <c r="M13" i="2" s="1"/>
  <c r="N13" i="2" a="1"/>
  <c r="N13" i="2" s="1"/>
  <c r="M14" i="2" a="1"/>
  <c r="M14" i="2" s="1"/>
  <c r="N14" i="2" a="1"/>
  <c r="N14" i="2" s="1"/>
  <c r="M15" i="2" a="1"/>
  <c r="M15" i="2" s="1"/>
  <c r="N15" i="2" a="1"/>
  <c r="N15" i="2" s="1"/>
  <c r="L5" i="2" a="1"/>
  <c r="L5" i="2"/>
  <c r="L6" i="2" a="1"/>
  <c r="L6" i="2"/>
  <c r="L7" i="2" a="1"/>
  <c r="L7" i="2"/>
  <c r="L8" i="2" a="1"/>
  <c r="L8" i="2" s="1"/>
  <c r="L9" i="2" a="1"/>
  <c r="L9" i="2" s="1"/>
  <c r="L10" i="2" a="1"/>
  <c r="L10" i="2" s="1"/>
  <c r="L11" i="2" a="1"/>
  <c r="L11" i="2" s="1"/>
  <c r="L12" i="2" a="1"/>
  <c r="L12" i="2"/>
  <c r="L13" i="2" a="1"/>
  <c r="L13" i="2"/>
  <c r="L14" i="2" a="1"/>
  <c r="L14" i="2" s="1"/>
  <c r="L15" i="2" a="1"/>
  <c r="L15" i="2" s="1"/>
  <c r="L4" i="2" a="1"/>
  <c r="L4" i="2"/>
  <c r="I4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H15" i="1" a="1"/>
  <c r="H16" i="1" a="1"/>
  <c r="H14" i="1" a="1"/>
  <c r="F15" i="1" a="1"/>
  <c r="F16" i="1" a="1"/>
  <c r="F14" i="1" a="1"/>
  <c r="H16" i="1" l="1"/>
  <c r="H15" i="1"/>
  <c r="H14" i="1"/>
  <c r="F14" i="1"/>
  <c r="F16" i="1"/>
  <c r="F15" i="1"/>
  <c r="C13" i="1"/>
  <c r="B13" i="1" a="1"/>
  <c r="B13" i="1" s="1"/>
  <c r="C12" i="1"/>
  <c r="B12" i="1" a="1"/>
  <c r="B12" i="1" s="1"/>
  <c r="C11" i="1"/>
  <c r="B11" i="1" a="1"/>
  <c r="B11" i="1" s="1"/>
  <c r="D9" i="1"/>
  <c r="D8" i="1"/>
  <c r="D7" i="1"/>
  <c r="D6" i="1"/>
  <c r="D5" i="1"/>
  <c r="AY4" i="1"/>
  <c r="AX4" i="1"/>
  <c r="AW4" i="1"/>
  <c r="AV4" i="1"/>
  <c r="AU4" i="1"/>
  <c r="AT4" i="1"/>
  <c r="AS4" i="1"/>
  <c r="D4" i="1"/>
  <c r="D3" i="1"/>
  <c r="C15" i="1" l="1"/>
  <c r="C14" i="1"/>
  <c r="C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<sst xmlns="http://schemas.openxmlformats.org/spreadsheetml/2006/main" count="436" uniqueCount="38">
  <si>
    <t>EmpName</t>
  </si>
  <si>
    <t>EmpID</t>
  </si>
  <si>
    <t>Salary</t>
  </si>
  <si>
    <t>A</t>
  </si>
  <si>
    <t>B</t>
  </si>
  <si>
    <t>C</t>
  </si>
  <si>
    <t>(EmpName)*(EmpID)</t>
  </si>
  <si>
    <t>D</t>
  </si>
  <si>
    <t>Bank Account</t>
  </si>
  <si>
    <t>AND</t>
  </si>
  <si>
    <t>ID Proof</t>
  </si>
  <si>
    <t>Address Proof</t>
  </si>
  <si>
    <t>Occurance</t>
  </si>
  <si>
    <t>TOP 5 STANDARD VS SUMPRODUCT INTERVIEW QUESTION</t>
  </si>
  <si>
    <t>Name</t>
  </si>
  <si>
    <t>Salesdate</t>
  </si>
  <si>
    <t>Amount</t>
  </si>
  <si>
    <t>ABC</t>
  </si>
  <si>
    <t>PQR</t>
  </si>
  <si>
    <t>Month</t>
  </si>
  <si>
    <t>XYZ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</si>
  <si>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</si>
  <si>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</si>
  <si>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</si>
  <si>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</si>
  <si>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</si>
  <si>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</si>
  <si>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</si>
  <si>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</si>
  <si>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</si>
  <si>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</si>
  <si>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</si>
  <si>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</si>
  <si>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 Total Count of A &amp; B</t>
  </si>
  <si>
    <t>2. Total Unique Count</t>
  </si>
  <si>
    <t>3. Last Used Row</t>
  </si>
  <si>
    <t>4. All Values of 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</si>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</sst>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rebuchet MS"/>
      <family val="2"/>
    </font>
    <font>
      <b/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4" xfId="0" applyBorder="1"/>
    <xf numFmtId="0" fontId="0" fillId="2" borderId="0" xfId="0" applyFill="1"/>
    <xf numFmtId="0" fontId="0" fillId="0" borderId="0" xfId="0" quotePrefix="1"/>
    <xf numFmtId="0" fontId="3" fillId="0" borderId="0" xfId="0" applyFont="1"/>
    <xf numFmtId="0" fontId="0" fillId="0" borderId="5" xfId="0" applyBorder="1" applyAlignment="1">
      <alignment horizontal="right"/>
    </xf>
    <xf numFmtId="0" fontId="5" fillId="4" borderId="4" xfId="1" applyFill="1" applyBorder="1"/>
    <xf numFmtId="0" fontId="5" fillId="0" borderId="4" xfId="1" applyBorder="1"/>
    <xf numFmtId="0" fontId="0" fillId="5" borderId="4" xfId="0" applyFill="1" applyBorder="1"/>
    <xf numFmtId="0" fontId="5" fillId="5" borderId="4" xfId="1" applyFill="1" applyBorder="1"/>
    <xf numFmtId="0" fontId="6" fillId="4" borderId="4" xfId="1" applyFont="1" applyFill="1" applyBorder="1"/>
    <xf numFmtId="0" fontId="1" fillId="0" borderId="4" xfId="0" applyFont="1" applyBorder="1"/>
    <xf numFmtId="15" fontId="0" fillId="0" borderId="4" xfId="0" applyNumberFormat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3" xfId="1" xr:uid="{7ADBF685-70C6-4C96-9B00-8618927B7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15</xdr:row>
      <xdr:rowOff>123825</xdr:rowOff>
    </xdr:from>
    <xdr:to>
      <xdr:col>18</xdr:col>
      <xdr:colOff>457200</xdr:colOff>
      <xdr:row>16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9CB8087-BBA4-454B-8E51-8A5D0FCFA4C1}"/>
            </a:ext>
          </a:extLst>
        </xdr:cNvPr>
        <xdr:cNvCxnSpPr/>
      </xdr:nvCxnSpPr>
      <xdr:spPr>
        <a:xfrm flipH="1">
          <a:off x="15049500" y="6829425"/>
          <a:ext cx="9525" cy="742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FB2E-9D75-4B5E-8930-7D38C77F7441}">
  <dimension ref="A1:R393"/>
  <sheetViews>
    <sheetView topLeftCell="A5" workbookViewId="0">
      <selection activeCell="I18" sqref="I18:K29"/>
    </sheetView>
  </sheetViews>
  <sheetFormatPr defaultRowHeight="14.4" x14ac:dyDescent="0.3"/>
  <cols>
    <col min="2" max="2" width="10.109375" bestFit="1" customWidth="1"/>
  </cols>
  <sheetData>
    <row r="1" spans="1:18" ht="15" x14ac:dyDescent="0.35">
      <c r="A1" s="10" t="s">
        <v>14</v>
      </c>
      <c r="B1" s="11" t="s">
        <v>15</v>
      </c>
      <c r="C1" s="11" t="s">
        <v>16</v>
      </c>
      <c r="I1" s="1"/>
    </row>
    <row r="2" spans="1:18" ht="15" x14ac:dyDescent="0.35">
      <c r="A2" s="7" t="s">
        <v>17</v>
      </c>
      <c r="B2" s="12">
        <v>43702</v>
      </c>
      <c r="C2" s="1">
        <v>453</v>
      </c>
    </row>
    <row r="3" spans="1:18" ht="15" x14ac:dyDescent="0.35">
      <c r="A3" s="7" t="s">
        <v>18</v>
      </c>
      <c r="B3" s="12">
        <v>43522</v>
      </c>
      <c r="C3" s="1">
        <v>66</v>
      </c>
      <c r="H3" s="6" t="s">
        <v>19</v>
      </c>
      <c r="I3" s="9" t="s">
        <v>17</v>
      </c>
      <c r="J3" s="9" t="s">
        <v>18</v>
      </c>
      <c r="K3" s="9" t="s">
        <v>20</v>
      </c>
    </row>
    <row r="4" spans="1:18" ht="15" x14ac:dyDescent="0.35">
      <c r="A4" s="7" t="s">
        <v>20</v>
      </c>
      <c r="B4" s="12">
        <v>43540</v>
      </c>
      <c r="C4" s="1">
        <v>557</v>
      </c>
      <c r="H4" s="8" t="s">
        <v>21</v>
      </c>
      <c r="I4" s="1">
        <f>SUMPRODUCT((Name=I$3)*(TEXT(SalesDate,"mmm")=$H4)*(Amount))/SUMPRODUCT((Name=I$3)*(TEXT(SalesDate,"mmm")=$H4))</f>
        <v>480.33333333333331</v>
      </c>
      <c r="J4" s="1">
        <f t="shared" ref="I4:K15" si="0">SUMPRODUCT((Name=J$3)*(TEXT(SalesDate,"mmm")=$H4)*(Amount))/SUMPRODUCT((Name=J$3)*(TEXT(SalesDate,"mmm")=$H4))</f>
        <v>453.1</v>
      </c>
      <c r="K4" s="1">
        <f t="shared" si="0"/>
        <v>532.35294117647061</v>
      </c>
      <c r="L4" cm="1">
        <f t="array" ref="L4">AVERAGE(_xlfn.CHOOSECOLS(_xlfn._xlws.FILTER($A$2:$C$393,(TEXT(SalesDate,"mmm")=$H4)*(Name=I$3)),3))</f>
        <v>480.33333333333331</v>
      </c>
      <c r="M4" cm="1">
        <f t="array" ref="M4">AVERAGE(_xlfn.CHOOSECOLS(_xlfn._xlws.FILTER($A$2:$C$393,(TEXT(SalesDate,"mmm")=$H4)*(Name=J$3)),3))</f>
        <v>453.1</v>
      </c>
      <c r="N4" cm="1">
        <f t="array" ref="N4">AVERAGE(_xlfn.CHOOSECOLS(_xlfn._xlws.FILTER($A$2:$C$393,(TEXT(SalesDate,"mmm")=$H4)*(Name=K$3)),3))</f>
        <v>532.35294117647061</v>
      </c>
      <c r="P4" cm="1">
        <f t="array" ref="P4">_xlfn.LET( _xlpm.a, --((Name=I$3)*(TEXT(SalesDate, "mmm")=$H4)), SUM(Amount*_xlpm.a)/SUM(_xlpm.a))</f>
        <v>480.33333333333331</v>
      </c>
      <c r="Q4" cm="1">
        <f t="array" ref="Q4">_xlfn.LET( _xlpm.a, --((Name=J$3)*(TEXT(SalesDate, "mmm")=$H4)), SUM(Amount*_xlpm.a)/SUM(_xlpm.a))</f>
        <v>453.1</v>
      </c>
      <c r="R4" cm="1">
        <f t="array" ref="R4">_xlfn.LET( _xlpm.a, --((Name=K$3)*(TEXT(SalesDate, "mmm")=$H4)), SUM(Amount*_xlpm.a)/SUM(_xlpm.a))</f>
        <v>532.35294117647061</v>
      </c>
    </row>
    <row r="5" spans="1:18" ht="15" x14ac:dyDescent="0.35">
      <c r="A5" s="7" t="s">
        <v>20</v>
      </c>
      <c r="B5" s="12">
        <v>43722</v>
      </c>
      <c r="C5" s="1">
        <v>896</v>
      </c>
      <c r="H5" s="8" t="s">
        <v>22</v>
      </c>
      <c r="I5" s="1">
        <f t="shared" si="0"/>
        <v>444.54545454545456</v>
      </c>
      <c r="J5" s="1">
        <f t="shared" si="0"/>
        <v>467.09090909090907</v>
      </c>
      <c r="K5" s="1">
        <f t="shared" si="0"/>
        <v>470.11111111111109</v>
      </c>
      <c r="L5" cm="1">
        <f t="array" ref="L5">AVERAGE(_xlfn.CHOOSECOLS(_xlfn._xlws.FILTER($A$2:$C$393,(TEXT(SalesDate,"mmm")=$H5)*(Name=I$3)),3))</f>
        <v>444.54545454545456</v>
      </c>
      <c r="M5" cm="1">
        <f t="array" ref="M5">AVERAGE(_xlfn.CHOOSECOLS(_xlfn._xlws.FILTER($A$2:$C$393,(TEXT(SalesDate,"mmm")=$H5)*(Name=J$3)),3))</f>
        <v>467.09090909090907</v>
      </c>
      <c r="N5" cm="1">
        <f t="array" ref="N5">AVERAGE(_xlfn.CHOOSECOLS(_xlfn._xlws.FILTER($A$2:$C$393,(TEXT(SalesDate,"mmm")=$H5)*(Name=K$3)),3))</f>
        <v>470.11111111111109</v>
      </c>
      <c r="P5" cm="1">
        <f t="array" ref="P5">_xlfn.LET(_xlpm.a, --((Name=I$3)*(TEXT(SalesDate, "mmm")=$H5)), SUM(Amount*_xlpm.a)/SUM(_xlpm.a))</f>
        <v>444.54545454545456</v>
      </c>
      <c r="Q5" cm="1">
        <f t="array" ref="Q5">_xlfn.LET( _xlpm.a, --((Name=J$3)*(TEXT(SalesDate, "mmm")=$H5)), SUM(Amount*_xlpm.a)/SUM(_xlpm.a))</f>
        <v>467.09090909090907</v>
      </c>
      <c r="R5" cm="1">
        <f t="array" ref="R5">_xlfn.LET( _xlpm.a, --((Name=K$3)*(TEXT(SalesDate, "mmm")=$H5)), SUM(Amount*_xlpm.a)/SUM(_xlpm.a))</f>
        <v>470.11111111111109</v>
      </c>
    </row>
    <row r="6" spans="1:18" ht="15" x14ac:dyDescent="0.35">
      <c r="A6" s="7" t="s">
        <v>17</v>
      </c>
      <c r="B6" s="12">
        <v>43652</v>
      </c>
      <c r="C6" s="1">
        <v>273</v>
      </c>
      <c r="H6" s="8" t="s">
        <v>23</v>
      </c>
      <c r="I6" s="1">
        <f t="shared" si="0"/>
        <v>387.1</v>
      </c>
      <c r="J6" s="1">
        <f t="shared" si="0"/>
        <v>588.79999999999995</v>
      </c>
      <c r="K6" s="1">
        <f t="shared" si="0"/>
        <v>466.53846153846155</v>
      </c>
      <c r="L6" cm="1">
        <f t="array" ref="L6">AVERAGE(_xlfn.CHOOSECOLS(_xlfn._xlws.FILTER($A$2:$C$393,(TEXT(SalesDate,"mmm")=$H6)*(Name=I$3)),3))</f>
        <v>387.1</v>
      </c>
      <c r="M6" cm="1">
        <f t="array" ref="M6">AVERAGE(_xlfn.CHOOSECOLS(_xlfn._xlws.FILTER($A$2:$C$393,(TEXT(SalesDate,"mmm")=$H6)*(Name=J$3)),3))</f>
        <v>588.79999999999995</v>
      </c>
      <c r="N6" cm="1">
        <f t="array" ref="N6">AVERAGE(_xlfn.CHOOSECOLS(_xlfn._xlws.FILTER($A$2:$C$393,(TEXT(SalesDate,"mmm")=$H6)*(Name=K$3)),3))</f>
        <v>466.53846153846155</v>
      </c>
      <c r="P6" cm="1">
        <f t="array" ref="P6">_xlfn.LET( _xlpm.a, --((Name=I$3)*(TEXT(SalesDate, "mmm")=$H6)), SUM(Amount*_xlpm.a)/SUM(_xlpm.a))</f>
        <v>387.1</v>
      </c>
      <c r="Q6" cm="1">
        <f t="array" ref="Q6">_xlfn.LET( _xlpm.a, --((Name=J$3)*(TEXT(SalesDate, "mmm")=$H6)), SUM(Amount*_xlpm.a)/SUM(_xlpm.a))</f>
        <v>588.79999999999995</v>
      </c>
      <c r="R6" cm="1">
        <f t="array" ref="R6">_xlfn.LET( _xlpm.a, --((Name=K$3)*(TEXT(SalesDate, "mmm")=$H6)), SUM(Amount*_xlpm.a)/SUM(_xlpm.a))</f>
        <v>466.53846153846155</v>
      </c>
    </row>
    <row r="7" spans="1:18" ht="15" x14ac:dyDescent="0.35">
      <c r="A7" s="7" t="s">
        <v>17</v>
      </c>
      <c r="B7" s="12">
        <v>43636</v>
      </c>
      <c r="C7" s="1">
        <v>579</v>
      </c>
      <c r="H7" s="8" t="s">
        <v>24</v>
      </c>
      <c r="I7" s="1">
        <f t="shared" si="0"/>
        <v>509.7</v>
      </c>
      <c r="J7" s="1">
        <f t="shared" si="0"/>
        <v>443.4</v>
      </c>
      <c r="K7" s="1">
        <f t="shared" si="0"/>
        <v>321.75</v>
      </c>
      <c r="L7" cm="1">
        <f t="array" ref="L7">AVERAGE(_xlfn.CHOOSECOLS(_xlfn._xlws.FILTER($A$2:$C$393,(TEXT(SalesDate,"mmm")=$H7)*(Name=I$3)),3))</f>
        <v>509.7</v>
      </c>
      <c r="M7" cm="1">
        <f t="array" ref="M7">AVERAGE(_xlfn.CHOOSECOLS(_xlfn._xlws.FILTER($A$2:$C$393,(TEXT(SalesDate,"mmm")=$H7)*(Name=J$3)),3))</f>
        <v>443.4</v>
      </c>
      <c r="N7" cm="1">
        <f t="array" ref="N7">AVERAGE(_xlfn.CHOOSECOLS(_xlfn._xlws.FILTER($A$2:$C$393,(TEXT(SalesDate,"mmm")=$H7)*(Name=K$3)),3))</f>
        <v>321.75</v>
      </c>
      <c r="P7" cm="1">
        <f t="array" ref="P7">_xlfn.LET( _xlpm.a, --((Name=I$3)*(TEXT(SalesDate, "mmm")=$H7)), SUM(Amount*_xlpm.a)/SUM(_xlpm.a))</f>
        <v>509.7</v>
      </c>
      <c r="Q7" cm="1">
        <f t="array" ref="Q7">_xlfn.LET( _xlpm.a, --((Name=J$3)*(TEXT(SalesDate, "mmm")=$H7)), SUM(Amount*_xlpm.a)/SUM(_xlpm.a))</f>
        <v>443.4</v>
      </c>
      <c r="R7" cm="1">
        <f t="array" ref="R7">_xlfn.LET( _xlpm.a, --((Name=K$3)*(TEXT(SalesDate, "mmm")=$H7)), SUM(Amount*_xlpm.a)/SUM(_xlpm.a))</f>
        <v>321.75</v>
      </c>
    </row>
    <row r="8" spans="1:18" ht="15" x14ac:dyDescent="0.35">
      <c r="A8" s="7" t="s">
        <v>18</v>
      </c>
      <c r="B8" s="12">
        <v>43651</v>
      </c>
      <c r="C8" s="1">
        <v>644</v>
      </c>
      <c r="H8" s="8" t="s">
        <v>25</v>
      </c>
      <c r="I8" s="1">
        <f t="shared" si="0"/>
        <v>446.2</v>
      </c>
      <c r="J8" s="1">
        <f t="shared" si="0"/>
        <v>504.75</v>
      </c>
      <c r="K8" s="1">
        <f t="shared" si="0"/>
        <v>287.11111111111109</v>
      </c>
      <c r="L8" cm="1">
        <f t="array" ref="L8">AVERAGE(_xlfn.CHOOSECOLS(_xlfn._xlws.FILTER($A$2:$C$393,(TEXT(SalesDate,"mmm")=$H8)*(Name=I$3)),3))</f>
        <v>446.2</v>
      </c>
      <c r="M8" cm="1">
        <f t="array" ref="M8">AVERAGE(_xlfn.CHOOSECOLS(_xlfn._xlws.FILTER($A$2:$C$393,(TEXT(SalesDate,"mmm")=$H8)*(Name=J$3)),3))</f>
        <v>504.75</v>
      </c>
      <c r="N8" cm="1">
        <f t="array" ref="N8">AVERAGE(_xlfn.CHOOSECOLS(_xlfn._xlws.FILTER($A$2:$C$393,(TEXT(SalesDate,"mmm")=$H8)*(Name=K$3)),3))</f>
        <v>287.11111111111109</v>
      </c>
      <c r="P8" cm="1">
        <f t="array" ref="P8">_xlfn.LET( _xlpm.a, --((Name=I$3)*(TEXT(SalesDate, "mmm")=$H8)), SUM(Amount*_xlpm.a)/SUM(_xlpm.a))</f>
        <v>446.2</v>
      </c>
      <c r="Q8" cm="1">
        <f t="array" ref="Q8">_xlfn.LET( _xlpm.a, --((Name=J$3)*(TEXT(SalesDate, "mmm")=$H8)), SUM(Amount*_xlpm.a)/SUM(_xlpm.a))</f>
        <v>504.75</v>
      </c>
      <c r="R8" cm="1">
        <f t="array" ref="R8">_xlfn.LET( _xlpm.a, --((Name=K$3)*(TEXT(SalesDate, "mmm")=$H8)), SUM(Amount*_xlpm.a)/SUM(_xlpm.a))</f>
        <v>287.11111111111109</v>
      </c>
    </row>
    <row r="9" spans="1:18" ht="15" x14ac:dyDescent="0.35">
      <c r="A9" s="7" t="s">
        <v>20</v>
      </c>
      <c r="B9" s="12">
        <v>43743</v>
      </c>
      <c r="C9" s="1">
        <v>396</v>
      </c>
      <c r="H9" s="8" t="s">
        <v>26</v>
      </c>
      <c r="I9" s="1">
        <f t="shared" si="0"/>
        <v>569.75</v>
      </c>
      <c r="J9" s="1">
        <f t="shared" si="0"/>
        <v>695.625</v>
      </c>
      <c r="K9" s="1">
        <f t="shared" si="0"/>
        <v>651.57142857142856</v>
      </c>
      <c r="L9" cm="1">
        <f t="array" ref="L9">AVERAGE(_xlfn.CHOOSECOLS(_xlfn._xlws.FILTER($A$2:$C$393,(TEXT(SalesDate,"mmm")=$H9)*(Name=I$3)),3))</f>
        <v>569.75</v>
      </c>
      <c r="M9" cm="1">
        <f t="array" ref="M9">AVERAGE(_xlfn.CHOOSECOLS(_xlfn._xlws.FILTER($A$2:$C$393,(TEXT(SalesDate,"mmm")=$H9)*(Name=J$3)),3))</f>
        <v>695.625</v>
      </c>
      <c r="N9" cm="1">
        <f t="array" ref="N9">AVERAGE(_xlfn.CHOOSECOLS(_xlfn._xlws.FILTER($A$2:$C$393,(TEXT(SalesDate,"mmm")=$H9)*(Name=K$3)),3))</f>
        <v>651.57142857142856</v>
      </c>
      <c r="P9" cm="1">
        <f t="array" ref="P9">_xlfn.LET( _xlpm.a, --((Name=I$3)*(TEXT(SalesDate, "mmm")=$H9)), SUM(Amount*_xlpm.a)/SUM(_xlpm.a))</f>
        <v>569.75</v>
      </c>
      <c r="Q9" cm="1">
        <f t="array" ref="Q9">_xlfn.LET( _xlpm.a, --((Name=J$3)*(TEXT(SalesDate, "mmm")=$H9)), SUM(Amount*_xlpm.a)/SUM(_xlpm.a))</f>
        <v>695.625</v>
      </c>
      <c r="R9" cm="1">
        <f t="array" ref="R9">_xlfn.LET( _xlpm.a, --((Name=K$3)*(TEXT(SalesDate, "mmm")=$H9)), SUM(Amount*_xlpm.a)/SUM(_xlpm.a))</f>
        <v>651.57142857142856</v>
      </c>
    </row>
    <row r="10" spans="1:18" ht="15" x14ac:dyDescent="0.35">
      <c r="A10" s="7" t="s">
        <v>20</v>
      </c>
      <c r="B10" s="12">
        <v>43804</v>
      </c>
      <c r="C10" s="1">
        <v>925</v>
      </c>
      <c r="H10" s="8" t="s">
        <v>27</v>
      </c>
      <c r="I10" s="1">
        <f t="shared" si="0"/>
        <v>369.2</v>
      </c>
      <c r="J10" s="1">
        <f t="shared" si="0"/>
        <v>372.45454545454544</v>
      </c>
      <c r="K10" s="1">
        <f t="shared" si="0"/>
        <v>525.22222222222217</v>
      </c>
      <c r="L10" cm="1">
        <f t="array" ref="L10">AVERAGE(_xlfn.CHOOSECOLS(_xlfn._xlws.FILTER($A$2:$C$393,(TEXT(SalesDate,"mmm")=$H10)*(Name=I$3)),3))</f>
        <v>369.2</v>
      </c>
      <c r="M10" cm="1">
        <f t="array" ref="M10">AVERAGE(_xlfn.CHOOSECOLS(_xlfn._xlws.FILTER($A$2:$C$393,(TEXT(SalesDate,"mmm")=$H10)*(Name=J$3)),3))</f>
        <v>372.45454545454544</v>
      </c>
      <c r="N10" cm="1">
        <f t="array" ref="N10">AVERAGE(_xlfn.CHOOSECOLS(_xlfn._xlws.FILTER($A$2:$C$393,(TEXT(SalesDate,"mmm")=$H10)*(Name=K$3)),3))</f>
        <v>525.22222222222217</v>
      </c>
      <c r="P10" cm="1">
        <f t="array" ref="P10">_xlfn.LET( _xlpm.a, --((Name=I$3)*(TEXT(SalesDate, "mmm")=$H10)), SUM(Amount*_xlpm.a)/SUM(_xlpm.a))</f>
        <v>369.2</v>
      </c>
      <c r="Q10" cm="1">
        <f t="array" ref="Q10">_xlfn.LET( _xlpm.a, --((Name=J$3)*(TEXT(SalesDate, "mmm")=$H10)), SUM(Amount*_xlpm.a)/SUM(_xlpm.a))</f>
        <v>372.45454545454544</v>
      </c>
      <c r="R10" cm="1">
        <f t="array" ref="R10">_xlfn.LET( _xlpm.a, --((Name=K$3)*(TEXT(SalesDate, "mmm")=$H10)), SUM(Amount*_xlpm.a)/SUM(_xlpm.a))</f>
        <v>525.22222222222217</v>
      </c>
    </row>
    <row r="11" spans="1:18" ht="15" x14ac:dyDescent="0.35">
      <c r="A11" s="7" t="s">
        <v>18</v>
      </c>
      <c r="B11" s="12">
        <v>43826</v>
      </c>
      <c r="C11" s="1">
        <v>70</v>
      </c>
      <c r="H11" s="8" t="s">
        <v>28</v>
      </c>
      <c r="I11" s="1">
        <f t="shared" si="0"/>
        <v>549.09090909090912</v>
      </c>
      <c r="J11" s="1">
        <f t="shared" si="0"/>
        <v>461.69230769230768</v>
      </c>
      <c r="K11" s="1">
        <f t="shared" si="0"/>
        <v>385.375</v>
      </c>
      <c r="L11" cm="1">
        <f t="array" ref="L11">AVERAGE(_xlfn.CHOOSECOLS(_xlfn._xlws.FILTER($A$2:$C$393,(TEXT(SalesDate,"mmm")=$H11)*(Name=I$3)),3))</f>
        <v>549.09090909090912</v>
      </c>
      <c r="M11" cm="1">
        <f t="array" ref="M11">AVERAGE(_xlfn.CHOOSECOLS(_xlfn._xlws.FILTER($A$2:$C$393,(TEXT(SalesDate,"mmm")=$H11)*(Name=J$3)),3))</f>
        <v>461.69230769230768</v>
      </c>
      <c r="N11" cm="1">
        <f t="array" ref="N11">AVERAGE(_xlfn.CHOOSECOLS(_xlfn._xlws.FILTER($A$2:$C$393,(TEXT(SalesDate,"mmm")=$H11)*(Name=K$3)),3))</f>
        <v>385.375</v>
      </c>
      <c r="P11" cm="1">
        <f t="array" ref="P11">_xlfn.LET( _xlpm.a, --((Name=I$3)*(TEXT(SalesDate, "mmm")=$H11)), SUM(Amount*_xlpm.a)/SUM(_xlpm.a))</f>
        <v>549.09090909090912</v>
      </c>
      <c r="Q11" cm="1">
        <f t="array" ref="Q11">_xlfn.LET( _xlpm.a, --((Name=J$3)*(TEXT(SalesDate, "mmm")=$H11)), SUM(Amount*_xlpm.a)/SUM(_xlpm.a))</f>
        <v>461.69230769230768</v>
      </c>
      <c r="R11" cm="1">
        <f t="array" ref="R11">_xlfn.LET( _xlpm.a, --((Name=K$3)*(TEXT(SalesDate, "mmm")=$H11)), SUM(Amount*_xlpm.a)/SUM(_xlpm.a))</f>
        <v>385.375</v>
      </c>
    </row>
    <row r="12" spans="1:18" ht="15" x14ac:dyDescent="0.35">
      <c r="A12" s="7" t="s">
        <v>17</v>
      </c>
      <c r="B12" s="12">
        <v>43581</v>
      </c>
      <c r="C12" s="1">
        <v>211</v>
      </c>
      <c r="H12" s="8" t="s">
        <v>29</v>
      </c>
      <c r="I12" s="1">
        <f t="shared" si="0"/>
        <v>527.77777777777783</v>
      </c>
      <c r="J12" s="1">
        <f t="shared" si="0"/>
        <v>449.4</v>
      </c>
      <c r="K12" s="1">
        <f t="shared" si="0"/>
        <v>502.3125</v>
      </c>
      <c r="L12" cm="1">
        <f t="array" ref="L12">AVERAGE(_xlfn.CHOOSECOLS(_xlfn._xlws.FILTER($A$2:$C$393,(TEXT(SalesDate,"mmm")=$H12)*(Name=I$3)),3))</f>
        <v>527.77777777777783</v>
      </c>
      <c r="M12" cm="1">
        <f t="array" ref="M12">AVERAGE(_xlfn.CHOOSECOLS(_xlfn._xlws.FILTER($A$2:$C$393,(TEXT(SalesDate,"mmm")=$H12)*(Name=J$3)),3))</f>
        <v>449.4</v>
      </c>
      <c r="N12" cm="1">
        <f t="array" ref="N12">AVERAGE(_xlfn.CHOOSECOLS(_xlfn._xlws.FILTER($A$2:$C$393,(TEXT(SalesDate,"mmm")=$H12)*(Name=K$3)),3))</f>
        <v>502.3125</v>
      </c>
      <c r="P12" cm="1">
        <f t="array" ref="P12">_xlfn.LET( _xlpm.a, --((Name=I$3)*(TEXT(SalesDate, "mmm")=$H12)), SUM(Amount*_xlpm.a)/SUM(_xlpm.a))</f>
        <v>527.77777777777783</v>
      </c>
      <c r="Q12" cm="1">
        <f t="array" ref="Q12">_xlfn.LET( _xlpm.a, --((Name=J$3)*(TEXT(SalesDate, "mmm")=$H12)), SUM(Amount*_xlpm.a)/SUM(_xlpm.a))</f>
        <v>449.4</v>
      </c>
      <c r="R12" cm="1">
        <f t="array" ref="R12">_xlfn.LET( _xlpm.a, --((Name=K$3)*(TEXT(SalesDate, "mmm")=$H12)), SUM(Amount*_xlpm.a)/SUM(_xlpm.a))</f>
        <v>502.3125</v>
      </c>
    </row>
    <row r="13" spans="1:18" ht="15" x14ac:dyDescent="0.35">
      <c r="A13" s="7" t="s">
        <v>18</v>
      </c>
      <c r="B13" s="12">
        <v>43550</v>
      </c>
      <c r="C13" s="1">
        <v>73</v>
      </c>
      <c r="H13" s="8" t="s">
        <v>30</v>
      </c>
      <c r="I13" s="1">
        <f t="shared" si="0"/>
        <v>470.53846153846155</v>
      </c>
      <c r="J13" s="1">
        <f t="shared" si="0"/>
        <v>431.8</v>
      </c>
      <c r="K13" s="1">
        <f t="shared" si="0"/>
        <v>394.63636363636363</v>
      </c>
      <c r="L13" cm="1">
        <f t="array" ref="L13">AVERAGE(_xlfn.CHOOSECOLS(_xlfn._xlws.FILTER($A$2:$C$393,(TEXT(SalesDate,"mmm")=$H13)*(Name=I$3)),3))</f>
        <v>470.53846153846155</v>
      </c>
      <c r="M13" cm="1">
        <f t="array" ref="M13">AVERAGE(_xlfn.CHOOSECOLS(_xlfn._xlws.FILTER($A$2:$C$393,(TEXT(SalesDate,"mmm")=$H13)*(Name=J$3)),3))</f>
        <v>431.8</v>
      </c>
      <c r="N13" cm="1">
        <f t="array" ref="N13">AVERAGE(_xlfn.CHOOSECOLS(_xlfn._xlws.FILTER($A$2:$C$393,(TEXT(SalesDate,"mmm")=$H13)*(Name=K$3)),3))</f>
        <v>394.63636363636363</v>
      </c>
      <c r="P13" cm="1">
        <f t="array" ref="P13">_xlfn.LET( _xlpm.a, --((Name=I$3)*(TEXT(SalesDate, "mmm")=$H13)), SUM(Amount*_xlpm.a)/SUM(_xlpm.a))</f>
        <v>470.53846153846155</v>
      </c>
      <c r="Q13" cm="1">
        <f t="array" ref="Q13">_xlfn.LET( _xlpm.a, --((Name=J$3)*(TEXT(SalesDate, "mmm")=$H13)), SUM(Amount*_xlpm.a)/SUM(_xlpm.a))</f>
        <v>431.8</v>
      </c>
      <c r="R13" cm="1">
        <f t="array" ref="R13">_xlfn.LET( _xlpm.a, --((Name=K$3)*(TEXT(SalesDate, "mmm")=$H13)), SUM(Amount*_xlpm.a)/SUM(_xlpm.a))</f>
        <v>394.63636363636363</v>
      </c>
    </row>
    <row r="14" spans="1:18" ht="15" x14ac:dyDescent="0.35">
      <c r="A14" s="7" t="s">
        <v>18</v>
      </c>
      <c r="B14" s="12">
        <v>43629</v>
      </c>
      <c r="C14" s="1">
        <v>124</v>
      </c>
      <c r="H14" s="8" t="s">
        <v>31</v>
      </c>
      <c r="I14" s="1">
        <f t="shared" si="0"/>
        <v>491.71428571428572</v>
      </c>
      <c r="J14" s="1">
        <f t="shared" si="0"/>
        <v>295.875</v>
      </c>
      <c r="K14" s="1">
        <f t="shared" si="0"/>
        <v>476.2</v>
      </c>
      <c r="L14" cm="1">
        <f t="array" ref="L14">AVERAGE(_xlfn.CHOOSECOLS(_xlfn._xlws.FILTER($A$2:$C$393,(TEXT(SalesDate,"mmm")=$H14)*(Name=I$3)),3))</f>
        <v>491.71428571428572</v>
      </c>
      <c r="M14" cm="1">
        <f t="array" ref="M14">AVERAGE(_xlfn.CHOOSECOLS(_xlfn._xlws.FILTER($A$2:$C$393,(TEXT(SalesDate,"mmm")=$H14)*(Name=J$3)),3))</f>
        <v>295.875</v>
      </c>
      <c r="N14" cm="1">
        <f t="array" ref="N14">AVERAGE(_xlfn.CHOOSECOLS(_xlfn._xlws.FILTER($A$2:$C$393,(TEXT(SalesDate,"mmm")=$H14)*(Name=K$3)),3))</f>
        <v>476.2</v>
      </c>
      <c r="P14" cm="1">
        <f t="array" ref="P14">_xlfn.LET( _xlpm.a, --((Name=I$3)*(TEXT(SalesDate, "mmm")=$H14)), SUM(Amount*_xlpm.a)/SUM(_xlpm.a))</f>
        <v>491.71428571428572</v>
      </c>
      <c r="Q14" cm="1">
        <f t="array" ref="Q14">_xlfn.LET( _xlpm.a, --((Name=J$3)*(TEXT(SalesDate, "mmm")=$H14)), SUM(Amount*_xlpm.a)/SUM(_xlpm.a))</f>
        <v>295.875</v>
      </c>
      <c r="R14" cm="1">
        <f t="array" ref="R14">_xlfn.LET( _xlpm.a, --((Name=K$3)*(TEXT(SalesDate, "mmm")=$H14)), SUM(Amount*_xlpm.a)/SUM(_xlpm.a))</f>
        <v>476.2</v>
      </c>
    </row>
    <row r="15" spans="1:18" ht="15" x14ac:dyDescent="0.35">
      <c r="A15" s="7" t="s">
        <v>17</v>
      </c>
      <c r="B15" s="12">
        <v>43724</v>
      </c>
      <c r="C15" s="1">
        <v>724</v>
      </c>
      <c r="H15" s="8" t="s">
        <v>32</v>
      </c>
      <c r="I15" s="1">
        <f t="shared" si="0"/>
        <v>406.57142857142856</v>
      </c>
      <c r="J15" s="1">
        <f t="shared" si="0"/>
        <v>583.30769230769226</v>
      </c>
      <c r="K15" s="1">
        <f t="shared" si="0"/>
        <v>530.84615384615381</v>
      </c>
      <c r="L15" cm="1">
        <f t="array" ref="L15">AVERAGE(_xlfn.CHOOSECOLS(_xlfn._xlws.FILTER($A$2:$C$393,(TEXT(SalesDate,"mmm")=$H15)*(Name=I$3)),3))</f>
        <v>406.57142857142856</v>
      </c>
      <c r="M15" cm="1">
        <f t="array" ref="M15">AVERAGE(_xlfn.CHOOSECOLS(_xlfn._xlws.FILTER($A$2:$C$393,(TEXT(SalesDate,"mmm")=$H15)*(Name=J$3)),3))</f>
        <v>583.30769230769226</v>
      </c>
      <c r="N15" cm="1">
        <f t="array" ref="N15">AVERAGE(_xlfn.CHOOSECOLS(_xlfn._xlws.FILTER($A$2:$C$393,(TEXT(SalesDate,"mmm")=$H15)*(Name=K$3)),3))</f>
        <v>530.84615384615381</v>
      </c>
      <c r="P15" cm="1">
        <f t="array" ref="P15">_xlfn.LET( _xlpm.a, --((Name=I$3)*(TEXT(SalesDate, "mmm")=$H15)), SUM(Amount*_xlpm.a)/SUM(_xlpm.a))</f>
        <v>406.57142857142856</v>
      </c>
      <c r="Q15" cm="1">
        <f t="array" ref="Q15">_xlfn.LET( _xlpm.a, --((Name=J$3)*(TEXT(SalesDate, "mmm")=$H15)), SUM(Amount*_xlpm.a)/SUM(_xlpm.a))</f>
        <v>583.30769230769226</v>
      </c>
      <c r="R15" cm="1">
        <f t="array" ref="R15">_xlfn.LET( _xlpm.a, --((Name=K$3)*(TEXT(SalesDate, "mmm")=$H15)), SUM(Amount*_xlpm.a)/SUM(_xlpm.a))</f>
        <v>530.84615384615381</v>
      </c>
    </row>
    <row r="16" spans="1:18" ht="15" x14ac:dyDescent="0.35">
      <c r="A16" s="7" t="s">
        <v>20</v>
      </c>
      <c r="B16" s="12">
        <v>43474</v>
      </c>
      <c r="C16" s="1">
        <v>809</v>
      </c>
    </row>
    <row r="17" spans="1:11" ht="15" x14ac:dyDescent="0.35">
      <c r="A17" s="7" t="s">
        <v>17</v>
      </c>
      <c r="B17" s="12">
        <v>43471</v>
      </c>
      <c r="C17" s="1">
        <v>953</v>
      </c>
    </row>
    <row r="18" spans="1:11" ht="15" x14ac:dyDescent="0.35">
      <c r="A18" s="7" t="s">
        <v>18</v>
      </c>
      <c r="B18" s="12">
        <v>43503</v>
      </c>
      <c r="C18" s="1">
        <v>654</v>
      </c>
      <c r="I18" cm="1">
        <f t="array" ref="I18">_xlfn.LET(_xlpm.a, (Name=I$3)*(TEXT(SalesDate,"mmm")=$H4), SUMPRODUCT(_xlpm.a,Amount) / SUM(_xlpm.a))</f>
        <v>480.33333333333331</v>
      </c>
      <c r="J18" cm="1">
        <f t="array" ref="J18">_xlfn.LET(_xlpm.a, (Name=J$3)*(TEXT(SalesDate,"mmm")=$H4), SUMPRODUCT(_xlpm.a,Amount) / SUM(_xlpm.a))</f>
        <v>453.1</v>
      </c>
      <c r="K18" cm="1">
        <f t="array" ref="K18">_xlfn.LET(_xlpm.a, (Name=K$3)*(TEXT(SalesDate,"mmm")=$H4), SUMPRODUCT(_xlpm.a,Amount) / SUM(_xlpm.a))</f>
        <v>532.35294117647061</v>
      </c>
    </row>
    <row r="19" spans="1:11" ht="15" x14ac:dyDescent="0.35">
      <c r="A19" s="7" t="s">
        <v>20</v>
      </c>
      <c r="B19" s="12">
        <v>43499</v>
      </c>
      <c r="C19" s="1">
        <v>800</v>
      </c>
      <c r="I19" cm="1">
        <f t="array" ref="I19">_xlfn.LET(_xlpm.a, (Name=I$3)*(TEXT(SalesDate,"mmm")=$H5), SUMPRODUCT(_xlpm.a,Amount) / SUM(_xlpm.a))</f>
        <v>444.54545454545456</v>
      </c>
      <c r="J19" cm="1">
        <f t="array" ref="J19">_xlfn.LET(_xlpm.a, (Name=J$3)*(TEXT(SalesDate,"mmm")=$H5), SUMPRODUCT(_xlpm.a,Amount) / SUM(_xlpm.a))</f>
        <v>467.09090909090907</v>
      </c>
      <c r="K19" cm="1">
        <f t="array" ref="K19">_xlfn.LET(_xlpm.a, (Name=K$3)*(TEXT(SalesDate,"mmm")=$H5), SUMPRODUCT(_xlpm.a,Amount) / SUM(_xlpm.a))</f>
        <v>470.11111111111109</v>
      </c>
    </row>
    <row r="20" spans="1:11" ht="15" x14ac:dyDescent="0.35">
      <c r="A20" s="7" t="s">
        <v>17</v>
      </c>
      <c r="B20" s="12">
        <v>43532</v>
      </c>
      <c r="C20" s="1">
        <v>153</v>
      </c>
      <c r="I20" cm="1">
        <f t="array" ref="I20">_xlfn.LET(_xlpm.a, (Name=I$3)*(TEXT(SalesDate,"mmm")=$H6), SUMPRODUCT(_xlpm.a,Amount) / SUM(_xlpm.a))</f>
        <v>387.1</v>
      </c>
      <c r="J20" cm="1">
        <f t="array" ref="J20">_xlfn.LET(_xlpm.a, (Name=J$3)*(TEXT(SalesDate,"mmm")=$H6), SUMPRODUCT(_xlpm.a,Amount) / SUM(_xlpm.a))</f>
        <v>588.79999999999995</v>
      </c>
      <c r="K20" cm="1">
        <f t="array" ref="K20">_xlfn.LET(_xlpm.a, (Name=K$3)*(TEXT(SalesDate,"mmm")=$H6), SUMPRODUCT(_xlpm.a,Amount) / SUM(_xlpm.a))</f>
        <v>466.53846153846155</v>
      </c>
    </row>
    <row r="21" spans="1:11" ht="15" x14ac:dyDescent="0.35">
      <c r="A21" s="7" t="s">
        <v>18</v>
      </c>
      <c r="B21" s="12">
        <v>43582</v>
      </c>
      <c r="C21" s="1">
        <v>867</v>
      </c>
      <c r="I21" cm="1">
        <f t="array" ref="I21">_xlfn.LET(_xlpm.a, (Name=I$3)*(TEXT(SalesDate,"mmm")=$H7), SUMPRODUCT(_xlpm.a,Amount) / SUM(_xlpm.a))</f>
        <v>509.7</v>
      </c>
      <c r="J21" cm="1">
        <f t="array" ref="J21">_xlfn.LET(_xlpm.a, (Name=J$3)*(TEXT(SalesDate,"mmm")=$H7), SUMPRODUCT(_xlpm.a,Amount) / SUM(_xlpm.a))</f>
        <v>443.4</v>
      </c>
      <c r="K21" cm="1">
        <f t="array" ref="K21">_xlfn.LET(_xlpm.a, (Name=K$3)*(TEXT(SalesDate,"mmm")=$H7), SUMPRODUCT(_xlpm.a,Amount) / SUM(_xlpm.a))</f>
        <v>321.75</v>
      </c>
    </row>
    <row r="22" spans="1:11" ht="15" x14ac:dyDescent="0.35">
      <c r="A22" s="7" t="s">
        <v>20</v>
      </c>
      <c r="B22" s="12">
        <v>43488</v>
      </c>
      <c r="C22" s="1">
        <v>678</v>
      </c>
      <c r="I22" cm="1">
        <f t="array" ref="I22">_xlfn.LET(_xlpm.a, (Name=I$3)*(TEXT(SalesDate,"mmm")=$H8), SUMPRODUCT(_xlpm.a,Amount) / SUM(_xlpm.a))</f>
        <v>446.2</v>
      </c>
      <c r="J22" cm="1">
        <f t="array" ref="J22">_xlfn.LET(_xlpm.a, (Name=J$3)*(TEXT(SalesDate,"mmm")=$H8), SUMPRODUCT(_xlpm.a,Amount) / SUM(_xlpm.a))</f>
        <v>504.75</v>
      </c>
      <c r="K22" cm="1">
        <f t="array" ref="K22">_xlfn.LET(_xlpm.a, (Name=K$3)*(TEXT(SalesDate,"mmm")=$H8), SUMPRODUCT(_xlpm.a,Amount) / SUM(_xlpm.a))</f>
        <v>287.11111111111109</v>
      </c>
    </row>
    <row r="23" spans="1:11" ht="15" x14ac:dyDescent="0.35">
      <c r="A23" s="7" t="s">
        <v>20</v>
      </c>
      <c r="B23" s="12">
        <v>43619</v>
      </c>
      <c r="C23" s="1">
        <v>896</v>
      </c>
      <c r="I23" cm="1">
        <f t="array" ref="I23">_xlfn.LET(_xlpm.a, (Name=I$3)*(TEXT(SalesDate,"mmm")=$H9), SUMPRODUCT(_xlpm.a,Amount) / SUM(_xlpm.a))</f>
        <v>569.75</v>
      </c>
      <c r="J23" cm="1">
        <f t="array" ref="J23">_xlfn.LET(_xlpm.a, (Name=J$3)*(TEXT(SalesDate,"mmm")=$H9), SUMPRODUCT(_xlpm.a,Amount) / SUM(_xlpm.a))</f>
        <v>695.625</v>
      </c>
      <c r="K23" cm="1">
        <f t="array" ref="K23">_xlfn.LET(_xlpm.a, (Name=K$3)*(TEXT(SalesDate,"mmm")=$H9), SUMPRODUCT(_xlpm.a,Amount) / SUM(_xlpm.a))</f>
        <v>651.57142857142856</v>
      </c>
    </row>
    <row r="24" spans="1:11" ht="15" x14ac:dyDescent="0.35">
      <c r="A24" s="7" t="s">
        <v>17</v>
      </c>
      <c r="B24" s="12">
        <v>43621</v>
      </c>
      <c r="C24" s="1">
        <v>511</v>
      </c>
      <c r="I24" cm="1">
        <f t="array" ref="I24">_xlfn.LET(_xlpm.a, (Name=I$3)*(TEXT(SalesDate,"mmm")=$H10), SUMPRODUCT(_xlpm.a,Amount) / SUM(_xlpm.a))</f>
        <v>369.2</v>
      </c>
      <c r="J24" cm="1">
        <f t="array" ref="J24">_xlfn.LET(_xlpm.a, (Name=J$3)*(TEXT(SalesDate,"mmm")=$H10), SUMPRODUCT(_xlpm.a,Amount) / SUM(_xlpm.a))</f>
        <v>372.45454545454544</v>
      </c>
      <c r="K24" cm="1">
        <f t="array" ref="K24">_xlfn.LET(_xlpm.a, (Name=K$3)*(TEXT(SalesDate,"mmm")=$H10), SUMPRODUCT(_xlpm.a,Amount) / SUM(_xlpm.a))</f>
        <v>525.22222222222217</v>
      </c>
    </row>
    <row r="25" spans="1:11" ht="15" x14ac:dyDescent="0.35">
      <c r="A25" s="7" t="s">
        <v>17</v>
      </c>
      <c r="B25" s="12">
        <v>43717</v>
      </c>
      <c r="C25" s="1">
        <v>819</v>
      </c>
      <c r="I25" cm="1">
        <f t="array" ref="I25">_xlfn.LET(_xlpm.a, (Name=I$3)*(TEXT(SalesDate,"mmm")=$H11), SUMPRODUCT(_xlpm.a,Amount) / SUM(_xlpm.a))</f>
        <v>549.09090909090912</v>
      </c>
      <c r="J25" cm="1">
        <f t="array" ref="J25">_xlfn.LET(_xlpm.a, (Name=J$3)*(TEXT(SalesDate,"mmm")=$H11), SUMPRODUCT(_xlpm.a,Amount) / SUM(_xlpm.a))</f>
        <v>461.69230769230768</v>
      </c>
      <c r="K25" cm="1">
        <f t="array" ref="K25">_xlfn.LET(_xlpm.a, (Name=K$3)*(TEXT(SalesDate,"mmm")=$H11), SUMPRODUCT(_xlpm.a,Amount) / SUM(_xlpm.a))</f>
        <v>385.375</v>
      </c>
    </row>
    <row r="26" spans="1:11" ht="15" x14ac:dyDescent="0.35">
      <c r="A26" s="7" t="s">
        <v>18</v>
      </c>
      <c r="B26" s="12">
        <v>43739</v>
      </c>
      <c r="C26" s="1">
        <v>78</v>
      </c>
      <c r="I26" cm="1">
        <f t="array" ref="I26">_xlfn.LET(_xlpm.a, (Name=I$3)*(TEXT(SalesDate,"mmm")=$H12), SUMPRODUCT(_xlpm.a,Amount) / SUM(_xlpm.a))</f>
        <v>527.77777777777783</v>
      </c>
      <c r="J26" cm="1">
        <f t="array" ref="J26">_xlfn.LET(_xlpm.a, (Name=J$3)*(TEXT(SalesDate,"mmm")=$H12), SUMPRODUCT(_xlpm.a,Amount) / SUM(_xlpm.a))</f>
        <v>449.4</v>
      </c>
      <c r="K26" cm="1">
        <f t="array" ref="K26">_xlfn.LET(_xlpm.a, (Name=K$3)*(TEXT(SalesDate,"mmm")=$H12), SUMPRODUCT(_xlpm.a,Amount) / SUM(_xlpm.a))</f>
        <v>502.3125</v>
      </c>
    </row>
    <row r="27" spans="1:11" ht="15" x14ac:dyDescent="0.35">
      <c r="A27" s="7" t="s">
        <v>20</v>
      </c>
      <c r="B27" s="12">
        <v>43603</v>
      </c>
      <c r="C27" s="1">
        <v>188</v>
      </c>
      <c r="I27" cm="1">
        <f t="array" ref="I27">_xlfn.LET(_xlpm.a, (Name=I$3)*(TEXT(SalesDate,"mmm")=$H13), SUMPRODUCT(_xlpm.a,Amount) / SUM(_xlpm.a))</f>
        <v>470.53846153846155</v>
      </c>
      <c r="J27" cm="1">
        <f t="array" ref="J27">_xlfn.LET(_xlpm.a, (Name=J$3)*(TEXT(SalesDate,"mmm")=$H13), SUMPRODUCT(_xlpm.a,Amount) / SUM(_xlpm.a))</f>
        <v>431.8</v>
      </c>
      <c r="K27" cm="1">
        <f t="array" ref="K27">_xlfn.LET(_xlpm.a, (Name=K$3)*(TEXT(SalesDate,"mmm")=$H13), SUMPRODUCT(_xlpm.a,Amount) / SUM(_xlpm.a))</f>
        <v>394.63636363636363</v>
      </c>
    </row>
    <row r="28" spans="1:11" ht="15" x14ac:dyDescent="0.35">
      <c r="A28" s="7" t="s">
        <v>20</v>
      </c>
      <c r="B28" s="12">
        <v>43638</v>
      </c>
      <c r="C28" s="1">
        <v>139</v>
      </c>
      <c r="I28" cm="1">
        <f t="array" ref="I28">_xlfn.LET(_xlpm.a, (Name=I$3)*(TEXT(SalesDate,"mmm")=$H14), SUMPRODUCT(_xlpm.a,Amount) / SUM(_xlpm.a))</f>
        <v>491.71428571428572</v>
      </c>
      <c r="J28" cm="1">
        <f t="array" ref="J28">_xlfn.LET(_xlpm.a, (Name=J$3)*(TEXT(SalesDate,"mmm")=$H14), SUMPRODUCT(_xlpm.a,Amount) / SUM(_xlpm.a))</f>
        <v>295.875</v>
      </c>
      <c r="K28" cm="1">
        <f t="array" ref="K28">_xlfn.LET(_xlpm.a, (Name=K$3)*(TEXT(SalesDate,"mmm")=$H14), SUMPRODUCT(_xlpm.a,Amount) / SUM(_xlpm.a))</f>
        <v>476.2</v>
      </c>
    </row>
    <row r="29" spans="1:11" ht="15" x14ac:dyDescent="0.35">
      <c r="A29" s="7" t="s">
        <v>18</v>
      </c>
      <c r="B29" s="12">
        <v>43481</v>
      </c>
      <c r="C29" s="1">
        <v>236</v>
      </c>
      <c r="I29" cm="1">
        <f t="array" ref="I29">_xlfn.LET(_xlpm.a, (Name=I$3)*(TEXT(SalesDate,"mmm")=$H15), SUMPRODUCT(_xlpm.a,Amount) / SUM(_xlpm.a))</f>
        <v>406.57142857142856</v>
      </c>
      <c r="J29" cm="1">
        <f t="array" ref="J29">_xlfn.LET(_xlpm.a, (Name=J$3)*(TEXT(SalesDate,"mmm")=$H15), SUMPRODUCT(_xlpm.a,Amount) / SUM(_xlpm.a))</f>
        <v>583.30769230769226</v>
      </c>
      <c r="K29" cm="1">
        <f t="array" ref="K29">_xlfn.LET(_xlpm.a, (Name=K$3)*(TEXT(SalesDate,"mmm")=$H15), SUMPRODUCT(_xlpm.a,Amount) / SUM(_xlpm.a))</f>
        <v>530.84615384615381</v>
      </c>
    </row>
    <row r="30" spans="1:11" ht="15" x14ac:dyDescent="0.35">
      <c r="A30" s="7" t="s">
        <v>17</v>
      </c>
      <c r="B30" s="12">
        <v>43784</v>
      </c>
      <c r="C30" s="1">
        <v>871</v>
      </c>
    </row>
    <row r="31" spans="1:11" ht="15" x14ac:dyDescent="0.35">
      <c r="A31" s="7" t="s">
        <v>18</v>
      </c>
      <c r="B31" s="12">
        <v>43469</v>
      </c>
      <c r="C31" s="1">
        <v>607</v>
      </c>
    </row>
    <row r="32" spans="1:11" ht="15" x14ac:dyDescent="0.35">
      <c r="A32" s="7" t="s">
        <v>18</v>
      </c>
      <c r="B32" s="12">
        <v>43719</v>
      </c>
      <c r="C32" s="1">
        <v>308</v>
      </c>
    </row>
    <row r="33" spans="1:3" ht="15" x14ac:dyDescent="0.35">
      <c r="A33" s="7" t="s">
        <v>18</v>
      </c>
      <c r="B33" s="12">
        <v>43594</v>
      </c>
      <c r="C33" s="1">
        <v>910</v>
      </c>
    </row>
    <row r="34" spans="1:3" ht="15" x14ac:dyDescent="0.35">
      <c r="A34" s="7" t="s">
        <v>17</v>
      </c>
      <c r="B34" s="12">
        <v>43734</v>
      </c>
      <c r="C34" s="1">
        <v>502</v>
      </c>
    </row>
    <row r="35" spans="1:3" ht="15" x14ac:dyDescent="0.35">
      <c r="A35" s="7" t="s">
        <v>20</v>
      </c>
      <c r="B35" s="12">
        <v>43823</v>
      </c>
      <c r="C35" s="1">
        <v>764</v>
      </c>
    </row>
    <row r="36" spans="1:3" ht="15" x14ac:dyDescent="0.35">
      <c r="A36" s="7" t="s">
        <v>17</v>
      </c>
      <c r="B36" s="12">
        <v>43753</v>
      </c>
      <c r="C36" s="1">
        <v>482</v>
      </c>
    </row>
    <row r="37" spans="1:3" ht="15" x14ac:dyDescent="0.35">
      <c r="A37" s="7" t="s">
        <v>18</v>
      </c>
      <c r="B37" s="12">
        <v>43699</v>
      </c>
      <c r="C37" s="1">
        <v>453</v>
      </c>
    </row>
    <row r="38" spans="1:3" ht="15" x14ac:dyDescent="0.35">
      <c r="A38" s="7" t="s">
        <v>20</v>
      </c>
      <c r="B38" s="12">
        <v>43468</v>
      </c>
      <c r="C38" s="1">
        <v>211</v>
      </c>
    </row>
    <row r="39" spans="1:3" ht="15" x14ac:dyDescent="0.35">
      <c r="A39" s="7" t="s">
        <v>17</v>
      </c>
      <c r="B39" s="12">
        <v>43811</v>
      </c>
      <c r="C39" s="1">
        <v>219</v>
      </c>
    </row>
    <row r="40" spans="1:3" ht="15" x14ac:dyDescent="0.35">
      <c r="A40" s="7" t="s">
        <v>18</v>
      </c>
      <c r="B40" s="12">
        <v>43525</v>
      </c>
      <c r="C40" s="1">
        <v>641</v>
      </c>
    </row>
    <row r="41" spans="1:3" ht="15" x14ac:dyDescent="0.35">
      <c r="A41" s="7" t="s">
        <v>20</v>
      </c>
      <c r="B41" s="12">
        <v>43591</v>
      </c>
      <c r="C41" s="1">
        <v>319</v>
      </c>
    </row>
    <row r="42" spans="1:3" ht="15" x14ac:dyDescent="0.35">
      <c r="A42" s="7" t="s">
        <v>20</v>
      </c>
      <c r="B42" s="12">
        <v>43626</v>
      </c>
      <c r="C42" s="1">
        <v>769</v>
      </c>
    </row>
    <row r="43" spans="1:3" ht="15" x14ac:dyDescent="0.35">
      <c r="A43" s="7" t="s">
        <v>20</v>
      </c>
      <c r="B43" s="12">
        <v>43685</v>
      </c>
      <c r="C43" s="1">
        <v>86</v>
      </c>
    </row>
    <row r="44" spans="1:3" ht="15" x14ac:dyDescent="0.35">
      <c r="A44" s="7" t="s">
        <v>18</v>
      </c>
      <c r="B44" s="12">
        <v>43751</v>
      </c>
      <c r="C44" s="1">
        <v>315</v>
      </c>
    </row>
    <row r="45" spans="1:3" ht="15" x14ac:dyDescent="0.35">
      <c r="A45" s="7" t="s">
        <v>17</v>
      </c>
      <c r="B45" s="12">
        <v>43647</v>
      </c>
      <c r="C45" s="1">
        <v>156</v>
      </c>
    </row>
    <row r="46" spans="1:3" ht="15" x14ac:dyDescent="0.35">
      <c r="A46" s="7" t="s">
        <v>18</v>
      </c>
      <c r="B46" s="12">
        <v>43616</v>
      </c>
      <c r="C46" s="1">
        <v>711</v>
      </c>
    </row>
    <row r="47" spans="1:3" ht="15" x14ac:dyDescent="0.35">
      <c r="A47" s="7" t="s">
        <v>18</v>
      </c>
      <c r="B47" s="12">
        <v>43714</v>
      </c>
      <c r="C47" s="1">
        <v>423</v>
      </c>
    </row>
    <row r="48" spans="1:3" ht="15" x14ac:dyDescent="0.35">
      <c r="A48" s="7" t="s">
        <v>17</v>
      </c>
      <c r="B48" s="12">
        <v>43614</v>
      </c>
      <c r="C48" s="1">
        <v>296</v>
      </c>
    </row>
    <row r="49" spans="1:3" ht="15" x14ac:dyDescent="0.35">
      <c r="A49" s="7" t="s">
        <v>20</v>
      </c>
      <c r="B49" s="12">
        <v>43592</v>
      </c>
      <c r="C49" s="1">
        <v>99</v>
      </c>
    </row>
    <row r="50" spans="1:3" ht="15" x14ac:dyDescent="0.35">
      <c r="A50" s="7" t="s">
        <v>17</v>
      </c>
      <c r="B50" s="12">
        <v>43680</v>
      </c>
      <c r="C50" s="1">
        <v>894</v>
      </c>
    </row>
    <row r="51" spans="1:3" ht="15" x14ac:dyDescent="0.35">
      <c r="A51" s="7" t="s">
        <v>17</v>
      </c>
      <c r="B51" s="12">
        <v>43563</v>
      </c>
      <c r="C51" s="1">
        <v>285</v>
      </c>
    </row>
    <row r="52" spans="1:3" ht="15" x14ac:dyDescent="0.35">
      <c r="A52" s="7" t="s">
        <v>18</v>
      </c>
      <c r="B52" s="12">
        <v>43819</v>
      </c>
      <c r="C52" s="1">
        <v>120</v>
      </c>
    </row>
    <row r="53" spans="1:3" ht="15" x14ac:dyDescent="0.35">
      <c r="A53" s="7" t="s">
        <v>20</v>
      </c>
      <c r="B53" s="12">
        <v>43508</v>
      </c>
      <c r="C53" s="1">
        <v>788</v>
      </c>
    </row>
    <row r="54" spans="1:3" ht="15" x14ac:dyDescent="0.35">
      <c r="A54" s="7" t="s">
        <v>20</v>
      </c>
      <c r="B54" s="12">
        <v>43552</v>
      </c>
      <c r="C54" s="1">
        <v>848</v>
      </c>
    </row>
    <row r="55" spans="1:3" ht="15" x14ac:dyDescent="0.35">
      <c r="A55" s="7" t="s">
        <v>17</v>
      </c>
      <c r="B55" s="12">
        <v>43563</v>
      </c>
      <c r="C55" s="1">
        <v>479</v>
      </c>
    </row>
    <row r="56" spans="1:3" ht="15" x14ac:dyDescent="0.35">
      <c r="A56" s="7" t="s">
        <v>17</v>
      </c>
      <c r="B56" s="12">
        <v>43704</v>
      </c>
      <c r="C56" s="1">
        <v>725</v>
      </c>
    </row>
    <row r="57" spans="1:3" ht="15" x14ac:dyDescent="0.35">
      <c r="A57" s="7" t="s">
        <v>18</v>
      </c>
      <c r="B57" s="12">
        <v>43586</v>
      </c>
      <c r="C57" s="1">
        <v>816</v>
      </c>
    </row>
    <row r="58" spans="1:3" ht="15" x14ac:dyDescent="0.35">
      <c r="A58" s="7" t="s">
        <v>20</v>
      </c>
      <c r="B58" s="12">
        <v>43740</v>
      </c>
      <c r="C58" s="1">
        <v>500</v>
      </c>
    </row>
    <row r="59" spans="1:3" ht="15" x14ac:dyDescent="0.35">
      <c r="A59" s="7" t="s">
        <v>20</v>
      </c>
      <c r="B59" s="12">
        <v>43493</v>
      </c>
      <c r="C59" s="1">
        <v>691</v>
      </c>
    </row>
    <row r="60" spans="1:3" ht="15" x14ac:dyDescent="0.35">
      <c r="A60" s="7" t="s">
        <v>18</v>
      </c>
      <c r="B60" s="12">
        <v>43481</v>
      </c>
      <c r="C60" s="1">
        <v>303</v>
      </c>
    </row>
    <row r="61" spans="1:3" ht="15" x14ac:dyDescent="0.35">
      <c r="A61" s="7" t="s">
        <v>17</v>
      </c>
      <c r="B61" s="12">
        <v>43568</v>
      </c>
      <c r="C61" s="1">
        <v>224</v>
      </c>
    </row>
    <row r="62" spans="1:3" ht="15" x14ac:dyDescent="0.35">
      <c r="A62" s="7" t="s">
        <v>18</v>
      </c>
      <c r="B62" s="12">
        <v>43655</v>
      </c>
      <c r="C62" s="1">
        <v>37</v>
      </c>
    </row>
    <row r="63" spans="1:3" ht="15" x14ac:dyDescent="0.35">
      <c r="A63" s="7" t="s">
        <v>18</v>
      </c>
      <c r="B63" s="12">
        <v>43532</v>
      </c>
      <c r="C63" s="1">
        <v>494</v>
      </c>
    </row>
    <row r="64" spans="1:3" ht="15" x14ac:dyDescent="0.35">
      <c r="A64" s="7" t="s">
        <v>17</v>
      </c>
      <c r="B64" s="12">
        <v>43467</v>
      </c>
      <c r="C64" s="1">
        <v>927</v>
      </c>
    </row>
    <row r="65" spans="1:3" ht="15" x14ac:dyDescent="0.35">
      <c r="A65" s="7" t="s">
        <v>20</v>
      </c>
      <c r="B65" s="12">
        <v>43493</v>
      </c>
      <c r="C65" s="1">
        <v>71</v>
      </c>
    </row>
    <row r="66" spans="1:3" ht="15" x14ac:dyDescent="0.35">
      <c r="A66" s="7" t="s">
        <v>17</v>
      </c>
      <c r="B66" s="12">
        <v>43786</v>
      </c>
      <c r="C66" s="1">
        <v>126</v>
      </c>
    </row>
    <row r="67" spans="1:3" ht="15" x14ac:dyDescent="0.35">
      <c r="A67" s="7" t="s">
        <v>18</v>
      </c>
      <c r="B67" s="12">
        <v>43513</v>
      </c>
      <c r="C67" s="1">
        <v>180</v>
      </c>
    </row>
    <row r="68" spans="1:3" ht="15" x14ac:dyDescent="0.35">
      <c r="A68" s="7" t="s">
        <v>20</v>
      </c>
      <c r="B68" s="12">
        <v>43730</v>
      </c>
      <c r="C68" s="1">
        <v>333</v>
      </c>
    </row>
    <row r="69" spans="1:3" ht="15" x14ac:dyDescent="0.35">
      <c r="A69" s="7" t="s">
        <v>17</v>
      </c>
      <c r="B69" s="12">
        <v>43563</v>
      </c>
      <c r="C69" s="1">
        <v>772</v>
      </c>
    </row>
    <row r="70" spans="1:3" ht="15" x14ac:dyDescent="0.35">
      <c r="A70" s="7" t="s">
        <v>18</v>
      </c>
      <c r="B70" s="12">
        <v>43571</v>
      </c>
      <c r="C70" s="1">
        <v>353</v>
      </c>
    </row>
    <row r="71" spans="1:3" ht="15" x14ac:dyDescent="0.35">
      <c r="A71" s="7" t="s">
        <v>20</v>
      </c>
      <c r="B71" s="12">
        <v>43741</v>
      </c>
      <c r="C71" s="1">
        <v>637</v>
      </c>
    </row>
    <row r="72" spans="1:3" ht="15" x14ac:dyDescent="0.35">
      <c r="A72" s="7" t="s">
        <v>20</v>
      </c>
      <c r="B72" s="12">
        <v>43716</v>
      </c>
      <c r="C72" s="1">
        <v>199</v>
      </c>
    </row>
    <row r="73" spans="1:3" ht="15" x14ac:dyDescent="0.35">
      <c r="A73" s="7" t="s">
        <v>17</v>
      </c>
      <c r="B73" s="12">
        <v>43698</v>
      </c>
      <c r="C73" s="1">
        <v>873</v>
      </c>
    </row>
    <row r="74" spans="1:3" ht="15" x14ac:dyDescent="0.35">
      <c r="A74" s="7" t="s">
        <v>17</v>
      </c>
      <c r="B74" s="12">
        <v>43800</v>
      </c>
      <c r="C74" s="1">
        <v>694</v>
      </c>
    </row>
    <row r="75" spans="1:3" ht="15" x14ac:dyDescent="0.35">
      <c r="A75" s="7" t="s">
        <v>18</v>
      </c>
      <c r="B75" s="12">
        <v>43501</v>
      </c>
      <c r="C75" s="1">
        <v>747</v>
      </c>
    </row>
    <row r="76" spans="1:3" ht="15" x14ac:dyDescent="0.35">
      <c r="A76" s="7" t="s">
        <v>20</v>
      </c>
      <c r="B76" s="12">
        <v>43639</v>
      </c>
      <c r="C76" s="1">
        <v>408</v>
      </c>
    </row>
    <row r="77" spans="1:3" ht="15" x14ac:dyDescent="0.35">
      <c r="A77" s="7" t="s">
        <v>20</v>
      </c>
      <c r="B77" s="12">
        <v>43819</v>
      </c>
      <c r="C77" s="1">
        <v>892</v>
      </c>
    </row>
    <row r="78" spans="1:3" ht="15" x14ac:dyDescent="0.35">
      <c r="A78" s="7" t="s">
        <v>18</v>
      </c>
      <c r="B78" s="12">
        <v>43579</v>
      </c>
      <c r="C78" s="1">
        <v>423</v>
      </c>
    </row>
    <row r="79" spans="1:3" ht="15" x14ac:dyDescent="0.35">
      <c r="A79" s="7" t="s">
        <v>17</v>
      </c>
      <c r="B79" s="12">
        <v>43640</v>
      </c>
      <c r="C79" s="1">
        <v>957</v>
      </c>
    </row>
    <row r="80" spans="1:3" ht="15" x14ac:dyDescent="0.35">
      <c r="A80" s="7" t="s">
        <v>18</v>
      </c>
      <c r="B80" s="12">
        <v>43605</v>
      </c>
      <c r="C80" s="1">
        <v>19</v>
      </c>
    </row>
    <row r="81" spans="1:3" ht="15" x14ac:dyDescent="0.35">
      <c r="A81" s="7" t="s">
        <v>18</v>
      </c>
      <c r="B81" s="12">
        <v>43663</v>
      </c>
      <c r="C81" s="1">
        <v>492</v>
      </c>
    </row>
    <row r="82" spans="1:3" ht="15" x14ac:dyDescent="0.35">
      <c r="A82" s="7" t="s">
        <v>18</v>
      </c>
      <c r="B82" s="12">
        <v>43694</v>
      </c>
      <c r="C82" s="1">
        <v>523</v>
      </c>
    </row>
    <row r="83" spans="1:3" ht="15" x14ac:dyDescent="0.35">
      <c r="A83" s="7" t="s">
        <v>17</v>
      </c>
      <c r="B83" s="12">
        <v>43648</v>
      </c>
      <c r="C83" s="1">
        <v>533</v>
      </c>
    </row>
    <row r="84" spans="1:3" ht="15" x14ac:dyDescent="0.35">
      <c r="A84" s="7" t="s">
        <v>20</v>
      </c>
      <c r="B84" s="12">
        <v>43536</v>
      </c>
      <c r="C84" s="1">
        <v>7</v>
      </c>
    </row>
    <row r="85" spans="1:3" ht="15" x14ac:dyDescent="0.35">
      <c r="A85" s="7" t="s">
        <v>17</v>
      </c>
      <c r="B85" s="12">
        <v>43745</v>
      </c>
      <c r="C85" s="1">
        <v>140</v>
      </c>
    </row>
    <row r="86" spans="1:3" ht="15" x14ac:dyDescent="0.35">
      <c r="A86" s="7" t="s">
        <v>18</v>
      </c>
      <c r="B86" s="12">
        <v>43758</v>
      </c>
      <c r="C86" s="1">
        <v>766</v>
      </c>
    </row>
    <row r="87" spans="1:3" ht="15" x14ac:dyDescent="0.35">
      <c r="A87" s="7" t="s">
        <v>20</v>
      </c>
      <c r="B87" s="12">
        <v>43526</v>
      </c>
      <c r="C87" s="1">
        <v>886</v>
      </c>
    </row>
    <row r="88" spans="1:3" ht="15" x14ac:dyDescent="0.35">
      <c r="A88" s="7" t="s">
        <v>17</v>
      </c>
      <c r="B88" s="12">
        <v>43654</v>
      </c>
      <c r="C88" s="1">
        <v>131</v>
      </c>
    </row>
    <row r="89" spans="1:3" ht="15" x14ac:dyDescent="0.35">
      <c r="A89" s="7" t="s">
        <v>18</v>
      </c>
      <c r="B89" s="12">
        <v>43780</v>
      </c>
      <c r="C89" s="1">
        <v>229</v>
      </c>
    </row>
    <row r="90" spans="1:3" ht="15" x14ac:dyDescent="0.35">
      <c r="A90" s="7" t="s">
        <v>20</v>
      </c>
      <c r="B90" s="12">
        <v>43638</v>
      </c>
      <c r="C90" s="1">
        <v>791</v>
      </c>
    </row>
    <row r="91" spans="1:3" ht="15" x14ac:dyDescent="0.35">
      <c r="A91" s="7" t="s">
        <v>20</v>
      </c>
      <c r="B91" s="12">
        <v>43472</v>
      </c>
      <c r="C91" s="1">
        <v>435</v>
      </c>
    </row>
    <row r="92" spans="1:3" ht="15" x14ac:dyDescent="0.35">
      <c r="A92" s="7" t="s">
        <v>20</v>
      </c>
      <c r="B92" s="12">
        <v>43639</v>
      </c>
      <c r="C92" s="1">
        <v>496</v>
      </c>
    </row>
    <row r="93" spans="1:3" ht="15" x14ac:dyDescent="0.35">
      <c r="A93" s="7" t="s">
        <v>18</v>
      </c>
      <c r="B93" s="12">
        <v>43501</v>
      </c>
      <c r="C93" s="1">
        <v>167</v>
      </c>
    </row>
    <row r="94" spans="1:3" ht="15" x14ac:dyDescent="0.35">
      <c r="A94" s="7" t="s">
        <v>17</v>
      </c>
      <c r="B94" s="12">
        <v>43717</v>
      </c>
      <c r="C94" s="1">
        <v>549</v>
      </c>
    </row>
    <row r="95" spans="1:3" ht="15" x14ac:dyDescent="0.35">
      <c r="A95" s="7" t="s">
        <v>18</v>
      </c>
      <c r="B95" s="12">
        <v>43761</v>
      </c>
      <c r="C95" s="1">
        <v>288</v>
      </c>
    </row>
    <row r="96" spans="1:3" ht="15" x14ac:dyDescent="0.35">
      <c r="A96" s="7" t="s">
        <v>18</v>
      </c>
      <c r="B96" s="12">
        <v>43811</v>
      </c>
      <c r="C96" s="1">
        <v>956</v>
      </c>
    </row>
    <row r="97" spans="1:3" ht="15" x14ac:dyDescent="0.35">
      <c r="A97" s="7" t="s">
        <v>17</v>
      </c>
      <c r="B97" s="12">
        <v>43739</v>
      </c>
      <c r="C97" s="1">
        <v>166</v>
      </c>
    </row>
    <row r="98" spans="1:3" ht="15" x14ac:dyDescent="0.35">
      <c r="A98" s="7" t="s">
        <v>20</v>
      </c>
      <c r="B98" s="12">
        <v>43681</v>
      </c>
      <c r="C98" s="1">
        <v>832</v>
      </c>
    </row>
    <row r="99" spans="1:3" ht="15" x14ac:dyDescent="0.35">
      <c r="A99" s="7" t="s">
        <v>17</v>
      </c>
      <c r="B99" s="12">
        <v>43498</v>
      </c>
      <c r="C99" s="1">
        <v>915</v>
      </c>
    </row>
    <row r="100" spans="1:3" ht="15" x14ac:dyDescent="0.35">
      <c r="A100" s="7" t="s">
        <v>17</v>
      </c>
      <c r="B100" s="12">
        <v>43500</v>
      </c>
      <c r="C100" s="1">
        <v>348</v>
      </c>
    </row>
    <row r="101" spans="1:3" ht="15" x14ac:dyDescent="0.35">
      <c r="A101" s="7" t="s">
        <v>18</v>
      </c>
      <c r="B101" s="12">
        <v>43521</v>
      </c>
      <c r="C101" s="1">
        <v>152</v>
      </c>
    </row>
    <row r="102" spans="1:3" ht="15" x14ac:dyDescent="0.35">
      <c r="A102" s="7" t="s">
        <v>20</v>
      </c>
      <c r="B102" s="12">
        <v>43719</v>
      </c>
      <c r="C102" s="1">
        <v>141</v>
      </c>
    </row>
    <row r="103" spans="1:3" ht="15" x14ac:dyDescent="0.35">
      <c r="A103" s="7" t="s">
        <v>20</v>
      </c>
      <c r="B103" s="12">
        <v>43812</v>
      </c>
      <c r="C103" s="1">
        <v>187</v>
      </c>
    </row>
    <row r="104" spans="1:3" ht="15" x14ac:dyDescent="0.35">
      <c r="A104" s="7" t="s">
        <v>17</v>
      </c>
      <c r="B104" s="12">
        <v>43823</v>
      </c>
      <c r="C104" s="1">
        <v>257</v>
      </c>
    </row>
    <row r="105" spans="1:3" ht="15" x14ac:dyDescent="0.35">
      <c r="A105" s="7" t="s">
        <v>17</v>
      </c>
      <c r="B105" s="12">
        <v>43632</v>
      </c>
      <c r="C105" s="1">
        <v>927</v>
      </c>
    </row>
    <row r="106" spans="1:3" ht="15" x14ac:dyDescent="0.35">
      <c r="A106" s="7" t="s">
        <v>18</v>
      </c>
      <c r="B106" s="12">
        <v>43586</v>
      </c>
      <c r="C106" s="1">
        <v>216</v>
      </c>
    </row>
    <row r="107" spans="1:3" ht="15" x14ac:dyDescent="0.35">
      <c r="A107" s="7" t="s">
        <v>20</v>
      </c>
      <c r="B107" s="12">
        <v>43814</v>
      </c>
      <c r="C107" s="1">
        <v>11</v>
      </c>
    </row>
    <row r="108" spans="1:3" ht="15" x14ac:dyDescent="0.35">
      <c r="A108" s="7" t="s">
        <v>20</v>
      </c>
      <c r="B108" s="12">
        <v>43536</v>
      </c>
      <c r="C108" s="1">
        <v>778</v>
      </c>
    </row>
    <row r="109" spans="1:3" ht="15" x14ac:dyDescent="0.35">
      <c r="A109" s="7" t="s">
        <v>18</v>
      </c>
      <c r="B109" s="12">
        <v>43709</v>
      </c>
      <c r="C109" s="1">
        <v>614</v>
      </c>
    </row>
    <row r="110" spans="1:3" ht="15" x14ac:dyDescent="0.35">
      <c r="A110" s="7" t="s">
        <v>17</v>
      </c>
      <c r="B110" s="12">
        <v>43672</v>
      </c>
      <c r="C110" s="1">
        <v>11</v>
      </c>
    </row>
    <row r="111" spans="1:3" ht="15" x14ac:dyDescent="0.35">
      <c r="A111" s="7" t="s">
        <v>18</v>
      </c>
      <c r="B111" s="12">
        <v>43622</v>
      </c>
      <c r="C111" s="1">
        <v>798</v>
      </c>
    </row>
    <row r="112" spans="1:3" ht="15" x14ac:dyDescent="0.35">
      <c r="A112" s="7" t="s">
        <v>18</v>
      </c>
      <c r="B112" s="12">
        <v>43794</v>
      </c>
      <c r="C112" s="1">
        <v>876</v>
      </c>
    </row>
    <row r="113" spans="1:3" ht="15" x14ac:dyDescent="0.35">
      <c r="A113" s="7" t="s">
        <v>17</v>
      </c>
      <c r="B113" s="12">
        <v>43738</v>
      </c>
      <c r="C113" s="1">
        <v>510</v>
      </c>
    </row>
    <row r="114" spans="1:3" ht="15" x14ac:dyDescent="0.35">
      <c r="A114" s="7" t="s">
        <v>20</v>
      </c>
      <c r="B114" s="12">
        <v>43466</v>
      </c>
      <c r="C114" s="1">
        <v>488</v>
      </c>
    </row>
    <row r="115" spans="1:3" ht="15" x14ac:dyDescent="0.35">
      <c r="A115" s="7" t="s">
        <v>17</v>
      </c>
      <c r="B115" s="12">
        <v>43622</v>
      </c>
      <c r="C115" s="1">
        <v>631</v>
      </c>
    </row>
    <row r="116" spans="1:3" ht="15" x14ac:dyDescent="0.35">
      <c r="A116" s="7" t="s">
        <v>18</v>
      </c>
      <c r="B116" s="12">
        <v>43510</v>
      </c>
      <c r="C116" s="1">
        <v>839</v>
      </c>
    </row>
    <row r="117" spans="1:3" ht="15" x14ac:dyDescent="0.35">
      <c r="A117" s="7" t="s">
        <v>20</v>
      </c>
      <c r="B117" s="12">
        <v>43537</v>
      </c>
      <c r="C117" s="1">
        <v>67</v>
      </c>
    </row>
    <row r="118" spans="1:3" ht="15" x14ac:dyDescent="0.35">
      <c r="A118" s="7" t="s">
        <v>17</v>
      </c>
      <c r="B118" s="12">
        <v>43790</v>
      </c>
      <c r="C118" s="1">
        <v>523</v>
      </c>
    </row>
    <row r="119" spans="1:3" ht="15" x14ac:dyDescent="0.35">
      <c r="A119" s="7" t="s">
        <v>18</v>
      </c>
      <c r="B119" s="12">
        <v>43622</v>
      </c>
      <c r="C119" s="1">
        <v>815</v>
      </c>
    </row>
    <row r="120" spans="1:3" ht="15" x14ac:dyDescent="0.35">
      <c r="A120" s="7" t="s">
        <v>20</v>
      </c>
      <c r="B120" s="12">
        <v>43499</v>
      </c>
      <c r="C120" s="1">
        <v>293</v>
      </c>
    </row>
    <row r="121" spans="1:3" ht="15" x14ac:dyDescent="0.35">
      <c r="A121" s="7" t="s">
        <v>20</v>
      </c>
      <c r="B121" s="12">
        <v>43751</v>
      </c>
      <c r="C121" s="1">
        <v>616</v>
      </c>
    </row>
    <row r="122" spans="1:3" ht="15" x14ac:dyDescent="0.35">
      <c r="A122" s="7" t="s">
        <v>17</v>
      </c>
      <c r="B122" s="12">
        <v>43500</v>
      </c>
      <c r="C122" s="1">
        <v>18</v>
      </c>
    </row>
    <row r="123" spans="1:3" ht="15" x14ac:dyDescent="0.35">
      <c r="A123" s="7" t="s">
        <v>17</v>
      </c>
      <c r="B123" s="12">
        <v>43637</v>
      </c>
      <c r="C123" s="1">
        <v>891</v>
      </c>
    </row>
    <row r="124" spans="1:3" ht="15" x14ac:dyDescent="0.35">
      <c r="A124" s="7" t="s">
        <v>18</v>
      </c>
      <c r="B124" s="12">
        <v>43739</v>
      </c>
      <c r="C124" s="1">
        <v>439</v>
      </c>
    </row>
    <row r="125" spans="1:3" ht="15" x14ac:dyDescent="0.35">
      <c r="A125" s="7" t="s">
        <v>20</v>
      </c>
      <c r="B125" s="12">
        <v>43767</v>
      </c>
      <c r="C125" s="1">
        <v>290</v>
      </c>
    </row>
    <row r="126" spans="1:3" ht="15" x14ac:dyDescent="0.35">
      <c r="A126" s="7" t="s">
        <v>20</v>
      </c>
      <c r="B126" s="12">
        <v>43804</v>
      </c>
      <c r="C126" s="1">
        <v>120</v>
      </c>
    </row>
    <row r="127" spans="1:3" ht="15" x14ac:dyDescent="0.35">
      <c r="A127" s="7" t="s">
        <v>18</v>
      </c>
      <c r="B127" s="12">
        <v>43722</v>
      </c>
      <c r="C127" s="1">
        <v>308</v>
      </c>
    </row>
    <row r="128" spans="1:3" ht="15" x14ac:dyDescent="0.35">
      <c r="A128" s="7" t="s">
        <v>17</v>
      </c>
      <c r="B128" s="12">
        <v>43821</v>
      </c>
      <c r="C128" s="1">
        <v>70</v>
      </c>
    </row>
    <row r="129" spans="1:3" ht="15" x14ac:dyDescent="0.35">
      <c r="A129" s="7" t="s">
        <v>18</v>
      </c>
      <c r="B129" s="12">
        <v>43648</v>
      </c>
      <c r="C129" s="1">
        <v>502</v>
      </c>
    </row>
    <row r="130" spans="1:3" ht="15" x14ac:dyDescent="0.35">
      <c r="A130" s="7" t="s">
        <v>18</v>
      </c>
      <c r="B130" s="12">
        <v>43766</v>
      </c>
      <c r="C130" s="1">
        <v>194</v>
      </c>
    </row>
    <row r="131" spans="1:3" ht="15" x14ac:dyDescent="0.35">
      <c r="A131" s="7" t="s">
        <v>18</v>
      </c>
      <c r="B131" s="12">
        <v>43812</v>
      </c>
      <c r="C131" s="1">
        <v>350</v>
      </c>
    </row>
    <row r="132" spans="1:3" ht="15" x14ac:dyDescent="0.35">
      <c r="A132" s="7" t="s">
        <v>17</v>
      </c>
      <c r="B132" s="12">
        <v>43749</v>
      </c>
      <c r="C132" s="1">
        <v>609</v>
      </c>
    </row>
    <row r="133" spans="1:3" ht="15" x14ac:dyDescent="0.35">
      <c r="A133" s="7" t="s">
        <v>20</v>
      </c>
      <c r="B133" s="12">
        <v>43469</v>
      </c>
      <c r="C133" s="1">
        <v>936</v>
      </c>
    </row>
    <row r="134" spans="1:3" ht="15" x14ac:dyDescent="0.35">
      <c r="A134" s="7" t="s">
        <v>17</v>
      </c>
      <c r="B134" s="12">
        <v>43515</v>
      </c>
      <c r="C134" s="1">
        <v>51</v>
      </c>
    </row>
    <row r="135" spans="1:3" ht="15" x14ac:dyDescent="0.35">
      <c r="A135" s="7" t="s">
        <v>18</v>
      </c>
      <c r="B135" s="12">
        <v>43690</v>
      </c>
      <c r="C135" s="1">
        <v>396</v>
      </c>
    </row>
    <row r="136" spans="1:3" ht="15" x14ac:dyDescent="0.35">
      <c r="A136" s="7" t="s">
        <v>20</v>
      </c>
      <c r="B136" s="12">
        <v>43792</v>
      </c>
      <c r="C136" s="1">
        <v>366</v>
      </c>
    </row>
    <row r="137" spans="1:3" ht="15" x14ac:dyDescent="0.35">
      <c r="A137" s="7" t="s">
        <v>17</v>
      </c>
      <c r="B137" s="12">
        <v>43767</v>
      </c>
      <c r="C137" s="1">
        <v>534</v>
      </c>
    </row>
    <row r="138" spans="1:3" ht="15" x14ac:dyDescent="0.35">
      <c r="A138" s="7" t="s">
        <v>18</v>
      </c>
      <c r="B138" s="12">
        <v>43503</v>
      </c>
      <c r="C138" s="1">
        <v>249</v>
      </c>
    </row>
    <row r="139" spans="1:3" ht="15" x14ac:dyDescent="0.35">
      <c r="A139" s="7" t="s">
        <v>20</v>
      </c>
      <c r="B139" s="12">
        <v>43637</v>
      </c>
      <c r="C139" s="1">
        <v>963</v>
      </c>
    </row>
    <row r="140" spans="1:3" ht="15" x14ac:dyDescent="0.35">
      <c r="A140" s="7" t="s">
        <v>20</v>
      </c>
      <c r="B140" s="12">
        <v>43675</v>
      </c>
      <c r="C140" s="1">
        <v>429</v>
      </c>
    </row>
    <row r="141" spans="1:3" ht="15" x14ac:dyDescent="0.35">
      <c r="A141" s="7" t="s">
        <v>20</v>
      </c>
      <c r="B141" s="12">
        <v>43723</v>
      </c>
      <c r="C141" s="1">
        <v>715</v>
      </c>
    </row>
    <row r="142" spans="1:3" ht="15" x14ac:dyDescent="0.35">
      <c r="A142" s="7" t="s">
        <v>18</v>
      </c>
      <c r="B142" s="12">
        <v>43608</v>
      </c>
      <c r="C142" s="1">
        <v>483</v>
      </c>
    </row>
    <row r="143" spans="1:3" ht="15" x14ac:dyDescent="0.35">
      <c r="A143" s="7" t="s">
        <v>17</v>
      </c>
      <c r="B143" s="12">
        <v>43551</v>
      </c>
      <c r="C143" s="1">
        <v>603</v>
      </c>
    </row>
    <row r="144" spans="1:3" ht="15" x14ac:dyDescent="0.35">
      <c r="A144" s="7" t="s">
        <v>18</v>
      </c>
      <c r="B144" s="12">
        <v>43751</v>
      </c>
      <c r="C144" s="1">
        <v>110</v>
      </c>
    </row>
    <row r="145" spans="1:3" ht="15" x14ac:dyDescent="0.35">
      <c r="A145" s="7" t="s">
        <v>18</v>
      </c>
      <c r="B145" s="12">
        <v>43594</v>
      </c>
      <c r="C145" s="1">
        <v>511</v>
      </c>
    </row>
    <row r="146" spans="1:3" ht="15" x14ac:dyDescent="0.35">
      <c r="A146" s="7" t="s">
        <v>17</v>
      </c>
      <c r="B146" s="12">
        <v>43612</v>
      </c>
      <c r="C146" s="1">
        <v>103</v>
      </c>
    </row>
    <row r="147" spans="1:3" ht="15" x14ac:dyDescent="0.35">
      <c r="A147" s="7" t="s">
        <v>20</v>
      </c>
      <c r="B147" s="12">
        <v>43717</v>
      </c>
      <c r="C147" s="1">
        <v>765</v>
      </c>
    </row>
    <row r="148" spans="1:3" ht="15" x14ac:dyDescent="0.35">
      <c r="A148" s="7" t="s">
        <v>17</v>
      </c>
      <c r="B148" s="12">
        <v>43753</v>
      </c>
      <c r="C148" s="1">
        <v>408</v>
      </c>
    </row>
    <row r="149" spans="1:3" ht="15" x14ac:dyDescent="0.35">
      <c r="A149" s="7" t="s">
        <v>17</v>
      </c>
      <c r="B149" s="12">
        <v>43532</v>
      </c>
      <c r="C149" s="1">
        <v>238</v>
      </c>
    </row>
    <row r="150" spans="1:3" ht="15" x14ac:dyDescent="0.35">
      <c r="A150" s="7" t="s">
        <v>18</v>
      </c>
      <c r="B150" s="12">
        <v>43551</v>
      </c>
      <c r="C150" s="1">
        <v>682</v>
      </c>
    </row>
    <row r="151" spans="1:3" ht="15" x14ac:dyDescent="0.35">
      <c r="A151" s="7" t="s">
        <v>20</v>
      </c>
      <c r="B151" s="12">
        <v>43826</v>
      </c>
      <c r="C151" s="1">
        <v>968</v>
      </c>
    </row>
    <row r="152" spans="1:3" ht="15" x14ac:dyDescent="0.35">
      <c r="A152" s="7" t="s">
        <v>20</v>
      </c>
      <c r="B152" s="12">
        <v>43531</v>
      </c>
      <c r="C152" s="1">
        <v>186</v>
      </c>
    </row>
    <row r="153" spans="1:3" ht="15" x14ac:dyDescent="0.35">
      <c r="A153" s="7" t="s">
        <v>17</v>
      </c>
      <c r="B153" s="12">
        <v>43501</v>
      </c>
      <c r="C153" s="1">
        <v>541</v>
      </c>
    </row>
    <row r="154" spans="1:3" ht="15" x14ac:dyDescent="0.35">
      <c r="A154" s="7" t="s">
        <v>17</v>
      </c>
      <c r="B154" s="12">
        <v>43597</v>
      </c>
      <c r="C154" s="1">
        <v>156</v>
      </c>
    </row>
    <row r="155" spans="1:3" ht="15" x14ac:dyDescent="0.35">
      <c r="A155" s="7" t="s">
        <v>18</v>
      </c>
      <c r="B155" s="12">
        <v>43828</v>
      </c>
      <c r="C155" s="1">
        <v>383</v>
      </c>
    </row>
    <row r="156" spans="1:3" ht="15" x14ac:dyDescent="0.35">
      <c r="A156" s="7" t="s">
        <v>20</v>
      </c>
      <c r="B156" s="12">
        <v>43614</v>
      </c>
      <c r="C156" s="1">
        <v>242</v>
      </c>
    </row>
    <row r="157" spans="1:3" ht="15" x14ac:dyDescent="0.35">
      <c r="A157" s="7" t="s">
        <v>20</v>
      </c>
      <c r="B157" s="12">
        <v>43480</v>
      </c>
      <c r="C157" s="1">
        <v>386</v>
      </c>
    </row>
    <row r="158" spans="1:3" ht="15" x14ac:dyDescent="0.35">
      <c r="A158" s="7" t="s">
        <v>18</v>
      </c>
      <c r="B158" s="12">
        <v>43615</v>
      </c>
      <c r="C158" s="1">
        <v>766</v>
      </c>
    </row>
    <row r="159" spans="1:3" ht="15" x14ac:dyDescent="0.35">
      <c r="A159" s="7" t="s">
        <v>17</v>
      </c>
      <c r="B159" s="12">
        <v>43573</v>
      </c>
      <c r="C159" s="1">
        <v>574</v>
      </c>
    </row>
    <row r="160" spans="1:3" ht="15" x14ac:dyDescent="0.35">
      <c r="A160" s="7" t="s">
        <v>18</v>
      </c>
      <c r="B160" s="12">
        <v>43677</v>
      </c>
      <c r="C160" s="1">
        <v>251</v>
      </c>
    </row>
    <row r="161" spans="1:3" ht="15" x14ac:dyDescent="0.35">
      <c r="A161" s="7" t="s">
        <v>18</v>
      </c>
      <c r="B161" s="12">
        <v>43768</v>
      </c>
      <c r="C161" s="1">
        <v>579</v>
      </c>
    </row>
    <row r="162" spans="1:3" ht="15" x14ac:dyDescent="0.35">
      <c r="A162" s="7" t="s">
        <v>17</v>
      </c>
      <c r="B162" s="12">
        <v>43580</v>
      </c>
      <c r="C162" s="1">
        <v>473</v>
      </c>
    </row>
    <row r="163" spans="1:3" ht="15" x14ac:dyDescent="0.35">
      <c r="A163" s="7" t="s">
        <v>20</v>
      </c>
      <c r="B163" s="12">
        <v>43815</v>
      </c>
      <c r="C163" s="1">
        <v>292</v>
      </c>
    </row>
    <row r="164" spans="1:3" ht="15" x14ac:dyDescent="0.35">
      <c r="A164" s="7" t="s">
        <v>17</v>
      </c>
      <c r="B164" s="12">
        <v>43817</v>
      </c>
      <c r="C164" s="1">
        <v>815</v>
      </c>
    </row>
    <row r="165" spans="1:3" ht="15" x14ac:dyDescent="0.35">
      <c r="A165" s="7" t="s">
        <v>18</v>
      </c>
      <c r="B165" s="12">
        <v>43692</v>
      </c>
      <c r="C165" s="1">
        <v>704</v>
      </c>
    </row>
    <row r="166" spans="1:3" ht="15" x14ac:dyDescent="0.35">
      <c r="A166" s="7" t="s">
        <v>20</v>
      </c>
      <c r="B166" s="12">
        <v>43524</v>
      </c>
      <c r="C166" s="1">
        <v>553</v>
      </c>
    </row>
    <row r="167" spans="1:3" ht="15" x14ac:dyDescent="0.35">
      <c r="A167" s="7" t="s">
        <v>17</v>
      </c>
      <c r="B167" s="12">
        <v>43639</v>
      </c>
      <c r="C167" s="1">
        <v>151</v>
      </c>
    </row>
    <row r="168" spans="1:3" ht="15" x14ac:dyDescent="0.35">
      <c r="A168" s="7" t="s">
        <v>18</v>
      </c>
      <c r="B168" s="12">
        <v>43560</v>
      </c>
      <c r="C168" s="1">
        <v>768</v>
      </c>
    </row>
    <row r="169" spans="1:3" ht="15" x14ac:dyDescent="0.35">
      <c r="A169" s="7" t="s">
        <v>20</v>
      </c>
      <c r="B169" s="12">
        <v>43616</v>
      </c>
      <c r="C169" s="1">
        <v>6</v>
      </c>
    </row>
    <row r="170" spans="1:3" ht="15" x14ac:dyDescent="0.35">
      <c r="A170" s="7" t="s">
        <v>20</v>
      </c>
      <c r="B170" s="12">
        <v>43670</v>
      </c>
      <c r="C170" s="1">
        <v>981</v>
      </c>
    </row>
    <row r="171" spans="1:3" ht="15" x14ac:dyDescent="0.35">
      <c r="A171" s="7" t="s">
        <v>17</v>
      </c>
      <c r="B171" s="12">
        <v>43628</v>
      </c>
      <c r="C171" s="1">
        <v>580</v>
      </c>
    </row>
    <row r="172" spans="1:3" ht="15" x14ac:dyDescent="0.35">
      <c r="A172" s="7" t="s">
        <v>17</v>
      </c>
      <c r="B172" s="12">
        <v>43775</v>
      </c>
      <c r="C172" s="1">
        <v>876</v>
      </c>
    </row>
    <row r="173" spans="1:3" ht="15" x14ac:dyDescent="0.35">
      <c r="A173" s="7" t="s">
        <v>18</v>
      </c>
      <c r="B173" s="12">
        <v>43532</v>
      </c>
      <c r="C173" s="1">
        <v>542</v>
      </c>
    </row>
    <row r="174" spans="1:3" ht="15" x14ac:dyDescent="0.35">
      <c r="A174" s="7" t="s">
        <v>20</v>
      </c>
      <c r="B174" s="12">
        <v>43699</v>
      </c>
      <c r="C174" s="1">
        <v>482</v>
      </c>
    </row>
    <row r="175" spans="1:3" ht="15" x14ac:dyDescent="0.35">
      <c r="A175" s="7" t="s">
        <v>20</v>
      </c>
      <c r="B175" s="12">
        <v>43651</v>
      </c>
      <c r="C175" s="1">
        <v>547</v>
      </c>
    </row>
    <row r="176" spans="1:3" ht="15" x14ac:dyDescent="0.35">
      <c r="A176" s="7" t="s">
        <v>18</v>
      </c>
      <c r="B176" s="12">
        <v>43678</v>
      </c>
      <c r="C176" s="1">
        <v>600</v>
      </c>
    </row>
    <row r="177" spans="1:3" ht="15" x14ac:dyDescent="0.35">
      <c r="A177" s="7" t="s">
        <v>17</v>
      </c>
      <c r="B177" s="12">
        <v>43694</v>
      </c>
      <c r="C177" s="1">
        <v>381</v>
      </c>
    </row>
    <row r="178" spans="1:3" ht="15" x14ac:dyDescent="0.35">
      <c r="A178" s="7" t="s">
        <v>18</v>
      </c>
      <c r="B178" s="12">
        <v>43536</v>
      </c>
      <c r="C178" s="1">
        <v>460</v>
      </c>
    </row>
    <row r="179" spans="1:3" ht="15" x14ac:dyDescent="0.35">
      <c r="A179" s="7" t="s">
        <v>18</v>
      </c>
      <c r="B179" s="12">
        <v>43799</v>
      </c>
      <c r="C179" s="1">
        <v>211</v>
      </c>
    </row>
    <row r="180" spans="1:3" ht="15" x14ac:dyDescent="0.35">
      <c r="A180" s="7" t="s">
        <v>18</v>
      </c>
      <c r="B180" s="12">
        <v>43755</v>
      </c>
      <c r="C180" s="1">
        <v>563</v>
      </c>
    </row>
    <row r="181" spans="1:3" ht="15" x14ac:dyDescent="0.35">
      <c r="A181" s="7" t="s">
        <v>17</v>
      </c>
      <c r="B181" s="12">
        <v>43757</v>
      </c>
      <c r="C181" s="1">
        <v>424</v>
      </c>
    </row>
    <row r="182" spans="1:3" ht="15" x14ac:dyDescent="0.35">
      <c r="A182" s="7" t="s">
        <v>20</v>
      </c>
      <c r="B182" s="12">
        <v>43782</v>
      </c>
      <c r="C182" s="1">
        <v>394</v>
      </c>
    </row>
    <row r="183" spans="1:3" ht="15" x14ac:dyDescent="0.35">
      <c r="A183" s="7" t="s">
        <v>17</v>
      </c>
      <c r="B183" s="12">
        <v>43684</v>
      </c>
      <c r="C183" s="1">
        <v>695</v>
      </c>
    </row>
    <row r="184" spans="1:3" ht="15" x14ac:dyDescent="0.35">
      <c r="A184" s="7" t="s">
        <v>18</v>
      </c>
      <c r="B184" s="12">
        <v>43803</v>
      </c>
      <c r="C184" s="1">
        <v>394</v>
      </c>
    </row>
    <row r="185" spans="1:3" ht="15" x14ac:dyDescent="0.35">
      <c r="A185" s="7" t="s">
        <v>20</v>
      </c>
      <c r="B185" s="12">
        <v>43819</v>
      </c>
      <c r="C185" s="1">
        <v>731</v>
      </c>
    </row>
    <row r="186" spans="1:3" ht="15" x14ac:dyDescent="0.35">
      <c r="A186" s="7" t="s">
        <v>17</v>
      </c>
      <c r="B186" s="12">
        <v>43761</v>
      </c>
      <c r="C186" s="1">
        <v>416</v>
      </c>
    </row>
    <row r="187" spans="1:3" ht="15" x14ac:dyDescent="0.35">
      <c r="A187" s="7" t="s">
        <v>18</v>
      </c>
      <c r="B187" s="12">
        <v>43775</v>
      </c>
      <c r="C187" s="1">
        <v>170</v>
      </c>
    </row>
    <row r="188" spans="1:3" ht="15" x14ac:dyDescent="0.35">
      <c r="A188" s="7" t="s">
        <v>20</v>
      </c>
      <c r="B188" s="12">
        <v>43477</v>
      </c>
      <c r="C188" s="1">
        <v>215</v>
      </c>
    </row>
    <row r="189" spans="1:3" ht="15" x14ac:dyDescent="0.35">
      <c r="A189" s="7" t="s">
        <v>20</v>
      </c>
      <c r="B189" s="12">
        <v>43680</v>
      </c>
      <c r="C189" s="1">
        <v>688</v>
      </c>
    </row>
    <row r="190" spans="1:3" ht="15" x14ac:dyDescent="0.35">
      <c r="A190" s="7" t="s">
        <v>20</v>
      </c>
      <c r="B190" s="12">
        <v>43717</v>
      </c>
      <c r="C190" s="1">
        <v>465</v>
      </c>
    </row>
    <row r="191" spans="1:3" ht="15" x14ac:dyDescent="0.35">
      <c r="A191" s="7" t="s">
        <v>18</v>
      </c>
      <c r="B191" s="12">
        <v>43466</v>
      </c>
      <c r="C191" s="1">
        <v>11</v>
      </c>
    </row>
    <row r="192" spans="1:3" ht="15" x14ac:dyDescent="0.35">
      <c r="A192" s="7" t="s">
        <v>17</v>
      </c>
      <c r="B192" s="12">
        <v>43745</v>
      </c>
      <c r="C192" s="1">
        <v>868</v>
      </c>
    </row>
    <row r="193" spans="1:3" ht="15" x14ac:dyDescent="0.35">
      <c r="A193" s="7" t="s">
        <v>18</v>
      </c>
      <c r="B193" s="12">
        <v>43711</v>
      </c>
      <c r="C193" s="1">
        <v>236</v>
      </c>
    </row>
    <row r="194" spans="1:3" ht="15" x14ac:dyDescent="0.35">
      <c r="A194" s="7" t="s">
        <v>18</v>
      </c>
      <c r="B194" s="12">
        <v>43810</v>
      </c>
      <c r="C194" s="1">
        <v>659</v>
      </c>
    </row>
    <row r="195" spans="1:3" ht="15" x14ac:dyDescent="0.35">
      <c r="A195" s="7" t="s">
        <v>17</v>
      </c>
      <c r="B195" s="12">
        <v>43673</v>
      </c>
      <c r="C195" s="1">
        <v>649</v>
      </c>
    </row>
    <row r="196" spans="1:3" ht="15" x14ac:dyDescent="0.35">
      <c r="A196" s="7" t="s">
        <v>20</v>
      </c>
      <c r="B196" s="12">
        <v>43516</v>
      </c>
      <c r="C196" s="1">
        <v>745</v>
      </c>
    </row>
    <row r="197" spans="1:3" ht="15" x14ac:dyDescent="0.35">
      <c r="A197" s="7" t="s">
        <v>17</v>
      </c>
      <c r="B197" s="12">
        <v>43645</v>
      </c>
      <c r="C197" s="1">
        <v>165</v>
      </c>
    </row>
    <row r="198" spans="1:3" ht="15" x14ac:dyDescent="0.35">
      <c r="A198" s="7" t="s">
        <v>17</v>
      </c>
      <c r="B198" s="12">
        <v>43724</v>
      </c>
      <c r="C198" s="1">
        <v>969</v>
      </c>
    </row>
    <row r="199" spans="1:3" ht="15" x14ac:dyDescent="0.35">
      <c r="A199" s="7" t="s">
        <v>18</v>
      </c>
      <c r="B199" s="12">
        <v>43777</v>
      </c>
      <c r="C199" s="1">
        <v>90</v>
      </c>
    </row>
    <row r="200" spans="1:3" ht="15" x14ac:dyDescent="0.35">
      <c r="A200" s="7" t="s">
        <v>20</v>
      </c>
      <c r="B200" s="12">
        <v>43683</v>
      </c>
      <c r="C200" s="1">
        <v>623</v>
      </c>
    </row>
    <row r="201" spans="1:3" ht="15" x14ac:dyDescent="0.35">
      <c r="A201" s="7" t="s">
        <v>20</v>
      </c>
      <c r="B201" s="12">
        <v>43773</v>
      </c>
      <c r="C201" s="1">
        <v>677</v>
      </c>
    </row>
    <row r="202" spans="1:3" ht="15" x14ac:dyDescent="0.35">
      <c r="A202" s="7" t="s">
        <v>17</v>
      </c>
      <c r="B202" s="12">
        <v>43501</v>
      </c>
      <c r="C202" s="1">
        <v>446</v>
      </c>
    </row>
    <row r="203" spans="1:3" ht="15" x14ac:dyDescent="0.35">
      <c r="A203" s="7" t="s">
        <v>17</v>
      </c>
      <c r="B203" s="12">
        <v>43588</v>
      </c>
      <c r="C203" s="1">
        <v>837</v>
      </c>
    </row>
    <row r="204" spans="1:3" ht="15" x14ac:dyDescent="0.35">
      <c r="A204" s="7" t="s">
        <v>18</v>
      </c>
      <c r="B204" s="12">
        <v>43577</v>
      </c>
      <c r="C204" s="1">
        <v>607</v>
      </c>
    </row>
    <row r="205" spans="1:3" ht="15" x14ac:dyDescent="0.35">
      <c r="A205" s="7" t="s">
        <v>20</v>
      </c>
      <c r="B205" s="12">
        <v>43487</v>
      </c>
      <c r="C205" s="1">
        <v>517</v>
      </c>
    </row>
    <row r="206" spans="1:3" ht="15" x14ac:dyDescent="0.35">
      <c r="A206" s="7" t="s">
        <v>20</v>
      </c>
      <c r="B206" s="12">
        <v>43532</v>
      </c>
      <c r="C206" s="1">
        <v>452</v>
      </c>
    </row>
    <row r="207" spans="1:3" ht="15" x14ac:dyDescent="0.35">
      <c r="A207" s="7" t="s">
        <v>18</v>
      </c>
      <c r="B207" s="12">
        <v>43712</v>
      </c>
      <c r="C207" s="1">
        <v>370</v>
      </c>
    </row>
    <row r="208" spans="1:3" ht="15" x14ac:dyDescent="0.35">
      <c r="A208" s="7" t="s">
        <v>17</v>
      </c>
      <c r="B208" s="12">
        <v>43695</v>
      </c>
      <c r="C208" s="1">
        <v>310</v>
      </c>
    </row>
    <row r="209" spans="1:3" ht="15" x14ac:dyDescent="0.35">
      <c r="A209" s="7" t="s">
        <v>18</v>
      </c>
      <c r="B209" s="12">
        <v>43690</v>
      </c>
      <c r="C209" s="1">
        <v>403</v>
      </c>
    </row>
    <row r="210" spans="1:3" ht="15" x14ac:dyDescent="0.35">
      <c r="A210" s="7" t="s">
        <v>18</v>
      </c>
      <c r="B210" s="12">
        <v>43688</v>
      </c>
      <c r="C210" s="1">
        <v>495</v>
      </c>
    </row>
    <row r="211" spans="1:3" ht="15" x14ac:dyDescent="0.35">
      <c r="A211" s="7" t="s">
        <v>17</v>
      </c>
      <c r="B211" s="12">
        <v>43489</v>
      </c>
      <c r="C211" s="1">
        <v>425</v>
      </c>
    </row>
    <row r="212" spans="1:3" ht="15" x14ac:dyDescent="0.35">
      <c r="A212" s="7" t="s">
        <v>20</v>
      </c>
      <c r="B212" s="12">
        <v>43691</v>
      </c>
      <c r="C212" s="1">
        <v>195</v>
      </c>
    </row>
    <row r="213" spans="1:3" ht="15" x14ac:dyDescent="0.35">
      <c r="A213" s="7" t="s">
        <v>17</v>
      </c>
      <c r="B213" s="12">
        <v>43506</v>
      </c>
      <c r="C213" s="1">
        <v>653</v>
      </c>
    </row>
    <row r="214" spans="1:3" ht="15" x14ac:dyDescent="0.35">
      <c r="A214" s="7" t="s">
        <v>18</v>
      </c>
      <c r="B214" s="12">
        <v>43815</v>
      </c>
      <c r="C214" s="1">
        <v>940</v>
      </c>
    </row>
    <row r="215" spans="1:3" ht="15" x14ac:dyDescent="0.35">
      <c r="A215" s="7" t="s">
        <v>20</v>
      </c>
      <c r="B215" s="12">
        <v>43761</v>
      </c>
      <c r="C215" s="1">
        <v>349</v>
      </c>
    </row>
    <row r="216" spans="1:3" ht="15" x14ac:dyDescent="0.35">
      <c r="A216" s="7" t="s">
        <v>17</v>
      </c>
      <c r="B216" s="12">
        <v>43468</v>
      </c>
      <c r="C216" s="1">
        <v>301</v>
      </c>
    </row>
    <row r="217" spans="1:3" ht="15" x14ac:dyDescent="0.35">
      <c r="A217" s="7" t="s">
        <v>18</v>
      </c>
      <c r="B217" s="12">
        <v>43721</v>
      </c>
      <c r="C217" s="1">
        <v>459</v>
      </c>
    </row>
    <row r="218" spans="1:3" ht="15" x14ac:dyDescent="0.35">
      <c r="A218" s="7" t="s">
        <v>20</v>
      </c>
      <c r="B218" s="12">
        <v>43760</v>
      </c>
      <c r="C218" s="1">
        <v>238</v>
      </c>
    </row>
    <row r="219" spans="1:3" ht="15" x14ac:dyDescent="0.35">
      <c r="A219" s="7" t="s">
        <v>20</v>
      </c>
      <c r="B219" s="12">
        <v>43828</v>
      </c>
      <c r="C219" s="1">
        <v>154</v>
      </c>
    </row>
    <row r="220" spans="1:3" ht="15" x14ac:dyDescent="0.35">
      <c r="A220" s="7" t="s">
        <v>17</v>
      </c>
      <c r="B220" s="12">
        <v>43665</v>
      </c>
      <c r="C220" s="1">
        <v>110</v>
      </c>
    </row>
    <row r="221" spans="1:3" ht="15" x14ac:dyDescent="0.35">
      <c r="A221" s="7" t="s">
        <v>17</v>
      </c>
      <c r="B221" s="12">
        <v>43736</v>
      </c>
      <c r="C221" s="1">
        <v>162</v>
      </c>
    </row>
    <row r="222" spans="1:3" ht="15" x14ac:dyDescent="0.35">
      <c r="A222" s="7" t="s">
        <v>18</v>
      </c>
      <c r="B222" s="12">
        <v>43753</v>
      </c>
      <c r="C222" s="1">
        <v>272</v>
      </c>
    </row>
    <row r="223" spans="1:3" ht="15" x14ac:dyDescent="0.35">
      <c r="A223" s="7" t="s">
        <v>20</v>
      </c>
      <c r="B223" s="12">
        <v>43726</v>
      </c>
      <c r="C223" s="1">
        <v>8</v>
      </c>
    </row>
    <row r="224" spans="1:3" ht="15" x14ac:dyDescent="0.35">
      <c r="A224" s="7" t="s">
        <v>20</v>
      </c>
      <c r="B224" s="12">
        <v>43713</v>
      </c>
      <c r="C224" s="1">
        <v>166</v>
      </c>
    </row>
    <row r="225" spans="1:3" ht="15" x14ac:dyDescent="0.35">
      <c r="A225" s="7" t="s">
        <v>18</v>
      </c>
      <c r="B225" s="12">
        <v>43788</v>
      </c>
      <c r="C225" s="1">
        <v>399</v>
      </c>
    </row>
    <row r="226" spans="1:3" ht="15" x14ac:dyDescent="0.35">
      <c r="A226" s="7" t="s">
        <v>17</v>
      </c>
      <c r="B226" s="12">
        <v>43489</v>
      </c>
      <c r="C226" s="1">
        <v>261</v>
      </c>
    </row>
    <row r="227" spans="1:3" ht="15" x14ac:dyDescent="0.35">
      <c r="A227" s="7" t="s">
        <v>18</v>
      </c>
      <c r="B227" s="12">
        <v>43696</v>
      </c>
      <c r="C227" s="1">
        <v>26</v>
      </c>
    </row>
    <row r="228" spans="1:3" ht="15" x14ac:dyDescent="0.35">
      <c r="A228" s="7" t="s">
        <v>18</v>
      </c>
      <c r="B228" s="12">
        <v>43490</v>
      </c>
      <c r="C228" s="1">
        <v>854</v>
      </c>
    </row>
    <row r="229" spans="1:3" ht="15" x14ac:dyDescent="0.35">
      <c r="A229" s="7" t="s">
        <v>18</v>
      </c>
      <c r="B229" s="12">
        <v>43561</v>
      </c>
      <c r="C229" s="1">
        <v>94</v>
      </c>
    </row>
    <row r="230" spans="1:3" ht="15" x14ac:dyDescent="0.35">
      <c r="A230" s="7" t="s">
        <v>17</v>
      </c>
      <c r="B230" s="12">
        <v>43816</v>
      </c>
      <c r="C230" s="1">
        <v>244</v>
      </c>
    </row>
    <row r="231" spans="1:3" ht="15" x14ac:dyDescent="0.35">
      <c r="A231" s="7" t="s">
        <v>20</v>
      </c>
      <c r="B231" s="12">
        <v>43813</v>
      </c>
      <c r="C231" s="1">
        <v>194</v>
      </c>
    </row>
    <row r="232" spans="1:3" ht="15" x14ac:dyDescent="0.35">
      <c r="A232" s="7" t="s">
        <v>17</v>
      </c>
      <c r="B232" s="12">
        <v>43466</v>
      </c>
      <c r="C232" s="1">
        <v>186</v>
      </c>
    </row>
    <row r="233" spans="1:3" ht="15" x14ac:dyDescent="0.35">
      <c r="A233" s="7" t="s">
        <v>18</v>
      </c>
      <c r="B233" s="12">
        <v>43660</v>
      </c>
      <c r="C233" s="1">
        <v>263</v>
      </c>
    </row>
    <row r="234" spans="1:3" ht="15" x14ac:dyDescent="0.35">
      <c r="A234" s="7" t="s">
        <v>20</v>
      </c>
      <c r="B234" s="12">
        <v>43634</v>
      </c>
      <c r="C234" s="1">
        <v>598</v>
      </c>
    </row>
    <row r="235" spans="1:3" ht="15" x14ac:dyDescent="0.35">
      <c r="A235" s="7" t="s">
        <v>17</v>
      </c>
      <c r="B235" s="12">
        <v>43640</v>
      </c>
      <c r="C235" s="1">
        <v>716</v>
      </c>
    </row>
    <row r="236" spans="1:3" ht="15" x14ac:dyDescent="0.35">
      <c r="A236" s="7" t="s">
        <v>18</v>
      </c>
      <c r="B236" s="12">
        <v>43557</v>
      </c>
      <c r="C236" s="1">
        <v>605</v>
      </c>
    </row>
    <row r="237" spans="1:3" ht="15" x14ac:dyDescent="0.35">
      <c r="A237" s="7" t="s">
        <v>20</v>
      </c>
      <c r="B237" s="12">
        <v>43744</v>
      </c>
      <c r="C237" s="1">
        <v>147</v>
      </c>
    </row>
    <row r="238" spans="1:3" ht="15" x14ac:dyDescent="0.35">
      <c r="A238" s="7" t="s">
        <v>20</v>
      </c>
      <c r="B238" s="12">
        <v>43752</v>
      </c>
      <c r="C238" s="1">
        <v>251</v>
      </c>
    </row>
    <row r="239" spans="1:3" ht="15" x14ac:dyDescent="0.35">
      <c r="A239" s="7" t="s">
        <v>20</v>
      </c>
      <c r="B239" s="12">
        <v>43476</v>
      </c>
      <c r="C239" s="1">
        <v>385</v>
      </c>
    </row>
    <row r="240" spans="1:3" ht="15" x14ac:dyDescent="0.35">
      <c r="A240" s="7" t="s">
        <v>18</v>
      </c>
      <c r="B240" s="12">
        <v>43827</v>
      </c>
      <c r="C240" s="1">
        <v>931</v>
      </c>
    </row>
    <row r="241" spans="1:3" ht="15" x14ac:dyDescent="0.35">
      <c r="A241" s="7" t="s">
        <v>17</v>
      </c>
      <c r="B241" s="12">
        <v>43678</v>
      </c>
      <c r="C241" s="1">
        <v>776</v>
      </c>
    </row>
    <row r="242" spans="1:3" ht="15" x14ac:dyDescent="0.35">
      <c r="A242" s="7" t="s">
        <v>18</v>
      </c>
      <c r="B242" s="12">
        <v>43642</v>
      </c>
      <c r="C242" s="1">
        <v>823</v>
      </c>
    </row>
    <row r="243" spans="1:3" ht="15" x14ac:dyDescent="0.35">
      <c r="A243" s="7" t="s">
        <v>18</v>
      </c>
      <c r="B243" s="12">
        <v>43760</v>
      </c>
      <c r="C243" s="1">
        <v>745</v>
      </c>
    </row>
    <row r="244" spans="1:3" ht="15" x14ac:dyDescent="0.35">
      <c r="A244" s="7" t="s">
        <v>17</v>
      </c>
      <c r="B244" s="12">
        <v>43657</v>
      </c>
      <c r="C244" s="1">
        <v>704</v>
      </c>
    </row>
    <row r="245" spans="1:3" ht="15" x14ac:dyDescent="0.35">
      <c r="A245" s="7" t="s">
        <v>20</v>
      </c>
      <c r="B245" s="12">
        <v>43559</v>
      </c>
      <c r="C245" s="1">
        <v>200</v>
      </c>
    </row>
    <row r="246" spans="1:3" ht="15" x14ac:dyDescent="0.35">
      <c r="A246" s="7" t="s">
        <v>17</v>
      </c>
      <c r="B246" s="12">
        <v>43647</v>
      </c>
      <c r="C246" s="1">
        <v>86</v>
      </c>
    </row>
    <row r="247" spans="1:3" ht="15" x14ac:dyDescent="0.35">
      <c r="A247" s="7" t="s">
        <v>17</v>
      </c>
      <c r="B247" s="12">
        <v>43766</v>
      </c>
      <c r="C247" s="1">
        <v>909</v>
      </c>
    </row>
    <row r="248" spans="1:3" ht="15" x14ac:dyDescent="0.35">
      <c r="A248" s="7" t="s">
        <v>18</v>
      </c>
      <c r="B248" s="12">
        <v>43653</v>
      </c>
      <c r="C248" s="1">
        <v>122</v>
      </c>
    </row>
    <row r="249" spans="1:3" ht="15" x14ac:dyDescent="0.35">
      <c r="A249" s="7" t="s">
        <v>20</v>
      </c>
      <c r="B249" s="12">
        <v>43570</v>
      </c>
      <c r="C249" s="1">
        <v>213</v>
      </c>
    </row>
    <row r="250" spans="1:3" ht="15" x14ac:dyDescent="0.35">
      <c r="A250" s="7" t="s">
        <v>20</v>
      </c>
      <c r="B250" s="12">
        <v>43572</v>
      </c>
      <c r="C250" s="1">
        <v>546</v>
      </c>
    </row>
    <row r="251" spans="1:3" ht="15" x14ac:dyDescent="0.35">
      <c r="A251" s="7" t="s">
        <v>17</v>
      </c>
      <c r="B251" s="12">
        <v>43636</v>
      </c>
      <c r="C251" s="1">
        <v>737</v>
      </c>
    </row>
    <row r="252" spans="1:3" ht="15" x14ac:dyDescent="0.35">
      <c r="A252" s="7" t="s">
        <v>17</v>
      </c>
      <c r="B252" s="12">
        <v>43651</v>
      </c>
      <c r="C252" s="1">
        <v>238</v>
      </c>
    </row>
    <row r="253" spans="1:3" ht="15" x14ac:dyDescent="0.35">
      <c r="A253" s="7" t="s">
        <v>18</v>
      </c>
      <c r="B253" s="12">
        <v>43661</v>
      </c>
      <c r="C253" s="1">
        <v>464</v>
      </c>
    </row>
    <row r="254" spans="1:3" ht="15" x14ac:dyDescent="0.35">
      <c r="A254" s="7" t="s">
        <v>20</v>
      </c>
      <c r="B254" s="12">
        <v>43746</v>
      </c>
      <c r="C254" s="1">
        <v>579</v>
      </c>
    </row>
    <row r="255" spans="1:3" ht="15" x14ac:dyDescent="0.35">
      <c r="A255" s="7" t="s">
        <v>20</v>
      </c>
      <c r="B255" s="12">
        <v>43517</v>
      </c>
      <c r="C255" s="1">
        <v>243</v>
      </c>
    </row>
    <row r="256" spans="1:3" ht="15" x14ac:dyDescent="0.35">
      <c r="A256" s="7" t="s">
        <v>18</v>
      </c>
      <c r="B256" s="12">
        <v>43748</v>
      </c>
      <c r="C256" s="1">
        <v>587</v>
      </c>
    </row>
    <row r="257" spans="1:3" ht="15" x14ac:dyDescent="0.35">
      <c r="A257" s="7" t="s">
        <v>17</v>
      </c>
      <c r="B257" s="12">
        <v>43540</v>
      </c>
      <c r="C257" s="1">
        <v>520</v>
      </c>
    </row>
    <row r="258" spans="1:3" ht="15" x14ac:dyDescent="0.35">
      <c r="A258" s="7" t="s">
        <v>18</v>
      </c>
      <c r="B258" s="12">
        <v>43757</v>
      </c>
      <c r="C258" s="1">
        <v>144</v>
      </c>
    </row>
    <row r="259" spans="1:3" ht="15" x14ac:dyDescent="0.35">
      <c r="A259" s="7" t="s">
        <v>18</v>
      </c>
      <c r="B259" s="12">
        <v>43680</v>
      </c>
      <c r="C259" s="1">
        <v>3</v>
      </c>
    </row>
    <row r="260" spans="1:3" ht="15" x14ac:dyDescent="0.35">
      <c r="A260" s="7" t="s">
        <v>17</v>
      </c>
      <c r="B260" s="12">
        <v>43611</v>
      </c>
      <c r="C260" s="1">
        <v>903</v>
      </c>
    </row>
    <row r="261" spans="1:3" ht="15" x14ac:dyDescent="0.35">
      <c r="A261" s="7" t="s">
        <v>20</v>
      </c>
      <c r="B261" s="12">
        <v>43486</v>
      </c>
      <c r="C261" s="1">
        <v>214</v>
      </c>
    </row>
    <row r="262" spans="1:3" ht="15" x14ac:dyDescent="0.35">
      <c r="A262" s="7" t="s">
        <v>17</v>
      </c>
      <c r="B262" s="12">
        <v>43620</v>
      </c>
      <c r="C262" s="1">
        <v>536</v>
      </c>
    </row>
    <row r="263" spans="1:3" ht="15" x14ac:dyDescent="0.35">
      <c r="A263" s="7" t="s">
        <v>18</v>
      </c>
      <c r="B263" s="12">
        <v>43654</v>
      </c>
      <c r="C263" s="1">
        <v>519</v>
      </c>
    </row>
    <row r="264" spans="1:3" ht="15" x14ac:dyDescent="0.35">
      <c r="A264" s="7" t="s">
        <v>20</v>
      </c>
      <c r="B264" s="12">
        <v>43715</v>
      </c>
      <c r="C264" s="1">
        <v>142</v>
      </c>
    </row>
    <row r="265" spans="1:3" ht="15" x14ac:dyDescent="0.35">
      <c r="A265" s="7" t="s">
        <v>17</v>
      </c>
      <c r="B265" s="12">
        <v>43610</v>
      </c>
      <c r="C265" s="1">
        <v>329</v>
      </c>
    </row>
    <row r="266" spans="1:3" ht="15" x14ac:dyDescent="0.35">
      <c r="A266" s="7" t="s">
        <v>18</v>
      </c>
      <c r="B266" s="12">
        <v>43830</v>
      </c>
      <c r="C266" s="1">
        <v>620</v>
      </c>
    </row>
    <row r="267" spans="1:3" ht="15" x14ac:dyDescent="0.35">
      <c r="A267" s="7" t="s">
        <v>20</v>
      </c>
      <c r="B267" s="12">
        <v>43549</v>
      </c>
      <c r="C267" s="1">
        <v>56</v>
      </c>
    </row>
    <row r="268" spans="1:3" ht="15" x14ac:dyDescent="0.35">
      <c r="A268" s="7" t="s">
        <v>20</v>
      </c>
      <c r="B268" s="12">
        <v>43708</v>
      </c>
      <c r="C268" s="1">
        <v>52</v>
      </c>
    </row>
    <row r="269" spans="1:3" ht="15" x14ac:dyDescent="0.35">
      <c r="A269" s="7" t="s">
        <v>17</v>
      </c>
      <c r="B269" s="12">
        <v>43658</v>
      </c>
      <c r="C269" s="1">
        <v>167</v>
      </c>
    </row>
    <row r="270" spans="1:3" ht="15" x14ac:dyDescent="0.35">
      <c r="A270" s="7" t="s">
        <v>17</v>
      </c>
      <c r="B270" s="12">
        <v>43786</v>
      </c>
      <c r="C270" s="1">
        <v>946</v>
      </c>
    </row>
    <row r="271" spans="1:3" ht="15" x14ac:dyDescent="0.35">
      <c r="A271" s="7" t="s">
        <v>18</v>
      </c>
      <c r="B271" s="12">
        <v>43640</v>
      </c>
      <c r="C271" s="1">
        <v>700</v>
      </c>
    </row>
    <row r="272" spans="1:3" ht="15" x14ac:dyDescent="0.35">
      <c r="A272" s="7" t="s">
        <v>20</v>
      </c>
      <c r="B272" s="12">
        <v>43625</v>
      </c>
      <c r="C272" s="1">
        <v>779</v>
      </c>
    </row>
    <row r="273" spans="1:3" ht="15" x14ac:dyDescent="0.35">
      <c r="A273" s="7" t="s">
        <v>20</v>
      </c>
      <c r="B273" s="12">
        <v>43723</v>
      </c>
      <c r="C273" s="1">
        <v>620</v>
      </c>
    </row>
    <row r="274" spans="1:3" ht="15" x14ac:dyDescent="0.35">
      <c r="A274" s="7" t="s">
        <v>18</v>
      </c>
      <c r="B274" s="12">
        <v>43474</v>
      </c>
      <c r="C274" s="1">
        <v>560</v>
      </c>
    </row>
    <row r="275" spans="1:3" ht="15" x14ac:dyDescent="0.35">
      <c r="A275" s="7" t="s">
        <v>17</v>
      </c>
      <c r="B275" s="12">
        <v>43756</v>
      </c>
      <c r="C275" s="1">
        <v>258</v>
      </c>
    </row>
    <row r="276" spans="1:3" ht="15" x14ac:dyDescent="0.35">
      <c r="A276" s="7" t="s">
        <v>18</v>
      </c>
      <c r="B276" s="12">
        <v>43645</v>
      </c>
      <c r="C276" s="1">
        <v>876</v>
      </c>
    </row>
    <row r="277" spans="1:3" ht="15" x14ac:dyDescent="0.35">
      <c r="A277" s="7" t="s">
        <v>18</v>
      </c>
      <c r="B277" s="12">
        <v>43573</v>
      </c>
      <c r="C277" s="1">
        <v>238</v>
      </c>
    </row>
    <row r="278" spans="1:3" ht="15" x14ac:dyDescent="0.35">
      <c r="A278" s="7" t="s">
        <v>18</v>
      </c>
      <c r="B278" s="12">
        <v>43829</v>
      </c>
      <c r="C278" s="1">
        <v>696</v>
      </c>
    </row>
    <row r="279" spans="1:3" ht="15" x14ac:dyDescent="0.35">
      <c r="A279" s="7" t="s">
        <v>17</v>
      </c>
      <c r="B279" s="12">
        <v>43482</v>
      </c>
      <c r="C279" s="1">
        <v>477</v>
      </c>
    </row>
    <row r="280" spans="1:3" ht="15" x14ac:dyDescent="0.35">
      <c r="A280" s="7" t="s">
        <v>20</v>
      </c>
      <c r="B280" s="12">
        <v>43482</v>
      </c>
      <c r="C280" s="1">
        <v>806</v>
      </c>
    </row>
    <row r="281" spans="1:3" ht="15" x14ac:dyDescent="0.35">
      <c r="A281" s="7" t="s">
        <v>17</v>
      </c>
      <c r="B281" s="12">
        <v>43522</v>
      </c>
      <c r="C281" s="1">
        <v>431</v>
      </c>
    </row>
    <row r="282" spans="1:3" ht="15" x14ac:dyDescent="0.35">
      <c r="A282" s="7" t="s">
        <v>18</v>
      </c>
      <c r="B282" s="12">
        <v>43598</v>
      </c>
      <c r="C282" s="1">
        <v>565</v>
      </c>
    </row>
    <row r="283" spans="1:3" ht="15" x14ac:dyDescent="0.35">
      <c r="A283" s="7" t="s">
        <v>20</v>
      </c>
      <c r="B283" s="12">
        <v>43545</v>
      </c>
      <c r="C283" s="1">
        <v>765</v>
      </c>
    </row>
    <row r="284" spans="1:3" ht="15" x14ac:dyDescent="0.35">
      <c r="A284" s="7" t="s">
        <v>17</v>
      </c>
      <c r="B284" s="12">
        <v>43470</v>
      </c>
      <c r="C284" s="1">
        <v>144</v>
      </c>
    </row>
    <row r="285" spans="1:3" ht="15" x14ac:dyDescent="0.35">
      <c r="A285" s="7" t="s">
        <v>18</v>
      </c>
      <c r="B285" s="12">
        <v>43780</v>
      </c>
      <c r="C285" s="1">
        <v>192</v>
      </c>
    </row>
    <row r="286" spans="1:3" ht="15" x14ac:dyDescent="0.35">
      <c r="A286" s="7" t="s">
        <v>20</v>
      </c>
      <c r="B286" s="12">
        <v>43630</v>
      </c>
      <c r="C286" s="1">
        <v>430</v>
      </c>
    </row>
    <row r="287" spans="1:3" ht="15" x14ac:dyDescent="0.35">
      <c r="A287" s="7" t="s">
        <v>20</v>
      </c>
      <c r="B287" s="12">
        <v>43665</v>
      </c>
      <c r="C287" s="1">
        <v>830</v>
      </c>
    </row>
    <row r="288" spans="1:3" ht="15" x14ac:dyDescent="0.35">
      <c r="A288" s="7" t="s">
        <v>20</v>
      </c>
      <c r="B288" s="12">
        <v>43507</v>
      </c>
      <c r="C288" s="1">
        <v>300</v>
      </c>
    </row>
    <row r="289" spans="1:3" ht="15" x14ac:dyDescent="0.35">
      <c r="A289" s="7" t="s">
        <v>18</v>
      </c>
      <c r="B289" s="12">
        <v>43483</v>
      </c>
      <c r="C289" s="1">
        <v>444</v>
      </c>
    </row>
    <row r="290" spans="1:3" ht="15" x14ac:dyDescent="0.35">
      <c r="A290" s="7" t="s">
        <v>17</v>
      </c>
      <c r="B290" s="12">
        <v>43628</v>
      </c>
      <c r="C290" s="1">
        <v>217</v>
      </c>
    </row>
    <row r="291" spans="1:3" ht="15" x14ac:dyDescent="0.35">
      <c r="A291" s="7" t="s">
        <v>18</v>
      </c>
      <c r="B291" s="12">
        <v>43726</v>
      </c>
      <c r="C291" s="1">
        <v>402</v>
      </c>
    </row>
    <row r="292" spans="1:3" ht="15" x14ac:dyDescent="0.35">
      <c r="A292" s="7" t="s">
        <v>18</v>
      </c>
      <c r="B292" s="12">
        <v>43555</v>
      </c>
      <c r="C292" s="1">
        <v>679</v>
      </c>
    </row>
    <row r="293" spans="1:3" ht="15" x14ac:dyDescent="0.35">
      <c r="A293" s="7" t="s">
        <v>17</v>
      </c>
      <c r="B293" s="12">
        <v>43664</v>
      </c>
      <c r="C293" s="1">
        <v>531</v>
      </c>
    </row>
    <row r="294" spans="1:3" ht="15" x14ac:dyDescent="0.35">
      <c r="A294" s="7" t="s">
        <v>20</v>
      </c>
      <c r="B294" s="12">
        <v>43721</v>
      </c>
      <c r="C294" s="1">
        <v>670</v>
      </c>
    </row>
    <row r="295" spans="1:3" ht="15" x14ac:dyDescent="0.35">
      <c r="A295" s="7" t="s">
        <v>17</v>
      </c>
      <c r="B295" s="12">
        <v>43506</v>
      </c>
      <c r="C295" s="1">
        <v>655</v>
      </c>
    </row>
    <row r="296" spans="1:3" ht="15" x14ac:dyDescent="0.35">
      <c r="A296" s="7" t="s">
        <v>17</v>
      </c>
      <c r="B296" s="12">
        <v>43694</v>
      </c>
      <c r="C296" s="1">
        <v>177</v>
      </c>
    </row>
    <row r="297" spans="1:3" ht="15" x14ac:dyDescent="0.35">
      <c r="A297" s="7" t="s">
        <v>18</v>
      </c>
      <c r="B297" s="12">
        <v>43504</v>
      </c>
      <c r="C297" s="1">
        <v>283</v>
      </c>
    </row>
    <row r="298" spans="1:3" ht="15" x14ac:dyDescent="0.35">
      <c r="A298" s="7" t="s">
        <v>20</v>
      </c>
      <c r="B298" s="12">
        <v>43467</v>
      </c>
      <c r="C298" s="1">
        <v>963</v>
      </c>
    </row>
    <row r="299" spans="1:3" ht="15" x14ac:dyDescent="0.35">
      <c r="A299" s="7" t="s">
        <v>20</v>
      </c>
      <c r="B299" s="12">
        <v>43709</v>
      </c>
      <c r="C299" s="1">
        <v>904</v>
      </c>
    </row>
    <row r="300" spans="1:3" ht="15" x14ac:dyDescent="0.35">
      <c r="A300" s="7" t="s">
        <v>17</v>
      </c>
      <c r="B300" s="12">
        <v>43538</v>
      </c>
      <c r="C300" s="1">
        <v>456</v>
      </c>
    </row>
    <row r="301" spans="1:3" ht="15" x14ac:dyDescent="0.35">
      <c r="A301" s="7" t="s">
        <v>17</v>
      </c>
      <c r="B301" s="12">
        <v>43795</v>
      </c>
      <c r="C301" s="1">
        <v>45</v>
      </c>
    </row>
    <row r="302" spans="1:3" ht="15" x14ac:dyDescent="0.35">
      <c r="A302" s="7" t="s">
        <v>18</v>
      </c>
      <c r="B302" s="12">
        <v>43787</v>
      </c>
      <c r="C302" s="1">
        <v>200</v>
      </c>
    </row>
    <row r="303" spans="1:3" ht="15" x14ac:dyDescent="0.35">
      <c r="A303" s="7" t="s">
        <v>20</v>
      </c>
      <c r="B303" s="12">
        <v>43816</v>
      </c>
      <c r="C303" s="1">
        <v>950</v>
      </c>
    </row>
    <row r="304" spans="1:3" ht="15" x14ac:dyDescent="0.35">
      <c r="A304" s="7" t="s">
        <v>20</v>
      </c>
      <c r="B304" s="12">
        <v>43527</v>
      </c>
      <c r="C304" s="1">
        <v>193</v>
      </c>
    </row>
    <row r="305" spans="1:3" ht="15" x14ac:dyDescent="0.35">
      <c r="A305" s="7" t="s">
        <v>18</v>
      </c>
      <c r="B305" s="12">
        <v>43639</v>
      </c>
      <c r="C305" s="1">
        <v>861</v>
      </c>
    </row>
    <row r="306" spans="1:3" ht="15" x14ac:dyDescent="0.35">
      <c r="A306" s="7" t="s">
        <v>17</v>
      </c>
      <c r="B306" s="12">
        <v>43541</v>
      </c>
      <c r="C306" s="1">
        <v>267</v>
      </c>
    </row>
    <row r="307" spans="1:3" ht="15" x14ac:dyDescent="0.35">
      <c r="A307" s="7" t="s">
        <v>18</v>
      </c>
      <c r="B307" s="12">
        <v>43683</v>
      </c>
      <c r="C307" s="1">
        <v>885</v>
      </c>
    </row>
    <row r="308" spans="1:3" ht="15" x14ac:dyDescent="0.35">
      <c r="A308" s="7" t="s">
        <v>18</v>
      </c>
      <c r="B308" s="12">
        <v>43752</v>
      </c>
      <c r="C308" s="1">
        <v>488</v>
      </c>
    </row>
    <row r="309" spans="1:3" ht="15" x14ac:dyDescent="0.35">
      <c r="A309" s="7" t="s">
        <v>17</v>
      </c>
      <c r="B309" s="12">
        <v>43729</v>
      </c>
      <c r="C309" s="1">
        <v>134</v>
      </c>
    </row>
    <row r="310" spans="1:3" ht="15" x14ac:dyDescent="0.35">
      <c r="A310" s="7" t="s">
        <v>20</v>
      </c>
      <c r="B310" s="12">
        <v>43608</v>
      </c>
      <c r="C310" s="1">
        <v>823</v>
      </c>
    </row>
    <row r="311" spans="1:3" ht="15" x14ac:dyDescent="0.35">
      <c r="A311" s="7" t="s">
        <v>17</v>
      </c>
      <c r="B311" s="12">
        <v>43587</v>
      </c>
      <c r="C311" s="1">
        <v>489</v>
      </c>
    </row>
    <row r="312" spans="1:3" ht="15" x14ac:dyDescent="0.35">
      <c r="A312" s="7" t="s">
        <v>18</v>
      </c>
      <c r="B312" s="12">
        <v>43722</v>
      </c>
      <c r="C312" s="1">
        <v>699</v>
      </c>
    </row>
    <row r="313" spans="1:3" ht="15" x14ac:dyDescent="0.35">
      <c r="A313" s="7" t="s">
        <v>20</v>
      </c>
      <c r="B313" s="12">
        <v>43796</v>
      </c>
      <c r="C313" s="1">
        <v>246</v>
      </c>
    </row>
    <row r="314" spans="1:3" ht="15" x14ac:dyDescent="0.35">
      <c r="A314" s="7" t="s">
        <v>17</v>
      </c>
      <c r="B314" s="12">
        <v>43757</v>
      </c>
      <c r="C314" s="1">
        <v>49</v>
      </c>
    </row>
    <row r="315" spans="1:3" ht="15" x14ac:dyDescent="0.35">
      <c r="A315" s="7" t="s">
        <v>18</v>
      </c>
      <c r="B315" s="12">
        <v>43581</v>
      </c>
      <c r="C315" s="1">
        <v>971</v>
      </c>
    </row>
    <row r="316" spans="1:3" ht="15" x14ac:dyDescent="0.35">
      <c r="A316" s="7" t="s">
        <v>20</v>
      </c>
      <c r="B316" s="12">
        <v>43548</v>
      </c>
      <c r="C316" s="1">
        <v>692</v>
      </c>
    </row>
    <row r="317" spans="1:3" ht="15" x14ac:dyDescent="0.35">
      <c r="A317" s="7" t="s">
        <v>20</v>
      </c>
      <c r="B317" s="12">
        <v>43676</v>
      </c>
      <c r="C317" s="1">
        <v>12</v>
      </c>
    </row>
    <row r="318" spans="1:3" ht="15" x14ac:dyDescent="0.35">
      <c r="A318" s="7" t="s">
        <v>17</v>
      </c>
      <c r="B318" s="12">
        <v>43595</v>
      </c>
      <c r="C318" s="1">
        <v>854</v>
      </c>
    </row>
    <row r="319" spans="1:3" ht="15" x14ac:dyDescent="0.35">
      <c r="A319" s="7" t="s">
        <v>17</v>
      </c>
      <c r="B319" s="12">
        <v>43672</v>
      </c>
      <c r="C319" s="1">
        <v>937</v>
      </c>
    </row>
    <row r="320" spans="1:3" ht="15" x14ac:dyDescent="0.35">
      <c r="A320" s="7" t="s">
        <v>18</v>
      </c>
      <c r="B320" s="12">
        <v>43745</v>
      </c>
      <c r="C320" s="1">
        <v>909</v>
      </c>
    </row>
    <row r="321" spans="1:3" ht="15" x14ac:dyDescent="0.35">
      <c r="A321" s="7" t="s">
        <v>20</v>
      </c>
      <c r="B321" s="12">
        <v>43495</v>
      </c>
      <c r="C321" s="1">
        <v>388</v>
      </c>
    </row>
    <row r="322" spans="1:3" ht="15" x14ac:dyDescent="0.35">
      <c r="A322" s="7" t="s">
        <v>20</v>
      </c>
      <c r="B322" s="12">
        <v>43657</v>
      </c>
      <c r="C322" s="1">
        <v>671</v>
      </c>
    </row>
    <row r="323" spans="1:3" ht="15" x14ac:dyDescent="0.35">
      <c r="A323" s="7" t="s">
        <v>18</v>
      </c>
      <c r="B323" s="12">
        <v>43807</v>
      </c>
      <c r="C323" s="1">
        <v>755</v>
      </c>
    </row>
    <row r="324" spans="1:3" ht="15" x14ac:dyDescent="0.35">
      <c r="A324" s="7" t="s">
        <v>17</v>
      </c>
      <c r="B324" s="12">
        <v>43517</v>
      </c>
      <c r="C324" s="1">
        <v>687</v>
      </c>
    </row>
    <row r="325" spans="1:3" ht="15" x14ac:dyDescent="0.35">
      <c r="A325" s="7" t="s">
        <v>18</v>
      </c>
      <c r="B325" s="12">
        <v>43595</v>
      </c>
      <c r="C325" s="1">
        <v>143</v>
      </c>
    </row>
    <row r="326" spans="1:3" ht="15" x14ac:dyDescent="0.35">
      <c r="A326" s="7" t="s">
        <v>18</v>
      </c>
      <c r="B326" s="12">
        <v>43713</v>
      </c>
      <c r="C326" s="1">
        <v>675</v>
      </c>
    </row>
    <row r="327" spans="1:3" ht="15" x14ac:dyDescent="0.35">
      <c r="A327" s="7" t="s">
        <v>18</v>
      </c>
      <c r="B327" s="12">
        <v>43525</v>
      </c>
      <c r="C327" s="1">
        <v>659</v>
      </c>
    </row>
    <row r="328" spans="1:3" ht="15" x14ac:dyDescent="0.35">
      <c r="A328" s="7" t="s">
        <v>17</v>
      </c>
      <c r="B328" s="12">
        <v>43654</v>
      </c>
      <c r="C328" s="1">
        <v>697</v>
      </c>
    </row>
    <row r="329" spans="1:3" ht="15" x14ac:dyDescent="0.35">
      <c r="A329" s="7" t="s">
        <v>20</v>
      </c>
      <c r="B329" s="12">
        <v>43636</v>
      </c>
      <c r="C329" s="1">
        <v>699</v>
      </c>
    </row>
    <row r="330" spans="1:3" ht="15" x14ac:dyDescent="0.35">
      <c r="A330" s="7" t="s">
        <v>17</v>
      </c>
      <c r="B330" s="12">
        <v>43664</v>
      </c>
      <c r="C330" s="1">
        <v>315</v>
      </c>
    </row>
    <row r="331" spans="1:3" ht="15" x14ac:dyDescent="0.35">
      <c r="A331" s="7" t="s">
        <v>18</v>
      </c>
      <c r="B331" s="12">
        <v>43536</v>
      </c>
      <c r="C331" s="1">
        <v>763</v>
      </c>
    </row>
    <row r="332" spans="1:3" ht="15" x14ac:dyDescent="0.35">
      <c r="A332" s="7" t="s">
        <v>20</v>
      </c>
      <c r="B332" s="12">
        <v>43607</v>
      </c>
      <c r="C332" s="1">
        <v>103</v>
      </c>
    </row>
    <row r="333" spans="1:3" ht="15" x14ac:dyDescent="0.35">
      <c r="A333" s="7" t="s">
        <v>17</v>
      </c>
      <c r="B333" s="12">
        <v>43475</v>
      </c>
      <c r="C333" s="1">
        <v>649</v>
      </c>
    </row>
    <row r="334" spans="1:3" ht="15" x14ac:dyDescent="0.35">
      <c r="A334" s="7" t="s">
        <v>18</v>
      </c>
      <c r="B334" s="12">
        <v>43475</v>
      </c>
      <c r="C334" s="1">
        <v>186</v>
      </c>
    </row>
    <row r="335" spans="1:3" ht="15" x14ac:dyDescent="0.35">
      <c r="A335" s="7" t="s">
        <v>20</v>
      </c>
      <c r="B335" s="12">
        <v>43502</v>
      </c>
      <c r="C335" s="1">
        <v>486</v>
      </c>
    </row>
    <row r="336" spans="1:3" ht="15" x14ac:dyDescent="0.35">
      <c r="A336" s="7" t="s">
        <v>20</v>
      </c>
      <c r="B336" s="12">
        <v>43735</v>
      </c>
      <c r="C336" s="1">
        <v>545</v>
      </c>
    </row>
    <row r="337" spans="1:3" ht="15" x14ac:dyDescent="0.35">
      <c r="A337" s="7" t="s">
        <v>20</v>
      </c>
      <c r="B337" s="12">
        <v>43528</v>
      </c>
      <c r="C337" s="1">
        <v>578</v>
      </c>
    </row>
    <row r="338" spans="1:3" ht="15" x14ac:dyDescent="0.35">
      <c r="A338" s="7" t="s">
        <v>18</v>
      </c>
      <c r="B338" s="12">
        <v>43575</v>
      </c>
      <c r="C338" s="1">
        <v>134</v>
      </c>
    </row>
    <row r="339" spans="1:3" ht="15" x14ac:dyDescent="0.35">
      <c r="A339" s="7" t="s">
        <v>17</v>
      </c>
      <c r="B339" s="12">
        <v>43525</v>
      </c>
      <c r="C339" s="1">
        <v>24</v>
      </c>
    </row>
    <row r="340" spans="1:3" ht="15" x14ac:dyDescent="0.35">
      <c r="A340" s="7" t="s">
        <v>18</v>
      </c>
      <c r="B340" s="12">
        <v>43705</v>
      </c>
      <c r="C340" s="1">
        <v>80</v>
      </c>
    </row>
    <row r="341" spans="1:3" ht="15" x14ac:dyDescent="0.35">
      <c r="A341" s="7" t="s">
        <v>18</v>
      </c>
      <c r="B341" s="12">
        <v>43529</v>
      </c>
      <c r="C341" s="1">
        <v>895</v>
      </c>
    </row>
    <row r="342" spans="1:3" ht="15" x14ac:dyDescent="0.35">
      <c r="A342" s="7" t="s">
        <v>17</v>
      </c>
      <c r="B342" s="12">
        <v>43582</v>
      </c>
      <c r="C342" s="1">
        <v>824</v>
      </c>
    </row>
    <row r="343" spans="1:3" ht="15" x14ac:dyDescent="0.35">
      <c r="A343" s="7" t="s">
        <v>20</v>
      </c>
      <c r="B343" s="12">
        <v>43614</v>
      </c>
      <c r="C343" s="1">
        <v>72</v>
      </c>
    </row>
    <row r="344" spans="1:3" ht="15" x14ac:dyDescent="0.35">
      <c r="A344" s="7" t="s">
        <v>17</v>
      </c>
      <c r="B344" s="12">
        <v>43792</v>
      </c>
      <c r="C344" s="1">
        <v>55</v>
      </c>
    </row>
    <row r="345" spans="1:3" ht="15" x14ac:dyDescent="0.35">
      <c r="A345" s="7" t="s">
        <v>17</v>
      </c>
      <c r="B345" s="12">
        <v>43631</v>
      </c>
      <c r="C345" s="1">
        <v>850</v>
      </c>
    </row>
    <row r="346" spans="1:3" ht="15" x14ac:dyDescent="0.35">
      <c r="A346" s="7" t="s">
        <v>18</v>
      </c>
      <c r="B346" s="12">
        <v>43681</v>
      </c>
      <c r="C346" s="1">
        <v>526</v>
      </c>
    </row>
    <row r="347" spans="1:3" ht="15" x14ac:dyDescent="0.35">
      <c r="A347" s="7" t="s">
        <v>20</v>
      </c>
      <c r="B347" s="12">
        <v>43804</v>
      </c>
      <c r="C347" s="1">
        <v>713</v>
      </c>
    </row>
    <row r="348" spans="1:3" ht="15" x14ac:dyDescent="0.35">
      <c r="A348" s="7" t="s">
        <v>20</v>
      </c>
      <c r="B348" s="12">
        <v>43523</v>
      </c>
      <c r="C348" s="1">
        <v>23</v>
      </c>
    </row>
    <row r="349" spans="1:3" ht="15" x14ac:dyDescent="0.35">
      <c r="A349" s="7" t="s">
        <v>17</v>
      </c>
      <c r="B349" s="12">
        <v>43689</v>
      </c>
      <c r="C349" s="1">
        <v>559</v>
      </c>
    </row>
    <row r="350" spans="1:3" ht="15" x14ac:dyDescent="0.35">
      <c r="A350" s="7" t="s">
        <v>17</v>
      </c>
      <c r="B350" s="12">
        <v>43550</v>
      </c>
      <c r="C350" s="1">
        <v>729</v>
      </c>
    </row>
    <row r="351" spans="1:3" ht="15" x14ac:dyDescent="0.35">
      <c r="A351" s="7" t="s">
        <v>18</v>
      </c>
      <c r="B351" s="12">
        <v>43578</v>
      </c>
      <c r="C351" s="1">
        <v>113</v>
      </c>
    </row>
    <row r="352" spans="1:3" ht="15" x14ac:dyDescent="0.35">
      <c r="A352" s="7" t="s">
        <v>20</v>
      </c>
      <c r="B352" s="12">
        <v>43735</v>
      </c>
      <c r="C352" s="1">
        <v>661</v>
      </c>
    </row>
    <row r="353" spans="1:3" ht="15" x14ac:dyDescent="0.35">
      <c r="A353" s="7" t="s">
        <v>20</v>
      </c>
      <c r="B353" s="12">
        <v>43476</v>
      </c>
      <c r="C353" s="1">
        <v>857</v>
      </c>
    </row>
    <row r="354" spans="1:3" ht="15" x14ac:dyDescent="0.35">
      <c r="A354" s="7" t="s">
        <v>18</v>
      </c>
      <c r="B354" s="12">
        <v>43581</v>
      </c>
      <c r="C354" s="1">
        <v>456</v>
      </c>
    </row>
    <row r="355" spans="1:3" ht="15" x14ac:dyDescent="0.35">
      <c r="A355" s="7" t="s">
        <v>17</v>
      </c>
      <c r="B355" s="12">
        <v>43699</v>
      </c>
      <c r="C355" s="1">
        <v>197</v>
      </c>
    </row>
    <row r="356" spans="1:3" ht="15" x14ac:dyDescent="0.35">
      <c r="A356" s="7" t="s">
        <v>18</v>
      </c>
      <c r="B356" s="12">
        <v>43681</v>
      </c>
      <c r="C356" s="1">
        <v>908</v>
      </c>
    </row>
    <row r="357" spans="1:3" ht="15" x14ac:dyDescent="0.35">
      <c r="A357" s="7" t="s">
        <v>18</v>
      </c>
      <c r="B357" s="12">
        <v>43650</v>
      </c>
      <c r="C357" s="1">
        <v>141</v>
      </c>
    </row>
    <row r="358" spans="1:3" ht="15" x14ac:dyDescent="0.35">
      <c r="A358" s="7" t="s">
        <v>17</v>
      </c>
      <c r="B358" s="12">
        <v>43544</v>
      </c>
      <c r="C358" s="1">
        <v>747</v>
      </c>
    </row>
    <row r="359" spans="1:3" ht="15" x14ac:dyDescent="0.35">
      <c r="A359" s="7" t="s">
        <v>20</v>
      </c>
      <c r="B359" s="12">
        <v>43673</v>
      </c>
      <c r="C359" s="1">
        <v>212</v>
      </c>
    </row>
    <row r="360" spans="1:3" ht="15" x14ac:dyDescent="0.35">
      <c r="A360" s="7" t="s">
        <v>17</v>
      </c>
      <c r="B360" s="12">
        <v>43512</v>
      </c>
      <c r="C360" s="1">
        <v>145</v>
      </c>
    </row>
    <row r="361" spans="1:3" ht="15" x14ac:dyDescent="0.35">
      <c r="A361" s="7" t="s">
        <v>18</v>
      </c>
      <c r="B361" s="12">
        <v>43605</v>
      </c>
      <c r="C361" s="1">
        <v>441</v>
      </c>
    </row>
    <row r="362" spans="1:3" ht="15" x14ac:dyDescent="0.35">
      <c r="A362" s="7" t="s">
        <v>20</v>
      </c>
      <c r="B362" s="12">
        <v>43669</v>
      </c>
      <c r="C362" s="1">
        <v>47</v>
      </c>
    </row>
    <row r="363" spans="1:3" ht="15" x14ac:dyDescent="0.35">
      <c r="A363" s="7" t="s">
        <v>17</v>
      </c>
      <c r="B363" s="12">
        <v>43537</v>
      </c>
      <c r="C363" s="1">
        <v>134</v>
      </c>
    </row>
    <row r="364" spans="1:3" ht="15" x14ac:dyDescent="0.35">
      <c r="A364" s="7" t="s">
        <v>18</v>
      </c>
      <c r="B364" s="12">
        <v>43664</v>
      </c>
      <c r="C364" s="1">
        <v>662</v>
      </c>
    </row>
    <row r="365" spans="1:3" ht="15" x14ac:dyDescent="0.35">
      <c r="A365" s="7" t="s">
        <v>20</v>
      </c>
      <c r="B365" s="12">
        <v>43562</v>
      </c>
      <c r="C365" s="1">
        <v>328</v>
      </c>
    </row>
    <row r="366" spans="1:3" ht="15" x14ac:dyDescent="0.35">
      <c r="A366" s="7" t="s">
        <v>20</v>
      </c>
      <c r="B366" s="12">
        <v>43675</v>
      </c>
      <c r="C366" s="1">
        <v>998</v>
      </c>
    </row>
    <row r="367" spans="1:3" ht="15" x14ac:dyDescent="0.35">
      <c r="A367" s="7" t="s">
        <v>17</v>
      </c>
      <c r="B367" s="12">
        <v>43806</v>
      </c>
      <c r="C367" s="1">
        <v>547</v>
      </c>
    </row>
    <row r="368" spans="1:3" ht="15" x14ac:dyDescent="0.35">
      <c r="A368" s="7" t="s">
        <v>17</v>
      </c>
      <c r="B368" s="12">
        <v>43563</v>
      </c>
      <c r="C368" s="1">
        <v>257</v>
      </c>
    </row>
    <row r="369" spans="1:3" ht="15" x14ac:dyDescent="0.35">
      <c r="A369" s="7" t="s">
        <v>18</v>
      </c>
      <c r="B369" s="12">
        <v>43521</v>
      </c>
      <c r="C369" s="1">
        <v>980</v>
      </c>
    </row>
    <row r="370" spans="1:3" ht="15" x14ac:dyDescent="0.35">
      <c r="A370" s="7" t="s">
        <v>20</v>
      </c>
      <c r="B370" s="12">
        <v>43637</v>
      </c>
      <c r="C370" s="1">
        <v>621</v>
      </c>
    </row>
    <row r="371" spans="1:3" ht="15" x14ac:dyDescent="0.35">
      <c r="A371" s="7" t="s">
        <v>20</v>
      </c>
      <c r="B371" s="12">
        <v>43643</v>
      </c>
      <c r="C371" s="1">
        <v>534</v>
      </c>
    </row>
    <row r="372" spans="1:3" ht="15" x14ac:dyDescent="0.35">
      <c r="A372" s="7" t="s">
        <v>18</v>
      </c>
      <c r="B372" s="12">
        <v>43479</v>
      </c>
      <c r="C372" s="1">
        <v>418</v>
      </c>
    </row>
    <row r="373" spans="1:3" ht="15" x14ac:dyDescent="0.35">
      <c r="A373" s="7" t="s">
        <v>17</v>
      </c>
      <c r="B373" s="12">
        <v>43616</v>
      </c>
      <c r="C373" s="1">
        <v>144</v>
      </c>
    </row>
    <row r="374" spans="1:3" ht="15" x14ac:dyDescent="0.35">
      <c r="A374" s="7" t="s">
        <v>18</v>
      </c>
      <c r="B374" s="12">
        <v>43565</v>
      </c>
      <c r="C374" s="1">
        <v>226</v>
      </c>
    </row>
    <row r="375" spans="1:3" ht="15" x14ac:dyDescent="0.35">
      <c r="A375" s="7" t="s">
        <v>18</v>
      </c>
      <c r="B375" s="12">
        <v>43598</v>
      </c>
      <c r="C375" s="1">
        <v>476</v>
      </c>
    </row>
    <row r="376" spans="1:3" ht="15" x14ac:dyDescent="0.35">
      <c r="A376" s="7" t="s">
        <v>18</v>
      </c>
      <c r="B376" s="12">
        <v>43824</v>
      </c>
      <c r="C376" s="1">
        <v>709</v>
      </c>
    </row>
    <row r="377" spans="1:3" ht="15" x14ac:dyDescent="0.35">
      <c r="A377" s="7" t="s">
        <v>17</v>
      </c>
      <c r="B377" s="12">
        <v>43623</v>
      </c>
      <c r="C377" s="1">
        <v>572</v>
      </c>
    </row>
    <row r="378" spans="1:3" ht="15" x14ac:dyDescent="0.35">
      <c r="A378" s="7" t="s">
        <v>20</v>
      </c>
      <c r="B378" s="12">
        <v>43710</v>
      </c>
      <c r="C378" s="1">
        <v>807</v>
      </c>
    </row>
    <row r="379" spans="1:3" ht="15" x14ac:dyDescent="0.35">
      <c r="A379" s="7" t="s">
        <v>17</v>
      </c>
      <c r="B379" s="12">
        <v>43628</v>
      </c>
      <c r="C379" s="1">
        <v>96</v>
      </c>
    </row>
    <row r="380" spans="1:3" ht="15" x14ac:dyDescent="0.35">
      <c r="A380" s="7" t="s">
        <v>18</v>
      </c>
      <c r="B380" s="12">
        <v>43473</v>
      </c>
      <c r="C380" s="1">
        <v>912</v>
      </c>
    </row>
    <row r="381" spans="1:3" ht="15" x14ac:dyDescent="0.35">
      <c r="A381" s="7" t="s">
        <v>20</v>
      </c>
      <c r="B381" s="12">
        <v>43693</v>
      </c>
      <c r="C381" s="1">
        <v>125</v>
      </c>
    </row>
    <row r="382" spans="1:3" ht="15" x14ac:dyDescent="0.35">
      <c r="A382" s="7" t="s">
        <v>17</v>
      </c>
      <c r="B382" s="12">
        <v>43766</v>
      </c>
      <c r="C382" s="1">
        <v>854</v>
      </c>
    </row>
    <row r="383" spans="1:3" ht="15" x14ac:dyDescent="0.35">
      <c r="A383" s="7" t="s">
        <v>18</v>
      </c>
      <c r="B383" s="12">
        <v>43570</v>
      </c>
      <c r="C383" s="1">
        <v>308</v>
      </c>
    </row>
    <row r="384" spans="1:3" ht="15" x14ac:dyDescent="0.35">
      <c r="A384" s="7" t="s">
        <v>20</v>
      </c>
      <c r="B384" s="12">
        <v>43753</v>
      </c>
      <c r="C384" s="1">
        <v>338</v>
      </c>
    </row>
    <row r="385" spans="1:3" ht="15" x14ac:dyDescent="0.35">
      <c r="A385" s="7" t="s">
        <v>20</v>
      </c>
      <c r="B385" s="12">
        <v>43776</v>
      </c>
      <c r="C385" s="1">
        <v>698</v>
      </c>
    </row>
    <row r="386" spans="1:3" ht="15" x14ac:dyDescent="0.35">
      <c r="A386" s="7" t="s">
        <v>20</v>
      </c>
      <c r="B386" s="12">
        <v>43616</v>
      </c>
      <c r="C386" s="1">
        <v>732</v>
      </c>
    </row>
    <row r="387" spans="1:3" ht="15" x14ac:dyDescent="0.35">
      <c r="A387" s="7" t="s">
        <v>18</v>
      </c>
      <c r="B387" s="12">
        <v>43620</v>
      </c>
      <c r="C387" s="1">
        <v>568</v>
      </c>
    </row>
    <row r="388" spans="1:3" ht="15" x14ac:dyDescent="0.35">
      <c r="A388" s="7" t="s">
        <v>17</v>
      </c>
      <c r="B388" s="12">
        <v>43562</v>
      </c>
      <c r="C388" s="1">
        <v>998</v>
      </c>
    </row>
    <row r="389" spans="1:3" ht="15" x14ac:dyDescent="0.35">
      <c r="A389" s="7" t="s">
        <v>18</v>
      </c>
      <c r="B389" s="12">
        <v>43564</v>
      </c>
      <c r="C389" s="1">
        <v>488</v>
      </c>
    </row>
    <row r="390" spans="1:3" ht="15" x14ac:dyDescent="0.35">
      <c r="A390" s="7" t="s">
        <v>18</v>
      </c>
      <c r="B390" s="12">
        <v>43508</v>
      </c>
      <c r="C390" s="1">
        <v>821</v>
      </c>
    </row>
    <row r="391" spans="1:3" ht="15" x14ac:dyDescent="0.35">
      <c r="A391" s="7" t="s">
        <v>17</v>
      </c>
      <c r="B391" s="12">
        <v>43598</v>
      </c>
      <c r="C391" s="1">
        <v>351</v>
      </c>
    </row>
    <row r="392" spans="1:3" ht="15" x14ac:dyDescent="0.35">
      <c r="A392" s="7" t="s">
        <v>20</v>
      </c>
      <c r="B392" s="12">
        <v>43620</v>
      </c>
      <c r="C392" s="1">
        <v>999</v>
      </c>
    </row>
    <row r="393" spans="1:3" ht="15" x14ac:dyDescent="0.35">
      <c r="A393" s="7" t="s">
        <v>17</v>
      </c>
      <c r="B393" s="12">
        <v>43727</v>
      </c>
      <c r="C393" s="1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2F91-8A03-46F5-8389-53032EDA5F0C}">
  <dimension ref="A1:AY20"/>
  <sheetViews>
    <sheetView tabSelected="1" workbookViewId="0">
      <selection activeCell="H14" sqref="H14:H16"/>
    </sheetView>
  </sheetViews>
  <sheetFormatPr defaultRowHeight="14.4" x14ac:dyDescent="0.3"/>
  <cols>
    <col min="1" max="1" width="23.33203125" customWidth="1"/>
    <col min="2" max="2" width="13.33203125" customWidth="1"/>
    <col min="3" max="3" width="19" customWidth="1"/>
    <col min="4" max="4" width="17.44140625" customWidth="1"/>
    <col min="5" max="5" width="14.5546875" customWidth="1"/>
    <col min="7" max="7" width="17.44140625" customWidth="1"/>
    <col min="8" max="8" width="13.44140625" customWidth="1"/>
    <col min="9" max="18" width="9.109375"/>
    <col min="19" max="19" width="17.44140625" customWidth="1"/>
    <col min="20" max="34" width="9.109375"/>
    <col min="36" max="36" width="12.44140625" customWidth="1"/>
    <col min="37" max="37" width="14.44140625" customWidth="1"/>
    <col min="38" max="38" width="16.33203125" customWidth="1"/>
  </cols>
  <sheetData>
    <row r="1" spans="1:51" ht="15" thickBot="1" x14ac:dyDescent="0.35">
      <c r="A1" s="13" t="s">
        <v>13</v>
      </c>
      <c r="B1" s="14"/>
      <c r="C1" s="15"/>
      <c r="J1" s="3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51" x14ac:dyDescent="0.3">
      <c r="A2" t="s">
        <v>0</v>
      </c>
      <c r="B2" t="s">
        <v>1</v>
      </c>
      <c r="C2" t="s">
        <v>2</v>
      </c>
      <c r="D2" t="s">
        <v>12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R2" t="s">
        <v>0</v>
      </c>
      <c r="AS2" t="b">
        <v>1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  <c r="AY2" t="b">
        <v>0</v>
      </c>
    </row>
    <row r="3" spans="1:51" x14ac:dyDescent="0.3">
      <c r="A3" s="1" t="s">
        <v>3</v>
      </c>
      <c r="B3" s="1">
        <v>111</v>
      </c>
      <c r="C3" s="1">
        <v>8268</v>
      </c>
      <c r="D3">
        <f>SUMPRODUCT(--($A$3:A3=A3))</f>
        <v>1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R3" t="s">
        <v>1</v>
      </c>
      <c r="AS3" t="b">
        <v>1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b">
        <v>0</v>
      </c>
    </row>
    <row r="4" spans="1:51" x14ac:dyDescent="0.3">
      <c r="A4" s="1" t="s">
        <v>4</v>
      </c>
      <c r="B4" s="1">
        <v>222</v>
      </c>
      <c r="C4" s="1">
        <v>9876</v>
      </c>
      <c r="D4">
        <f>SUMPRODUCT(--($A$3:A4=A4))</f>
        <v>1</v>
      </c>
      <c r="AS4">
        <f>AS2*AS3</f>
        <v>1</v>
      </c>
      <c r="AT4">
        <f t="shared" ref="AT4:AY4" si="0">AT2*AT3</f>
        <v>0</v>
      </c>
      <c r="AU4">
        <f t="shared" si="0"/>
        <v>1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</row>
    <row r="5" spans="1:51" x14ac:dyDescent="0.3">
      <c r="A5" s="1" t="s">
        <v>3</v>
      </c>
      <c r="B5" s="1">
        <v>111</v>
      </c>
      <c r="C5" s="1">
        <v>6353</v>
      </c>
      <c r="D5">
        <f>SUMPRODUCT(--($A$3:A5=A5))</f>
        <v>2</v>
      </c>
      <c r="AR5" t="s">
        <v>6</v>
      </c>
    </row>
    <row r="6" spans="1:51" x14ac:dyDescent="0.3">
      <c r="A6" s="1" t="s">
        <v>5</v>
      </c>
      <c r="B6" s="1">
        <v>333</v>
      </c>
      <c r="C6" s="1">
        <v>5192</v>
      </c>
      <c r="D6">
        <f>SUMPRODUCT(--($A$3:A6=A6))</f>
        <v>1</v>
      </c>
    </row>
    <row r="7" spans="1:51" x14ac:dyDescent="0.3">
      <c r="A7" s="1" t="s">
        <v>7</v>
      </c>
      <c r="B7" s="1">
        <v>444</v>
      </c>
      <c r="C7" s="1">
        <v>3001</v>
      </c>
      <c r="D7">
        <f>SUMPRODUCT(--($A$3:A7=A7))</f>
        <v>1</v>
      </c>
    </row>
    <row r="8" spans="1:51" x14ac:dyDescent="0.3">
      <c r="A8" s="1" t="s">
        <v>3</v>
      </c>
      <c r="B8" s="1">
        <v>222</v>
      </c>
      <c r="C8" s="1">
        <v>7692</v>
      </c>
      <c r="D8">
        <f>SUMPRODUCT(--($A$3:A8=A8))</f>
        <v>3</v>
      </c>
      <c r="AK8" s="17" t="s">
        <v>8</v>
      </c>
      <c r="AL8" s="17"/>
    </row>
    <row r="9" spans="1:51" x14ac:dyDescent="0.3">
      <c r="A9" s="1" t="s">
        <v>4</v>
      </c>
      <c r="B9" s="1">
        <v>555</v>
      </c>
      <c r="C9" s="1">
        <v>1191</v>
      </c>
      <c r="D9">
        <f>SUMPRODUCT(--($A$3:A9=A9))</f>
        <v>2</v>
      </c>
      <c r="AK9" s="2" t="s">
        <v>10</v>
      </c>
      <c r="AL9" s="2" t="s">
        <v>11</v>
      </c>
      <c r="AM9" t="s">
        <v>9</v>
      </c>
    </row>
    <row r="10" spans="1:51" x14ac:dyDescent="0.3">
      <c r="A10" s="1" t="s">
        <v>37</v>
      </c>
      <c r="B10" s="1"/>
      <c r="C10" s="1"/>
      <c r="AK10" s="2"/>
      <c r="AL10" s="2"/>
    </row>
    <row r="11" spans="1:51" x14ac:dyDescent="0.3">
      <c r="A11" s="1" t="s">
        <v>33</v>
      </c>
      <c r="B11" s="1">
        <f t="array" ref="B11">SUM(COUNT(IF(EmpName={"A","B"},1,"")))</f>
        <v>5</v>
      </c>
      <c r="C11" s="1">
        <f>SUMPRODUCT(--(EmpName={"A","B"}))</f>
        <v>5</v>
      </c>
      <c r="H11" cm="1">
        <f t="array" ref="H11">SUM(COUNTIF(EmpName,{"A","B"}))</f>
        <v>5</v>
      </c>
    </row>
    <row r="12" spans="1:51" x14ac:dyDescent="0.3">
      <c r="A12" s="1" t="s">
        <v>34</v>
      </c>
      <c r="B12" s="1">
        <f t="array" ref="B12">SUM(1/COUNTIF(EmpName,EmpName))</f>
        <v>4</v>
      </c>
      <c r="C12" s="1">
        <f>SUMPRODUCT(1/COUNTIF(EmpName,EmpName))</f>
        <v>4</v>
      </c>
      <c r="H12">
        <f>COUNTA(_xlfn.UNIQUE(EmpName))</f>
        <v>4</v>
      </c>
    </row>
    <row r="13" spans="1:51" x14ac:dyDescent="0.3">
      <c r="A13" s="1" t="s">
        <v>35</v>
      </c>
      <c r="B13" s="1">
        <f t="array" ref="B13">MAX((A:A&lt;&gt;"")*ROW(A:A))</f>
        <v>14</v>
      </c>
      <c r="C13" s="1">
        <f>SUMPRODUCT(MAX((A:A&lt;&gt;"")*ROW(A:A)))</f>
        <v>14</v>
      </c>
      <c r="S13" s="4"/>
    </row>
    <row r="14" spans="1:51" x14ac:dyDescent="0.3">
      <c r="A14" s="1" t="s">
        <v>36</v>
      </c>
      <c r="B14" s="5" t="s">
        <v>3</v>
      </c>
      <c r="C14" s="1">
        <f>SUMPRODUCT((EmpName=$B$14)*(Helpcol=ROW(1:1))*(Salary))</f>
        <v>8268</v>
      </c>
      <c r="D14" cm="1">
        <f t="array" ref="D14:D20">IF(EmpName=$B$14, Salary)</f>
        <v>8268</v>
      </c>
      <c r="F14" cm="1">
        <f t="array" aca="1" ref="F14" ca="1">INDIRECT("c"&amp;SMALL(IF(EmpName=$B$14,ROW(Salary)),ROWS($E$14:E14)))</f>
        <v>8268</v>
      </c>
      <c r="H14" cm="1">
        <f t="array" aca="1" ref="H14" ca="1">_xlfn.LET(_xlpm.a, IF($A$3:$A$10="A",ROW($A$3:$A$10),""), INDIRECT("C"&amp;SMALL(_xlpm.a,ROWS($G$14:G14)),TRUE))</f>
        <v>8268</v>
      </c>
    </row>
    <row r="15" spans="1:51" x14ac:dyDescent="0.3">
      <c r="C15" s="1">
        <f>SUMPRODUCT((EmpName=$B$14)*(Helpcol=ROW(2:2))*(Salary))</f>
        <v>6353</v>
      </c>
      <c r="D15" t="b">
        <v>0</v>
      </c>
      <c r="F15" cm="1">
        <f t="array" aca="1" ref="F15" ca="1">INDIRECT("c"&amp;SMALL(IF(EmpName=$B$14,ROW(Salary)),ROWS($E$14:E15)))</f>
        <v>6353</v>
      </c>
      <c r="H15" cm="1">
        <f t="array" aca="1" ref="H15" ca="1">_xlfn.LET(_xlpm.a, IF($A$3:$A$10="A",ROW($A$3:$A$10),""), INDIRECT("C"&amp;SMALL(_xlpm.a,ROWS($G$14:G15)),TRUE))</f>
        <v>6353</v>
      </c>
    </row>
    <row r="16" spans="1:51" x14ac:dyDescent="0.3">
      <c r="C16" s="1">
        <f>SUMPRODUCT((EmpName=$B$14)*(Helpcol=ROW(3:3))*(Salary))</f>
        <v>7692</v>
      </c>
      <c r="D16">
        <v>6353</v>
      </c>
      <c r="F16" cm="1">
        <f t="array" aca="1" ref="F16" ca="1">INDIRECT("c"&amp;SMALL(IF(EmpName=$B$14,ROW(Salary)),ROWS($E$14:E16)))</f>
        <v>7692</v>
      </c>
      <c r="H16" cm="1">
        <f t="array" aca="1" ref="H16" ca="1">_xlfn.LET(_xlpm.a, IF($A$3:$A$10="A",ROW($A$3:$A$10),""), INDIRECT("C"&amp;SMALL(_xlpm.a,ROWS($G$14:G16)),TRUE))</f>
        <v>7692</v>
      </c>
    </row>
    <row r="17" spans="3:5" x14ac:dyDescent="0.3">
      <c r="D17" t="b">
        <v>0</v>
      </c>
      <c r="E17" cm="1">
        <f t="array" ref="E17">MAX(IF(A:A&lt;&gt;"",ROW(A:A)))</f>
        <v>14</v>
      </c>
    </row>
    <row r="18" spans="3:5" x14ac:dyDescent="0.3">
      <c r="D18" t="b">
        <v>0</v>
      </c>
    </row>
    <row r="19" spans="3:5" x14ac:dyDescent="0.3">
      <c r="D19">
        <v>7692</v>
      </c>
    </row>
    <row r="20" spans="3:5" x14ac:dyDescent="0.3">
      <c r="C20" cm="1">
        <f t="array" ref="C20">MAX(IF(--(ISBLANK(A3:A10))=0, ROW(A3:A10)))</f>
        <v>10</v>
      </c>
      <c r="D20" t="b">
        <v>0</v>
      </c>
    </row>
  </sheetData>
  <mergeCells count="3">
    <mergeCell ref="A1:C1"/>
    <mergeCell ref="R1:AA3"/>
    <mergeCell ref="AK8:AL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AVGIFS vs SUMPRODUCT</vt:lpstr>
      <vt:lpstr>TOP 5 INTERVIEW Q</vt:lpstr>
      <vt:lpstr>'AVGIFS vs SUMPRODUCT'!Amount</vt:lpstr>
      <vt:lpstr>Amount</vt:lpstr>
      <vt:lpstr>EmpID</vt:lpstr>
      <vt:lpstr>EmpName</vt:lpstr>
      <vt:lpstr>Helpcol</vt:lpstr>
      <vt:lpstr>'AVGIFS vs SUMPRODUCT'!Name</vt:lpstr>
      <vt:lpstr>Name</vt:lpstr>
      <vt:lpstr>Salary</vt:lpstr>
      <vt:lpstr>'AVGIFS vs SUMPRODUCT'!SalesDate</vt:lpstr>
      <vt:lpstr>SalesDate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2020-10-06T06:28:15Z</dcterms:created>
  <dcterms:modified xsi:type="dcterms:W3CDTF">2026-01-27T06:28:27Z</dcterms:modified>
</cp:coreProperties>
</file>