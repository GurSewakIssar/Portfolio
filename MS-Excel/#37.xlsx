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4920AE23-C432-4829-8B60-8962B4B38A45}" xr6:coauthVersionLast="47" xr6:coauthVersionMax="47" xr10:uidLastSave="{00000000-0000-0000-0000-000000000000}"/>
  <bookViews>
    <workbookView xWindow="-108" yWindow="-108" windowWidth="23256" windowHeight="12456" activeTab="4" xr2:uid="{A6F28D61-0D60-4449-8AD5-111703182D27}"/>
  </bookViews>
  <sheets>
    <sheet name="Q1" sheetId="1" r:id="rId1"/>
    <sheet name="Q2" sheetId="2" r:id="rId2"/>
    <sheet name="Q3" sheetId="3" r:id="rId3"/>
    <sheet name="Q4" sheetId="5" r:id="rId4"/>
    <sheet name="Q5" sheetId="6" r:id="rId5"/>
  </sheets>
  <externalReferences>
    <externalReference r:id="rId6"/>
    <externalReference r:id="rId7"/>
  </externalReferences>
  <definedNames>
    <definedName name="countries">[1]indirect!$A$75:$A$77</definedName>
    <definedName name="Data_set">'[2]21-40'!$A$18:$E$49</definedName>
    <definedName name="DLBoomerangs">'Q4'!#REF!</definedName>
    <definedName name="exact">'Q4'!#REF!</definedName>
    <definedName name="IDLIST">#REF!</definedName>
    <definedName name="june">'Q4'!#REF!</definedName>
    <definedName name="VTable">'Q4'!#REF!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5" l="1"/>
  <c r="G18" i="5"/>
  <c r="H18" i="5"/>
  <c r="I18" i="5"/>
  <c r="J18" i="5"/>
  <c r="K18" i="5"/>
  <c r="E18" i="5"/>
  <c r="F17" i="5"/>
  <c r="G17" i="5"/>
  <c r="H17" i="5"/>
  <c r="I17" i="5"/>
  <c r="J17" i="5"/>
  <c r="K17" i="5"/>
  <c r="E17" i="5"/>
  <c r="C8" i="3"/>
  <c r="C5" i="3"/>
  <c r="C6" i="3"/>
  <c r="C7" i="3"/>
  <c r="C4" i="3"/>
  <c r="E8" i="2" a="1"/>
  <c r="E8" i="2" s="1"/>
  <c r="E16" i="1"/>
  <c r="F14" i="5" a="1"/>
  <c r="F14" i="5" s="1"/>
  <c r="G14" i="5" a="1"/>
  <c r="G14" i="5" s="1"/>
  <c r="H14" i="5" a="1"/>
  <c r="H14" i="5" s="1"/>
  <c r="I14" i="5" a="1"/>
  <c r="I14" i="5" s="1"/>
  <c r="J14" i="5" a="1"/>
  <c r="J14" i="5"/>
  <c r="K14" i="5" a="1"/>
  <c r="K14" i="5" s="1"/>
  <c r="E14" i="5" a="1"/>
  <c r="E14" i="5" s="1"/>
  <c r="E13" i="5" a="1"/>
  <c r="E13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F10" i="5"/>
  <c r="G10" i="5"/>
  <c r="H10" i="5"/>
  <c r="I10" i="5"/>
  <c r="J10" i="5"/>
  <c r="K10" i="5"/>
  <c r="E10" i="5"/>
  <c r="H5" i="3" a="1"/>
  <c r="H5" i="3" s="1"/>
  <c r="H6" i="3" a="1"/>
  <c r="H6" i="3" s="1"/>
  <c r="H7" i="3" a="1"/>
  <c r="H7" i="3" s="1"/>
  <c r="H8" i="3" a="1"/>
  <c r="H8" i="3"/>
  <c r="H4" i="3" a="1"/>
  <c r="H4" i="3"/>
  <c r="E6" i="2" a="1"/>
  <c r="E6" i="2" s="1"/>
  <c r="E5" i="3" a="1"/>
  <c r="E5" i="3" s="1"/>
  <c r="E6" i="3" a="1"/>
  <c r="E6" i="3" s="1"/>
  <c r="E7" i="3" a="1"/>
  <c r="E7" i="3"/>
  <c r="E8" i="3" a="1"/>
  <c r="E8" i="3"/>
  <c r="E4" i="3" a="1"/>
  <c r="E4" i="3" s="1"/>
  <c r="B4" i="3" a="1"/>
  <c r="B4" i="3" s="1"/>
  <c r="B5" i="6"/>
  <c r="E4" i="5"/>
  <c r="F7" i="5" a="1"/>
  <c r="F7" i="5" s="1"/>
  <c r="G7" i="5" a="1"/>
  <c r="G7" i="5" s="1"/>
  <c r="H7" i="5" a="1"/>
  <c r="H7" i="5" s="1"/>
  <c r="I7" i="5" a="1"/>
  <c r="I7" i="5" s="1"/>
  <c r="J7" i="5" a="1"/>
  <c r="J7" i="5" s="1"/>
  <c r="K7" i="5" a="1"/>
  <c r="K7" i="5" s="1"/>
  <c r="E7" i="5" a="1"/>
  <c r="E7" i="5" s="1"/>
  <c r="F6" i="5" a="1"/>
  <c r="F6" i="5"/>
  <c r="G6" i="5" a="1"/>
  <c r="G6" i="5" s="1"/>
  <c r="H6" i="5" a="1"/>
  <c r="H6" i="5" s="1"/>
  <c r="I6" i="5" a="1"/>
  <c r="I6" i="5" s="1"/>
  <c r="J6" i="5" a="1"/>
  <c r="J6" i="5" s="1"/>
  <c r="K6" i="5" a="1"/>
  <c r="K6" i="5" s="1"/>
  <c r="E6" i="5" a="1"/>
  <c r="E6" i="5" s="1"/>
  <c r="H3" i="2" a="1"/>
  <c r="H3" i="2" s="1"/>
  <c r="F6" i="2" a="1"/>
  <c r="F6" i="2" s="1"/>
  <c r="C16" i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K4" i="5"/>
  <c r="J4" i="5"/>
  <c r="I4" i="5"/>
  <c r="H4" i="5"/>
  <c r="G4" i="5"/>
  <c r="F4" i="5"/>
  <c r="K3" i="5"/>
  <c r="J3" i="5"/>
  <c r="I3" i="5"/>
  <c r="H3" i="5"/>
  <c r="G3" i="5"/>
  <c r="F3" i="5"/>
  <c r="E3" i="5"/>
  <c r="K1" i="5"/>
  <c r="J1" i="5"/>
  <c r="I1" i="5"/>
  <c r="H1" i="5"/>
  <c r="G1" i="5"/>
  <c r="F1" i="5"/>
  <c r="E1" i="5"/>
  <c r="B8" i="3" l="1" a="1"/>
  <c r="B8" i="3" s="1"/>
  <c r="B7" i="3" a="1"/>
  <c r="B7" i="3" s="1"/>
  <c r="B6" i="3" a="1"/>
  <c r="B6" i="3" s="1"/>
  <c r="B5" i="3" a="1"/>
  <c r="B5" i="3" s="1"/>
  <c r="B1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<sst xmlns="http://schemas.openxmlformats.org/spreadsheetml/2006/main" count="94" uniqueCount="57">
  <si>
    <t>Total Salarid Greater than Avg</t>
  </si>
  <si>
    <t>Emp Name</t>
  </si>
  <si>
    <t>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</si>
  <si>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</si>
  <si>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</si>
  <si>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</si>
  <si>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</si>
  <si>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</si>
  <si>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</si>
  <si>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</si>
  <si>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</si>
  <si>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</si>
  <si>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</si>
  <si>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Name</t>
  </si>
  <si>
    <t>ID</t>
  </si>
  <si>
    <t>Marks</t>
  </si>
  <si>
    <t>Find out 2nd Max of A</t>
  </si>
  <si>
    <t>OUTPUT</t>
  </si>
  <si>
    <t xml:space="preserve"> </t>
  </si>
  <si>
    <t>Offcourse, was it 07/01/1985? I am sure</t>
  </si>
  <si>
    <t>07/01/1985, is the date when I was born</t>
  </si>
  <si>
    <t>07/01/1985 that is when I born.</t>
  </si>
  <si>
    <t>I think my birth date  is 07/01/1985</t>
  </si>
  <si>
    <t>Date of Birth</t>
  </si>
  <si>
    <t>Extracted DOB</t>
  </si>
  <si>
    <t>Date</t>
  </si>
  <si>
    <t>Daily Stock</t>
  </si>
  <si>
    <t>Month</t>
  </si>
  <si>
    <t>Jan</t>
  </si>
  <si>
    <t>Feb</t>
  </si>
  <si>
    <t>Mar</t>
  </si>
  <si>
    <t>Apr</t>
  </si>
  <si>
    <t>May</t>
  </si>
  <si>
    <t>Jun</t>
  </si>
  <si>
    <t>Jul</t>
  </si>
  <si>
    <t>Opening Stock</t>
  </si>
  <si>
    <t>Closing Stock</t>
  </si>
  <si>
    <t>City</t>
  </si>
  <si>
    <t>Region</t>
  </si>
  <si>
    <t>pt</t>
  </si>
  <si>
    <t>patna</t>
  </si>
  <si>
    <t>av</t>
  </si>
  <si>
    <t>anad vihar</t>
  </si>
  <si>
    <t>ms</t>
  </si>
  <si>
    <t>mughal sarai</t>
  </si>
  <si>
    <t>hp</t>
  </si>
  <si>
    <t>hajipur</t>
  </si>
  <si>
    <t>nd</t>
  </si>
  <si>
    <t>new delhi</t>
  </si>
  <si>
    <t>ne</t>
  </si>
  <si>
    <t>north east</t>
  </si>
  <si>
    <t>Extract Date of birth</t>
  </si>
  <si>
    <t>Monthwise opening and Closing Stock</t>
  </si>
  <si>
    <t>Use Vlookup and Len Function to extract City based on Region</t>
  </si>
  <si>
    <t>My date of birth is 17/01/1985</t>
  </si>
  <si>
    <t>b</t>
  </si>
  <si>
    <t>7+7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</si>
</sst>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F800]dddd\,\ mmmm\ dd\,\ yyyy"/>
  </numFmts>
  <fonts count="6" x14ac:knownFonts="1"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/>
      </patternFill>
    </fill>
    <fill>
      <patternFill patternType="solid">
        <fgColor theme="8"/>
        <bgColor theme="8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3" borderId="0" applyNumberFormat="0" applyBorder="0" applyAlignment="0" applyProtection="0"/>
    <xf numFmtId="0" fontId="4" fillId="0" borderId="0"/>
    <xf numFmtId="0" fontId="5" fillId="0" borderId="0"/>
    <xf numFmtId="164" fontId="5" fillId="0" borderId="0" applyFont="0" applyFill="0" applyBorder="0" applyAlignment="0" applyProtection="0"/>
    <xf numFmtId="0" fontId="1" fillId="5" borderId="1">
      <alignment wrapText="1"/>
    </xf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3" fillId="4" borderId="2" xfId="1" applyFont="1" applyFill="1" applyBorder="1"/>
    <xf numFmtId="0" fontId="3" fillId="4" borderId="3" xfId="1" applyFont="1" applyFill="1" applyBorder="1"/>
    <xf numFmtId="0" fontId="0" fillId="0" borderId="1" xfId="0" applyBorder="1"/>
    <xf numFmtId="0" fontId="0" fillId="0" borderId="4" xfId="0" applyBorder="1"/>
    <xf numFmtId="165" fontId="0" fillId="0" borderId="4" xfId="0" applyNumberFormat="1" applyBorder="1"/>
    <xf numFmtId="0" fontId="3" fillId="2" borderId="0" xfId="0" applyFont="1" applyFill="1" applyProtection="1">
      <protection locked="0"/>
    </xf>
    <xf numFmtId="0" fontId="3" fillId="4" borderId="3" xfId="1" applyFont="1" applyFill="1" applyBorder="1" applyAlignment="1">
      <alignment horizontal="right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center"/>
    </xf>
    <xf numFmtId="0" fontId="4" fillId="0" borderId="0" xfId="2"/>
    <xf numFmtId="0" fontId="4" fillId="0" borderId="1" xfId="2" applyBorder="1"/>
    <xf numFmtId="14" fontId="4" fillId="0" borderId="1" xfId="2" applyNumberFormat="1" applyBorder="1"/>
    <xf numFmtId="14" fontId="4" fillId="0" borderId="0" xfId="2" applyNumberFormat="1"/>
    <xf numFmtId="0" fontId="4" fillId="0" borderId="5" xfId="2" applyBorder="1"/>
    <xf numFmtId="14" fontId="4" fillId="0" borderId="1" xfId="2" applyNumberFormat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1" fillId="2" borderId="0" xfId="0" applyFont="1" applyFill="1" applyProtection="1">
      <protection locked="0"/>
    </xf>
    <xf numFmtId="0" fontId="3" fillId="4" borderId="0" xfId="1" applyFont="1" applyFill="1" applyBorder="1"/>
    <xf numFmtId="16" fontId="0" fillId="0" borderId="0" xfId="0" applyNumberFormat="1"/>
    <xf numFmtId="0" fontId="0" fillId="0" borderId="0" xfId="0" applyNumberFormat="1"/>
  </cellXfs>
  <cellStyles count="7">
    <cellStyle name="Accent2" xfId="1" builtinId="33"/>
    <cellStyle name="blue" xfId="5" xr:uid="{5AA8C227-E390-4FD3-BACE-A19AB9D4DD36}"/>
    <cellStyle name="Currency 2" xfId="4" xr:uid="{FD4705D0-DD11-479F-A5AB-02F378253266}"/>
    <cellStyle name="Normal" xfId="0" builtinId="0"/>
    <cellStyle name="Normal 2" xfId="2" xr:uid="{E6CFBF78-E2DA-4FDA-A759-CCB3F028EED4}"/>
    <cellStyle name="Normal 2 2" xfId="3" xr:uid="{15526CDB-BA29-469F-BFE0-21E470FE675D}"/>
    <cellStyle name="Percent 2" xfId="6" xr:uid="{E45CC1CD-6EA8-43E1-9DEB-F1EAC2D6F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NOZANT\EXCELZANT\Example%20Class%20Master\BUILT%20IN%20FUNCTION\LOOKUP%20REFERENCE\CHOOSE%20INDIRECT\CHOOSE%20INDIREC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Mastering%20V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OOSE (2)"/>
      <sheetName val="3 Tables"/>
      <sheetName val="Choose"/>
      <sheetName val="indirect"/>
      <sheetName val="Nimita"/>
      <sheetName val="Arti"/>
      <sheetName val="Amit"/>
      <sheetName val="Ref Sheets"/>
      <sheetName val="india"/>
      <sheetName val="aus"/>
      <sheetName val="South Africa"/>
    </sheetNames>
    <sheetDataSet>
      <sheetData sheetId="0" refreshError="1"/>
      <sheetData sheetId="1" refreshError="1"/>
      <sheetData sheetId="2" refreshError="1"/>
      <sheetData sheetId="3">
        <row r="75">
          <cell r="A75" t="str">
            <v>India</v>
          </cell>
        </row>
        <row r="76">
          <cell r="A76" t="str">
            <v>Germany</v>
          </cell>
        </row>
        <row r="77">
          <cell r="A77" t="str">
            <v>UK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0"/>
      <sheetName val="21-40"/>
      <sheetName val="41-50"/>
      <sheetName val="Sheet1"/>
      <sheetName val="Test"/>
    </sheetNames>
    <sheetDataSet>
      <sheetData sheetId="0"/>
      <sheetData sheetId="1">
        <row r="18">
          <cell r="A18" t="str">
            <v>Account</v>
          </cell>
          <cell r="B18" t="str">
            <v>Account Name</v>
          </cell>
          <cell r="C18" t="str">
            <v>Year</v>
          </cell>
          <cell r="D18" t="str">
            <v>Date</v>
          </cell>
          <cell r="E18" t="str">
            <v>Amount</v>
          </cell>
        </row>
        <row r="19">
          <cell r="A19">
            <v>1000</v>
          </cell>
          <cell r="B19" t="str">
            <v>Cost of Sales</v>
          </cell>
          <cell r="C19">
            <v>2015</v>
          </cell>
          <cell r="D19">
            <v>42155</v>
          </cell>
          <cell r="E19">
            <v>342342</v>
          </cell>
        </row>
        <row r="20">
          <cell r="A20">
            <v>1000</v>
          </cell>
          <cell r="B20" t="str">
            <v>Cost of Sales</v>
          </cell>
          <cell r="C20">
            <v>2015</v>
          </cell>
          <cell r="D20">
            <v>42153</v>
          </cell>
          <cell r="E20">
            <v>656565</v>
          </cell>
        </row>
        <row r="21">
          <cell r="A21">
            <v>1000</v>
          </cell>
          <cell r="B21" t="str">
            <v>Cost of Sales</v>
          </cell>
          <cell r="C21">
            <v>2015</v>
          </cell>
          <cell r="D21">
            <v>42063</v>
          </cell>
          <cell r="E21">
            <v>234324</v>
          </cell>
        </row>
        <row r="22">
          <cell r="A22">
            <v>1000</v>
          </cell>
          <cell r="B22" t="str">
            <v>Cost of Sales</v>
          </cell>
          <cell r="C22">
            <v>2015</v>
          </cell>
          <cell r="D22">
            <v>42060</v>
          </cell>
          <cell r="E22">
            <v>545454</v>
          </cell>
        </row>
        <row r="23">
          <cell r="A23">
            <v>1000</v>
          </cell>
          <cell r="B23" t="str">
            <v>Cost of Sales</v>
          </cell>
          <cell r="C23">
            <v>2015</v>
          </cell>
          <cell r="D23">
            <v>42094</v>
          </cell>
          <cell r="E23">
            <v>324323</v>
          </cell>
        </row>
        <row r="24">
          <cell r="A24">
            <v>1000</v>
          </cell>
          <cell r="B24" t="str">
            <v>Cost of Sales</v>
          </cell>
          <cell r="C24">
            <v>2015</v>
          </cell>
          <cell r="D24">
            <v>42089</v>
          </cell>
          <cell r="E24">
            <v>234323</v>
          </cell>
        </row>
        <row r="25">
          <cell r="A25">
            <v>1000</v>
          </cell>
          <cell r="B25" t="str">
            <v>Cost of Sales</v>
          </cell>
          <cell r="C25">
            <v>2015</v>
          </cell>
          <cell r="D25">
            <v>42085</v>
          </cell>
          <cell r="E25">
            <v>654543</v>
          </cell>
        </row>
        <row r="26">
          <cell r="A26">
            <v>1000</v>
          </cell>
          <cell r="B26" t="str">
            <v>Cost of Sales</v>
          </cell>
          <cell r="C26">
            <v>2015</v>
          </cell>
          <cell r="D26">
            <v>42084</v>
          </cell>
          <cell r="E26">
            <v>232332</v>
          </cell>
        </row>
        <row r="27">
          <cell r="A27">
            <v>1000</v>
          </cell>
          <cell r="B27" t="str">
            <v>Cost of Sales</v>
          </cell>
          <cell r="C27">
            <v>2015</v>
          </cell>
          <cell r="D27">
            <v>42083</v>
          </cell>
          <cell r="E27">
            <v>123456</v>
          </cell>
        </row>
        <row r="28">
          <cell r="A28">
            <v>1000</v>
          </cell>
          <cell r="B28" t="str">
            <v>Cost of Sales</v>
          </cell>
          <cell r="C28">
            <v>2015</v>
          </cell>
          <cell r="D28">
            <v>42082</v>
          </cell>
          <cell r="E28">
            <v>454543</v>
          </cell>
        </row>
        <row r="29">
          <cell r="A29">
            <v>1000</v>
          </cell>
          <cell r="B29" t="str">
            <v>Cost of Sales</v>
          </cell>
          <cell r="C29">
            <v>2015</v>
          </cell>
          <cell r="D29">
            <v>42081</v>
          </cell>
          <cell r="E29">
            <v>323211</v>
          </cell>
        </row>
        <row r="30">
          <cell r="A30">
            <v>1000</v>
          </cell>
          <cell r="B30" t="str">
            <v>Cost of Sales</v>
          </cell>
          <cell r="C30">
            <v>2015</v>
          </cell>
          <cell r="D30">
            <v>42113</v>
          </cell>
          <cell r="E30">
            <v>287675</v>
          </cell>
        </row>
        <row r="31">
          <cell r="A31">
            <v>1000</v>
          </cell>
          <cell r="B31" t="str">
            <v>Cost of Sales</v>
          </cell>
          <cell r="C31">
            <v>2015</v>
          </cell>
          <cell r="D31">
            <v>42122</v>
          </cell>
          <cell r="E31">
            <v>876765</v>
          </cell>
        </row>
        <row r="32">
          <cell r="A32">
            <v>1000</v>
          </cell>
          <cell r="B32" t="str">
            <v>Cost of Sales</v>
          </cell>
          <cell r="C32">
            <v>2015</v>
          </cell>
          <cell r="D32">
            <v>42136</v>
          </cell>
          <cell r="E32">
            <v>342322</v>
          </cell>
        </row>
        <row r="33">
          <cell r="A33" t="str">
            <v>1000 Total</v>
          </cell>
          <cell r="E33">
            <v>5632178</v>
          </cell>
        </row>
        <row r="34">
          <cell r="A34">
            <v>2000</v>
          </cell>
          <cell r="B34" t="str">
            <v>Distribution Cost</v>
          </cell>
          <cell r="C34">
            <v>2015</v>
          </cell>
          <cell r="D34">
            <v>42155</v>
          </cell>
          <cell r="E34">
            <v>2323</v>
          </cell>
        </row>
        <row r="35">
          <cell r="A35">
            <v>2000</v>
          </cell>
          <cell r="B35" t="str">
            <v>Distribution Cost</v>
          </cell>
          <cell r="C35">
            <v>2015</v>
          </cell>
          <cell r="D35">
            <v>42153</v>
          </cell>
          <cell r="E35">
            <v>4343</v>
          </cell>
        </row>
        <row r="36">
          <cell r="A36">
            <v>2000</v>
          </cell>
          <cell r="B36" t="str">
            <v>Distribution Cost</v>
          </cell>
          <cell r="C36">
            <v>2015</v>
          </cell>
          <cell r="D36">
            <v>42063</v>
          </cell>
          <cell r="E36">
            <v>5534</v>
          </cell>
        </row>
        <row r="37">
          <cell r="A37">
            <v>2000</v>
          </cell>
          <cell r="B37" t="str">
            <v>Distribution Cost</v>
          </cell>
          <cell r="C37">
            <v>2015</v>
          </cell>
          <cell r="D37">
            <v>42060</v>
          </cell>
          <cell r="E37">
            <v>2234</v>
          </cell>
        </row>
        <row r="38">
          <cell r="A38">
            <v>2000</v>
          </cell>
          <cell r="B38" t="str">
            <v>Distribution Cost</v>
          </cell>
          <cell r="C38">
            <v>2015</v>
          </cell>
          <cell r="D38">
            <v>42094</v>
          </cell>
          <cell r="E38">
            <v>4543</v>
          </cell>
        </row>
        <row r="39">
          <cell r="A39">
            <v>2000</v>
          </cell>
          <cell r="B39" t="str">
            <v>Distribution Cost</v>
          </cell>
          <cell r="C39">
            <v>2015</v>
          </cell>
          <cell r="D39">
            <v>42089</v>
          </cell>
          <cell r="E39">
            <v>4324</v>
          </cell>
        </row>
        <row r="40">
          <cell r="A40">
            <v>2000</v>
          </cell>
          <cell r="B40" t="str">
            <v>Distribution Cost</v>
          </cell>
          <cell r="C40">
            <v>2015</v>
          </cell>
          <cell r="D40">
            <v>42085</v>
          </cell>
          <cell r="E40">
            <v>2323</v>
          </cell>
        </row>
        <row r="41">
          <cell r="A41">
            <v>2000</v>
          </cell>
          <cell r="B41" t="str">
            <v>Distribution Cost</v>
          </cell>
          <cell r="C41">
            <v>2015</v>
          </cell>
          <cell r="D41">
            <v>42084</v>
          </cell>
          <cell r="E41">
            <v>4332</v>
          </cell>
        </row>
        <row r="42">
          <cell r="A42">
            <v>2000</v>
          </cell>
          <cell r="B42" t="str">
            <v>Distribution Cost</v>
          </cell>
          <cell r="C42">
            <v>2015</v>
          </cell>
          <cell r="D42">
            <v>42083</v>
          </cell>
          <cell r="E42">
            <v>4343</v>
          </cell>
        </row>
        <row r="43">
          <cell r="A43">
            <v>2000</v>
          </cell>
          <cell r="B43" t="str">
            <v>Distribution Cost</v>
          </cell>
          <cell r="C43">
            <v>2015</v>
          </cell>
          <cell r="D43">
            <v>42082</v>
          </cell>
          <cell r="E43">
            <v>6565</v>
          </cell>
        </row>
        <row r="44">
          <cell r="A44">
            <v>2000</v>
          </cell>
          <cell r="B44" t="str">
            <v>Distribution Cost</v>
          </cell>
          <cell r="C44">
            <v>2015</v>
          </cell>
          <cell r="D44">
            <v>42081</v>
          </cell>
          <cell r="E44">
            <v>7656</v>
          </cell>
        </row>
        <row r="45">
          <cell r="A45">
            <v>2000</v>
          </cell>
          <cell r="B45" t="str">
            <v>Distribution Cost</v>
          </cell>
          <cell r="C45">
            <v>2015</v>
          </cell>
          <cell r="D45">
            <v>42113</v>
          </cell>
          <cell r="E45">
            <v>4534</v>
          </cell>
        </row>
        <row r="46">
          <cell r="A46">
            <v>2000</v>
          </cell>
          <cell r="B46" t="str">
            <v>Distribution Cost</v>
          </cell>
          <cell r="C46">
            <v>2015</v>
          </cell>
          <cell r="D46">
            <v>42122</v>
          </cell>
          <cell r="E46">
            <v>5434</v>
          </cell>
        </row>
        <row r="47">
          <cell r="A47">
            <v>2000</v>
          </cell>
          <cell r="B47" t="str">
            <v>Distribution Cost</v>
          </cell>
          <cell r="C47">
            <v>2015</v>
          </cell>
          <cell r="D47">
            <v>42136</v>
          </cell>
          <cell r="E47">
            <v>5453</v>
          </cell>
        </row>
        <row r="48">
          <cell r="A48" t="str">
            <v>2000 Total</v>
          </cell>
          <cell r="E48">
            <v>63941</v>
          </cell>
        </row>
        <row r="49">
          <cell r="A49" t="str">
            <v>Grand Total</v>
          </cell>
          <cell r="E49">
            <v>5696119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EFEC-4EB8-4179-9B2C-DC84CCFD192E}">
  <dimension ref="A1:G17"/>
  <sheetViews>
    <sheetView topLeftCell="A3" workbookViewId="0">
      <selection activeCell="E16" sqref="E16"/>
    </sheetView>
  </sheetViews>
  <sheetFormatPr defaultRowHeight="21" x14ac:dyDescent="0.4"/>
  <cols>
    <col min="1" max="1" width="21.92578125" customWidth="1"/>
  </cols>
  <sheetData>
    <row r="1" spans="1:7" x14ac:dyDescent="0.4">
      <c r="A1" s="12" t="s">
        <v>0</v>
      </c>
      <c r="B1" s="1"/>
      <c r="C1" s="1"/>
      <c r="D1" s="1"/>
      <c r="E1" s="1"/>
      <c r="F1" s="1"/>
      <c r="G1" s="1"/>
    </row>
    <row r="2" spans="1:7" x14ac:dyDescent="0.4">
      <c r="A2" s="1"/>
      <c r="B2" s="1"/>
      <c r="C2" s="1"/>
      <c r="D2" s="1"/>
      <c r="E2" s="1"/>
      <c r="F2" s="1"/>
      <c r="G2" s="1"/>
    </row>
    <row r="3" spans="1:7" x14ac:dyDescent="0.4">
      <c r="A3" s="1"/>
      <c r="B3" s="1"/>
      <c r="C3" s="1"/>
      <c r="D3" s="1"/>
      <c r="E3" s="1"/>
      <c r="F3" s="1"/>
      <c r="G3" s="1"/>
    </row>
    <row r="4" spans="1:7" x14ac:dyDescent="0.4">
      <c r="A4" s="2" t="s">
        <v>1</v>
      </c>
      <c r="B4" s="2" t="s">
        <v>2</v>
      </c>
      <c r="D4" s="1"/>
      <c r="E4" s="1"/>
      <c r="F4" s="1"/>
      <c r="G4" s="1"/>
    </row>
    <row r="5" spans="1:7" x14ac:dyDescent="0.4">
      <c r="A5" s="3" t="s">
        <v>3</v>
      </c>
      <c r="B5" s="3">
        <v>45325</v>
      </c>
      <c r="D5" s="1"/>
      <c r="E5" s="1"/>
    </row>
    <row r="6" spans="1:7" x14ac:dyDescent="0.4">
      <c r="A6" s="3" t="s">
        <v>4</v>
      </c>
      <c r="B6" s="3">
        <v>4346</v>
      </c>
      <c r="D6" s="1"/>
      <c r="E6" s="1"/>
    </row>
    <row r="7" spans="1:7" x14ac:dyDescent="0.4">
      <c r="A7" s="3" t="s">
        <v>5</v>
      </c>
      <c r="B7" s="3">
        <v>3446</v>
      </c>
      <c r="D7" s="1"/>
      <c r="E7" s="1"/>
    </row>
    <row r="8" spans="1:7" x14ac:dyDescent="0.4">
      <c r="A8" s="3" t="s">
        <v>6</v>
      </c>
      <c r="B8" s="3">
        <v>34677</v>
      </c>
      <c r="D8" s="1"/>
      <c r="E8" s="1"/>
    </row>
    <row r="9" spans="1:7" x14ac:dyDescent="0.4">
      <c r="A9" s="3" t="s">
        <v>7</v>
      </c>
      <c r="B9" s="3">
        <v>33454</v>
      </c>
      <c r="D9" s="1"/>
      <c r="E9" s="1"/>
    </row>
    <row r="10" spans="1:7" x14ac:dyDescent="0.4">
      <c r="A10" s="3" t="s">
        <v>8</v>
      </c>
      <c r="B10" s="3">
        <v>4233</v>
      </c>
      <c r="D10" s="1"/>
      <c r="E10" s="1"/>
    </row>
    <row r="11" spans="1:7" x14ac:dyDescent="0.4">
      <c r="A11" s="3" t="s">
        <v>9</v>
      </c>
      <c r="B11" s="3">
        <v>5327</v>
      </c>
      <c r="D11" s="1"/>
      <c r="E11" s="1"/>
    </row>
    <row r="12" spans="1:7" x14ac:dyDescent="0.4">
      <c r="A12" s="3" t="s">
        <v>10</v>
      </c>
      <c r="B12" s="3">
        <v>8645</v>
      </c>
      <c r="D12" s="1"/>
      <c r="E12" s="1"/>
    </row>
    <row r="13" spans="1:7" x14ac:dyDescent="0.4">
      <c r="A13" s="3" t="s">
        <v>11</v>
      </c>
      <c r="B13" s="3">
        <v>8759</v>
      </c>
      <c r="D13" s="1"/>
      <c r="E13" s="1"/>
    </row>
    <row r="14" spans="1:7" x14ac:dyDescent="0.4">
      <c r="A14" s="3" t="s">
        <v>12</v>
      </c>
      <c r="B14" s="3">
        <v>4324</v>
      </c>
      <c r="D14" s="1"/>
      <c r="E14" s="1" t="s">
        <v>18</v>
      </c>
    </row>
    <row r="15" spans="1:7" x14ac:dyDescent="0.4">
      <c r="A15" s="5"/>
      <c r="B15" s="3"/>
      <c r="C15" s="4"/>
      <c r="D15" s="1"/>
      <c r="E15" s="1"/>
    </row>
    <row r="16" spans="1:7" x14ac:dyDescent="0.4">
      <c r="A16" s="2" t="s">
        <v>0</v>
      </c>
      <c r="B16" s="6">
        <f>COUNTIF(B5:B14,"&gt;"&amp;AVERAGE(B5:B14))</f>
        <v>3</v>
      </c>
      <c r="C16">
        <f>COUNTIF(B5:B14,"&gt;"&amp;AVERAGE(B5:B14))</f>
        <v>3</v>
      </c>
      <c r="D16" s="1"/>
      <c r="E16" s="1">
        <f>COUNTIF(B5:B14,"&gt;"&amp;AVERAGE(B5:B14))</f>
        <v>3</v>
      </c>
    </row>
    <row r="17" spans="1:5" x14ac:dyDescent="0.4">
      <c r="A17" s="1"/>
      <c r="B17" s="1"/>
      <c r="C17" s="1"/>
      <c r="D17" s="1"/>
      <c r="E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F738-EEA8-48A9-9F63-147DC45FA1E9}">
  <dimension ref="A1:H12"/>
  <sheetViews>
    <sheetView workbookViewId="0">
      <selection activeCell="E13" sqref="E13"/>
    </sheetView>
  </sheetViews>
  <sheetFormatPr defaultRowHeight="21" x14ac:dyDescent="0.4"/>
  <cols>
    <col min="1" max="1" width="13" bestFit="1" customWidth="1"/>
  </cols>
  <sheetData>
    <row r="1" spans="1:8" x14ac:dyDescent="0.4">
      <c r="A1" s="12" t="s">
        <v>16</v>
      </c>
    </row>
    <row r="3" spans="1:8" x14ac:dyDescent="0.4">
      <c r="A3" s="7" t="s">
        <v>13</v>
      </c>
      <c r="B3" s="8" t="s">
        <v>14</v>
      </c>
      <c r="C3" s="8" t="s">
        <v>15</v>
      </c>
      <c r="F3" s="24" t="s">
        <v>55</v>
      </c>
      <c r="G3">
        <v>2</v>
      </c>
      <c r="H3" cm="1">
        <f t="array" ref="H3">LARGE(IF(A4:A12=F3,C4:C12),G3)</f>
        <v>234</v>
      </c>
    </row>
    <row r="4" spans="1:8" x14ac:dyDescent="0.4">
      <c r="A4" s="9" t="s">
        <v>3</v>
      </c>
      <c r="B4" s="9">
        <v>111</v>
      </c>
      <c r="C4" s="9">
        <v>123</v>
      </c>
    </row>
    <row r="5" spans="1:8" x14ac:dyDescent="0.4">
      <c r="A5" s="9" t="s">
        <v>4</v>
      </c>
      <c r="B5" s="9">
        <v>222</v>
      </c>
      <c r="C5" s="9">
        <v>232</v>
      </c>
      <c r="E5" s="13" t="s">
        <v>17</v>
      </c>
    </row>
    <row r="6" spans="1:8" x14ac:dyDescent="0.4">
      <c r="A6" s="9" t="s">
        <v>3</v>
      </c>
      <c r="B6" s="9">
        <v>111</v>
      </c>
      <c r="C6" s="9">
        <v>453</v>
      </c>
      <c r="E6" cm="1">
        <f t="array" ref="E6">SUMPRODUCT(LARGE((A4:A12="A")*(C4:C12),2))</f>
        <v>124</v>
      </c>
      <c r="F6" cm="1">
        <f t="array" ref="F6">LARGE(_xlfn.CHOOSECOLS(_xlfn._xlws.FILTER(A4:C12,A4:A12=F3),3),G3)</f>
        <v>234</v>
      </c>
    </row>
    <row r="7" spans="1:8" x14ac:dyDescent="0.4">
      <c r="A7" s="9" t="s">
        <v>6</v>
      </c>
      <c r="B7" s="9">
        <v>444</v>
      </c>
      <c r="C7" s="9">
        <v>231</v>
      </c>
    </row>
    <row r="8" spans="1:8" x14ac:dyDescent="0.4">
      <c r="A8" s="9" t="s">
        <v>3</v>
      </c>
      <c r="B8" s="9">
        <v>999</v>
      </c>
      <c r="C8" s="9">
        <v>124</v>
      </c>
      <c r="E8" cm="1">
        <f t="array" ref="E8">LARGE(_xlfn.CHOOSECOLS(_xlfn._xlws.FILTER(A4:C12,A4:A12=F3),3),G3)</f>
        <v>234</v>
      </c>
    </row>
    <row r="9" spans="1:8" x14ac:dyDescent="0.4">
      <c r="A9" s="9" t="s">
        <v>4</v>
      </c>
      <c r="B9" s="9">
        <v>555</v>
      </c>
      <c r="C9" s="9">
        <v>234</v>
      </c>
    </row>
    <row r="10" spans="1:8" x14ac:dyDescent="0.4">
      <c r="A10" s="9" t="s">
        <v>5</v>
      </c>
      <c r="B10" s="9">
        <v>333</v>
      </c>
      <c r="C10" s="9">
        <v>321</v>
      </c>
    </row>
    <row r="11" spans="1:8" x14ac:dyDescent="0.4">
      <c r="A11" s="9" t="s">
        <v>4</v>
      </c>
      <c r="B11" s="9">
        <v>222</v>
      </c>
      <c r="C11" s="9">
        <v>256</v>
      </c>
    </row>
    <row r="12" spans="1:8" x14ac:dyDescent="0.4">
      <c r="A12" s="9" t="s">
        <v>6</v>
      </c>
      <c r="B12" s="9">
        <v>444</v>
      </c>
      <c r="C12" s="9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83A3-9E3B-4527-A486-2AEA7FA31294}">
  <dimension ref="A1:H15"/>
  <sheetViews>
    <sheetView workbookViewId="0">
      <selection activeCell="C4" sqref="C4"/>
    </sheetView>
  </sheetViews>
  <sheetFormatPr defaultRowHeight="21" x14ac:dyDescent="0.4"/>
  <cols>
    <col min="1" max="1" width="42.35546875" bestFit="1" customWidth="1"/>
    <col min="2" max="2" width="21.28515625" bestFit="1" customWidth="1"/>
    <col min="3" max="3" width="15.140625" customWidth="1"/>
  </cols>
  <sheetData>
    <row r="1" spans="1:8" x14ac:dyDescent="0.4">
      <c r="A1" s="12" t="s">
        <v>51</v>
      </c>
    </row>
    <row r="3" spans="1:8" x14ac:dyDescent="0.4">
      <c r="A3" s="14" t="s">
        <v>23</v>
      </c>
      <c r="B3" s="15" t="s">
        <v>24</v>
      </c>
    </row>
    <row r="4" spans="1:8" x14ac:dyDescent="0.4">
      <c r="A4" s="10" t="s">
        <v>54</v>
      </c>
      <c r="B4" s="11" cm="1">
        <f t="array" ref="B4">MAX(IFERROR(DATEVALUE(MID(A4,ROW($1:$99),10)),""))</f>
        <v>31064</v>
      </c>
      <c r="C4" t="str">
        <f>_xlfn.LET(_xlpm.a,FIND("/",A4),MID(A4,_xlpm.a-2,_xlpm.a+7-_xlpm.a+3))</f>
        <v>17/01/1985</v>
      </c>
      <c r="E4" t="str" cm="1">
        <f t="array" ref="E4">TEXT(MAX(IFERROR(DATEVALUE(MID(A4,_xlfn.SEQUENCE(LEN(A4)),10)), "")), "dd mmmm yyyy")</f>
        <v>17 January 1985</v>
      </c>
      <c r="H4" t="str" cm="1">
        <f t="array" ref="H4">_xlfn.LET(_xlpm.a, MIN(IFERROR(SEARCH(_xlfn.SEQUENCE(10, , 0), A4), "")), MID(A4, _xlpm.a, 10))</f>
        <v>17/01/1985</v>
      </c>
    </row>
    <row r="5" spans="1:8" x14ac:dyDescent="0.4">
      <c r="A5" s="10" t="s">
        <v>20</v>
      </c>
      <c r="B5" s="11">
        <f t="array" ref="B5">MAX(IFERROR(DATEVALUE(MID(A5,ROW($1:$99),10)),""))</f>
        <v>31054</v>
      </c>
      <c r="C5" t="str">
        <f t="shared" ref="C5:C8" si="0">_xlfn.LET(_xlpm.a,FIND("/",A5),MID(A5,_xlpm.a-2,_xlpm.a+7-_xlpm.a+3))</f>
        <v>07/01/1985</v>
      </c>
      <c r="E5" t="str" cm="1">
        <f t="array" ref="E5">TEXT(MAX(IFERROR(DATEVALUE(MID(A5,_xlfn.SEQUENCE(LEN(A5)),10)), "")), "dd mmmm yyyy")</f>
        <v>07 January 1985</v>
      </c>
      <c r="H5" t="str" cm="1">
        <f t="array" ref="H5">_xlfn.LET(_xlpm.a, MIN(IFERROR(SEARCH(_xlfn.SEQUENCE(10, , 0), A5), "")), MID(A5, _xlpm.a, 10))</f>
        <v>07/01/1985</v>
      </c>
    </row>
    <row r="6" spans="1:8" x14ac:dyDescent="0.4">
      <c r="A6" s="10" t="s">
        <v>19</v>
      </c>
      <c r="B6" s="11">
        <f t="array" ref="B6">MAX(IFERROR(DATEVALUE(MID(A6,ROW($1:$99),10)),""))</f>
        <v>31054</v>
      </c>
      <c r="C6" t="str">
        <f t="shared" si="0"/>
        <v>07/01/1985</v>
      </c>
      <c r="E6" t="str" cm="1">
        <f t="array" ref="E6">TEXT(MAX(IFERROR(DATEVALUE(MID(A6,_xlfn.SEQUENCE(LEN(A6)),10)), "")), "dd mmmm yyyy")</f>
        <v>07 January 1985</v>
      </c>
      <c r="H6" t="str" cm="1">
        <f t="array" ref="H6">_xlfn.LET(_xlpm.a, MIN(IFERROR(SEARCH(_xlfn.SEQUENCE(10, , 0), A6), "")), MID(A6, _xlpm.a, 10))</f>
        <v>07/01/1985</v>
      </c>
    </row>
    <row r="7" spans="1:8" x14ac:dyDescent="0.4">
      <c r="A7" s="10" t="s">
        <v>21</v>
      </c>
      <c r="B7" s="11">
        <f t="array" ref="B7">MAX(IFERROR(DATEVALUE(MID(A7,ROW($1:$99),10)),""))</f>
        <v>31054</v>
      </c>
      <c r="C7" t="str">
        <f t="shared" si="0"/>
        <v>07/01/1985</v>
      </c>
      <c r="E7" t="str" cm="1">
        <f t="array" ref="E7">TEXT(MAX(IFERROR(DATEVALUE(MID(A7,_xlfn.SEQUENCE(LEN(A7)),10)), "")), "dd mmmm yyyy")</f>
        <v>07 January 1985</v>
      </c>
      <c r="H7" t="str" cm="1">
        <f t="array" ref="H7">_xlfn.LET(_xlpm.a, MIN(IFERROR(SEARCH(_xlfn.SEQUENCE(10, , 0), A7), "")), MID(A7, _xlpm.a, 10))</f>
        <v>07/01/1985</v>
      </c>
    </row>
    <row r="8" spans="1:8" x14ac:dyDescent="0.4">
      <c r="A8" s="10" t="s">
        <v>22</v>
      </c>
      <c r="B8" s="11">
        <f t="array" ref="B8">MAX(IFERROR(DATEVALUE(MID(A8,ROW($1:$99),10)),""))</f>
        <v>31054</v>
      </c>
      <c r="C8" t="str">
        <f>_xlfn.LET(_xlpm.a,FIND("/",A8),MID(A8,_xlpm.a-2,_xlpm.a+7-_xlpm.a+3))</f>
        <v>07/01/1985</v>
      </c>
      <c r="E8" t="str" cm="1">
        <f t="array" ref="E8">TEXT(MAX(IFERROR(DATEVALUE(MID(A8,_xlfn.SEQUENCE(LEN(A8)),10)), "")), "dd mmmm yyyy")</f>
        <v>07 January 1985</v>
      </c>
      <c r="H8" t="str" cm="1">
        <f t="array" ref="H8">_xlfn.LET(_xlpm.a, MIN(IFERROR(SEARCH(_xlfn.SEQUENCE(10, , 0), A8), "")), MID(A8, _xlpm.a, 10))</f>
        <v>07/01/1985</v>
      </c>
    </row>
    <row r="11" spans="1:8" x14ac:dyDescent="0.4">
      <c r="A11" s="25"/>
    </row>
    <row r="14" spans="1:8" x14ac:dyDescent="0.4">
      <c r="D14">
        <v>7</v>
      </c>
    </row>
    <row r="15" spans="1:8" x14ac:dyDescent="0.4">
      <c r="D15" s="26">
        <v>5</v>
      </c>
      <c r="E1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2550-99E3-4B3D-96A8-6E43C94E5061}">
  <dimension ref="A1:N20"/>
  <sheetViews>
    <sheetView zoomScaleNormal="100" workbookViewId="0">
      <selection activeCell="H21" sqref="H21"/>
    </sheetView>
  </sheetViews>
  <sheetFormatPr defaultColWidth="8.7109375" defaultRowHeight="14.4" x14ac:dyDescent="0.3"/>
  <cols>
    <col min="1" max="1" width="22.2109375" style="16" bestFit="1" customWidth="1"/>
    <col min="2" max="2" width="7.5" style="16" customWidth="1"/>
    <col min="3" max="3" width="9.7109375" style="16" customWidth="1"/>
    <col min="4" max="4" width="13.28515625" style="16" customWidth="1"/>
    <col min="5" max="5" width="9.0703125" style="16" customWidth="1"/>
    <col min="6" max="6" width="11.28515625" style="16" bestFit="1" customWidth="1"/>
    <col min="7" max="10" width="9.0703125" style="16" customWidth="1"/>
    <col min="11" max="12" width="6.78515625" style="16" bestFit="1" customWidth="1"/>
    <col min="13" max="16384" width="8.7109375" style="16"/>
  </cols>
  <sheetData>
    <row r="1" spans="1:14" x14ac:dyDescent="0.3">
      <c r="A1" s="23" t="s">
        <v>52</v>
      </c>
      <c r="E1" s="18">
        <f>DATE(2018,MONTH(1&amp;E2),1)</f>
        <v>43101</v>
      </c>
      <c r="F1" s="18">
        <f t="shared" ref="F1:K1" si="0">DATE(2018,MONTH(1&amp;F2),1)</f>
        <v>43132</v>
      </c>
      <c r="G1" s="18">
        <f t="shared" si="0"/>
        <v>43160</v>
      </c>
      <c r="H1" s="18">
        <f t="shared" si="0"/>
        <v>43191</v>
      </c>
      <c r="I1" s="18">
        <f t="shared" si="0"/>
        <v>43221</v>
      </c>
      <c r="J1" s="18">
        <f t="shared" si="0"/>
        <v>43252</v>
      </c>
      <c r="K1" s="18">
        <f t="shared" si="0"/>
        <v>43282</v>
      </c>
      <c r="L1" s="19"/>
      <c r="M1" s="19"/>
      <c r="N1" s="19"/>
    </row>
    <row r="2" spans="1:14" x14ac:dyDescent="0.3">
      <c r="A2" s="17" t="s">
        <v>25</v>
      </c>
      <c r="B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</row>
    <row r="3" spans="1:14" x14ac:dyDescent="0.3">
      <c r="A3" s="18">
        <v>43101</v>
      </c>
      <c r="B3" s="17">
        <v>200</v>
      </c>
      <c r="D3" s="17" t="s">
        <v>35</v>
      </c>
      <c r="E3" s="17">
        <f>VLOOKUP(DATE(2018,MONTH(1&amp;E2),1),$A$3:$B$13,2,0)</f>
        <v>200</v>
      </c>
      <c r="F3" s="17">
        <f t="shared" ref="F3:K3" si="1">VLOOKUP(DATE(2018,MONTH(1&amp;F2),1),$A$3:$B$13,2,0)</f>
        <v>400</v>
      </c>
      <c r="G3" s="17">
        <f t="shared" si="1"/>
        <v>500</v>
      </c>
      <c r="H3" s="17">
        <f t="shared" si="1"/>
        <v>700</v>
      </c>
      <c r="I3" s="17">
        <f t="shared" si="1"/>
        <v>900</v>
      </c>
      <c r="J3" s="17">
        <f t="shared" si="1"/>
        <v>100</v>
      </c>
      <c r="K3" s="17">
        <f t="shared" si="1"/>
        <v>300</v>
      </c>
    </row>
    <row r="4" spans="1:14" x14ac:dyDescent="0.3">
      <c r="A4" s="18">
        <v>43132</v>
      </c>
      <c r="B4" s="17">
        <v>400</v>
      </c>
      <c r="D4" s="17" t="s">
        <v>36</v>
      </c>
      <c r="E4" s="17">
        <f>VLOOKUP(EOMONTH(DATE(2018,MONTH(1&amp;E2),1),0),$A$3:$B$20,2,0)</f>
        <v>333</v>
      </c>
      <c r="F4" s="17">
        <f t="shared" ref="F4:K4" si="2">VLOOKUP(EOMONTH(DATE(2018,MONTH(1&amp;F2),1),0),$A$3:$B$20,2,0)</f>
        <v>435</v>
      </c>
      <c r="G4" s="17">
        <f t="shared" si="2"/>
        <v>345</v>
      </c>
      <c r="H4" s="17">
        <f t="shared" si="2"/>
        <v>230</v>
      </c>
      <c r="I4" s="17">
        <f t="shared" si="2"/>
        <v>565</v>
      </c>
      <c r="J4" s="17">
        <f t="shared" si="2"/>
        <v>789</v>
      </c>
      <c r="K4" s="20">
        <f t="shared" si="2"/>
        <v>989</v>
      </c>
    </row>
    <row r="5" spans="1:14" x14ac:dyDescent="0.3">
      <c r="A5" s="18">
        <v>43160</v>
      </c>
      <c r="B5" s="17">
        <v>500</v>
      </c>
    </row>
    <row r="6" spans="1:14" x14ac:dyDescent="0.3">
      <c r="A6" s="18">
        <v>43191</v>
      </c>
      <c r="B6" s="17">
        <v>700</v>
      </c>
      <c r="E6" s="16" cm="1">
        <f t="array" ref="E6">VLOOKUP(SMALL(IF(TEXT($A$3:$A$20,"mmm")=E$2,$A$3:$A$20),1),$A$3:$B$20,2,0)</f>
        <v>200</v>
      </c>
      <c r="F6" s="16" cm="1">
        <f t="array" ref="F6">VLOOKUP(SMALL(IF(TEXT($A$3:$A$20,"mmm")=F$2,$A$3:$A$20),1),$A$3:$B$20,2,0)</f>
        <v>400</v>
      </c>
      <c r="G6" s="16" cm="1">
        <f t="array" ref="G6">VLOOKUP(SMALL(IF(TEXT($A$3:$A$20,"mmm")=G$2,$A$3:$A$20),1),$A$3:$B$20,2,0)</f>
        <v>500</v>
      </c>
      <c r="H6" s="16" cm="1">
        <f t="array" ref="H6">VLOOKUP(SMALL(IF(TEXT($A$3:$A$20,"mmm")=H$2,$A$3:$A$20),1),$A$3:$B$20,2,0)</f>
        <v>700</v>
      </c>
      <c r="I6" s="16" cm="1">
        <f t="array" ref="I6">VLOOKUP(SMALL(IF(TEXT($A$3:$A$20,"mmm")=I$2,$A$3:$A$20),1),$A$3:$B$20,2,0)</f>
        <v>900</v>
      </c>
      <c r="J6" s="16" cm="1">
        <f t="array" ref="J6">VLOOKUP(SMALL(IF(TEXT($A$3:$A$20,"mmm")=J$2,$A$3:$A$20),1),$A$3:$B$20,2,0)</f>
        <v>100</v>
      </c>
      <c r="K6" s="16" cm="1">
        <f t="array" ref="K6">VLOOKUP(SMALL(IF(TEXT($A$3:$A$20,"mmm")=K$2,$A$3:$A$20),1),$A$3:$B$20,2,0)</f>
        <v>300</v>
      </c>
    </row>
    <row r="7" spans="1:14" x14ac:dyDescent="0.3">
      <c r="A7" s="18">
        <v>43221</v>
      </c>
      <c r="B7" s="17">
        <v>900</v>
      </c>
      <c r="E7" s="16" cm="1">
        <f t="array" ref="E7">VLOOKUP(LARGE(IF(TEXT($A$3:$A$20,"mmm")=E$2,$A$3:$A$20),1),$A$3:$B$20,2,0)</f>
        <v>333</v>
      </c>
      <c r="F7" s="16" cm="1">
        <f t="array" ref="F7">VLOOKUP(LARGE(IF(TEXT($A$3:$A$20,"mmm")=F$2,$A$3:$A$20),1),$A$3:$B$20,2,0)</f>
        <v>435</v>
      </c>
      <c r="G7" s="16" cm="1">
        <f t="array" ref="G7">VLOOKUP(LARGE(IF(TEXT($A$3:$A$20,"mmm")=G$2,$A$3:$A$20),1),$A$3:$B$20,2,0)</f>
        <v>345</v>
      </c>
      <c r="H7" s="16" cm="1">
        <f t="array" ref="H7">VLOOKUP(LARGE(IF(TEXT($A$3:$A$20,"mmm")=H$2,$A$3:$A$20),1),$A$3:$B$20,2,0)</f>
        <v>230</v>
      </c>
      <c r="I7" s="16" cm="1">
        <f t="array" ref="I7">VLOOKUP(LARGE(IF(TEXT($A$3:$A$20,"mmm")=I$2,$A$3:$A$20),1),$A$3:$B$20,2,0)</f>
        <v>565</v>
      </c>
      <c r="J7" s="16" cm="1">
        <f t="array" ref="J7">VLOOKUP(LARGE(IF(TEXT($A$3:$A$20,"mmm")=J$2,$A$3:$A$20),1),$A$3:$B$20,2,0)</f>
        <v>789</v>
      </c>
      <c r="K7" s="16" cm="1">
        <f t="array" ref="K7">VLOOKUP(LARGE(IF(TEXT($A$3:$A$20,"mmm")=K$2,$A$3:$A$20),1),$A$3:$B$20,2,0)</f>
        <v>989</v>
      </c>
    </row>
    <row r="8" spans="1:14" x14ac:dyDescent="0.3">
      <c r="A8" s="18">
        <v>43252</v>
      </c>
      <c r="B8" s="17">
        <v>100</v>
      </c>
    </row>
    <row r="9" spans="1:14" x14ac:dyDescent="0.3">
      <c r="A9" s="18">
        <v>43282</v>
      </c>
      <c r="B9" s="17">
        <v>300</v>
      </c>
    </row>
    <row r="10" spans="1:14" x14ac:dyDescent="0.3">
      <c r="A10" s="18">
        <v>43313</v>
      </c>
      <c r="B10" s="17">
        <v>400</v>
      </c>
      <c r="E10" s="16">
        <f>_xlfn.MINIFS($A$3:$A$20, $A$3:$A$20, "&gt;=01-"&amp;COLUMNS($E$9:E9)&amp;"-2018", $A$3:$A$20,"&lt;=31-"&amp;COLUMNS($E$9:E9)&amp;"-2018")</f>
        <v>43101</v>
      </c>
      <c r="F10" s="16">
        <f>_xlfn.MINIFS($A$3:$A$20, $A$3:$A$20, "&gt;=01-"&amp;COLUMNS($E$9:F9)&amp;"-2018", $A$3:$A$20,"&lt;=31-"&amp;COLUMNS($E$9:F9)&amp;"-2018")</f>
        <v>0</v>
      </c>
      <c r="G10" s="16">
        <f>_xlfn.MINIFS($A$3:$A$20, $A$3:$A$20, "&gt;=01-"&amp;COLUMNS($E$9:G9)&amp;"-2018", $A$3:$A$20,"&lt;=31-"&amp;COLUMNS($E$9:G9)&amp;"-2018")</f>
        <v>43160</v>
      </c>
      <c r="H10" s="16">
        <f>_xlfn.MINIFS($A$3:$A$20, $A$3:$A$20, "&gt;=01-"&amp;COLUMNS($E$9:H9)&amp;"-2018", $A$3:$A$20,"&lt;=31-"&amp;COLUMNS($E$9:H9)&amp;"-2018")</f>
        <v>0</v>
      </c>
      <c r="I10" s="16">
        <f>_xlfn.MINIFS($A$3:$A$20, $A$3:$A$20, "&gt;=01-"&amp;COLUMNS($E$9:I9)&amp;"-2018", $A$3:$A$20,"&lt;=31-"&amp;COLUMNS($E$9:I9)&amp;"-2018")</f>
        <v>43221</v>
      </c>
      <c r="J10" s="16">
        <f>_xlfn.MINIFS($A$3:$A$20, $A$3:$A$20, "&gt;=01-"&amp;COLUMNS($E$9:J9)&amp;"-2018", $A$3:$A$20,"&lt;=31-"&amp;COLUMNS($E$9:J9)&amp;"-2018")</f>
        <v>0</v>
      </c>
      <c r="K10" s="16">
        <f>_xlfn.MINIFS($A$3:$A$20, $A$3:$A$20, "&gt;=01-"&amp;COLUMNS($E$9:K9)&amp;"-2018", $A$3:$A$20,"&lt;=31-"&amp;COLUMNS($E$9:K9)&amp;"-2018")</f>
        <v>43282</v>
      </c>
    </row>
    <row r="11" spans="1:14" x14ac:dyDescent="0.3">
      <c r="A11" s="18">
        <v>43344</v>
      </c>
      <c r="B11" s="17">
        <v>350</v>
      </c>
    </row>
    <row r="12" spans="1:14" x14ac:dyDescent="0.3">
      <c r="A12" s="18">
        <v>76246</v>
      </c>
      <c r="B12" s="17">
        <v>340</v>
      </c>
    </row>
    <row r="13" spans="1:14" x14ac:dyDescent="0.3">
      <c r="A13" s="18">
        <v>43405</v>
      </c>
      <c r="B13" s="17">
        <v>330</v>
      </c>
      <c r="E13" s="16" cm="1">
        <f t="array" ref="E13">VLOOKUP(MAX(IF(TEXT($A$3:$A$20,"mmm")=E2,$A$3:$A$20,"")), $A$3:$B$20, 2, 0)</f>
        <v>333</v>
      </c>
      <c r="F13" s="16" cm="1">
        <f t="array" ref="F13">VLOOKUP(MAX(IF(TEXT($A$3:$A$20,"mmm")=F2,$A$3:$A$20,"")), $A$3:$B$20, 2, 0)</f>
        <v>435</v>
      </c>
      <c r="G13" s="16" cm="1">
        <f t="array" ref="G13">VLOOKUP(MAX(IF(TEXT($A$3:$A$20,"mmm")=G2,$A$3:$A$20,"")), $A$3:$B$20, 2, 0)</f>
        <v>345</v>
      </c>
      <c r="H13" s="16" cm="1">
        <f t="array" ref="H13">VLOOKUP(MAX(IF(TEXT($A$3:$A$20,"mmm")=H2,$A$3:$A$20,"")), $A$3:$B$20, 2, 0)</f>
        <v>230</v>
      </c>
      <c r="I13" s="16" cm="1">
        <f t="array" ref="I13">VLOOKUP(MAX(IF(TEXT($A$3:$A$20,"mmm")=I2,$A$3:$A$20,"")), $A$3:$B$20, 2, 0)</f>
        <v>565</v>
      </c>
      <c r="J13" s="16" cm="1">
        <f t="array" ref="J13">VLOOKUP(MAX(IF(TEXT($A$3:$A$20,"mmm")=J2,$A$3:$A$20,"")), $A$3:$B$20, 2, 0)</f>
        <v>789</v>
      </c>
      <c r="K13" s="16" cm="1">
        <f t="array" ref="K13">VLOOKUP(MAX(IF(TEXT($A$3:$A$20,"mmm")=K2,$A$3:$A$20,"")), $A$3:$B$20, 2, 0)</f>
        <v>989</v>
      </c>
    </row>
    <row r="14" spans="1:14" x14ac:dyDescent="0.3">
      <c r="A14" s="21">
        <v>43131</v>
      </c>
      <c r="B14" s="17">
        <v>333</v>
      </c>
      <c r="E14" s="16" cm="1">
        <f t="array" ref="E14">VLOOKUP(MIN(IF(TEXT($A$3:$A$20,"mmm")=E2,$A$3:$A$20,"")), $A$3:$B$20, 2, 0)</f>
        <v>200</v>
      </c>
      <c r="F14" s="16" cm="1">
        <f t="array" ref="F14">VLOOKUP(MIN(IF(TEXT($A$3:$A$20,"mmm")=F2,$A$3:$A$20,"")), $A$3:$B$20, 2, 0)</f>
        <v>400</v>
      </c>
      <c r="G14" s="16" cm="1">
        <f t="array" ref="G14">VLOOKUP(MIN(IF(TEXT($A$3:$A$20,"mmm")=G2,$A$3:$A$20,"")), $A$3:$B$20, 2, 0)</f>
        <v>500</v>
      </c>
      <c r="H14" s="16" cm="1">
        <f t="array" ref="H14">VLOOKUP(MIN(IF(TEXT($A$3:$A$20,"mmm")=H2,$A$3:$A$20,"")), $A$3:$B$20, 2, 0)</f>
        <v>700</v>
      </c>
      <c r="I14" s="16" cm="1">
        <f t="array" ref="I14">VLOOKUP(MIN(IF(TEXT($A$3:$A$20,"mmm")=I2,$A$3:$A$20,"")), $A$3:$B$20, 2, 0)</f>
        <v>900</v>
      </c>
      <c r="J14" s="16" cm="1">
        <f t="array" ref="J14">VLOOKUP(MIN(IF(TEXT($A$3:$A$20,"mmm")=J2,$A$3:$A$20,"")), $A$3:$B$20, 2, 0)</f>
        <v>100</v>
      </c>
      <c r="K14" s="16" cm="1">
        <f t="array" ref="K14">VLOOKUP(MIN(IF(TEXT($A$3:$A$20,"mmm")=K2,$A$3:$A$20,"")), $A$3:$B$20, 2, 0)</f>
        <v>300</v>
      </c>
    </row>
    <row r="15" spans="1:14" x14ac:dyDescent="0.3">
      <c r="A15" s="18">
        <v>43159</v>
      </c>
      <c r="B15" s="17">
        <v>435</v>
      </c>
    </row>
    <row r="16" spans="1:14" x14ac:dyDescent="0.3">
      <c r="A16" s="18">
        <v>43190</v>
      </c>
      <c r="B16" s="17">
        <v>345</v>
      </c>
    </row>
    <row r="17" spans="1:11" x14ac:dyDescent="0.3">
      <c r="A17" s="18">
        <v>43220</v>
      </c>
      <c r="B17" s="17">
        <v>230</v>
      </c>
      <c r="E17" s="16">
        <f>VLOOKUP(E$1,$A$3:$B$20,2,0)</f>
        <v>200</v>
      </c>
      <c r="F17" s="16">
        <f t="shared" ref="F17:K17" si="3">VLOOKUP(F$1,$A$3:$B$20,2,0)</f>
        <v>400</v>
      </c>
      <c r="G17" s="16">
        <f t="shared" si="3"/>
        <v>500</v>
      </c>
      <c r="H17" s="16">
        <f t="shared" si="3"/>
        <v>700</v>
      </c>
      <c r="I17" s="16">
        <f t="shared" si="3"/>
        <v>900</v>
      </c>
      <c r="J17" s="16">
        <f t="shared" si="3"/>
        <v>100</v>
      </c>
      <c r="K17" s="16">
        <f t="shared" si="3"/>
        <v>300</v>
      </c>
    </row>
    <row r="18" spans="1:11" x14ac:dyDescent="0.3">
      <c r="A18" s="18">
        <v>43251</v>
      </c>
      <c r="B18" s="17">
        <v>565</v>
      </c>
      <c r="E18" s="16">
        <f>VLOOKUP(EOMONTH(E1,0),$A$3:$B$20,2,0)</f>
        <v>333</v>
      </c>
      <c r="F18" s="16">
        <f t="shared" ref="F18:K18" si="4">VLOOKUP(EOMONTH(F1,0),$A$3:$B$20,2,0)</f>
        <v>435</v>
      </c>
      <c r="G18" s="16">
        <f t="shared" si="4"/>
        <v>345</v>
      </c>
      <c r="H18" s="16">
        <f t="shared" si="4"/>
        <v>230</v>
      </c>
      <c r="I18" s="16">
        <f t="shared" si="4"/>
        <v>565</v>
      </c>
      <c r="J18" s="16">
        <f t="shared" si="4"/>
        <v>789</v>
      </c>
      <c r="K18" s="16">
        <f t="shared" si="4"/>
        <v>989</v>
      </c>
    </row>
    <row r="19" spans="1:11" x14ac:dyDescent="0.3">
      <c r="A19" s="18">
        <v>43281</v>
      </c>
      <c r="B19" s="17">
        <v>789</v>
      </c>
    </row>
    <row r="20" spans="1:11" x14ac:dyDescent="0.3">
      <c r="A20" s="18">
        <v>43312</v>
      </c>
      <c r="B20" s="17">
        <v>989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ADF9-3E7B-466F-8180-5A68CEAD6004}">
  <dimension ref="A1:E29"/>
  <sheetViews>
    <sheetView tabSelected="1" workbookViewId="0">
      <selection activeCell="D9" sqref="D4:D9"/>
    </sheetView>
  </sheetViews>
  <sheetFormatPr defaultRowHeight="21" x14ac:dyDescent="0.4"/>
  <cols>
    <col min="1" max="1" width="35.7109375" bestFit="1" customWidth="1"/>
    <col min="2" max="2" width="10.7109375" bestFit="1" customWidth="1"/>
    <col min="5" max="5" width="10.7109375" bestFit="1" customWidth="1"/>
  </cols>
  <sheetData>
    <row r="1" spans="1:5" x14ac:dyDescent="0.4">
      <c r="A1" s="23" t="s">
        <v>53</v>
      </c>
    </row>
    <row r="3" spans="1:5" x14ac:dyDescent="0.4">
      <c r="D3" s="22" t="s">
        <v>38</v>
      </c>
      <c r="E3" s="22" t="s">
        <v>37</v>
      </c>
    </row>
    <row r="4" spans="1:5" x14ac:dyDescent="0.4">
      <c r="A4" s="9" t="s">
        <v>38</v>
      </c>
      <c r="B4" s="9" t="s">
        <v>37</v>
      </c>
      <c r="D4" s="9" t="s">
        <v>39</v>
      </c>
      <c r="E4" s="9" t="s">
        <v>40</v>
      </c>
    </row>
    <row r="5" spans="1:5" x14ac:dyDescent="0.4">
      <c r="A5" s="9" t="s">
        <v>41</v>
      </c>
      <c r="B5" s="9" t="str">
        <f>IF(LEN(A5)=2,VLOOKUP(A5,$D$4:$E$9,2,0))</f>
        <v>anad vihar</v>
      </c>
      <c r="D5" s="9" t="s">
        <v>41</v>
      </c>
      <c r="E5" s="9" t="s">
        <v>42</v>
      </c>
    </row>
    <row r="6" spans="1:5" x14ac:dyDescent="0.4">
      <c r="A6" s="9" t="s">
        <v>43</v>
      </c>
      <c r="B6" s="9" t="str">
        <f t="shared" ref="B6:B29" si="0">IF(LEN(A6)=2,VLOOKUP(A6,$D$4:$E$9,2,0))</f>
        <v>mughal sarai</v>
      </c>
      <c r="D6" s="9" t="s">
        <v>43</v>
      </c>
      <c r="E6" s="9" t="s">
        <v>44</v>
      </c>
    </row>
    <row r="7" spans="1:5" x14ac:dyDescent="0.4">
      <c r="A7" s="9" t="s">
        <v>41</v>
      </c>
      <c r="B7" s="9" t="str">
        <f t="shared" si="0"/>
        <v>anad vihar</v>
      </c>
      <c r="D7" s="9" t="s">
        <v>45</v>
      </c>
      <c r="E7" s="9" t="s">
        <v>46</v>
      </c>
    </row>
    <row r="8" spans="1:5" x14ac:dyDescent="0.4">
      <c r="A8" s="9" t="s">
        <v>43</v>
      </c>
      <c r="B8" s="9" t="str">
        <f t="shared" si="0"/>
        <v>mughal sarai</v>
      </c>
      <c r="D8" s="9" t="s">
        <v>47</v>
      </c>
      <c r="E8" s="9" t="s">
        <v>48</v>
      </c>
    </row>
    <row r="9" spans="1:5" x14ac:dyDescent="0.4">
      <c r="A9" s="9" t="s">
        <v>45</v>
      </c>
      <c r="B9" s="9" t="str">
        <f t="shared" si="0"/>
        <v>hajipur</v>
      </c>
      <c r="D9" s="9" t="s">
        <v>49</v>
      </c>
      <c r="E9" s="9" t="s">
        <v>50</v>
      </c>
    </row>
    <row r="10" spans="1:5" x14ac:dyDescent="0.4">
      <c r="A10" s="9" t="s">
        <v>43</v>
      </c>
      <c r="B10" s="9" t="str">
        <f t="shared" si="0"/>
        <v>mughal sarai</v>
      </c>
    </row>
    <row r="11" spans="1:5" x14ac:dyDescent="0.4">
      <c r="A11" s="9" t="s">
        <v>49</v>
      </c>
      <c r="B11" s="9" t="str">
        <f t="shared" si="0"/>
        <v>north east</v>
      </c>
    </row>
    <row r="12" spans="1:5" x14ac:dyDescent="0.4">
      <c r="A12" s="9" t="s">
        <v>47</v>
      </c>
      <c r="B12" s="9" t="str">
        <f t="shared" si="0"/>
        <v>new delhi</v>
      </c>
    </row>
    <row r="13" spans="1:5" x14ac:dyDescent="0.4">
      <c r="A13" s="9" t="s">
        <v>49</v>
      </c>
      <c r="B13" s="9" t="str">
        <f t="shared" si="0"/>
        <v>north east</v>
      </c>
    </row>
    <row r="14" spans="1:5" x14ac:dyDescent="0.4">
      <c r="A14" s="9" t="s">
        <v>41</v>
      </c>
      <c r="B14" s="9" t="str">
        <f t="shared" si="0"/>
        <v>anad vihar</v>
      </c>
    </row>
    <row r="15" spans="1:5" x14ac:dyDescent="0.4">
      <c r="A15" s="9" t="s">
        <v>43</v>
      </c>
      <c r="B15" s="9" t="str">
        <f t="shared" si="0"/>
        <v>mughal sarai</v>
      </c>
    </row>
    <row r="16" spans="1:5" x14ac:dyDescent="0.4">
      <c r="A16" s="9" t="s">
        <v>49</v>
      </c>
      <c r="B16" s="9" t="str">
        <f t="shared" si="0"/>
        <v>north east</v>
      </c>
    </row>
    <row r="17" spans="1:2" x14ac:dyDescent="0.4">
      <c r="A17" s="9" t="s">
        <v>41</v>
      </c>
      <c r="B17" s="9" t="str">
        <f t="shared" si="0"/>
        <v>anad vihar</v>
      </c>
    </row>
    <row r="18" spans="1:2" x14ac:dyDescent="0.4">
      <c r="A18" s="9" t="s">
        <v>43</v>
      </c>
      <c r="B18" s="9" t="str">
        <f t="shared" si="0"/>
        <v>mughal sarai</v>
      </c>
    </row>
    <row r="19" spans="1:2" x14ac:dyDescent="0.4">
      <c r="A19" s="9" t="s">
        <v>41</v>
      </c>
      <c r="B19" s="9" t="str">
        <f t="shared" si="0"/>
        <v>anad vihar</v>
      </c>
    </row>
    <row r="20" spans="1:2" x14ac:dyDescent="0.4">
      <c r="A20" s="9" t="s">
        <v>43</v>
      </c>
      <c r="B20" s="9" t="str">
        <f t="shared" si="0"/>
        <v>mughal sarai</v>
      </c>
    </row>
    <row r="21" spans="1:2" x14ac:dyDescent="0.4">
      <c r="A21" s="9" t="s">
        <v>41</v>
      </c>
      <c r="B21" s="9" t="str">
        <f t="shared" si="0"/>
        <v>anad vihar</v>
      </c>
    </row>
    <row r="22" spans="1:2" x14ac:dyDescent="0.4">
      <c r="A22" s="9" t="s">
        <v>41</v>
      </c>
      <c r="B22" s="9" t="str">
        <f t="shared" si="0"/>
        <v>anad vihar</v>
      </c>
    </row>
    <row r="23" spans="1:2" x14ac:dyDescent="0.4">
      <c r="A23" s="9" t="s">
        <v>45</v>
      </c>
      <c r="B23" s="9" t="str">
        <f t="shared" si="0"/>
        <v>hajipur</v>
      </c>
    </row>
    <row r="24" spans="1:2" x14ac:dyDescent="0.4">
      <c r="A24" s="9" t="s">
        <v>43</v>
      </c>
      <c r="B24" s="9" t="str">
        <f t="shared" si="0"/>
        <v>mughal sarai</v>
      </c>
    </row>
    <row r="25" spans="1:2" x14ac:dyDescent="0.4">
      <c r="A25" s="9" t="s">
        <v>43</v>
      </c>
      <c r="B25" s="9" t="str">
        <f t="shared" si="0"/>
        <v>mughal sarai</v>
      </c>
    </row>
    <row r="26" spans="1:2" x14ac:dyDescent="0.4">
      <c r="A26" s="9" t="s">
        <v>41</v>
      </c>
      <c r="B26" s="9" t="str">
        <f t="shared" si="0"/>
        <v>anad vihar</v>
      </c>
    </row>
    <row r="27" spans="1:2" x14ac:dyDescent="0.4">
      <c r="A27" s="9" t="s">
        <v>41</v>
      </c>
      <c r="B27" s="9" t="str">
        <f t="shared" si="0"/>
        <v>anad vihar</v>
      </c>
    </row>
    <row r="28" spans="1:2" x14ac:dyDescent="0.4">
      <c r="A28" s="9" t="s">
        <v>45</v>
      </c>
      <c r="B28" s="9" t="str">
        <f t="shared" si="0"/>
        <v>hajipur</v>
      </c>
    </row>
    <row r="29" spans="1:2" x14ac:dyDescent="0.4">
      <c r="A29" s="9" t="s">
        <v>43</v>
      </c>
      <c r="B29" s="9" t="str">
        <f t="shared" si="0"/>
        <v>mughal sarai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2021-02-06T07:05:07Z</dcterms:created>
  <dcterms:modified xsi:type="dcterms:W3CDTF">2026-01-28T11:40:07Z</dcterms:modified>
</cp:coreProperties>
</file>