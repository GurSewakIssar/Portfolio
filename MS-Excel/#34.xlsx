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CAC32C6F-06BD-406B-B69C-CF09B9209E2A}" xr6:coauthVersionLast="47" xr6:coauthVersionMax="47" xr10:uidLastSave="{00000000-0000-0000-0000-000000000000}"/>
  <bookViews>
    <workbookView xWindow="-108" yWindow="-108" windowWidth="23256" windowHeight="12456" activeTab="4" xr2:uid="{B647AE91-0165-49B0-B0E0-231393C18797}"/>
  </bookViews>
  <sheets>
    <sheet name="Q1" sheetId="1" r:id="rId1"/>
    <sheet name="Q2" sheetId="6" r:id="rId2"/>
    <sheet name="Q3" sheetId="4" r:id="rId3"/>
    <sheet name="Q4" sheetId="2" r:id="rId4"/>
    <sheet name="Q5" sheetId="5" r:id="rId5"/>
  </sheets>
  <externalReferences>
    <externalReference r:id="rId6"/>
  </externalReferences>
  <definedNames>
    <definedName name="_xlnm._FilterDatabase" localSheetId="1" hidden="1">'Q2'!$D$3:$E$10</definedName>
    <definedName name="A">'Q1'!$C$4:$D$8</definedName>
    <definedName name="B">'Q1'!$C$12:$D$16</definedName>
    <definedName name="n" localSheetId="1">[1]Q3!$B$3</definedName>
    <definedName name="n">'Q3'!$B$3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 a="1"/>
  <c r="J4" i="2"/>
  <c r="J3" i="2" a="1"/>
  <c r="J3" i="2"/>
  <c r="H10" i="4" a="1"/>
  <c r="H10" i="4" s="1"/>
  <c r="H4" i="6" a="1"/>
  <c r="H4" i="6"/>
  <c r="I4" i="6" a="1"/>
  <c r="I4" i="6"/>
  <c r="G4" i="6" a="1"/>
  <c r="G4" i="6" s="1"/>
  <c r="O8" i="1"/>
  <c r="O9" i="1"/>
  <c r="O10" i="1"/>
  <c r="O11" i="1"/>
  <c r="O12" i="1"/>
  <c r="O13" i="1"/>
  <c r="O14" i="1"/>
  <c r="O15" i="1"/>
  <c r="O16" i="1"/>
  <c r="O7" i="1"/>
  <c r="G4" i="2" a="1"/>
  <c r="G4" i="2"/>
  <c r="F10" i="4" a="1"/>
  <c r="F10" i="4" s="1"/>
  <c r="D17" i="6" a="1"/>
  <c r="D17" i="6" s="1"/>
  <c r="E17" i="6" a="1"/>
  <c r="E17" i="6" s="1"/>
  <c r="C17" i="6" a="1"/>
  <c r="C17" i="6" s="1"/>
  <c r="B17" i="6" a="1"/>
  <c r="B17" i="6" s="1"/>
  <c r="E4" i="5" a="1"/>
  <c r="E4" i="5" s="1"/>
  <c r="E4" i="2" a="1"/>
  <c r="E4" i="2" s="1"/>
  <c r="H3" i="2" a="1"/>
  <c r="H3" i="2" s="1"/>
  <c r="E7" i="4"/>
  <c r="E5" i="4" a="1"/>
  <c r="E5" i="4" s="1"/>
  <c r="C15" i="6" a="1"/>
  <c r="C15" i="6" s="1"/>
  <c r="D15" i="6" a="1"/>
  <c r="D15" i="6" s="1"/>
  <c r="B15" i="6" a="1"/>
  <c r="B15" i="6" s="1"/>
  <c r="D12" i="6" a="1"/>
  <c r="D12" i="6" s="1"/>
  <c r="C12" i="6" a="1"/>
  <c r="C12" i="6" s="1"/>
  <c r="B12" i="6" a="1"/>
  <c r="B12" i="6" s="1"/>
  <c r="M7" i="1"/>
  <c r="K12" i="1"/>
  <c r="K13" i="1"/>
  <c r="K7" i="1"/>
  <c r="M13" i="1"/>
  <c r="K8" i="1"/>
  <c r="M14" i="1"/>
  <c r="K9" i="1"/>
  <c r="K10" i="1"/>
  <c r="K11" i="1"/>
  <c r="K14" i="1"/>
  <c r="K15" i="1"/>
  <c r="K16" i="1"/>
  <c r="M8" i="1"/>
  <c r="M9" i="1"/>
  <c r="M10" i="1"/>
  <c r="M11" i="1"/>
  <c r="M12" i="1"/>
  <c r="M15" i="1"/>
  <c r="M16" i="1"/>
  <c r="B4" i="5" l="1"/>
  <c r="B5" i="5"/>
  <c r="B6" i="5"/>
  <c r="B7" i="5"/>
  <c r="B8" i="5"/>
  <c r="B9" i="5"/>
  <c r="B10" i="5"/>
  <c r="B11" i="5"/>
  <c r="B12" i="5"/>
  <c r="B13" i="5"/>
  <c r="B14" i="5"/>
  <c r="E7" i="2" a="1"/>
  <c r="E7" i="2" s="1"/>
  <c r="B7" i="4"/>
  <c r="I8" i="1"/>
  <c r="I9" i="1"/>
  <c r="I10" i="1"/>
  <c r="I11" i="1"/>
  <c r="I12" i="1"/>
  <c r="I13" i="1"/>
  <c r="I14" i="1"/>
  <c r="I15" i="1"/>
  <c r="I16" i="1"/>
  <c r="I7" i="1"/>
  <c r="B5" i="4"/>
  <c r="D4" i="5" l="1"/>
  <c r="D8" i="5"/>
  <c r="D12" i="5"/>
  <c r="D11" i="5"/>
  <c r="D7" i="5"/>
  <c r="D14" i="5"/>
  <c r="D10" i="5"/>
  <c r="D6" i="5"/>
  <c r="D13" i="5"/>
  <c r="D9" i="5"/>
  <c r="D5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<sst xmlns="http://schemas.openxmlformats.org/spreadsheetml/2006/main" count="708" uniqueCount="364">
  <si>
    <t>Table A</t>
  </si>
  <si>
    <t>Condition</t>
  </si>
  <si>
    <t>Table</t>
  </si>
  <si>
    <t>Item</t>
  </si>
  <si>
    <t>Unit</t>
  </si>
  <si>
    <t>East</t>
  </si>
  <si>
    <t>A</t>
  </si>
  <si>
    <t>Pencil</t>
  </si>
  <si>
    <t>South</t>
  </si>
  <si>
    <t>B</t>
  </si>
  <si>
    <t>Binder</t>
  </si>
  <si>
    <t>Ink</t>
  </si>
  <si>
    <t>Region</t>
  </si>
  <si>
    <t>Sales Rep</t>
  </si>
  <si>
    <t>Pen</t>
  </si>
  <si>
    <t>Clip</t>
  </si>
  <si>
    <t>Knife</t>
  </si>
  <si>
    <t>Table B</t>
  </si>
  <si>
    <t>Eraser</t>
  </si>
  <si>
    <t>Marker</t>
  </si>
  <si>
    <t>Scissors</t>
  </si>
  <si>
    <t>Paper</t>
  </si>
  <si>
    <t>LIST A</t>
  </si>
  <si>
    <t>LIST B</t>
  </si>
  <si>
    <t>How many values are common in both lists?</t>
  </si>
  <si>
    <t>Method -1</t>
  </si>
  <si>
    <t>Method-2</t>
  </si>
  <si>
    <t>Find if a List is sorted using Formulas</t>
  </si>
  <si>
    <t>Cat</t>
  </si>
  <si>
    <t>Mouse</t>
  </si>
  <si>
    <t>Fox</t>
  </si>
  <si>
    <t>Dog</t>
  </si>
  <si>
    <t>Kitten</t>
  </si>
  <si>
    <t>Eagle</t>
  </si>
  <si>
    <t>Hen</t>
  </si>
  <si>
    <t xml:space="preserve">Find out the Unit based on condition and table </t>
  </si>
  <si>
    <t>Data</t>
  </si>
  <si>
    <t>ALL</t>
  </si>
  <si>
    <t>Store</t>
  </si>
  <si>
    <t>City</t>
  </si>
  <si>
    <t>Revenues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</si>
  <si>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</si>
  <si>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</si>
  <si>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</si>
  <si>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</si>
  <si>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</si>
  <si>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</si>
  <si>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</si>
  <si>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</si>
  <si>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</si>
  <si>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</si>
  <si>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</si>
  <si>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</si>
  <si>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</si>
  <si>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</si>
  <si>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</si>
  <si>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</si>
  <si>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</si>
  <si>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</si>
  <si>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</si>
  <si>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</si>
  <si>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</si>
  <si>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</si>
  <si>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</si>
  <si>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</si>
  <si>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</si>
  <si>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</si>
  <si>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</si>
  <si>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</si>
  <si>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</si>
  <si>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</si>
  <si>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</si>
  <si>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</si>
  <si>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</si>
  <si>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</si>
  <si>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</si>
  <si>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</si>
  <si>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</si>
  <si>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</si>
  <si>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</si>
  <si>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</si>
  <si>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</si>
  <si>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</si>
  <si>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</si>
  <si>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</si>
  <si>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</si>
  <si>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</si>
  <si>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</si>
  <si>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</si>
  <si>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</si>
  <si>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</si>
  <si>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</si>
  <si>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</si>
  <si>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</si>
  <si>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</si>
  <si>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</si>
  <si>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</si>
  <si>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</si>
  <si>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</si>
  <si>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</si>
  <si>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</si>
  <si>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</si>
  <si>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</si>
  <si>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</si>
  <si>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</si>
  <si>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</si>
  <si>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</si>
  <si>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</si>
  <si>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</si>
  <si>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</si>
  <si>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</si>
  <si>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</si>
  <si>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</si>
  <si>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</si>
  <si>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</si>
  <si>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</si>
  <si>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</si>
  <si>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</si>
  <si>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</si>
  <si>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</si>
  <si>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</si>
  <si>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</si>
  <si>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</si>
  <si>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</si>
  <si>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</si>
  <si>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</si>
  <si>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</si>
  <si>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</si>
  <si>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</si>
  <si>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</si>
  <si>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</si>
  <si>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</si>
  <si>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</si>
  <si>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ST0093</t>
  </si>
  <si>
    <t>ST0094</t>
  </si>
  <si>
    <t>ST0095</t>
  </si>
  <si>
    <t>ST0096</t>
  </si>
  <si>
    <t>ST0097</t>
  </si>
  <si>
    <t>ST0098</t>
  </si>
  <si>
    <t>ST0099</t>
  </si>
  <si>
    <t>ST0100</t>
  </si>
  <si>
    <t>ST0101</t>
  </si>
  <si>
    <t>ST0102</t>
  </si>
  <si>
    <t>ST0103</t>
  </si>
  <si>
    <t>ST0104</t>
  </si>
  <si>
    <t>ST0105</t>
  </si>
  <si>
    <t>ST0106</t>
  </si>
  <si>
    <t>ST0107</t>
  </si>
  <si>
    <t>ST0108</t>
  </si>
  <si>
    <t>ST0109</t>
  </si>
  <si>
    <t>ST0110</t>
  </si>
  <si>
    <t>ST0111</t>
  </si>
  <si>
    <t>ST0112</t>
  </si>
  <si>
    <t>ST0113</t>
  </si>
  <si>
    <t>ST0114</t>
  </si>
  <si>
    <t>ST0115</t>
  </si>
  <si>
    <t>ST0116</t>
  </si>
  <si>
    <t>ST0117</t>
  </si>
  <si>
    <t>ST0118</t>
  </si>
  <si>
    <t>ST0119</t>
  </si>
  <si>
    <t>ST0120</t>
  </si>
  <si>
    <t>ST0121</t>
  </si>
  <si>
    <t>ST0122</t>
  </si>
  <si>
    <t>ST0123</t>
  </si>
  <si>
    <t>ST0124</t>
  </si>
  <si>
    <t>ST0125</t>
  </si>
  <si>
    <t>ST0126</t>
  </si>
  <si>
    <t>ST0127</t>
  </si>
  <si>
    <t>ST0128</t>
  </si>
  <si>
    <t>ST0129</t>
  </si>
  <si>
    <t>ST0130</t>
  </si>
  <si>
    <t>ST0131</t>
  </si>
  <si>
    <t>ST0132</t>
  </si>
  <si>
    <t>ST0133</t>
  </si>
  <si>
    <t>ST0134</t>
  </si>
  <si>
    <t>ST0135</t>
  </si>
  <si>
    <t>ST0136</t>
  </si>
  <si>
    <t>ST0137</t>
  </si>
  <si>
    <t>ST0138</t>
  </si>
  <si>
    <t>ST0139</t>
  </si>
  <si>
    <t>ST0140</t>
  </si>
  <si>
    <t>ST0141</t>
  </si>
  <si>
    <t>ST0142</t>
  </si>
  <si>
    <t>ST0143</t>
  </si>
  <si>
    <t>ST0144</t>
  </si>
  <si>
    <t>ST0145</t>
  </si>
  <si>
    <t>ST0146</t>
  </si>
  <si>
    <t>ST0147</t>
  </si>
  <si>
    <t>ST0148</t>
  </si>
  <si>
    <t>ST0149</t>
  </si>
  <si>
    <t>ST0150</t>
  </si>
  <si>
    <t>ST0151</t>
  </si>
  <si>
    <t>ST0152</t>
  </si>
  <si>
    <t>ST0153</t>
  </si>
  <si>
    <t>ST0154</t>
  </si>
  <si>
    <t>ST0155</t>
  </si>
  <si>
    <t>ST0156</t>
  </si>
  <si>
    <t>ST0157</t>
  </si>
  <si>
    <t>ST0158</t>
  </si>
  <si>
    <t>ST0159</t>
  </si>
  <si>
    <t>ST0160</t>
  </si>
  <si>
    <t>ST0161</t>
  </si>
  <si>
    <t>ST0162</t>
  </si>
  <si>
    <t>ST0163</t>
  </si>
  <si>
    <t>ST0164</t>
  </si>
  <si>
    <t>ST0165</t>
  </si>
  <si>
    <t>ST0166</t>
  </si>
  <si>
    <t>ST0167</t>
  </si>
  <si>
    <t>ST0168</t>
  </si>
  <si>
    <t>ST0169</t>
  </si>
  <si>
    <t>ST0170</t>
  </si>
  <si>
    <t>ST0171</t>
  </si>
  <si>
    <t>ST0172</t>
  </si>
  <si>
    <t>ST0173</t>
  </si>
  <si>
    <t>ST0174</t>
  </si>
  <si>
    <t>ST0175</t>
  </si>
  <si>
    <t>ST0176</t>
  </si>
  <si>
    <t>ST0177</t>
  </si>
  <si>
    <t>ST0178</t>
  </si>
  <si>
    <t>ST0179</t>
  </si>
  <si>
    <t>ST0180</t>
  </si>
  <si>
    <t>ST0181</t>
  </si>
  <si>
    <t>ST0182</t>
  </si>
  <si>
    <t>ST0183</t>
  </si>
  <si>
    <t>ST0184</t>
  </si>
  <si>
    <t>ST0185</t>
  </si>
  <si>
    <t>ST0186</t>
  </si>
  <si>
    <t>ST0187</t>
  </si>
  <si>
    <t>ST0188</t>
  </si>
  <si>
    <t>ST0189</t>
  </si>
  <si>
    <t>ST0190</t>
  </si>
  <si>
    <t>ST0191</t>
  </si>
  <si>
    <t>ST0192</t>
  </si>
  <si>
    <t>ST0193</t>
  </si>
  <si>
    <t>ST0194</t>
  </si>
  <si>
    <t>ST0195</t>
  </si>
  <si>
    <t>ST0196</t>
  </si>
  <si>
    <t>ST0197</t>
  </si>
  <si>
    <t>ST0198</t>
  </si>
  <si>
    <t>ST0199</t>
  </si>
  <si>
    <t>ST0200</t>
  </si>
  <si>
    <t>ST0201</t>
  </si>
  <si>
    <t>ST0202</t>
  </si>
  <si>
    <t>ST0203</t>
  </si>
  <si>
    <t>ST0204</t>
  </si>
  <si>
    <t>ST0205</t>
  </si>
  <si>
    <t>ST0206</t>
  </si>
  <si>
    <t>ST0207</t>
  </si>
  <si>
    <t>ST0208</t>
  </si>
  <si>
    <t>ST0209</t>
  </si>
  <si>
    <t>ST0210</t>
  </si>
  <si>
    <t>ST0211</t>
  </si>
  <si>
    <t>ST0212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</si>
  <si>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</si>
  <si>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</si>
  <si>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</si>
  <si>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</si>
  <si>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</si>
  <si>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</si>
  <si>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</si>
  <si>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</si>
  <si>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</si>
  <si>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</si>
  <si>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</si>
  <si>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ST0224</t>
  </si>
  <si>
    <t>ST0225</t>
  </si>
  <si>
    <t>ST0226</t>
  </si>
  <si>
    <t>ST0227</t>
  </si>
  <si>
    <t>ST0228</t>
  </si>
  <si>
    <t>ST0229</t>
  </si>
  <si>
    <t>ST0230</t>
  </si>
  <si>
    <t>ST0231</t>
  </si>
  <si>
    <t>ST0232</t>
  </si>
  <si>
    <t>ST0233</t>
  </si>
  <si>
    <t>ST0234</t>
  </si>
  <si>
    <t>ST0235</t>
  </si>
  <si>
    <t>ST0236</t>
  </si>
  <si>
    <t>ST0237</t>
  </si>
  <si>
    <t>ST0238</t>
  </si>
  <si>
    <t>ST0239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</si>
  <si>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</si>
  <si>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</si>
  <si>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</si>
  <si>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</si>
  <si>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</si>
  <si>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</si>
  <si>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</si>
  <si>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</si>
  <si>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</si>
  <si>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</si>
  <si>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</si>
  <si>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</si>
  <si>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</si>
  <si>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</si>
  <si>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</si>
  <si>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</si>
  <si>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</si>
  <si>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</si>
  <si>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</si>
  <si>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ST0259</t>
  </si>
  <si>
    <t>ST0260</t>
  </si>
  <si>
    <t>ST0261</t>
  </si>
  <si>
    <t>ST0262</t>
  </si>
  <si>
    <t>ST0263</t>
  </si>
  <si>
    <t>ST0264</t>
  </si>
  <si>
    <t>ST0265</t>
  </si>
  <si>
    <t>ST0266</t>
  </si>
  <si>
    <t>ST0267</t>
  </si>
  <si>
    <t>ST0268</t>
  </si>
  <si>
    <t>ST0269</t>
  </si>
  <si>
    <t>ST0270</t>
  </si>
  <si>
    <t>ST0271</t>
  </si>
  <si>
    <t>ST0272</t>
  </si>
  <si>
    <t>ST0273</t>
  </si>
  <si>
    <t>ST0274</t>
  </si>
  <si>
    <t>ST0275</t>
  </si>
  <si>
    <t>ST0276</t>
  </si>
  <si>
    <t>ST0277</t>
  </si>
  <si>
    <t>ST0278</t>
  </si>
  <si>
    <t>ST0279</t>
  </si>
  <si>
    <t>ST0280</t>
  </si>
  <si>
    <t>ST0281</t>
  </si>
  <si>
    <t>ST0282</t>
  </si>
  <si>
    <t>ST0283</t>
  </si>
  <si>
    <t>ST0284</t>
  </si>
  <si>
    <t>ST0285</t>
  </si>
  <si>
    <t>ST0286</t>
  </si>
  <si>
    <t>ST0287</t>
  </si>
  <si>
    <t>ST0288</t>
  </si>
  <si>
    <t>ST0289</t>
  </si>
  <si>
    <t>ST0290</t>
  </si>
  <si>
    <t>ST0291</t>
  </si>
  <si>
    <t>ST0292</t>
  </si>
  <si>
    <t>ST0293</t>
  </si>
  <si>
    <t>ST0294</t>
  </si>
  <si>
    <t>ST0295</t>
  </si>
  <si>
    <t>ST0296</t>
  </si>
  <si>
    <t>ST0297</t>
  </si>
  <si>
    <t>ST0298</t>
  </si>
  <si>
    <t>ST0299</t>
  </si>
  <si>
    <t>ST0300</t>
  </si>
  <si>
    <t>N</t>
  </si>
  <si>
    <t>Patna</t>
  </si>
  <si>
    <t>Delhi</t>
  </si>
  <si>
    <t>Nagpur</t>
  </si>
  <si>
    <t>Varanashi</t>
  </si>
  <si>
    <t>Kanpur</t>
  </si>
  <si>
    <t>Mughalsarai</t>
  </si>
  <si>
    <t>Name</t>
  </si>
  <si>
    <t>Shuffled List</t>
  </si>
  <si>
    <t>Jayanta</t>
  </si>
  <si>
    <t>Ishu</t>
  </si>
  <si>
    <t>Badal</t>
  </si>
  <si>
    <t>Sahib</t>
  </si>
  <si>
    <t>Manoj</t>
  </si>
  <si>
    <t>Kundan</t>
  </si>
  <si>
    <t>Farooq</t>
  </si>
  <si>
    <t>Umair</t>
  </si>
  <si>
    <t>Ashish</t>
  </si>
  <si>
    <t>Arjun</t>
  </si>
  <si>
    <t>Deepak</t>
  </si>
  <si>
    <t>How to Sort a list of Names in random order- using formulas</t>
  </si>
  <si>
    <t>sl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</si>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</sst>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5" fontId="0" fillId="0" borderId="0" xfId="1" applyFont="1" applyAlignment="1">
      <alignment horizontal="right"/>
    </xf>
    <xf numFmtId="37" fontId="0" fillId="0" borderId="0" xfId="1" applyNumberFormat="1" applyFont="1"/>
    <xf numFmtId="0" fontId="3" fillId="0" borderId="1" xfId="0" quotePrefix="1" applyFont="1" applyBorder="1" applyAlignment="1">
      <alignment horizontal="center"/>
    </xf>
    <xf numFmtId="0" fontId="3" fillId="0" borderId="0" xfId="0" quotePrefix="1" applyFont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</cellXfs>
  <cellStyles count="2">
    <cellStyle name="Currency 2" xfId="1" xr:uid="{BC5510EC-5C76-48DB-835F-43C7929E7DAD}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_);\(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interview%20crack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"/>
      <sheetName val="Q2"/>
      <sheetName val="Q3"/>
      <sheetName val="Q4"/>
      <sheetName val="Q5"/>
    </sheetNames>
    <sheetDataSet>
      <sheetData sheetId="0"/>
      <sheetData sheetId="1"/>
      <sheetData sheetId="2">
        <row r="3">
          <cell r="B3">
            <v>5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C1D21-EA52-4207-A113-A2245922A9CE}" name="sales" displayName="sales" ref="B9:D309" totalsRowShown="0">
  <autoFilter ref="B9:D309" xr:uid="{00000000-0009-0000-0100-000001000000}"/>
  <sortState xmlns:xlrd2="http://schemas.microsoft.com/office/spreadsheetml/2017/richdata2" ref="B10:D309">
    <sortCondition ref="B9:B309"/>
  </sortState>
  <tableColumns count="3">
    <tableColumn id="1" xr3:uid="{61F06E47-854F-4872-A3DF-931969D023E1}" name="Store"/>
    <tableColumn id="2" xr3:uid="{DEE0A219-4425-40FD-A4D2-54733EEFAB9C}" name="City"/>
    <tableColumn id="3" xr3:uid="{F5D479F0-38DB-4601-A624-67E32D3C7A4D}" name="Revenu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F66A-4295-4545-9412-0C5E526A1CC8}">
  <dimension ref="A1:O16"/>
  <sheetViews>
    <sheetView workbookViewId="0">
      <selection activeCell="O7" sqref="O7:O16"/>
    </sheetView>
  </sheetViews>
  <sheetFormatPr defaultRowHeight="14.4" x14ac:dyDescent="0.3"/>
  <cols>
    <col min="1" max="1" width="10.88671875" bestFit="1" customWidth="1"/>
    <col min="2" max="2" width="8.33203125" bestFit="1" customWidth="1"/>
    <col min="3" max="3" width="12.44140625" bestFit="1" customWidth="1"/>
    <col min="4" max="4" width="15.88671875" bestFit="1" customWidth="1"/>
    <col min="5" max="5" width="13.88671875" bestFit="1" customWidth="1"/>
    <col min="6" max="6" width="16.88671875" customWidth="1"/>
    <col min="7" max="7" width="13.88671875" bestFit="1" customWidth="1"/>
    <col min="8" max="8" width="10.88671875" bestFit="1" customWidth="1"/>
    <col min="9" max="9" width="7.5546875" bestFit="1" customWidth="1"/>
    <col min="10" max="10" width="6.44140625" bestFit="1" customWidth="1"/>
    <col min="11" max="11" width="12.44140625" bestFit="1" customWidth="1"/>
    <col min="12" max="12" width="7.44140625" bestFit="1" customWidth="1"/>
  </cols>
  <sheetData>
    <row r="1" spans="1:15" ht="23.4" x14ac:dyDescent="0.3">
      <c r="A1" s="1"/>
      <c r="B1" s="1"/>
      <c r="C1" s="15" t="s">
        <v>35</v>
      </c>
      <c r="D1" s="15"/>
      <c r="E1" s="15"/>
      <c r="F1" s="15"/>
      <c r="G1" s="16"/>
      <c r="H1" s="1"/>
      <c r="I1" s="1"/>
      <c r="J1" s="1"/>
      <c r="K1" s="1"/>
      <c r="L1" s="1"/>
    </row>
    <row r="2" spans="1:15" ht="15.6" x14ac:dyDescent="0.3">
      <c r="C2" s="14" t="s">
        <v>0</v>
      </c>
      <c r="D2" s="14"/>
      <c r="F2" s="4" t="s">
        <v>1</v>
      </c>
      <c r="G2" s="4" t="s">
        <v>2</v>
      </c>
      <c r="H2" s="2"/>
      <c r="I2" s="2"/>
    </row>
    <row r="3" spans="1:15" ht="15" x14ac:dyDescent="0.3">
      <c r="C3" s="3" t="s">
        <v>3</v>
      </c>
      <c r="D3" s="3" t="s">
        <v>4</v>
      </c>
      <c r="F3" s="3" t="s">
        <v>5</v>
      </c>
      <c r="G3" s="3" t="s">
        <v>6</v>
      </c>
      <c r="H3" s="2"/>
      <c r="I3" s="2"/>
    </row>
    <row r="4" spans="1:15" ht="15" x14ac:dyDescent="0.3">
      <c r="C4" s="3" t="s">
        <v>7</v>
      </c>
      <c r="D4" s="3">
        <v>95</v>
      </c>
      <c r="F4" s="3" t="s">
        <v>8</v>
      </c>
      <c r="G4" s="3" t="s">
        <v>9</v>
      </c>
      <c r="H4" s="2"/>
      <c r="I4" s="2"/>
    </row>
    <row r="5" spans="1:15" ht="15" x14ac:dyDescent="0.3">
      <c r="C5" s="3" t="s">
        <v>10</v>
      </c>
      <c r="D5" s="3">
        <v>50</v>
      </c>
      <c r="F5" s="2"/>
      <c r="G5" s="2"/>
      <c r="H5" s="2"/>
      <c r="I5" s="2"/>
    </row>
    <row r="6" spans="1:15" ht="15.6" x14ac:dyDescent="0.3">
      <c r="C6" s="3" t="s">
        <v>11</v>
      </c>
      <c r="D6" s="3">
        <v>36</v>
      </c>
      <c r="F6" s="4" t="s">
        <v>12</v>
      </c>
      <c r="G6" s="4" t="s">
        <v>13</v>
      </c>
      <c r="H6" s="4" t="s">
        <v>3</v>
      </c>
      <c r="I6" s="4" t="s">
        <v>4</v>
      </c>
    </row>
    <row r="7" spans="1:15" ht="15" x14ac:dyDescent="0.3">
      <c r="C7" s="3" t="s">
        <v>14</v>
      </c>
      <c r="D7" s="3">
        <v>27</v>
      </c>
      <c r="F7" s="3" t="s">
        <v>5</v>
      </c>
      <c r="G7" s="3" t="s">
        <v>350</v>
      </c>
      <c r="H7" s="3" t="s">
        <v>7</v>
      </c>
      <c r="I7" s="3">
        <f>VLOOKUP(H7,CHOOSE(IF(F7="East",1,2),$C$3:$D$8,$C$11:$D$16),2,0)</f>
        <v>95</v>
      </c>
      <c r="K7">
        <f ca="1">VLOOKUP(H7,INDIRECT(VLOOKUP(F7,$F$3:$G$4,2,0)),2,0)</f>
        <v>95</v>
      </c>
      <c r="M7">
        <f ca="1">VLOOKUP(H7, INDIRECT(VLOOKUP(F7, $F$3:$G$4,2,0)), 2,0)</f>
        <v>95</v>
      </c>
      <c r="O7">
        <f>VLOOKUP(H7,IF(F7=$F$3,A,B),2,0)</f>
        <v>95</v>
      </c>
    </row>
    <row r="8" spans="1:15" ht="15" x14ac:dyDescent="0.3">
      <c r="C8" s="3" t="s">
        <v>15</v>
      </c>
      <c r="D8" s="3">
        <v>56</v>
      </c>
      <c r="F8" s="3" t="s">
        <v>8</v>
      </c>
      <c r="G8" s="3" t="s">
        <v>351</v>
      </c>
      <c r="H8" s="3" t="s">
        <v>16</v>
      </c>
      <c r="I8" s="3">
        <f t="shared" ref="I8:I16" si="0">VLOOKUP(H8,CHOOSE(IF(F8="East",1,2),$C$3:$D$8,$C$11:$D$16),2,0)</f>
        <v>32</v>
      </c>
      <c r="K8">
        <f t="shared" ref="K8:K16" ca="1" si="1">VLOOKUP(H8,INDIRECT(VLOOKUP(F8,$F$3:$G$4,2,0)),2,0)</f>
        <v>32</v>
      </c>
      <c r="M8">
        <f t="shared" ref="M8:M16" ca="1" si="2">VLOOKUP(H8, INDIRECT(VLOOKUP(F8, $F$3:$G$4,2,0)), 2,0)</f>
        <v>32</v>
      </c>
      <c r="O8">
        <f>VLOOKUP(H8,IF(F8=$F$3,A,B),2,0)</f>
        <v>32</v>
      </c>
    </row>
    <row r="9" spans="1:15" ht="15" x14ac:dyDescent="0.3">
      <c r="F9" s="3" t="s">
        <v>5</v>
      </c>
      <c r="G9" s="3" t="s">
        <v>352</v>
      </c>
      <c r="H9" s="3" t="s">
        <v>11</v>
      </c>
      <c r="I9" s="3">
        <f t="shared" si="0"/>
        <v>36</v>
      </c>
      <c r="K9">
        <f t="shared" ca="1" si="1"/>
        <v>36</v>
      </c>
      <c r="M9">
        <f t="shared" ca="1" si="2"/>
        <v>36</v>
      </c>
      <c r="O9">
        <f>VLOOKUP(H9,IF(F9=$F$3,A,B),2,0)</f>
        <v>36</v>
      </c>
    </row>
    <row r="10" spans="1:15" ht="15.6" x14ac:dyDescent="0.3">
      <c r="C10" s="14" t="s">
        <v>17</v>
      </c>
      <c r="D10" s="14"/>
      <c r="F10" s="3" t="s">
        <v>5</v>
      </c>
      <c r="G10" s="3" t="s">
        <v>353</v>
      </c>
      <c r="H10" s="3" t="s">
        <v>14</v>
      </c>
      <c r="I10" s="3">
        <f t="shared" si="0"/>
        <v>27</v>
      </c>
      <c r="K10">
        <f t="shared" ca="1" si="1"/>
        <v>27</v>
      </c>
      <c r="M10">
        <f t="shared" ca="1" si="2"/>
        <v>27</v>
      </c>
      <c r="O10">
        <f>VLOOKUP(H10,IF(F10=$F$3,A,B),2,0)</f>
        <v>27</v>
      </c>
    </row>
    <row r="11" spans="1:15" ht="15" x14ac:dyDescent="0.3">
      <c r="C11" s="3" t="s">
        <v>3</v>
      </c>
      <c r="D11" s="3" t="s">
        <v>4</v>
      </c>
      <c r="F11" s="3" t="s">
        <v>5</v>
      </c>
      <c r="G11" s="3" t="s">
        <v>354</v>
      </c>
      <c r="H11" s="3" t="s">
        <v>15</v>
      </c>
      <c r="I11" s="3">
        <f t="shared" si="0"/>
        <v>56</v>
      </c>
      <c r="K11">
        <f t="shared" ca="1" si="1"/>
        <v>56</v>
      </c>
      <c r="M11">
        <f t="shared" ca="1" si="2"/>
        <v>56</v>
      </c>
      <c r="O11">
        <f>VLOOKUP(H11,IF(F11=$F$3,A,B),2,0)</f>
        <v>56</v>
      </c>
    </row>
    <row r="12" spans="1:15" ht="15" x14ac:dyDescent="0.3">
      <c r="C12" s="3" t="s">
        <v>18</v>
      </c>
      <c r="D12" s="3">
        <v>60</v>
      </c>
      <c r="F12" s="3" t="s">
        <v>8</v>
      </c>
      <c r="G12" s="3" t="s">
        <v>355</v>
      </c>
      <c r="H12" s="3" t="s">
        <v>18</v>
      </c>
      <c r="I12" s="3">
        <f t="shared" si="0"/>
        <v>60</v>
      </c>
      <c r="K12">
        <f t="shared" ca="1" si="1"/>
        <v>60</v>
      </c>
      <c r="M12">
        <f t="shared" ca="1" si="2"/>
        <v>60</v>
      </c>
      <c r="O12">
        <f>VLOOKUP(H12,IF(F12=$F$3,A,B),2,0)</f>
        <v>60</v>
      </c>
    </row>
    <row r="13" spans="1:15" ht="15" x14ac:dyDescent="0.3">
      <c r="C13" s="3" t="s">
        <v>19</v>
      </c>
      <c r="D13" s="3">
        <v>75</v>
      </c>
      <c r="F13" s="3" t="s">
        <v>8</v>
      </c>
      <c r="G13" s="3" t="s">
        <v>356</v>
      </c>
      <c r="H13" s="3" t="s">
        <v>19</v>
      </c>
      <c r="I13" s="3">
        <f t="shared" si="0"/>
        <v>75</v>
      </c>
      <c r="K13">
        <f t="shared" ca="1" si="1"/>
        <v>75</v>
      </c>
      <c r="M13">
        <f t="shared" ca="1" si="2"/>
        <v>75</v>
      </c>
      <c r="O13">
        <f>VLOOKUP(H13,IF(F13=$F$3,A,B),2,0)</f>
        <v>75</v>
      </c>
    </row>
    <row r="14" spans="1:15" ht="15" x14ac:dyDescent="0.3">
      <c r="C14" s="3" t="s">
        <v>20</v>
      </c>
      <c r="D14" s="3">
        <v>90</v>
      </c>
      <c r="F14" s="3" t="s">
        <v>8</v>
      </c>
      <c r="G14" s="3" t="s">
        <v>357</v>
      </c>
      <c r="H14" s="3" t="s">
        <v>20</v>
      </c>
      <c r="I14" s="3">
        <f t="shared" si="0"/>
        <v>90</v>
      </c>
      <c r="K14">
        <f t="shared" ca="1" si="1"/>
        <v>90</v>
      </c>
      <c r="M14">
        <f t="shared" ca="1" si="2"/>
        <v>90</v>
      </c>
      <c r="O14">
        <f>VLOOKUP(H14,IF(F14=$F$3,A,B),2,0)</f>
        <v>90</v>
      </c>
    </row>
    <row r="15" spans="1:15" ht="15" x14ac:dyDescent="0.3">
      <c r="C15" s="3" t="s">
        <v>16</v>
      </c>
      <c r="D15" s="3">
        <v>32</v>
      </c>
      <c r="F15" s="3" t="s">
        <v>8</v>
      </c>
      <c r="G15" s="3" t="s">
        <v>358</v>
      </c>
      <c r="H15" s="3" t="s">
        <v>16</v>
      </c>
      <c r="I15" s="3">
        <f t="shared" si="0"/>
        <v>32</v>
      </c>
      <c r="K15">
        <f t="shared" ca="1" si="1"/>
        <v>32</v>
      </c>
      <c r="M15">
        <f t="shared" ca="1" si="2"/>
        <v>32</v>
      </c>
      <c r="O15">
        <f>VLOOKUP(H15,IF(F15=$F$3,A,B),2,0)</f>
        <v>32</v>
      </c>
    </row>
    <row r="16" spans="1:15" ht="15" x14ac:dyDescent="0.3">
      <c r="C16" s="3" t="s">
        <v>21</v>
      </c>
      <c r="D16" s="3">
        <v>60</v>
      </c>
      <c r="F16" s="3" t="s">
        <v>5</v>
      </c>
      <c r="G16" s="3" t="s">
        <v>359</v>
      </c>
      <c r="H16" s="3" t="s">
        <v>11</v>
      </c>
      <c r="I16" s="3">
        <f t="shared" si="0"/>
        <v>36</v>
      </c>
      <c r="K16">
        <f t="shared" ca="1" si="1"/>
        <v>36</v>
      </c>
      <c r="M16">
        <f t="shared" ca="1" si="2"/>
        <v>36</v>
      </c>
      <c r="O16">
        <f>VLOOKUP(H16,IF(F16=$F$3,A,B),2,0)</f>
        <v>36</v>
      </c>
    </row>
  </sheetData>
  <mergeCells count="3">
    <mergeCell ref="C2:D2"/>
    <mergeCell ref="C10:D10"/>
    <mergeCell ref="C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EA1E-3685-4985-9F9B-7E4505836EF0}">
  <dimension ref="B1:I23"/>
  <sheetViews>
    <sheetView showGridLines="0" workbookViewId="0">
      <selection activeCell="H9" sqref="H9"/>
    </sheetView>
  </sheetViews>
  <sheetFormatPr defaultRowHeight="14.4" x14ac:dyDescent="0.3"/>
  <cols>
    <col min="1" max="1" width="4.6640625" customWidth="1"/>
    <col min="2" max="2" width="15.33203125" customWidth="1"/>
    <col min="3" max="3" width="21.77734375" customWidth="1"/>
    <col min="4" max="4" width="15.33203125" customWidth="1"/>
    <col min="7" max="7" width="25.5546875" customWidth="1"/>
    <col min="8" max="8" width="29" customWidth="1"/>
    <col min="9" max="9" width="21.88671875" customWidth="1"/>
    <col min="257" max="257" width="4.6640625" customWidth="1"/>
    <col min="258" max="260" width="15.33203125" customWidth="1"/>
    <col min="513" max="513" width="4.6640625" customWidth="1"/>
    <col min="514" max="516" width="15.33203125" customWidth="1"/>
    <col min="769" max="769" width="4.6640625" customWidth="1"/>
    <col min="770" max="772" width="15.33203125" customWidth="1"/>
    <col min="1025" max="1025" width="4.6640625" customWidth="1"/>
    <col min="1026" max="1028" width="15.33203125" customWidth="1"/>
    <col min="1281" max="1281" width="4.6640625" customWidth="1"/>
    <col min="1282" max="1284" width="15.33203125" customWidth="1"/>
    <col min="1537" max="1537" width="4.6640625" customWidth="1"/>
    <col min="1538" max="1540" width="15.33203125" customWidth="1"/>
    <col min="1793" max="1793" width="4.6640625" customWidth="1"/>
    <col min="1794" max="1796" width="15.33203125" customWidth="1"/>
    <col min="2049" max="2049" width="4.6640625" customWidth="1"/>
    <col min="2050" max="2052" width="15.33203125" customWidth="1"/>
    <col min="2305" max="2305" width="4.6640625" customWidth="1"/>
    <col min="2306" max="2308" width="15.33203125" customWidth="1"/>
    <col min="2561" max="2561" width="4.6640625" customWidth="1"/>
    <col min="2562" max="2564" width="15.33203125" customWidth="1"/>
    <col min="2817" max="2817" width="4.6640625" customWidth="1"/>
    <col min="2818" max="2820" width="15.33203125" customWidth="1"/>
    <col min="3073" max="3073" width="4.6640625" customWidth="1"/>
    <col min="3074" max="3076" width="15.33203125" customWidth="1"/>
    <col min="3329" max="3329" width="4.6640625" customWidth="1"/>
    <col min="3330" max="3332" width="15.33203125" customWidth="1"/>
    <col min="3585" max="3585" width="4.6640625" customWidth="1"/>
    <col min="3586" max="3588" width="15.33203125" customWidth="1"/>
    <col min="3841" max="3841" width="4.6640625" customWidth="1"/>
    <col min="3842" max="3844" width="15.33203125" customWidth="1"/>
    <col min="4097" max="4097" width="4.6640625" customWidth="1"/>
    <col min="4098" max="4100" width="15.33203125" customWidth="1"/>
    <col min="4353" max="4353" width="4.6640625" customWidth="1"/>
    <col min="4354" max="4356" width="15.33203125" customWidth="1"/>
    <col min="4609" max="4609" width="4.6640625" customWidth="1"/>
    <col min="4610" max="4612" width="15.33203125" customWidth="1"/>
    <col min="4865" max="4865" width="4.6640625" customWidth="1"/>
    <col min="4866" max="4868" width="15.33203125" customWidth="1"/>
    <col min="5121" max="5121" width="4.6640625" customWidth="1"/>
    <col min="5122" max="5124" width="15.33203125" customWidth="1"/>
    <col min="5377" max="5377" width="4.6640625" customWidth="1"/>
    <col min="5378" max="5380" width="15.33203125" customWidth="1"/>
    <col min="5633" max="5633" width="4.6640625" customWidth="1"/>
    <col min="5634" max="5636" width="15.33203125" customWidth="1"/>
    <col min="5889" max="5889" width="4.6640625" customWidth="1"/>
    <col min="5890" max="5892" width="15.33203125" customWidth="1"/>
    <col min="6145" max="6145" width="4.6640625" customWidth="1"/>
    <col min="6146" max="6148" width="15.33203125" customWidth="1"/>
    <col min="6401" max="6401" width="4.6640625" customWidth="1"/>
    <col min="6402" max="6404" width="15.33203125" customWidth="1"/>
    <col min="6657" max="6657" width="4.6640625" customWidth="1"/>
    <col min="6658" max="6660" width="15.33203125" customWidth="1"/>
    <col min="6913" max="6913" width="4.6640625" customWidth="1"/>
    <col min="6914" max="6916" width="15.33203125" customWidth="1"/>
    <col min="7169" max="7169" width="4.6640625" customWidth="1"/>
    <col min="7170" max="7172" width="15.33203125" customWidth="1"/>
    <col min="7425" max="7425" width="4.6640625" customWidth="1"/>
    <col min="7426" max="7428" width="15.33203125" customWidth="1"/>
    <col min="7681" max="7681" width="4.6640625" customWidth="1"/>
    <col min="7682" max="7684" width="15.33203125" customWidth="1"/>
    <col min="7937" max="7937" width="4.6640625" customWidth="1"/>
    <col min="7938" max="7940" width="15.33203125" customWidth="1"/>
    <col min="8193" max="8193" width="4.6640625" customWidth="1"/>
    <col min="8194" max="8196" width="15.33203125" customWidth="1"/>
    <col min="8449" max="8449" width="4.6640625" customWidth="1"/>
    <col min="8450" max="8452" width="15.33203125" customWidth="1"/>
    <col min="8705" max="8705" width="4.6640625" customWidth="1"/>
    <col min="8706" max="8708" width="15.33203125" customWidth="1"/>
    <col min="8961" max="8961" width="4.6640625" customWidth="1"/>
    <col min="8962" max="8964" width="15.33203125" customWidth="1"/>
    <col min="9217" max="9217" width="4.6640625" customWidth="1"/>
    <col min="9218" max="9220" width="15.33203125" customWidth="1"/>
    <col min="9473" max="9473" width="4.6640625" customWidth="1"/>
    <col min="9474" max="9476" width="15.33203125" customWidth="1"/>
    <col min="9729" max="9729" width="4.6640625" customWidth="1"/>
    <col min="9730" max="9732" width="15.33203125" customWidth="1"/>
    <col min="9985" max="9985" width="4.6640625" customWidth="1"/>
    <col min="9986" max="9988" width="15.33203125" customWidth="1"/>
    <col min="10241" max="10241" width="4.6640625" customWidth="1"/>
    <col min="10242" max="10244" width="15.33203125" customWidth="1"/>
    <col min="10497" max="10497" width="4.6640625" customWidth="1"/>
    <col min="10498" max="10500" width="15.33203125" customWidth="1"/>
    <col min="10753" max="10753" width="4.6640625" customWidth="1"/>
    <col min="10754" max="10756" width="15.33203125" customWidth="1"/>
    <col min="11009" max="11009" width="4.6640625" customWidth="1"/>
    <col min="11010" max="11012" width="15.33203125" customWidth="1"/>
    <col min="11265" max="11265" width="4.6640625" customWidth="1"/>
    <col min="11266" max="11268" width="15.33203125" customWidth="1"/>
    <col min="11521" max="11521" width="4.6640625" customWidth="1"/>
    <col min="11522" max="11524" width="15.33203125" customWidth="1"/>
    <col min="11777" max="11777" width="4.6640625" customWidth="1"/>
    <col min="11778" max="11780" width="15.33203125" customWidth="1"/>
    <col min="12033" max="12033" width="4.6640625" customWidth="1"/>
    <col min="12034" max="12036" width="15.33203125" customWidth="1"/>
    <col min="12289" max="12289" width="4.6640625" customWidth="1"/>
    <col min="12290" max="12292" width="15.33203125" customWidth="1"/>
    <col min="12545" max="12545" width="4.6640625" customWidth="1"/>
    <col min="12546" max="12548" width="15.33203125" customWidth="1"/>
    <col min="12801" max="12801" width="4.6640625" customWidth="1"/>
    <col min="12802" max="12804" width="15.33203125" customWidth="1"/>
    <col min="13057" max="13057" width="4.6640625" customWidth="1"/>
    <col min="13058" max="13060" width="15.33203125" customWidth="1"/>
    <col min="13313" max="13313" width="4.6640625" customWidth="1"/>
    <col min="13314" max="13316" width="15.33203125" customWidth="1"/>
    <col min="13569" max="13569" width="4.6640625" customWidth="1"/>
    <col min="13570" max="13572" width="15.33203125" customWidth="1"/>
    <col min="13825" max="13825" width="4.6640625" customWidth="1"/>
    <col min="13826" max="13828" width="15.33203125" customWidth="1"/>
    <col min="14081" max="14081" width="4.6640625" customWidth="1"/>
    <col min="14082" max="14084" width="15.33203125" customWidth="1"/>
    <col min="14337" max="14337" width="4.6640625" customWidth="1"/>
    <col min="14338" max="14340" width="15.33203125" customWidth="1"/>
    <col min="14593" max="14593" width="4.6640625" customWidth="1"/>
    <col min="14594" max="14596" width="15.33203125" customWidth="1"/>
    <col min="14849" max="14849" width="4.6640625" customWidth="1"/>
    <col min="14850" max="14852" width="15.33203125" customWidth="1"/>
    <col min="15105" max="15105" width="4.6640625" customWidth="1"/>
    <col min="15106" max="15108" width="15.33203125" customWidth="1"/>
    <col min="15361" max="15361" width="4.6640625" customWidth="1"/>
    <col min="15362" max="15364" width="15.33203125" customWidth="1"/>
    <col min="15617" max="15617" width="4.6640625" customWidth="1"/>
    <col min="15618" max="15620" width="15.33203125" customWidth="1"/>
    <col min="15873" max="15873" width="4.6640625" customWidth="1"/>
    <col min="15874" max="15876" width="15.33203125" customWidth="1"/>
    <col min="16129" max="16129" width="4.6640625" customWidth="1"/>
    <col min="16130" max="16132" width="15.33203125" customWidth="1"/>
  </cols>
  <sheetData>
    <row r="1" spans="2:9" ht="15.6" x14ac:dyDescent="0.3">
      <c r="B1" s="15" t="s">
        <v>27</v>
      </c>
      <c r="C1" s="15"/>
      <c r="D1" s="15"/>
      <c r="E1" s="15"/>
      <c r="F1" s="16"/>
    </row>
    <row r="3" spans="2:9" x14ac:dyDescent="0.3">
      <c r="B3" s="6" t="s">
        <v>36</v>
      </c>
      <c r="C3" s="6" t="s">
        <v>36</v>
      </c>
      <c r="D3" s="6" t="s">
        <v>36</v>
      </c>
    </row>
    <row r="4" spans="2:9" x14ac:dyDescent="0.3">
      <c r="B4" s="7" t="s">
        <v>28</v>
      </c>
      <c r="C4" s="7" t="s">
        <v>29</v>
      </c>
      <c r="D4" s="7" t="s">
        <v>30</v>
      </c>
      <c r="G4" t="str" cm="1">
        <f t="array" ref="G4">IF(AND(B4:B10 = _xlfn._xlws.SORT(B4:B10,,1)),"Sorted in Ascending Order", IF(AND(B4:B10=_xlfn._xlws.SORT(B4:B10,,-1)),"Sorted in Descending Order", "Not Sorted"))</f>
        <v>Sorted in Ascending Order</v>
      </c>
      <c r="H4" t="str" cm="1">
        <f t="array" ref="H4">IF(AND(C4:C10 = _xlfn._xlws.SORT(C4:C10,,1)),"Sorted in Ascending Order", IF(AND(C4:C10=_xlfn._xlws.SORT(C4:C10,,-1)),"Sorted in Descending Order", "Not Sorted"))</f>
        <v>Sorted in Descending Order</v>
      </c>
      <c r="I4" t="str" cm="1">
        <f t="array" ref="I4">IF(AND(D4:D10 = _xlfn._xlws.SORT(D4:D10,,1)),"Sorted in Ascending Order", IF(AND(D4:D10=_xlfn._xlws.SORT(D4:D10,,-1)),"Sorted in Descending Order", "Not Sorted"))</f>
        <v>Not Sorted</v>
      </c>
    </row>
    <row r="5" spans="2:9" x14ac:dyDescent="0.3">
      <c r="B5" s="7" t="s">
        <v>31</v>
      </c>
      <c r="C5" s="7" t="s">
        <v>32</v>
      </c>
      <c r="D5" s="7" t="s">
        <v>33</v>
      </c>
    </row>
    <row r="6" spans="2:9" x14ac:dyDescent="0.3">
      <c r="B6" s="7" t="s">
        <v>33</v>
      </c>
      <c r="C6" s="7" t="s">
        <v>34</v>
      </c>
      <c r="D6" s="7" t="s">
        <v>28</v>
      </c>
    </row>
    <row r="7" spans="2:9" x14ac:dyDescent="0.3">
      <c r="B7" s="7" t="s">
        <v>30</v>
      </c>
      <c r="C7" s="7" t="s">
        <v>30</v>
      </c>
      <c r="D7" s="7" t="s">
        <v>34</v>
      </c>
    </row>
    <row r="8" spans="2:9" x14ac:dyDescent="0.3">
      <c r="B8" s="7" t="s">
        <v>34</v>
      </c>
      <c r="C8" s="7" t="s">
        <v>33</v>
      </c>
      <c r="D8" s="7" t="s">
        <v>29</v>
      </c>
    </row>
    <row r="9" spans="2:9" x14ac:dyDescent="0.3">
      <c r="B9" s="7" t="s">
        <v>32</v>
      </c>
      <c r="C9" s="7" t="s">
        <v>31</v>
      </c>
      <c r="D9" s="7" t="s">
        <v>32</v>
      </c>
    </row>
    <row r="10" spans="2:9" x14ac:dyDescent="0.3">
      <c r="B10" s="7" t="s">
        <v>29</v>
      </c>
      <c r="C10" s="7" t="s">
        <v>28</v>
      </c>
      <c r="D10" s="7" t="s">
        <v>31</v>
      </c>
    </row>
    <row r="11" spans="2:9" ht="9" customHeight="1" x14ac:dyDescent="0.3"/>
    <row r="12" spans="2:9" ht="43.2" x14ac:dyDescent="0.3">
      <c r="B12" s="8" t="str">
        <f t="array" ref="B12">IF(AND(B$4:B$9&lt;=B$5:B$10),"Sorted in Ascending Order",IF(AND(B$4:B$9&gt;=B$5:B$10),"Sorted in Descending Order","Not Sorted"))</f>
        <v>Sorted in Ascending Order</v>
      </c>
      <c r="C12" s="8" t="str">
        <f t="array" ref="C12">IF(AND(C$4:C$9&lt;=C$5:C$10),"Sorted in Ascending Order",IF(AND(C$4:C$9&gt;=C$5:C$10),"Sorted in Descending Order","Not Sorted"))</f>
        <v>Sorted in Descending Order</v>
      </c>
      <c r="D12" s="8" t="str">
        <f t="array" ref="D12">IF(AND(D$4:D$9&lt;=D$5:D$10),"Sorted in Ascending Order",IF(AND(D$4:D$9&gt;=D$5:D$10),"Sorted in Descending Order","Not Sorted"))</f>
        <v>Not Sorted</v>
      </c>
    </row>
    <row r="13" spans="2:9" ht="10.5" customHeight="1" x14ac:dyDescent="0.3"/>
    <row r="15" spans="2:9" x14ac:dyDescent="0.3">
      <c r="B15" t="str" cm="1">
        <f t="array" ref="B15">IF(AND(B4:B10=_xlfn._xlws.SORT(B4:B10,,1)), "In Acending Order", IF(AND(B4:B10= _xlfn._xlws.SORT(B4:B10,,-1)), "In Descending Order", "Not Sorted"))</f>
        <v>In Acending Order</v>
      </c>
      <c r="C15" t="str" cm="1">
        <f t="array" ref="C15">IF(AND(C4:C10=_xlfn._xlws.SORT(C4:C10,,1)), "In Acending Order", IF(AND(C4:C10= _xlfn._xlws.SORT(C4:C10,,-1)), "In Descending Order", "Not Sorted"))</f>
        <v>In Descending Order</v>
      </c>
      <c r="D15" t="str" cm="1">
        <f t="array" ref="D15">IF(AND(D4:D10=_xlfn._xlws.SORT(D4:D10,,1)), "In Acending Order", IF(AND(D4:D10= _xlfn._xlws.SORT(D4:D10,,-1)), "In Descending Order", "Not Sorted"))</f>
        <v>Not Sorted</v>
      </c>
    </row>
    <row r="17" spans="2:5" x14ac:dyDescent="0.3">
      <c r="B17" t="str" cm="1">
        <f t="array" ref="B17:B23">IF(_xlfn._xlws.SORT(B4:B10,,1) = B4:B10, "asc", IF(B4:B10=_xlfn._xlws.SORT(B4:B10, ,-1), "desc", "Not sorted"))</f>
        <v>asc</v>
      </c>
      <c r="C17" t="str" cm="1">
        <f t="array" ref="C17">IF(SUM(--EXACT(B4:B10,_xlfn._xlws.SORT(B4:B10,,1)))=COUNTA(B4:B10),"Asc",IF(SUM(--EXACT(B4:B10,_xlfn._xlws.SORT(B4:B10,,-1)))=COUNTA(B4:B10),"Desc","NS"))</f>
        <v>Asc</v>
      </c>
      <c r="D17" t="str" cm="1">
        <f t="array" ref="D17">IF(SUM(--EXACT(C4:C10,_xlfn._xlws.SORT(C4:C10,,1)))=COUNTA(C4:C10),"Asc",IF(SUM(--EXACT(C4:C10,_xlfn._xlws.SORT(C4:C10,,-1)))=COUNTA(C4:C10),"Desc","NS"))</f>
        <v>Desc</v>
      </c>
      <c r="E17" t="str" cm="1">
        <f t="array" ref="E17">IF(SUM(--EXACT(D4:D10,_xlfn._xlws.SORT(D4:D10,,1)))=COUNTA(D4:D10),"Asc",IF(SUM(--EXACT(D4:D10,_xlfn._xlws.SORT(D4:D10,,-1)))=COUNTA(D4:D10),"Desc","NS"))</f>
        <v>NS</v>
      </c>
    </row>
    <row r="18" spans="2:5" x14ac:dyDescent="0.3">
      <c r="B18" t="str">
        <v>asc</v>
      </c>
    </row>
    <row r="19" spans="2:5" x14ac:dyDescent="0.3">
      <c r="B19" t="str">
        <v>asc</v>
      </c>
    </row>
    <row r="20" spans="2:5" x14ac:dyDescent="0.3">
      <c r="B20" t="str">
        <v>asc</v>
      </c>
    </row>
    <row r="21" spans="2:5" x14ac:dyDescent="0.3">
      <c r="B21" t="str">
        <v>asc</v>
      </c>
    </row>
    <row r="22" spans="2:5" x14ac:dyDescent="0.3">
      <c r="B22" t="str">
        <v>asc</v>
      </c>
    </row>
    <row r="23" spans="2:5" x14ac:dyDescent="0.3">
      <c r="B23" t="str">
        <v>asc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C16F-233D-4E29-82ED-849C6A4DEAFF}">
  <dimension ref="B2:H309"/>
  <sheetViews>
    <sheetView workbookViewId="0">
      <selection activeCell="H10" sqref="H10"/>
    </sheetView>
  </sheetViews>
  <sheetFormatPr defaultRowHeight="14.4" x14ac:dyDescent="0.3"/>
  <cols>
    <col min="1" max="1" width="4" customWidth="1"/>
    <col min="2" max="3" width="13.6640625" customWidth="1"/>
    <col min="4" max="4" width="12.5546875" bestFit="1" customWidth="1"/>
    <col min="5" max="5" width="17.6640625" customWidth="1"/>
  </cols>
  <sheetData>
    <row r="2" spans="2:8" x14ac:dyDescent="0.3">
      <c r="B2" s="9" t="s">
        <v>341</v>
      </c>
    </row>
    <row r="3" spans="2:8" x14ac:dyDescent="0.3">
      <c r="B3" s="10">
        <v>25</v>
      </c>
    </row>
    <row r="5" spans="2:8" x14ac:dyDescent="0.3">
      <c r="B5" s="17" t="str">
        <f>"Sum of top "&amp;B3</f>
        <v>Sum of top 25</v>
      </c>
      <c r="C5" s="17"/>
      <c r="E5" cm="1">
        <f t="array" ref="E5">SUM(LARGE(sales[Revenues],_xlfn.SEQUENCE(n)))</f>
        <v>10921500</v>
      </c>
    </row>
    <row r="6" spans="2:8" x14ac:dyDescent="0.3">
      <c r="B6" s="7" t="s">
        <v>37</v>
      </c>
      <c r="C6" s="7"/>
    </row>
    <row r="7" spans="2:8" x14ac:dyDescent="0.3">
      <c r="B7" s="11">
        <f>SUMIFS(sales[Revenues],sales[Revenues],"&gt;="&amp;LARGE(sales[Revenues],n))</f>
        <v>10921500</v>
      </c>
      <c r="C7" s="11"/>
      <c r="E7">
        <f>SUMIFS(sales[Revenues],sales[Revenues],"&gt;"&amp;LARGE(sales[Revenues],n+1))</f>
        <v>10921500</v>
      </c>
    </row>
    <row r="9" spans="2:8" x14ac:dyDescent="0.3">
      <c r="B9" t="s">
        <v>38</v>
      </c>
      <c r="C9" t="s">
        <v>39</v>
      </c>
      <c r="D9" s="12" t="s">
        <v>40</v>
      </c>
    </row>
    <row r="10" spans="2:8" x14ac:dyDescent="0.3">
      <c r="B10" t="s">
        <v>41</v>
      </c>
      <c r="C10" t="s">
        <v>342</v>
      </c>
      <c r="D10" s="13">
        <v>199650</v>
      </c>
      <c r="F10" cm="1">
        <f t="array" ref="F10">SUM(IF(sales[Revenues]&gt;LARGE(sales[Revenues],26), sales[Revenues]))</f>
        <v>10921500</v>
      </c>
      <c r="H10" cm="1">
        <f t="array" ref="H10">SUM(LARGE(sales[Revenues],_xlfn.SEQUENCE(25)))</f>
        <v>10921500</v>
      </c>
    </row>
    <row r="11" spans="2:8" x14ac:dyDescent="0.3">
      <c r="B11" t="s">
        <v>42</v>
      </c>
      <c r="C11" t="s">
        <v>343</v>
      </c>
      <c r="D11" s="13">
        <v>322390</v>
      </c>
    </row>
    <row r="12" spans="2:8" x14ac:dyDescent="0.3">
      <c r="B12" t="s">
        <v>43</v>
      </c>
      <c r="C12" t="s">
        <v>346</v>
      </c>
      <c r="D12" s="13">
        <v>368670</v>
      </c>
    </row>
    <row r="13" spans="2:8" x14ac:dyDescent="0.3">
      <c r="B13" t="s">
        <v>44</v>
      </c>
      <c r="C13" t="s">
        <v>342</v>
      </c>
      <c r="D13" s="13">
        <v>482190</v>
      </c>
    </row>
    <row r="14" spans="2:8" x14ac:dyDescent="0.3">
      <c r="B14" t="s">
        <v>45</v>
      </c>
      <c r="C14" t="s">
        <v>342</v>
      </c>
      <c r="D14" s="13">
        <v>279820</v>
      </c>
    </row>
    <row r="15" spans="2:8" x14ac:dyDescent="0.3">
      <c r="B15" t="s">
        <v>46</v>
      </c>
      <c r="C15" t="s">
        <v>342</v>
      </c>
      <c r="D15" s="13">
        <v>218620</v>
      </c>
    </row>
    <row r="16" spans="2:8" x14ac:dyDescent="0.3">
      <c r="B16" t="s">
        <v>47</v>
      </c>
      <c r="C16" t="s">
        <v>344</v>
      </c>
      <c r="D16" s="13">
        <v>275910</v>
      </c>
    </row>
    <row r="17" spans="2:4" x14ac:dyDescent="0.3">
      <c r="B17" t="s">
        <v>48</v>
      </c>
      <c r="C17" t="s">
        <v>345</v>
      </c>
      <c r="D17" s="13">
        <v>334100</v>
      </c>
    </row>
    <row r="18" spans="2:4" x14ac:dyDescent="0.3">
      <c r="B18" t="s">
        <v>49</v>
      </c>
      <c r="C18" t="s">
        <v>346</v>
      </c>
      <c r="D18" s="13">
        <v>330110</v>
      </c>
    </row>
    <row r="19" spans="2:4" x14ac:dyDescent="0.3">
      <c r="B19" t="s">
        <v>50</v>
      </c>
      <c r="C19" t="s">
        <v>342</v>
      </c>
      <c r="D19" s="13">
        <v>326280</v>
      </c>
    </row>
    <row r="20" spans="2:4" x14ac:dyDescent="0.3">
      <c r="B20" t="s">
        <v>51</v>
      </c>
      <c r="C20" t="s">
        <v>343</v>
      </c>
      <c r="D20" s="13">
        <v>489710</v>
      </c>
    </row>
    <row r="21" spans="2:4" x14ac:dyDescent="0.3">
      <c r="B21" t="s">
        <v>52</v>
      </c>
      <c r="C21" t="s">
        <v>347</v>
      </c>
      <c r="D21" s="13">
        <v>233780</v>
      </c>
    </row>
    <row r="22" spans="2:4" x14ac:dyDescent="0.3">
      <c r="B22" t="s">
        <v>53</v>
      </c>
      <c r="C22" t="s">
        <v>342</v>
      </c>
      <c r="D22" s="13">
        <v>233800</v>
      </c>
    </row>
    <row r="23" spans="2:4" x14ac:dyDescent="0.3">
      <c r="B23" t="s">
        <v>54</v>
      </c>
      <c r="C23" t="s">
        <v>347</v>
      </c>
      <c r="D23" s="13">
        <v>345610</v>
      </c>
    </row>
    <row r="24" spans="2:4" x14ac:dyDescent="0.3">
      <c r="B24" t="s">
        <v>55</v>
      </c>
      <c r="C24" t="s">
        <v>346</v>
      </c>
      <c r="D24" s="13">
        <v>353250</v>
      </c>
    </row>
    <row r="25" spans="2:4" x14ac:dyDescent="0.3">
      <c r="B25" t="s">
        <v>56</v>
      </c>
      <c r="C25" t="s">
        <v>346</v>
      </c>
      <c r="D25" s="13">
        <v>326300</v>
      </c>
    </row>
    <row r="26" spans="2:4" x14ac:dyDescent="0.3">
      <c r="B26" t="s">
        <v>57</v>
      </c>
      <c r="C26" t="s">
        <v>347</v>
      </c>
      <c r="D26" s="13">
        <v>256640</v>
      </c>
    </row>
    <row r="27" spans="2:4" x14ac:dyDescent="0.3">
      <c r="B27" t="s">
        <v>58</v>
      </c>
      <c r="C27" t="s">
        <v>343</v>
      </c>
      <c r="D27" s="13">
        <v>214850</v>
      </c>
    </row>
    <row r="28" spans="2:4" x14ac:dyDescent="0.3">
      <c r="B28" t="s">
        <v>59</v>
      </c>
      <c r="C28" t="s">
        <v>343</v>
      </c>
      <c r="D28" s="13">
        <v>448400</v>
      </c>
    </row>
    <row r="29" spans="2:4" x14ac:dyDescent="0.3">
      <c r="B29" t="s">
        <v>60</v>
      </c>
      <c r="C29" t="s">
        <v>344</v>
      </c>
      <c r="D29" s="13">
        <v>218640</v>
      </c>
    </row>
    <row r="30" spans="2:4" x14ac:dyDescent="0.3">
      <c r="B30" t="s">
        <v>61</v>
      </c>
      <c r="C30" t="s">
        <v>347</v>
      </c>
      <c r="D30" s="13">
        <v>207250</v>
      </c>
    </row>
    <row r="31" spans="2:4" x14ac:dyDescent="0.3">
      <c r="B31" t="s">
        <v>62</v>
      </c>
      <c r="C31" t="s">
        <v>344</v>
      </c>
      <c r="D31" s="13">
        <v>314650</v>
      </c>
    </row>
    <row r="32" spans="2:4" x14ac:dyDescent="0.3">
      <c r="B32" t="s">
        <v>63</v>
      </c>
      <c r="C32" t="s">
        <v>342</v>
      </c>
      <c r="D32" s="13">
        <v>199670</v>
      </c>
    </row>
    <row r="33" spans="2:4" x14ac:dyDescent="0.3">
      <c r="B33" t="s">
        <v>64</v>
      </c>
      <c r="C33" t="s">
        <v>343</v>
      </c>
      <c r="D33" s="13">
        <v>353270</v>
      </c>
    </row>
    <row r="34" spans="2:4" x14ac:dyDescent="0.3">
      <c r="B34" t="s">
        <v>65</v>
      </c>
      <c r="C34" t="s">
        <v>345</v>
      </c>
      <c r="D34" s="13">
        <v>318560</v>
      </c>
    </row>
    <row r="35" spans="2:4" x14ac:dyDescent="0.3">
      <c r="B35" t="s">
        <v>66</v>
      </c>
      <c r="C35" t="s">
        <v>345</v>
      </c>
      <c r="D35" s="13">
        <v>322410</v>
      </c>
    </row>
    <row r="36" spans="2:4" x14ac:dyDescent="0.3">
      <c r="B36" t="s">
        <v>67</v>
      </c>
      <c r="C36" t="s">
        <v>343</v>
      </c>
      <c r="D36" s="13">
        <v>353290</v>
      </c>
    </row>
    <row r="37" spans="2:4" x14ac:dyDescent="0.3">
      <c r="B37" t="s">
        <v>68</v>
      </c>
      <c r="C37" t="s">
        <v>347</v>
      </c>
      <c r="D37" s="13">
        <v>192070</v>
      </c>
    </row>
    <row r="38" spans="2:4" x14ac:dyDescent="0.3">
      <c r="B38" t="s">
        <v>69</v>
      </c>
      <c r="C38" t="s">
        <v>346</v>
      </c>
      <c r="D38" s="13">
        <v>341740</v>
      </c>
    </row>
    <row r="39" spans="2:4" x14ac:dyDescent="0.3">
      <c r="B39" t="s">
        <v>70</v>
      </c>
      <c r="C39" t="s">
        <v>343</v>
      </c>
      <c r="D39" s="13">
        <v>0</v>
      </c>
    </row>
    <row r="40" spans="2:4" x14ac:dyDescent="0.3">
      <c r="B40" t="s">
        <v>71</v>
      </c>
      <c r="C40" t="s">
        <v>346</v>
      </c>
      <c r="D40" s="13">
        <v>395420</v>
      </c>
    </row>
    <row r="41" spans="2:4" x14ac:dyDescent="0.3">
      <c r="B41" t="s">
        <v>72</v>
      </c>
      <c r="C41" t="s">
        <v>342</v>
      </c>
      <c r="D41" s="13">
        <v>173140</v>
      </c>
    </row>
    <row r="42" spans="2:4" x14ac:dyDescent="0.3">
      <c r="B42" t="s">
        <v>73</v>
      </c>
      <c r="C42" t="s">
        <v>343</v>
      </c>
      <c r="D42" s="13">
        <v>391650</v>
      </c>
    </row>
    <row r="43" spans="2:4" x14ac:dyDescent="0.3">
      <c r="B43" t="s">
        <v>74</v>
      </c>
      <c r="C43" t="s">
        <v>343</v>
      </c>
      <c r="D43" s="13">
        <v>188280</v>
      </c>
    </row>
    <row r="44" spans="2:4" x14ac:dyDescent="0.3">
      <c r="B44" t="s">
        <v>75</v>
      </c>
      <c r="C44" t="s">
        <v>344</v>
      </c>
      <c r="D44" s="13">
        <v>161770</v>
      </c>
    </row>
    <row r="45" spans="2:4" x14ac:dyDescent="0.3">
      <c r="B45" t="s">
        <v>76</v>
      </c>
      <c r="C45" t="s">
        <v>346</v>
      </c>
      <c r="D45" s="13">
        <v>97920</v>
      </c>
    </row>
    <row r="46" spans="2:4" x14ac:dyDescent="0.3">
      <c r="B46" t="s">
        <v>77</v>
      </c>
      <c r="C46" t="s">
        <v>342</v>
      </c>
      <c r="D46" s="13">
        <v>314670</v>
      </c>
    </row>
    <row r="47" spans="2:4" x14ac:dyDescent="0.3">
      <c r="B47" t="s">
        <v>78</v>
      </c>
      <c r="C47" t="s">
        <v>346</v>
      </c>
      <c r="D47" s="13">
        <v>279840</v>
      </c>
    </row>
    <row r="48" spans="2:4" x14ac:dyDescent="0.3">
      <c r="B48" t="s">
        <v>79</v>
      </c>
      <c r="C48" t="s">
        <v>346</v>
      </c>
      <c r="D48" s="13">
        <v>0</v>
      </c>
    </row>
    <row r="49" spans="2:4" x14ac:dyDescent="0.3">
      <c r="B49" t="s">
        <v>80</v>
      </c>
      <c r="C49" t="s">
        <v>346</v>
      </c>
      <c r="D49" s="13">
        <v>306910</v>
      </c>
    </row>
    <row r="50" spans="2:4" x14ac:dyDescent="0.3">
      <c r="B50" t="s">
        <v>81</v>
      </c>
      <c r="C50" t="s">
        <v>342</v>
      </c>
      <c r="D50" s="13">
        <v>383990</v>
      </c>
    </row>
    <row r="51" spans="2:4" x14ac:dyDescent="0.3">
      <c r="B51" t="s">
        <v>82</v>
      </c>
      <c r="C51" t="s">
        <v>345</v>
      </c>
      <c r="D51" s="13">
        <v>279860</v>
      </c>
    </row>
    <row r="52" spans="2:4" x14ac:dyDescent="0.3">
      <c r="B52" t="s">
        <v>83</v>
      </c>
      <c r="C52" t="s">
        <v>347</v>
      </c>
      <c r="D52" s="13">
        <v>299190</v>
      </c>
    </row>
    <row r="53" spans="2:4" x14ac:dyDescent="0.3">
      <c r="B53" t="s">
        <v>84</v>
      </c>
      <c r="C53" t="s">
        <v>342</v>
      </c>
      <c r="D53" s="13">
        <v>291450</v>
      </c>
    </row>
    <row r="54" spans="2:4" x14ac:dyDescent="0.3">
      <c r="B54" t="s">
        <v>85</v>
      </c>
      <c r="C54" t="s">
        <v>345</v>
      </c>
      <c r="D54" s="13">
        <v>376370</v>
      </c>
    </row>
    <row r="55" spans="2:4" x14ac:dyDescent="0.3">
      <c r="B55" t="s">
        <v>86</v>
      </c>
      <c r="C55" t="s">
        <v>344</v>
      </c>
      <c r="D55" s="13">
        <v>295320</v>
      </c>
    </row>
    <row r="56" spans="2:4" x14ac:dyDescent="0.3">
      <c r="B56" t="s">
        <v>87</v>
      </c>
      <c r="C56" t="s">
        <v>345</v>
      </c>
      <c r="D56" s="13">
        <v>387840</v>
      </c>
    </row>
    <row r="57" spans="2:4" x14ac:dyDescent="0.3">
      <c r="B57" t="s">
        <v>88</v>
      </c>
      <c r="C57" t="s">
        <v>346</v>
      </c>
      <c r="D57" s="13">
        <v>322430</v>
      </c>
    </row>
    <row r="58" spans="2:4" x14ac:dyDescent="0.3">
      <c r="B58" t="s">
        <v>89</v>
      </c>
      <c r="C58" t="s">
        <v>342</v>
      </c>
      <c r="D58" s="13">
        <v>380200</v>
      </c>
    </row>
    <row r="59" spans="2:4" x14ac:dyDescent="0.3">
      <c r="B59" t="s">
        <v>90</v>
      </c>
      <c r="C59" t="s">
        <v>344</v>
      </c>
      <c r="D59" s="13">
        <v>264320</v>
      </c>
    </row>
    <row r="60" spans="2:4" x14ac:dyDescent="0.3">
      <c r="B60" t="s">
        <v>91</v>
      </c>
      <c r="C60" t="s">
        <v>342</v>
      </c>
      <c r="D60" s="13">
        <v>322450</v>
      </c>
    </row>
    <row r="61" spans="2:4" x14ac:dyDescent="0.3">
      <c r="B61" t="s">
        <v>92</v>
      </c>
      <c r="C61" t="s">
        <v>347</v>
      </c>
      <c r="D61" s="13">
        <v>0</v>
      </c>
    </row>
    <row r="62" spans="2:4" x14ac:dyDescent="0.3">
      <c r="B62" t="s">
        <v>93</v>
      </c>
      <c r="C62" t="s">
        <v>345</v>
      </c>
      <c r="D62" s="13">
        <v>203480</v>
      </c>
    </row>
    <row r="63" spans="2:4" x14ac:dyDescent="0.3">
      <c r="B63" t="s">
        <v>94</v>
      </c>
      <c r="C63" t="s">
        <v>347</v>
      </c>
      <c r="D63" s="13">
        <v>387860</v>
      </c>
    </row>
    <row r="64" spans="2:4" x14ac:dyDescent="0.3">
      <c r="B64" t="s">
        <v>95</v>
      </c>
      <c r="C64" t="s">
        <v>346</v>
      </c>
      <c r="D64" s="13">
        <v>310740</v>
      </c>
    </row>
    <row r="65" spans="2:4" x14ac:dyDescent="0.3">
      <c r="B65" t="s">
        <v>96</v>
      </c>
      <c r="C65" t="s">
        <v>347</v>
      </c>
      <c r="D65" s="13">
        <v>322470</v>
      </c>
    </row>
    <row r="66" spans="2:4" x14ac:dyDescent="0.3">
      <c r="B66" t="s">
        <v>97</v>
      </c>
      <c r="C66" t="s">
        <v>345</v>
      </c>
      <c r="D66" s="13">
        <v>349420</v>
      </c>
    </row>
    <row r="67" spans="2:4" x14ac:dyDescent="0.3">
      <c r="B67" t="s">
        <v>98</v>
      </c>
      <c r="C67" t="s">
        <v>342</v>
      </c>
      <c r="D67" s="13">
        <v>357200</v>
      </c>
    </row>
    <row r="68" spans="2:4" x14ac:dyDescent="0.3">
      <c r="B68" t="s">
        <v>99</v>
      </c>
      <c r="C68" t="s">
        <v>342</v>
      </c>
      <c r="D68" s="13">
        <v>0</v>
      </c>
    </row>
    <row r="69" spans="2:4" x14ac:dyDescent="0.3">
      <c r="B69" t="s">
        <v>100</v>
      </c>
      <c r="C69" t="s">
        <v>344</v>
      </c>
      <c r="D69" s="13">
        <v>207270</v>
      </c>
    </row>
    <row r="70" spans="2:4" x14ac:dyDescent="0.3">
      <c r="B70" t="s">
        <v>101</v>
      </c>
      <c r="C70" t="s">
        <v>344</v>
      </c>
      <c r="D70" s="13">
        <v>326320</v>
      </c>
    </row>
    <row r="71" spans="2:4" x14ac:dyDescent="0.3">
      <c r="B71" t="s">
        <v>102</v>
      </c>
      <c r="C71" t="s">
        <v>343</v>
      </c>
      <c r="D71" s="13">
        <v>303080</v>
      </c>
    </row>
    <row r="72" spans="2:4" x14ac:dyDescent="0.3">
      <c r="B72" t="s">
        <v>103</v>
      </c>
      <c r="C72" t="s">
        <v>346</v>
      </c>
      <c r="D72" s="13">
        <v>0</v>
      </c>
    </row>
    <row r="73" spans="2:4" x14ac:dyDescent="0.3">
      <c r="B73" t="s">
        <v>104</v>
      </c>
      <c r="C73" t="s">
        <v>347</v>
      </c>
      <c r="D73" s="13">
        <v>368690</v>
      </c>
    </row>
    <row r="74" spans="2:4" x14ac:dyDescent="0.3">
      <c r="B74" t="s">
        <v>105</v>
      </c>
      <c r="C74" t="s">
        <v>342</v>
      </c>
      <c r="D74" s="13">
        <v>161790</v>
      </c>
    </row>
    <row r="75" spans="2:4" x14ac:dyDescent="0.3">
      <c r="B75" t="s">
        <v>106</v>
      </c>
      <c r="C75" t="s">
        <v>346</v>
      </c>
      <c r="D75" s="13">
        <v>165600</v>
      </c>
    </row>
    <row r="76" spans="2:4" x14ac:dyDescent="0.3">
      <c r="B76" t="s">
        <v>107</v>
      </c>
      <c r="C76" t="s">
        <v>346</v>
      </c>
      <c r="D76" s="13">
        <v>0</v>
      </c>
    </row>
    <row r="77" spans="2:4" x14ac:dyDescent="0.3">
      <c r="B77" t="s">
        <v>108</v>
      </c>
      <c r="C77" t="s">
        <v>344</v>
      </c>
      <c r="D77" s="13">
        <v>207290</v>
      </c>
    </row>
    <row r="78" spans="2:4" x14ac:dyDescent="0.3">
      <c r="B78" t="s">
        <v>109</v>
      </c>
      <c r="C78" t="s">
        <v>343</v>
      </c>
      <c r="D78" s="13">
        <v>357220</v>
      </c>
    </row>
    <row r="79" spans="2:4" x14ac:dyDescent="0.3">
      <c r="B79" t="s">
        <v>110</v>
      </c>
      <c r="C79" t="s">
        <v>342</v>
      </c>
      <c r="D79" s="13">
        <v>345630</v>
      </c>
    </row>
    <row r="80" spans="2:4" x14ac:dyDescent="0.3">
      <c r="B80" t="s">
        <v>111</v>
      </c>
      <c r="C80" t="s">
        <v>345</v>
      </c>
      <c r="D80" s="13">
        <v>303100</v>
      </c>
    </row>
    <row r="81" spans="2:4" x14ac:dyDescent="0.3">
      <c r="B81" t="s">
        <v>112</v>
      </c>
      <c r="C81" t="s">
        <v>344</v>
      </c>
      <c r="D81" s="13">
        <v>0</v>
      </c>
    </row>
    <row r="82" spans="2:4" x14ac:dyDescent="0.3">
      <c r="B82" t="s">
        <v>113</v>
      </c>
      <c r="C82" t="s">
        <v>345</v>
      </c>
      <c r="D82" s="13">
        <v>399230</v>
      </c>
    </row>
    <row r="83" spans="2:4" x14ac:dyDescent="0.3">
      <c r="B83" t="s">
        <v>114</v>
      </c>
      <c r="C83" t="s">
        <v>347</v>
      </c>
      <c r="D83" s="13">
        <v>330130</v>
      </c>
    </row>
    <row r="84" spans="2:4" x14ac:dyDescent="0.3">
      <c r="B84" t="s">
        <v>115</v>
      </c>
      <c r="C84" t="s">
        <v>344</v>
      </c>
      <c r="D84" s="13">
        <v>199690</v>
      </c>
    </row>
    <row r="85" spans="2:4" x14ac:dyDescent="0.3">
      <c r="B85" t="s">
        <v>116</v>
      </c>
      <c r="C85" t="s">
        <v>346</v>
      </c>
      <c r="D85" s="13">
        <v>330150</v>
      </c>
    </row>
    <row r="86" spans="2:4" x14ac:dyDescent="0.3">
      <c r="B86" t="s">
        <v>117</v>
      </c>
      <c r="C86" t="s">
        <v>346</v>
      </c>
      <c r="D86" s="13">
        <v>0</v>
      </c>
    </row>
    <row r="87" spans="2:4" x14ac:dyDescent="0.3">
      <c r="B87" t="s">
        <v>118</v>
      </c>
      <c r="C87" t="s">
        <v>344</v>
      </c>
      <c r="D87" s="13">
        <v>330170</v>
      </c>
    </row>
    <row r="88" spans="2:4" x14ac:dyDescent="0.3">
      <c r="B88" t="s">
        <v>119</v>
      </c>
      <c r="C88" t="s">
        <v>343</v>
      </c>
      <c r="D88" s="13">
        <v>368710</v>
      </c>
    </row>
    <row r="89" spans="2:4" x14ac:dyDescent="0.3">
      <c r="B89" t="s">
        <v>120</v>
      </c>
      <c r="C89" t="s">
        <v>343</v>
      </c>
      <c r="D89" s="13">
        <v>279880</v>
      </c>
    </row>
    <row r="90" spans="2:4" x14ac:dyDescent="0.3">
      <c r="B90" t="s">
        <v>121</v>
      </c>
      <c r="C90" t="s">
        <v>347</v>
      </c>
      <c r="D90" s="13">
        <v>264340</v>
      </c>
    </row>
    <row r="91" spans="2:4" x14ac:dyDescent="0.3">
      <c r="B91" t="s">
        <v>122</v>
      </c>
      <c r="C91" t="s">
        <v>345</v>
      </c>
      <c r="D91" s="13">
        <v>372540</v>
      </c>
    </row>
    <row r="92" spans="2:4" x14ac:dyDescent="0.3">
      <c r="B92" t="s">
        <v>123</v>
      </c>
      <c r="C92" t="s">
        <v>344</v>
      </c>
      <c r="D92" s="13">
        <v>283750</v>
      </c>
    </row>
    <row r="93" spans="2:4" x14ac:dyDescent="0.3">
      <c r="B93" t="s">
        <v>124</v>
      </c>
      <c r="C93" t="s">
        <v>347</v>
      </c>
      <c r="D93" s="13">
        <v>291470</v>
      </c>
    </row>
    <row r="94" spans="2:4" x14ac:dyDescent="0.3">
      <c r="B94" t="s">
        <v>125</v>
      </c>
      <c r="C94" t="s">
        <v>347</v>
      </c>
      <c r="D94" s="13">
        <v>283770</v>
      </c>
    </row>
    <row r="95" spans="2:4" x14ac:dyDescent="0.3">
      <c r="B95" t="s">
        <v>126</v>
      </c>
      <c r="C95" t="s">
        <v>342</v>
      </c>
      <c r="D95" s="13">
        <v>429510</v>
      </c>
    </row>
    <row r="96" spans="2:4" x14ac:dyDescent="0.3">
      <c r="B96" t="s">
        <v>127</v>
      </c>
      <c r="C96" t="s">
        <v>346</v>
      </c>
      <c r="D96" s="13">
        <v>226240</v>
      </c>
    </row>
    <row r="97" spans="2:4" x14ac:dyDescent="0.3">
      <c r="B97" t="s">
        <v>128</v>
      </c>
      <c r="C97" t="s">
        <v>343</v>
      </c>
      <c r="D97" s="13">
        <v>237610</v>
      </c>
    </row>
    <row r="98" spans="2:4" x14ac:dyDescent="0.3">
      <c r="B98" t="s">
        <v>129</v>
      </c>
      <c r="C98" t="s">
        <v>347</v>
      </c>
      <c r="D98" s="13">
        <v>364880</v>
      </c>
    </row>
    <row r="99" spans="2:4" x14ac:dyDescent="0.3">
      <c r="B99" t="s">
        <v>130</v>
      </c>
      <c r="C99" t="s">
        <v>343</v>
      </c>
      <c r="D99" s="13">
        <v>299210</v>
      </c>
    </row>
    <row r="100" spans="2:4" x14ac:dyDescent="0.3">
      <c r="B100" t="s">
        <v>131</v>
      </c>
      <c r="C100" t="s">
        <v>342</v>
      </c>
      <c r="D100" s="13">
        <v>337930</v>
      </c>
    </row>
    <row r="101" spans="2:4" x14ac:dyDescent="0.3">
      <c r="B101" t="s">
        <v>132</v>
      </c>
      <c r="C101" t="s">
        <v>346</v>
      </c>
      <c r="D101" s="13">
        <v>364900</v>
      </c>
    </row>
    <row r="102" spans="2:4" x14ac:dyDescent="0.3">
      <c r="B102" t="s">
        <v>133</v>
      </c>
      <c r="C102" t="s">
        <v>346</v>
      </c>
      <c r="D102" s="13">
        <v>264360</v>
      </c>
    </row>
    <row r="103" spans="2:4" x14ac:dyDescent="0.3">
      <c r="B103" t="s">
        <v>134</v>
      </c>
      <c r="C103" t="s">
        <v>345</v>
      </c>
      <c r="D103" s="13">
        <v>275930</v>
      </c>
    </row>
    <row r="104" spans="2:4" x14ac:dyDescent="0.3">
      <c r="B104" t="s">
        <v>135</v>
      </c>
      <c r="C104" t="s">
        <v>342</v>
      </c>
      <c r="D104" s="13">
        <v>287540</v>
      </c>
    </row>
    <row r="105" spans="2:4" x14ac:dyDescent="0.3">
      <c r="B105" t="s">
        <v>136</v>
      </c>
      <c r="C105" t="s">
        <v>347</v>
      </c>
      <c r="D105" s="13">
        <v>406850</v>
      </c>
    </row>
    <row r="106" spans="2:4" x14ac:dyDescent="0.3">
      <c r="B106" t="s">
        <v>137</v>
      </c>
      <c r="C106" t="s">
        <v>346</v>
      </c>
      <c r="D106" s="13">
        <v>410640</v>
      </c>
    </row>
    <row r="107" spans="2:4" x14ac:dyDescent="0.3">
      <c r="B107" t="s">
        <v>138</v>
      </c>
      <c r="C107" t="s">
        <v>347</v>
      </c>
      <c r="D107" s="13">
        <v>295340</v>
      </c>
    </row>
    <row r="108" spans="2:4" x14ac:dyDescent="0.3">
      <c r="B108" t="s">
        <v>139</v>
      </c>
      <c r="C108" t="s">
        <v>343</v>
      </c>
      <c r="D108" s="13">
        <v>0</v>
      </c>
    </row>
    <row r="109" spans="2:4" x14ac:dyDescent="0.3">
      <c r="B109" t="s">
        <v>140</v>
      </c>
      <c r="C109" t="s">
        <v>344</v>
      </c>
      <c r="D109" s="13">
        <v>384010</v>
      </c>
    </row>
    <row r="110" spans="2:4" x14ac:dyDescent="0.3">
      <c r="B110" t="s">
        <v>141</v>
      </c>
      <c r="C110" t="s">
        <v>347</v>
      </c>
      <c r="D110" s="13">
        <v>165620</v>
      </c>
    </row>
    <row r="111" spans="2:4" x14ac:dyDescent="0.3">
      <c r="B111" t="s">
        <v>142</v>
      </c>
      <c r="C111" t="s">
        <v>344</v>
      </c>
      <c r="D111" s="13">
        <v>245170</v>
      </c>
    </row>
    <row r="112" spans="2:4" x14ac:dyDescent="0.3">
      <c r="B112" t="s">
        <v>143</v>
      </c>
      <c r="C112" t="s">
        <v>346</v>
      </c>
      <c r="D112" s="13">
        <v>245190</v>
      </c>
    </row>
    <row r="113" spans="2:4" x14ac:dyDescent="0.3">
      <c r="B113" t="s">
        <v>144</v>
      </c>
      <c r="C113" t="s">
        <v>343</v>
      </c>
      <c r="D113" s="13">
        <v>287560</v>
      </c>
    </row>
    <row r="114" spans="2:4" x14ac:dyDescent="0.3">
      <c r="B114" t="s">
        <v>145</v>
      </c>
      <c r="C114" t="s">
        <v>347</v>
      </c>
      <c r="D114" s="13">
        <v>330190</v>
      </c>
    </row>
    <row r="115" spans="2:4" x14ac:dyDescent="0.3">
      <c r="B115" t="s">
        <v>146</v>
      </c>
      <c r="C115" t="s">
        <v>344</v>
      </c>
      <c r="D115" s="13">
        <v>287580</v>
      </c>
    </row>
    <row r="116" spans="2:4" x14ac:dyDescent="0.3">
      <c r="B116" t="s">
        <v>147</v>
      </c>
      <c r="C116" t="s">
        <v>342</v>
      </c>
      <c r="D116" s="13">
        <v>357240</v>
      </c>
    </row>
    <row r="117" spans="2:4" x14ac:dyDescent="0.3">
      <c r="B117" t="s">
        <v>148</v>
      </c>
      <c r="C117" t="s">
        <v>343</v>
      </c>
      <c r="D117" s="13">
        <v>353310</v>
      </c>
    </row>
    <row r="118" spans="2:4" x14ac:dyDescent="0.3">
      <c r="B118" t="s">
        <v>149</v>
      </c>
      <c r="C118" t="s">
        <v>347</v>
      </c>
      <c r="D118" s="13">
        <v>310760</v>
      </c>
    </row>
    <row r="119" spans="2:4" x14ac:dyDescent="0.3">
      <c r="B119" t="s">
        <v>150</v>
      </c>
      <c r="C119" t="s">
        <v>344</v>
      </c>
      <c r="D119" s="13">
        <v>361070</v>
      </c>
    </row>
    <row r="120" spans="2:4" x14ac:dyDescent="0.3">
      <c r="B120" t="s">
        <v>151</v>
      </c>
      <c r="C120" t="s">
        <v>343</v>
      </c>
      <c r="D120" s="13">
        <v>310780</v>
      </c>
    </row>
    <row r="121" spans="2:4" x14ac:dyDescent="0.3">
      <c r="B121" t="s">
        <v>152</v>
      </c>
      <c r="C121" t="s">
        <v>344</v>
      </c>
      <c r="D121" s="13">
        <v>395440</v>
      </c>
    </row>
    <row r="122" spans="2:4" x14ac:dyDescent="0.3">
      <c r="B122" t="s">
        <v>153</v>
      </c>
      <c r="C122" t="s">
        <v>347</v>
      </c>
      <c r="D122" s="13">
        <v>314690</v>
      </c>
    </row>
    <row r="123" spans="2:4" x14ac:dyDescent="0.3">
      <c r="B123" t="s">
        <v>154</v>
      </c>
      <c r="C123" t="s">
        <v>346</v>
      </c>
      <c r="D123" s="13">
        <v>376390</v>
      </c>
    </row>
    <row r="124" spans="2:4" x14ac:dyDescent="0.3">
      <c r="B124" t="s">
        <v>155</v>
      </c>
      <c r="C124" t="s">
        <v>343</v>
      </c>
      <c r="D124" s="13">
        <v>272000</v>
      </c>
    </row>
    <row r="125" spans="2:4" x14ac:dyDescent="0.3">
      <c r="B125" t="s">
        <v>156</v>
      </c>
      <c r="C125" t="s">
        <v>342</v>
      </c>
      <c r="D125" s="13">
        <v>380220</v>
      </c>
    </row>
    <row r="126" spans="2:4" x14ac:dyDescent="0.3">
      <c r="B126" t="s">
        <v>157</v>
      </c>
      <c r="C126" t="s">
        <v>343</v>
      </c>
      <c r="D126" s="13">
        <v>287600</v>
      </c>
    </row>
    <row r="127" spans="2:4" x14ac:dyDescent="0.3">
      <c r="B127" t="s">
        <v>158</v>
      </c>
      <c r="C127" t="s">
        <v>346</v>
      </c>
      <c r="D127" s="13">
        <v>299230</v>
      </c>
    </row>
    <row r="128" spans="2:4" x14ac:dyDescent="0.3">
      <c r="B128" t="s">
        <v>159</v>
      </c>
      <c r="C128" t="s">
        <v>342</v>
      </c>
      <c r="D128" s="13">
        <v>310800</v>
      </c>
    </row>
    <row r="129" spans="2:4" x14ac:dyDescent="0.3">
      <c r="B129" t="s">
        <v>160</v>
      </c>
      <c r="C129" t="s">
        <v>344</v>
      </c>
      <c r="D129" s="13">
        <v>161810</v>
      </c>
    </row>
    <row r="130" spans="2:4" x14ac:dyDescent="0.3">
      <c r="B130" t="s">
        <v>161</v>
      </c>
      <c r="C130" t="s">
        <v>343</v>
      </c>
      <c r="D130" s="13">
        <v>330210</v>
      </c>
    </row>
    <row r="131" spans="2:4" x14ac:dyDescent="0.3">
      <c r="B131" t="s">
        <v>162</v>
      </c>
      <c r="C131" t="s">
        <v>345</v>
      </c>
      <c r="D131" s="13">
        <v>399250</v>
      </c>
    </row>
    <row r="132" spans="2:4" x14ac:dyDescent="0.3">
      <c r="B132" t="s">
        <v>163</v>
      </c>
      <c r="C132" t="s">
        <v>343</v>
      </c>
      <c r="D132" s="13">
        <v>361090</v>
      </c>
    </row>
    <row r="133" spans="2:4" x14ac:dyDescent="0.3">
      <c r="B133" t="s">
        <v>164</v>
      </c>
      <c r="C133" t="s">
        <v>344</v>
      </c>
      <c r="D133" s="13">
        <v>252830</v>
      </c>
    </row>
    <row r="134" spans="2:4" x14ac:dyDescent="0.3">
      <c r="B134" t="s">
        <v>165</v>
      </c>
      <c r="C134" t="s">
        <v>343</v>
      </c>
      <c r="D134" s="13">
        <v>353330</v>
      </c>
    </row>
    <row r="135" spans="2:4" x14ac:dyDescent="0.3">
      <c r="B135" t="s">
        <v>166</v>
      </c>
      <c r="C135" t="s">
        <v>344</v>
      </c>
      <c r="D135" s="13">
        <v>241400</v>
      </c>
    </row>
    <row r="136" spans="2:4" x14ac:dyDescent="0.3">
      <c r="B136" t="s">
        <v>167</v>
      </c>
      <c r="C136" t="s">
        <v>347</v>
      </c>
      <c r="D136" s="13">
        <v>291490</v>
      </c>
    </row>
    <row r="137" spans="2:4" x14ac:dyDescent="0.3">
      <c r="B137" t="s">
        <v>168</v>
      </c>
      <c r="C137" t="s">
        <v>344</v>
      </c>
      <c r="D137" s="13">
        <v>341760</v>
      </c>
    </row>
    <row r="138" spans="2:4" x14ac:dyDescent="0.3">
      <c r="B138" t="s">
        <v>169</v>
      </c>
      <c r="C138" t="s">
        <v>343</v>
      </c>
      <c r="D138" s="13">
        <v>314710</v>
      </c>
    </row>
    <row r="139" spans="2:4" x14ac:dyDescent="0.3">
      <c r="B139" t="s">
        <v>170</v>
      </c>
      <c r="C139" t="s">
        <v>344</v>
      </c>
      <c r="D139" s="13">
        <v>399270</v>
      </c>
    </row>
    <row r="140" spans="2:4" x14ac:dyDescent="0.3">
      <c r="B140" t="s">
        <v>171</v>
      </c>
      <c r="C140" t="s">
        <v>343</v>
      </c>
      <c r="D140" s="13">
        <v>341780</v>
      </c>
    </row>
    <row r="141" spans="2:4" x14ac:dyDescent="0.3">
      <c r="B141" t="s">
        <v>172</v>
      </c>
      <c r="C141" t="s">
        <v>347</v>
      </c>
      <c r="D141" s="13">
        <v>376410</v>
      </c>
    </row>
    <row r="142" spans="2:4" x14ac:dyDescent="0.3">
      <c r="B142" t="s">
        <v>173</v>
      </c>
      <c r="C142" t="s">
        <v>343</v>
      </c>
      <c r="D142" s="13">
        <v>180720</v>
      </c>
    </row>
    <row r="143" spans="2:4" x14ac:dyDescent="0.3">
      <c r="B143" t="s">
        <v>174</v>
      </c>
      <c r="C143" t="s">
        <v>345</v>
      </c>
      <c r="D143" s="13">
        <v>353350</v>
      </c>
    </row>
    <row r="144" spans="2:4" x14ac:dyDescent="0.3">
      <c r="B144" t="s">
        <v>175</v>
      </c>
      <c r="C144" t="s">
        <v>346</v>
      </c>
      <c r="D144" s="13">
        <v>256660</v>
      </c>
    </row>
    <row r="145" spans="2:4" x14ac:dyDescent="0.3">
      <c r="B145" t="s">
        <v>176</v>
      </c>
      <c r="C145" t="s">
        <v>342</v>
      </c>
      <c r="D145" s="13">
        <v>368730</v>
      </c>
    </row>
    <row r="146" spans="2:4" x14ac:dyDescent="0.3">
      <c r="B146" t="s">
        <v>177</v>
      </c>
      <c r="C146" t="s">
        <v>344</v>
      </c>
      <c r="D146" s="13">
        <v>245210</v>
      </c>
    </row>
    <row r="147" spans="2:4" x14ac:dyDescent="0.3">
      <c r="B147" t="s">
        <v>178</v>
      </c>
      <c r="C147" t="s">
        <v>344</v>
      </c>
      <c r="D147" s="13">
        <v>188300</v>
      </c>
    </row>
    <row r="148" spans="2:4" x14ac:dyDescent="0.3">
      <c r="B148" t="s">
        <v>179</v>
      </c>
      <c r="C148" t="s">
        <v>344</v>
      </c>
      <c r="D148" s="13">
        <v>245230</v>
      </c>
    </row>
    <row r="149" spans="2:4" x14ac:dyDescent="0.3">
      <c r="B149" t="s">
        <v>180</v>
      </c>
      <c r="C149" t="s">
        <v>342</v>
      </c>
      <c r="D149" s="13">
        <v>318580</v>
      </c>
    </row>
    <row r="150" spans="2:4" x14ac:dyDescent="0.3">
      <c r="B150" t="s">
        <v>181</v>
      </c>
      <c r="C150" t="s">
        <v>345</v>
      </c>
      <c r="D150" s="13">
        <v>310820</v>
      </c>
    </row>
    <row r="151" spans="2:4" x14ac:dyDescent="0.3">
      <c r="B151" t="s">
        <v>182</v>
      </c>
      <c r="C151" t="s">
        <v>342</v>
      </c>
      <c r="D151" s="13">
        <v>314730</v>
      </c>
    </row>
    <row r="152" spans="2:4" x14ac:dyDescent="0.3">
      <c r="B152" t="s">
        <v>183</v>
      </c>
      <c r="C152" t="s">
        <v>345</v>
      </c>
      <c r="D152" s="13">
        <v>444610</v>
      </c>
    </row>
    <row r="153" spans="2:4" x14ac:dyDescent="0.3">
      <c r="B153" t="s">
        <v>184</v>
      </c>
      <c r="C153" t="s">
        <v>344</v>
      </c>
      <c r="D153" s="13">
        <v>0</v>
      </c>
    </row>
    <row r="154" spans="2:4" x14ac:dyDescent="0.3">
      <c r="B154" t="s">
        <v>185</v>
      </c>
      <c r="C154" t="s">
        <v>347</v>
      </c>
      <c r="D154" s="13">
        <v>334120</v>
      </c>
    </row>
    <row r="155" spans="2:4" x14ac:dyDescent="0.3">
      <c r="B155" t="s">
        <v>186</v>
      </c>
      <c r="C155" t="s">
        <v>346</v>
      </c>
      <c r="D155" s="13">
        <v>310840</v>
      </c>
    </row>
    <row r="156" spans="2:4" x14ac:dyDescent="0.3">
      <c r="B156" t="s">
        <v>187</v>
      </c>
      <c r="C156" t="s">
        <v>345</v>
      </c>
      <c r="D156" s="13">
        <v>322490</v>
      </c>
    </row>
    <row r="157" spans="2:4" x14ac:dyDescent="0.3">
      <c r="B157" t="s">
        <v>188</v>
      </c>
      <c r="C157" t="s">
        <v>342</v>
      </c>
      <c r="D157" s="13">
        <v>519730</v>
      </c>
    </row>
    <row r="158" spans="2:4" x14ac:dyDescent="0.3">
      <c r="B158" t="s">
        <v>189</v>
      </c>
      <c r="C158" t="s">
        <v>342</v>
      </c>
      <c r="D158" s="13">
        <v>368750</v>
      </c>
    </row>
    <row r="159" spans="2:4" x14ac:dyDescent="0.3">
      <c r="B159" t="s">
        <v>190</v>
      </c>
      <c r="C159" t="s">
        <v>342</v>
      </c>
      <c r="D159" s="13">
        <v>272020</v>
      </c>
    </row>
    <row r="160" spans="2:4" x14ac:dyDescent="0.3">
      <c r="B160" t="s">
        <v>191</v>
      </c>
      <c r="C160" t="s">
        <v>344</v>
      </c>
      <c r="D160" s="13">
        <v>264380</v>
      </c>
    </row>
    <row r="161" spans="2:4" x14ac:dyDescent="0.3">
      <c r="B161" t="s">
        <v>192</v>
      </c>
      <c r="C161" t="s">
        <v>343</v>
      </c>
      <c r="D161" s="13">
        <v>287620</v>
      </c>
    </row>
    <row r="162" spans="2:4" x14ac:dyDescent="0.3">
      <c r="B162" t="s">
        <v>193</v>
      </c>
      <c r="C162" t="s">
        <v>347</v>
      </c>
      <c r="D162" s="13">
        <v>349440</v>
      </c>
    </row>
    <row r="163" spans="2:4" x14ac:dyDescent="0.3">
      <c r="B163" t="s">
        <v>194</v>
      </c>
      <c r="C163" t="s">
        <v>345</v>
      </c>
      <c r="D163" s="13">
        <v>176950</v>
      </c>
    </row>
    <row r="164" spans="2:4" x14ac:dyDescent="0.3">
      <c r="B164" t="s">
        <v>195</v>
      </c>
      <c r="C164" t="s">
        <v>347</v>
      </c>
      <c r="D164" s="13">
        <v>299250</v>
      </c>
    </row>
    <row r="165" spans="2:4" x14ac:dyDescent="0.3">
      <c r="B165" t="s">
        <v>196</v>
      </c>
      <c r="C165" t="s">
        <v>344</v>
      </c>
      <c r="D165" s="13">
        <v>440820</v>
      </c>
    </row>
    <row r="166" spans="2:4" x14ac:dyDescent="0.3">
      <c r="B166" t="s">
        <v>197</v>
      </c>
      <c r="C166" t="s">
        <v>347</v>
      </c>
      <c r="D166" s="13">
        <v>256680</v>
      </c>
    </row>
    <row r="167" spans="2:4" x14ac:dyDescent="0.3">
      <c r="B167" t="s">
        <v>198</v>
      </c>
      <c r="C167" t="s">
        <v>342</v>
      </c>
      <c r="D167" s="13">
        <v>306930</v>
      </c>
    </row>
    <row r="168" spans="2:4" x14ac:dyDescent="0.3">
      <c r="B168" t="s">
        <v>199</v>
      </c>
      <c r="C168" t="s">
        <v>346</v>
      </c>
      <c r="D168" s="13">
        <v>341800</v>
      </c>
    </row>
    <row r="169" spans="2:4" x14ac:dyDescent="0.3">
      <c r="B169" t="s">
        <v>200</v>
      </c>
      <c r="C169" t="s">
        <v>344</v>
      </c>
      <c r="D169" s="13">
        <v>361110</v>
      </c>
    </row>
    <row r="170" spans="2:4" x14ac:dyDescent="0.3">
      <c r="B170" t="s">
        <v>201</v>
      </c>
      <c r="C170" t="s">
        <v>347</v>
      </c>
      <c r="D170" s="13">
        <v>0</v>
      </c>
    </row>
    <row r="171" spans="2:4" x14ac:dyDescent="0.3">
      <c r="B171" t="s">
        <v>202</v>
      </c>
      <c r="C171" t="s">
        <v>342</v>
      </c>
      <c r="D171" s="13">
        <v>291510</v>
      </c>
    </row>
    <row r="172" spans="2:4" x14ac:dyDescent="0.3">
      <c r="B172" t="s">
        <v>203</v>
      </c>
      <c r="C172" t="s">
        <v>346</v>
      </c>
      <c r="D172" s="13">
        <v>444630</v>
      </c>
    </row>
    <row r="173" spans="2:4" x14ac:dyDescent="0.3">
      <c r="B173" t="s">
        <v>204</v>
      </c>
      <c r="C173" t="s">
        <v>344</v>
      </c>
      <c r="D173" s="13">
        <v>357260</v>
      </c>
    </row>
    <row r="174" spans="2:4" x14ac:dyDescent="0.3">
      <c r="B174" t="s">
        <v>205</v>
      </c>
      <c r="C174" t="s">
        <v>342</v>
      </c>
      <c r="D174" s="13">
        <v>279900</v>
      </c>
    </row>
    <row r="175" spans="2:4" x14ac:dyDescent="0.3">
      <c r="B175" t="s">
        <v>206</v>
      </c>
      <c r="C175" t="s">
        <v>347</v>
      </c>
      <c r="D175" s="13">
        <v>192090</v>
      </c>
    </row>
    <row r="176" spans="2:4" x14ac:dyDescent="0.3">
      <c r="B176" t="s">
        <v>207</v>
      </c>
      <c r="C176" t="s">
        <v>344</v>
      </c>
      <c r="D176" s="13">
        <v>330230</v>
      </c>
    </row>
    <row r="177" spans="2:4" x14ac:dyDescent="0.3">
      <c r="B177" t="s">
        <v>208</v>
      </c>
      <c r="C177" t="s">
        <v>344</v>
      </c>
      <c r="D177" s="13">
        <v>295360</v>
      </c>
    </row>
    <row r="178" spans="2:4" x14ac:dyDescent="0.3">
      <c r="B178" t="s">
        <v>209</v>
      </c>
      <c r="C178" t="s">
        <v>346</v>
      </c>
      <c r="D178" s="13">
        <v>353370</v>
      </c>
    </row>
    <row r="179" spans="2:4" x14ac:dyDescent="0.3">
      <c r="B179" t="s">
        <v>210</v>
      </c>
      <c r="C179" t="s">
        <v>347</v>
      </c>
      <c r="D179" s="13">
        <v>237630</v>
      </c>
    </row>
    <row r="180" spans="2:4" x14ac:dyDescent="0.3">
      <c r="B180" t="s">
        <v>211</v>
      </c>
      <c r="C180" t="s">
        <v>344</v>
      </c>
      <c r="D180" s="13">
        <v>410660</v>
      </c>
    </row>
    <row r="181" spans="2:4" x14ac:dyDescent="0.3">
      <c r="B181" t="s">
        <v>212</v>
      </c>
      <c r="C181" t="s">
        <v>343</v>
      </c>
      <c r="D181" s="13">
        <v>349460</v>
      </c>
    </row>
    <row r="182" spans="2:4" x14ac:dyDescent="0.3">
      <c r="B182" t="s">
        <v>213</v>
      </c>
      <c r="C182" t="s">
        <v>342</v>
      </c>
      <c r="D182" s="13">
        <v>306950</v>
      </c>
    </row>
    <row r="183" spans="2:4" x14ac:dyDescent="0.3">
      <c r="B183" t="s">
        <v>214</v>
      </c>
      <c r="C183" t="s">
        <v>346</v>
      </c>
      <c r="D183" s="13">
        <v>279920</v>
      </c>
    </row>
    <row r="184" spans="2:4" x14ac:dyDescent="0.3">
      <c r="B184" t="s">
        <v>215</v>
      </c>
      <c r="C184" t="s">
        <v>347</v>
      </c>
      <c r="D184" s="13">
        <v>0</v>
      </c>
    </row>
    <row r="185" spans="2:4" x14ac:dyDescent="0.3">
      <c r="B185" t="s">
        <v>216</v>
      </c>
      <c r="C185" t="s">
        <v>344</v>
      </c>
      <c r="D185" s="13">
        <v>295380</v>
      </c>
    </row>
    <row r="186" spans="2:4" x14ac:dyDescent="0.3">
      <c r="B186" t="s">
        <v>217</v>
      </c>
      <c r="C186" t="s">
        <v>342</v>
      </c>
      <c r="D186" s="13">
        <v>414430</v>
      </c>
    </row>
    <row r="187" spans="2:4" x14ac:dyDescent="0.3">
      <c r="B187" t="s">
        <v>218</v>
      </c>
      <c r="C187" t="s">
        <v>345</v>
      </c>
      <c r="D187" s="13">
        <v>295400</v>
      </c>
    </row>
    <row r="188" spans="2:4" x14ac:dyDescent="0.3">
      <c r="B188" t="s">
        <v>219</v>
      </c>
      <c r="C188" t="s">
        <v>343</v>
      </c>
      <c r="D188" s="13">
        <v>341820</v>
      </c>
    </row>
    <row r="189" spans="2:4" x14ac:dyDescent="0.3">
      <c r="B189" t="s">
        <v>220</v>
      </c>
      <c r="C189" t="s">
        <v>346</v>
      </c>
      <c r="D189" s="13">
        <v>353390</v>
      </c>
    </row>
    <row r="190" spans="2:4" x14ac:dyDescent="0.3">
      <c r="B190" t="s">
        <v>221</v>
      </c>
      <c r="C190" t="s">
        <v>346</v>
      </c>
      <c r="D190" s="13">
        <v>218660</v>
      </c>
    </row>
    <row r="191" spans="2:4" x14ac:dyDescent="0.3">
      <c r="B191" t="s">
        <v>222</v>
      </c>
      <c r="C191" t="s">
        <v>344</v>
      </c>
      <c r="D191" s="13">
        <v>414450</v>
      </c>
    </row>
    <row r="192" spans="2:4" x14ac:dyDescent="0.3">
      <c r="B192" t="s">
        <v>223</v>
      </c>
      <c r="C192" t="s">
        <v>343</v>
      </c>
      <c r="D192" s="13">
        <v>291530</v>
      </c>
    </row>
    <row r="193" spans="2:4" x14ac:dyDescent="0.3">
      <c r="B193" t="s">
        <v>224</v>
      </c>
      <c r="C193" t="s">
        <v>346</v>
      </c>
      <c r="D193" s="13">
        <v>322510</v>
      </c>
    </row>
    <row r="194" spans="2:4" x14ac:dyDescent="0.3">
      <c r="B194" t="s">
        <v>225</v>
      </c>
      <c r="C194" t="s">
        <v>344</v>
      </c>
      <c r="D194" s="13">
        <v>330250</v>
      </c>
    </row>
    <row r="195" spans="2:4" x14ac:dyDescent="0.3">
      <c r="B195" t="s">
        <v>226</v>
      </c>
      <c r="C195" t="s">
        <v>347</v>
      </c>
      <c r="D195" s="13">
        <v>299270</v>
      </c>
    </row>
    <row r="196" spans="2:4" x14ac:dyDescent="0.3">
      <c r="B196" t="s">
        <v>227</v>
      </c>
      <c r="C196" t="s">
        <v>344</v>
      </c>
      <c r="D196" s="13">
        <v>256700</v>
      </c>
    </row>
    <row r="197" spans="2:4" x14ac:dyDescent="0.3">
      <c r="B197" t="s">
        <v>228</v>
      </c>
      <c r="C197" t="s">
        <v>344</v>
      </c>
      <c r="D197" s="13">
        <v>245250</v>
      </c>
    </row>
    <row r="198" spans="2:4" x14ac:dyDescent="0.3">
      <c r="B198" t="s">
        <v>229</v>
      </c>
      <c r="C198" t="s">
        <v>346</v>
      </c>
      <c r="D198" s="13">
        <v>337950</v>
      </c>
    </row>
    <row r="199" spans="2:4" x14ac:dyDescent="0.3">
      <c r="B199" t="s">
        <v>230</v>
      </c>
      <c r="C199" t="s">
        <v>343</v>
      </c>
      <c r="D199" s="13">
        <v>0</v>
      </c>
    </row>
    <row r="200" spans="2:4" x14ac:dyDescent="0.3">
      <c r="B200" t="s">
        <v>231</v>
      </c>
      <c r="C200" t="s">
        <v>346</v>
      </c>
      <c r="D200" s="13">
        <v>349480</v>
      </c>
    </row>
    <row r="201" spans="2:4" x14ac:dyDescent="0.3">
      <c r="B201" t="s">
        <v>232</v>
      </c>
      <c r="C201" t="s">
        <v>346</v>
      </c>
      <c r="D201" s="13">
        <v>341840</v>
      </c>
    </row>
    <row r="202" spans="2:4" x14ac:dyDescent="0.3">
      <c r="B202" t="s">
        <v>233</v>
      </c>
      <c r="C202" t="s">
        <v>347</v>
      </c>
      <c r="D202" s="13">
        <v>272040</v>
      </c>
    </row>
    <row r="203" spans="2:4" x14ac:dyDescent="0.3">
      <c r="B203" t="s">
        <v>234</v>
      </c>
      <c r="C203" t="s">
        <v>342</v>
      </c>
      <c r="D203" s="13">
        <v>173160</v>
      </c>
    </row>
    <row r="204" spans="2:4" x14ac:dyDescent="0.3">
      <c r="B204" t="s">
        <v>235</v>
      </c>
      <c r="C204" t="s">
        <v>346</v>
      </c>
      <c r="D204" s="13">
        <v>334140</v>
      </c>
    </row>
    <row r="205" spans="2:4" x14ac:dyDescent="0.3">
      <c r="B205" t="s">
        <v>236</v>
      </c>
      <c r="C205" t="s">
        <v>344</v>
      </c>
      <c r="D205" s="13">
        <v>260530</v>
      </c>
    </row>
    <row r="206" spans="2:4" x14ac:dyDescent="0.3">
      <c r="B206" t="s">
        <v>237</v>
      </c>
      <c r="C206" t="s">
        <v>342</v>
      </c>
      <c r="D206" s="13">
        <v>345650</v>
      </c>
    </row>
    <row r="207" spans="2:4" x14ac:dyDescent="0.3">
      <c r="B207" t="s">
        <v>238</v>
      </c>
      <c r="C207" t="s">
        <v>344</v>
      </c>
      <c r="D207" s="13">
        <v>387880</v>
      </c>
    </row>
    <row r="208" spans="2:4" x14ac:dyDescent="0.3">
      <c r="B208" t="s">
        <v>239</v>
      </c>
      <c r="C208" t="s">
        <v>345</v>
      </c>
      <c r="D208" s="13">
        <v>330270</v>
      </c>
    </row>
    <row r="209" spans="2:4" x14ac:dyDescent="0.3">
      <c r="B209" t="s">
        <v>240</v>
      </c>
      <c r="C209" t="s">
        <v>344</v>
      </c>
      <c r="D209" s="13">
        <v>279940</v>
      </c>
    </row>
    <row r="210" spans="2:4" x14ac:dyDescent="0.3">
      <c r="B210" t="s">
        <v>241</v>
      </c>
      <c r="C210" t="s">
        <v>346</v>
      </c>
      <c r="D210" s="13">
        <v>275950</v>
      </c>
    </row>
    <row r="211" spans="2:4" x14ac:dyDescent="0.3">
      <c r="B211" t="s">
        <v>242</v>
      </c>
      <c r="C211" t="s">
        <v>346</v>
      </c>
      <c r="D211" s="13">
        <v>303120</v>
      </c>
    </row>
    <row r="212" spans="2:4" x14ac:dyDescent="0.3">
      <c r="B212" t="s">
        <v>243</v>
      </c>
      <c r="C212" t="s">
        <v>344</v>
      </c>
      <c r="D212" s="13">
        <v>275970</v>
      </c>
    </row>
    <row r="213" spans="2:4" x14ac:dyDescent="0.3">
      <c r="B213" t="s">
        <v>244</v>
      </c>
      <c r="C213" t="s">
        <v>346</v>
      </c>
      <c r="D213" s="13">
        <v>534750</v>
      </c>
    </row>
    <row r="214" spans="2:4" x14ac:dyDescent="0.3">
      <c r="B214" t="s">
        <v>245</v>
      </c>
      <c r="C214" t="s">
        <v>343</v>
      </c>
      <c r="D214" s="13">
        <v>245270</v>
      </c>
    </row>
    <row r="215" spans="2:4" x14ac:dyDescent="0.3">
      <c r="B215" t="s">
        <v>246</v>
      </c>
      <c r="C215" t="s">
        <v>347</v>
      </c>
      <c r="D215" s="13">
        <v>425740</v>
      </c>
    </row>
    <row r="216" spans="2:4" x14ac:dyDescent="0.3">
      <c r="B216" t="s">
        <v>247</v>
      </c>
      <c r="C216" t="s">
        <v>347</v>
      </c>
      <c r="D216" s="13">
        <v>131730</v>
      </c>
    </row>
    <row r="217" spans="2:4" x14ac:dyDescent="0.3">
      <c r="B217" t="s">
        <v>248</v>
      </c>
      <c r="C217" t="s">
        <v>346</v>
      </c>
      <c r="D217" s="13">
        <v>330290</v>
      </c>
    </row>
    <row r="218" spans="2:4" x14ac:dyDescent="0.3">
      <c r="B218" t="s">
        <v>249</v>
      </c>
      <c r="C218" t="s">
        <v>344</v>
      </c>
      <c r="D218" s="13">
        <v>199710</v>
      </c>
    </row>
    <row r="219" spans="2:4" x14ac:dyDescent="0.3">
      <c r="B219" t="s">
        <v>250</v>
      </c>
      <c r="C219" t="s">
        <v>347</v>
      </c>
      <c r="D219" s="13">
        <v>0</v>
      </c>
    </row>
    <row r="220" spans="2:4" x14ac:dyDescent="0.3">
      <c r="B220" t="s">
        <v>251</v>
      </c>
      <c r="C220" t="s">
        <v>342</v>
      </c>
      <c r="D220" s="13">
        <v>303140</v>
      </c>
    </row>
    <row r="221" spans="2:4" x14ac:dyDescent="0.3">
      <c r="B221" t="s">
        <v>252</v>
      </c>
      <c r="C221" t="s">
        <v>347</v>
      </c>
      <c r="D221" s="13">
        <v>372560</v>
      </c>
    </row>
    <row r="222" spans="2:4" x14ac:dyDescent="0.3">
      <c r="B222" t="s">
        <v>253</v>
      </c>
      <c r="C222" t="s">
        <v>345</v>
      </c>
      <c r="D222" s="13">
        <v>158000</v>
      </c>
    </row>
    <row r="223" spans="2:4" x14ac:dyDescent="0.3">
      <c r="B223" t="s">
        <v>254</v>
      </c>
      <c r="C223" t="s">
        <v>344</v>
      </c>
      <c r="D223" s="13">
        <v>195860</v>
      </c>
    </row>
    <row r="224" spans="2:4" x14ac:dyDescent="0.3">
      <c r="B224" t="s">
        <v>255</v>
      </c>
      <c r="C224" t="s">
        <v>342</v>
      </c>
      <c r="D224" s="13">
        <v>275990</v>
      </c>
    </row>
    <row r="225" spans="2:4" x14ac:dyDescent="0.3">
      <c r="B225" t="s">
        <v>256</v>
      </c>
      <c r="C225" t="s">
        <v>347</v>
      </c>
      <c r="D225" s="13">
        <v>368770</v>
      </c>
    </row>
    <row r="226" spans="2:4" x14ac:dyDescent="0.3">
      <c r="B226" t="s">
        <v>257</v>
      </c>
      <c r="C226" t="s">
        <v>345</v>
      </c>
      <c r="D226" s="13">
        <v>272060</v>
      </c>
    </row>
    <row r="227" spans="2:4" x14ac:dyDescent="0.3">
      <c r="B227" t="s">
        <v>258</v>
      </c>
      <c r="C227" t="s">
        <v>344</v>
      </c>
      <c r="D227" s="13">
        <v>279960</v>
      </c>
    </row>
    <row r="228" spans="2:4" x14ac:dyDescent="0.3">
      <c r="B228" t="s">
        <v>259</v>
      </c>
      <c r="C228" t="s">
        <v>342</v>
      </c>
      <c r="D228" s="13">
        <v>256720</v>
      </c>
    </row>
    <row r="229" spans="2:4" x14ac:dyDescent="0.3">
      <c r="B229" t="s">
        <v>260</v>
      </c>
      <c r="C229" t="s">
        <v>345</v>
      </c>
      <c r="D229" s="13">
        <v>287640</v>
      </c>
    </row>
    <row r="230" spans="2:4" x14ac:dyDescent="0.3">
      <c r="B230" t="s">
        <v>261</v>
      </c>
      <c r="C230" t="s">
        <v>347</v>
      </c>
      <c r="D230" s="13">
        <v>318600</v>
      </c>
    </row>
    <row r="231" spans="2:4" x14ac:dyDescent="0.3">
      <c r="B231" t="s">
        <v>262</v>
      </c>
      <c r="C231" t="s">
        <v>347</v>
      </c>
      <c r="D231" s="13">
        <v>222450</v>
      </c>
    </row>
    <row r="232" spans="2:4" x14ac:dyDescent="0.3">
      <c r="B232" t="s">
        <v>263</v>
      </c>
      <c r="C232" t="s">
        <v>347</v>
      </c>
      <c r="D232" s="13">
        <v>314750</v>
      </c>
    </row>
    <row r="233" spans="2:4" x14ac:dyDescent="0.3">
      <c r="B233" t="s">
        <v>264</v>
      </c>
      <c r="C233" t="s">
        <v>347</v>
      </c>
      <c r="D233" s="13">
        <v>120460</v>
      </c>
    </row>
    <row r="234" spans="2:4" x14ac:dyDescent="0.3">
      <c r="B234" t="s">
        <v>265</v>
      </c>
      <c r="C234" t="s">
        <v>343</v>
      </c>
      <c r="D234" s="13">
        <v>295420</v>
      </c>
    </row>
    <row r="235" spans="2:4" x14ac:dyDescent="0.3">
      <c r="B235" t="s">
        <v>266</v>
      </c>
      <c r="C235" t="s">
        <v>346</v>
      </c>
      <c r="D235" s="13">
        <v>116690</v>
      </c>
    </row>
    <row r="236" spans="2:4" x14ac:dyDescent="0.3">
      <c r="B236" t="s">
        <v>267</v>
      </c>
      <c r="C236" t="s">
        <v>342</v>
      </c>
      <c r="D236" s="13">
        <v>268170</v>
      </c>
    </row>
    <row r="237" spans="2:4" x14ac:dyDescent="0.3">
      <c r="B237" t="s">
        <v>268</v>
      </c>
      <c r="C237" t="s">
        <v>343</v>
      </c>
      <c r="D237" s="13">
        <v>299290</v>
      </c>
    </row>
    <row r="238" spans="2:4" x14ac:dyDescent="0.3">
      <c r="B238" t="s">
        <v>269</v>
      </c>
      <c r="C238" t="s">
        <v>346</v>
      </c>
      <c r="D238" s="13">
        <v>384030</v>
      </c>
    </row>
    <row r="239" spans="2:4" x14ac:dyDescent="0.3">
      <c r="B239" t="s">
        <v>270</v>
      </c>
      <c r="C239" t="s">
        <v>342</v>
      </c>
      <c r="D239" s="13">
        <v>252850</v>
      </c>
    </row>
    <row r="240" spans="2:4" x14ac:dyDescent="0.3">
      <c r="B240" t="s">
        <v>271</v>
      </c>
      <c r="C240" t="s">
        <v>345</v>
      </c>
      <c r="D240" s="13">
        <v>403040</v>
      </c>
    </row>
    <row r="241" spans="2:4" x14ac:dyDescent="0.3">
      <c r="B241" t="s">
        <v>272</v>
      </c>
      <c r="C241" t="s">
        <v>344</v>
      </c>
      <c r="D241" s="13">
        <v>330310</v>
      </c>
    </row>
    <row r="242" spans="2:4" x14ac:dyDescent="0.3">
      <c r="B242" t="s">
        <v>273</v>
      </c>
      <c r="C242" t="s">
        <v>346</v>
      </c>
      <c r="D242" s="13">
        <v>403060</v>
      </c>
    </row>
    <row r="243" spans="2:4" x14ac:dyDescent="0.3">
      <c r="B243" t="s">
        <v>274</v>
      </c>
      <c r="C243" t="s">
        <v>343</v>
      </c>
      <c r="D243" s="13">
        <v>211060</v>
      </c>
    </row>
    <row r="244" spans="2:4" x14ac:dyDescent="0.3">
      <c r="B244" t="s">
        <v>275</v>
      </c>
      <c r="C244" t="s">
        <v>342</v>
      </c>
      <c r="D244" s="13">
        <v>252870</v>
      </c>
    </row>
    <row r="245" spans="2:4" x14ac:dyDescent="0.3">
      <c r="B245" t="s">
        <v>276</v>
      </c>
      <c r="C245" t="s">
        <v>343</v>
      </c>
      <c r="D245" s="13">
        <v>0</v>
      </c>
    </row>
    <row r="246" spans="2:4" x14ac:dyDescent="0.3">
      <c r="B246" t="s">
        <v>277</v>
      </c>
      <c r="C246" t="s">
        <v>342</v>
      </c>
      <c r="D246" s="13">
        <v>353410</v>
      </c>
    </row>
    <row r="247" spans="2:4" x14ac:dyDescent="0.3">
      <c r="B247" t="s">
        <v>278</v>
      </c>
      <c r="C247" t="s">
        <v>346</v>
      </c>
      <c r="D247" s="13">
        <v>437050</v>
      </c>
    </row>
    <row r="248" spans="2:4" x14ac:dyDescent="0.3">
      <c r="B248" t="s">
        <v>279</v>
      </c>
      <c r="C248" t="s">
        <v>347</v>
      </c>
      <c r="D248" s="13">
        <v>195880</v>
      </c>
    </row>
    <row r="249" spans="2:4" x14ac:dyDescent="0.3">
      <c r="B249" t="s">
        <v>280</v>
      </c>
      <c r="C249" t="s">
        <v>346</v>
      </c>
      <c r="D249" s="13">
        <v>299310</v>
      </c>
    </row>
    <row r="250" spans="2:4" x14ac:dyDescent="0.3">
      <c r="B250" t="s">
        <v>281</v>
      </c>
      <c r="C250" t="s">
        <v>343</v>
      </c>
      <c r="D250" s="13">
        <v>260550</v>
      </c>
    </row>
    <row r="251" spans="2:4" x14ac:dyDescent="0.3">
      <c r="B251" t="s">
        <v>282</v>
      </c>
      <c r="C251" t="s">
        <v>346</v>
      </c>
      <c r="D251" s="13">
        <v>222470</v>
      </c>
    </row>
    <row r="252" spans="2:4" x14ac:dyDescent="0.3">
      <c r="B252" t="s">
        <v>283</v>
      </c>
      <c r="C252" t="s">
        <v>343</v>
      </c>
      <c r="D252" s="13">
        <v>268190</v>
      </c>
    </row>
    <row r="253" spans="2:4" x14ac:dyDescent="0.3">
      <c r="B253" t="s">
        <v>284</v>
      </c>
      <c r="C253" t="s">
        <v>344</v>
      </c>
      <c r="D253" s="13">
        <v>310860</v>
      </c>
    </row>
    <row r="254" spans="2:4" x14ac:dyDescent="0.3">
      <c r="B254" t="s">
        <v>285</v>
      </c>
      <c r="C254" t="s">
        <v>345</v>
      </c>
      <c r="D254" s="13">
        <v>467170</v>
      </c>
    </row>
    <row r="255" spans="2:4" x14ac:dyDescent="0.3">
      <c r="B255" t="s">
        <v>286</v>
      </c>
      <c r="C255" t="s">
        <v>345</v>
      </c>
      <c r="D255" s="13">
        <v>276010</v>
      </c>
    </row>
    <row r="256" spans="2:4" x14ac:dyDescent="0.3">
      <c r="B256" t="s">
        <v>287</v>
      </c>
      <c r="C256" t="s">
        <v>344</v>
      </c>
      <c r="D256" s="13">
        <v>395460</v>
      </c>
    </row>
    <row r="257" spans="2:4" x14ac:dyDescent="0.3">
      <c r="B257" t="s">
        <v>288</v>
      </c>
      <c r="C257" t="s">
        <v>343</v>
      </c>
      <c r="D257" s="13">
        <v>272080</v>
      </c>
    </row>
    <row r="258" spans="2:4" x14ac:dyDescent="0.3">
      <c r="B258" t="s">
        <v>289</v>
      </c>
      <c r="C258" t="s">
        <v>343</v>
      </c>
      <c r="D258" s="13">
        <v>326340</v>
      </c>
    </row>
    <row r="259" spans="2:4" x14ac:dyDescent="0.3">
      <c r="B259" t="s">
        <v>290</v>
      </c>
      <c r="C259" t="s">
        <v>344</v>
      </c>
      <c r="D259" s="13">
        <v>384050</v>
      </c>
    </row>
    <row r="260" spans="2:4" x14ac:dyDescent="0.3">
      <c r="B260" t="s">
        <v>291</v>
      </c>
      <c r="C260" t="s">
        <v>345</v>
      </c>
      <c r="D260" s="13">
        <v>337970</v>
      </c>
    </row>
    <row r="261" spans="2:4" x14ac:dyDescent="0.3">
      <c r="B261" t="s">
        <v>292</v>
      </c>
      <c r="C261" t="s">
        <v>342</v>
      </c>
      <c r="D261" s="13">
        <v>376430</v>
      </c>
    </row>
    <row r="262" spans="2:4" x14ac:dyDescent="0.3">
      <c r="B262" t="s">
        <v>293</v>
      </c>
      <c r="C262" t="s">
        <v>342</v>
      </c>
      <c r="D262" s="13">
        <v>268210</v>
      </c>
    </row>
    <row r="263" spans="2:4" x14ac:dyDescent="0.3">
      <c r="B263" t="s">
        <v>294</v>
      </c>
      <c r="C263" t="s">
        <v>342</v>
      </c>
      <c r="D263" s="13">
        <v>180740</v>
      </c>
    </row>
    <row r="264" spans="2:4" x14ac:dyDescent="0.3">
      <c r="B264" t="s">
        <v>295</v>
      </c>
      <c r="C264" t="s">
        <v>347</v>
      </c>
      <c r="D264" s="13">
        <v>256740</v>
      </c>
    </row>
    <row r="265" spans="2:4" x14ac:dyDescent="0.3">
      <c r="B265" t="s">
        <v>296</v>
      </c>
      <c r="C265" t="s">
        <v>344</v>
      </c>
      <c r="D265" s="13">
        <v>161830</v>
      </c>
    </row>
    <row r="266" spans="2:4" x14ac:dyDescent="0.3">
      <c r="B266" t="s">
        <v>297</v>
      </c>
      <c r="C266" t="s">
        <v>344</v>
      </c>
      <c r="D266" s="13">
        <v>218680</v>
      </c>
    </row>
    <row r="267" spans="2:4" x14ac:dyDescent="0.3">
      <c r="B267" t="s">
        <v>298</v>
      </c>
      <c r="C267" t="s">
        <v>347</v>
      </c>
      <c r="D267" s="13">
        <v>173180</v>
      </c>
    </row>
    <row r="268" spans="2:4" x14ac:dyDescent="0.3">
      <c r="B268" t="s">
        <v>299</v>
      </c>
      <c r="C268" t="s">
        <v>344</v>
      </c>
      <c r="D268" s="13">
        <v>310880</v>
      </c>
    </row>
    <row r="269" spans="2:4" x14ac:dyDescent="0.3">
      <c r="B269" t="s">
        <v>300</v>
      </c>
      <c r="C269" t="s">
        <v>346</v>
      </c>
      <c r="D269" s="13">
        <v>233820</v>
      </c>
    </row>
    <row r="270" spans="2:4" x14ac:dyDescent="0.3">
      <c r="B270" t="s">
        <v>301</v>
      </c>
      <c r="C270" t="s">
        <v>343</v>
      </c>
      <c r="D270" s="13">
        <v>291550</v>
      </c>
    </row>
    <row r="271" spans="2:4" x14ac:dyDescent="0.3">
      <c r="B271" t="s">
        <v>302</v>
      </c>
      <c r="C271" t="s">
        <v>343</v>
      </c>
      <c r="D271" s="13">
        <v>318620</v>
      </c>
    </row>
    <row r="272" spans="2:4" x14ac:dyDescent="0.3">
      <c r="B272" t="s">
        <v>303</v>
      </c>
      <c r="C272" t="s">
        <v>344</v>
      </c>
      <c r="D272" s="13">
        <v>414470</v>
      </c>
    </row>
    <row r="273" spans="2:4" x14ac:dyDescent="0.3">
      <c r="B273" t="s">
        <v>304</v>
      </c>
      <c r="C273" t="s">
        <v>347</v>
      </c>
      <c r="D273" s="13">
        <v>357280</v>
      </c>
    </row>
    <row r="274" spans="2:4" x14ac:dyDescent="0.3">
      <c r="B274" t="s">
        <v>305</v>
      </c>
      <c r="C274" t="s">
        <v>346</v>
      </c>
      <c r="D274" s="13">
        <v>403080</v>
      </c>
    </row>
    <row r="275" spans="2:4" x14ac:dyDescent="0.3">
      <c r="B275" t="s">
        <v>306</v>
      </c>
      <c r="C275" t="s">
        <v>343</v>
      </c>
      <c r="D275" s="13">
        <v>276030</v>
      </c>
    </row>
    <row r="276" spans="2:4" x14ac:dyDescent="0.3">
      <c r="B276" t="s">
        <v>307</v>
      </c>
      <c r="C276" t="s">
        <v>345</v>
      </c>
      <c r="D276" s="13">
        <v>0</v>
      </c>
    </row>
    <row r="277" spans="2:4" x14ac:dyDescent="0.3">
      <c r="B277" t="s">
        <v>308</v>
      </c>
      <c r="C277" t="s">
        <v>344</v>
      </c>
      <c r="D277" s="13">
        <v>357300</v>
      </c>
    </row>
    <row r="278" spans="2:4" x14ac:dyDescent="0.3">
      <c r="B278" t="s">
        <v>309</v>
      </c>
      <c r="C278" t="s">
        <v>342</v>
      </c>
      <c r="D278" s="13">
        <v>245290</v>
      </c>
    </row>
    <row r="279" spans="2:4" x14ac:dyDescent="0.3">
      <c r="B279" t="s">
        <v>310</v>
      </c>
      <c r="C279" t="s">
        <v>345</v>
      </c>
      <c r="D279" s="13">
        <v>211080</v>
      </c>
    </row>
    <row r="280" spans="2:4" x14ac:dyDescent="0.3">
      <c r="B280" t="s">
        <v>311</v>
      </c>
      <c r="C280" t="s">
        <v>346</v>
      </c>
      <c r="D280" s="13">
        <v>334160</v>
      </c>
    </row>
    <row r="281" spans="2:4" x14ac:dyDescent="0.3">
      <c r="B281" t="s">
        <v>312</v>
      </c>
      <c r="C281" t="s">
        <v>345</v>
      </c>
      <c r="D281" s="13">
        <v>0</v>
      </c>
    </row>
    <row r="282" spans="2:4" x14ac:dyDescent="0.3">
      <c r="B282" t="s">
        <v>313</v>
      </c>
      <c r="C282" t="s">
        <v>344</v>
      </c>
      <c r="D282" s="13">
        <v>287660</v>
      </c>
    </row>
    <row r="283" spans="2:4" x14ac:dyDescent="0.3">
      <c r="B283" t="s">
        <v>314</v>
      </c>
      <c r="C283" t="s">
        <v>346</v>
      </c>
      <c r="D283" s="13">
        <v>0</v>
      </c>
    </row>
    <row r="284" spans="2:4" x14ac:dyDescent="0.3">
      <c r="B284" t="s">
        <v>315</v>
      </c>
      <c r="C284" t="s">
        <v>345</v>
      </c>
      <c r="D284" s="13">
        <v>272100</v>
      </c>
    </row>
    <row r="285" spans="2:4" x14ac:dyDescent="0.3">
      <c r="B285" t="s">
        <v>316</v>
      </c>
      <c r="C285" t="s">
        <v>345</v>
      </c>
      <c r="D285" s="13">
        <v>429530</v>
      </c>
    </row>
    <row r="286" spans="2:4" x14ac:dyDescent="0.3">
      <c r="B286" t="s">
        <v>317</v>
      </c>
      <c r="C286" t="s">
        <v>344</v>
      </c>
      <c r="D286" s="13">
        <v>268230</v>
      </c>
    </row>
    <row r="287" spans="2:4" x14ac:dyDescent="0.3">
      <c r="B287" t="s">
        <v>318</v>
      </c>
      <c r="C287" t="s">
        <v>346</v>
      </c>
      <c r="D287" s="13">
        <v>372580</v>
      </c>
    </row>
    <row r="288" spans="2:4" x14ac:dyDescent="0.3">
      <c r="B288" t="s">
        <v>319</v>
      </c>
      <c r="C288" t="s">
        <v>346</v>
      </c>
      <c r="D288" s="13">
        <v>272120</v>
      </c>
    </row>
    <row r="289" spans="2:4" x14ac:dyDescent="0.3">
      <c r="B289" t="s">
        <v>320</v>
      </c>
      <c r="C289" t="s">
        <v>342</v>
      </c>
      <c r="D289" s="13">
        <v>256760</v>
      </c>
    </row>
    <row r="290" spans="2:4" x14ac:dyDescent="0.3">
      <c r="B290" t="s">
        <v>321</v>
      </c>
      <c r="C290" t="s">
        <v>343</v>
      </c>
      <c r="D290" s="13">
        <v>306970</v>
      </c>
    </row>
    <row r="291" spans="2:4" x14ac:dyDescent="0.3">
      <c r="B291" t="s">
        <v>322</v>
      </c>
      <c r="C291" t="s">
        <v>342</v>
      </c>
      <c r="D291" s="13">
        <v>279980</v>
      </c>
    </row>
    <row r="292" spans="2:4" x14ac:dyDescent="0.3">
      <c r="B292" t="s">
        <v>323</v>
      </c>
      <c r="C292" t="s">
        <v>343</v>
      </c>
      <c r="D292" s="13">
        <v>276050</v>
      </c>
    </row>
    <row r="293" spans="2:4" x14ac:dyDescent="0.3">
      <c r="B293" t="s">
        <v>324</v>
      </c>
      <c r="C293" t="s">
        <v>342</v>
      </c>
      <c r="D293" s="13">
        <v>406870</v>
      </c>
    </row>
    <row r="294" spans="2:4" x14ac:dyDescent="0.3">
      <c r="B294" t="s">
        <v>325</v>
      </c>
      <c r="C294" t="s">
        <v>345</v>
      </c>
      <c r="D294" s="13">
        <v>0</v>
      </c>
    </row>
    <row r="295" spans="2:4" x14ac:dyDescent="0.3">
      <c r="B295" t="s">
        <v>326</v>
      </c>
      <c r="C295" t="s">
        <v>345</v>
      </c>
      <c r="D295" s="13">
        <v>0</v>
      </c>
    </row>
    <row r="296" spans="2:4" x14ac:dyDescent="0.3">
      <c r="B296" t="s">
        <v>327</v>
      </c>
      <c r="C296" t="s">
        <v>344</v>
      </c>
      <c r="D296" s="13">
        <v>314770</v>
      </c>
    </row>
    <row r="297" spans="2:4" x14ac:dyDescent="0.3">
      <c r="B297" t="s">
        <v>328</v>
      </c>
      <c r="C297" t="s">
        <v>344</v>
      </c>
      <c r="D297" s="13">
        <v>184510</v>
      </c>
    </row>
    <row r="298" spans="2:4" x14ac:dyDescent="0.3">
      <c r="B298" t="s">
        <v>329</v>
      </c>
      <c r="C298" t="s">
        <v>343</v>
      </c>
      <c r="D298" s="13">
        <v>245310</v>
      </c>
    </row>
    <row r="299" spans="2:4" x14ac:dyDescent="0.3">
      <c r="B299" t="s">
        <v>330</v>
      </c>
      <c r="C299" t="s">
        <v>344</v>
      </c>
      <c r="D299" s="13">
        <v>330330</v>
      </c>
    </row>
    <row r="300" spans="2:4" x14ac:dyDescent="0.3">
      <c r="B300" t="s">
        <v>331</v>
      </c>
      <c r="C300" t="s">
        <v>344</v>
      </c>
      <c r="D300" s="13">
        <v>226260</v>
      </c>
    </row>
    <row r="301" spans="2:4" x14ac:dyDescent="0.3">
      <c r="B301" t="s">
        <v>332</v>
      </c>
      <c r="C301" t="s">
        <v>344</v>
      </c>
      <c r="D301" s="13">
        <v>264400</v>
      </c>
    </row>
    <row r="302" spans="2:4" x14ac:dyDescent="0.3">
      <c r="B302" t="s">
        <v>333</v>
      </c>
      <c r="C302" t="s">
        <v>345</v>
      </c>
      <c r="D302" s="13">
        <v>314790</v>
      </c>
    </row>
    <row r="303" spans="2:4" x14ac:dyDescent="0.3">
      <c r="B303" t="s">
        <v>334</v>
      </c>
      <c r="C303" t="s">
        <v>346</v>
      </c>
      <c r="D303" s="13">
        <v>272140</v>
      </c>
    </row>
    <row r="304" spans="2:4" x14ac:dyDescent="0.3">
      <c r="B304" t="s">
        <v>335</v>
      </c>
      <c r="C304" t="s">
        <v>345</v>
      </c>
      <c r="D304" s="13">
        <v>440840</v>
      </c>
    </row>
    <row r="305" spans="2:4" x14ac:dyDescent="0.3">
      <c r="B305" t="s">
        <v>336</v>
      </c>
      <c r="C305" t="s">
        <v>345</v>
      </c>
      <c r="D305" s="13">
        <v>287680</v>
      </c>
    </row>
    <row r="306" spans="2:4" x14ac:dyDescent="0.3">
      <c r="B306" t="s">
        <v>337</v>
      </c>
      <c r="C306" t="s">
        <v>344</v>
      </c>
      <c r="D306" s="13">
        <v>384070</v>
      </c>
    </row>
    <row r="307" spans="2:4" x14ac:dyDescent="0.3">
      <c r="B307" t="s">
        <v>338</v>
      </c>
      <c r="C307" t="s">
        <v>342</v>
      </c>
      <c r="D307" s="13">
        <v>353430</v>
      </c>
    </row>
    <row r="308" spans="2:4" x14ac:dyDescent="0.3">
      <c r="B308" t="s">
        <v>339</v>
      </c>
      <c r="C308" t="s">
        <v>342</v>
      </c>
      <c r="D308" s="13">
        <v>372600</v>
      </c>
    </row>
    <row r="309" spans="2:4" x14ac:dyDescent="0.3">
      <c r="B309" t="s">
        <v>340</v>
      </c>
      <c r="C309" t="s">
        <v>344</v>
      </c>
      <c r="D309" s="13">
        <v>233840</v>
      </c>
    </row>
  </sheetData>
  <mergeCells count="1">
    <mergeCell ref="B5:C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C825-4CB1-481A-BE7A-3F823D455B80}">
  <dimension ref="A1:J12"/>
  <sheetViews>
    <sheetView workbookViewId="0">
      <selection activeCell="J5" sqref="J5"/>
    </sheetView>
  </sheetViews>
  <sheetFormatPr defaultRowHeight="14.4" x14ac:dyDescent="0.3"/>
  <sheetData>
    <row r="1" spans="1:10" x14ac:dyDescent="0.3">
      <c r="A1" s="5" t="s">
        <v>24</v>
      </c>
    </row>
    <row r="2" spans="1:10" x14ac:dyDescent="0.3">
      <c r="A2" s="5" t="s">
        <v>22</v>
      </c>
      <c r="B2" s="5" t="s">
        <v>23</v>
      </c>
    </row>
    <row r="3" spans="1:10" x14ac:dyDescent="0.3">
      <c r="A3">
        <v>100</v>
      </c>
      <c r="B3">
        <v>101</v>
      </c>
      <c r="E3" t="s">
        <v>25</v>
      </c>
      <c r="H3" cm="1">
        <f t="array" ref="H3">SUM(IF(COUNTIF(B3:B12,A3:A12)&gt;0,1,0))</f>
        <v>5</v>
      </c>
      <c r="J3" cm="1">
        <f t="array" ref="J3">SUM(IF(A3:A12=_xlfn.TOROW(B3:B12),1,0))</f>
        <v>5</v>
      </c>
    </row>
    <row r="4" spans="1:10" x14ac:dyDescent="0.3">
      <c r="A4">
        <v>200</v>
      </c>
      <c r="B4">
        <v>200</v>
      </c>
      <c r="E4" cm="1">
        <f t="array" ref="E4">SUMPRODUCT(COUNTIF($B$3:$B$12,$A$3:$A$12))</f>
        <v>5</v>
      </c>
      <c r="G4" cm="1">
        <f t="array" ref="G4">SUM(IF(--(COUNTIF(B3:B12,A3:A12))&gt;=1,1,0))</f>
        <v>5</v>
      </c>
      <c r="J4" cm="1">
        <f t="array" ref="J4">SUM(COUNTIF($B$3:$B$12,A3:A12))</f>
        <v>5</v>
      </c>
    </row>
    <row r="5" spans="1:10" x14ac:dyDescent="0.3">
      <c r="A5">
        <v>300</v>
      </c>
      <c r="B5">
        <v>300</v>
      </c>
    </row>
    <row r="6" spans="1:10" x14ac:dyDescent="0.3">
      <c r="A6">
        <v>400</v>
      </c>
      <c r="B6">
        <v>102</v>
      </c>
      <c r="E6" t="s">
        <v>26</v>
      </c>
    </row>
    <row r="7" spans="1:10" x14ac:dyDescent="0.3">
      <c r="A7">
        <v>500</v>
      </c>
      <c r="B7">
        <v>400</v>
      </c>
      <c r="E7">
        <f t="array" ref="E7">SUM(COUNTIF($A$3:$A$12,$B$3:$B$12))</f>
        <v>5</v>
      </c>
    </row>
    <row r="8" spans="1:10" x14ac:dyDescent="0.3">
      <c r="A8">
        <v>600</v>
      </c>
      <c r="B8">
        <v>103</v>
      </c>
    </row>
    <row r="9" spans="1:10" x14ac:dyDescent="0.3">
      <c r="A9">
        <v>700</v>
      </c>
      <c r="B9">
        <v>104</v>
      </c>
    </row>
    <row r="10" spans="1:10" x14ac:dyDescent="0.3">
      <c r="A10">
        <v>800</v>
      </c>
      <c r="B10">
        <v>500</v>
      </c>
    </row>
    <row r="11" spans="1:10" x14ac:dyDescent="0.3">
      <c r="A11">
        <v>900</v>
      </c>
      <c r="B11">
        <v>900</v>
      </c>
    </row>
    <row r="12" spans="1:10" x14ac:dyDescent="0.3">
      <c r="A12">
        <v>1000</v>
      </c>
      <c r="B12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D8B2-0B97-4898-9F48-E1B4F2102A80}">
  <dimension ref="A1:E14"/>
  <sheetViews>
    <sheetView tabSelected="1" workbookViewId="0">
      <selection activeCell="D5" sqref="D5"/>
    </sheetView>
  </sheetViews>
  <sheetFormatPr defaultRowHeight="14.4" x14ac:dyDescent="0.3"/>
  <sheetData>
    <row r="1" spans="1:5" x14ac:dyDescent="0.3">
      <c r="A1" s="5" t="s">
        <v>361</v>
      </c>
    </row>
    <row r="3" spans="1:5" x14ac:dyDescent="0.3">
      <c r="A3" t="s">
        <v>362</v>
      </c>
      <c r="B3" t="s">
        <v>363</v>
      </c>
      <c r="C3" s="5" t="s">
        <v>348</v>
      </c>
      <c r="D3" s="5" t="s">
        <v>349</v>
      </c>
    </row>
    <row r="4" spans="1:5" x14ac:dyDescent="0.3">
      <c r="A4">
        <v>1</v>
      </c>
      <c r="B4">
        <f t="shared" ref="B4:B14" ca="1" si="0">RAND()</f>
        <v>0.31578923807458859</v>
      </c>
      <c r="C4" t="s">
        <v>350</v>
      </c>
      <c r="D4" t="str">
        <f ca="1">VLOOKUP(SMALL($B$4:$B$14,A4),$B$4:$C$14,2,0)</f>
        <v>Ashish</v>
      </c>
      <c r="E4" cm="1">
        <f t="array" aca="1" ref="E4:E14" ca="1">_xlfn.RANDARRAY(11)</f>
        <v>0.18487989211979738</v>
      </c>
    </row>
    <row r="5" spans="1:5" x14ac:dyDescent="0.3">
      <c r="A5">
        <v>2</v>
      </c>
      <c r="B5">
        <f t="shared" ca="1" si="0"/>
        <v>0.29420488783698873</v>
      </c>
      <c r="C5" t="s">
        <v>351</v>
      </c>
      <c r="D5" t="str">
        <f t="shared" ref="D5:D14" ca="1" si="1">VLOOKUP(SMALL($B$4:$B$14,A5),$B$4:$C$14,2,0)</f>
        <v>Badal</v>
      </c>
      <c r="E5">
        <f ca="1"/>
        <v>0.66805241349901112</v>
      </c>
    </row>
    <row r="6" spans="1:5" x14ac:dyDescent="0.3">
      <c r="A6">
        <v>3</v>
      </c>
      <c r="B6">
        <f t="shared" ca="1" si="0"/>
        <v>0.27213375427432684</v>
      </c>
      <c r="C6" t="s">
        <v>352</v>
      </c>
      <c r="D6" t="str">
        <f t="shared" ca="1" si="1"/>
        <v>Ishu</v>
      </c>
      <c r="E6">
        <f ca="1"/>
        <v>0.58322265336795054</v>
      </c>
    </row>
    <row r="7" spans="1:5" x14ac:dyDescent="0.3">
      <c r="A7">
        <v>4</v>
      </c>
      <c r="B7">
        <f t="shared" ca="1" si="0"/>
        <v>0.74997069278791995</v>
      </c>
      <c r="C7" t="s">
        <v>353</v>
      </c>
      <c r="D7" t="str">
        <f t="shared" ca="1" si="1"/>
        <v>Jayanta</v>
      </c>
      <c r="E7">
        <f ca="1"/>
        <v>0.12519673057755121</v>
      </c>
    </row>
    <row r="8" spans="1:5" x14ac:dyDescent="0.3">
      <c r="A8">
        <v>5</v>
      </c>
      <c r="B8">
        <f t="shared" ca="1" si="0"/>
        <v>0.5702163698828584</v>
      </c>
      <c r="C8" t="s">
        <v>354</v>
      </c>
      <c r="D8" t="str">
        <f t="shared" ca="1" si="1"/>
        <v>Manoj</v>
      </c>
      <c r="E8">
        <f ca="1"/>
        <v>6.5678777334774452E-2</v>
      </c>
    </row>
    <row r="9" spans="1:5" x14ac:dyDescent="0.3">
      <c r="A9">
        <v>6</v>
      </c>
      <c r="B9">
        <f t="shared" ca="1" si="0"/>
        <v>0.94658050927422066</v>
      </c>
      <c r="C9" t="s">
        <v>355</v>
      </c>
      <c r="D9" t="str">
        <f t="shared" ca="1" si="1"/>
        <v>Sahib</v>
      </c>
      <c r="E9">
        <f ca="1"/>
        <v>0.46326355358176885</v>
      </c>
    </row>
    <row r="10" spans="1:5" x14ac:dyDescent="0.3">
      <c r="A10">
        <v>7</v>
      </c>
      <c r="B10">
        <f t="shared" ca="1" si="0"/>
        <v>0.98276356205478399</v>
      </c>
      <c r="C10" t="s">
        <v>356</v>
      </c>
      <c r="D10" t="str">
        <f t="shared" ca="1" si="1"/>
        <v>Umair</v>
      </c>
      <c r="E10">
        <f ca="1"/>
        <v>0.7876569981601329</v>
      </c>
    </row>
    <row r="11" spans="1:5" x14ac:dyDescent="0.3">
      <c r="A11">
        <v>8</v>
      </c>
      <c r="B11">
        <f t="shared" ca="1" si="0"/>
        <v>0.90771828761267537</v>
      </c>
      <c r="C11" t="s">
        <v>357</v>
      </c>
      <c r="D11" t="str">
        <f t="shared" ca="1" si="1"/>
        <v>Arjun</v>
      </c>
      <c r="E11">
        <f ca="1"/>
        <v>0.77345866015114639</v>
      </c>
    </row>
    <row r="12" spans="1:5" x14ac:dyDescent="0.3">
      <c r="A12">
        <v>9</v>
      </c>
      <c r="B12">
        <f t="shared" ca="1" si="0"/>
        <v>6.5927086490747189E-2</v>
      </c>
      <c r="C12" t="s">
        <v>358</v>
      </c>
      <c r="D12" t="str">
        <f t="shared" ca="1" si="1"/>
        <v>Kundan</v>
      </c>
      <c r="E12">
        <f ca="1"/>
        <v>0.11117854901759805</v>
      </c>
    </row>
    <row r="13" spans="1:5" x14ac:dyDescent="0.3">
      <c r="A13">
        <v>10</v>
      </c>
      <c r="B13">
        <f t="shared" ca="1" si="0"/>
        <v>0.92118140344586696</v>
      </c>
      <c r="C13" t="s">
        <v>359</v>
      </c>
      <c r="D13" t="str">
        <f t="shared" ca="1" si="1"/>
        <v>Deepak</v>
      </c>
      <c r="E13">
        <f ca="1"/>
        <v>0.33825440807978779</v>
      </c>
    </row>
    <row r="14" spans="1:5" x14ac:dyDescent="0.3">
      <c r="A14">
        <v>11</v>
      </c>
      <c r="B14">
        <f t="shared" ca="1" si="0"/>
        <v>0.95283935148937804</v>
      </c>
      <c r="C14" t="s">
        <v>360</v>
      </c>
      <c r="D14" t="str">
        <f t="shared" ca="1" si="1"/>
        <v>Farooq</v>
      </c>
      <c r="E14">
        <f ca="1"/>
        <v>6.7880729672073814E-2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A</vt:lpstr>
      <vt:lpstr>B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2021-01-16T08:59:43Z</dcterms:created>
  <dcterms:modified xsi:type="dcterms:W3CDTF">2026-01-27T17:10:49Z</dcterms:modified>
</cp:coreProperties>
</file>