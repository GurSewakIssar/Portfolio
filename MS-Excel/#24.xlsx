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F7803246-C283-4FB8-AD75-F7DE18EE7BDA}" xr6:coauthVersionLast="47" xr6:coauthVersionMax="47" xr10:uidLastSave="{00000000-0000-0000-0000-000000000000}"/>
  <bookViews>
    <workbookView xWindow="-108" yWindow="-108" windowWidth="23256" windowHeight="12456" activeTab="4" xr2:uid="{04B0CDB4-384A-40EB-A609-7AACE7E189CE}"/>
  </bookViews>
  <sheets>
    <sheet name="Q1" sheetId="3" r:id="rId1"/>
    <sheet name="Q2" sheetId="1" r:id="rId2"/>
    <sheet name="Q3" sheetId="2" r:id="rId3"/>
    <sheet name="Q4" sheetId="4" r:id="rId4"/>
    <sheet name="Q5" sheetId="5" r:id="rId5"/>
  </sheets>
  <definedNames>
    <definedName name="_xlnm._FilterDatabase" localSheetId="2" hidden="1">'Q3'!$G$1:$J$48</definedName>
    <definedName name="_xlnm._FilterDatabase" localSheetId="4" hidden="1">'Q5'!$A$1:$C$25</definedName>
    <definedName name="Company">'Q3'!$D$2:$D$13</definedName>
    <definedName name="Godown">'Q3'!$E$2:$E$13</definedName>
    <definedName name="Name">'Q3'!$A$2:$A$13</definedName>
    <definedName name="Role">'Q3'!$B$2:$B$13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5" l="1" a="1"/>
  <c r="L10" i="5" s="1"/>
  <c r="H6" i="5" a="1"/>
  <c r="H6" i="5"/>
  <c r="J10" i="5" a="1"/>
  <c r="J10" i="5" s="1"/>
  <c r="I4" i="4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3" i="2"/>
  <c r="U4" i="2"/>
  <c r="U5" i="2"/>
  <c r="U6" i="2"/>
  <c r="U7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2" i="2"/>
  <c r="G5" i="1"/>
  <c r="G6" i="1"/>
  <c r="G7" i="1"/>
  <c r="G8" i="1"/>
  <c r="G9" i="1"/>
  <c r="G10" i="1"/>
  <c r="G11" i="1"/>
  <c r="G4" i="1"/>
  <c r="G2" i="3"/>
  <c r="R2" i="2" a="1"/>
  <c r="R2" i="2" s="1"/>
  <c r="Q3" i="2"/>
  <c r="Q4" i="2"/>
  <c r="Q5" i="2"/>
  <c r="Q6" i="2"/>
  <c r="Q7" i="2"/>
  <c r="Q2" i="2"/>
  <c r="E5" i="1"/>
  <c r="E6" i="1"/>
  <c r="E7" i="1"/>
  <c r="E8" i="1"/>
  <c r="E9" i="1"/>
  <c r="E10" i="1"/>
  <c r="E11" i="1"/>
  <c r="E4" i="1"/>
  <c r="G9" i="5" a="1"/>
  <c r="G9" i="5" s="1"/>
  <c r="G6" i="4" a="1"/>
  <c r="G6" i="4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2" i="2"/>
  <c r="I2" i="2"/>
  <c r="D5" i="1"/>
  <c r="D6" i="1"/>
  <c r="D7" i="1"/>
  <c r="D8" i="1"/>
  <c r="D9" i="1"/>
  <c r="D10" i="1"/>
  <c r="D11" i="1"/>
  <c r="D4" i="1"/>
  <c r="I3" i="3" a="1"/>
  <c r="I3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C5" i="1"/>
  <c r="C6" i="1"/>
  <c r="C7" i="1"/>
  <c r="C8" i="1"/>
  <c r="C9" i="1"/>
  <c r="C10" i="1"/>
  <c r="C11" i="1"/>
  <c r="C4" i="1"/>
  <c r="L39" i="2"/>
  <c r="L32" i="2"/>
  <c r="L8" i="2"/>
  <c r="L31" i="2"/>
  <c r="L3" i="2"/>
  <c r="L24" i="2"/>
  <c r="L47" i="2"/>
  <c r="L27" i="2"/>
  <c r="L17" i="2"/>
  <c r="L43" i="2"/>
  <c r="L37" i="2"/>
  <c r="L41" i="2"/>
  <c r="L45" i="2"/>
  <c r="L14" i="2"/>
  <c r="L7" i="2"/>
  <c r="L23" i="2"/>
  <c r="L15" i="2"/>
  <c r="L19" i="2"/>
  <c r="L40" i="2"/>
  <c r="L16" i="2"/>
  <c r="L11" i="2"/>
  <c r="L48" i="2"/>
  <c r="L4" i="2"/>
  <c r="L33" i="2"/>
  <c r="L13" i="2"/>
  <c r="L29" i="2"/>
  <c r="L22" i="2"/>
  <c r="L26" i="2"/>
  <c r="L30" i="2"/>
  <c r="L2" i="2"/>
  <c r="L35" i="2"/>
  <c r="L20" i="2"/>
  <c r="L36" i="2"/>
  <c r="L12" i="2"/>
  <c r="L18" i="2"/>
  <c r="L28" i="2"/>
  <c r="L34" i="2"/>
  <c r="L21" i="2"/>
  <c r="L44" i="2"/>
  <c r="L9" i="2"/>
  <c r="L5" i="2"/>
  <c r="L25" i="2"/>
  <c r="L6" i="2"/>
  <c r="L10" i="2"/>
  <c r="L38" i="2"/>
  <c r="L42" i="2"/>
  <c r="L46" i="2"/>
  <c r="C10" i="3" l="1"/>
  <c r="C11" i="3" s="1"/>
  <c r="C12" i="3" s="1"/>
  <c r="C13" i="3" s="1"/>
  <c r="C14" i="3" s="1"/>
  <c r="C15" i="3" s="1"/>
  <c r="C16" i="3" s="1"/>
  <c r="C17" i="3" s="1"/>
  <c r="C18" i="3" s="1"/>
  <c r="C19" i="3"/>
  <c r="C20" i="3"/>
  <c r="C21" i="3" s="1"/>
  <c r="C22" i="3" s="1"/>
  <c r="C23" i="3" s="1"/>
  <c r="C24" i="3" s="1"/>
  <c r="C25" i="3" s="1"/>
  <c r="C26" i="3" s="1"/>
  <c r="C27" i="3" s="1"/>
  <c r="C28" i="3"/>
  <c r="C29" i="3" s="1"/>
  <c r="C30" i="3" s="1"/>
  <c r="C31" i="3" s="1"/>
  <c r="C32" i="3" s="1"/>
  <c r="C33" i="3" s="1"/>
  <c r="C34" i="3" s="1"/>
  <c r="C35" i="3" s="1"/>
  <c r="C36" i="3" s="1"/>
  <c r="C37" i="3"/>
  <c r="C38" i="3" s="1"/>
  <c r="C39" i="3" s="1"/>
  <c r="C40" i="3" s="1"/>
  <c r="C41" i="3" s="1"/>
  <c r="C42" i="3" s="1"/>
  <c r="C43" i="3" s="1"/>
  <c r="C2" i="3"/>
  <c r="C3" i="3" s="1"/>
  <c r="C4" i="3" l="1"/>
  <c r="C5" i="3" s="1"/>
  <c r="C6" i="3" s="1"/>
  <c r="C7" i="3" s="1"/>
  <c r="C8" i="3" s="1"/>
  <c r="C9" i="3" s="1"/>
  <c r="C8" i="4"/>
  <c r="D6" i="4"/>
  <c r="A3" i="4"/>
  <c r="A7" i="4"/>
  <c r="C3" i="4"/>
  <c r="G4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<sst xmlns="http://schemas.openxmlformats.org/spreadsheetml/2006/main" count="255" uniqueCount="91">
  <si>
    <t>Find out the Ranks of the person:-</t>
  </si>
  <si>
    <t>Name</t>
  </si>
  <si>
    <t>Time</t>
  </si>
  <si>
    <t>Rank</t>
  </si>
  <si>
    <t>Role</t>
  </si>
  <si>
    <t>ID</t>
  </si>
  <si>
    <t>Company</t>
  </si>
  <si>
    <t>Godown</t>
  </si>
  <si>
    <t>Particulars</t>
  </si>
  <si>
    <t>A</t>
  </si>
  <si>
    <t>General Manager</t>
  </si>
  <si>
    <t>ID_0001</t>
  </si>
  <si>
    <t>RSP Regulatory</t>
  </si>
  <si>
    <t>Godown_1</t>
  </si>
  <si>
    <t>C</t>
  </si>
  <si>
    <t>MIS Executive</t>
  </si>
  <si>
    <t>ID_0002</t>
  </si>
  <si>
    <t>Genpact</t>
  </si>
  <si>
    <t>Godown_2</t>
  </si>
  <si>
    <t>E</t>
  </si>
  <si>
    <t>Accounts Executive</t>
  </si>
  <si>
    <t>ID_0003</t>
  </si>
  <si>
    <t>DCL Technology</t>
  </si>
  <si>
    <t>Godown_3</t>
  </si>
  <si>
    <t>B</t>
  </si>
  <si>
    <t>Accounts Manager</t>
  </si>
  <si>
    <t>ID_0004</t>
  </si>
  <si>
    <t>HCL Technology</t>
  </si>
  <si>
    <t>Godown_4</t>
  </si>
  <si>
    <t>K</t>
  </si>
  <si>
    <t>MIS Head</t>
  </si>
  <si>
    <t>ID_0005</t>
  </si>
  <si>
    <t>Sigma Insights</t>
  </si>
  <si>
    <t>M</t>
  </si>
  <si>
    <t>Director</t>
  </si>
  <si>
    <t>ID_0006</t>
  </si>
  <si>
    <t>Jakson &amp; Company</t>
  </si>
  <si>
    <t>Y</t>
  </si>
  <si>
    <t>Sales Manager</t>
  </si>
  <si>
    <t>ID_0007</t>
  </si>
  <si>
    <t>Larsen &amp; Toubro</t>
  </si>
  <si>
    <t>Z</t>
  </si>
  <si>
    <t>Sales Executive</t>
  </si>
  <si>
    <t>ID_0008</t>
  </si>
  <si>
    <t>Burger King</t>
  </si>
  <si>
    <t>L</t>
  </si>
  <si>
    <t>Backend Executive</t>
  </si>
  <si>
    <t>ID_0009</t>
  </si>
  <si>
    <t>Pizza Hut</t>
  </si>
  <si>
    <t>N</t>
  </si>
  <si>
    <t>Data Entry Operator</t>
  </si>
  <si>
    <t>ID_0010</t>
  </si>
  <si>
    <t>Omaxe</t>
  </si>
  <si>
    <t>O</t>
  </si>
  <si>
    <t>Data Analyst</t>
  </si>
  <si>
    <t>ID_0011</t>
  </si>
  <si>
    <t>Airtel</t>
  </si>
  <si>
    <t>D</t>
  </si>
  <si>
    <t>Operational Manager</t>
  </si>
  <si>
    <t>ID_0012</t>
  </si>
  <si>
    <t>Videocon</t>
  </si>
  <si>
    <t>Product</t>
  </si>
  <si>
    <t>Amount</t>
  </si>
  <si>
    <t>Samsung</t>
  </si>
  <si>
    <t>Sony</t>
  </si>
  <si>
    <t>Moto</t>
  </si>
  <si>
    <t>Micromax</t>
  </si>
  <si>
    <t>Lava</t>
  </si>
  <si>
    <t>#NA</t>
  </si>
  <si>
    <t>Data</t>
  </si>
  <si>
    <t>COUNT THE CELLS WHO HAVE ERROR</t>
  </si>
  <si>
    <t>Month</t>
  </si>
  <si>
    <t>Sales</t>
  </si>
  <si>
    <t>March</t>
  </si>
  <si>
    <t>Jan</t>
  </si>
  <si>
    <t>Feb</t>
  </si>
  <si>
    <t>Apr</t>
  </si>
  <si>
    <t>June</t>
  </si>
  <si>
    <t>Nokia</t>
  </si>
  <si>
    <t>Total Unique Product in a Month</t>
  </si>
  <si>
    <t>Saneep</t>
  </si>
  <si>
    <t>Animesh</t>
  </si>
  <si>
    <t>Ekanshika</t>
  </si>
  <si>
    <t>Aarti</t>
  </si>
  <si>
    <t>Rohit</t>
  </si>
  <si>
    <t>Siddharth</t>
  </si>
  <si>
    <t>Srinivas</t>
  </si>
  <si>
    <t>Method 1</t>
  </si>
  <si>
    <t>Method 2</t>
  </si>
  <si>
    <t>#NA is not a error</t>
  </si>
  <si>
    <t>#N/A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</si>
</sst>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2"/>
      <color theme="0"/>
      <name val="Khand Semibold"/>
    </font>
    <font>
      <sz val="11"/>
      <color theme="1"/>
      <name val="Khand Semibold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1" fillId="6" borderId="0" xfId="0" applyFont="1" applyFill="1"/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8" fillId="0" borderId="0" xfId="0" applyFont="1"/>
    <xf numFmtId="0" fontId="1" fillId="11" borderId="0" xfId="0" applyFont="1" applyFill="1"/>
    <xf numFmtId="0" fontId="4" fillId="2" borderId="0" xfId="0" applyFont="1" applyFill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BF16-8C50-488A-955B-C390580BEB85}">
  <dimension ref="A1:L43"/>
  <sheetViews>
    <sheetView workbookViewId="0">
      <selection activeCell="E12" sqref="E12"/>
    </sheetView>
  </sheetViews>
  <sheetFormatPr defaultRowHeight="14.4"/>
  <cols>
    <col min="3" max="3" width="8.88671875" style="20"/>
    <col min="10" max="10" width="9.21875" customWidth="1"/>
  </cols>
  <sheetData>
    <row r="1" spans="1:12">
      <c r="A1" s="11" t="s">
        <v>61</v>
      </c>
      <c r="B1" s="11" t="s">
        <v>62</v>
      </c>
      <c r="F1" s="11" t="s">
        <v>61</v>
      </c>
      <c r="G1" s="11" t="s">
        <v>62</v>
      </c>
    </row>
    <row r="2" spans="1:12">
      <c r="A2" t="s">
        <v>63</v>
      </c>
      <c r="B2">
        <v>7092</v>
      </c>
      <c r="C2" s="20" t="str">
        <f>IF(A2&lt;&gt;"",A2,C1)</f>
        <v>Samsung</v>
      </c>
      <c r="F2" t="s">
        <v>64</v>
      </c>
      <c r="G2">
        <f>SUMIF($C$2:$C$43,F2,$B$2:$B$43)</f>
        <v>75760</v>
      </c>
    </row>
    <row r="3" spans="1:12">
      <c r="B3">
        <v>6446</v>
      </c>
      <c r="C3" s="20" t="str">
        <f t="shared" ref="C3:C43" si="0">IF(A3&lt;&gt;"",A3,C2)</f>
        <v>Samsung</v>
      </c>
      <c r="I3" cm="1">
        <f t="array" aca="1" ref="I3" ca="1">SUM(OFFSET(A1,LARGE(IF(A2:A43=F2,ROW(A2:A43)),1)-1,1,IFERROR((SMALL(IF(LARGE(IF(A2:A43=F2,ROW(A2:A43),""),1) &lt; IF(A2:A43="",0,ROW(A2:A43)),IF(A2:A43="",0,ROW(A2:A43)),""),1)-LARGE(IF(A2:A43=F2,ROW(A2:A43)),1)),10000)))</f>
        <v>75760</v>
      </c>
      <c r="L3" s="12"/>
    </row>
    <row r="4" spans="1:12">
      <c r="B4">
        <v>8846</v>
      </c>
      <c r="C4" s="20" t="str">
        <f t="shared" si="0"/>
        <v>Samsung</v>
      </c>
      <c r="L4" s="12" t="s">
        <v>64</v>
      </c>
    </row>
    <row r="5" spans="1:12">
      <c r="B5">
        <v>5931</v>
      </c>
      <c r="C5" s="20" t="str">
        <f t="shared" si="0"/>
        <v>Samsung</v>
      </c>
      <c r="L5" s="12" t="s">
        <v>65</v>
      </c>
    </row>
    <row r="6" spans="1:12">
      <c r="B6">
        <v>8516</v>
      </c>
      <c r="C6" s="20" t="str">
        <f t="shared" si="0"/>
        <v>Samsung</v>
      </c>
      <c r="L6" s="12" t="s">
        <v>66</v>
      </c>
    </row>
    <row r="7" spans="1:12">
      <c r="B7">
        <v>7630</v>
      </c>
      <c r="C7" s="20" t="str">
        <f t="shared" si="0"/>
        <v>Samsung</v>
      </c>
      <c r="L7" s="12" t="s">
        <v>67</v>
      </c>
    </row>
    <row r="8" spans="1:12">
      <c r="B8">
        <v>7797</v>
      </c>
      <c r="C8" s="20" t="str">
        <f t="shared" si="0"/>
        <v>Samsung</v>
      </c>
    </row>
    <row r="9" spans="1:12">
      <c r="B9">
        <v>5762</v>
      </c>
      <c r="C9" s="20" t="str">
        <f t="shared" si="0"/>
        <v>Samsung</v>
      </c>
    </row>
    <row r="10" spans="1:12">
      <c r="A10" t="s">
        <v>64</v>
      </c>
      <c r="B10">
        <v>8736</v>
      </c>
      <c r="C10" s="20" t="str">
        <f t="shared" si="0"/>
        <v>Sony</v>
      </c>
    </row>
    <row r="11" spans="1:12">
      <c r="B11">
        <v>9594</v>
      </c>
      <c r="C11" s="20" t="str">
        <f t="shared" si="0"/>
        <v>Sony</v>
      </c>
    </row>
    <row r="12" spans="1:12">
      <c r="B12">
        <v>8080</v>
      </c>
      <c r="C12" s="20" t="str">
        <f t="shared" si="0"/>
        <v>Sony</v>
      </c>
    </row>
    <row r="13" spans="1:12">
      <c r="B13">
        <v>6522</v>
      </c>
      <c r="C13" s="20" t="str">
        <f t="shared" si="0"/>
        <v>Sony</v>
      </c>
    </row>
    <row r="14" spans="1:12">
      <c r="B14">
        <v>7729</v>
      </c>
      <c r="C14" s="20" t="str">
        <f t="shared" si="0"/>
        <v>Sony</v>
      </c>
    </row>
    <row r="15" spans="1:12">
      <c r="B15">
        <v>9450</v>
      </c>
      <c r="C15" s="20" t="str">
        <f t="shared" si="0"/>
        <v>Sony</v>
      </c>
    </row>
    <row r="16" spans="1:12">
      <c r="B16">
        <v>6279</v>
      </c>
      <c r="C16" s="20" t="str">
        <f t="shared" si="0"/>
        <v>Sony</v>
      </c>
    </row>
    <row r="17" spans="1:3">
      <c r="B17">
        <v>9441</v>
      </c>
      <c r="C17" s="20" t="str">
        <f t="shared" si="0"/>
        <v>Sony</v>
      </c>
    </row>
    <row r="18" spans="1:3">
      <c r="B18">
        <v>9929</v>
      </c>
      <c r="C18" s="20" t="str">
        <f t="shared" si="0"/>
        <v>Sony</v>
      </c>
    </row>
    <row r="19" spans="1:3">
      <c r="A19" t="s">
        <v>65</v>
      </c>
      <c r="B19">
        <v>7777</v>
      </c>
      <c r="C19" s="20" t="str">
        <f t="shared" si="0"/>
        <v>Moto</v>
      </c>
    </row>
    <row r="20" spans="1:3">
      <c r="B20">
        <v>8688</v>
      </c>
      <c r="C20" s="20" t="str">
        <f t="shared" si="0"/>
        <v>Moto</v>
      </c>
    </row>
    <row r="21" spans="1:3">
      <c r="B21">
        <v>9817</v>
      </c>
      <c r="C21" s="20" t="str">
        <f t="shared" si="0"/>
        <v>Moto</v>
      </c>
    </row>
    <row r="22" spans="1:3">
      <c r="B22">
        <v>9111</v>
      </c>
      <c r="C22" s="20" t="str">
        <f t="shared" si="0"/>
        <v>Moto</v>
      </c>
    </row>
    <row r="23" spans="1:3">
      <c r="B23">
        <v>5323</v>
      </c>
      <c r="C23" s="20" t="str">
        <f t="shared" si="0"/>
        <v>Moto</v>
      </c>
    </row>
    <row r="24" spans="1:3">
      <c r="B24">
        <v>7856</v>
      </c>
      <c r="C24" s="20" t="str">
        <f t="shared" si="0"/>
        <v>Moto</v>
      </c>
    </row>
    <row r="25" spans="1:3">
      <c r="B25">
        <v>5121</v>
      </c>
      <c r="C25" s="20" t="str">
        <f t="shared" si="0"/>
        <v>Moto</v>
      </c>
    </row>
    <row r="26" spans="1:3">
      <c r="B26">
        <v>7401</v>
      </c>
      <c r="C26" s="20" t="str">
        <f t="shared" si="0"/>
        <v>Moto</v>
      </c>
    </row>
    <row r="27" spans="1:3">
      <c r="B27">
        <v>5278</v>
      </c>
      <c r="C27" s="20" t="str">
        <f t="shared" si="0"/>
        <v>Moto</v>
      </c>
    </row>
    <row r="28" spans="1:3">
      <c r="A28" t="s">
        <v>66</v>
      </c>
      <c r="B28">
        <v>9749</v>
      </c>
      <c r="C28" s="20" t="str">
        <f t="shared" si="0"/>
        <v>Micromax</v>
      </c>
    </row>
    <row r="29" spans="1:3">
      <c r="B29">
        <v>5062</v>
      </c>
      <c r="C29" s="20" t="str">
        <f t="shared" si="0"/>
        <v>Micromax</v>
      </c>
    </row>
    <row r="30" spans="1:3">
      <c r="B30">
        <v>5954</v>
      </c>
      <c r="C30" s="20" t="str">
        <f t="shared" si="0"/>
        <v>Micromax</v>
      </c>
    </row>
    <row r="31" spans="1:3">
      <c r="B31">
        <v>6054</v>
      </c>
      <c r="C31" s="20" t="str">
        <f t="shared" si="0"/>
        <v>Micromax</v>
      </c>
    </row>
    <row r="32" spans="1:3">
      <c r="B32">
        <v>5607</v>
      </c>
      <c r="C32" s="20" t="str">
        <f t="shared" si="0"/>
        <v>Micromax</v>
      </c>
    </row>
    <row r="33" spans="1:3">
      <c r="B33">
        <v>8184</v>
      </c>
      <c r="C33" s="20" t="str">
        <f t="shared" si="0"/>
        <v>Micromax</v>
      </c>
    </row>
    <row r="34" spans="1:3">
      <c r="B34">
        <v>7315</v>
      </c>
      <c r="C34" s="20" t="str">
        <f t="shared" si="0"/>
        <v>Micromax</v>
      </c>
    </row>
    <row r="35" spans="1:3">
      <c r="B35">
        <v>8325</v>
      </c>
      <c r="C35" s="20" t="str">
        <f t="shared" si="0"/>
        <v>Micromax</v>
      </c>
    </row>
    <row r="36" spans="1:3">
      <c r="B36">
        <v>7038</v>
      </c>
      <c r="C36" s="20" t="str">
        <f t="shared" si="0"/>
        <v>Micromax</v>
      </c>
    </row>
    <row r="37" spans="1:3">
      <c r="A37" t="s">
        <v>67</v>
      </c>
      <c r="B37">
        <v>8967</v>
      </c>
      <c r="C37" s="20" t="str">
        <f t="shared" si="0"/>
        <v>Lava</v>
      </c>
    </row>
    <row r="38" spans="1:3">
      <c r="B38">
        <v>6677</v>
      </c>
      <c r="C38" s="20" t="str">
        <f t="shared" si="0"/>
        <v>Lava</v>
      </c>
    </row>
    <row r="39" spans="1:3">
      <c r="B39">
        <v>9597</v>
      </c>
      <c r="C39" s="20" t="str">
        <f t="shared" si="0"/>
        <v>Lava</v>
      </c>
    </row>
    <row r="40" spans="1:3">
      <c r="B40">
        <v>7861</v>
      </c>
      <c r="C40" s="20" t="str">
        <f t="shared" si="0"/>
        <v>Lava</v>
      </c>
    </row>
    <row r="41" spans="1:3">
      <c r="B41">
        <v>9150</v>
      </c>
      <c r="C41" s="20" t="str">
        <f t="shared" si="0"/>
        <v>Lava</v>
      </c>
    </row>
    <row r="42" spans="1:3">
      <c r="B42">
        <v>9332</v>
      </c>
      <c r="C42" s="20" t="str">
        <f t="shared" si="0"/>
        <v>Lava</v>
      </c>
    </row>
    <row r="43" spans="1:3">
      <c r="B43">
        <v>8796</v>
      </c>
      <c r="C43" s="20" t="str">
        <f t="shared" si="0"/>
        <v>Lava</v>
      </c>
    </row>
  </sheetData>
  <dataValidations count="1">
    <dataValidation type="list" allowBlank="1" showInputMessage="1" showErrorMessage="1" sqref="F2" xr:uid="{A2BEB2B5-E0ED-4716-9F8D-8BAA251AD7EA}">
      <formula1>$L$3:$L$7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9B64-342C-4912-B0D5-93E26FD9F06A}">
  <dimension ref="A1:G11"/>
  <sheetViews>
    <sheetView zoomScaleNormal="100" workbookViewId="0">
      <selection activeCell="G4" sqref="G4:G11"/>
    </sheetView>
  </sheetViews>
  <sheetFormatPr defaultColWidth="13.5546875" defaultRowHeight="14.4"/>
  <cols>
    <col min="1" max="2" width="13.5546875" style="1"/>
    <col min="3" max="3" width="56.44140625" style="1" customWidth="1"/>
    <col min="4" max="16384" width="13.5546875" style="1"/>
  </cols>
  <sheetData>
    <row r="1" spans="1:7">
      <c r="A1" s="22" t="s">
        <v>0</v>
      </c>
      <c r="B1" s="22"/>
      <c r="C1" s="22"/>
    </row>
    <row r="3" spans="1:7">
      <c r="A3" s="2" t="s">
        <v>1</v>
      </c>
      <c r="B3" s="2" t="s">
        <v>2</v>
      </c>
      <c r="C3" s="3" t="s">
        <v>3</v>
      </c>
    </row>
    <row r="4" spans="1:7">
      <c r="A4" s="4" t="s">
        <v>80</v>
      </c>
      <c r="B4" s="5">
        <v>7.1527777777777787E-2</v>
      </c>
      <c r="C4" s="6">
        <f>RANK(B4,$B$4:$B$11)+COUNTIF($B$4:B4,B4)-1</f>
        <v>4</v>
      </c>
      <c r="D4" s="1">
        <f>_xlfn.RANK.EQ(B4,$B$4:$B$11,0)</f>
        <v>4</v>
      </c>
      <c r="E4" s="1">
        <f>RANK(B4,$B$4:$B$11,0)+COUNTIF($B$4:B4,B4)-1</f>
        <v>4</v>
      </c>
      <c r="G4" s="24">
        <f>_xlfn.RANK.EQ(B4,$B$4:$B$11,0) + COUNTIF($B$4:B4,B4)-1</f>
        <v>4</v>
      </c>
    </row>
    <row r="5" spans="1:7">
      <c r="A5" s="4" t="s">
        <v>81</v>
      </c>
      <c r="B5" s="5">
        <v>6.7361111111111108E-2</v>
      </c>
      <c r="C5" s="6">
        <f>RANK(B5,$B$4:$B$11)+COUNTIF($B$4:B5,B5)-1</f>
        <v>8</v>
      </c>
      <c r="D5" s="1">
        <f t="shared" ref="D5:D11" si="0">_xlfn.RANK.EQ(B5,$B$4:$B$11,0)</f>
        <v>8</v>
      </c>
      <c r="E5" s="1">
        <f>RANK(B5,$B$4:$B$11,0)+COUNTIF($B$4:B5,B5)-1</f>
        <v>8</v>
      </c>
      <c r="G5" s="24">
        <f>_xlfn.RANK.EQ(B5,$B$4:$B$11,0) + COUNTIF($B$4:B5,B5)-1</f>
        <v>8</v>
      </c>
    </row>
    <row r="6" spans="1:7">
      <c r="A6" s="4" t="s">
        <v>82</v>
      </c>
      <c r="B6" s="5">
        <v>6.805555555555555E-2</v>
      </c>
      <c r="C6" s="6">
        <f>RANK(B6,$B$4:$B$11)+COUNTIF($B$4:B6,B6)-1</f>
        <v>7</v>
      </c>
      <c r="D6" s="1">
        <f t="shared" si="0"/>
        <v>7</v>
      </c>
      <c r="E6" s="1">
        <f>RANK(B6,$B$4:$B$11,0)+COUNTIF($B$4:B6,B6)-1</f>
        <v>7</v>
      </c>
      <c r="G6" s="24">
        <f>_xlfn.RANK.EQ(B6,$B$4:$B$11,0) + COUNTIF($B$4:B6,B6)-1</f>
        <v>7</v>
      </c>
    </row>
    <row r="7" spans="1:7">
      <c r="A7" s="4" t="s">
        <v>83</v>
      </c>
      <c r="B7" s="5">
        <v>7.2916666666666671E-2</v>
      </c>
      <c r="C7" s="6">
        <f>RANK(B7,$B$4:$B$11)+COUNTIF($B$4:B7,B7)-1</f>
        <v>1</v>
      </c>
      <c r="D7" s="1">
        <f t="shared" si="0"/>
        <v>1</v>
      </c>
      <c r="E7" s="1">
        <f>RANK(B7,$B$4:$B$11,0)+COUNTIF($B$4:B7,B7)-1</f>
        <v>1</v>
      </c>
      <c r="G7" s="24">
        <f>_xlfn.RANK.EQ(B7,$B$4:$B$11,0) + COUNTIF($B$4:B7,B7)-1</f>
        <v>1</v>
      </c>
    </row>
    <row r="8" spans="1:7">
      <c r="A8" s="4" t="s">
        <v>81</v>
      </c>
      <c r="B8" s="5">
        <v>6.8749999999999992E-2</v>
      </c>
      <c r="C8" s="6">
        <f>RANK(B8,$B$4:$B$11)+COUNTIF($B$4:B8,B8)-1</f>
        <v>6</v>
      </c>
      <c r="D8" s="1">
        <f t="shared" si="0"/>
        <v>6</v>
      </c>
      <c r="E8" s="1">
        <f>RANK(B8,$B$4:$B$11,0)+COUNTIF($B$4:B8,B8)-1</f>
        <v>6</v>
      </c>
      <c r="G8" s="24">
        <f>_xlfn.RANK.EQ(B8,$B$4:$B$11,0) + COUNTIF($B$4:B8,B8)-1</f>
        <v>6</v>
      </c>
    </row>
    <row r="9" spans="1:7">
      <c r="A9" s="4" t="s">
        <v>84</v>
      </c>
      <c r="B9" s="5">
        <v>6.9444444444444434E-2</v>
      </c>
      <c r="C9" s="6">
        <f>RANK(B9,$B$4:$B$11)+COUNTIF($B$4:B9,B9)-1</f>
        <v>5</v>
      </c>
      <c r="D9" s="1">
        <f t="shared" si="0"/>
        <v>5</v>
      </c>
      <c r="E9" s="1">
        <f>RANK(B9,$B$4:$B$11,0)+COUNTIF($B$4:B9,B9)-1</f>
        <v>5</v>
      </c>
      <c r="G9" s="24">
        <f>_xlfn.RANK.EQ(B9,$B$4:$B$11,0) + COUNTIF($B$4:B9,B9)-1</f>
        <v>5</v>
      </c>
    </row>
    <row r="10" spans="1:7">
      <c r="A10" s="4" t="s">
        <v>85</v>
      </c>
      <c r="B10" s="5">
        <v>7.2222222222222229E-2</v>
      </c>
      <c r="C10" s="6">
        <f>RANK(B10,$B$4:$B$11)+COUNTIF($B$4:B10,B10)-1</f>
        <v>3</v>
      </c>
      <c r="D10" s="1">
        <f t="shared" si="0"/>
        <v>3</v>
      </c>
      <c r="E10" s="1">
        <f>RANK(B10,$B$4:$B$11,0)+COUNTIF($B$4:B10,B10)-1</f>
        <v>3</v>
      </c>
      <c r="G10" s="24">
        <f>_xlfn.RANK.EQ(B10,$B$4:$B$11,0) + COUNTIF($B$4:B10,B10)-1</f>
        <v>3</v>
      </c>
    </row>
    <row r="11" spans="1:7">
      <c r="A11" s="4" t="s">
        <v>86</v>
      </c>
      <c r="B11" s="5">
        <v>7.2916666666666671E-2</v>
      </c>
      <c r="C11" s="6">
        <f>RANK(B11,$B$4:$B$11)+COUNTIF($B$4:B11,B11)-1</f>
        <v>2</v>
      </c>
      <c r="D11" s="1">
        <f t="shared" si="0"/>
        <v>1</v>
      </c>
      <c r="E11" s="1">
        <f>RANK(B11,$B$4:$B$11,0)+COUNTIF($B$4:B11,B11)-1</f>
        <v>2</v>
      </c>
      <c r="G11" s="24">
        <f>_xlfn.RANK.EQ(B11,$B$4:$B$11,0) + COUNTIF($B$4:B11,B11)-1</f>
        <v>2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32AA-1C3F-44C8-8609-2DE71D769655}">
  <dimension ref="A1:U48"/>
  <sheetViews>
    <sheetView zoomScaleNormal="100" workbookViewId="0">
      <pane xSplit="8" ySplit="1" topLeftCell="J30" activePane="bottomRight" state="frozen"/>
      <selection sqref="A1:E1"/>
      <selection pane="topRight" sqref="A1:E1"/>
      <selection pane="bottomLeft" sqref="A1:E1"/>
      <selection pane="bottomRight" activeCell="U2" sqref="U2:U48"/>
    </sheetView>
  </sheetViews>
  <sheetFormatPr defaultColWidth="9.109375" defaultRowHeight="14.4"/>
  <cols>
    <col min="1" max="1" width="5.44140625" style="1" bestFit="1" customWidth="1"/>
    <col min="2" max="2" width="17.109375" style="1" bestFit="1" customWidth="1"/>
    <col min="3" max="3" width="7.44140625" style="1" bestFit="1" customWidth="1"/>
    <col min="4" max="4" width="15.44140625" style="1" bestFit="1" customWidth="1"/>
    <col min="5" max="5" width="10.5546875" style="1" customWidth="1"/>
    <col min="6" max="6" width="5.5546875" style="1" customWidth="1"/>
    <col min="7" max="7" width="7.44140625" style="1" bestFit="1" customWidth="1"/>
    <col min="8" max="8" width="10.33203125" style="1" bestFit="1" customWidth="1"/>
    <col min="9" max="10" width="17.44140625" style="1" customWidth="1"/>
    <col min="11" max="16384" width="9.109375" style="1"/>
  </cols>
  <sheetData>
    <row r="1" spans="1:21">
      <c r="A1" s="7" t="s">
        <v>1</v>
      </c>
      <c r="B1" s="7" t="s">
        <v>4</v>
      </c>
      <c r="C1" s="7" t="s">
        <v>5</v>
      </c>
      <c r="D1" s="7" t="s">
        <v>6</v>
      </c>
      <c r="E1" s="7" t="s">
        <v>7</v>
      </c>
      <c r="G1" s="4" t="s">
        <v>5</v>
      </c>
      <c r="H1" s="4" t="s">
        <v>8</v>
      </c>
      <c r="I1" s="8" t="s">
        <v>87</v>
      </c>
      <c r="J1" s="8" t="s">
        <v>88</v>
      </c>
    </row>
    <row r="2" spans="1:2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G2" s="4" t="s">
        <v>11</v>
      </c>
      <c r="H2" s="4" t="s">
        <v>6</v>
      </c>
      <c r="I2" s="9" t="str">
        <f>HLOOKUP($H2,$A$1:$E$13,MATCH($G2,$C$1:$C$13,0),0)</f>
        <v>RSP Regulatory</v>
      </c>
      <c r="J2" s="9" t="str">
        <f>INDEX($A$2:$E$13,MATCH(G2,$C$2:$C$13,0),MATCH(H2,$A$1:$E$1,0))</f>
        <v>RSP Regulatory</v>
      </c>
      <c r="L2" s="1" t="str">
        <f ca="1">INDEX(INDIRECT(H2),MATCH(G2,$C$2:$C$13,0))</f>
        <v>RSP Regulatory</v>
      </c>
      <c r="N2" s="1" t="str">
        <f>HLOOKUP(H2,$A$1:$E$13,MATCH(G2,$C$1:$C$13,0),0)</f>
        <v>RSP Regulatory</v>
      </c>
      <c r="Q2" s="1" t="str">
        <f t="shared" ref="Q2:Q7" si="0">INDEX(CHOOSE(MATCH(H2, $A$1:$E$1,0),Name,Role,C2:C13,Company,Godown), MATCH(G2, $C$2:$C$13,0))</f>
        <v>RSP Regulatory</v>
      </c>
      <c r="R2" s="1" cm="1">
        <f t="array" ref="R2">MAXA(_xlfn.UNIQUE(IF(($A$1:$E$1 = H2) * ($C$2:$C$13=G2), $A$2:$E$13, ""),TRUE))</f>
        <v>0</v>
      </c>
      <c r="S2" s="1" t="str">
        <f>INDEX($A$2:$E$13,MATCH(G2,$C$2:$C$13,0),MATCH(H2,$A$1:$E$1,0))</f>
        <v>RSP Regulatory</v>
      </c>
      <c r="U2" s="1" t="str">
        <f ca="1">OFFSET($A$1,MATCH(G2,$C$2:$C$13,0),MATCH(H2,$A$1:$E$1,0)-1)</f>
        <v>RSP Regulatory</v>
      </c>
    </row>
    <row r="3" spans="1:21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G3" s="4" t="s">
        <v>11</v>
      </c>
      <c r="H3" s="4" t="s">
        <v>7</v>
      </c>
      <c r="I3" s="9" t="str">
        <f t="shared" ref="I3:I48" si="1">HLOOKUP($H3,$A$1:$E$13,MATCH($G3,$C$1:$C$13,0),0)</f>
        <v>Godown_1</v>
      </c>
      <c r="J3" s="9" t="str">
        <f t="shared" ref="J3:J48" si="2">INDEX($A$2:$E$13,MATCH(G3,$C$2:$C$13,0),MATCH(H3,$A$1:$E$1,0))</f>
        <v>Godown_1</v>
      </c>
      <c r="L3" s="1" t="str">
        <f t="shared" ref="L3:L48" ca="1" si="3">INDEX(INDIRECT(H3),MATCH(G3,$C$2:$C$13,0))</f>
        <v>Godown_1</v>
      </c>
      <c r="N3" s="1" t="str">
        <f t="shared" ref="N3:N48" si="4">HLOOKUP(H3,$A$1:$E$13,MATCH(G3,$C$1:$C$13,0),0)</f>
        <v>Godown_1</v>
      </c>
      <c r="Q3" s="1" t="str">
        <f t="shared" si="0"/>
        <v>Godown_1</v>
      </c>
      <c r="S3" s="1" t="str">
        <f t="shared" ref="S3:S48" si="5">INDEX($A$2:$E$13,MATCH(G3,$C$2:$C$13,0),MATCH(H3,$A$1:$E$1,0))</f>
        <v>Godown_1</v>
      </c>
      <c r="U3" s="1" t="str">
        <f t="shared" ref="U3:U48" ca="1" si="6">OFFSET($A$1,MATCH(G3,$C$2:$C$13,0),MATCH(H3,$A$1:$E$1,0)-1)</f>
        <v>Godown_1</v>
      </c>
    </row>
    <row r="4" spans="1:2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G4" s="4" t="s">
        <v>11</v>
      </c>
      <c r="H4" s="4" t="s">
        <v>4</v>
      </c>
      <c r="I4" s="9" t="str">
        <f t="shared" si="1"/>
        <v>General Manager</v>
      </c>
      <c r="J4" s="9" t="str">
        <f t="shared" si="2"/>
        <v>General Manager</v>
      </c>
      <c r="L4" s="1" t="str">
        <f t="shared" ca="1" si="3"/>
        <v>General Manager</v>
      </c>
      <c r="N4" s="1" t="str">
        <f t="shared" si="4"/>
        <v>General Manager</v>
      </c>
      <c r="Q4" s="1" t="str">
        <f t="shared" si="0"/>
        <v>General Manager</v>
      </c>
      <c r="S4" s="1" t="str">
        <f t="shared" si="5"/>
        <v>General Manager</v>
      </c>
      <c r="U4" s="1" t="str">
        <f t="shared" ca="1" si="6"/>
        <v>General Manager</v>
      </c>
    </row>
    <row r="5" spans="1:2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G5" s="4" t="s">
        <v>11</v>
      </c>
      <c r="H5" s="4" t="s">
        <v>1</v>
      </c>
      <c r="I5" s="9" t="str">
        <f t="shared" si="1"/>
        <v>A</v>
      </c>
      <c r="J5" s="9" t="str">
        <f t="shared" si="2"/>
        <v>A</v>
      </c>
      <c r="L5" s="1" t="str">
        <f t="shared" ca="1" si="3"/>
        <v>A</v>
      </c>
      <c r="N5" s="1" t="str">
        <f t="shared" si="4"/>
        <v>A</v>
      </c>
      <c r="Q5" s="1" t="str">
        <f t="shared" si="0"/>
        <v>A</v>
      </c>
      <c r="S5" s="1" t="str">
        <f t="shared" si="5"/>
        <v>A</v>
      </c>
      <c r="U5" s="1" t="str">
        <f t="shared" ca="1" si="6"/>
        <v>A</v>
      </c>
    </row>
    <row r="6" spans="1:21">
      <c r="A6" s="4" t="s">
        <v>29</v>
      </c>
      <c r="B6" s="4" t="s">
        <v>30</v>
      </c>
      <c r="C6" s="4" t="s">
        <v>31</v>
      </c>
      <c r="D6" s="4" t="s">
        <v>32</v>
      </c>
      <c r="E6" s="4" t="s">
        <v>13</v>
      </c>
      <c r="G6" s="4" t="s">
        <v>16</v>
      </c>
      <c r="H6" s="4" t="s">
        <v>6</v>
      </c>
      <c r="I6" s="9" t="str">
        <f t="shared" si="1"/>
        <v>Genpact</v>
      </c>
      <c r="J6" s="9" t="str">
        <f t="shared" si="2"/>
        <v>Genpact</v>
      </c>
      <c r="L6" s="1" t="str">
        <f t="shared" ca="1" si="3"/>
        <v>Genpact</v>
      </c>
      <c r="N6" s="1" t="str">
        <f t="shared" si="4"/>
        <v>Genpact</v>
      </c>
      <c r="Q6" s="1" t="str">
        <f t="shared" si="0"/>
        <v>Genpact</v>
      </c>
      <c r="S6" s="1" t="str">
        <f t="shared" si="5"/>
        <v>Genpact</v>
      </c>
      <c r="U6" s="1" t="str">
        <f t="shared" ca="1" si="6"/>
        <v>Genpact</v>
      </c>
    </row>
    <row r="7" spans="1:21">
      <c r="A7" s="4" t="s">
        <v>33</v>
      </c>
      <c r="B7" s="4" t="s">
        <v>34</v>
      </c>
      <c r="C7" s="4" t="s">
        <v>35</v>
      </c>
      <c r="D7" s="4" t="s">
        <v>36</v>
      </c>
      <c r="E7" s="4" t="s">
        <v>18</v>
      </c>
      <c r="G7" s="4" t="s">
        <v>16</v>
      </c>
      <c r="H7" s="4" t="s">
        <v>7</v>
      </c>
      <c r="I7" s="9" t="str">
        <f t="shared" si="1"/>
        <v>Godown_2</v>
      </c>
      <c r="J7" s="9" t="str">
        <f t="shared" si="2"/>
        <v>Godown_2</v>
      </c>
      <c r="L7" s="1" t="str">
        <f t="shared" ca="1" si="3"/>
        <v>Godown_2</v>
      </c>
      <c r="N7" s="1" t="str">
        <f t="shared" si="4"/>
        <v>Godown_2</v>
      </c>
      <c r="Q7" s="1" t="str">
        <f t="shared" si="0"/>
        <v>Godown_2</v>
      </c>
      <c r="S7" s="1" t="str">
        <f t="shared" si="5"/>
        <v>Godown_2</v>
      </c>
      <c r="U7" s="1" t="str">
        <f t="shared" ca="1" si="6"/>
        <v>Godown_2</v>
      </c>
    </row>
    <row r="8" spans="1:21">
      <c r="A8" s="4" t="s">
        <v>37</v>
      </c>
      <c r="B8" s="4" t="s">
        <v>38</v>
      </c>
      <c r="C8" s="4" t="s">
        <v>39</v>
      </c>
      <c r="D8" s="4" t="s">
        <v>40</v>
      </c>
      <c r="E8" s="4" t="s">
        <v>23</v>
      </c>
      <c r="G8" s="4" t="s">
        <v>16</v>
      </c>
      <c r="H8" s="4" t="s">
        <v>4</v>
      </c>
      <c r="I8" s="9" t="str">
        <f t="shared" si="1"/>
        <v>MIS Executive</v>
      </c>
      <c r="J8" s="9" t="str">
        <f t="shared" si="2"/>
        <v>MIS Executive</v>
      </c>
      <c r="L8" s="1" t="str">
        <f t="shared" ca="1" si="3"/>
        <v>MIS Executive</v>
      </c>
      <c r="N8" s="1" t="str">
        <f t="shared" si="4"/>
        <v>MIS Executive</v>
      </c>
      <c r="S8" s="1" t="str">
        <f t="shared" si="5"/>
        <v>MIS Executive</v>
      </c>
      <c r="U8" s="1" t="str">
        <f t="shared" ca="1" si="6"/>
        <v>MIS Executive</v>
      </c>
    </row>
    <row r="9" spans="1:21">
      <c r="A9" s="4" t="s">
        <v>41</v>
      </c>
      <c r="B9" s="4" t="s">
        <v>42</v>
      </c>
      <c r="C9" s="4" t="s">
        <v>43</v>
      </c>
      <c r="D9" s="4" t="s">
        <v>44</v>
      </c>
      <c r="E9" s="4" t="s">
        <v>28</v>
      </c>
      <c r="G9" s="4" t="s">
        <v>16</v>
      </c>
      <c r="H9" s="4" t="s">
        <v>1</v>
      </c>
      <c r="I9" s="9" t="str">
        <f t="shared" si="1"/>
        <v>C</v>
      </c>
      <c r="J9" s="9" t="str">
        <f t="shared" si="2"/>
        <v>C</v>
      </c>
      <c r="L9" s="1" t="str">
        <f t="shared" ca="1" si="3"/>
        <v>C</v>
      </c>
      <c r="N9" s="1" t="str">
        <f t="shared" si="4"/>
        <v>C</v>
      </c>
      <c r="S9" s="1" t="str">
        <f t="shared" si="5"/>
        <v>C</v>
      </c>
      <c r="U9" s="1" t="str">
        <f t="shared" ca="1" si="6"/>
        <v>C</v>
      </c>
    </row>
    <row r="10" spans="1:2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13</v>
      </c>
      <c r="G10" s="4" t="s">
        <v>21</v>
      </c>
      <c r="H10" s="4" t="s">
        <v>6</v>
      </c>
      <c r="I10" s="9" t="str">
        <f t="shared" si="1"/>
        <v>DCL Technology</v>
      </c>
      <c r="J10" s="9" t="str">
        <f t="shared" si="2"/>
        <v>DCL Technology</v>
      </c>
      <c r="L10" s="1" t="str">
        <f t="shared" ca="1" si="3"/>
        <v>DCL Technology</v>
      </c>
      <c r="N10" s="1" t="str">
        <f t="shared" si="4"/>
        <v>DCL Technology</v>
      </c>
      <c r="S10" s="1" t="str">
        <f t="shared" si="5"/>
        <v>DCL Technology</v>
      </c>
      <c r="U10" s="1" t="str">
        <f t="shared" ca="1" si="6"/>
        <v>DCL Technology</v>
      </c>
    </row>
    <row r="11" spans="1:21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18</v>
      </c>
      <c r="G11" s="4" t="s">
        <v>21</v>
      </c>
      <c r="H11" s="4" t="s">
        <v>7</v>
      </c>
      <c r="I11" s="9" t="str">
        <f t="shared" si="1"/>
        <v>Godown_3</v>
      </c>
      <c r="J11" s="9" t="str">
        <f t="shared" si="2"/>
        <v>Godown_3</v>
      </c>
      <c r="L11" s="1" t="str">
        <f t="shared" ca="1" si="3"/>
        <v>Godown_3</v>
      </c>
      <c r="N11" s="1" t="str">
        <f t="shared" si="4"/>
        <v>Godown_3</v>
      </c>
      <c r="S11" s="1" t="str">
        <f t="shared" si="5"/>
        <v>Godown_3</v>
      </c>
      <c r="U11" s="1" t="str">
        <f t="shared" ca="1" si="6"/>
        <v>Godown_3</v>
      </c>
    </row>
    <row r="12" spans="1:21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23</v>
      </c>
      <c r="G12" s="4" t="s">
        <v>21</v>
      </c>
      <c r="H12" s="4" t="s">
        <v>4</v>
      </c>
      <c r="I12" s="9" t="str">
        <f t="shared" si="1"/>
        <v>Accounts Executive</v>
      </c>
      <c r="J12" s="9" t="str">
        <f t="shared" si="2"/>
        <v>Accounts Executive</v>
      </c>
      <c r="L12" s="1" t="str">
        <f t="shared" ca="1" si="3"/>
        <v>Accounts Executive</v>
      </c>
      <c r="N12" s="1" t="str">
        <f t="shared" si="4"/>
        <v>Accounts Executive</v>
      </c>
      <c r="S12" s="1" t="str">
        <f t="shared" si="5"/>
        <v>Accounts Executive</v>
      </c>
      <c r="U12" s="1" t="str">
        <f t="shared" ca="1" si="6"/>
        <v>Accounts Executive</v>
      </c>
    </row>
    <row r="13" spans="1:21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28</v>
      </c>
      <c r="G13" s="4" t="s">
        <v>21</v>
      </c>
      <c r="H13" s="4" t="s">
        <v>1</v>
      </c>
      <c r="I13" s="9" t="str">
        <f t="shared" si="1"/>
        <v>E</v>
      </c>
      <c r="J13" s="9" t="str">
        <f t="shared" si="2"/>
        <v>E</v>
      </c>
      <c r="L13" s="1" t="str">
        <f t="shared" ca="1" si="3"/>
        <v>E</v>
      </c>
      <c r="N13" s="1" t="str">
        <f t="shared" si="4"/>
        <v>E</v>
      </c>
      <c r="S13" s="1" t="str">
        <f t="shared" si="5"/>
        <v>E</v>
      </c>
      <c r="U13" s="1" t="str">
        <f t="shared" ca="1" si="6"/>
        <v>E</v>
      </c>
    </row>
    <row r="14" spans="1:21">
      <c r="G14" s="4" t="s">
        <v>26</v>
      </c>
      <c r="H14" s="4" t="s">
        <v>6</v>
      </c>
      <c r="I14" s="9" t="str">
        <f t="shared" si="1"/>
        <v>HCL Technology</v>
      </c>
      <c r="J14" s="9" t="str">
        <f t="shared" si="2"/>
        <v>HCL Technology</v>
      </c>
      <c r="L14" s="1" t="str">
        <f t="shared" ca="1" si="3"/>
        <v>HCL Technology</v>
      </c>
      <c r="N14" s="1" t="str">
        <f t="shared" si="4"/>
        <v>HCL Technology</v>
      </c>
      <c r="S14" s="1" t="str">
        <f t="shared" si="5"/>
        <v>HCL Technology</v>
      </c>
      <c r="U14" s="1" t="str">
        <f t="shared" ca="1" si="6"/>
        <v>HCL Technology</v>
      </c>
    </row>
    <row r="15" spans="1:21">
      <c r="G15" s="4" t="s">
        <v>26</v>
      </c>
      <c r="H15" s="4" t="s">
        <v>7</v>
      </c>
      <c r="I15" s="9" t="str">
        <f t="shared" si="1"/>
        <v>Godown_4</v>
      </c>
      <c r="J15" s="9" t="str">
        <f t="shared" si="2"/>
        <v>Godown_4</v>
      </c>
      <c r="L15" s="1" t="str">
        <f t="shared" ca="1" si="3"/>
        <v>Godown_4</v>
      </c>
      <c r="N15" s="1" t="str">
        <f t="shared" si="4"/>
        <v>Godown_4</v>
      </c>
      <c r="S15" s="1" t="str">
        <f t="shared" si="5"/>
        <v>Godown_4</v>
      </c>
      <c r="U15" s="1" t="str">
        <f t="shared" ca="1" si="6"/>
        <v>Godown_4</v>
      </c>
    </row>
    <row r="16" spans="1:21">
      <c r="G16" s="4" t="s">
        <v>26</v>
      </c>
      <c r="H16" s="4" t="s">
        <v>4</v>
      </c>
      <c r="I16" s="9" t="str">
        <f t="shared" si="1"/>
        <v>Accounts Manager</v>
      </c>
      <c r="J16" s="9" t="str">
        <f t="shared" si="2"/>
        <v>Accounts Manager</v>
      </c>
      <c r="L16" s="1" t="str">
        <f t="shared" ca="1" si="3"/>
        <v>Accounts Manager</v>
      </c>
      <c r="N16" s="1" t="str">
        <f t="shared" si="4"/>
        <v>Accounts Manager</v>
      </c>
      <c r="S16" s="1" t="str">
        <f t="shared" si="5"/>
        <v>Accounts Manager</v>
      </c>
      <c r="U16" s="1" t="str">
        <f t="shared" ca="1" si="6"/>
        <v>Accounts Manager</v>
      </c>
    </row>
    <row r="17" spans="7:21">
      <c r="G17" s="4" t="s">
        <v>26</v>
      </c>
      <c r="H17" s="4" t="s">
        <v>1</v>
      </c>
      <c r="I17" s="9" t="str">
        <f t="shared" si="1"/>
        <v>B</v>
      </c>
      <c r="J17" s="9" t="str">
        <f t="shared" si="2"/>
        <v>B</v>
      </c>
      <c r="L17" s="1" t="str">
        <f t="shared" ca="1" si="3"/>
        <v>B</v>
      </c>
      <c r="N17" s="1" t="str">
        <f t="shared" si="4"/>
        <v>B</v>
      </c>
      <c r="S17" s="1" t="str">
        <f t="shared" si="5"/>
        <v>B</v>
      </c>
      <c r="U17" s="1" t="str">
        <f t="shared" ca="1" si="6"/>
        <v>B</v>
      </c>
    </row>
    <row r="18" spans="7:21">
      <c r="G18" s="4" t="s">
        <v>31</v>
      </c>
      <c r="H18" s="4" t="s">
        <v>6</v>
      </c>
      <c r="I18" s="9" t="str">
        <f t="shared" si="1"/>
        <v>Sigma Insights</v>
      </c>
      <c r="J18" s="9" t="str">
        <f t="shared" si="2"/>
        <v>Sigma Insights</v>
      </c>
      <c r="L18" s="1" t="str">
        <f t="shared" ca="1" si="3"/>
        <v>Sigma Insights</v>
      </c>
      <c r="N18" s="1" t="str">
        <f t="shared" si="4"/>
        <v>Sigma Insights</v>
      </c>
      <c r="S18" s="1" t="str">
        <f t="shared" si="5"/>
        <v>Sigma Insights</v>
      </c>
      <c r="U18" s="1" t="str">
        <f t="shared" ca="1" si="6"/>
        <v>Sigma Insights</v>
      </c>
    </row>
    <row r="19" spans="7:21">
      <c r="G19" s="4" t="s">
        <v>31</v>
      </c>
      <c r="H19" s="4" t="s">
        <v>7</v>
      </c>
      <c r="I19" s="9" t="str">
        <f t="shared" si="1"/>
        <v>Godown_1</v>
      </c>
      <c r="J19" s="9" t="str">
        <f t="shared" si="2"/>
        <v>Godown_1</v>
      </c>
      <c r="L19" s="1" t="str">
        <f t="shared" ca="1" si="3"/>
        <v>Godown_1</v>
      </c>
      <c r="N19" s="1" t="str">
        <f t="shared" si="4"/>
        <v>Godown_1</v>
      </c>
      <c r="S19" s="1" t="str">
        <f t="shared" si="5"/>
        <v>Godown_1</v>
      </c>
      <c r="U19" s="1" t="str">
        <f t="shared" ca="1" si="6"/>
        <v>Godown_1</v>
      </c>
    </row>
    <row r="20" spans="7:21">
      <c r="G20" s="4" t="s">
        <v>31</v>
      </c>
      <c r="H20" s="4" t="s">
        <v>4</v>
      </c>
      <c r="I20" s="9" t="str">
        <f t="shared" si="1"/>
        <v>MIS Head</v>
      </c>
      <c r="J20" s="9" t="str">
        <f t="shared" si="2"/>
        <v>MIS Head</v>
      </c>
      <c r="L20" s="1" t="str">
        <f t="shared" ca="1" si="3"/>
        <v>MIS Head</v>
      </c>
      <c r="N20" s="1" t="str">
        <f t="shared" si="4"/>
        <v>MIS Head</v>
      </c>
      <c r="S20" s="1" t="str">
        <f t="shared" si="5"/>
        <v>MIS Head</v>
      </c>
      <c r="U20" s="1" t="str">
        <f t="shared" ca="1" si="6"/>
        <v>MIS Head</v>
      </c>
    </row>
    <row r="21" spans="7:21">
      <c r="G21" s="4" t="s">
        <v>31</v>
      </c>
      <c r="H21" s="4" t="s">
        <v>1</v>
      </c>
      <c r="I21" s="9" t="str">
        <f t="shared" si="1"/>
        <v>K</v>
      </c>
      <c r="J21" s="9" t="str">
        <f t="shared" si="2"/>
        <v>K</v>
      </c>
      <c r="L21" s="1" t="str">
        <f t="shared" ca="1" si="3"/>
        <v>K</v>
      </c>
      <c r="N21" s="1" t="str">
        <f t="shared" si="4"/>
        <v>K</v>
      </c>
      <c r="S21" s="1" t="str">
        <f t="shared" si="5"/>
        <v>K</v>
      </c>
      <c r="U21" s="1" t="str">
        <f t="shared" ca="1" si="6"/>
        <v>K</v>
      </c>
    </row>
    <row r="22" spans="7:21">
      <c r="G22" s="4" t="s">
        <v>35</v>
      </c>
      <c r="H22" s="4" t="s">
        <v>6</v>
      </c>
      <c r="I22" s="9" t="str">
        <f t="shared" si="1"/>
        <v>Jakson &amp; Company</v>
      </c>
      <c r="J22" s="9" t="str">
        <f t="shared" si="2"/>
        <v>Jakson &amp; Company</v>
      </c>
      <c r="L22" s="1" t="str">
        <f t="shared" ca="1" si="3"/>
        <v>Jakson &amp; Company</v>
      </c>
      <c r="N22" s="1" t="str">
        <f t="shared" si="4"/>
        <v>Jakson &amp; Company</v>
      </c>
      <c r="S22" s="1" t="str">
        <f t="shared" si="5"/>
        <v>Jakson &amp; Company</v>
      </c>
      <c r="U22" s="1" t="str">
        <f t="shared" ca="1" si="6"/>
        <v>Jakson &amp; Company</v>
      </c>
    </row>
    <row r="23" spans="7:21">
      <c r="G23" s="4" t="s">
        <v>35</v>
      </c>
      <c r="H23" s="4" t="s">
        <v>7</v>
      </c>
      <c r="I23" s="9" t="str">
        <f t="shared" si="1"/>
        <v>Godown_2</v>
      </c>
      <c r="J23" s="9" t="str">
        <f t="shared" si="2"/>
        <v>Godown_2</v>
      </c>
      <c r="L23" s="1" t="str">
        <f t="shared" ca="1" si="3"/>
        <v>Godown_2</v>
      </c>
      <c r="N23" s="1" t="str">
        <f t="shared" si="4"/>
        <v>Godown_2</v>
      </c>
      <c r="S23" s="1" t="str">
        <f t="shared" si="5"/>
        <v>Godown_2</v>
      </c>
      <c r="U23" s="1" t="str">
        <f t="shared" ca="1" si="6"/>
        <v>Godown_2</v>
      </c>
    </row>
    <row r="24" spans="7:21">
      <c r="G24" s="4" t="s">
        <v>35</v>
      </c>
      <c r="H24" s="4" t="s">
        <v>4</v>
      </c>
      <c r="I24" s="9" t="str">
        <f t="shared" si="1"/>
        <v>Director</v>
      </c>
      <c r="J24" s="9" t="str">
        <f t="shared" si="2"/>
        <v>Director</v>
      </c>
      <c r="L24" s="1" t="str">
        <f t="shared" ca="1" si="3"/>
        <v>Director</v>
      </c>
      <c r="N24" s="1" t="str">
        <f t="shared" si="4"/>
        <v>Director</v>
      </c>
      <c r="S24" s="1" t="str">
        <f t="shared" si="5"/>
        <v>Director</v>
      </c>
      <c r="U24" s="1" t="str">
        <f t="shared" ca="1" si="6"/>
        <v>Director</v>
      </c>
    </row>
    <row r="25" spans="7:21">
      <c r="G25" s="4" t="s">
        <v>35</v>
      </c>
      <c r="H25" s="4" t="s">
        <v>1</v>
      </c>
      <c r="I25" s="9" t="str">
        <f t="shared" si="1"/>
        <v>M</v>
      </c>
      <c r="J25" s="9" t="str">
        <f t="shared" si="2"/>
        <v>M</v>
      </c>
      <c r="L25" s="1" t="str">
        <f t="shared" ca="1" si="3"/>
        <v>M</v>
      </c>
      <c r="N25" s="1" t="str">
        <f t="shared" si="4"/>
        <v>M</v>
      </c>
      <c r="S25" s="1" t="str">
        <f t="shared" si="5"/>
        <v>M</v>
      </c>
      <c r="U25" s="1" t="str">
        <f t="shared" ca="1" si="6"/>
        <v>M</v>
      </c>
    </row>
    <row r="26" spans="7:21">
      <c r="G26" s="4" t="s">
        <v>39</v>
      </c>
      <c r="H26" s="4" t="s">
        <v>6</v>
      </c>
      <c r="I26" s="9" t="str">
        <f t="shared" si="1"/>
        <v>Larsen &amp; Toubro</v>
      </c>
      <c r="J26" s="9" t="str">
        <f t="shared" si="2"/>
        <v>Larsen &amp; Toubro</v>
      </c>
      <c r="L26" s="1" t="str">
        <f t="shared" ca="1" si="3"/>
        <v>Larsen &amp; Toubro</v>
      </c>
      <c r="N26" s="1" t="str">
        <f t="shared" si="4"/>
        <v>Larsen &amp; Toubro</v>
      </c>
      <c r="S26" s="1" t="str">
        <f t="shared" si="5"/>
        <v>Larsen &amp; Toubro</v>
      </c>
      <c r="U26" s="1" t="str">
        <f t="shared" ca="1" si="6"/>
        <v>Larsen &amp; Toubro</v>
      </c>
    </row>
    <row r="27" spans="7:21">
      <c r="G27" s="4" t="s">
        <v>39</v>
      </c>
      <c r="H27" s="4" t="s">
        <v>7</v>
      </c>
      <c r="I27" s="9" t="str">
        <f t="shared" si="1"/>
        <v>Godown_3</v>
      </c>
      <c r="J27" s="9" t="str">
        <f t="shared" si="2"/>
        <v>Godown_3</v>
      </c>
      <c r="L27" s="1" t="str">
        <f t="shared" ca="1" si="3"/>
        <v>Godown_3</v>
      </c>
      <c r="N27" s="1" t="str">
        <f t="shared" si="4"/>
        <v>Godown_3</v>
      </c>
      <c r="S27" s="1" t="str">
        <f t="shared" si="5"/>
        <v>Godown_3</v>
      </c>
      <c r="U27" s="1" t="str">
        <f t="shared" ca="1" si="6"/>
        <v>Godown_3</v>
      </c>
    </row>
    <row r="28" spans="7:21">
      <c r="G28" s="4" t="s">
        <v>39</v>
      </c>
      <c r="H28" s="4" t="s">
        <v>4</v>
      </c>
      <c r="I28" s="9" t="str">
        <f t="shared" si="1"/>
        <v>Sales Manager</v>
      </c>
      <c r="J28" s="9" t="str">
        <f t="shared" si="2"/>
        <v>Sales Manager</v>
      </c>
      <c r="L28" s="1" t="str">
        <f t="shared" ca="1" si="3"/>
        <v>Sales Manager</v>
      </c>
      <c r="N28" s="1" t="str">
        <f t="shared" si="4"/>
        <v>Sales Manager</v>
      </c>
      <c r="S28" s="1" t="str">
        <f t="shared" si="5"/>
        <v>Sales Manager</v>
      </c>
      <c r="U28" s="1" t="str">
        <f t="shared" ca="1" si="6"/>
        <v>Sales Manager</v>
      </c>
    </row>
    <row r="29" spans="7:21">
      <c r="G29" s="4" t="s">
        <v>39</v>
      </c>
      <c r="H29" s="4" t="s">
        <v>1</v>
      </c>
      <c r="I29" s="9" t="str">
        <f t="shared" si="1"/>
        <v>Y</v>
      </c>
      <c r="J29" s="9" t="str">
        <f t="shared" si="2"/>
        <v>Y</v>
      </c>
      <c r="L29" s="1" t="str">
        <f t="shared" ca="1" si="3"/>
        <v>Y</v>
      </c>
      <c r="N29" s="1" t="str">
        <f t="shared" si="4"/>
        <v>Y</v>
      </c>
      <c r="S29" s="1" t="str">
        <f t="shared" si="5"/>
        <v>Y</v>
      </c>
      <c r="U29" s="1" t="str">
        <f t="shared" ca="1" si="6"/>
        <v>Y</v>
      </c>
    </row>
    <row r="30" spans="7:21">
      <c r="G30" s="4" t="s">
        <v>43</v>
      </c>
      <c r="H30" s="4" t="s">
        <v>6</v>
      </c>
      <c r="I30" s="9" t="str">
        <f t="shared" si="1"/>
        <v>Burger King</v>
      </c>
      <c r="J30" s="9" t="str">
        <f t="shared" si="2"/>
        <v>Burger King</v>
      </c>
      <c r="L30" s="1" t="str">
        <f t="shared" ca="1" si="3"/>
        <v>Burger King</v>
      </c>
      <c r="N30" s="1" t="str">
        <f t="shared" si="4"/>
        <v>Burger King</v>
      </c>
      <c r="S30" s="1" t="str">
        <f t="shared" si="5"/>
        <v>Burger King</v>
      </c>
      <c r="U30" s="1" t="str">
        <f t="shared" ca="1" si="6"/>
        <v>Burger King</v>
      </c>
    </row>
    <row r="31" spans="7:21">
      <c r="G31" s="4" t="s">
        <v>43</v>
      </c>
      <c r="H31" s="4" t="s">
        <v>7</v>
      </c>
      <c r="I31" s="9" t="str">
        <f t="shared" si="1"/>
        <v>Godown_4</v>
      </c>
      <c r="J31" s="9" t="str">
        <f t="shared" si="2"/>
        <v>Godown_4</v>
      </c>
      <c r="L31" s="1" t="str">
        <f t="shared" ca="1" si="3"/>
        <v>Godown_4</v>
      </c>
      <c r="N31" s="1" t="str">
        <f t="shared" si="4"/>
        <v>Godown_4</v>
      </c>
      <c r="S31" s="1" t="str">
        <f t="shared" si="5"/>
        <v>Godown_4</v>
      </c>
      <c r="U31" s="1" t="str">
        <f t="shared" ca="1" si="6"/>
        <v>Godown_4</v>
      </c>
    </row>
    <row r="32" spans="7:21">
      <c r="G32" s="4" t="s">
        <v>43</v>
      </c>
      <c r="H32" s="4" t="s">
        <v>4</v>
      </c>
      <c r="I32" s="9" t="str">
        <f t="shared" si="1"/>
        <v>Sales Executive</v>
      </c>
      <c r="J32" s="9" t="str">
        <f t="shared" si="2"/>
        <v>Sales Executive</v>
      </c>
      <c r="L32" s="1" t="str">
        <f ca="1">INDEX(INDIRECT(H32),MATCH(G32,$C$2:$C$13,0))</f>
        <v>Sales Executive</v>
      </c>
      <c r="N32" s="1" t="str">
        <f t="shared" si="4"/>
        <v>Sales Executive</v>
      </c>
      <c r="S32" s="1" t="str">
        <f t="shared" si="5"/>
        <v>Sales Executive</v>
      </c>
      <c r="U32" s="1" t="str">
        <f t="shared" ca="1" si="6"/>
        <v>Sales Executive</v>
      </c>
    </row>
    <row r="33" spans="7:21">
      <c r="G33" s="4" t="s">
        <v>43</v>
      </c>
      <c r="H33" s="4" t="s">
        <v>1</v>
      </c>
      <c r="I33" s="9" t="str">
        <f t="shared" si="1"/>
        <v>Z</v>
      </c>
      <c r="J33" s="9" t="str">
        <f t="shared" si="2"/>
        <v>Z</v>
      </c>
      <c r="L33" s="1" t="str">
        <f t="shared" ca="1" si="3"/>
        <v>Z</v>
      </c>
      <c r="N33" s="1" t="str">
        <f t="shared" si="4"/>
        <v>Z</v>
      </c>
      <c r="S33" s="1" t="str">
        <f t="shared" si="5"/>
        <v>Z</v>
      </c>
      <c r="U33" s="1" t="str">
        <f t="shared" ca="1" si="6"/>
        <v>Z</v>
      </c>
    </row>
    <row r="34" spans="7:21">
      <c r="G34" s="4" t="s">
        <v>47</v>
      </c>
      <c r="H34" s="4" t="s">
        <v>6</v>
      </c>
      <c r="I34" s="9" t="str">
        <f t="shared" si="1"/>
        <v>Pizza Hut</v>
      </c>
      <c r="J34" s="9" t="str">
        <f t="shared" si="2"/>
        <v>Pizza Hut</v>
      </c>
      <c r="L34" s="1" t="str">
        <f t="shared" ca="1" si="3"/>
        <v>Pizza Hut</v>
      </c>
      <c r="N34" s="1" t="str">
        <f t="shared" si="4"/>
        <v>Pizza Hut</v>
      </c>
      <c r="S34" s="1" t="str">
        <f t="shared" si="5"/>
        <v>Pizza Hut</v>
      </c>
      <c r="U34" s="1" t="str">
        <f t="shared" ca="1" si="6"/>
        <v>Pizza Hut</v>
      </c>
    </row>
    <row r="35" spans="7:21">
      <c r="G35" s="4" t="s">
        <v>47</v>
      </c>
      <c r="H35" s="4" t="s">
        <v>7</v>
      </c>
      <c r="I35" s="9" t="str">
        <f t="shared" si="1"/>
        <v>Godown_1</v>
      </c>
      <c r="J35" s="9" t="str">
        <f t="shared" si="2"/>
        <v>Godown_1</v>
      </c>
      <c r="L35" s="1" t="str">
        <f t="shared" ca="1" si="3"/>
        <v>Godown_1</v>
      </c>
      <c r="N35" s="1" t="str">
        <f t="shared" si="4"/>
        <v>Godown_1</v>
      </c>
      <c r="S35" s="1" t="str">
        <f t="shared" si="5"/>
        <v>Godown_1</v>
      </c>
      <c r="U35" s="1" t="str">
        <f t="shared" ca="1" si="6"/>
        <v>Godown_1</v>
      </c>
    </row>
    <row r="36" spans="7:21">
      <c r="G36" s="4" t="s">
        <v>47</v>
      </c>
      <c r="H36" s="4" t="s">
        <v>4</v>
      </c>
      <c r="I36" s="9" t="str">
        <f t="shared" si="1"/>
        <v>Backend Executive</v>
      </c>
      <c r="J36" s="9" t="str">
        <f t="shared" si="2"/>
        <v>Backend Executive</v>
      </c>
      <c r="L36" s="1" t="str">
        <f t="shared" ca="1" si="3"/>
        <v>Backend Executive</v>
      </c>
      <c r="N36" s="1" t="str">
        <f t="shared" si="4"/>
        <v>Backend Executive</v>
      </c>
      <c r="S36" s="1" t="str">
        <f t="shared" si="5"/>
        <v>Backend Executive</v>
      </c>
      <c r="U36" s="1" t="str">
        <f t="shared" ca="1" si="6"/>
        <v>Backend Executive</v>
      </c>
    </row>
    <row r="37" spans="7:21">
      <c r="G37" s="4" t="s">
        <v>47</v>
      </c>
      <c r="H37" s="4" t="s">
        <v>1</v>
      </c>
      <c r="I37" s="9" t="str">
        <f t="shared" si="1"/>
        <v>L</v>
      </c>
      <c r="J37" s="9" t="str">
        <f t="shared" si="2"/>
        <v>L</v>
      </c>
      <c r="L37" s="1" t="str">
        <f t="shared" ca="1" si="3"/>
        <v>L</v>
      </c>
      <c r="N37" s="1" t="str">
        <f t="shared" si="4"/>
        <v>L</v>
      </c>
      <c r="S37" s="1" t="str">
        <f t="shared" si="5"/>
        <v>L</v>
      </c>
      <c r="U37" s="1" t="str">
        <f t="shared" ca="1" si="6"/>
        <v>L</v>
      </c>
    </row>
    <row r="38" spans="7:21">
      <c r="G38" s="4" t="s">
        <v>51</v>
      </c>
      <c r="H38" s="4" t="s">
        <v>6</v>
      </c>
      <c r="I38" s="9" t="str">
        <f t="shared" si="1"/>
        <v>Omaxe</v>
      </c>
      <c r="J38" s="9" t="str">
        <f t="shared" si="2"/>
        <v>Omaxe</v>
      </c>
      <c r="L38" s="1" t="str">
        <f t="shared" ca="1" si="3"/>
        <v>Omaxe</v>
      </c>
      <c r="N38" s="1" t="str">
        <f t="shared" si="4"/>
        <v>Omaxe</v>
      </c>
      <c r="S38" s="1" t="str">
        <f t="shared" si="5"/>
        <v>Omaxe</v>
      </c>
      <c r="U38" s="1" t="str">
        <f t="shared" ca="1" si="6"/>
        <v>Omaxe</v>
      </c>
    </row>
    <row r="39" spans="7:21">
      <c r="G39" s="4" t="s">
        <v>51</v>
      </c>
      <c r="H39" s="4" t="s">
        <v>7</v>
      </c>
      <c r="I39" s="9" t="str">
        <f t="shared" si="1"/>
        <v>Godown_2</v>
      </c>
      <c r="J39" s="9" t="str">
        <f t="shared" si="2"/>
        <v>Godown_2</v>
      </c>
      <c r="L39" s="1" t="str">
        <f t="shared" ca="1" si="3"/>
        <v>Godown_2</v>
      </c>
      <c r="N39" s="1" t="str">
        <f t="shared" si="4"/>
        <v>Godown_2</v>
      </c>
      <c r="S39" s="1" t="str">
        <f t="shared" si="5"/>
        <v>Godown_2</v>
      </c>
      <c r="U39" s="1" t="str">
        <f t="shared" ca="1" si="6"/>
        <v>Godown_2</v>
      </c>
    </row>
    <row r="40" spans="7:21">
      <c r="G40" s="4" t="s">
        <v>51</v>
      </c>
      <c r="H40" s="4" t="s">
        <v>4</v>
      </c>
      <c r="I40" s="9" t="str">
        <f t="shared" si="1"/>
        <v>Data Entry Operator</v>
      </c>
      <c r="J40" s="9" t="str">
        <f t="shared" si="2"/>
        <v>Data Entry Operator</v>
      </c>
      <c r="L40" s="1" t="str">
        <f t="shared" ca="1" si="3"/>
        <v>Data Entry Operator</v>
      </c>
      <c r="N40" s="1" t="str">
        <f t="shared" si="4"/>
        <v>Data Entry Operator</v>
      </c>
      <c r="S40" s="1" t="str">
        <f t="shared" si="5"/>
        <v>Data Entry Operator</v>
      </c>
      <c r="U40" s="1" t="str">
        <f t="shared" ca="1" si="6"/>
        <v>Data Entry Operator</v>
      </c>
    </row>
    <row r="41" spans="7:21">
      <c r="G41" s="4" t="s">
        <v>51</v>
      </c>
      <c r="H41" s="4" t="s">
        <v>1</v>
      </c>
      <c r="I41" s="9" t="str">
        <f t="shared" si="1"/>
        <v>N</v>
      </c>
      <c r="J41" s="9" t="str">
        <f t="shared" si="2"/>
        <v>N</v>
      </c>
      <c r="L41" s="1" t="str">
        <f t="shared" ca="1" si="3"/>
        <v>N</v>
      </c>
      <c r="N41" s="1" t="str">
        <f t="shared" si="4"/>
        <v>N</v>
      </c>
      <c r="S41" s="1" t="str">
        <f t="shared" si="5"/>
        <v>N</v>
      </c>
      <c r="U41" s="1" t="str">
        <f t="shared" ca="1" si="6"/>
        <v>N</v>
      </c>
    </row>
    <row r="42" spans="7:21">
      <c r="G42" s="4" t="s">
        <v>55</v>
      </c>
      <c r="H42" s="4" t="s">
        <v>6</v>
      </c>
      <c r="I42" s="9" t="str">
        <f t="shared" si="1"/>
        <v>Airtel</v>
      </c>
      <c r="J42" s="9" t="str">
        <f t="shared" si="2"/>
        <v>Airtel</v>
      </c>
      <c r="L42" s="1" t="str">
        <f t="shared" ca="1" si="3"/>
        <v>Airtel</v>
      </c>
      <c r="N42" s="1" t="str">
        <f t="shared" si="4"/>
        <v>Airtel</v>
      </c>
      <c r="S42" s="1" t="str">
        <f t="shared" si="5"/>
        <v>Airtel</v>
      </c>
      <c r="U42" s="1" t="str">
        <f t="shared" ca="1" si="6"/>
        <v>Airtel</v>
      </c>
    </row>
    <row r="43" spans="7:21">
      <c r="G43" s="4" t="s">
        <v>55</v>
      </c>
      <c r="H43" s="4" t="s">
        <v>7</v>
      </c>
      <c r="I43" s="9" t="str">
        <f t="shared" si="1"/>
        <v>Godown_3</v>
      </c>
      <c r="J43" s="9" t="str">
        <f t="shared" si="2"/>
        <v>Godown_3</v>
      </c>
      <c r="L43" s="1" t="str">
        <f t="shared" ca="1" si="3"/>
        <v>Godown_3</v>
      </c>
      <c r="N43" s="1" t="str">
        <f t="shared" si="4"/>
        <v>Godown_3</v>
      </c>
      <c r="S43" s="1" t="str">
        <f t="shared" si="5"/>
        <v>Godown_3</v>
      </c>
      <c r="U43" s="1" t="str">
        <f t="shared" ca="1" si="6"/>
        <v>Godown_3</v>
      </c>
    </row>
    <row r="44" spans="7:21">
      <c r="G44" s="4" t="s">
        <v>55</v>
      </c>
      <c r="H44" s="4" t="s">
        <v>4</v>
      </c>
      <c r="I44" s="9" t="str">
        <f t="shared" si="1"/>
        <v>Data Analyst</v>
      </c>
      <c r="J44" s="9" t="str">
        <f t="shared" si="2"/>
        <v>Data Analyst</v>
      </c>
      <c r="L44" s="1" t="str">
        <f t="shared" ca="1" si="3"/>
        <v>Data Analyst</v>
      </c>
      <c r="N44" s="1" t="str">
        <f t="shared" si="4"/>
        <v>Data Analyst</v>
      </c>
      <c r="S44" s="1" t="str">
        <f t="shared" si="5"/>
        <v>Data Analyst</v>
      </c>
      <c r="U44" s="1" t="str">
        <f t="shared" ca="1" si="6"/>
        <v>Data Analyst</v>
      </c>
    </row>
    <row r="45" spans="7:21">
      <c r="G45" s="4" t="s">
        <v>55</v>
      </c>
      <c r="H45" s="4" t="s">
        <v>1</v>
      </c>
      <c r="I45" s="9" t="str">
        <f t="shared" si="1"/>
        <v>O</v>
      </c>
      <c r="J45" s="9" t="str">
        <f t="shared" si="2"/>
        <v>O</v>
      </c>
      <c r="L45" s="1" t="str">
        <f t="shared" ca="1" si="3"/>
        <v>O</v>
      </c>
      <c r="N45" s="1" t="str">
        <f t="shared" si="4"/>
        <v>O</v>
      </c>
      <c r="S45" s="1" t="str">
        <f t="shared" si="5"/>
        <v>O</v>
      </c>
      <c r="U45" s="1" t="str">
        <f t="shared" ca="1" si="6"/>
        <v>O</v>
      </c>
    </row>
    <row r="46" spans="7:21">
      <c r="G46" s="4" t="s">
        <v>59</v>
      </c>
      <c r="H46" s="4" t="s">
        <v>6</v>
      </c>
      <c r="I46" s="9" t="str">
        <f t="shared" si="1"/>
        <v>Videocon</v>
      </c>
      <c r="J46" s="9" t="str">
        <f t="shared" si="2"/>
        <v>Videocon</v>
      </c>
      <c r="L46" s="1" t="str">
        <f t="shared" ca="1" si="3"/>
        <v>Videocon</v>
      </c>
      <c r="N46" s="1" t="str">
        <f t="shared" si="4"/>
        <v>Videocon</v>
      </c>
      <c r="S46" s="1" t="str">
        <f t="shared" si="5"/>
        <v>Videocon</v>
      </c>
      <c r="U46" s="1" t="str">
        <f t="shared" ca="1" si="6"/>
        <v>Videocon</v>
      </c>
    </row>
    <row r="47" spans="7:21">
      <c r="G47" s="4" t="s">
        <v>59</v>
      </c>
      <c r="H47" s="4" t="s">
        <v>7</v>
      </c>
      <c r="I47" s="9" t="str">
        <f t="shared" si="1"/>
        <v>Godown_4</v>
      </c>
      <c r="J47" s="9" t="str">
        <f t="shared" si="2"/>
        <v>Godown_4</v>
      </c>
      <c r="L47" s="1" t="str">
        <f t="shared" ca="1" si="3"/>
        <v>Godown_4</v>
      </c>
      <c r="N47" s="1" t="str">
        <f t="shared" si="4"/>
        <v>Godown_4</v>
      </c>
      <c r="S47" s="1" t="str">
        <f t="shared" si="5"/>
        <v>Godown_4</v>
      </c>
      <c r="U47" s="1" t="str">
        <f t="shared" ca="1" si="6"/>
        <v>Godown_4</v>
      </c>
    </row>
    <row r="48" spans="7:21">
      <c r="G48" s="4" t="s">
        <v>59</v>
      </c>
      <c r="H48" s="4" t="s">
        <v>4</v>
      </c>
      <c r="I48" s="9" t="str">
        <f t="shared" si="1"/>
        <v>Operational Manager</v>
      </c>
      <c r="J48" s="9" t="str">
        <f t="shared" si="2"/>
        <v>Operational Manager</v>
      </c>
      <c r="L48" s="1" t="str">
        <f t="shared" ca="1" si="3"/>
        <v>Operational Manager</v>
      </c>
      <c r="N48" s="1" t="str">
        <f t="shared" si="4"/>
        <v>Operational Manager</v>
      </c>
      <c r="S48" s="1" t="str">
        <f t="shared" si="5"/>
        <v>Operational Manager</v>
      </c>
      <c r="U48" s="1" t="str">
        <f t="shared" ca="1" si="6"/>
        <v>Operational Manager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D53-A50E-42E9-9903-827EAC5E3D52}">
  <dimension ref="A1:I10"/>
  <sheetViews>
    <sheetView workbookViewId="0">
      <selection activeCell="I5" sqref="I5"/>
    </sheetView>
  </sheetViews>
  <sheetFormatPr defaultRowHeight="14.4"/>
  <cols>
    <col min="7" max="7" width="34" bestFit="1" customWidth="1"/>
  </cols>
  <sheetData>
    <row r="1" spans="1:9" ht="15">
      <c r="A1" s="23" t="s">
        <v>69</v>
      </c>
      <c r="B1" s="23"/>
      <c r="C1" s="23"/>
      <c r="D1" s="23"/>
    </row>
    <row r="2" spans="1:9">
      <c r="A2" s="13">
        <v>11</v>
      </c>
      <c r="B2" s="13">
        <v>22</v>
      </c>
      <c r="C2" s="13">
        <v>46</v>
      </c>
      <c r="D2" s="13">
        <v>6</v>
      </c>
    </row>
    <row r="3" spans="1:9">
      <c r="A3" s="17" t="e">
        <f>1/0</f>
        <v>#DIV/0!</v>
      </c>
      <c r="B3" s="13">
        <v>33</v>
      </c>
      <c r="C3" s="15" t="e">
        <f>D7/KJH</f>
        <v>#NAME?</v>
      </c>
      <c r="D3" s="13">
        <v>5</v>
      </c>
      <c r="G3" s="18" t="s">
        <v>70</v>
      </c>
    </row>
    <row r="4" spans="1:9">
      <c r="A4" s="13">
        <v>44</v>
      </c>
      <c r="B4" s="13">
        <v>33</v>
      </c>
      <c r="C4" s="13">
        <v>66</v>
      </c>
      <c r="D4" s="13">
        <v>44</v>
      </c>
      <c r="G4" s="19">
        <f>COUNTA(A2:D10)-COUNT(A2:D10)</f>
        <v>6</v>
      </c>
      <c r="I4">
        <f>COUNTA(A2:D10)-COUNT(A2:D10)</f>
        <v>6</v>
      </c>
    </row>
    <row r="5" spans="1:9">
      <c r="A5" s="13">
        <v>55</v>
      </c>
      <c r="B5" s="14" t="s">
        <v>68</v>
      </c>
      <c r="C5" s="13">
        <v>44</v>
      </c>
      <c r="D5" s="13">
        <v>33</v>
      </c>
    </row>
    <row r="6" spans="1:9">
      <c r="A6" s="13">
        <v>66</v>
      </c>
      <c r="B6" s="13">
        <v>3</v>
      </c>
      <c r="C6" s="13">
        <v>55</v>
      </c>
      <c r="D6" s="14" t="e">
        <f>sumsss</f>
        <v>#NAME?</v>
      </c>
      <c r="G6" s="21" cm="1">
        <f t="array" ref="G6">SUM(IF(ISERROR(A2:D10),1,0))</f>
        <v>5</v>
      </c>
    </row>
    <row r="7" spans="1:9">
      <c r="A7" s="15" t="e">
        <f>#REF!/asdas</f>
        <v>#REF!</v>
      </c>
      <c r="B7" s="13">
        <v>46</v>
      </c>
      <c r="C7" s="13">
        <v>33</v>
      </c>
      <c r="D7" s="13">
        <v>33</v>
      </c>
    </row>
    <row r="8" spans="1:9">
      <c r="A8" s="13">
        <v>4</v>
      </c>
      <c r="B8" s="13">
        <v>44</v>
      </c>
      <c r="C8" s="15" t="e">
        <f>SUM(D2  C3)</f>
        <v>#NULL!</v>
      </c>
      <c r="D8" s="13">
        <v>22</v>
      </c>
      <c r="G8" t="s">
        <v>89</v>
      </c>
    </row>
    <row r="9" spans="1:9">
      <c r="A9" s="13">
        <v>22</v>
      </c>
      <c r="B9" s="13">
        <v>33</v>
      </c>
      <c r="C9" s="13">
        <v>44</v>
      </c>
      <c r="D9" s="13">
        <v>11</v>
      </c>
      <c r="G9" t="s">
        <v>90</v>
      </c>
    </row>
    <row r="10" spans="1:9">
      <c r="A10" s="16">
        <v>33</v>
      </c>
      <c r="B10" s="13">
        <v>22</v>
      </c>
      <c r="C10" s="13">
        <v>44</v>
      </c>
      <c r="D10" s="13">
        <v>33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75F8-AA0A-4946-8AF7-41FCEAB00858}">
  <dimension ref="A1:M25"/>
  <sheetViews>
    <sheetView tabSelected="1" topLeftCell="A4" workbookViewId="0">
      <selection activeCell="L11" sqref="L11"/>
    </sheetView>
  </sheetViews>
  <sheetFormatPr defaultRowHeight="14.4"/>
  <sheetData>
    <row r="1" spans="1:13">
      <c r="A1" s="11" t="s">
        <v>71</v>
      </c>
      <c r="B1" s="11" t="s">
        <v>61</v>
      </c>
      <c r="C1" s="11" t="s">
        <v>72</v>
      </c>
      <c r="M1" s="11" t="s">
        <v>71</v>
      </c>
    </row>
    <row r="2" spans="1:13">
      <c r="A2" t="s">
        <v>73</v>
      </c>
      <c r="B2" t="s">
        <v>63</v>
      </c>
      <c r="C2">
        <v>5008</v>
      </c>
      <c r="M2" t="s">
        <v>73</v>
      </c>
    </row>
    <row r="3" spans="1:13">
      <c r="A3" t="s">
        <v>74</v>
      </c>
      <c r="B3" t="s">
        <v>63</v>
      </c>
      <c r="C3">
        <v>8060</v>
      </c>
      <c r="G3" s="10" t="s">
        <v>79</v>
      </c>
      <c r="M3" t="s">
        <v>74</v>
      </c>
    </row>
    <row r="4" spans="1:13">
      <c r="A4" t="s">
        <v>75</v>
      </c>
      <c r="B4" t="s">
        <v>64</v>
      </c>
      <c r="C4">
        <v>7313</v>
      </c>
      <c r="M4" t="s">
        <v>75</v>
      </c>
    </row>
    <row r="5" spans="1:13">
      <c r="A5" t="s">
        <v>76</v>
      </c>
      <c r="B5" t="s">
        <v>65</v>
      </c>
      <c r="C5">
        <v>7176</v>
      </c>
      <c r="G5" s="10" t="s">
        <v>71</v>
      </c>
      <c r="H5" s="10" t="s">
        <v>61</v>
      </c>
      <c r="M5" t="s">
        <v>76</v>
      </c>
    </row>
    <row r="6" spans="1:13">
      <c r="A6" t="s">
        <v>77</v>
      </c>
      <c r="B6" t="s">
        <v>63</v>
      </c>
      <c r="C6">
        <v>9127</v>
      </c>
      <c r="G6" t="s">
        <v>74</v>
      </c>
      <c r="H6">
        <f t="array" ref="H6">SUMPRODUCT(IF($A$2:$A$25=G6,1/COUNTIFS($A$2:$A$25,G6,$B$2:$B$25,$B$2:$B$25),0))</f>
        <v>2</v>
      </c>
      <c r="M6" t="s">
        <v>77</v>
      </c>
    </row>
    <row r="7" spans="1:13">
      <c r="A7" t="s">
        <v>73</v>
      </c>
      <c r="B7" t="s">
        <v>64</v>
      </c>
      <c r="C7">
        <v>9291</v>
      </c>
    </row>
    <row r="8" spans="1:13">
      <c r="A8" t="s">
        <v>73</v>
      </c>
      <c r="B8" t="s">
        <v>64</v>
      </c>
      <c r="C8">
        <v>6992</v>
      </c>
    </row>
    <row r="9" spans="1:13">
      <c r="A9" t="s">
        <v>74</v>
      </c>
      <c r="B9" t="s">
        <v>65</v>
      </c>
      <c r="C9">
        <v>6483</v>
      </c>
      <c r="G9" cm="1">
        <f t="array" ref="G9">COUNTA(_xlfn.UNIQUE(_xlfn.CHOOSECOLS(_xlfn._xlws.FILTER(A2:C25,A2:A25=G6),2)))</f>
        <v>2</v>
      </c>
    </row>
    <row r="10" spans="1:13">
      <c r="A10" t="s">
        <v>76</v>
      </c>
      <c r="B10" t="s">
        <v>63</v>
      </c>
      <c r="C10">
        <v>9535</v>
      </c>
      <c r="J10" cm="1">
        <f t="array" ref="J10">COUNTA(_xlfn.UNIQUE(_xlfn.CHOOSECOLS(_xlfn._xlws.FILTER(A2:C25,A2:A25=G6),2)))</f>
        <v>2</v>
      </c>
      <c r="L10" cm="1">
        <f t="array" ref="L10">SUM(IF(A2:A25=G6,1/COUNTIFS($B$2:$B$25,$B$2:$B$25,$A$2:$A$25,G6),0))</f>
        <v>2</v>
      </c>
    </row>
    <row r="11" spans="1:13">
      <c r="A11" t="s">
        <v>76</v>
      </c>
      <c r="B11" t="s">
        <v>78</v>
      </c>
      <c r="C11">
        <v>8213</v>
      </c>
    </row>
    <row r="12" spans="1:13">
      <c r="A12" t="s">
        <v>77</v>
      </c>
      <c r="B12" t="s">
        <v>78</v>
      </c>
      <c r="C12">
        <v>8605</v>
      </c>
    </row>
    <row r="13" spans="1:13">
      <c r="A13" t="s">
        <v>73</v>
      </c>
      <c r="B13" t="s">
        <v>65</v>
      </c>
      <c r="C13">
        <v>7142</v>
      </c>
    </row>
    <row r="14" spans="1:13">
      <c r="A14" t="s">
        <v>73</v>
      </c>
      <c r="B14" t="s">
        <v>63</v>
      </c>
      <c r="C14">
        <v>9571</v>
      </c>
    </row>
    <row r="15" spans="1:13">
      <c r="A15" t="s">
        <v>75</v>
      </c>
      <c r="B15" t="s">
        <v>78</v>
      </c>
      <c r="C15">
        <v>7399</v>
      </c>
    </row>
    <row r="16" spans="1:13">
      <c r="A16" t="s">
        <v>75</v>
      </c>
      <c r="B16" t="s">
        <v>78</v>
      </c>
      <c r="C16">
        <v>9384</v>
      </c>
    </row>
    <row r="17" spans="1:3">
      <c r="A17" t="s">
        <v>76</v>
      </c>
      <c r="B17" t="s">
        <v>65</v>
      </c>
      <c r="C17">
        <v>8351</v>
      </c>
    </row>
    <row r="18" spans="1:3">
      <c r="A18" t="s">
        <v>77</v>
      </c>
      <c r="B18" t="s">
        <v>63</v>
      </c>
      <c r="C18">
        <v>9322</v>
      </c>
    </row>
    <row r="19" spans="1:3">
      <c r="A19" t="s">
        <v>73</v>
      </c>
      <c r="B19" t="s">
        <v>65</v>
      </c>
      <c r="C19">
        <v>8335</v>
      </c>
    </row>
    <row r="20" spans="1:3">
      <c r="A20" t="s">
        <v>73</v>
      </c>
      <c r="B20" t="s">
        <v>64</v>
      </c>
      <c r="C20">
        <v>9870</v>
      </c>
    </row>
    <row r="21" spans="1:3">
      <c r="A21" t="s">
        <v>74</v>
      </c>
      <c r="B21" t="s">
        <v>65</v>
      </c>
      <c r="C21">
        <v>5967</v>
      </c>
    </row>
    <row r="22" spans="1:3">
      <c r="A22" t="s">
        <v>75</v>
      </c>
      <c r="B22" t="s">
        <v>63</v>
      </c>
      <c r="C22">
        <v>9268</v>
      </c>
    </row>
    <row r="23" spans="1:3">
      <c r="A23" t="s">
        <v>77</v>
      </c>
      <c r="B23" t="s">
        <v>78</v>
      </c>
      <c r="C23">
        <v>7753</v>
      </c>
    </row>
    <row r="24" spans="1:3">
      <c r="A24" t="s">
        <v>77</v>
      </c>
      <c r="B24" t="s">
        <v>65</v>
      </c>
      <c r="C24">
        <v>8057</v>
      </c>
    </row>
    <row r="25" spans="1:3">
      <c r="A25" t="s">
        <v>73</v>
      </c>
      <c r="B25" t="s">
        <v>65</v>
      </c>
      <c r="C25">
        <v>7222</v>
      </c>
    </row>
  </sheetData>
  <dataValidations count="1">
    <dataValidation type="list" allowBlank="1" showInputMessage="1" showErrorMessage="1" sqref="G6" xr:uid="{10D373B8-5CBD-4DE6-9494-FBAD80BD2F4C}">
      <formula1>$M$2:$M$6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Company</vt:lpstr>
      <vt:lpstr>Godown</vt:lpstr>
      <vt:lpstr>Name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2020-11-07T07:40:14Z</dcterms:created>
  <dcterms:modified xsi:type="dcterms:W3CDTF">2026-01-27T08:31:14Z</dcterms:modified>
</cp:coreProperties>
</file>