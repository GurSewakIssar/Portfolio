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20A748C3-6A9C-442A-8D47-D169DD34A173}" xr6:coauthVersionLast="47" xr6:coauthVersionMax="47" xr10:uidLastSave="{00000000-0000-0000-0000-000000000000}"/>
  <bookViews>
    <workbookView xWindow="-108" yWindow="-108" windowWidth="23256" windowHeight="12456" activeTab="2" xr2:uid="{6B753DE7-8AFA-4180-B9D5-CB16B85CAFE8}"/>
  </bookViews>
  <sheets>
    <sheet name="Q-1" sheetId="3" r:id="rId1"/>
    <sheet name="Q-2" sheetId="1" r:id="rId2"/>
    <sheet name="Q-3" sheetId="2" r:id="rId3"/>
  </sheets>
  <externalReferences>
    <externalReference r:id="rId4"/>
    <externalReference r:id="rId5"/>
  </externalReferences>
  <definedNames>
    <definedName name="Agent">'[1]INDEX-1'!$A$2:$A$19</definedName>
    <definedName name="Amount">'[1]INDEX-1'!$B$2:$B$19</definedName>
    <definedName name="Company">'Q-3'!$J$2:$K$6</definedName>
    <definedName name="IDNO">'[1]INDEX-10'!$A$2:$A$29</definedName>
    <definedName name="Location">'Q-3'!$M$2:$N$6</definedName>
    <definedName name="MobileNo">'[1]INDEX-10'!$B$2:$B$29</definedName>
    <definedName name="Name">'Q-3'!$G$2:$H$6</definedName>
    <definedName name="price_List">'[2]Index-8'!$M$2:$M$4</definedName>
    <definedName name="Productivity">'[1]INDEX-2'!$K$2:$K$81</definedName>
    <definedName name="Salary">'Q-3'!$P$2:$Q$6</definedName>
    <definedName name="Shift">'[1]INDEX-2'!$J$2:$J$81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L3" i="1"/>
  <c r="K8" i="3"/>
  <c r="H11" i="3"/>
  <c r="K7" i="3"/>
  <c r="F8" i="1"/>
  <c r="I3" i="1"/>
  <c r="G13" i="1" a="1"/>
  <c r="G13" i="1" s="1"/>
  <c r="I8" i="3"/>
  <c r="G8" i="3"/>
  <c r="E13" i="3"/>
  <c r="B12" i="2"/>
  <c r="C3" i="2" a="1"/>
  <c r="C3" i="2" s="1"/>
  <c r="B11" i="2" s="1"/>
  <c r="I4" i="1"/>
  <c r="I5" i="1"/>
  <c r="D9" i="3" a="1"/>
  <c r="D9" i="3" s="1"/>
  <c r="D11" i="3"/>
  <c r="G4" i="1"/>
  <c r="G5" i="1"/>
  <c r="G3" i="1"/>
  <c r="D8" i="3" l="1"/>
  <c r="B7" i="2" l="1" a="1"/>
  <c r="B7" i="2" s="1"/>
  <c r="B6" i="2"/>
  <c r="C1" i="2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<sst xmlns="http://schemas.openxmlformats.org/spreadsheetml/2006/main" count="50" uniqueCount="32">
  <si>
    <t>Item</t>
  </si>
  <si>
    <t>Amount</t>
  </si>
  <si>
    <t>EmpID</t>
  </si>
  <si>
    <t>Name</t>
  </si>
  <si>
    <t>Company</t>
  </si>
  <si>
    <t>Location</t>
  </si>
  <si>
    <t>Salary</t>
  </si>
  <si>
    <t>Noida</t>
  </si>
  <si>
    <t>CSC</t>
  </si>
  <si>
    <t>Delhi</t>
  </si>
  <si>
    <t>Gurgaon</t>
  </si>
  <si>
    <t>UHG</t>
  </si>
  <si>
    <t>Kolkata</t>
  </si>
  <si>
    <t>TCS</t>
  </si>
  <si>
    <t>Lucknow</t>
  </si>
  <si>
    <t>We can count name in a range by using countif, but what is the way to count name in a single cell</t>
  </si>
  <si>
    <t>Vijay is good, Vijay lives in Delhi. My another friend with same name Vijay….. Vijay joined exl in 2008. Vijay has one sister named Vijaya.</t>
  </si>
  <si>
    <t>Vijay</t>
  </si>
  <si>
    <t xml:space="preserve">Count of Name </t>
  </si>
  <si>
    <t>Which item sold maximum in the table</t>
  </si>
  <si>
    <t>Total Amount</t>
  </si>
  <si>
    <t>Nokia</t>
  </si>
  <si>
    <t>Moto</t>
  </si>
  <si>
    <t>Vivo</t>
  </si>
  <si>
    <t>Anika</t>
  </si>
  <si>
    <t>Bharat</t>
  </si>
  <si>
    <t>Aarti</t>
  </si>
  <si>
    <t>Ananya</t>
  </si>
  <si>
    <t>Mehul</t>
  </si>
  <si>
    <t>HCL</t>
  </si>
  <si>
    <t>COGNIZANT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</si>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</sst>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4" borderId="0" xfId="0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List" dx="22" fmlaLink="$B$1" fmlaRange="$H$11:$H$14" sel="4" val="0"/>
</file>

<file path=xl/ctrlProps/ctrlProp2.xml><?xml version="1.0" encoding="utf-8"?>
<formControlPr xmlns="http://schemas.microsoft.com/office/spreadsheetml/2009/9/main" objectType="List" dx="26" fmlaLink="$B$3" fmlaRange="$H$11:$H$14" noThreeD="1" sel="3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28575</xdr:rowOff>
    </xdr:from>
    <xdr:to>
      <xdr:col>5</xdr:col>
      <xdr:colOff>495300</xdr:colOff>
      <xdr:row>9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409575"/>
          <a:ext cx="1104900" cy="1447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144780</xdr:rowOff>
        </xdr:from>
        <xdr:to>
          <xdr:col>5</xdr:col>
          <xdr:colOff>411480</xdr:colOff>
          <xdr:row>9</xdr:row>
          <xdr:rowOff>60960</xdr:rowOff>
        </xdr:to>
        <xdr:sp macro="" textlink="">
          <xdr:nvSpPr>
            <xdr:cNvPr id="1025" name="List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13</xdr:row>
          <xdr:rowOff>76200</xdr:rowOff>
        </xdr:from>
        <xdr:to>
          <xdr:col>1</xdr:col>
          <xdr:colOff>350520</xdr:colOff>
          <xdr:row>17</xdr:row>
          <xdr:rowOff>53340</xdr:rowOff>
        </xdr:to>
        <xdr:sp macro="" textlink="">
          <xdr:nvSpPr>
            <xdr:cNvPr id="1027" name="List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ADV%20EXCEL%20CLASS%20LECTURE\MIS%20ADVANCE%20EXCEL%20DAYWISE%20CLASS%20OLD\ADVANCE%20INTERVIEW%20TRICKS\INDEX%20KING\INDEX(Advanced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oorain%20Ansari/Desktop/Desktop%20Jun'17/DailyClass(Apr)/All%20CLasses/May-2017/9-May/Index(Advanced-9May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Sheet"/>
      <sheetName val="INDEX-1"/>
      <sheetName val="INDEX-2"/>
      <sheetName val="INDEX-3"/>
      <sheetName val="INDEX-4"/>
      <sheetName val="INDEX-5"/>
      <sheetName val="INDEX-6"/>
      <sheetName val="INDEX-7"/>
      <sheetName val="INDEX-8"/>
      <sheetName val="INDEX-9"/>
      <sheetName val="INDEX-10"/>
      <sheetName val="INDEX-11"/>
      <sheetName val="Tips of the Day"/>
      <sheetName val="Sheet14"/>
    </sheetNames>
    <sheetDataSet>
      <sheetData sheetId="0" refreshError="1"/>
      <sheetData sheetId="1">
        <row r="2">
          <cell r="A2" t="str">
            <v>Praveen Kumar</v>
          </cell>
          <cell r="B2">
            <v>5000</v>
          </cell>
        </row>
        <row r="3">
          <cell r="A3" t="str">
            <v>Abhishek Kumar</v>
          </cell>
          <cell r="B3">
            <v>14571</v>
          </cell>
        </row>
        <row r="4">
          <cell r="A4" t="str">
            <v>Pramod Kumar</v>
          </cell>
          <cell r="B4">
            <v>500</v>
          </cell>
        </row>
        <row r="5">
          <cell r="A5" t="str">
            <v>Ashok Kumar</v>
          </cell>
          <cell r="B5">
            <v>15000</v>
          </cell>
        </row>
        <row r="6">
          <cell r="A6" t="str">
            <v>Praveen Kumar</v>
          </cell>
          <cell r="B6">
            <v>4623</v>
          </cell>
        </row>
        <row r="7">
          <cell r="A7" t="str">
            <v>Ashok Kumar</v>
          </cell>
          <cell r="B7">
            <v>8721</v>
          </cell>
        </row>
        <row r="8">
          <cell r="A8" t="str">
            <v>Rahul Kumar</v>
          </cell>
          <cell r="B8">
            <v>15276</v>
          </cell>
        </row>
        <row r="9">
          <cell r="A9" t="str">
            <v>Ashok Kumar</v>
          </cell>
          <cell r="B9">
            <v>5000</v>
          </cell>
        </row>
        <row r="10">
          <cell r="A10" t="str">
            <v>Abhishek Kumar</v>
          </cell>
          <cell r="B10">
            <v>15759</v>
          </cell>
        </row>
        <row r="11">
          <cell r="A11" t="str">
            <v>Praveen Kumar</v>
          </cell>
          <cell r="B11">
            <v>12000</v>
          </cell>
        </row>
        <row r="12">
          <cell r="A12" t="str">
            <v>Rahul Kumar</v>
          </cell>
          <cell r="B12">
            <v>7177</v>
          </cell>
        </row>
        <row r="13">
          <cell r="A13" t="str">
            <v>Pramod Kumar</v>
          </cell>
          <cell r="B13">
            <v>6837</v>
          </cell>
        </row>
        <row r="14">
          <cell r="A14" t="str">
            <v>Varun Kumar</v>
          </cell>
          <cell r="B14">
            <v>3171</v>
          </cell>
        </row>
        <row r="15">
          <cell r="A15" t="str">
            <v>Abhishek Kumar</v>
          </cell>
          <cell r="B15">
            <v>50000</v>
          </cell>
        </row>
        <row r="16">
          <cell r="A16" t="str">
            <v>Ashok Kumar</v>
          </cell>
          <cell r="B16">
            <v>4690</v>
          </cell>
        </row>
        <row r="17">
          <cell r="A17" t="str">
            <v>Praveen Kumar</v>
          </cell>
          <cell r="B17">
            <v>12438</v>
          </cell>
        </row>
        <row r="18">
          <cell r="A18" t="str">
            <v>Abhishek Kumar</v>
          </cell>
          <cell r="B18">
            <v>5000</v>
          </cell>
        </row>
        <row r="19">
          <cell r="A19" t="str">
            <v>Abhishek Kumar</v>
          </cell>
          <cell r="B19">
            <v>7000</v>
          </cell>
        </row>
      </sheetData>
      <sheetData sheetId="2">
        <row r="2">
          <cell r="J2" t="str">
            <v>Evening</v>
          </cell>
          <cell r="K2">
            <v>62032</v>
          </cell>
        </row>
        <row r="3">
          <cell r="J3" t="str">
            <v>Evening</v>
          </cell>
          <cell r="K3">
            <v>44418</v>
          </cell>
        </row>
        <row r="4">
          <cell r="J4" t="str">
            <v>Evening</v>
          </cell>
          <cell r="K4">
            <v>60445</v>
          </cell>
        </row>
        <row r="5">
          <cell r="J5" t="str">
            <v>Evening</v>
          </cell>
          <cell r="K5">
            <v>34014</v>
          </cell>
        </row>
        <row r="6">
          <cell r="J6" t="str">
            <v>Evening</v>
          </cell>
          <cell r="K6">
            <v>82711</v>
          </cell>
        </row>
        <row r="7">
          <cell r="J7" t="str">
            <v>Evening</v>
          </cell>
          <cell r="K7">
            <v>87870</v>
          </cell>
        </row>
        <row r="8">
          <cell r="J8" t="str">
            <v>General</v>
          </cell>
          <cell r="K8">
            <v>36321</v>
          </cell>
        </row>
        <row r="9">
          <cell r="J9" t="str">
            <v>General</v>
          </cell>
          <cell r="K9">
            <v>66011</v>
          </cell>
        </row>
        <row r="10">
          <cell r="J10" t="str">
            <v>General</v>
          </cell>
          <cell r="K10">
            <v>67810</v>
          </cell>
        </row>
        <row r="11">
          <cell r="J11" t="str">
            <v>General</v>
          </cell>
          <cell r="K11">
            <v>60322</v>
          </cell>
        </row>
        <row r="12">
          <cell r="J12" t="str">
            <v>General</v>
          </cell>
          <cell r="K12">
            <v>43147</v>
          </cell>
        </row>
        <row r="13">
          <cell r="J13" t="str">
            <v>General</v>
          </cell>
          <cell r="K13">
            <v>90303</v>
          </cell>
        </row>
        <row r="14">
          <cell r="J14" t="str">
            <v>General</v>
          </cell>
          <cell r="K14">
            <v>99629</v>
          </cell>
        </row>
        <row r="15">
          <cell r="J15" t="str">
            <v>General</v>
          </cell>
          <cell r="K15">
            <v>1905</v>
          </cell>
        </row>
        <row r="16">
          <cell r="J16" t="str">
            <v>Morning</v>
          </cell>
          <cell r="K16">
            <v>63462</v>
          </cell>
        </row>
        <row r="17">
          <cell r="J17" t="str">
            <v>Morning</v>
          </cell>
          <cell r="K17">
            <v>34399</v>
          </cell>
        </row>
        <row r="18">
          <cell r="J18" t="str">
            <v>Morning</v>
          </cell>
          <cell r="K18">
            <v>79444</v>
          </cell>
        </row>
        <row r="19">
          <cell r="J19" t="str">
            <v>Morning</v>
          </cell>
          <cell r="K19">
            <v>13694</v>
          </cell>
        </row>
        <row r="20">
          <cell r="J20" t="str">
            <v>Morning</v>
          </cell>
          <cell r="K20">
            <v>55639</v>
          </cell>
        </row>
        <row r="21">
          <cell r="J21" t="str">
            <v>Morning</v>
          </cell>
          <cell r="K21">
            <v>68821</v>
          </cell>
        </row>
        <row r="22">
          <cell r="J22" t="str">
            <v>Night</v>
          </cell>
          <cell r="K22">
            <v>96671</v>
          </cell>
        </row>
        <row r="23">
          <cell r="J23" t="str">
            <v>Night</v>
          </cell>
          <cell r="K23">
            <v>82385</v>
          </cell>
        </row>
        <row r="24">
          <cell r="J24" t="str">
            <v>Night</v>
          </cell>
          <cell r="K24">
            <v>11359</v>
          </cell>
        </row>
        <row r="25">
          <cell r="J25" t="str">
            <v>Night</v>
          </cell>
          <cell r="K25">
            <v>8556</v>
          </cell>
        </row>
        <row r="26">
          <cell r="J26" t="str">
            <v>Night</v>
          </cell>
          <cell r="K26">
            <v>87832</v>
          </cell>
        </row>
        <row r="27">
          <cell r="J27" t="str">
            <v>Night</v>
          </cell>
          <cell r="K27">
            <v>97524</v>
          </cell>
        </row>
        <row r="28">
          <cell r="J28" t="str">
            <v>Night</v>
          </cell>
          <cell r="K28">
            <v>97309</v>
          </cell>
        </row>
        <row r="29">
          <cell r="J29" t="str">
            <v>Night</v>
          </cell>
          <cell r="K29">
            <v>85764</v>
          </cell>
        </row>
        <row r="30">
          <cell r="J30" t="str">
            <v>Morning</v>
          </cell>
          <cell r="K30">
            <v>99629</v>
          </cell>
        </row>
        <row r="31">
          <cell r="J31" t="str">
            <v>Morning</v>
          </cell>
          <cell r="K31">
            <v>1905</v>
          </cell>
        </row>
        <row r="32">
          <cell r="J32" t="str">
            <v>Morning</v>
          </cell>
          <cell r="K32">
            <v>63462</v>
          </cell>
        </row>
        <row r="33">
          <cell r="J33" t="str">
            <v>Night</v>
          </cell>
          <cell r="K33">
            <v>34399</v>
          </cell>
        </row>
        <row r="34">
          <cell r="J34" t="str">
            <v>Night</v>
          </cell>
          <cell r="K34">
            <v>79444</v>
          </cell>
        </row>
        <row r="35">
          <cell r="J35" t="str">
            <v>General</v>
          </cell>
          <cell r="K35">
            <v>43147</v>
          </cell>
        </row>
        <row r="36">
          <cell r="J36" t="str">
            <v>General</v>
          </cell>
          <cell r="K36">
            <v>90303</v>
          </cell>
        </row>
        <row r="37">
          <cell r="J37" t="str">
            <v>General</v>
          </cell>
          <cell r="K37">
            <v>99629</v>
          </cell>
        </row>
        <row r="38">
          <cell r="J38" t="str">
            <v>General</v>
          </cell>
          <cell r="K38">
            <v>1905</v>
          </cell>
        </row>
        <row r="39">
          <cell r="J39" t="str">
            <v>Morning</v>
          </cell>
          <cell r="K39">
            <v>63462</v>
          </cell>
        </row>
        <row r="40">
          <cell r="J40" t="str">
            <v>Morning</v>
          </cell>
          <cell r="K40">
            <v>34399</v>
          </cell>
        </row>
        <row r="41">
          <cell r="J41" t="str">
            <v>Morning</v>
          </cell>
          <cell r="K41">
            <v>79444</v>
          </cell>
        </row>
        <row r="42">
          <cell r="J42" t="str">
            <v>Evening</v>
          </cell>
          <cell r="K42">
            <v>62032</v>
          </cell>
        </row>
        <row r="43">
          <cell r="J43" t="str">
            <v>Evening</v>
          </cell>
          <cell r="K43">
            <v>44418</v>
          </cell>
        </row>
        <row r="44">
          <cell r="J44" t="str">
            <v>Evening</v>
          </cell>
          <cell r="K44">
            <v>60445</v>
          </cell>
        </row>
        <row r="45">
          <cell r="J45" t="str">
            <v>Evening</v>
          </cell>
          <cell r="K45">
            <v>34014</v>
          </cell>
        </row>
        <row r="46">
          <cell r="J46" t="str">
            <v>Evening</v>
          </cell>
          <cell r="K46">
            <v>82711</v>
          </cell>
        </row>
        <row r="47">
          <cell r="J47" t="str">
            <v>Evening</v>
          </cell>
          <cell r="K47">
            <v>87870</v>
          </cell>
        </row>
        <row r="48">
          <cell r="J48" t="str">
            <v>General</v>
          </cell>
          <cell r="K48">
            <v>36321</v>
          </cell>
        </row>
        <row r="49">
          <cell r="J49" t="str">
            <v>General</v>
          </cell>
          <cell r="K49">
            <v>66011</v>
          </cell>
        </row>
        <row r="50">
          <cell r="J50" t="str">
            <v>General</v>
          </cell>
          <cell r="K50">
            <v>67810</v>
          </cell>
        </row>
        <row r="51">
          <cell r="J51" t="str">
            <v>General</v>
          </cell>
          <cell r="K51">
            <v>60322</v>
          </cell>
        </row>
        <row r="52">
          <cell r="J52" t="str">
            <v>General</v>
          </cell>
          <cell r="K52">
            <v>43147</v>
          </cell>
        </row>
        <row r="53">
          <cell r="J53" t="str">
            <v>General</v>
          </cell>
          <cell r="K53">
            <v>90303</v>
          </cell>
        </row>
        <row r="54">
          <cell r="J54" t="str">
            <v>General</v>
          </cell>
          <cell r="K54">
            <v>99629</v>
          </cell>
        </row>
        <row r="55">
          <cell r="J55" t="str">
            <v>General</v>
          </cell>
          <cell r="K55">
            <v>1905</v>
          </cell>
        </row>
        <row r="56">
          <cell r="J56" t="str">
            <v>Morning</v>
          </cell>
          <cell r="K56">
            <v>63462</v>
          </cell>
        </row>
        <row r="57">
          <cell r="J57" t="str">
            <v>Morning</v>
          </cell>
          <cell r="K57">
            <v>34399</v>
          </cell>
        </row>
        <row r="58">
          <cell r="J58" t="str">
            <v>Morning</v>
          </cell>
          <cell r="K58">
            <v>79444</v>
          </cell>
        </row>
        <row r="59">
          <cell r="J59" t="str">
            <v>Morning</v>
          </cell>
          <cell r="K59">
            <v>13694</v>
          </cell>
        </row>
        <row r="60">
          <cell r="J60" t="str">
            <v>Morning</v>
          </cell>
          <cell r="K60">
            <v>55639</v>
          </cell>
        </row>
        <row r="61">
          <cell r="J61" t="str">
            <v>Morning</v>
          </cell>
          <cell r="K61">
            <v>68821</v>
          </cell>
        </row>
        <row r="62">
          <cell r="J62" t="str">
            <v>Night</v>
          </cell>
          <cell r="K62">
            <v>96671</v>
          </cell>
        </row>
        <row r="63">
          <cell r="J63" t="str">
            <v>Night</v>
          </cell>
          <cell r="K63">
            <v>82385</v>
          </cell>
        </row>
        <row r="64">
          <cell r="J64" t="str">
            <v>Night</v>
          </cell>
          <cell r="K64">
            <v>11359</v>
          </cell>
        </row>
        <row r="65">
          <cell r="J65" t="str">
            <v>Night</v>
          </cell>
          <cell r="K65">
            <v>8556</v>
          </cell>
        </row>
        <row r="66">
          <cell r="J66" t="str">
            <v>Night</v>
          </cell>
          <cell r="K66">
            <v>87832</v>
          </cell>
        </row>
        <row r="67">
          <cell r="J67" t="str">
            <v>Night</v>
          </cell>
          <cell r="K67">
            <v>97524</v>
          </cell>
        </row>
        <row r="68">
          <cell r="J68" t="str">
            <v>Night</v>
          </cell>
          <cell r="K68">
            <v>97309</v>
          </cell>
        </row>
        <row r="69">
          <cell r="J69" t="str">
            <v>Night</v>
          </cell>
          <cell r="K69">
            <v>85764</v>
          </cell>
        </row>
        <row r="70">
          <cell r="J70" t="str">
            <v>Morning</v>
          </cell>
          <cell r="K70">
            <v>99629</v>
          </cell>
        </row>
        <row r="71">
          <cell r="J71" t="str">
            <v>Morning</v>
          </cell>
          <cell r="K71">
            <v>1905</v>
          </cell>
        </row>
        <row r="72">
          <cell r="J72" t="str">
            <v>Morning</v>
          </cell>
          <cell r="K72">
            <v>63462</v>
          </cell>
        </row>
        <row r="73">
          <cell r="J73" t="str">
            <v>Night</v>
          </cell>
          <cell r="K73">
            <v>34399</v>
          </cell>
        </row>
        <row r="74">
          <cell r="J74" t="str">
            <v>Night</v>
          </cell>
          <cell r="K74">
            <v>79444</v>
          </cell>
        </row>
        <row r="75">
          <cell r="J75" t="str">
            <v>General</v>
          </cell>
          <cell r="K75">
            <v>43147</v>
          </cell>
        </row>
        <row r="76">
          <cell r="J76" t="str">
            <v>General</v>
          </cell>
          <cell r="K76">
            <v>90303</v>
          </cell>
        </row>
        <row r="77">
          <cell r="J77" t="str">
            <v>General</v>
          </cell>
          <cell r="K77">
            <v>99629</v>
          </cell>
        </row>
        <row r="78">
          <cell r="J78" t="str">
            <v>General</v>
          </cell>
          <cell r="K78">
            <v>1905</v>
          </cell>
        </row>
        <row r="79">
          <cell r="J79" t="str">
            <v>Morning</v>
          </cell>
          <cell r="K79">
            <v>63462</v>
          </cell>
        </row>
        <row r="80">
          <cell r="J80" t="str">
            <v>Morning</v>
          </cell>
          <cell r="K80">
            <v>34399</v>
          </cell>
        </row>
        <row r="81">
          <cell r="J81" t="str">
            <v>Morning</v>
          </cell>
          <cell r="K81">
            <v>79444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ID001</v>
          </cell>
          <cell r="B2">
            <v>9929305255</v>
          </cell>
        </row>
        <row r="3">
          <cell r="A3" t="str">
            <v>ID001</v>
          </cell>
          <cell r="B3">
            <v>9915907803</v>
          </cell>
        </row>
        <row r="4">
          <cell r="A4" t="str">
            <v>ID001</v>
          </cell>
          <cell r="B4">
            <v>9925270754</v>
          </cell>
        </row>
        <row r="5">
          <cell r="A5" t="str">
            <v>ID003</v>
          </cell>
          <cell r="B5">
            <v>9920301645</v>
          </cell>
        </row>
        <row r="6">
          <cell r="A6" t="str">
            <v>ID004</v>
          </cell>
          <cell r="B6">
            <v>9932302794</v>
          </cell>
        </row>
        <row r="7">
          <cell r="A7" t="str">
            <v>ID002</v>
          </cell>
          <cell r="B7">
            <v>9926172814</v>
          </cell>
        </row>
        <row r="8">
          <cell r="A8" t="str">
            <v>ID002</v>
          </cell>
          <cell r="B8">
            <v>9928936624</v>
          </cell>
        </row>
        <row r="9">
          <cell r="A9" t="str">
            <v>ID002</v>
          </cell>
          <cell r="B9">
            <v>9911275266</v>
          </cell>
        </row>
        <row r="10">
          <cell r="A10" t="str">
            <v>ID003</v>
          </cell>
          <cell r="B10">
            <v>9924194897</v>
          </cell>
        </row>
        <row r="11">
          <cell r="A11" t="str">
            <v>ID001</v>
          </cell>
          <cell r="B11">
            <v>9914589955</v>
          </cell>
        </row>
        <row r="12">
          <cell r="A12" t="str">
            <v>ID002</v>
          </cell>
          <cell r="B12">
            <v>9925380505</v>
          </cell>
        </row>
        <row r="13">
          <cell r="A13" t="str">
            <v>ID004</v>
          </cell>
          <cell r="B13">
            <v>9932881770</v>
          </cell>
        </row>
        <row r="14">
          <cell r="A14" t="str">
            <v>ID003</v>
          </cell>
          <cell r="B14">
            <v>9922169462</v>
          </cell>
        </row>
        <row r="15">
          <cell r="A15" t="str">
            <v>ID003</v>
          </cell>
          <cell r="B15">
            <v>9911222198</v>
          </cell>
        </row>
        <row r="16">
          <cell r="A16" t="str">
            <v>ID003</v>
          </cell>
          <cell r="B16">
            <v>9921428966</v>
          </cell>
        </row>
        <row r="17">
          <cell r="A17" t="str">
            <v>ID002</v>
          </cell>
          <cell r="B17">
            <v>9924990342</v>
          </cell>
        </row>
        <row r="18">
          <cell r="A18" t="str">
            <v>ID002</v>
          </cell>
          <cell r="B18">
            <v>9932981352</v>
          </cell>
        </row>
        <row r="19">
          <cell r="A19" t="str">
            <v>ID004</v>
          </cell>
          <cell r="B19">
            <v>9926770997</v>
          </cell>
        </row>
        <row r="20">
          <cell r="A20" t="str">
            <v>ID004</v>
          </cell>
          <cell r="B20">
            <v>9930604297</v>
          </cell>
        </row>
        <row r="21">
          <cell r="A21" t="str">
            <v>ID004</v>
          </cell>
          <cell r="B21">
            <v>9914380558</v>
          </cell>
        </row>
        <row r="22">
          <cell r="A22" t="str">
            <v>ID004</v>
          </cell>
          <cell r="B22">
            <v>9929444925</v>
          </cell>
        </row>
        <row r="23">
          <cell r="A23" t="str">
            <v>ID003</v>
          </cell>
          <cell r="B23">
            <v>9912578108</v>
          </cell>
        </row>
        <row r="24">
          <cell r="A24" t="str">
            <v>ID001</v>
          </cell>
          <cell r="B24">
            <v>9916019013</v>
          </cell>
        </row>
        <row r="25">
          <cell r="A25" t="str">
            <v>ID002</v>
          </cell>
          <cell r="B25">
            <v>9930830466</v>
          </cell>
        </row>
        <row r="26">
          <cell r="A26" t="str">
            <v>ID002</v>
          </cell>
          <cell r="B26">
            <v>9922320795</v>
          </cell>
        </row>
        <row r="27">
          <cell r="A27" t="str">
            <v>ID002</v>
          </cell>
          <cell r="B27">
            <v>9917396051</v>
          </cell>
        </row>
        <row r="28">
          <cell r="A28" t="str">
            <v>ID003</v>
          </cell>
          <cell r="B28">
            <v>9930940573</v>
          </cell>
        </row>
        <row r="29">
          <cell r="A29" t="str">
            <v>ID001</v>
          </cell>
          <cell r="B29">
            <v>9932622918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-1"/>
      <sheetName val="Index-2"/>
      <sheetName val="Index-3"/>
      <sheetName val="Index-4"/>
      <sheetName val="Index-5"/>
      <sheetName val="Index-6"/>
      <sheetName val="Index-7"/>
      <sheetName val="Index-8"/>
      <sheetName val="Index-9"/>
      <sheetName val="Index-10"/>
      <sheetName val="Sheet1"/>
    </sheetNames>
    <sheetDataSet>
      <sheetData sheetId="0"/>
      <sheetData sheetId="1"/>
      <sheetData sheetId="2">
        <row r="2">
          <cell r="T2" t="str">
            <v>Praveen Kumar</v>
          </cell>
        </row>
      </sheetData>
      <sheetData sheetId="3"/>
      <sheetData sheetId="4"/>
      <sheetData sheetId="5"/>
      <sheetData sheetId="6"/>
      <sheetData sheetId="7">
        <row r="2">
          <cell r="M2" t="str">
            <v>Apple90</v>
          </cell>
        </row>
        <row r="3">
          <cell r="M3" t="str">
            <v>Mango58</v>
          </cell>
        </row>
        <row r="4">
          <cell r="M4" t="str">
            <v>Orange76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FB57-CC68-47AB-B32A-F4BEAFE8D32D}">
  <dimension ref="A2:O13"/>
  <sheetViews>
    <sheetView zoomScale="119" zoomScaleNormal="119" workbookViewId="0">
      <selection activeCell="K9" sqref="K9"/>
    </sheetView>
  </sheetViews>
  <sheetFormatPr defaultRowHeight="14.4" x14ac:dyDescent="0.3"/>
  <sheetData>
    <row r="2" spans="1:15" x14ac:dyDescent="0.3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x14ac:dyDescent="0.3">
      <c r="A4" s="6" t="s">
        <v>16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C7" t="s">
        <v>18</v>
      </c>
      <c r="K7">
        <f>COUNTA(_xlfn.TEXTSPLIT(A4,{"Vijay ","Vijay….."},))-1</f>
        <v>5</v>
      </c>
    </row>
    <row r="8" spans="1:15" x14ac:dyDescent="0.3">
      <c r="C8" t="s">
        <v>17</v>
      </c>
      <c r="D8">
        <f>(LEN(A4)-LEN(SUBSTITUTE(A4,C8,"")))/LEN(C8)</f>
        <v>6</v>
      </c>
      <c r="E8">
        <v>5</v>
      </c>
      <c r="G8">
        <f>(LEN(A4) - LEN(SUBSTITUTE(SUBSTITUTE(A4,"….."," "),"Vijay ", "")) + 2)/ (LEN(C8)+1)</f>
        <v>5.666666666666667</v>
      </c>
      <c r="I8" s="4">
        <f>COUNTA(_xlfn.TEXTSPLIT(SUBSTITUTE(A4,"…..",""), "Vijay "))-1</f>
        <v>5</v>
      </c>
      <c r="K8">
        <f>_xlfn.LET(_xlpm.a,SUBSTITUTE(A4,_xlfn.UNICHAR(H11)," "),(LEN(_xlpm.a)-LEN(SUBSTITUTE(_xlpm.a,"Vijay ","")))/(LEN(C8)+1))</f>
        <v>5</v>
      </c>
    </row>
    <row r="9" spans="1:15" x14ac:dyDescent="0.3">
      <c r="D9" cm="1">
        <f t="array" ref="D9">SUM(IF(_xlfn.TEXTSPLIT(SUBSTITUTE(SUBSTITUTE(A4,CHAR(133),""), CHAR(46),""), " ") = "Vijay",1,0))</f>
        <v>5</v>
      </c>
    </row>
    <row r="11" spans="1:15" x14ac:dyDescent="0.3">
      <c r="D11">
        <f>CODE("…..")</f>
        <v>133</v>
      </c>
      <c r="H11">
        <f>_xlfn.UNICODE("…..")</f>
        <v>8230</v>
      </c>
    </row>
    <row r="13" spans="1:15" x14ac:dyDescent="0.3">
      <c r="E13">
        <f>LEN("…..")</f>
        <v>3</v>
      </c>
    </row>
  </sheetData>
  <mergeCells count="2">
    <mergeCell ref="A2:O2"/>
    <mergeCell ref="A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27F2-F6FE-4632-A008-FEB75860DBB5}">
  <dimension ref="A1:L13"/>
  <sheetViews>
    <sheetView workbookViewId="0">
      <selection activeCell="L4" sqref="L4"/>
    </sheetView>
  </sheetViews>
  <sheetFormatPr defaultRowHeight="14.4" x14ac:dyDescent="0.3"/>
  <cols>
    <col min="1" max="1" width="6.109375" bestFit="1" customWidth="1"/>
    <col min="2" max="2" width="8.109375" bestFit="1" customWidth="1"/>
  </cols>
  <sheetData>
    <row r="1" spans="1:12" x14ac:dyDescent="0.3">
      <c r="A1" t="s">
        <v>0</v>
      </c>
      <c r="B1" t="s">
        <v>1</v>
      </c>
    </row>
    <row r="2" spans="1:12" x14ac:dyDescent="0.3">
      <c r="A2" t="s">
        <v>21</v>
      </c>
      <c r="B2">
        <v>13305</v>
      </c>
      <c r="F2" s="3" t="s">
        <v>0</v>
      </c>
      <c r="G2" s="3" t="s">
        <v>20</v>
      </c>
      <c r="H2" s="3"/>
    </row>
    <row r="3" spans="1:12" x14ac:dyDescent="0.3">
      <c r="A3" t="s">
        <v>22</v>
      </c>
      <c r="B3">
        <v>12517</v>
      </c>
      <c r="F3" t="s">
        <v>21</v>
      </c>
      <c r="G3">
        <f>IF(COUNTIF($A$2:A2,A2)=1,SUMIF($A$2:$A$10,A2,$B$2:$B$10),"")</f>
        <v>40955</v>
      </c>
      <c r="I3">
        <f>SUMIF($A$2:$A$10,F3,$B$2:$B$10)</f>
        <v>40955</v>
      </c>
      <c r="L3" t="str">
        <f>INDEX(A2:A10,MATCH(LARGE(B2:B10,1),B2:B10,0))</f>
        <v>Nokia</v>
      </c>
    </row>
    <row r="4" spans="1:12" x14ac:dyDescent="0.3">
      <c r="A4" t="s">
        <v>23</v>
      </c>
      <c r="B4">
        <v>10695</v>
      </c>
      <c r="F4" t="s">
        <v>22</v>
      </c>
      <c r="G4">
        <f>IF(COUNTIF($A$2:A3,A3)=1,SUMIF($A$2:$A$10,A3,$B$2:$B$10),"")</f>
        <v>38103</v>
      </c>
      <c r="I4">
        <f t="shared" ref="I4:I5" si="0">SUMIF($A$2:$A$10,F4,$B$2:$B$10)</f>
        <v>38103</v>
      </c>
    </row>
    <row r="5" spans="1:12" x14ac:dyDescent="0.3">
      <c r="A5" t="s">
        <v>21</v>
      </c>
      <c r="B5">
        <v>14622</v>
      </c>
      <c r="F5" t="s">
        <v>23</v>
      </c>
      <c r="G5">
        <f>IF(COUNTIF($A$2:A4,A4)=1,SUMIF($A$2:$A$10,A4,$B$2:$B$10),"")</f>
        <v>38678</v>
      </c>
      <c r="I5">
        <f t="shared" si="0"/>
        <v>38678</v>
      </c>
    </row>
    <row r="6" spans="1:12" x14ac:dyDescent="0.3">
      <c r="A6" t="s">
        <v>22</v>
      </c>
      <c r="B6">
        <v>14084</v>
      </c>
    </row>
    <row r="7" spans="1:12" x14ac:dyDescent="0.3">
      <c r="A7" t="s">
        <v>23</v>
      </c>
      <c r="B7">
        <v>14042</v>
      </c>
      <c r="F7" s="1" t="s">
        <v>19</v>
      </c>
    </row>
    <row r="8" spans="1:12" x14ac:dyDescent="0.3">
      <c r="A8" t="s">
        <v>21</v>
      </c>
      <c r="B8">
        <v>13028</v>
      </c>
      <c r="F8" t="str">
        <f>INDEX($A$2:$A$10,MATCH(MAX($B$2:$B$10),$B$2:$B$10,0))</f>
        <v>Nokia</v>
      </c>
    </row>
    <row r="9" spans="1:12" x14ac:dyDescent="0.3">
      <c r="A9" t="s">
        <v>22</v>
      </c>
      <c r="B9">
        <v>11502</v>
      </c>
    </row>
    <row r="10" spans="1:12" x14ac:dyDescent="0.3">
      <c r="A10" t="s">
        <v>23</v>
      </c>
      <c r="B10">
        <v>13941</v>
      </c>
    </row>
    <row r="13" spans="1:12" x14ac:dyDescent="0.3">
      <c r="G13" s="4" t="str" cm="1">
        <f t="array" ref="G13">_xlfn.CHOOSEROWS(_xlfn.UNIQUE(IF(SUMIF(A2:A10,A2:A10,B2:B10) = MAX(SUMIF(A2:A10,A2:A10,B2:B10)),A2:A10,"")),1)</f>
        <v>Nokia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2BD7-A63B-489D-9289-C60BA797282F}">
  <dimension ref="A1:Q14"/>
  <sheetViews>
    <sheetView tabSelected="1" zoomScale="95" workbookViewId="0">
      <selection activeCell="G16" sqref="G16"/>
    </sheetView>
  </sheetViews>
  <sheetFormatPr defaultRowHeight="14.4" x14ac:dyDescent="0.3"/>
  <cols>
    <col min="1" max="1" width="11" customWidth="1"/>
    <col min="11" max="11" width="11.5546875" bestFit="1" customWidth="1"/>
  </cols>
  <sheetData>
    <row r="1" spans="1:17" x14ac:dyDescent="0.3">
      <c r="B1">
        <v>4</v>
      </c>
      <c r="C1" t="str">
        <f>CHOOSE(B1,H11,H12,H13,H14)</f>
        <v>Salary</v>
      </c>
      <c r="G1" s="3" t="s">
        <v>2</v>
      </c>
      <c r="H1" s="3" t="s">
        <v>3</v>
      </c>
      <c r="J1" s="3" t="s">
        <v>2</v>
      </c>
      <c r="K1" s="3" t="s">
        <v>4</v>
      </c>
      <c r="M1" s="3" t="s">
        <v>2</v>
      </c>
      <c r="N1" s="3" t="s">
        <v>5</v>
      </c>
      <c r="P1" s="3" t="s">
        <v>2</v>
      </c>
      <c r="Q1" s="3" t="s">
        <v>6</v>
      </c>
    </row>
    <row r="2" spans="1:17" x14ac:dyDescent="0.3">
      <c r="G2">
        <v>111</v>
      </c>
      <c r="H2" t="s">
        <v>24</v>
      </c>
      <c r="J2">
        <v>111</v>
      </c>
      <c r="K2" t="s">
        <v>29</v>
      </c>
      <c r="M2">
        <v>111</v>
      </c>
      <c r="N2" t="s">
        <v>7</v>
      </c>
      <c r="P2">
        <v>111</v>
      </c>
      <c r="Q2">
        <v>24725</v>
      </c>
    </row>
    <row r="3" spans="1:17" x14ac:dyDescent="0.3">
      <c r="B3">
        <v>3</v>
      </c>
      <c r="C3" t="str" cm="1">
        <f t="array" ref="C3">INDEX(H11:H14,B3)</f>
        <v>Location</v>
      </c>
      <c r="G3">
        <v>222</v>
      </c>
      <c r="H3" t="s">
        <v>25</v>
      </c>
      <c r="J3">
        <v>222</v>
      </c>
      <c r="K3" t="s">
        <v>8</v>
      </c>
      <c r="M3">
        <v>222</v>
      </c>
      <c r="N3" t="s">
        <v>9</v>
      </c>
      <c r="P3">
        <v>222</v>
      </c>
      <c r="Q3">
        <v>24090</v>
      </c>
    </row>
    <row r="4" spans="1:17" x14ac:dyDescent="0.3">
      <c r="G4">
        <v>333</v>
      </c>
      <c r="H4" t="s">
        <v>26</v>
      </c>
      <c r="J4">
        <v>333</v>
      </c>
      <c r="K4" t="s">
        <v>30</v>
      </c>
      <c r="M4">
        <v>333</v>
      </c>
      <c r="N4" t="s">
        <v>10</v>
      </c>
      <c r="P4">
        <v>333</v>
      </c>
      <c r="Q4">
        <v>20742</v>
      </c>
    </row>
    <row r="5" spans="1:17" x14ac:dyDescent="0.3">
      <c r="G5">
        <v>444</v>
      </c>
      <c r="H5" t="s">
        <v>27</v>
      </c>
      <c r="J5">
        <v>444</v>
      </c>
      <c r="K5" t="s">
        <v>11</v>
      </c>
      <c r="M5">
        <v>444</v>
      </c>
      <c r="N5" t="s">
        <v>12</v>
      </c>
      <c r="P5">
        <v>444</v>
      </c>
      <c r="Q5">
        <v>22799</v>
      </c>
    </row>
    <row r="6" spans="1:17" x14ac:dyDescent="0.3">
      <c r="A6" t="s">
        <v>2</v>
      </c>
      <c r="B6" t="str">
        <f>CHOOSE(B1,H11,H12,H13,H14)</f>
        <v>Salary</v>
      </c>
      <c r="G6">
        <v>555</v>
      </c>
      <c r="H6" t="s">
        <v>28</v>
      </c>
      <c r="J6">
        <v>555</v>
      </c>
      <c r="K6" t="s">
        <v>13</v>
      </c>
      <c r="M6">
        <v>555</v>
      </c>
      <c r="N6" t="s">
        <v>14</v>
      </c>
      <c r="P6">
        <v>555</v>
      </c>
      <c r="Q6">
        <v>27550</v>
      </c>
    </row>
    <row r="7" spans="1:17" x14ac:dyDescent="0.3">
      <c r="A7">
        <v>333</v>
      </c>
      <c r="B7">
        <f t="array" ref="B7">INDEX(($H$2:$H$6,$K$2:$K$6,$N$2:$N$6,$Q$2:$Q$6),MATCH($A$7,$G$2:$G$6,0),0,B1)</f>
        <v>20742</v>
      </c>
      <c r="C7">
        <f ca="1">VLOOKUP(A7, INDIRECT(C1),2,0)</f>
        <v>20742</v>
      </c>
    </row>
    <row r="9" spans="1:17" x14ac:dyDescent="0.3">
      <c r="B9">
        <f>VLOOKUP(A7,CHOOSE({1,2},G2:G6,CHOOSE(B1,H2:H6,K2:K6,N2:N6,Q2:Q6)),2,0)</f>
        <v>20742</v>
      </c>
    </row>
    <row r="11" spans="1:17" x14ac:dyDescent="0.3">
      <c r="A11" t="s">
        <v>31</v>
      </c>
      <c r="B11" t="str">
        <f>C3</f>
        <v>Location</v>
      </c>
      <c r="H11" t="s">
        <v>3</v>
      </c>
    </row>
    <row r="12" spans="1:17" x14ac:dyDescent="0.3">
      <c r="A12">
        <v>333</v>
      </c>
      <c r="B12" t="str">
        <f>INDEX((G2:H6,J2:K6,M2:N6,P2:Q6),MATCH(A12,G2:G6,0),2,B3)</f>
        <v>Gurgaon</v>
      </c>
      <c r="H12" t="s">
        <v>4</v>
      </c>
    </row>
    <row r="13" spans="1:17" x14ac:dyDescent="0.3">
      <c r="H13" t="s">
        <v>5</v>
      </c>
    </row>
    <row r="14" spans="1:17" x14ac:dyDescent="0.3">
      <c r="H14" t="s">
        <v>6</v>
      </c>
    </row>
  </sheetData>
  <dataValidations count="1">
    <dataValidation type="list" allowBlank="1" showInputMessage="1" showErrorMessage="1" sqref="A12" xr:uid="{EDCEF65E-616D-48A1-8951-351A7F261A8A}">
      <formula1>$G$2:$G$6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List Box 1">
              <controlPr defaultSize="0" autoLine="0" autoPict="0">
                <anchor moveWithCells="1">
                  <from>
                    <xdr:col>4</xdr:col>
                    <xdr:colOff>114300</xdr:colOff>
                    <xdr:row>2</xdr:row>
                    <xdr:rowOff>144780</xdr:rowOff>
                  </from>
                  <to>
                    <xdr:col>5</xdr:col>
                    <xdr:colOff>411480</xdr:colOff>
                    <xdr:row>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List Box 3">
              <controlPr defaultSize="0" autoLine="0" autoPict="0">
                <anchor moveWithCells="1">
                  <from>
                    <xdr:col>0</xdr:col>
                    <xdr:colOff>403860</xdr:colOff>
                    <xdr:row>13</xdr:row>
                    <xdr:rowOff>76200</xdr:rowOff>
                  </from>
                  <to>
                    <xdr:col>1</xdr:col>
                    <xdr:colOff>350520</xdr:colOff>
                    <xdr:row>17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Q-1</vt:lpstr>
      <vt:lpstr>Q-2</vt:lpstr>
      <vt:lpstr>Q-3</vt:lpstr>
      <vt:lpstr>Company</vt:lpstr>
      <vt:lpstr>Location</vt:lpstr>
      <vt:lpstr>Name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2022-03-17T09:43:18Z</dcterms:created>
  <dcterms:modified xsi:type="dcterms:W3CDTF">2026-01-29T17:15:48Z</dcterms:modified>
</cp:coreProperties>
</file>