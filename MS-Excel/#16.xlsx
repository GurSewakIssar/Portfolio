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2"/>
  <workbookPr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F4D634A4-ECB3-4FD7-9A41-ADB51F209E9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1" sheetId="5" r:id="rId1"/>
    <sheet name="Q2" sheetId="3" r:id="rId2"/>
    <sheet name="Q3" sheetId="1" r:id="rId3"/>
    <sheet name="Q4" sheetId="4" r:id="rId4"/>
    <sheet name="Q5" sheetId="6" r:id="rId5"/>
  </sheets>
  <definedNames>
    <definedName name="applist">INDEX(('Q1'!$A$4:$A$18,'Q1'!$B$4:$B$15,'Q1'!$C$4:$C$16),,,'Q1'!$I$3)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2" i="6"/>
  <c r="I6" i="1"/>
  <c r="H6" i="1" a="1"/>
  <c r="H6" i="1" s="1"/>
  <c r="L7" i="3"/>
  <c r="L6" i="3"/>
  <c r="G20" i="5" a="1"/>
  <c r="G20" i="5" s="1"/>
  <c r="E8" i="1"/>
  <c r="J4" i="5" a="1"/>
  <c r="J4" i="5"/>
  <c r="O4" i="5" a="1"/>
  <c r="O4" i="5" s="1"/>
  <c r="N4" i="5" a="1"/>
  <c r="N4" i="5" s="1"/>
  <c r="B7" i="6" a="1"/>
  <c r="B7" i="6"/>
  <c r="B8" i="6" a="1"/>
  <c r="B8" i="6"/>
  <c r="B6" i="6" a="1"/>
  <c r="B6" i="6" s="1"/>
  <c r="F6" i="1"/>
  <c r="J7" i="3" a="1"/>
  <c r="J7" i="3"/>
  <c r="J6" i="3" a="1"/>
  <c r="J6" i="3" s="1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4" i="5"/>
  <c r="K5" i="5" a="1"/>
  <c r="K5" i="5" s="1"/>
  <c r="K6" i="5" a="1"/>
  <c r="K6" i="5" s="1"/>
  <c r="K7" i="5" a="1"/>
  <c r="K7" i="5"/>
  <c r="K8" i="5" a="1"/>
  <c r="K8" i="5"/>
  <c r="K9" i="5" a="1"/>
  <c r="K9" i="5"/>
  <c r="K10" i="5" a="1"/>
  <c r="K10" i="5"/>
  <c r="K11" i="5" a="1"/>
  <c r="K11" i="5" s="1"/>
  <c r="K12" i="5" a="1"/>
  <c r="K12" i="5" s="1"/>
  <c r="K13" i="5" a="1"/>
  <c r="K13" i="5" s="1"/>
  <c r="K14" i="5" a="1"/>
  <c r="K14" i="5" s="1"/>
  <c r="K15" i="5" a="1"/>
  <c r="K15" i="5"/>
  <c r="K16" i="5" a="1"/>
  <c r="K16" i="5" s="1"/>
  <c r="K17" i="5" a="1"/>
  <c r="K17" i="5" s="1"/>
  <c r="K18" i="5" a="1"/>
  <c r="K18" i="5" s="1"/>
  <c r="K4" i="5" a="1"/>
  <c r="K4" i="5" s="1"/>
  <c r="J5" i="5" a="1"/>
  <c r="J5" i="5"/>
  <c r="J6" i="5" a="1"/>
  <c r="J6" i="5"/>
  <c r="J7" i="5" a="1"/>
  <c r="J7" i="5"/>
  <c r="J8" i="5" a="1"/>
  <c r="J8" i="5"/>
  <c r="J9" i="5" a="1"/>
  <c r="J9" i="5"/>
  <c r="J10" i="5" a="1"/>
  <c r="J10" i="5"/>
  <c r="J11" i="5" a="1"/>
  <c r="J11" i="5"/>
  <c r="J12" i="5" a="1"/>
  <c r="J12" i="5"/>
  <c r="J13" i="5" a="1"/>
  <c r="J13" i="5"/>
  <c r="J14" i="5" a="1"/>
  <c r="J14" i="5"/>
  <c r="J15" i="5" a="1"/>
  <c r="J15" i="5"/>
  <c r="J16" i="5" a="1"/>
  <c r="J16" i="5"/>
  <c r="J17" i="5" a="1"/>
  <c r="J17" i="5"/>
  <c r="J18" i="5" a="1"/>
  <c r="J18" i="5"/>
  <c r="B3" i="6"/>
  <c r="B4" i="6"/>
  <c r="B2" i="6"/>
  <c r="H20" i="5" a="1"/>
  <c r="H20" i="5" l="1"/>
  <c r="B10" i="4"/>
  <c r="B7" i="4"/>
  <c r="E6" i="1" a="1"/>
  <c r="E6" i="1" s="1"/>
  <c r="I7" i="3" a="1"/>
  <c r="I7" i="3" s="1"/>
  <c r="I6" i="3" a="1"/>
  <c r="I6" i="3" s="1"/>
  <c r="B16" i="4"/>
  <c r="B13" i="4"/>
  <c r="G16" i="5"/>
  <c r="G18" i="5"/>
  <c r="G11" i="5"/>
  <c r="G7" i="5"/>
  <c r="G13" i="5"/>
  <c r="G6" i="5"/>
  <c r="G9" i="5"/>
  <c r="G12" i="5"/>
  <c r="G4" i="5"/>
  <c r="G8" i="5"/>
  <c r="G10" i="5"/>
  <c r="G15" i="5"/>
  <c r="G14" i="5"/>
  <c r="G5" i="5"/>
  <c r="G17" i="5"/>
  <c r="H17" i="5"/>
  <c r="H14" i="5"/>
  <c r="H12" i="5"/>
  <c r="H6" i="5"/>
  <c r="H18" i="5"/>
  <c r="H8" i="5"/>
  <c r="H16" i="5"/>
  <c r="H7" i="5"/>
  <c r="H15" i="5"/>
  <c r="H4" i="5"/>
  <c r="H9" i="5"/>
  <c r="H11" i="5"/>
  <c r="H13" i="5"/>
  <c r="H5" i="5"/>
  <c r="H1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<sst xmlns="http://schemas.openxmlformats.org/spreadsheetml/2006/main" count="165" uniqueCount="104">
  <si>
    <t>Designation</t>
  </si>
  <si>
    <t>Empid</t>
  </si>
  <si>
    <t>XX</t>
  </si>
  <si>
    <t>Sum of the values by ignoring errors</t>
  </si>
  <si>
    <t>YY</t>
  </si>
  <si>
    <t>ZZ</t>
  </si>
  <si>
    <t>#VALUE</t>
  </si>
  <si>
    <t>Person</t>
  </si>
  <si>
    <t>Department</t>
  </si>
  <si>
    <t>Sale</t>
  </si>
  <si>
    <t>AA</t>
  </si>
  <si>
    <t>BB</t>
  </si>
  <si>
    <t>CC</t>
  </si>
  <si>
    <t>Text to concatenate</t>
  </si>
  <si>
    <t>Text Part 1</t>
  </si>
  <si>
    <t>Text Part 2</t>
  </si>
  <si>
    <t>Text Part 3</t>
  </si>
  <si>
    <t>List 1</t>
  </si>
  <si>
    <t>List 2</t>
  </si>
  <si>
    <t>List 3</t>
  </si>
  <si>
    <t>Select List</t>
  </si>
  <si>
    <t>WenCaL</t>
  </si>
  <si>
    <t>Fightrr</t>
  </si>
  <si>
    <t>Commuta</t>
  </si>
  <si>
    <t>Misty Wash</t>
  </si>
  <si>
    <t>Blend</t>
  </si>
  <si>
    <t>Kryptis</t>
  </si>
  <si>
    <t>Infic</t>
  </si>
  <si>
    <t>Voltage</t>
  </si>
  <si>
    <t>Perino</t>
  </si>
  <si>
    <t>Accord</t>
  </si>
  <si>
    <t>Inkly</t>
  </si>
  <si>
    <t>Five Labs</t>
  </si>
  <si>
    <t>Sleops</t>
  </si>
  <si>
    <t>Twistrr</t>
  </si>
  <si>
    <t>Twenty20</t>
  </si>
  <si>
    <t>Kind Ape</t>
  </si>
  <si>
    <t>Hackrr</t>
  </si>
  <si>
    <t>Tanox</t>
  </si>
  <si>
    <t>Pet Feed</t>
  </si>
  <si>
    <t>Pes</t>
  </si>
  <si>
    <t>Minor Liar</t>
  </si>
  <si>
    <t>Right App</t>
  </si>
  <si>
    <t>Baden</t>
  </si>
  <si>
    <t>Mosquit</t>
  </si>
  <si>
    <t>Mirrrr</t>
  </si>
  <si>
    <t>Jellyfish</t>
  </si>
  <si>
    <t>Atmos</t>
  </si>
  <si>
    <t>Halotot</t>
  </si>
  <si>
    <t>Aviatrr</t>
  </si>
  <si>
    <t>Scrap</t>
  </si>
  <si>
    <t>Flowrrr</t>
  </si>
  <si>
    <t>deRamblr</t>
  </si>
  <si>
    <t>Motocyco</t>
  </si>
  <si>
    <t>Silvrr</t>
  </si>
  <si>
    <t>Arcade</t>
  </si>
  <si>
    <t>Amplefio</t>
  </si>
  <si>
    <t>Dasring</t>
  </si>
  <si>
    <t/>
  </si>
  <si>
    <t>Strex</t>
  </si>
  <si>
    <t>Rehire</t>
  </si>
  <si>
    <t>Didactic</t>
  </si>
  <si>
    <t>Create a Dynamic List using Index based on below data</t>
  </si>
  <si>
    <t>Shrikant Badge</t>
  </si>
  <si>
    <t>Harivansh Gautam</t>
  </si>
  <si>
    <t>Sourav Maity</t>
  </si>
  <si>
    <t>Abir Sarkar</t>
  </si>
  <si>
    <t>Sandeep Aswal</t>
  </si>
  <si>
    <t>Karan Kapoor</t>
  </si>
  <si>
    <t>Kishor Panara</t>
  </si>
  <si>
    <t>Ubaidillah Muhammad</t>
  </si>
  <si>
    <t>Aakanksha Srivastava</t>
  </si>
  <si>
    <t>Sudhakar Arya</t>
  </si>
  <si>
    <t>Arjun Shaw</t>
  </si>
  <si>
    <t>Ashu Sharma</t>
  </si>
  <si>
    <t>Tejpal Sain</t>
  </si>
  <si>
    <t>Shagor Ahmed</t>
  </si>
  <si>
    <t>Manpreet Kaur</t>
  </si>
  <si>
    <t>Meenav Shah</t>
  </si>
  <si>
    <t>Ajinkya Shinde</t>
  </si>
  <si>
    <t>Sanjay Chaurasia</t>
  </si>
  <si>
    <t>Vicky Singh</t>
  </si>
  <si>
    <t>Feroz Khilji</t>
  </si>
  <si>
    <t>Krutika Shelar</t>
  </si>
  <si>
    <t>Meena Mourya</t>
  </si>
  <si>
    <t>Method 2</t>
  </si>
  <si>
    <t>Method 1</t>
  </si>
  <si>
    <t>Method 3</t>
  </si>
  <si>
    <t>Advanced</t>
  </si>
  <si>
    <t>Excel</t>
  </si>
  <si>
    <t>Mis</t>
  </si>
  <si>
    <t>Find the minimum sale Department wise</t>
  </si>
  <si>
    <t>Method 1: CONCATENATE</t>
  </si>
  <si>
    <t>Method 2: &amp;-AMPERSAND OPERATOR</t>
  </si>
  <si>
    <t>Method 3: CONCAT</t>
  </si>
  <si>
    <t>Method 4: TEXTJOIN</t>
  </si>
  <si>
    <t>ID</t>
  </si>
  <si>
    <t>Price</t>
  </si>
  <si>
    <t>Canada-345-C20R</t>
  </si>
  <si>
    <t>USA-765-Q20L</t>
  </si>
  <si>
    <t>India</t>
  </si>
  <si>
    <t>Canada</t>
  </si>
  <si>
    <t>USA</t>
  </si>
  <si>
    <t>India-234-B25R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</si>
</sst>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[$₹-4009]\ * #,##0.00_ ;_ [$₹-4009]\ * \-#,##0.00_ ;_ [$₹-4009]\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b/>
      <sz val="10"/>
      <color theme="1"/>
      <name val="Helvetica"/>
    </font>
    <font>
      <b/>
      <sz val="10"/>
      <color indexed="9"/>
      <name val="Helvetica"/>
    </font>
    <font>
      <sz val="10"/>
      <name val="Helvetica"/>
    </font>
    <font>
      <sz val="10"/>
      <name val="Arial"/>
      <family val="2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2B80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38EC6"/>
        <bgColor indexed="64"/>
      </patternFill>
    </fill>
    <fill>
      <patternFill patternType="solid">
        <fgColor rgb="FFE8810C"/>
        <bgColor indexed="64"/>
      </patternFill>
    </fill>
    <fill>
      <patternFill patternType="solid">
        <fgColor rgb="FFD2DEEE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8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2" fillId="3" borderId="1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0" xfId="2"/>
    <xf numFmtId="0" fontId="5" fillId="0" borderId="0" xfId="2" applyFont="1"/>
    <xf numFmtId="0" fontId="6" fillId="4" borderId="13" xfId="2" applyFont="1" applyFill="1" applyBorder="1" applyAlignment="1">
      <alignment horizontal="center" vertical="center" wrapText="1"/>
    </xf>
    <xf numFmtId="0" fontId="7" fillId="5" borderId="13" xfId="2" applyFont="1" applyFill="1" applyBorder="1" applyAlignment="1">
      <alignment vertical="center"/>
    </xf>
    <xf numFmtId="0" fontId="7" fillId="5" borderId="14" xfId="2" applyFont="1" applyFill="1" applyBorder="1" applyAlignment="1">
      <alignment vertical="center"/>
    </xf>
    <xf numFmtId="0" fontId="4" fillId="0" borderId="15" xfId="2" applyBorder="1"/>
    <xf numFmtId="0" fontId="4" fillId="0" borderId="16" xfId="2" applyBorder="1"/>
    <xf numFmtId="0" fontId="2" fillId="6" borderId="8" xfId="0" applyFont="1" applyFill="1" applyBorder="1"/>
    <xf numFmtId="0" fontId="2" fillId="6" borderId="9" xfId="0" applyFont="1" applyFill="1" applyBorder="1"/>
    <xf numFmtId="0" fontId="2" fillId="6" borderId="6" xfId="0" applyFont="1" applyFill="1" applyBorder="1"/>
    <xf numFmtId="0" fontId="3" fillId="0" borderId="12" xfId="0" applyFont="1" applyBorder="1"/>
    <xf numFmtId="0" fontId="3" fillId="7" borderId="0" xfId="0" applyFont="1" applyFill="1" applyAlignment="1">
      <alignment horizontal="center"/>
    </xf>
    <xf numFmtId="0" fontId="0" fillId="8" borderId="7" xfId="0" applyFill="1" applyBorder="1"/>
    <xf numFmtId="0" fontId="0" fillId="8" borderId="17" xfId="0" applyFill="1" applyBorder="1"/>
    <xf numFmtId="0" fontId="0" fillId="8" borderId="3" xfId="0" applyFill="1" applyBorder="1"/>
    <xf numFmtId="0" fontId="3" fillId="0" borderId="0" xfId="0" applyFont="1"/>
    <xf numFmtId="0" fontId="2" fillId="3" borderId="8" xfId="0" applyFont="1" applyFill="1" applyBorder="1"/>
    <xf numFmtId="0" fontId="2" fillId="3" borderId="7" xfId="0" applyFont="1" applyFill="1" applyBorder="1"/>
    <xf numFmtId="0" fontId="0" fillId="9" borderId="8" xfId="0" applyFill="1" applyBorder="1"/>
    <xf numFmtId="0" fontId="0" fillId="9" borderId="7" xfId="0" applyFill="1" applyBorder="1"/>
    <xf numFmtId="0" fontId="0" fillId="0" borderId="8" xfId="0" applyBorder="1"/>
    <xf numFmtId="0" fontId="0" fillId="0" borderId="7" xfId="0" applyBorder="1"/>
    <xf numFmtId="0" fontId="0" fillId="0" borderId="5" xfId="0" applyBorder="1"/>
    <xf numFmtId="0" fontId="9" fillId="10" borderId="1" xfId="0" applyFont="1" applyFill="1" applyBorder="1"/>
    <xf numFmtId="165" fontId="0" fillId="0" borderId="1" xfId="0" applyNumberFormat="1" applyBorder="1"/>
    <xf numFmtId="165" fontId="0" fillId="2" borderId="1" xfId="0" applyNumberFormat="1" applyFill="1" applyBorder="1"/>
    <xf numFmtId="0" fontId="0" fillId="8" borderId="0" xfId="0" applyFill="1" applyBorder="1"/>
  </cellXfs>
  <cellStyles count="4">
    <cellStyle name="Comma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workbookViewId="0">
      <selection activeCell="I20" sqref="I20"/>
    </sheetView>
  </sheetViews>
  <sheetFormatPr defaultRowHeight="14.4" x14ac:dyDescent="0.3"/>
  <cols>
    <col min="7" max="7" width="12.88671875" customWidth="1"/>
  </cols>
  <sheetData>
    <row r="1" spans="1:15" x14ac:dyDescent="0.3">
      <c r="A1" s="23" t="s">
        <v>62</v>
      </c>
    </row>
    <row r="2" spans="1:15" x14ac:dyDescent="0.3">
      <c r="G2" t="s">
        <v>86</v>
      </c>
      <c r="H2" t="s">
        <v>85</v>
      </c>
      <c r="I2" t="s">
        <v>87</v>
      </c>
    </row>
    <row r="3" spans="1:15" x14ac:dyDescent="0.3">
      <c r="A3" s="15" t="s">
        <v>17</v>
      </c>
      <c r="B3" s="16" t="s">
        <v>18</v>
      </c>
      <c r="C3" s="17" t="s">
        <v>19</v>
      </c>
      <c r="F3" s="18" t="s">
        <v>20</v>
      </c>
      <c r="G3" s="19">
        <v>2</v>
      </c>
      <c r="H3" s="19">
        <v>1</v>
      </c>
      <c r="I3" s="19">
        <v>1</v>
      </c>
    </row>
    <row r="4" spans="1:15" x14ac:dyDescent="0.3">
      <c r="A4" s="5" t="s">
        <v>21</v>
      </c>
      <c r="B4" t="s">
        <v>22</v>
      </c>
      <c r="C4" s="6" t="s">
        <v>23</v>
      </c>
      <c r="G4" s="20" t="str">
        <f t="shared" ref="G4:G18" ca="1" si="0">INDEX(A4:C4,$G$5)</f>
        <v>Commuta</v>
      </c>
      <c r="H4" s="20" t="str">
        <f ca="1">INDEX((A4,B4,C4),,,$H$5)</f>
        <v>WenCaL</v>
      </c>
      <c r="J4" t="str" cm="1">
        <f t="array" ref="J4">INDEX($B$4:$B$18,(ROW(J4)-ROW($J$3)))</f>
        <v>Fightrr</v>
      </c>
      <c r="K4" t="str" cm="1">
        <f t="array" ref="K4">INDEX($A$4:$A$18,COUNTA($A$4:A4))</f>
        <v>WenCaL</v>
      </c>
      <c r="L4" t="str">
        <f>INDEX($A$4:$A$18,MATCH(A4,$A$4:$A$18,0))</f>
        <v>WenCaL</v>
      </c>
      <c r="N4" t="str" cm="1">
        <f t="array" aca="1" ref="N4:N18" ca="1">OFFSET($A$3,1,G3-1,15,)</f>
        <v>Fightrr</v>
      </c>
      <c r="O4" t="str" cm="1">
        <f t="array" aca="1" ref="O4:O18" ca="1">OFFSET($A$3,1,H3-1,15,)</f>
        <v>WenCaL</v>
      </c>
    </row>
    <row r="5" spans="1:15" x14ac:dyDescent="0.3">
      <c r="A5" s="5" t="s">
        <v>25</v>
      </c>
      <c r="B5" t="s">
        <v>26</v>
      </c>
      <c r="C5" s="6" t="s">
        <v>27</v>
      </c>
      <c r="G5" s="21" t="str">
        <f t="shared" ca="1" si="0"/>
        <v>Infic</v>
      </c>
      <c r="H5" s="21" t="str">
        <f ca="1">INDEX((A5,B5,C5),,,$H$5)</f>
        <v>Blend</v>
      </c>
      <c r="J5" t="str" cm="1">
        <f t="array" ref="J5">INDEX($B$4:$B$18,(ROW(J5)-ROW($J$3)))</f>
        <v>Kryptis</v>
      </c>
      <c r="K5" t="str" cm="1">
        <f t="array" ref="K5">INDEX($A$4:$A$18,COUNTA($A$4:A5))</f>
        <v>Blend</v>
      </c>
      <c r="L5" t="str">
        <f t="shared" ref="L5:L18" si="1">INDEX($A$4:$A$18,MATCH(A5,$A$4:$A$18,0))</f>
        <v>Blend</v>
      </c>
      <c r="N5" t="str">
        <f ca="1"/>
        <v>Kryptis</v>
      </c>
      <c r="O5" t="str">
        <f ca="1"/>
        <v>Blend</v>
      </c>
    </row>
    <row r="6" spans="1:15" x14ac:dyDescent="0.3">
      <c r="A6" s="5" t="s">
        <v>28</v>
      </c>
      <c r="B6" t="s">
        <v>29</v>
      </c>
      <c r="C6" s="6" t="s">
        <v>30</v>
      </c>
      <c r="G6" s="21" t="str">
        <f t="shared" ca="1" si="0"/>
        <v>Accord</v>
      </c>
      <c r="H6" s="21" t="str">
        <f ca="1">INDEX((A6,B6,C6),,,$H$5)</f>
        <v>Voltage</v>
      </c>
      <c r="J6" t="str" cm="1">
        <f t="array" ref="J6">INDEX($B$4:$B$18,(ROW(J6)-ROW($J$3)))</f>
        <v>Perino</v>
      </c>
      <c r="K6" t="str" cm="1">
        <f t="array" ref="K6">INDEX($A$4:$A$18,COUNTA($A$4:A6))</f>
        <v>Voltage</v>
      </c>
      <c r="L6" t="str">
        <f t="shared" si="1"/>
        <v>Voltage</v>
      </c>
      <c r="N6" t="str">
        <f ca="1"/>
        <v>Perino</v>
      </c>
      <c r="O6" t="str">
        <f ca="1"/>
        <v>Voltage</v>
      </c>
    </row>
    <row r="7" spans="1:15" x14ac:dyDescent="0.3">
      <c r="A7" s="5" t="s">
        <v>31</v>
      </c>
      <c r="B7" t="s">
        <v>32</v>
      </c>
      <c r="C7" s="6" t="s">
        <v>24</v>
      </c>
      <c r="G7" s="21" t="str">
        <f t="shared" ca="1" si="0"/>
        <v>Misty Wash</v>
      </c>
      <c r="H7" s="21" t="str">
        <f ca="1">INDEX((A7,B7,C7),,,$H$5)</f>
        <v>Inkly</v>
      </c>
      <c r="J7" t="str" cm="1">
        <f t="array" ref="J7">INDEX($B$4:$B$18,(ROW(J7)-ROW($J$3)))</f>
        <v>Five Labs</v>
      </c>
      <c r="K7" t="str" cm="1">
        <f t="array" ref="K7">INDEX($A$4:$A$18,COUNTA($A$4:A7))</f>
        <v>Inkly</v>
      </c>
      <c r="L7" t="str">
        <f t="shared" si="1"/>
        <v>Inkly</v>
      </c>
      <c r="N7" t="str">
        <f ca="1"/>
        <v>Five Labs</v>
      </c>
      <c r="O7" t="str">
        <f ca="1"/>
        <v>Inkly</v>
      </c>
    </row>
    <row r="8" spans="1:15" x14ac:dyDescent="0.3">
      <c r="A8" s="5" t="s">
        <v>33</v>
      </c>
      <c r="B8" t="s">
        <v>34</v>
      </c>
      <c r="C8" s="6" t="s">
        <v>35</v>
      </c>
      <c r="G8" s="21" t="str">
        <f t="shared" ca="1" si="0"/>
        <v>Twenty20</v>
      </c>
      <c r="H8" s="21" t="str">
        <f ca="1">INDEX((A8,B8,C8),,,$H$5)</f>
        <v>Sleops</v>
      </c>
      <c r="J8" t="str" cm="1">
        <f t="array" ref="J8">INDEX($B$4:$B$18,(ROW(J8)-ROW($J$3)))</f>
        <v>Twistrr</v>
      </c>
      <c r="K8" t="str" cm="1">
        <f t="array" ref="K8">INDEX($A$4:$A$18,COUNTA($A$4:A8))</f>
        <v>Sleops</v>
      </c>
      <c r="L8" t="str">
        <f t="shared" si="1"/>
        <v>Sleops</v>
      </c>
      <c r="N8" t="str">
        <f ca="1"/>
        <v>Twistrr</v>
      </c>
      <c r="O8" t="str">
        <f ca="1"/>
        <v>Sleops</v>
      </c>
    </row>
    <row r="9" spans="1:15" x14ac:dyDescent="0.3">
      <c r="A9" s="5" t="s">
        <v>36</v>
      </c>
      <c r="B9" t="s">
        <v>37</v>
      </c>
      <c r="C9" s="6" t="s">
        <v>38</v>
      </c>
      <c r="G9" s="21" t="str">
        <f t="shared" ca="1" si="0"/>
        <v>Tanox</v>
      </c>
      <c r="H9" s="21" t="str">
        <f ca="1">INDEX((A9,B9,C9),,,$H$5)</f>
        <v>Kind Ape</v>
      </c>
      <c r="J9" t="str" cm="1">
        <f t="array" ref="J9">INDEX($B$4:$B$18,(ROW(J9)-ROW($J$3)))</f>
        <v>Hackrr</v>
      </c>
      <c r="K9" t="str" cm="1">
        <f t="array" ref="K9">INDEX($A$4:$A$18,COUNTA($A$4:A9))</f>
        <v>Kind Ape</v>
      </c>
      <c r="L9" t="str">
        <f t="shared" si="1"/>
        <v>Kind Ape</v>
      </c>
      <c r="N9" t="str">
        <f ca="1"/>
        <v>Hackrr</v>
      </c>
      <c r="O9" t="str">
        <f ca="1"/>
        <v>Kind Ape</v>
      </c>
    </row>
    <row r="10" spans="1:15" x14ac:dyDescent="0.3">
      <c r="A10" s="5" t="s">
        <v>39</v>
      </c>
      <c r="B10" t="s">
        <v>40</v>
      </c>
      <c r="C10" s="6" t="s">
        <v>41</v>
      </c>
      <c r="G10" s="21" t="str">
        <f t="shared" ca="1" si="0"/>
        <v>Minor Liar</v>
      </c>
      <c r="H10" s="21" t="str">
        <f ca="1">INDEX((A10,B10,C10),,,$H$5)</f>
        <v>Pet Feed</v>
      </c>
      <c r="J10" t="str" cm="1">
        <f t="array" ref="J10">INDEX($B$4:$B$18,(ROW(J10)-ROW($J$3)))</f>
        <v>Pes</v>
      </c>
      <c r="K10" t="str" cm="1">
        <f t="array" ref="K10">INDEX($A$4:$A$18,COUNTA($A$4:A10))</f>
        <v>Pet Feed</v>
      </c>
      <c r="L10" t="str">
        <f t="shared" si="1"/>
        <v>Pet Feed</v>
      </c>
      <c r="N10" t="str">
        <f ca="1"/>
        <v>Pes</v>
      </c>
      <c r="O10" t="str">
        <f ca="1"/>
        <v>Pet Feed</v>
      </c>
    </row>
    <row r="11" spans="1:15" x14ac:dyDescent="0.3">
      <c r="A11" s="5" t="s">
        <v>42</v>
      </c>
      <c r="B11" t="s">
        <v>43</v>
      </c>
      <c r="C11" s="6" t="s">
        <v>44</v>
      </c>
      <c r="G11" s="21" t="str">
        <f t="shared" ca="1" si="0"/>
        <v>Mosquit</v>
      </c>
      <c r="H11" s="21" t="str">
        <f ca="1">INDEX((A11,B11,C11),,,$H$5)</f>
        <v>Right App</v>
      </c>
      <c r="J11" t="str" cm="1">
        <f t="array" ref="J11">INDEX($B$4:$B$18,(ROW(J11)-ROW($J$3)))</f>
        <v>Baden</v>
      </c>
      <c r="K11" t="str" cm="1">
        <f t="array" ref="K11">INDEX($A$4:$A$18,COUNTA($A$4:A11))</f>
        <v>Right App</v>
      </c>
      <c r="L11" t="str">
        <f t="shared" si="1"/>
        <v>Right App</v>
      </c>
      <c r="N11" t="str">
        <f ca="1"/>
        <v>Baden</v>
      </c>
      <c r="O11" t="str">
        <f ca="1"/>
        <v>Right App</v>
      </c>
    </row>
    <row r="12" spans="1:15" x14ac:dyDescent="0.3">
      <c r="A12" s="5" t="s">
        <v>45</v>
      </c>
      <c r="B12" t="s">
        <v>46</v>
      </c>
      <c r="C12" s="6" t="s">
        <v>47</v>
      </c>
      <c r="G12" s="21" t="str">
        <f t="shared" ca="1" si="0"/>
        <v>Atmos</v>
      </c>
      <c r="H12" s="21" t="str">
        <f ca="1">INDEX((A12,B12,C12),,,$H$5)</f>
        <v>Mirrrr</v>
      </c>
      <c r="J12" t="str" cm="1">
        <f t="array" ref="J12">INDEX($B$4:$B$18,(ROW(J12)-ROW($J$3)))</f>
        <v>Jellyfish</v>
      </c>
      <c r="K12" t="str" cm="1">
        <f t="array" ref="K12">INDEX($A$4:$A$18,COUNTA($A$4:A12))</f>
        <v>Mirrrr</v>
      </c>
      <c r="L12" t="str">
        <f t="shared" si="1"/>
        <v>Mirrrr</v>
      </c>
      <c r="N12" t="str">
        <f ca="1"/>
        <v>Jellyfish</v>
      </c>
      <c r="O12" t="str">
        <f ca="1"/>
        <v>Mirrrr</v>
      </c>
    </row>
    <row r="13" spans="1:15" x14ac:dyDescent="0.3">
      <c r="A13" s="5" t="s">
        <v>48</v>
      </c>
      <c r="B13" t="s">
        <v>49</v>
      </c>
      <c r="C13" s="6" t="s">
        <v>50</v>
      </c>
      <c r="G13" s="21" t="str">
        <f t="shared" ca="1" si="0"/>
        <v>Scrap</v>
      </c>
      <c r="H13" s="21" t="str">
        <f ca="1">INDEX((A13,B13,C13),,,$H$5)</f>
        <v>Halotot</v>
      </c>
      <c r="J13" t="str" cm="1">
        <f t="array" ref="J13">INDEX($B$4:$B$18,(ROW(J13)-ROW($J$3)))</f>
        <v>Aviatrr</v>
      </c>
      <c r="K13" t="str" cm="1">
        <f t="array" ref="K13">INDEX($A$4:$A$18,COUNTA($A$4:A13))</f>
        <v>Halotot</v>
      </c>
      <c r="L13" t="str">
        <f t="shared" si="1"/>
        <v>Halotot</v>
      </c>
      <c r="N13" t="str">
        <f ca="1"/>
        <v>Aviatrr</v>
      </c>
      <c r="O13" t="str">
        <f ca="1"/>
        <v>Halotot</v>
      </c>
    </row>
    <row r="14" spans="1:15" x14ac:dyDescent="0.3">
      <c r="A14" s="5" t="s">
        <v>51</v>
      </c>
      <c r="B14" t="s">
        <v>52</v>
      </c>
      <c r="C14" s="6" t="s">
        <v>53</v>
      </c>
      <c r="G14" s="21" t="str">
        <f t="shared" ca="1" si="0"/>
        <v>Motocyco</v>
      </c>
      <c r="H14" s="21" t="str">
        <f ca="1">INDEX((A14,B14,C14),,,$H$5)</f>
        <v>Flowrrr</v>
      </c>
      <c r="J14" t="str" cm="1">
        <f t="array" ref="J14">INDEX($B$4:$B$18,(ROW(J14)-ROW($J$3)))</f>
        <v>deRamblr</v>
      </c>
      <c r="K14" t="str" cm="1">
        <f t="array" ref="K14">INDEX($A$4:$A$18,COUNTA($A$4:A14))</f>
        <v>Flowrrr</v>
      </c>
      <c r="L14" t="str">
        <f t="shared" si="1"/>
        <v>Flowrrr</v>
      </c>
      <c r="N14" t="str">
        <f ca="1"/>
        <v>deRamblr</v>
      </c>
      <c r="O14" t="str">
        <f ca="1"/>
        <v>Flowrrr</v>
      </c>
    </row>
    <row r="15" spans="1:15" x14ac:dyDescent="0.3">
      <c r="A15" s="5" t="s">
        <v>54</v>
      </c>
      <c r="B15" t="s">
        <v>55</v>
      </c>
      <c r="C15" s="6" t="s">
        <v>56</v>
      </c>
      <c r="G15" s="21" t="str">
        <f t="shared" ca="1" si="0"/>
        <v>Amplefio</v>
      </c>
      <c r="H15" s="21" t="str">
        <f ca="1">INDEX((A15,B15,C15),,,$H$5)</f>
        <v>Silvrr</v>
      </c>
      <c r="J15" t="str" cm="1">
        <f t="array" ref="J15">INDEX($B$4:$B$18,(ROW(J15)-ROW($J$3)))</f>
        <v>Arcade</v>
      </c>
      <c r="K15" t="str" cm="1">
        <f t="array" ref="K15">INDEX($A$4:$A$18,COUNTA($A$4:A15))</f>
        <v>Silvrr</v>
      </c>
      <c r="L15" t="str">
        <f t="shared" si="1"/>
        <v>Silvrr</v>
      </c>
      <c r="N15" t="str">
        <f ca="1"/>
        <v>Arcade</v>
      </c>
      <c r="O15" t="str">
        <f ca="1"/>
        <v>Silvrr</v>
      </c>
    </row>
    <row r="16" spans="1:15" x14ac:dyDescent="0.3">
      <c r="A16" s="5" t="s">
        <v>57</v>
      </c>
      <c r="B16" t="s">
        <v>58</v>
      </c>
      <c r="C16" s="6" t="s">
        <v>59</v>
      </c>
      <c r="G16" s="21" t="str">
        <f t="shared" ca="1" si="0"/>
        <v>Strex</v>
      </c>
      <c r="H16" s="21" t="str">
        <f ca="1">INDEX((A16,B16,C16),,,$H$5)</f>
        <v>Dasring</v>
      </c>
      <c r="J16" t="str" cm="1">
        <f t="array" ref="J16">INDEX($B$4:$B$18,(ROW(J16)-ROW($J$3)))</f>
        <v/>
      </c>
      <c r="K16" t="str" cm="1">
        <f t="array" ref="K16">INDEX($A$4:$A$18,COUNTA($A$4:A16))</f>
        <v>Dasring</v>
      </c>
      <c r="L16" t="str">
        <f t="shared" si="1"/>
        <v>Dasring</v>
      </c>
      <c r="N16" t="str">
        <f ca="1"/>
        <v/>
      </c>
      <c r="O16" t="str">
        <f ca="1"/>
        <v>Dasring</v>
      </c>
    </row>
    <row r="17" spans="1:15" x14ac:dyDescent="0.3">
      <c r="A17" s="5" t="s">
        <v>60</v>
      </c>
      <c r="B17" t="s">
        <v>58</v>
      </c>
      <c r="C17" s="6" t="s">
        <v>58</v>
      </c>
      <c r="G17" s="21" t="str">
        <f t="shared" ca="1" si="0"/>
        <v/>
      </c>
      <c r="H17" s="21" t="str">
        <f ca="1">INDEX((A17,B17,C17),,,$H$5)</f>
        <v>Rehire</v>
      </c>
      <c r="J17" t="str" cm="1">
        <f t="array" ref="J17">INDEX($B$4:$B$18,(ROW(J17)-ROW($J$3)))</f>
        <v/>
      </c>
      <c r="K17" t="str" cm="1">
        <f t="array" ref="K17">INDEX($A$4:$A$18,COUNTA($A$4:A17))</f>
        <v>Rehire</v>
      </c>
      <c r="L17" t="str">
        <f t="shared" si="1"/>
        <v>Rehire</v>
      </c>
      <c r="N17" t="str">
        <f ca="1"/>
        <v/>
      </c>
      <c r="O17" t="str">
        <f ca="1"/>
        <v>Rehire</v>
      </c>
    </row>
    <row r="18" spans="1:15" x14ac:dyDescent="0.3">
      <c r="A18" s="3" t="s">
        <v>61</v>
      </c>
      <c r="B18" s="7" t="s">
        <v>58</v>
      </c>
      <c r="C18" s="2" t="s">
        <v>58</v>
      </c>
      <c r="G18" s="22" t="str">
        <f t="shared" ca="1" si="0"/>
        <v/>
      </c>
      <c r="H18" s="22" t="str">
        <f ca="1">INDEX((A18,B18,C18),,,$H$5)</f>
        <v>Didactic</v>
      </c>
      <c r="J18" t="str" cm="1">
        <f t="array" ref="J18">INDEX($B$4:$B$18,(ROW(J18)-ROW($J$3)))</f>
        <v/>
      </c>
      <c r="K18" t="str" cm="1">
        <f t="array" ref="K18">INDEX($A$4:$A$18,COUNTA($A$4:A18))</f>
        <v>Didactic</v>
      </c>
      <c r="L18" t="str">
        <f t="shared" si="1"/>
        <v>Didactic</v>
      </c>
      <c r="N18" t="str">
        <f ca="1"/>
        <v/>
      </c>
      <c r="O18" t="str">
        <f ca="1"/>
        <v>Didactic</v>
      </c>
    </row>
    <row r="20" spans="1:15" x14ac:dyDescent="0.3">
      <c r="G20" s="34" t="str" cm="1">
        <f t="array" aca="1" ref="G20:G34" ca="1">OFFSET(A3,1,G3-1,COUNTA(A4:A18))</f>
        <v>Fightrr</v>
      </c>
      <c r="H20" t="str" cm="1">
        <f t="array" aca="1" ref="H20:H34" ca="1">_xlfn.LET(_xlpm.ok, LOOKUP(G3,{1,2,3},{"A","B","C"}), INDIRECT(_xlpm.ok&amp;"4:"&amp;_xlpm.ok&amp;"18",TRUE))</f>
        <v>Fightrr</v>
      </c>
    </row>
    <row r="21" spans="1:15" x14ac:dyDescent="0.3">
      <c r="G21" t="str">
        <f ca="1"/>
        <v>Kryptis</v>
      </c>
      <c r="H21" t="str">
        <f ca="1"/>
        <v>Kryptis</v>
      </c>
    </row>
    <row r="22" spans="1:15" x14ac:dyDescent="0.3">
      <c r="G22" t="str">
        <f ca="1"/>
        <v>Perino</v>
      </c>
      <c r="H22" t="str">
        <f ca="1"/>
        <v>Perino</v>
      </c>
    </row>
    <row r="23" spans="1:15" x14ac:dyDescent="0.3">
      <c r="G23" t="str">
        <f ca="1"/>
        <v>Five Labs</v>
      </c>
      <c r="H23" t="str">
        <f ca="1"/>
        <v>Five Labs</v>
      </c>
    </row>
    <row r="24" spans="1:15" x14ac:dyDescent="0.3">
      <c r="G24" t="str">
        <f ca="1"/>
        <v>Twistrr</v>
      </c>
      <c r="H24" t="str">
        <f ca="1"/>
        <v>Twistrr</v>
      </c>
    </row>
    <row r="25" spans="1:15" x14ac:dyDescent="0.3">
      <c r="G25" t="str">
        <f ca="1"/>
        <v>Hackrr</v>
      </c>
      <c r="H25" t="str">
        <f ca="1"/>
        <v>Hackrr</v>
      </c>
    </row>
    <row r="26" spans="1:15" x14ac:dyDescent="0.3">
      <c r="G26" t="str">
        <f ca="1"/>
        <v>Pes</v>
      </c>
      <c r="H26" t="str">
        <f ca="1"/>
        <v>Pes</v>
      </c>
    </row>
    <row r="27" spans="1:15" x14ac:dyDescent="0.3">
      <c r="G27" t="str">
        <f ca="1"/>
        <v>Baden</v>
      </c>
      <c r="H27" t="str">
        <f ca="1"/>
        <v>Baden</v>
      </c>
    </row>
    <row r="28" spans="1:15" x14ac:dyDescent="0.3">
      <c r="G28" t="str">
        <f ca="1"/>
        <v>Jellyfish</v>
      </c>
      <c r="H28" t="str">
        <f ca="1"/>
        <v>Jellyfish</v>
      </c>
    </row>
    <row r="29" spans="1:15" x14ac:dyDescent="0.3">
      <c r="G29" t="str">
        <f ca="1"/>
        <v>Aviatrr</v>
      </c>
      <c r="H29" t="str">
        <f ca="1"/>
        <v>Aviatrr</v>
      </c>
    </row>
    <row r="30" spans="1:15" x14ac:dyDescent="0.3">
      <c r="G30" t="str">
        <f ca="1"/>
        <v>deRamblr</v>
      </c>
      <c r="H30" t="str">
        <f ca="1"/>
        <v>deRamblr</v>
      </c>
    </row>
    <row r="31" spans="1:15" x14ac:dyDescent="0.3">
      <c r="G31" t="str">
        <f ca="1"/>
        <v>Arcade</v>
      </c>
      <c r="H31" t="str">
        <f ca="1"/>
        <v>Arcade</v>
      </c>
    </row>
    <row r="32" spans="1:15" x14ac:dyDescent="0.3">
      <c r="G32" t="str">
        <f ca="1"/>
        <v/>
      </c>
      <c r="H32" t="str">
        <f ca="1"/>
        <v/>
      </c>
    </row>
    <row r="33" spans="7:8" x14ac:dyDescent="0.3">
      <c r="G33" t="str">
        <f ca="1"/>
        <v/>
      </c>
      <c r="H33" t="str">
        <f ca="1"/>
        <v/>
      </c>
    </row>
    <row r="34" spans="7:8" x14ac:dyDescent="0.3">
      <c r="G34" t="str">
        <f ca="1"/>
        <v/>
      </c>
      <c r="H34" t="str">
        <f ca="1"/>
        <v/>
      </c>
    </row>
  </sheetData>
  <dataValidations count="2">
    <dataValidation type="list" allowBlank="1" showInputMessage="1" showErrorMessage="1" sqref="I4" xr:uid="{00000000-0002-0000-0000-000000000000}">
      <formula1>applist</formula1>
    </dataValidation>
    <dataValidation type="list" allowBlank="1" showInputMessage="1" showErrorMessage="1" sqref="G3:I3" xr:uid="{00000000-0002-0000-0000-000001000000}">
      <formula1>"1,2,3"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zoomScale="110" zoomScaleNormal="110" workbookViewId="0">
      <selection activeCell="L6" sqref="L6:L7"/>
    </sheetView>
  </sheetViews>
  <sheetFormatPr defaultRowHeight="14.4" x14ac:dyDescent="0.3"/>
  <cols>
    <col min="1" max="1" width="24.6640625" customWidth="1"/>
    <col min="3" max="3" width="14" customWidth="1"/>
  </cols>
  <sheetData>
    <row r="1" spans="1:12" x14ac:dyDescent="0.3">
      <c r="A1" s="24" t="s">
        <v>7</v>
      </c>
      <c r="B1" s="24" t="s">
        <v>8</v>
      </c>
      <c r="C1" s="24" t="s">
        <v>0</v>
      </c>
      <c r="D1" s="25" t="s">
        <v>9</v>
      </c>
    </row>
    <row r="2" spans="1:12" x14ac:dyDescent="0.3">
      <c r="A2" s="26" t="s">
        <v>63</v>
      </c>
      <c r="B2" s="26" t="s">
        <v>2</v>
      </c>
      <c r="C2" s="26" t="s">
        <v>10</v>
      </c>
      <c r="D2" s="27">
        <v>11</v>
      </c>
    </row>
    <row r="3" spans="1:12" x14ac:dyDescent="0.3">
      <c r="A3" s="28" t="s">
        <v>64</v>
      </c>
      <c r="B3" s="28" t="s">
        <v>4</v>
      </c>
      <c r="C3" s="28" t="s">
        <v>11</v>
      </c>
      <c r="D3" s="29">
        <v>71</v>
      </c>
      <c r="H3" t="s">
        <v>91</v>
      </c>
    </row>
    <row r="4" spans="1:12" x14ac:dyDescent="0.3">
      <c r="A4" s="26" t="s">
        <v>65</v>
      </c>
      <c r="B4" s="26" t="s">
        <v>2</v>
      </c>
      <c r="C4" s="26" t="s">
        <v>12</v>
      </c>
      <c r="D4" s="27">
        <v>29</v>
      </c>
    </row>
    <row r="5" spans="1:12" x14ac:dyDescent="0.3">
      <c r="A5" s="28" t="s">
        <v>66</v>
      </c>
      <c r="B5" s="28" t="s">
        <v>4</v>
      </c>
      <c r="C5" s="28" t="s">
        <v>10</v>
      </c>
      <c r="D5" s="29">
        <v>56</v>
      </c>
      <c r="H5" s="4" t="s">
        <v>8</v>
      </c>
      <c r="I5" s="4" t="s">
        <v>9</v>
      </c>
    </row>
    <row r="6" spans="1:12" x14ac:dyDescent="0.3">
      <c r="A6" s="26" t="s">
        <v>67</v>
      </c>
      <c r="B6" s="26" t="s">
        <v>2</v>
      </c>
      <c r="C6" s="26" t="s">
        <v>11</v>
      </c>
      <c r="D6" s="27">
        <v>55</v>
      </c>
      <c r="H6" s="1" t="s">
        <v>2</v>
      </c>
      <c r="I6" s="1">
        <f t="array" ref="I6">MIN(IF($B$2:$B$23=$H6,$D$2:$D$23))</f>
        <v>11</v>
      </c>
      <c r="J6" cm="1">
        <f t="array" ref="J6">MIN(IF($B$2:$B$23=H6,$D$2:$D$23))</f>
        <v>11</v>
      </c>
      <c r="L6">
        <f>_xlfn.MINIFS($D$2:$D$23,$B$2:$B$23,H6)</f>
        <v>11</v>
      </c>
    </row>
    <row r="7" spans="1:12" x14ac:dyDescent="0.3">
      <c r="A7" s="28" t="s">
        <v>68</v>
      </c>
      <c r="B7" s="28" t="s">
        <v>4</v>
      </c>
      <c r="C7" s="28" t="s">
        <v>12</v>
      </c>
      <c r="D7" s="29">
        <v>3</v>
      </c>
      <c r="H7" s="1" t="s">
        <v>4</v>
      </c>
      <c r="I7" s="1">
        <f t="array" ref="I7">MIN(IF($B$2:$B$23=$H7,$D$2:$D$23))</f>
        <v>3</v>
      </c>
      <c r="J7" cm="1">
        <f t="array" ref="J7">MIN(IF($B$2:$B$23=H7,$D$2:$D$23))</f>
        <v>3</v>
      </c>
      <c r="L7">
        <f>_xlfn.MINIFS($D$2:$D$23,$B$2:$B$23,H7)</f>
        <v>3</v>
      </c>
    </row>
    <row r="8" spans="1:12" x14ac:dyDescent="0.3">
      <c r="A8" s="26" t="s">
        <v>69</v>
      </c>
      <c r="B8" s="26" t="s">
        <v>2</v>
      </c>
      <c r="C8" s="26" t="s">
        <v>10</v>
      </c>
      <c r="D8" s="27">
        <v>69</v>
      </c>
    </row>
    <row r="9" spans="1:12" x14ac:dyDescent="0.3">
      <c r="A9" s="28" t="s">
        <v>70</v>
      </c>
      <c r="B9" s="28" t="s">
        <v>4</v>
      </c>
      <c r="C9" s="28" t="s">
        <v>11</v>
      </c>
      <c r="D9" s="29">
        <v>48</v>
      </c>
    </row>
    <row r="10" spans="1:12" x14ac:dyDescent="0.3">
      <c r="A10" s="26" t="s">
        <v>71</v>
      </c>
      <c r="B10" s="26" t="s">
        <v>2</v>
      </c>
      <c r="C10" s="26" t="s">
        <v>12</v>
      </c>
      <c r="D10" s="27">
        <v>81</v>
      </c>
    </row>
    <row r="11" spans="1:12" x14ac:dyDescent="0.3">
      <c r="A11" s="28" t="s">
        <v>72</v>
      </c>
      <c r="B11" s="28" t="s">
        <v>4</v>
      </c>
      <c r="C11" s="28" t="s">
        <v>10</v>
      </c>
      <c r="D11" s="29">
        <v>80</v>
      </c>
    </row>
    <row r="12" spans="1:12" x14ac:dyDescent="0.3">
      <c r="A12" s="26" t="s">
        <v>73</v>
      </c>
      <c r="B12" s="26" t="s">
        <v>2</v>
      </c>
      <c r="C12" s="26" t="s">
        <v>11</v>
      </c>
      <c r="D12" s="27">
        <v>16</v>
      </c>
    </row>
    <row r="13" spans="1:12" x14ac:dyDescent="0.3">
      <c r="A13" s="28" t="s">
        <v>74</v>
      </c>
      <c r="B13" s="28" t="s">
        <v>4</v>
      </c>
      <c r="C13" s="28" t="s">
        <v>12</v>
      </c>
      <c r="D13" s="29">
        <v>10</v>
      </c>
    </row>
    <row r="14" spans="1:12" x14ac:dyDescent="0.3">
      <c r="A14" s="26" t="s">
        <v>75</v>
      </c>
      <c r="B14" s="26" t="s">
        <v>2</v>
      </c>
      <c r="C14" s="26" t="s">
        <v>10</v>
      </c>
      <c r="D14" s="27">
        <v>43</v>
      </c>
    </row>
    <row r="15" spans="1:12" x14ac:dyDescent="0.3">
      <c r="A15" s="28" t="s">
        <v>76</v>
      </c>
      <c r="B15" s="28" t="s">
        <v>4</v>
      </c>
      <c r="C15" s="28" t="s">
        <v>11</v>
      </c>
      <c r="D15" s="29">
        <v>25</v>
      </c>
    </row>
    <row r="16" spans="1:12" x14ac:dyDescent="0.3">
      <c r="A16" s="26" t="s">
        <v>77</v>
      </c>
      <c r="B16" s="26" t="s">
        <v>2</v>
      </c>
      <c r="C16" s="26" t="s">
        <v>12</v>
      </c>
      <c r="D16" s="27">
        <v>73</v>
      </c>
    </row>
    <row r="17" spans="1:4" x14ac:dyDescent="0.3">
      <c r="A17" s="28" t="s">
        <v>78</v>
      </c>
      <c r="B17" s="28" t="s">
        <v>4</v>
      </c>
      <c r="C17" s="28" t="s">
        <v>10</v>
      </c>
      <c r="D17" s="29">
        <v>69</v>
      </c>
    </row>
    <row r="18" spans="1:4" x14ac:dyDescent="0.3">
      <c r="A18" s="26" t="s">
        <v>79</v>
      </c>
      <c r="B18" s="26" t="s">
        <v>2</v>
      </c>
      <c r="C18" s="26" t="s">
        <v>11</v>
      </c>
      <c r="D18" s="27">
        <v>36</v>
      </c>
    </row>
    <row r="19" spans="1:4" x14ac:dyDescent="0.3">
      <c r="A19" s="28" t="s">
        <v>80</v>
      </c>
      <c r="B19" s="28" t="s">
        <v>4</v>
      </c>
      <c r="C19" s="28" t="s">
        <v>12</v>
      </c>
      <c r="D19" s="29">
        <v>89</v>
      </c>
    </row>
    <row r="20" spans="1:4" x14ac:dyDescent="0.3">
      <c r="A20" s="26" t="s">
        <v>81</v>
      </c>
      <c r="B20" s="26" t="s">
        <v>2</v>
      </c>
      <c r="C20" s="26" t="s">
        <v>10</v>
      </c>
      <c r="D20" s="27">
        <v>28</v>
      </c>
    </row>
    <row r="21" spans="1:4" x14ac:dyDescent="0.3">
      <c r="A21" s="28" t="s">
        <v>82</v>
      </c>
      <c r="B21" s="28" t="s">
        <v>4</v>
      </c>
      <c r="C21" s="28" t="s">
        <v>11</v>
      </c>
      <c r="D21" s="29">
        <v>14</v>
      </c>
    </row>
    <row r="22" spans="1:4" x14ac:dyDescent="0.3">
      <c r="A22" s="26" t="s">
        <v>83</v>
      </c>
      <c r="B22" s="26" t="s">
        <v>2</v>
      </c>
      <c r="C22" s="26" t="s">
        <v>12</v>
      </c>
      <c r="D22" s="27">
        <v>80</v>
      </c>
    </row>
    <row r="23" spans="1:4" x14ac:dyDescent="0.3">
      <c r="A23" s="30" t="s">
        <v>84</v>
      </c>
      <c r="B23" s="30" t="s">
        <v>4</v>
      </c>
      <c r="C23" s="30" t="s">
        <v>10</v>
      </c>
      <c r="D23" s="1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zoomScale="136" zoomScaleNormal="136" workbookViewId="0">
      <selection activeCell="I7" sqref="I7"/>
    </sheetView>
  </sheetViews>
  <sheetFormatPr defaultRowHeight="14.4" x14ac:dyDescent="0.3"/>
  <cols>
    <col min="1" max="1" width="11.5546875" bestFit="1" customWidth="1"/>
  </cols>
  <sheetData>
    <row r="1" spans="1:9" x14ac:dyDescent="0.3">
      <c r="A1" s="1" t="s">
        <v>0</v>
      </c>
      <c r="B1" s="1" t="s">
        <v>1</v>
      </c>
    </row>
    <row r="2" spans="1:9" x14ac:dyDescent="0.3">
      <c r="A2" s="1" t="s">
        <v>2</v>
      </c>
      <c r="B2" s="1">
        <v>9</v>
      </c>
      <c r="E2" s="23" t="s">
        <v>3</v>
      </c>
    </row>
    <row r="3" spans="1:9" x14ac:dyDescent="0.3">
      <c r="A3" s="1" t="s">
        <v>4</v>
      </c>
      <c r="B3" s="1" t="e">
        <v>#N/A</v>
      </c>
    </row>
    <row r="4" spans="1:9" x14ac:dyDescent="0.3">
      <c r="A4" s="1" t="s">
        <v>2</v>
      </c>
      <c r="B4" s="1">
        <v>8</v>
      </c>
    </row>
    <row r="5" spans="1:9" x14ac:dyDescent="0.3">
      <c r="A5" s="1" t="s">
        <v>5</v>
      </c>
      <c r="B5" s="1">
        <v>1</v>
      </c>
    </row>
    <row r="6" spans="1:9" x14ac:dyDescent="0.3">
      <c r="A6" s="1" t="s">
        <v>2</v>
      </c>
      <c r="B6" s="1" t="e">
        <v>#N/A</v>
      </c>
      <c r="E6">
        <f t="array" ref="E6">SUMPRODUCT(IF(ISNUMBER(B2:B13),B2:B13))</f>
        <v>60</v>
      </c>
      <c r="F6">
        <f>_xlfn.AGGREGATE(9,6,B2:B13)</f>
        <v>60</v>
      </c>
      <c r="H6" cm="1">
        <f t="array" ref="H6">SUM(IFERROR(B2:B13,0))</f>
        <v>60</v>
      </c>
      <c r="I6">
        <f>_xlfn.AGGREGATE(9,6,B2:B13)</f>
        <v>60</v>
      </c>
    </row>
    <row r="7" spans="1:9" x14ac:dyDescent="0.3">
      <c r="A7" s="1" t="s">
        <v>4</v>
      </c>
      <c r="B7" s="1">
        <v>10</v>
      </c>
    </row>
    <row r="8" spans="1:9" x14ac:dyDescent="0.3">
      <c r="A8" s="1" t="s">
        <v>2</v>
      </c>
      <c r="B8" s="1">
        <v>10</v>
      </c>
      <c r="E8">
        <f>_xlfn.AGGREGATE(9,6,B2:B13)</f>
        <v>60</v>
      </c>
    </row>
    <row r="9" spans="1:9" x14ac:dyDescent="0.3">
      <c r="A9" s="1" t="s">
        <v>5</v>
      </c>
      <c r="B9" s="1" t="s">
        <v>6</v>
      </c>
    </row>
    <row r="10" spans="1:9" x14ac:dyDescent="0.3">
      <c r="A10" s="1" t="s">
        <v>2</v>
      </c>
      <c r="B10" s="1">
        <v>1</v>
      </c>
    </row>
    <row r="11" spans="1:9" x14ac:dyDescent="0.3">
      <c r="A11" s="1" t="s">
        <v>4</v>
      </c>
      <c r="B11" s="1">
        <v>9</v>
      </c>
    </row>
    <row r="12" spans="1:9" x14ac:dyDescent="0.3">
      <c r="A12" s="1" t="s">
        <v>2</v>
      </c>
      <c r="B12" s="1">
        <v>9</v>
      </c>
    </row>
    <row r="13" spans="1:9" x14ac:dyDescent="0.3">
      <c r="A13" s="1" t="s">
        <v>5</v>
      </c>
      <c r="B13" s="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6"/>
  <sheetViews>
    <sheetView showGridLines="0" workbookViewId="0">
      <selection activeCell="J9" activeCellId="1" sqref="B16 J9"/>
    </sheetView>
  </sheetViews>
  <sheetFormatPr defaultColWidth="9.109375" defaultRowHeight="13.2" x14ac:dyDescent="0.25"/>
  <cols>
    <col min="1" max="1" width="2.5546875" style="8" customWidth="1"/>
    <col min="2" max="4" width="13.44140625" style="8" customWidth="1"/>
    <col min="5" max="5" width="15.88671875" style="8" customWidth="1"/>
    <col min="6" max="16384" width="9.109375" style="8"/>
  </cols>
  <sheetData>
    <row r="1" spans="2:4" ht="6" customHeight="1" x14ac:dyDescent="0.25"/>
    <row r="2" spans="2:4" x14ac:dyDescent="0.25">
      <c r="B2" s="9" t="s">
        <v>13</v>
      </c>
    </row>
    <row r="3" spans="2:4" x14ac:dyDescent="0.25">
      <c r="B3" s="10" t="s">
        <v>14</v>
      </c>
      <c r="C3" s="10" t="s">
        <v>15</v>
      </c>
      <c r="D3" s="10" t="s">
        <v>16</v>
      </c>
    </row>
    <row r="4" spans="2:4" x14ac:dyDescent="0.25">
      <c r="B4" s="11" t="s">
        <v>90</v>
      </c>
      <c r="C4" s="11" t="s">
        <v>88</v>
      </c>
      <c r="D4" s="11" t="s">
        <v>89</v>
      </c>
    </row>
    <row r="6" spans="2:4" x14ac:dyDescent="0.25">
      <c r="B6" s="9" t="s">
        <v>92</v>
      </c>
    </row>
    <row r="7" spans="2:4" x14ac:dyDescent="0.25">
      <c r="B7" s="12" t="str">
        <f>CONCATENATE(B4,C4,D4)</f>
        <v>MisAdvancedExcel</v>
      </c>
      <c r="C7" s="13"/>
      <c r="D7" s="14"/>
    </row>
    <row r="9" spans="2:4" collapsed="1" x14ac:dyDescent="0.25">
      <c r="B9" s="9" t="s">
        <v>93</v>
      </c>
    </row>
    <row r="10" spans="2:4" x14ac:dyDescent="0.25">
      <c r="B10" s="12" t="str">
        <f>B4&amp;C4&amp;D4</f>
        <v>MisAdvancedExcel</v>
      </c>
      <c r="C10" s="13"/>
      <c r="D10" s="14"/>
    </row>
    <row r="12" spans="2:4" x14ac:dyDescent="0.25">
      <c r="B12" s="9" t="s">
        <v>94</v>
      </c>
    </row>
    <row r="13" spans="2:4" x14ac:dyDescent="0.25">
      <c r="B13" s="12" t="e">
        <f ca="1">_xludf.CONCAT(B4:D4)</f>
        <v>#NAME?</v>
      </c>
      <c r="C13" s="13"/>
      <c r="D13" s="14"/>
    </row>
    <row r="15" spans="2:4" x14ac:dyDescent="0.25">
      <c r="B15" s="9" t="s">
        <v>95</v>
      </c>
    </row>
    <row r="16" spans="2:4" x14ac:dyDescent="0.25">
      <c r="B16" s="12" t="e">
        <f ca="1">_xludf.TEXTJOIN(,TRUE,B4:D4)</f>
        <v>#NAME?</v>
      </c>
      <c r="C16" s="13"/>
      <c r="D16" s="14"/>
    </row>
  </sheetData>
  <pageMargins left="0.7" right="0.7" top="0.75" bottom="0.75" header="0.3" footer="0.3"/>
  <pageSetup paperSize="9" orientation="portrait" r:id="rId1"/>
  <headerFooter>
    <oddHeader>&amp;L&amp;D&amp;C&amp;A&amp;R&amp;F</oddHead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tabSelected="1" workbookViewId="0">
      <selection activeCell="G2" sqref="G2:G4"/>
    </sheetView>
  </sheetViews>
  <sheetFormatPr defaultRowHeight="14.4" x14ac:dyDescent="0.3"/>
  <cols>
    <col min="1" max="1" width="16.109375" bestFit="1" customWidth="1"/>
    <col min="2" max="2" width="27.88671875" customWidth="1"/>
  </cols>
  <sheetData>
    <row r="1" spans="1:7" x14ac:dyDescent="0.3">
      <c r="A1" s="31" t="s">
        <v>96</v>
      </c>
      <c r="B1" s="31" t="s">
        <v>97</v>
      </c>
      <c r="D1" s="31" t="s">
        <v>96</v>
      </c>
      <c r="E1" s="31" t="s">
        <v>97</v>
      </c>
    </row>
    <row r="2" spans="1:7" x14ac:dyDescent="0.3">
      <c r="A2" s="1" t="s">
        <v>103</v>
      </c>
      <c r="B2" s="33">
        <f>VLOOKUP(LEFT(A2,FIND("-",A2)-1),$D$2:$E$4,2,0)</f>
        <v>344</v>
      </c>
      <c r="D2" s="1" t="s">
        <v>100</v>
      </c>
      <c r="E2" s="32">
        <v>344</v>
      </c>
      <c r="G2">
        <f>VLOOKUP(LEFT(A2,FIND("-",A2)-1),D2:E4,2,0)</f>
        <v>344</v>
      </c>
    </row>
    <row r="3" spans="1:7" x14ac:dyDescent="0.3">
      <c r="A3" s="1" t="s">
        <v>98</v>
      </c>
      <c r="B3" s="33">
        <f t="shared" ref="B3:B4" si="0">VLOOKUP(LEFT(A3,FIND("-",A3)-1),$D$2:$E$4,2,0)</f>
        <v>322</v>
      </c>
      <c r="D3" s="1" t="s">
        <v>101</v>
      </c>
      <c r="E3" s="32">
        <v>322</v>
      </c>
      <c r="G3">
        <f t="shared" ref="G3:G4" si="1">VLOOKUP(LEFT(A3,FIND("-",A3)-1),D3:E5,2,0)</f>
        <v>322</v>
      </c>
    </row>
    <row r="4" spans="1:7" x14ac:dyDescent="0.3">
      <c r="A4" s="1" t="s">
        <v>99</v>
      </c>
      <c r="B4" s="33">
        <f t="shared" si="0"/>
        <v>342</v>
      </c>
      <c r="D4" s="1" t="s">
        <v>102</v>
      </c>
      <c r="E4" s="32">
        <v>342</v>
      </c>
      <c r="G4">
        <f t="shared" si="1"/>
        <v>342</v>
      </c>
    </row>
    <row r="6" spans="1:7" x14ac:dyDescent="0.3">
      <c r="B6" cm="1">
        <f t="array" ref="B6">VLOOKUP(_xlfn.CHOOSECOLS(_xlfn.TEXTSPLIT(A2, "-"),1),$D$2:$E$4, 2,0)</f>
        <v>344</v>
      </c>
    </row>
    <row r="7" spans="1:7" x14ac:dyDescent="0.3">
      <c r="B7" cm="1">
        <f t="array" ref="B7">VLOOKUP(_xlfn.CHOOSECOLS(_xlfn.TEXTSPLIT(A3, "-"),1),$D$2:$E$4, 2,0)</f>
        <v>322</v>
      </c>
    </row>
    <row r="8" spans="1:7" x14ac:dyDescent="0.3">
      <c r="B8" cm="1">
        <f t="array" ref="B8">VLOOKUP(_xlfn.CHOOSECOLS(_xlfn.TEXTSPLIT(A4, "-"),1),$D$2:$E$4, 2,0)</f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2020-09-19T06:49:40Z</dcterms:created>
  <dcterms:modified xsi:type="dcterms:W3CDTF">2026-01-26T17:13:29Z</dcterms:modified>
</cp:coreProperties>
</file>